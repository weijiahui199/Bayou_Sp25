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Excursion Cause" sheetId="2" r:id="rId5"/>
    <sheet state="visible" name="Structure type" sheetId="3" r:id="rId6"/>
    <sheet state="visible" name="Flow Location" sheetId="4" r:id="rId7"/>
  </sheets>
  <definedNames>
    <definedName hidden="1" localSheetId="0" name="_xlnm._FilterDatabase">Sheet1!$A$1:$W$4313</definedName>
  </definedNames>
  <calcPr/>
</workbook>
</file>

<file path=xl/sharedStrings.xml><?xml version="1.0" encoding="utf-8"?>
<sst xmlns="http://schemas.openxmlformats.org/spreadsheetml/2006/main" count="32229" uniqueCount="5467">
  <si>
    <t>SSO_ID</t>
  </si>
  <si>
    <t>Year</t>
  </si>
  <si>
    <t>Complete Address</t>
  </si>
  <si>
    <t>Address</t>
  </si>
  <si>
    <t>City</t>
  </si>
  <si>
    <t>State</t>
  </si>
  <si>
    <t>Zipcode</t>
  </si>
  <si>
    <t>Flow_Location</t>
  </si>
  <si>
    <t>Flow Location(Corrected)</t>
  </si>
  <si>
    <t>Gallons</t>
  </si>
  <si>
    <t>Structure_Type</t>
  </si>
  <si>
    <t>Structure_Type(Corrected)</t>
  </si>
  <si>
    <t>Excursion_Cause</t>
  </si>
  <si>
    <t>Excursion_Cause(Corrected)</t>
  </si>
  <si>
    <t>Start_Date</t>
  </si>
  <si>
    <t>Start_Time</t>
  </si>
  <si>
    <t>End_Date</t>
  </si>
  <si>
    <t>End_Time</t>
  </si>
  <si>
    <t>Average_Flow__GPM_</t>
  </si>
  <si>
    <t>Corrective_Action</t>
  </si>
  <si>
    <t>Start_Date_Converted</t>
  </si>
  <si>
    <t>End_Date_Converted</t>
  </si>
  <si>
    <t>lat</t>
  </si>
  <si>
    <t>long</t>
  </si>
  <si>
    <t>8515 HAMMERLY BLVD</t>
  </si>
  <si>
    <t>Houston</t>
  </si>
  <si>
    <t>Texas</t>
  </si>
  <si>
    <t>77055</t>
  </si>
  <si>
    <t>Storm Sewer (not contained)</t>
  </si>
  <si>
    <t>Manhole</t>
  </si>
  <si>
    <t>Grease Blockage</t>
  </si>
  <si>
    <t>8:35</t>
  </si>
  <si>
    <t>11:11</t>
  </si>
  <si>
    <t>Cleared Main Line;Cleaned and Disinfected</t>
  </si>
  <si>
    <t>7206 LA PASEO ST</t>
  </si>
  <si>
    <t>77087</t>
  </si>
  <si>
    <t>11:40</t>
  </si>
  <si>
    <t>Cleared Main Line</t>
  </si>
  <si>
    <t>3502 DARLINGHURST DR</t>
  </si>
  <si>
    <t>77045</t>
  </si>
  <si>
    <t>12:25</t>
  </si>
  <si>
    <t>13:47</t>
  </si>
  <si>
    <t>5411 PARDEE ST</t>
  </si>
  <si>
    <t>77026</t>
  </si>
  <si>
    <t>Bayou/surface water/drainage ditch</t>
  </si>
  <si>
    <t>City Cleanout</t>
  </si>
  <si>
    <t>13:44</t>
  </si>
  <si>
    <t>Cleared Main Line;Cleaned and Disinfected;Cleared Service Lateral</t>
  </si>
  <si>
    <t>12017 PALMCREST ST</t>
  </si>
  <si>
    <t>77034</t>
  </si>
  <si>
    <t>Contained On Site, not within 5 ft. of Bayou/Surface Water/Drainage Ditch</t>
  </si>
  <si>
    <t>Private Cleanout</t>
  </si>
  <si>
    <t>Collection system structural blockage</t>
  </si>
  <si>
    <t>14:55</t>
  </si>
  <si>
    <t>Set Bypass Pump;Cleaned and Disinfected</t>
  </si>
  <si>
    <t>7523 KINGSLEY ST</t>
  </si>
  <si>
    <t>Rags/Wipes</t>
  </si>
  <si>
    <t>7:54</t>
  </si>
  <si>
    <t>16:24</t>
  </si>
  <si>
    <t>Cleaned and Disinfected;Cleared Main Line</t>
  </si>
  <si>
    <t>13655 ELLA BLVD</t>
  </si>
  <si>
    <t>77014</t>
  </si>
  <si>
    <t>9:18</t>
  </si>
  <si>
    <t>11:22</t>
  </si>
  <si>
    <t>9605 STELLA LINK RD</t>
  </si>
  <si>
    <t>77025</t>
  </si>
  <si>
    <t>9:30</t>
  </si>
  <si>
    <t>18:07</t>
  </si>
  <si>
    <t>8950 CHIMNEY ROCK RD</t>
  </si>
  <si>
    <t>77096</t>
  </si>
  <si>
    <t>13:05</t>
  </si>
  <si>
    <t>17:20</t>
  </si>
  <si>
    <t>2074 ANTOINE DR</t>
  </si>
  <si>
    <t>18:19</t>
  </si>
  <si>
    <t>Cleaned and Disinfected;Cleared City Clean Out</t>
  </si>
  <si>
    <t>4000 34TH ST</t>
  </si>
  <si>
    <t>77092</t>
  </si>
  <si>
    <t>13:37</t>
  </si>
  <si>
    <t>15:06</t>
  </si>
  <si>
    <t>1916 BALDWIN ST</t>
  </si>
  <si>
    <t>77019</t>
  </si>
  <si>
    <t>Collection system structural failure</t>
  </si>
  <si>
    <t>14:47</t>
  </si>
  <si>
    <t>18:35</t>
  </si>
  <si>
    <t>Cleaned and Disinfected;Cleared City Clean Out;Set Bypass Pump</t>
  </si>
  <si>
    <t>5003 HERSHE ST</t>
  </si>
  <si>
    <t>77020</t>
  </si>
  <si>
    <t>Within 5 ft. of Bayou/Surface Water/Drainage Ditch</t>
  </si>
  <si>
    <t>9:55</t>
  </si>
  <si>
    <t>Cleaned and Disinfected;Cleared Service Lateral</t>
  </si>
  <si>
    <t>10902 HAZEN ST</t>
  </si>
  <si>
    <t>77072</t>
  </si>
  <si>
    <t>9:31</t>
  </si>
  <si>
    <t>13:55</t>
  </si>
  <si>
    <t>10707 FORBES SETTLEMENT DR</t>
  </si>
  <si>
    <t>77075</t>
  </si>
  <si>
    <t>Collection system temporary blockage</t>
  </si>
  <si>
    <t>13:59</t>
  </si>
  <si>
    <t>Cleaned and Disinfected;Contain All or Portion of Spill;Returned Spill to Sanitary System</t>
  </si>
  <si>
    <t>7650 MOONMIST DR</t>
  </si>
  <si>
    <t>77036</t>
  </si>
  <si>
    <t>21:37</t>
  </si>
  <si>
    <t>6000 W SUNFOREST DR</t>
  </si>
  <si>
    <t>9:34</t>
  </si>
  <si>
    <t>9200 CULLEN BLVD</t>
  </si>
  <si>
    <t>77051</t>
  </si>
  <si>
    <t>9:50</t>
  </si>
  <si>
    <t>Cleaned and Disinfected;Set Bypass Pump</t>
  </si>
  <si>
    <t>10828 BENTLEY ST</t>
  </si>
  <si>
    <t>77093</t>
  </si>
  <si>
    <t>11:20</t>
  </si>
  <si>
    <t>2502 NORTH BLVD</t>
  </si>
  <si>
    <t>77098</t>
  </si>
  <si>
    <t>12:37</t>
  </si>
  <si>
    <t>15:14</t>
  </si>
  <si>
    <t>4034 COLGATE ST</t>
  </si>
  <si>
    <t>8:52</t>
  </si>
  <si>
    <t>13:13</t>
  </si>
  <si>
    <t>Cleaned and Disinfected</t>
  </si>
  <si>
    <t>5530 BATAAN RD</t>
  </si>
  <si>
    <t>77033</t>
  </si>
  <si>
    <t>9:24</t>
  </si>
  <si>
    <t>12633 MEMORIAL DR</t>
  </si>
  <si>
    <t>77024</t>
  </si>
  <si>
    <t>10:13</t>
  </si>
  <si>
    <t>12:00</t>
  </si>
  <si>
    <t>10318 WILLOWISP DR</t>
  </si>
  <si>
    <t>77035</t>
  </si>
  <si>
    <t>10:48</t>
  </si>
  <si>
    <t>14:20</t>
  </si>
  <si>
    <t>5525 CHENNAULT RD</t>
  </si>
  <si>
    <t>15:32</t>
  </si>
  <si>
    <t>3801 EASTSIDE ST</t>
  </si>
  <si>
    <t>16:57</t>
  </si>
  <si>
    <t>2918 DALTON ST</t>
  </si>
  <si>
    <t>77017</t>
  </si>
  <si>
    <t>8:53</t>
  </si>
  <si>
    <t>501 TAFT ST</t>
  </si>
  <si>
    <t>8:56</t>
  </si>
  <si>
    <t>11:53</t>
  </si>
  <si>
    <t>5746 HARRIET ST</t>
  </si>
  <si>
    <t>77023</t>
  </si>
  <si>
    <t>11:29</t>
  </si>
  <si>
    <t>6600 HARBOR TOWN DR</t>
  </si>
  <si>
    <t>Storm Sewer - contained</t>
  </si>
  <si>
    <t>12:59</t>
  </si>
  <si>
    <t>14:56</t>
  </si>
  <si>
    <t>8303 TWIN HILLS DR</t>
  </si>
  <si>
    <t>77071</t>
  </si>
  <si>
    <t>16:00</t>
  </si>
  <si>
    <t>21:12</t>
  </si>
  <si>
    <t>9603 CEDARHURST DR</t>
  </si>
  <si>
    <t>10:30</t>
  </si>
  <si>
    <t>12023 BISSONNET ST</t>
  </si>
  <si>
    <t>77099</t>
  </si>
  <si>
    <t>12:22</t>
  </si>
  <si>
    <t>14:31</t>
  </si>
  <si>
    <t>206 TERRACE DR</t>
  </si>
  <si>
    <t>77007</t>
  </si>
  <si>
    <t>14:15</t>
  </si>
  <si>
    <t>3602 ELYSIAN ST</t>
  </si>
  <si>
    <t>77009</t>
  </si>
  <si>
    <t>15:21</t>
  </si>
  <si>
    <t>21:24</t>
  </si>
  <si>
    <t>13:14</t>
  </si>
  <si>
    <t>16511 QUIET QUAIL DR</t>
  </si>
  <si>
    <t>77489</t>
  </si>
  <si>
    <t>21:29</t>
  </si>
  <si>
    <t>4031 KNOXVILLE ST</t>
  </si>
  <si>
    <t>11:15</t>
  </si>
  <si>
    <t>Cleared Service Lateral;Cleaned and Disinfected</t>
  </si>
  <si>
    <t>1414 C EMANCIPATION AVE</t>
  </si>
  <si>
    <t>77003</t>
  </si>
  <si>
    <t>11:32</t>
  </si>
  <si>
    <t>4402 JEFFERSON ST</t>
  </si>
  <si>
    <t>11:35</t>
  </si>
  <si>
    <t>7960 RAND ST</t>
  </si>
  <si>
    <t>77028</t>
  </si>
  <si>
    <t>12:24</t>
  </si>
  <si>
    <t>8030 W AIRPORT BLVD</t>
  </si>
  <si>
    <t>12:35</t>
  </si>
  <si>
    <t>21:26</t>
  </si>
  <si>
    <t>3130 MANGUM RD</t>
  </si>
  <si>
    <t>9:37</t>
  </si>
  <si>
    <t>15:36</t>
  </si>
  <si>
    <t>4308 DOWNS LN</t>
  </si>
  <si>
    <t>14:28</t>
  </si>
  <si>
    <t>16:25</t>
  </si>
  <si>
    <t>11753 W BELLFORT ST</t>
  </si>
  <si>
    <t>77477</t>
  </si>
  <si>
    <t>Force Main</t>
  </si>
  <si>
    <t>10:20</t>
  </si>
  <si>
    <t>14:00</t>
  </si>
  <si>
    <t>Cleaned and Disinfected;Contain All or Portion of Spill</t>
  </si>
  <si>
    <t>5603 BARREMORE ST</t>
  </si>
  <si>
    <t>10:40</t>
  </si>
  <si>
    <t>17:15</t>
  </si>
  <si>
    <t>2106 GANO ST</t>
  </si>
  <si>
    <t>Service Lateral</t>
  </si>
  <si>
    <t>10:36</t>
  </si>
  <si>
    <t>16:45</t>
  </si>
  <si>
    <t>12:36</t>
  </si>
  <si>
    <t>4925 WEEPING WILLOW RD</t>
  </si>
  <si>
    <t>13:41</t>
  </si>
  <si>
    <t>Cleared Service Lateral;Cleaned and Disinfected;Set Bypass Pump</t>
  </si>
  <si>
    <t>2134 SKINNER RD</t>
  </si>
  <si>
    <t>13:46</t>
  </si>
  <si>
    <t>4011 BEGGS ST</t>
  </si>
  <si>
    <t>9:39</t>
  </si>
  <si>
    <t>18:13</t>
  </si>
  <si>
    <t>15001 MCCONN</t>
  </si>
  <si>
    <t>77598</t>
  </si>
  <si>
    <t>13:25</t>
  </si>
  <si>
    <t>11511 SOUTHWEST FWY</t>
  </si>
  <si>
    <t>77031</t>
  </si>
  <si>
    <t>15:20</t>
  </si>
  <si>
    <t>19:42</t>
  </si>
  <si>
    <t>1002 ALTHEA DR</t>
  </si>
  <si>
    <t>77018</t>
  </si>
  <si>
    <t>11:10</t>
  </si>
  <si>
    <t>13:12</t>
  </si>
  <si>
    <t>405 W TIDWELL RD</t>
  </si>
  <si>
    <t>77091</t>
  </si>
  <si>
    <t>19:08</t>
  </si>
  <si>
    <t>5330 W BELLFORT AVE</t>
  </si>
  <si>
    <t>9:43</t>
  </si>
  <si>
    <t>7431 AVENUE L</t>
  </si>
  <si>
    <t>77011</t>
  </si>
  <si>
    <t>13:24</t>
  </si>
  <si>
    <t>5800 SOUTHMUND ST</t>
  </si>
  <si>
    <t>12:58</t>
  </si>
  <si>
    <t>750 W 24TH ST</t>
  </si>
  <si>
    <t>77008</t>
  </si>
  <si>
    <t>13:19</t>
  </si>
  <si>
    <t>2406 CANAL ST</t>
  </si>
  <si>
    <t>14:40</t>
  </si>
  <si>
    <t>21:02</t>
  </si>
  <si>
    <t>3211 RALEIGH ST</t>
  </si>
  <si>
    <t>77021</t>
  </si>
  <si>
    <t>14:02</t>
  </si>
  <si>
    <t>16:46</t>
  </si>
  <si>
    <t>3106 JOSEPHINE ST</t>
  </si>
  <si>
    <t>15:28</t>
  </si>
  <si>
    <t>8011 LANGDON LN</t>
  </si>
  <si>
    <t>15:03</t>
  </si>
  <si>
    <t>16:30</t>
  </si>
  <si>
    <t>8004 MENDEZ ST</t>
  </si>
  <si>
    <t>77029</t>
  </si>
  <si>
    <t>10:58</t>
  </si>
  <si>
    <t>0:57</t>
  </si>
  <si>
    <t>544 YALE ST</t>
  </si>
  <si>
    <t>11:37</t>
  </si>
  <si>
    <t>13484 NORTHWEST FWY</t>
  </si>
  <si>
    <t>77040</t>
  </si>
  <si>
    <t>12:21</t>
  </si>
  <si>
    <t>12:07</t>
  </si>
  <si>
    <t>12:31</t>
  </si>
  <si>
    <t>14:05</t>
  </si>
  <si>
    <t>4004 IRVINGTON BLVD</t>
  </si>
  <si>
    <t>12:42</t>
  </si>
  <si>
    <t>14:37</t>
  </si>
  <si>
    <t>4114 FULTON ST</t>
  </si>
  <si>
    <t>9:48</t>
  </si>
  <si>
    <t>15830 ROSEBRIAR DR</t>
  </si>
  <si>
    <t>10:51</t>
  </si>
  <si>
    <t>12:34</t>
  </si>
  <si>
    <t>7402 AVENUE L</t>
  </si>
  <si>
    <t>15:19</t>
  </si>
  <si>
    <t>910 MCINTOSH ST</t>
  </si>
  <si>
    <t>10:14</t>
  </si>
  <si>
    <t>Cleared City Clean Out;Cleaned and Disinfected</t>
  </si>
  <si>
    <t>1526 TEANAWAY LN</t>
  </si>
  <si>
    <t>10:55</t>
  </si>
  <si>
    <t>791 DAVIDSON ST</t>
  </si>
  <si>
    <t>9501 BAUMAN RD</t>
  </si>
  <si>
    <t>77076</t>
  </si>
  <si>
    <t>14:48</t>
  </si>
  <si>
    <t>5102 RIPPLEBROOK DR</t>
  </si>
  <si>
    <t>20:13</t>
  </si>
  <si>
    <t>11914 S WILCREST DR</t>
  </si>
  <si>
    <t>10:06</t>
  </si>
  <si>
    <t>1530 TEANAWAY LN</t>
  </si>
  <si>
    <t>12:03</t>
  </si>
  <si>
    <t>9:36</t>
  </si>
  <si>
    <t>11:05</t>
  </si>
  <si>
    <t>10:05</t>
  </si>
  <si>
    <t>6111 CHIMNEY ROCK RD</t>
  </si>
  <si>
    <t>77081</t>
  </si>
  <si>
    <t>11:12</t>
  </si>
  <si>
    <t>14:36</t>
  </si>
  <si>
    <t>Gravity Main</t>
  </si>
  <si>
    <t>15:23</t>
  </si>
  <si>
    <t>Set Bypass Pump</t>
  </si>
  <si>
    <t>1724 OAK TREE DR</t>
  </si>
  <si>
    <t>77080</t>
  </si>
  <si>
    <t>17:08</t>
  </si>
  <si>
    <t>13:10</t>
  </si>
  <si>
    <t>1925 LYNNFIELD ST</t>
  </si>
  <si>
    <t>10:47</t>
  </si>
  <si>
    <t>13:57</t>
  </si>
  <si>
    <t>10903 PANAY DR</t>
  </si>
  <si>
    <t>77048</t>
  </si>
  <si>
    <t>17:34</t>
  </si>
  <si>
    <t>6802 TIERWESTER ST</t>
  </si>
  <si>
    <t>14:11</t>
  </si>
  <si>
    <t>18:06</t>
  </si>
  <si>
    <t>714 WILDER ST</t>
  </si>
  <si>
    <t>4720 CRAWFORD ST</t>
  </si>
  <si>
    <t>77004</t>
  </si>
  <si>
    <t>17:51</t>
  </si>
  <si>
    <t>5423 HEATHERBROOK DR</t>
  </si>
  <si>
    <t>20:51</t>
  </si>
  <si>
    <t>2909 HAYES RD</t>
  </si>
  <si>
    <t>77082</t>
  </si>
  <si>
    <t>11:21</t>
  </si>
  <si>
    <t>13:30</t>
  </si>
  <si>
    <t>8603 FRIENDSHIP RD</t>
  </si>
  <si>
    <t>20:25</t>
  </si>
  <si>
    <t>10:07</t>
  </si>
  <si>
    <t>516 E FRIAR TUCK LN</t>
  </si>
  <si>
    <t>12:52</t>
  </si>
  <si>
    <t>1:45</t>
  </si>
  <si>
    <t>8039 DOCKAL RD</t>
  </si>
  <si>
    <t>15:51</t>
  </si>
  <si>
    <t>18:14</t>
  </si>
  <si>
    <t>8630 BERTWOOD ST</t>
  </si>
  <si>
    <t>77016</t>
  </si>
  <si>
    <t>3510 MOUNT PLEASANT ST</t>
  </si>
  <si>
    <t>10610 TENNECO DR</t>
  </si>
  <si>
    <t>10:27</t>
  </si>
  <si>
    <t>6002 W 43RD ST</t>
  </si>
  <si>
    <t>10:00</t>
  </si>
  <si>
    <t>5709 BRADY ST</t>
  </si>
  <si>
    <t>12:02</t>
  </si>
  <si>
    <t>633 A 21ST ST</t>
  </si>
  <si>
    <t>15:31</t>
  </si>
  <si>
    <t>4202 WALKER ST</t>
  </si>
  <si>
    <t>21:04</t>
  </si>
  <si>
    <t>715 ROUSE ST</t>
  </si>
  <si>
    <t>21:58</t>
  </si>
  <si>
    <t>4839 SCENIC DR</t>
  </si>
  <si>
    <t>9:28</t>
  </si>
  <si>
    <t>12:08</t>
  </si>
  <si>
    <t>4406 TALINA WAY</t>
  </si>
  <si>
    <t>77041</t>
  </si>
  <si>
    <t>11:08</t>
  </si>
  <si>
    <t>931 ENCLAVE LAKE DR</t>
  </si>
  <si>
    <t>77077</t>
  </si>
  <si>
    <t>14:52</t>
  </si>
  <si>
    <t>9701 FORUM PARK DR</t>
  </si>
  <si>
    <t>9:49</t>
  </si>
  <si>
    <t>709 HARVEST MOON LN</t>
  </si>
  <si>
    <t>9:45</t>
  </si>
  <si>
    <t>13:04</t>
  </si>
  <si>
    <t>Contain All or Portion of Spill;Cleaned and Disinfected</t>
  </si>
  <si>
    <t>9762 TANNER RD</t>
  </si>
  <si>
    <t>17:50</t>
  </si>
  <si>
    <t>7228 CORPUS CHRISTI ST</t>
  </si>
  <si>
    <t>12:12</t>
  </si>
  <si>
    <t>4007 TELEPHONE RD</t>
  </si>
  <si>
    <t>16:59</t>
  </si>
  <si>
    <t>18:58</t>
  </si>
  <si>
    <t>8117 HOMEWOOD LN</t>
  </si>
  <si>
    <t>12:04</t>
  </si>
  <si>
    <t>7920 BRUMBLAY ST</t>
  </si>
  <si>
    <t>77012</t>
  </si>
  <si>
    <t>Collection system
structural blockage</t>
  </si>
  <si>
    <t>14:35</t>
  </si>
  <si>
    <t>9:00</t>
  </si>
  <si>
    <t>11:33</t>
  </si>
  <si>
    <t>1622 CRANWAY DR</t>
  </si>
  <si>
    <t>18:24</t>
  </si>
  <si>
    <t>2613 LORRAINE ST</t>
  </si>
  <si>
    <t>8:43</t>
  </si>
  <si>
    <t>11:30</t>
  </si>
  <si>
    <t>13:09</t>
  </si>
  <si>
    <t>9:20</t>
  </si>
  <si>
    <t>Set Bypass Pump;Cleaned and Disinfected;Cleared Main Line</t>
  </si>
  <si>
    <t>6302 BRIAR GLADE DR</t>
  </si>
  <si>
    <t>385 N POST OAK LN</t>
  </si>
  <si>
    <t>18:30</t>
  </si>
  <si>
    <t>4506 TONAWANDA DR</t>
  </si>
  <si>
    <t>20:01</t>
  </si>
  <si>
    <t>12336 ORMANDY ST</t>
  </si>
  <si>
    <t>77085</t>
  </si>
  <si>
    <t>20:08</t>
  </si>
  <si>
    <t>9102 LAKE PARK DR</t>
  </si>
  <si>
    <t>77078</t>
  </si>
  <si>
    <t>20:57</t>
  </si>
  <si>
    <t>Contain All or Portion of Spill;Cleaned and Disinfected;Post Warning Signs</t>
  </si>
  <si>
    <t>1221 THERESA ST</t>
  </si>
  <si>
    <t>9:12</t>
  </si>
  <si>
    <t>838 GREENS RD</t>
  </si>
  <si>
    <t>77060</t>
  </si>
  <si>
    <t>WWTP Mechanical
Failure</t>
  </si>
  <si>
    <t>23:44</t>
  </si>
  <si>
    <t>8:39</t>
  </si>
  <si>
    <t>8343 GLENCREST ST</t>
  </si>
  <si>
    <t>77061</t>
  </si>
  <si>
    <t>9:09</t>
  </si>
  <si>
    <t>9855 PAGEWOOD LN</t>
  </si>
  <si>
    <t>77042</t>
  </si>
  <si>
    <t>9:05</t>
  </si>
  <si>
    <t>12:48</t>
  </si>
  <si>
    <t>6303 BRIAR GLADE DR</t>
  </si>
  <si>
    <t>5201 GULFTON ST</t>
  </si>
  <si>
    <t>18:44</t>
  </si>
  <si>
    <t>6767 TELEPHONE RD</t>
  </si>
  <si>
    <t>16:38</t>
  </si>
  <si>
    <t>11:55</t>
  </si>
  <si>
    <t>4117 VAUGHN ST</t>
  </si>
  <si>
    <t>15:40</t>
  </si>
  <si>
    <t>12:33</t>
  </si>
  <si>
    <t>1210 NORTHWOOD ST</t>
  </si>
  <si>
    <t>14:16</t>
  </si>
  <si>
    <t>18:32</t>
  </si>
  <si>
    <t>9310 COOK RD</t>
  </si>
  <si>
    <t>Contain All or Portion of Spill;Post Warning Signs</t>
  </si>
  <si>
    <t>10702 RUBIN ST</t>
  </si>
  <si>
    <t>77047</t>
  </si>
  <si>
    <t>15:27</t>
  </si>
  <si>
    <t>206 FIR RIDGE DR</t>
  </si>
  <si>
    <t>77336</t>
  </si>
  <si>
    <t>Collection system ‐ wet weather</t>
  </si>
  <si>
    <t>10:56</t>
  </si>
  <si>
    <t>8410 W BARTELL DR</t>
  </si>
  <si>
    <t>77054</t>
  </si>
  <si>
    <t>10:34</t>
  </si>
  <si>
    <t>13:00</t>
  </si>
  <si>
    <t>15122 CAROL CHASE CIR</t>
  </si>
  <si>
    <t>14:39</t>
  </si>
  <si>
    <t>5038 CHENNAULT RD</t>
  </si>
  <si>
    <t>15111 WELLMAN LN</t>
  </si>
  <si>
    <t>16:43</t>
  </si>
  <si>
    <t>12062 WHITE CAP LN</t>
  </si>
  <si>
    <t>18:27</t>
  </si>
  <si>
    <t>3601 TELEPHONE RD</t>
  </si>
  <si>
    <t>7:24</t>
  </si>
  <si>
    <t>10:53</t>
  </si>
  <si>
    <t>Post Warning Signs;Cleaned and Disinfected</t>
  </si>
  <si>
    <t>5602 LAWSON ST</t>
  </si>
  <si>
    <t>7:32</t>
  </si>
  <si>
    <t>10:41</t>
  </si>
  <si>
    <t>Cleaned and Disinfected;Post Warning Signs</t>
  </si>
  <si>
    <t>5645 TRUETT ST</t>
  </si>
  <si>
    <t>7:35</t>
  </si>
  <si>
    <t>7:39</t>
  </si>
  <si>
    <t>5649 BARREMORE ST</t>
  </si>
  <si>
    <t>7:41</t>
  </si>
  <si>
    <t>3426 PARKER RD</t>
  </si>
  <si>
    <t>8:09</t>
  </si>
  <si>
    <t>17:06</t>
  </si>
  <si>
    <t>10330 EASTEX FWY</t>
  </si>
  <si>
    <t>1222 WRIGHTWOOD ST</t>
  </si>
  <si>
    <t>9:01</t>
  </si>
  <si>
    <t>11:46</t>
  </si>
  <si>
    <t>1424 WRIGHTWOOD ST</t>
  </si>
  <si>
    <t>9:04</t>
  </si>
  <si>
    <t>11:49</t>
  </si>
  <si>
    <t>1301 WAYSIDE DR</t>
  </si>
  <si>
    <t>9:11</t>
  </si>
  <si>
    <t>6820 LYONS AVE</t>
  </si>
  <si>
    <t>308 WASHINGTON AVE</t>
  </si>
  <si>
    <t>77002</t>
  </si>
  <si>
    <t>1 N MAIN ST</t>
  </si>
  <si>
    <t>24119 GLENGYLE CT</t>
  </si>
  <si>
    <t>12:27</t>
  </si>
  <si>
    <t>24115 GLENGYLE CT</t>
  </si>
  <si>
    <t>13:31</t>
  </si>
  <si>
    <t>24007 GLENGYLE CT</t>
  </si>
  <si>
    <t>7546 JASON ST</t>
  </si>
  <si>
    <t>77074</t>
  </si>
  <si>
    <t>13:52</t>
  </si>
  <si>
    <t>23:34</t>
  </si>
  <si>
    <t>Cleared Main Line;Cleaned and Disinfected;Set Bypass Pump</t>
  </si>
  <si>
    <t>203 FIR RIDGE DR</t>
  </si>
  <si>
    <t>11911 KIRKNOLL DR</t>
  </si>
  <si>
    <t>77089</t>
  </si>
  <si>
    <t>12:28</t>
  </si>
  <si>
    <t>14919 WELLMAN LN</t>
  </si>
  <si>
    <t>16:20</t>
  </si>
  <si>
    <t>3033 BUTTERCUP ST</t>
  </si>
  <si>
    <t>77063</t>
  </si>
  <si>
    <t>11:18</t>
  </si>
  <si>
    <t>9911 ALGIERS RD</t>
  </si>
  <si>
    <t>11:51</t>
  </si>
  <si>
    <t>15:05</t>
  </si>
  <si>
    <t>6429 INNSBRUCK MEADOWS LN</t>
  </si>
  <si>
    <t>16:18</t>
  </si>
  <si>
    <t>7711 BELLFORT ST</t>
  </si>
  <si>
    <t>13:35</t>
  </si>
  <si>
    <t>13:21</t>
  </si>
  <si>
    <t>14:29</t>
  </si>
  <si>
    <t>24203 SUNNY GLEN DR</t>
  </si>
  <si>
    <t>16:29</t>
  </si>
  <si>
    <t>8015 COLGATE ST</t>
  </si>
  <si>
    <t>16:56</t>
  </si>
  <si>
    <t>4102 MOWERY RD</t>
  </si>
  <si>
    <t>18:53</t>
  </si>
  <si>
    <t>6614 WESTON ST</t>
  </si>
  <si>
    <t>19:06</t>
  </si>
  <si>
    <t>6923 OAK BOUGH DR</t>
  </si>
  <si>
    <t>77088</t>
  </si>
  <si>
    <t>11:50</t>
  </si>
  <si>
    <t>16010 LOGAN ROCK RD</t>
  </si>
  <si>
    <t>10147 VALLEY WIND DR</t>
  </si>
  <si>
    <t>12:11</t>
  </si>
  <si>
    <t>2905 #5 BAER ST</t>
  </si>
  <si>
    <t>90 NORTHPOINT DR</t>
  </si>
  <si>
    <t>912 ST EMANUEL ST</t>
  </si>
  <si>
    <t>14:44</t>
  </si>
  <si>
    <t>1615 BRAESWOOD BLVD</t>
  </si>
  <si>
    <t>77030</t>
  </si>
  <si>
    <t>18:25</t>
  </si>
  <si>
    <t>10:49</t>
  </si>
  <si>
    <t>12:45</t>
  </si>
  <si>
    <t>5422 DANFIELD DR</t>
  </si>
  <si>
    <t>77053</t>
  </si>
  <si>
    <t>12:13</t>
  </si>
  <si>
    <t>14362 CHADBOURNE DR</t>
  </si>
  <si>
    <t>77079</t>
  </si>
  <si>
    <t>13:33</t>
  </si>
  <si>
    <t>15:00</t>
  </si>
  <si>
    <t>11003 HAZEN ST</t>
  </si>
  <si>
    <t>10:28</t>
  </si>
  <si>
    <t>5520 CAVALCADE ST</t>
  </si>
  <si>
    <t>22:41</t>
  </si>
  <si>
    <t>0:30</t>
  </si>
  <si>
    <t>10903 DUANE ST</t>
  </si>
  <si>
    <t>12:30</t>
  </si>
  <si>
    <t>9:42</t>
  </si>
  <si>
    <t>4851 BENNING DR</t>
  </si>
  <si>
    <t>12:40</t>
  </si>
  <si>
    <t>5202 KNOTTY OAKS TRL</t>
  </si>
  <si>
    <t>11:38</t>
  </si>
  <si>
    <t>4026 BOLIN RD</t>
  </si>
  <si>
    <t>13:07</t>
  </si>
  <si>
    <t>15:30</t>
  </si>
  <si>
    <t>5701 GULF FWY</t>
  </si>
  <si>
    <t>19:50</t>
  </si>
  <si>
    <t>18:26</t>
  </si>
  <si>
    <t>19:25</t>
  </si>
  <si>
    <t>18:34</t>
  </si>
  <si>
    <t>14:22</t>
  </si>
  <si>
    <t>17:43</t>
  </si>
  <si>
    <t>16:55</t>
  </si>
  <si>
    <t>2:21</t>
  </si>
  <si>
    <t>16:48</t>
  </si>
  <si>
    <t>23:05</t>
  </si>
  <si>
    <t>16:40</t>
  </si>
  <si>
    <t>18:50</t>
  </si>
  <si>
    <t>23:04</t>
  </si>
  <si>
    <t>18:17</t>
  </si>
  <si>
    <t>19:35</t>
  </si>
  <si>
    <t>4027 QUIET GLADE CT</t>
  </si>
  <si>
    <t>77345</t>
  </si>
  <si>
    <t>15:45</t>
  </si>
  <si>
    <t>22:00</t>
  </si>
  <si>
    <t>Cleaned and Disinfected;Contain All or Portion of Spill;Cleared Main Line</t>
  </si>
  <si>
    <t>4803 SCENIC WOODS TRL</t>
  </si>
  <si>
    <t>9:27</t>
  </si>
  <si>
    <t>2351 BROOKMERE DR</t>
  </si>
  <si>
    <t>18:00</t>
  </si>
  <si>
    <t>11814 KIRKHOLM DR</t>
  </si>
  <si>
    <t>11:52</t>
  </si>
  <si>
    <t>12:39</t>
  </si>
  <si>
    <t>11826 RHINEBECK DR</t>
  </si>
  <si>
    <t>11403 BEXLEY DR</t>
  </si>
  <si>
    <t>13:32</t>
  </si>
  <si>
    <t>1207 MITCHELL RD</t>
  </si>
  <si>
    <t>77037</t>
  </si>
  <si>
    <t>22:16</t>
  </si>
  <si>
    <t>12431 S RYLANDER CIR</t>
  </si>
  <si>
    <t>10:32</t>
  </si>
  <si>
    <t>12929 WESTPARK DR</t>
  </si>
  <si>
    <t>7629 AVENUE K</t>
  </si>
  <si>
    <t>1740 PASADENA ST</t>
  </si>
  <si>
    <t>15:46</t>
  </si>
  <si>
    <t>Inspect Sewer with CCTV</t>
  </si>
  <si>
    <t>6420 MAYBELL ST</t>
  </si>
  <si>
    <t>13:15</t>
  </si>
  <si>
    <t>Cleaned and Disinfected;Set Bypass Pump;Inspect Sewer with CCTV</t>
  </si>
  <si>
    <t>2510 PARK ST</t>
  </si>
  <si>
    <t>19:45</t>
  </si>
  <si>
    <t>6011 DASHWOOD DR</t>
  </si>
  <si>
    <t>20:40</t>
  </si>
  <si>
    <t>2545 MUNGER ST</t>
  </si>
  <si>
    <t>21:38</t>
  </si>
  <si>
    <t>11:39</t>
  </si>
  <si>
    <t>7162 AVENUE L</t>
  </si>
  <si>
    <t>7226 LOG VIEW DR</t>
  </si>
  <si>
    <t>16:12</t>
  </si>
  <si>
    <t>Cleaned and Disinfected; Inspect Sewer with CCTV</t>
  </si>
  <si>
    <t>6012 MURPHY ST</t>
  </si>
  <si>
    <t>10:03</t>
  </si>
  <si>
    <t>268 PARKER RD</t>
  </si>
  <si>
    <t>13173 CLAREWOOD DR</t>
  </si>
  <si>
    <t>10:59</t>
  </si>
  <si>
    <t>4853 BENNING DR</t>
  </si>
  <si>
    <t>19:44</t>
  </si>
  <si>
    <t>5501 SCOTT ST</t>
  </si>
  <si>
    <t>5505 PINE ST</t>
  </si>
  <si>
    <t>11:07</t>
  </si>
  <si>
    <t>1808 ANTOINE DR</t>
  </si>
  <si>
    <t>16:04</t>
  </si>
  <si>
    <t>7927 CAROLWOOD DR</t>
  </si>
  <si>
    <t>16:35</t>
  </si>
  <si>
    <t>9:54</t>
  </si>
  <si>
    <t>6303 N SOUTHWOOD CT</t>
  </si>
  <si>
    <t>8159 NILES ST</t>
  </si>
  <si>
    <t>10:29</t>
  </si>
  <si>
    <t>5551 ROYALTON ST</t>
  </si>
  <si>
    <t>10610 CHEEVES DR</t>
  </si>
  <si>
    <t>12207 CARRSWOLD DR</t>
  </si>
  <si>
    <t>13:54</t>
  </si>
  <si>
    <t>18:04</t>
  </si>
  <si>
    <t>3604 QUITMAN ST</t>
  </si>
  <si>
    <t>10:15</t>
  </si>
  <si>
    <t>Cleared Service Lateral;</t>
  </si>
  <si>
    <t>414 W CANINO RD</t>
  </si>
  <si>
    <t>Air Relief Valve (ARV) Failure</t>
  </si>
  <si>
    <t>19:26</t>
  </si>
  <si>
    <t>12861 MCNAIR ST</t>
  </si>
  <si>
    <t>77015</t>
  </si>
  <si>
    <t>11:04</t>
  </si>
  <si>
    <t>14:26</t>
  </si>
  <si>
    <t>426 WYCLIFFE DR</t>
  </si>
  <si>
    <t>14:12</t>
  </si>
  <si>
    <t>3:48</t>
  </si>
  <si>
    <t>16:06</t>
  </si>
  <si>
    <t>3200 PARKER RD</t>
  </si>
  <si>
    <t>16:08</t>
  </si>
  <si>
    <t>13226 FARADAY DR</t>
  </si>
  <si>
    <t>19:18</t>
  </si>
  <si>
    <t>14750 PIPING ROCK LN</t>
  </si>
  <si>
    <t>14:33</t>
  </si>
  <si>
    <t>926 RUELL ST</t>
  </si>
  <si>
    <t>17:00</t>
  </si>
  <si>
    <t>15407 NICKEL DR</t>
  </si>
  <si>
    <t>13:22</t>
  </si>
  <si>
    <t>14:50</t>
  </si>
  <si>
    <t>7111 AUGUSTINE DR</t>
  </si>
  <si>
    <t>4601 DEWBERRY ST</t>
  </si>
  <si>
    <t>12:20</t>
  </si>
  <si>
    <t>10:04</t>
  </si>
  <si>
    <t>15:17</t>
  </si>
  <si>
    <t>301 ENGLISH ST</t>
  </si>
  <si>
    <t>7000 CAPITOL ST</t>
  </si>
  <si>
    <t>12:44</t>
  </si>
  <si>
    <t>14:53</t>
  </si>
  <si>
    <t>3260 TRUXILLO ST</t>
  </si>
  <si>
    <t>11:43</t>
  </si>
  <si>
    <t>8307 ROSWELL ST</t>
  </si>
  <si>
    <t>77022</t>
  </si>
  <si>
    <t>15:48</t>
  </si>
  <si>
    <t>10342 DUNCUM DR</t>
  </si>
  <si>
    <t>77013</t>
  </si>
  <si>
    <t>16:33</t>
  </si>
  <si>
    <t>18:01</t>
  </si>
  <si>
    <t>1912 CHASE ST</t>
  </si>
  <si>
    <t>11:17</t>
  </si>
  <si>
    <t>10170 MEMORIAL DR</t>
  </si>
  <si>
    <t>11:02</t>
  </si>
  <si>
    <t>7310 BRACE ST</t>
  </si>
  <si>
    <t>17:36</t>
  </si>
  <si>
    <t>10014 BRIAR DR</t>
  </si>
  <si>
    <t>10:10</t>
  </si>
  <si>
    <t>12911 LEAF GLEN LN</t>
  </si>
  <si>
    <t>17:18</t>
  </si>
  <si>
    <t>1714 COLLINGSWORTH ST</t>
  </si>
  <si>
    <t>17:45</t>
  </si>
  <si>
    <t>2612 MILLS ST</t>
  </si>
  <si>
    <t>9:32</t>
  </si>
  <si>
    <t>7117 LA PASEO ST</t>
  </si>
  <si>
    <t>13:51</t>
  </si>
  <si>
    <t>5050 SPRING FOREST DR</t>
  </si>
  <si>
    <t>19:37</t>
  </si>
  <si>
    <t>13631 BROKEN BRIDGE DR</t>
  </si>
  <si>
    <t>10:35</t>
  </si>
  <si>
    <t>13:03</t>
  </si>
  <si>
    <t>8311 FURLONG LN</t>
  </si>
  <si>
    <t>14:59</t>
  </si>
  <si>
    <t>3031 SUMPTER ST</t>
  </si>
  <si>
    <t>4709 DOOLITTLE BLVD</t>
  </si>
  <si>
    <t>9:46</t>
  </si>
  <si>
    <t>7220 ANTOINE DR</t>
  </si>
  <si>
    <t>16:36</t>
  </si>
  <si>
    <t>Performed Temporary Repair</t>
  </si>
  <si>
    <t>823 BRIAR RIDGE DR</t>
  </si>
  <si>
    <t>77057</t>
  </si>
  <si>
    <t>9:22</t>
  </si>
  <si>
    <t>6203 KIRKWOOD ST</t>
  </si>
  <si>
    <t>7826 PEREIDA ST</t>
  </si>
  <si>
    <t>931 JUDIWAY ST</t>
  </si>
  <si>
    <t>19:34</t>
  </si>
  <si>
    <t>5013 TALINA WAY</t>
  </si>
  <si>
    <t>6206 LONESOME BAYOU LN</t>
  </si>
  <si>
    <t>15:24</t>
  </si>
  <si>
    <t>1229 WISTERWOOD DR</t>
  </si>
  <si>
    <t>77043</t>
  </si>
  <si>
    <t>14839 ESTRELLITA DR</t>
  </si>
  <si>
    <t>5922 DARNELL ST</t>
  </si>
  <si>
    <t>19:24</t>
  </si>
  <si>
    <t>4632 IRVINGTON BLVD</t>
  </si>
  <si>
    <t>18:10</t>
  </si>
  <si>
    <t>1701 SPRING ST</t>
  </si>
  <si>
    <t>12:14</t>
  </si>
  <si>
    <t>6160 GLENMONT DR</t>
  </si>
  <si>
    <t>6202 LONESOME BAYOU LN</t>
  </si>
  <si>
    <t>8:34</t>
  </si>
  <si>
    <t>12:50</t>
  </si>
  <si>
    <t>8:45</t>
  </si>
  <si>
    <t>12:51</t>
  </si>
  <si>
    <t>407 AVENUE OF OAKS ST</t>
  </si>
  <si>
    <t>10:08</t>
  </si>
  <si>
    <t>23811 FAIRLAKE LN</t>
  </si>
  <si>
    <t>8:25</t>
  </si>
  <si>
    <t>Cleaned and Disinfected;Set Bypass Pump;Contain All or Portion of Spill</t>
  </si>
  <si>
    <t>7017 JAY ST</t>
  </si>
  <si>
    <t>4621 CARMEN ST</t>
  </si>
  <si>
    <t>20:17</t>
  </si>
  <si>
    <t>11047 LAFFERTY OAKS ST</t>
  </si>
  <si>
    <t>722 HURLEY ST</t>
  </si>
  <si>
    <t>5525 BINGLE RD</t>
  </si>
  <si>
    <t>15:22</t>
  </si>
  <si>
    <t>6700 MAIN ST</t>
  </si>
  <si>
    <t>14:13</t>
  </si>
  <si>
    <t>4513 EDFIELD ST</t>
  </si>
  <si>
    <t>12:16</t>
  </si>
  <si>
    <t>4115 LINN ST</t>
  </si>
  <si>
    <t>15:10</t>
  </si>
  <si>
    <t>10102 DEL MONTE DR</t>
  </si>
  <si>
    <t>9:19</t>
  </si>
  <si>
    <t>807 REID ST</t>
  </si>
  <si>
    <t>12621 COULSON ST</t>
  </si>
  <si>
    <t>351 N ST CHARLES</t>
  </si>
  <si>
    <t>13:02</t>
  </si>
  <si>
    <t>Post Warning Signs</t>
  </si>
  <si>
    <t>4701 PEASE ST</t>
  </si>
  <si>
    <t>21:45</t>
  </si>
  <si>
    <t>9101 CLINTON DR</t>
  </si>
  <si>
    <t>13:08</t>
  </si>
  <si>
    <t>19:59</t>
  </si>
  <si>
    <t>Post Warning Signs;Set Bypass Pump</t>
  </si>
  <si>
    <t>3430 NATHANIEL BROWN ST</t>
  </si>
  <si>
    <t>15:37</t>
  </si>
  <si>
    <t>8922 TALTON ST</t>
  </si>
  <si>
    <t>8150 GULF FWY</t>
  </si>
  <si>
    <t>18:41</t>
  </si>
  <si>
    <t>15:02</t>
  </si>
  <si>
    <t>15:16</t>
  </si>
  <si>
    <t>15:25</t>
  </si>
  <si>
    <t>21:42</t>
  </si>
  <si>
    <t>15:43</t>
  </si>
  <si>
    <t>17:54</t>
  </si>
  <si>
    <t>17:58</t>
  </si>
  <si>
    <t>116 DORCHESTER ST</t>
  </si>
  <si>
    <t>12:09</t>
  </si>
  <si>
    <t>2818 ARBOR ST</t>
  </si>
  <si>
    <t>Roots</t>
  </si>
  <si>
    <t>421 DENNIS ST</t>
  </si>
  <si>
    <t>77006</t>
  </si>
  <si>
    <t>13:01</t>
  </si>
  <si>
    <t>541 S 75TH ST</t>
  </si>
  <si>
    <t>Power Outage</t>
  </si>
  <si>
    <t>12:55</t>
  </si>
  <si>
    <t>20:00</t>
  </si>
  <si>
    <t>Set Bypass Pump;Cleaned and Disinfected;Post Warning Signs</t>
  </si>
  <si>
    <t>20:50</t>
  </si>
  <si>
    <t>17:21</t>
  </si>
  <si>
    <t>929 WYNNWOOD LN</t>
  </si>
  <si>
    <t>19:01</t>
  </si>
  <si>
    <t>12130 MURR WAY</t>
  </si>
  <si>
    <t>20:11</t>
  </si>
  <si>
    <t>5439 WHISPERING CREEK WAY</t>
  </si>
  <si>
    <t>18:40</t>
  </si>
  <si>
    <t>2701 TURNER DR</t>
  </si>
  <si>
    <t>10:38</t>
  </si>
  <si>
    <t>3334 WUTHERING HEIGHTS DR</t>
  </si>
  <si>
    <t>12218 REINAISSANCE LN</t>
  </si>
  <si>
    <t>15:12</t>
  </si>
  <si>
    <t>555 E ANDERSON RD</t>
  </si>
  <si>
    <t>Private Sample Well</t>
  </si>
  <si>
    <t>20:06</t>
  </si>
  <si>
    <t>712 OAKHURST ST</t>
  </si>
  <si>
    <t>10902 SELA LN</t>
  </si>
  <si>
    <t>17:30</t>
  </si>
  <si>
    <t>14:42</t>
  </si>
  <si>
    <t>12850 WHITTINGTON DR</t>
  </si>
  <si>
    <t>818 PINEMONT DR</t>
  </si>
  <si>
    <t>12:43</t>
  </si>
  <si>
    <t>14:30</t>
  </si>
  <si>
    <t>1006 HACKNEY ST</t>
  </si>
  <si>
    <t>6335 BROOKSIDE DR</t>
  </si>
  <si>
    <t>10:24</t>
  </si>
  <si>
    <t>11:03</t>
  </si>
  <si>
    <t>10:37</t>
  </si>
  <si>
    <t>13:29</t>
  </si>
  <si>
    <t>150 N DAIRY ASHFORD RD</t>
  </si>
  <si>
    <t>23:20</t>
  </si>
  <si>
    <t>8:00</t>
  </si>
  <si>
    <t>13:16</t>
  </si>
  <si>
    <t>13:40</t>
  </si>
  <si>
    <t>1702 PASADENA ST</t>
  </si>
  <si>
    <t>Cleaned and Disinfected;Post Warning Signs;Set Bypass Pump</t>
  </si>
  <si>
    <t>15:13</t>
  </si>
  <si>
    <t>838 KEY ST</t>
  </si>
  <si>
    <t>17:29</t>
  </si>
  <si>
    <t>20:45</t>
  </si>
  <si>
    <t>5938 SOUTHVILLE ST</t>
  </si>
  <si>
    <t>9:44</t>
  </si>
  <si>
    <t>7041 PEYTON ST</t>
  </si>
  <si>
    <t>9030 KERRWOOD LN</t>
  </si>
  <si>
    <t>21:22</t>
  </si>
  <si>
    <t>7739 ANTOINE DR</t>
  </si>
  <si>
    <t>9:53</t>
  </si>
  <si>
    <t>12202 DORWAYNE CT</t>
  </si>
  <si>
    <t>10:21</t>
  </si>
  <si>
    <t>1211 FARWOOD ST</t>
  </si>
  <si>
    <t>11:41</t>
  </si>
  <si>
    <t>5400 W BELLFORT AVE</t>
  </si>
  <si>
    <t>8:50</t>
  </si>
  <si>
    <t>23:28</t>
  </si>
  <si>
    <t>8:54</t>
  </si>
  <si>
    <t>8:59</t>
  </si>
  <si>
    <t>6822 HAZEN ST</t>
  </si>
  <si>
    <t>11:59</t>
  </si>
  <si>
    <t>8142 FINDLAY ST</t>
  </si>
  <si>
    <t>14:19</t>
  </si>
  <si>
    <t>8515 FONDREN RD</t>
  </si>
  <si>
    <t>8637 WOODLYN RD</t>
  </si>
  <si>
    <t>2234 HUTTON ST</t>
  </si>
  <si>
    <t>13:23</t>
  </si>
  <si>
    <t>9:47</t>
  </si>
  <si>
    <t>9018 SCOTT ST</t>
  </si>
  <si>
    <t>3830 WIPPRECHT ST</t>
  </si>
  <si>
    <t>11:26</t>
  </si>
  <si>
    <t>1002 GARDENIA DR</t>
  </si>
  <si>
    <t>8:38</t>
  </si>
  <si>
    <t>5830 S LAKE HOUSTON PKWY</t>
  </si>
  <si>
    <t>77049</t>
  </si>
  <si>
    <t>13:18</t>
  </si>
  <si>
    <t>5707 ROSEGLEN MEADOW LN</t>
  </si>
  <si>
    <t>8:33</t>
  </si>
  <si>
    <t>10:25</t>
  </si>
  <si>
    <t>2318 WOODHEAD ST</t>
  </si>
  <si>
    <t>2117 HARDY ST</t>
  </si>
  <si>
    <t>2002 N WAYSIDE DR</t>
  </si>
  <si>
    <t>11:44</t>
  </si>
  <si>
    <t>2933 ALTOONA ST</t>
  </si>
  <si>
    <t>5100 HARTWICK RD</t>
  </si>
  <si>
    <t>11:56</t>
  </si>
  <si>
    <t>6426 SPRINGHAVEN DR</t>
  </si>
  <si>
    <t>77396</t>
  </si>
  <si>
    <t>12:15</t>
  </si>
  <si>
    <t>8105 RICHLAND DR</t>
  </si>
  <si>
    <t>13:43</t>
  </si>
  <si>
    <t>13833 RICHMOND AVE</t>
  </si>
  <si>
    <t>Pump/Lift Station Instrumentation Failure</t>
  </si>
  <si>
    <t>10:22</t>
  </si>
  <si>
    <t>10:52</t>
  </si>
  <si>
    <t>7939 DEWITT RD</t>
  </si>
  <si>
    <t>16:26</t>
  </si>
  <si>
    <t>1600 HOLCOMBE BLVD</t>
  </si>
  <si>
    <t>5506 SOUTHWIND ST</t>
  </si>
  <si>
    <t>803 KILROY ST</t>
  </si>
  <si>
    <t>8:16</t>
  </si>
  <si>
    <t>8:58</t>
  </si>
  <si>
    <t>3503 GULF FWY</t>
  </si>
  <si>
    <t>6300 RANCHESTER DR</t>
  </si>
  <si>
    <t>14:32</t>
  </si>
  <si>
    <t>333 N DELANO ST</t>
  </si>
  <si>
    <t>14:45</t>
  </si>
  <si>
    <t>551 FALLOON LN</t>
  </si>
  <si>
    <t>8:57</t>
  </si>
  <si>
    <t>9601 DENSLOW CIR</t>
  </si>
  <si>
    <t>18:28</t>
  </si>
  <si>
    <t>1615 NORTHWOOD ST</t>
  </si>
  <si>
    <t>2713 CAPLIN ST</t>
  </si>
  <si>
    <t>1302 BLALOCK RD</t>
  </si>
  <si>
    <t>8201 RICHMOND AVE</t>
  </si>
  <si>
    <t>1404 BAYOU ST</t>
  </si>
  <si>
    <t>11:25</t>
  </si>
  <si>
    <t>7045 AIRLINE DR</t>
  </si>
  <si>
    <t>16:22</t>
  </si>
  <si>
    <t>21:20</t>
  </si>
  <si>
    <t>15711 GULF FWY</t>
  </si>
  <si>
    <t>17:10</t>
  </si>
  <si>
    <t>18:43</t>
  </si>
  <si>
    <t>2226 LEFFINGWELL ST</t>
  </si>
  <si>
    <t>14:34</t>
  </si>
  <si>
    <t>2439 SHERIDAN ST</t>
  </si>
  <si>
    <t>4351 TELEPHONE RD</t>
  </si>
  <si>
    <t>7:59</t>
  </si>
  <si>
    <t>4015 SHERMAN ST</t>
  </si>
  <si>
    <t>8418 COLONIAL LN</t>
  </si>
  <si>
    <t>1018 FAIRVIEW AVE</t>
  </si>
  <si>
    <t>14:41</t>
  </si>
  <si>
    <t>20:47</t>
  </si>
  <si>
    <t>331 RONAN PARK PL</t>
  </si>
  <si>
    <t>17:13</t>
  </si>
  <si>
    <t>11:45</t>
  </si>
  <si>
    <t>9797 MEADOWGLEN LN</t>
  </si>
  <si>
    <t>12750 BROOKGLADE CIR</t>
  </si>
  <si>
    <t>916 CAPERTON ST</t>
  </si>
  <si>
    <t>18:31</t>
  </si>
  <si>
    <t>Cleared Private Line;Cleaned and Disinfected</t>
  </si>
  <si>
    <t>3433 IRVINGTON BLVD</t>
  </si>
  <si>
    <t>1005 DEFENDER ST</t>
  </si>
  <si>
    <t>14905 EASTEX FWY</t>
  </si>
  <si>
    <t>16:21</t>
  </si>
  <si>
    <t>20:18</t>
  </si>
  <si>
    <t>1406 BAYOU ST</t>
  </si>
  <si>
    <t>722 CAPERTON ST</t>
  </si>
  <si>
    <t>16:15</t>
  </si>
  <si>
    <t>12730 COULSON ST</t>
  </si>
  <si>
    <t>3630 AIRPORT BLVD</t>
  </si>
  <si>
    <t>18:23</t>
  </si>
  <si>
    <t>2815 HARDY ST</t>
  </si>
  <si>
    <t>9:33</t>
  </si>
  <si>
    <t>10000 HAMMERLY BLVD</t>
  </si>
  <si>
    <t>10:11</t>
  </si>
  <si>
    <t>2209 NOBLE ST</t>
  </si>
  <si>
    <t>9622 BUFFUM ST</t>
  </si>
  <si>
    <t>13:48</t>
  </si>
  <si>
    <t>2235 WINROCK BLVD</t>
  </si>
  <si>
    <t>13:42</t>
  </si>
  <si>
    <t>6710 TEXARKANA ST</t>
  </si>
  <si>
    <t>17:09</t>
  </si>
  <si>
    <t>7601 ST LO RD</t>
  </si>
  <si>
    <t>3337 PARKWOOD DR</t>
  </si>
  <si>
    <t>11:01</t>
  </si>
  <si>
    <t>3911 LEFFINGWELL ST</t>
  </si>
  <si>
    <t>3001 ALTOONA ST</t>
  </si>
  <si>
    <t>2107 FLETCHER ST</t>
  </si>
  <si>
    <t>133 CHRISTENSEN ST</t>
  </si>
  <si>
    <t>4103 FLOYD ST</t>
  </si>
  <si>
    <t>8:44</t>
  </si>
  <si>
    <t>11:23</t>
  </si>
  <si>
    <t>3009 NEWHOFF ST</t>
  </si>
  <si>
    <t>13:56</t>
  </si>
  <si>
    <t>1547 SHEFFIELD BLVD</t>
  </si>
  <si>
    <t>Cleared Service Lateral;Cleaned and Disinfected;Cleared Main Line</t>
  </si>
  <si>
    <t>1121 NAYLOR ST</t>
  </si>
  <si>
    <t>21:03</t>
  </si>
  <si>
    <t>5455 W GULF BANK RD</t>
  </si>
  <si>
    <t>17:48</t>
  </si>
  <si>
    <t>8015 PARK PLACE BLVD</t>
  </si>
  <si>
    <t>Private Grease Trap</t>
  </si>
  <si>
    <t>8402 N MEADOW BIRD CIR</t>
  </si>
  <si>
    <t>16:53</t>
  </si>
  <si>
    <t>22:28</t>
  </si>
  <si>
    <t>874 STREY LN</t>
  </si>
  <si>
    <t>8:51</t>
  </si>
  <si>
    <t>4702 CALLERY CREEK DR</t>
  </si>
  <si>
    <t>8006 STREAMSIDE DR</t>
  </si>
  <si>
    <t>17:27</t>
  </si>
  <si>
    <t>2102 TIDWELL RD</t>
  </si>
  <si>
    <t>15:15</t>
  </si>
  <si>
    <t>11:34</t>
  </si>
  <si>
    <t>17:57</t>
  </si>
  <si>
    <t>5319 ANTOINE DR</t>
  </si>
  <si>
    <t>12123 FONDREN PLACE DR</t>
  </si>
  <si>
    <t>20:53</t>
  </si>
  <si>
    <t>4102 CASTOR ST</t>
  </si>
  <si>
    <t>14:21</t>
  </si>
  <si>
    <t>17:41</t>
  </si>
  <si>
    <t>15455 MEMORIAL DR</t>
  </si>
  <si>
    <t>8441 WOODLYN RD</t>
  </si>
  <si>
    <t>3504 DAIRY ASHFORD RD</t>
  </si>
  <si>
    <t>5648 BONSRELL ST</t>
  </si>
  <si>
    <t>17:37</t>
  </si>
  <si>
    <t>18:47</t>
  </si>
  <si>
    <t>17:38</t>
  </si>
  <si>
    <t>17:44</t>
  </si>
  <si>
    <t>20:16</t>
  </si>
  <si>
    <t>1735 PASADENA ST</t>
  </si>
  <si>
    <t>Pump/Lift Station Electrical Failure</t>
  </si>
  <si>
    <t>18:09</t>
  </si>
  <si>
    <t>21:43</t>
  </si>
  <si>
    <t>5930 WALTRIP ST</t>
  </si>
  <si>
    <t>7402 SHADYVILLA LN</t>
  </si>
  <si>
    <t>17:40</t>
  </si>
  <si>
    <t>327 OXFORD ST</t>
  </si>
  <si>
    <t>9:29</t>
  </si>
  <si>
    <t>17:24</t>
  </si>
  <si>
    <t>8027 ST LO RD</t>
  </si>
  <si>
    <t>15:41</t>
  </si>
  <si>
    <t>147 COACH RD</t>
  </si>
  <si>
    <t>19:03</t>
  </si>
  <si>
    <t>7727 NARCISSUS ST</t>
  </si>
  <si>
    <t>20:07</t>
  </si>
  <si>
    <t>3315 YORKTOWN ST</t>
  </si>
  <si>
    <t>77056</t>
  </si>
  <si>
    <t>8:12</t>
  </si>
  <si>
    <t>11:00</t>
  </si>
  <si>
    <t>12411 MARICOPA LN</t>
  </si>
  <si>
    <t>7415 DILLON ST</t>
  </si>
  <si>
    <t>10080 BELLAIRE BLVD</t>
  </si>
  <si>
    <t>3526 GOODHOPE ST</t>
  </si>
  <si>
    <t>2005 JACQUELYN DR</t>
  </si>
  <si>
    <t>7537 MEADOWSHIRE ST</t>
  </si>
  <si>
    <t>12:29</t>
  </si>
  <si>
    <t>Set Bypass Pump;Cleared Service Lateral</t>
  </si>
  <si>
    <t>3332 S LOOP FWY</t>
  </si>
  <si>
    <t>9:06</t>
  </si>
  <si>
    <t>12:57</t>
  </si>
  <si>
    <t>11455 BISSONNET ST</t>
  </si>
  <si>
    <t>4419 HOLLOWAY DR</t>
  </si>
  <si>
    <t>17:23</t>
  </si>
  <si>
    <t>7955 STREAMSIDE DR</t>
  </si>
  <si>
    <t>8:55</t>
  </si>
  <si>
    <t>2602 FANNIN ST</t>
  </si>
  <si>
    <t>11930 AIRLINE DR</t>
  </si>
  <si>
    <t>12:23</t>
  </si>
  <si>
    <t>15:39</t>
  </si>
  <si>
    <t>16:44</t>
  </si>
  <si>
    <t>19:31</t>
  </si>
  <si>
    <t>8507 WIER DR</t>
  </si>
  <si>
    <t>2003 E CROSSTIMBERS ST</t>
  </si>
  <si>
    <t>4991 VALKEITH DR</t>
  </si>
  <si>
    <t>14:14</t>
  </si>
  <si>
    <t>6003 QUIET VILLAGE CT</t>
  </si>
  <si>
    <t>15:54</t>
  </si>
  <si>
    <t>20:03</t>
  </si>
  <si>
    <t>329 KING ST</t>
  </si>
  <si>
    <t>1007 ENGLISH ST</t>
  </si>
  <si>
    <t>12:47</t>
  </si>
  <si>
    <t>8110 CREEKBEND DR</t>
  </si>
  <si>
    <t>17:32</t>
  </si>
  <si>
    <t>6606 KELLER ST</t>
  </si>
  <si>
    <t>13:28</t>
  </si>
  <si>
    <t>10:02</t>
  </si>
  <si>
    <t>910 FAIR OAKS DR</t>
  </si>
  <si>
    <t>4910 ALLENDALE RD</t>
  </si>
  <si>
    <t>11:36</t>
  </si>
  <si>
    <t>14:10</t>
  </si>
  <si>
    <t>17:03</t>
  </si>
  <si>
    <t>6869 ARTO ST</t>
  </si>
  <si>
    <t>15:55</t>
  </si>
  <si>
    <t>1801 W SAM HOUSTON PKWY</t>
  </si>
  <si>
    <t>16:16</t>
  </si>
  <si>
    <t>3502 ASKEW ST</t>
  </si>
  <si>
    <t>17:22</t>
  </si>
  <si>
    <t>9670 WESTVIEW DR</t>
  </si>
  <si>
    <t>2323 OAKDALE ST</t>
  </si>
  <si>
    <t>Vandalism</t>
  </si>
  <si>
    <t>14:57</t>
  </si>
  <si>
    <t>14913 RICHMOND AVE</t>
  </si>
  <si>
    <t>15:34</t>
  </si>
  <si>
    <t>13514 HOLLYPARK DR</t>
  </si>
  <si>
    <t>16:02</t>
  </si>
  <si>
    <t>6730 AVENUE C</t>
  </si>
  <si>
    <t>14:25</t>
  </si>
  <si>
    <t>8625 WINKLER DR</t>
  </si>
  <si>
    <t>17:11</t>
  </si>
  <si>
    <t>19:00</t>
  </si>
  <si>
    <t>7819 HELMERS ST</t>
  </si>
  <si>
    <t>7966 HENSON ST</t>
  </si>
  <si>
    <t>15:04</t>
  </si>
  <si>
    <t>105 COSMOS ST</t>
  </si>
  <si>
    <t>617 WARNER ST</t>
  </si>
  <si>
    <t>9:57</t>
  </si>
  <si>
    <t>14:54</t>
  </si>
  <si>
    <t>6454 ELLA LEE LN</t>
  </si>
  <si>
    <t>10:45</t>
  </si>
  <si>
    <t>6398 W BELLFORT AVE</t>
  </si>
  <si>
    <t>15:57</t>
  </si>
  <si>
    <t>207 HOHLDALE ST</t>
  </si>
  <si>
    <t>19:14</t>
  </si>
  <si>
    <t>3123 ASHFORD BEND DR</t>
  </si>
  <si>
    <t>9:15</t>
  </si>
  <si>
    <t>3500 AUDUBON PL</t>
  </si>
  <si>
    <t>2401 MILWAUKEE ST</t>
  </si>
  <si>
    <t>8804 SURRY ST</t>
  </si>
  <si>
    <t>14366 MEMORIAL DR</t>
  </si>
  <si>
    <t>17:49</t>
  </si>
  <si>
    <t>2019 LAKE VILLAGE DR</t>
  </si>
  <si>
    <t>77339</t>
  </si>
  <si>
    <t>12:53</t>
  </si>
  <si>
    <t>5802 SPRUCE FOREST DR</t>
  </si>
  <si>
    <t>5200 SCOTT ST</t>
  </si>
  <si>
    <t>19:58</t>
  </si>
  <si>
    <t>Cleaned and Disinfected;Cleared Main Line;Set Bypass Pump</t>
  </si>
  <si>
    <t>1406 VERMONT ST</t>
  </si>
  <si>
    <t>3311 ABERDEEN WAY</t>
  </si>
  <si>
    <t>17:46</t>
  </si>
  <si>
    <t>910 REDWOOD ST</t>
  </si>
  <si>
    <t>20:58</t>
  </si>
  <si>
    <t>9:58</t>
  </si>
  <si>
    <t>17:14</t>
  </si>
  <si>
    <t>1508 WICHMAN ST</t>
  </si>
  <si>
    <t>11:28</t>
  </si>
  <si>
    <t>14151 HIRAM CLARKE RD</t>
  </si>
  <si>
    <t>12318 LANNY LN</t>
  </si>
  <si>
    <t>14:04</t>
  </si>
  <si>
    <t>17134 QUAIL GLEN DR</t>
  </si>
  <si>
    <t>16:31</t>
  </si>
  <si>
    <t>4915 CHENEVERT ST</t>
  </si>
  <si>
    <t>10:54</t>
  </si>
  <si>
    <t>802 MARLEEN ST</t>
  </si>
  <si>
    <t>11:14</t>
  </si>
  <si>
    <t>7738 GREENDOWNS ST</t>
  </si>
  <si>
    <t>13:50</t>
  </si>
  <si>
    <t>11700 FUQUA ST</t>
  </si>
  <si>
    <t>17:28</t>
  </si>
  <si>
    <t>2928 WOODRIDGE DR</t>
  </si>
  <si>
    <t>9905 HADDICK ST</t>
  </si>
  <si>
    <t>17:42</t>
  </si>
  <si>
    <t>1506 NORTH BLVD</t>
  </si>
  <si>
    <t>6700 DE MOSS DR</t>
  </si>
  <si>
    <t>12:46</t>
  </si>
  <si>
    <t>1615 A WHEELER ST</t>
  </si>
  <si>
    <t>9001 IMOGENE ST</t>
  </si>
  <si>
    <t>6702 TELEPHONE RD</t>
  </si>
  <si>
    <t>15:18</t>
  </si>
  <si>
    <t>8205 FONDREN RD</t>
  </si>
  <si>
    <t>1514 TEANAWAY LN</t>
  </si>
  <si>
    <t>100 GLENBOROUGH DR</t>
  </si>
  <si>
    <t>14:08</t>
  </si>
  <si>
    <t>225 E ROSELANE ST</t>
  </si>
  <si>
    <t>8106 RHOBELL ST</t>
  </si>
  <si>
    <t>450 TRESVANT DR</t>
  </si>
  <si>
    <t>23 E SHADY LN</t>
  </si>
  <si>
    <t>16485 IMPERIAL VALLEY DR</t>
  </si>
  <si>
    <t>Private
Cleanout</t>
  </si>
  <si>
    <t>8216 KIRBY DR</t>
  </si>
  <si>
    <t>Private Sample
Well</t>
  </si>
  <si>
    <t>15:50</t>
  </si>
  <si>
    <t>355 SULKY TRAIL ST</t>
  </si>
  <si>
    <t>8106 TAREYTON LN</t>
  </si>
  <si>
    <t>9:51</t>
  </si>
  <si>
    <t>3709 BOLIN RD</t>
  </si>
  <si>
    <t>10615 MEADOWGLEN LN</t>
  </si>
  <si>
    <t>5202 JERICHO CT</t>
  </si>
  <si>
    <t>19:21</t>
  </si>
  <si>
    <t>10621 MAIN ST</t>
  </si>
  <si>
    <t>14:49</t>
  </si>
  <si>
    <t>5734 KULDELL DR</t>
  </si>
  <si>
    <t>1611 GANO ST</t>
  </si>
  <si>
    <t>16314 BERETTA CT</t>
  </si>
  <si>
    <t>9:10</t>
  </si>
  <si>
    <t>10333 HARWIN DR</t>
  </si>
  <si>
    <t>8618 BANTING ST</t>
  </si>
  <si>
    <t>12:01</t>
  </si>
  <si>
    <t>8:30</t>
  </si>
  <si>
    <t>17:33</t>
  </si>
  <si>
    <t>6919 LIVERPOOL ST</t>
  </si>
  <si>
    <t>7709 SHERMAN ST</t>
  </si>
  <si>
    <t>2209 PINE BEND DR</t>
  </si>
  <si>
    <t>506 N EVERTON ST</t>
  </si>
  <si>
    <t>7550 LONG POINT RD</t>
  </si>
  <si>
    <t>132 BASSWOOD ST</t>
  </si>
  <si>
    <t>2706 HUFFMAN EASTGATE RD</t>
  </si>
  <si>
    <t>502 WOODHURST ST</t>
  </si>
  <si>
    <t>0:00</t>
  </si>
  <si>
    <t>7309 DANE ST</t>
  </si>
  <si>
    <t>20:30</t>
  </si>
  <si>
    <t>11:57</t>
  </si>
  <si>
    <t>10:12</t>
  </si>
  <si>
    <t>5701 LOST FOREST DR</t>
  </si>
  <si>
    <t>4823 ANTHA ST</t>
  </si>
  <si>
    <t>15:49</t>
  </si>
  <si>
    <t>1707 W GULF BANK RD</t>
  </si>
  <si>
    <t>12:56</t>
  </si>
  <si>
    <t>8015 BEECHNUT ST</t>
  </si>
  <si>
    <t>1340 W 25TH ST</t>
  </si>
  <si>
    <t>17:17</t>
  </si>
  <si>
    <t>7433 NAVIGATION BLVD</t>
  </si>
  <si>
    <t>18:05</t>
  </si>
  <si>
    <t>12:10</t>
  </si>
  <si>
    <t>1849 W MAIN ST</t>
  </si>
  <si>
    <t>8:28</t>
  </si>
  <si>
    <t>13:45</t>
  </si>
  <si>
    <t>Collection system wet weather</t>
  </si>
  <si>
    <t>7016 COCHRAN ST</t>
  </si>
  <si>
    <t>9:59</t>
  </si>
  <si>
    <t>3006 DOLORES PARK LN</t>
  </si>
  <si>
    <t>18:38</t>
  </si>
  <si>
    <t>918 CAPERTON ST</t>
  </si>
  <si>
    <t>6635 FAIRWAY DR</t>
  </si>
  <si>
    <t>105 LENOX ST</t>
  </si>
  <si>
    <t>10:26</t>
  </si>
  <si>
    <t>7305 AVENUE L</t>
  </si>
  <si>
    <t>10:33</t>
  </si>
  <si>
    <t>5817 DOWNING ST</t>
  </si>
  <si>
    <t>12:54</t>
  </si>
  <si>
    <t>7207 STONEGATE DR</t>
  </si>
  <si>
    <t>115 E 44TH ST</t>
  </si>
  <si>
    <t>702 REID ST</t>
  </si>
  <si>
    <t>6301 ALFANO ST</t>
  </si>
  <si>
    <t>10:50</t>
  </si>
  <si>
    <t>8175 OGDEN ST</t>
  </si>
  <si>
    <t>6722 SHERMAN ST</t>
  </si>
  <si>
    <t>8:47</t>
  </si>
  <si>
    <t>4659 TELEPHONE RD</t>
  </si>
  <si>
    <t>5015 BRISBANE DR</t>
  </si>
  <si>
    <t>4311 YELLOWSTONE BLVD</t>
  </si>
  <si>
    <t>9:25</t>
  </si>
  <si>
    <t>5202 UBUNTU CT</t>
  </si>
  <si>
    <t>6363 AIRPORT BLVD</t>
  </si>
  <si>
    <t>12:05</t>
  </si>
  <si>
    <t>1515 DEMAREE LN</t>
  </si>
  <si>
    <t>12702 ASHFORD CHASE DR</t>
  </si>
  <si>
    <t>18:03</t>
  </si>
  <si>
    <t>103 STILES ST</t>
  </si>
  <si>
    <t>1100 WILCREST DR</t>
  </si>
  <si>
    <t>14903 PECANTEX DR</t>
  </si>
  <si>
    <t>15:56</t>
  </si>
  <si>
    <t>5206 ALDINE BENDER RD</t>
  </si>
  <si>
    <t>77032</t>
  </si>
  <si>
    <t>16:51</t>
  </si>
  <si>
    <t>7718 CANDLEGREEN LN</t>
  </si>
  <si>
    <t>10:44</t>
  </si>
  <si>
    <t>12:41</t>
  </si>
  <si>
    <t>4545 COOK RD</t>
  </si>
  <si>
    <t>1:18</t>
  </si>
  <si>
    <t>13303 VERBENA LN</t>
  </si>
  <si>
    <t>77083</t>
  </si>
  <si>
    <t>14:23</t>
  </si>
  <si>
    <t>5111 KINGSBURY ST</t>
  </si>
  <si>
    <t>5512 BELLAIRE BLVD</t>
  </si>
  <si>
    <t>4200 W 34TH ST</t>
  </si>
  <si>
    <t>4437 CANAL ST</t>
  </si>
  <si>
    <t>9555 CROFTON ST</t>
  </si>
  <si>
    <t>22:45</t>
  </si>
  <si>
    <t>8103 MISTY VALE LN</t>
  </si>
  <si>
    <t>4005 RAWLEY ST</t>
  </si>
  <si>
    <t>9445 CONCOURSE DR</t>
  </si>
  <si>
    <t>8:17</t>
  </si>
  <si>
    <t>5430 LAWNDALE ST</t>
  </si>
  <si>
    <t>6768 RENWICK DR</t>
  </si>
  <si>
    <t>9:35</t>
  </si>
  <si>
    <t>Cleared City Clean Out;Cleaned and Disinfected;Set Bypass Pump</t>
  </si>
  <si>
    <t>8010 FILLTOP ST</t>
  </si>
  <si>
    <t>9234 CLARKCREST ST</t>
  </si>
  <si>
    <t>16:19</t>
  </si>
  <si>
    <t>7431 CURRY RD</t>
  </si>
  <si>
    <t>5900 RANCHESTER DR</t>
  </si>
  <si>
    <t>8:03</t>
  </si>
  <si>
    <t>6310 ROSERIDGE LN</t>
  </si>
  <si>
    <t>4222 MADDEN LN</t>
  </si>
  <si>
    <t>4122 DUVAL ST</t>
  </si>
  <si>
    <t>126 HAVERSHAM DR</t>
  </si>
  <si>
    <t>10:46</t>
  </si>
  <si>
    <t>217 74TH 1/2 ST</t>
  </si>
  <si>
    <t>16:32</t>
  </si>
  <si>
    <t>5300 S LAKE HOUSTON PKWY</t>
  </si>
  <si>
    <t>16:11</t>
  </si>
  <si>
    <t>5154 CRIPPLE CREEK DR</t>
  </si>
  <si>
    <t>14:46</t>
  </si>
  <si>
    <t>7306 SATSUMA ST</t>
  </si>
  <si>
    <t>2816 EVELLA ST</t>
  </si>
  <si>
    <t>425 ARMSTRONG ST</t>
  </si>
  <si>
    <t>2802 NAGLE ST</t>
  </si>
  <si>
    <t>1640 DUNA WAY</t>
  </si>
  <si>
    <t>18:36</t>
  </si>
  <si>
    <t>12015 CIRCLE DR</t>
  </si>
  <si>
    <t>14:01</t>
  </si>
  <si>
    <t>6800 SHAVELSON ST</t>
  </si>
  <si>
    <t>12302 COULSON ST</t>
  </si>
  <si>
    <t>Set Bypass Pump;Cleared Main Line;Cleaned and Disinfected;Contain All or Portion of Spill</t>
  </si>
  <si>
    <t>12355 KATY FWY</t>
  </si>
  <si>
    <t>4907 BRADY ST</t>
  </si>
  <si>
    <t>8007 CAPITOL ST</t>
  </si>
  <si>
    <t>10:17</t>
  </si>
  <si>
    <t>15:07</t>
  </si>
  <si>
    <t>402 S 80TH ST</t>
  </si>
  <si>
    <t>15:08</t>
  </si>
  <si>
    <t>1000 GREENS RD</t>
  </si>
  <si>
    <t>12:26</t>
  </si>
  <si>
    <t>5420 LAWNDALE ST</t>
  </si>
  <si>
    <t>10206 HILLENBERG LN</t>
  </si>
  <si>
    <t>8:37</t>
  </si>
  <si>
    <t>15:52</t>
  </si>
  <si>
    <t>517 W 27TH ST</t>
  </si>
  <si>
    <t>17:26</t>
  </si>
  <si>
    <t>6710 WINTON ST</t>
  </si>
  <si>
    <t>5110 PARKRIDGE DR</t>
  </si>
  <si>
    <t>5530 ENCLAVE FOUNTAIN LN</t>
  </si>
  <si>
    <t>10:57</t>
  </si>
  <si>
    <t>6522 LEEDALE ST</t>
  </si>
  <si>
    <t>2385 W BELLFORT AVE</t>
  </si>
  <si>
    <t>5771 BELNEATH ST</t>
  </si>
  <si>
    <t>10118 VALENCIA DR</t>
  </si>
  <si>
    <t>12502 OLD KATY RD</t>
  </si>
  <si>
    <t>10202 HILLENBERG LN</t>
  </si>
  <si>
    <t>13367 EMPORIA ST</t>
  </si>
  <si>
    <t>7438 DALLAS ST</t>
  </si>
  <si>
    <t>11902 PANAY DR</t>
  </si>
  <si>
    <t>13:53</t>
  </si>
  <si>
    <t>317 EASTWOOD ST</t>
  </si>
  <si>
    <t>9:41</t>
  </si>
  <si>
    <t>4121 VAUGHN ST</t>
  </si>
  <si>
    <t>11:06</t>
  </si>
  <si>
    <t>6043 WESTOVER ST</t>
  </si>
  <si>
    <t>6202 HERON DR</t>
  </si>
  <si>
    <t>2800 S DAIRY ASHFORD ST</t>
  </si>
  <si>
    <t>8:40</t>
  </si>
  <si>
    <t>11235 VAILVIEW DR</t>
  </si>
  <si>
    <t>5170 CRIPPLE CREEK DR</t>
  </si>
  <si>
    <t>11:09</t>
  </si>
  <si>
    <t>12114 PECAN MEADOW DR</t>
  </si>
  <si>
    <t>7019 SUR CT</t>
  </si>
  <si>
    <t>2:01</t>
  </si>
  <si>
    <t>2461 TIM ST</t>
  </si>
  <si>
    <t>16:13</t>
  </si>
  <si>
    <t>14:58</t>
  </si>
  <si>
    <t>1314 ROXELLA ST</t>
  </si>
  <si>
    <t>8823 TIMBERSIDE DR</t>
  </si>
  <si>
    <t>1635 KIRKWOOD RD</t>
  </si>
  <si>
    <t>2247 STANMORE DR</t>
  </si>
  <si>
    <t>2019 WALKER ST</t>
  </si>
  <si>
    <t>6802 HENDON LN</t>
  </si>
  <si>
    <t>10906 SAGETRAIL DR</t>
  </si>
  <si>
    <t>6635 TUSKEGEE ST</t>
  </si>
  <si>
    <t>5810 FONDREN RD</t>
  </si>
  <si>
    <t>11:42</t>
  </si>
  <si>
    <t>15:11</t>
  </si>
  <si>
    <t>12686 COULSON ST</t>
  </si>
  <si>
    <t>851 LATHROP ST</t>
  </si>
  <si>
    <t>17:16</t>
  </si>
  <si>
    <t>503 TAFT ST</t>
  </si>
  <si>
    <t>9305 W SAM HOUSTON PKWY</t>
  </si>
  <si>
    <t>18:29</t>
  </si>
  <si>
    <t>3425 NETTLETON ST</t>
  </si>
  <si>
    <t>8511 CRESTMONT ST</t>
  </si>
  <si>
    <t>8:49</t>
  </si>
  <si>
    <t>777 COOLWOOD DR</t>
  </si>
  <si>
    <t>16:17</t>
  </si>
  <si>
    <t>16:52</t>
  </si>
  <si>
    <t>4502 BEECHNUT ST</t>
  </si>
  <si>
    <t>19:10</t>
  </si>
  <si>
    <t>20:02</t>
  </si>
  <si>
    <t>410 ARMSTRONG ST</t>
  </si>
  <si>
    <t>Cleaned and Disinfected;Cleared Service Lateral;Set Bypass Pump</t>
  </si>
  <si>
    <t>8:14</t>
  </si>
  <si>
    <t>110 ZACHARY ST</t>
  </si>
  <si>
    <t>2620 SUMPTER ST</t>
  </si>
  <si>
    <t>13045 HIGH STAR DR</t>
  </si>
  <si>
    <t>5523 SONORA ST</t>
  </si>
  <si>
    <t>419 HAHLO ST</t>
  </si>
  <si>
    <t>11:48</t>
  </si>
  <si>
    <t>6030 RIDGEWAY DR</t>
  </si>
  <si>
    <t>12021 DUMAS ST</t>
  </si>
  <si>
    <t>1410 HAROLD ST</t>
  </si>
  <si>
    <t>2121 PELHAM DR</t>
  </si>
  <si>
    <t>4402 FLOYD ST</t>
  </si>
  <si>
    <t>9310 LONG POINT RD</t>
  </si>
  <si>
    <t>11235 RIVERVIEW WAY</t>
  </si>
  <si>
    <t>8901 HARRELL ST</t>
  </si>
  <si>
    <t>525 WEBSTER ST</t>
  </si>
  <si>
    <t>14:27</t>
  </si>
  <si>
    <t>15:42</t>
  </si>
  <si>
    <t>4718 SALINA ST</t>
  </si>
  <si>
    <t>5820 W GULF BANK RD</t>
  </si>
  <si>
    <t>9018 PETERSHAM DR</t>
  </si>
  <si>
    <t>6335 FRENCH CHATEAU DR</t>
  </si>
  <si>
    <t>9701 IRBY ST</t>
  </si>
  <si>
    <t>5019 DICKENS RD</t>
  </si>
  <si>
    <t>8:31</t>
  </si>
  <si>
    <t>7526 S HALL ST</t>
  </si>
  <si>
    <t>5927 SOUTHURST ST</t>
  </si>
  <si>
    <t>11:58</t>
  </si>
  <si>
    <t>7560 ASHBURN ST</t>
  </si>
  <si>
    <t>9806 ROSEHAVEN DR</t>
  </si>
  <si>
    <t>1039 YALE ST</t>
  </si>
  <si>
    <t>1107 JOCELYN ST</t>
  </si>
  <si>
    <t>618 HEIDRICH ST</t>
  </si>
  <si>
    <t>11:31</t>
  </si>
  <si>
    <t>3147 GOLFCREST BLVD</t>
  </si>
  <si>
    <t>3125 CRESTDALE DR</t>
  </si>
  <si>
    <t>13:58</t>
  </si>
  <si>
    <t>11722 MOSSCREST DR</t>
  </si>
  <si>
    <t>5396 ROYALTON ST</t>
  </si>
  <si>
    <t>5312 E HOUSTON RD</t>
  </si>
  <si>
    <t>5909 FONDREN RD</t>
  </si>
  <si>
    <t>3233 MANGUM RD</t>
  </si>
  <si>
    <t>10:18</t>
  </si>
  <si>
    <t>9950 BESSEMER ST</t>
  </si>
  <si>
    <t>9726 GLENWOOD FOREST DR</t>
  </si>
  <si>
    <t>10307 HOMESTEAD RD</t>
  </si>
  <si>
    <t>1535 ELTON ST</t>
  </si>
  <si>
    <t>12614 SKYVIEW CREEK CT</t>
  </si>
  <si>
    <t>9001 BRAEBURN VALLEY DR</t>
  </si>
  <si>
    <t>8935 VALLEY VIEW LN</t>
  </si>
  <si>
    <t>607 DORCHESTER ST</t>
  </si>
  <si>
    <t>12610 SKYVIEW MANOR DR</t>
  </si>
  <si>
    <t>TX</t>
  </si>
  <si>
    <t>10434 BROADSTAIRS ST</t>
  </si>
  <si>
    <t>11701 S WILCREST DR</t>
  </si>
  <si>
    <t>Cleaned and Disinfected; Set Bypass Pump</t>
  </si>
  <si>
    <t>1343 TARBERRY RD</t>
  </si>
  <si>
    <t>3818 BROADWAY ST</t>
  </si>
  <si>
    <t>7442 DALLAS ST</t>
  </si>
  <si>
    <t>6001 REIMS RD</t>
  </si>
  <si>
    <t>1317 APACHE ST</t>
  </si>
  <si>
    <t>Bayou/surface water/drainage
ditch</t>
  </si>
  <si>
    <t>1321 STUDEWOOD ST</t>
  </si>
  <si>
    <t>1103 APACHE ST</t>
  </si>
  <si>
    <t>6707 INDIAN FALLS DR</t>
  </si>
  <si>
    <t>7840 CANAL ST</t>
  </si>
  <si>
    <t>4807 FALVEY ST</t>
  </si>
  <si>
    <t>2618 PIERCE ST</t>
  </si>
  <si>
    <t>9615 KEMPWOOD DR</t>
  </si>
  <si>
    <t>5806 BRAESHEATHER DR</t>
  </si>
  <si>
    <t>8222 OLEANDER CT</t>
  </si>
  <si>
    <t>1820 MATTHEWS ST</t>
  </si>
  <si>
    <t>4901 WASHINGTON AVE</t>
  </si>
  <si>
    <t>4646 VICTORY DR</t>
  </si>
  <si>
    <t>1111 DAISY ST</t>
  </si>
  <si>
    <t>8815 N RYLANDER CIR</t>
  </si>
  <si>
    <t>905 REINERMAN ST</t>
  </si>
  <si>
    <t>4519 WERNER ST</t>
  </si>
  <si>
    <t>2501 BEATTY ST</t>
  </si>
  <si>
    <t>8770 E RYLANDER CIR</t>
  </si>
  <si>
    <t>9707 TIMBERSIDE DR</t>
  </si>
  <si>
    <t>409 W 21ST ST</t>
  </si>
  <si>
    <t>7930 HOMEWOOD LN</t>
  </si>
  <si>
    <t>309 GRACE ST</t>
  </si>
  <si>
    <t>7247 BROOK STONE DR</t>
  </si>
  <si>
    <t>10801 EAST FWY</t>
  </si>
  <si>
    <t>6618 INWOOD WEST DR</t>
  </si>
  <si>
    <t>4414 FRIAR POINT RD</t>
  </si>
  <si>
    <t>415 GALE ST</t>
  </si>
  <si>
    <t>10306 ALTA LOMA WAY</t>
  </si>
  <si>
    <t>8000 S GESSNER RD</t>
  </si>
  <si>
    <t>9511 MISTY BRIDGE ST</t>
  </si>
  <si>
    <t>1312 LAMONTE LN</t>
  </si>
  <si>
    <t>9406 BOB WHITE DR</t>
  </si>
  <si>
    <t>10210 ALTA LOMA WAY</t>
  </si>
  <si>
    <t>4102 GROTON DR</t>
  </si>
  <si>
    <t>9907 ALGIERS RD</t>
  </si>
  <si>
    <t>425 BYRNE ST</t>
  </si>
  <si>
    <t>Storm Sewer ‐ contained</t>
  </si>
  <si>
    <t>7322 YOE ST</t>
  </si>
  <si>
    <t>Cleared City Clean Out; Cleaned and Disinfected</t>
  </si>
  <si>
    <t>7215 HILLSBORO ST</t>
  </si>
  <si>
    <t>900 BROADWAY ST</t>
  </si>
  <si>
    <t>Cleaned and Disinfected;Cleared Private Line</t>
  </si>
  <si>
    <t>1350 LATHROP ST</t>
  </si>
  <si>
    <t>5214 NORTHRIDGE DR</t>
  </si>
  <si>
    <t>11150 BEECHNUT ST</t>
  </si>
  <si>
    <t>11426 SAGEDOWNE LN</t>
  </si>
  <si>
    <t>6299 FAIRBANKS N HOUSTON RD</t>
  </si>
  <si>
    <t>2608 S CALUMET ST</t>
  </si>
  <si>
    <t>117 CONOLY ST</t>
  </si>
  <si>
    <t>4735 WILMINGTON ST</t>
  </si>
  <si>
    <t>5601 ROYAL PALMS ST</t>
  </si>
  <si>
    <t>4831 GALVESTON RD</t>
  </si>
  <si>
    <t>1411 PRINCE ST</t>
  </si>
  <si>
    <t>11028 KEITH ST</t>
  </si>
  <si>
    <t>3403 MEMEL ST</t>
  </si>
  <si>
    <t>11818 WOOD SHADOWS DR</t>
  </si>
  <si>
    <t>Set Bypass Pump;Cleaned and Disinfected;Cleared City Clean Out</t>
  </si>
  <si>
    <t>12725 WESTPARK DR</t>
  </si>
  <si>
    <t>5150 CRIPPLE CREEK DR</t>
  </si>
  <si>
    <t>1129 NANTUCKET DR</t>
  </si>
  <si>
    <t>4719 RAVEN RIDGE DR</t>
  </si>
  <si>
    <t>710 BACA ST</t>
  </si>
  <si>
    <t>2000 WILLOWBROOK MALL</t>
  </si>
  <si>
    <t>77070</t>
  </si>
  <si>
    <t>Cleared Main Line; Cleaned and Disinfected</t>
  </si>
  <si>
    <t>2726 SKYVIEW LONG DR</t>
  </si>
  <si>
    <t>8627 FRIENDSHIP RD</t>
  </si>
  <si>
    <t>8309 MONTRIDGE DR</t>
  </si>
  <si>
    <t>4730 WARD ST</t>
  </si>
  <si>
    <t>1903 STONEY BROOK DR</t>
  </si>
  <si>
    <t>10223 SILVERCREST ST</t>
  </si>
  <si>
    <t>15603 GULF FWY</t>
  </si>
  <si>
    <t>5820 KATY FWY</t>
  </si>
  <si>
    <t>11717 BAUMAN RD</t>
  </si>
  <si>
    <t>1203 W 11TH St</t>
  </si>
  <si>
    <t>Cleared Service Lateral; Cleaned and Disinfected</t>
  </si>
  <si>
    <t>11622 LEADER ST</t>
  </si>
  <si>
    <t>5012 CHENEVERT ST</t>
  </si>
  <si>
    <t>5102 MADDEN LN</t>
  </si>
  <si>
    <t>3802 DABNEY ST</t>
  </si>
  <si>
    <t>5930 GREEN FALLS DR</t>
  </si>
  <si>
    <t>7147 AVENUE N</t>
  </si>
  <si>
    <t>7814 BALTIMORE ST</t>
  </si>
  <si>
    <t>Cleaned and Disinfected;Cleared Service Lateral;Inspect Sewer with CCTV</t>
  </si>
  <si>
    <t>6131 TOWNSAN RD</t>
  </si>
  <si>
    <t>1511 HOTCHKISS ST</t>
  </si>
  <si>
    <t>12979 MCNAIR ST</t>
  </si>
  <si>
    <t>1103 ALEXANDER ST</t>
  </si>
  <si>
    <t>513 VINCENT ST</t>
  </si>
  <si>
    <t>6101 WESTVIEW DR</t>
  </si>
  <si>
    <t>7401 CAROTHERS ST</t>
  </si>
  <si>
    <t>6811 JETTY LN</t>
  </si>
  <si>
    <t>4706 COLLINGSWORTH ST</t>
  </si>
  <si>
    <t>Cleared Main Line;Cleaned and Disinfected;Post Warning Signs</t>
  </si>
  <si>
    <t>8210 TARBELL RD</t>
  </si>
  <si>
    <t>Contained On Site, not within 5 ft. of Bayou/Surface
Water/Drainage Ditch</t>
  </si>
  <si>
    <r>
      <rPr>
        <rFont val="Arial"/>
        <color rgb="FF000000"/>
        <sz val="10.0"/>
      </rPr>
      <t>Private
Cleanout</t>
    </r>
  </si>
  <si>
    <r>
      <rPr>
        <rFont val="Arial"/>
        <color rgb="FF000000"/>
        <sz val="10.0"/>
      </rPr>
      <t>Cleaned and Disinfected;Cleared
Main Line</t>
    </r>
  </si>
  <si>
    <t>7303 AUTUMN GROVE DR</t>
  </si>
  <si>
    <r>
      <rPr>
        <rFont val="Arial"/>
        <color rgb="FF000000"/>
        <sz val="10.0"/>
      </rPr>
      <t>Cleaned and Disinfected;Cleared
City Clean Out</t>
    </r>
  </si>
  <si>
    <t>8407 SULTAN DR</t>
  </si>
  <si>
    <t>Cleaned and Disinfected;Monitor Receiving Waterbody</t>
  </si>
  <si>
    <t>5855 ETTRICK DR</t>
  </si>
  <si>
    <r>
      <rPr>
        <rFont val="Arial"/>
        <color rgb="FF000000"/>
        <sz val="10.0"/>
      </rPr>
      <t>Private
Cleanout</t>
    </r>
  </si>
  <si>
    <t>15:01</t>
  </si>
  <si>
    <r>
      <rPr>
        <rFont val="Arial"/>
        <color rgb="FF000000"/>
        <sz val="10.0"/>
      </rPr>
      <t>Cleared Main Line;Cleaned and
Disinfected</t>
    </r>
  </si>
  <si>
    <t>9233 CLINTON DR</t>
  </si>
  <si>
    <t>4410 NINA LEE LN</t>
  </si>
  <si>
    <t>1520 BAILEY ST</t>
  </si>
  <si>
    <r>
      <rPr>
        <rFont val="Arial"/>
        <color rgb="FF000000"/>
        <sz val="10.0"/>
      </rPr>
      <t>Cleared Main Line;Cleaned and
Disinfected</t>
    </r>
  </si>
  <si>
    <t>2450 ALDINE WESTFIELD RD</t>
  </si>
  <si>
    <r>
      <rPr>
        <rFont val="Arial"/>
        <color rgb="FF000000"/>
        <sz val="10.0"/>
      </rPr>
      <t>Cleaned and Disinfected;Cleared
Main Line</t>
    </r>
  </si>
  <si>
    <t>2001 WOODHEAD ST</t>
  </si>
  <si>
    <r>
      <rPr>
        <rFont val="Arial"/>
        <color rgb="FF000000"/>
        <sz val="10.0"/>
      </rPr>
      <t>Cleared Main Line;Cleaned and
Disinfected</t>
    </r>
  </si>
  <si>
    <t>9226 TALTON ST</t>
  </si>
  <si>
    <r>
      <rPr>
        <rFont val="Arial"/>
        <color rgb="FF000000"/>
        <sz val="10.0"/>
      </rPr>
      <t>Private
Cleanout</t>
    </r>
  </si>
  <si>
    <r>
      <rPr>
        <rFont val="Arial"/>
        <color rgb="FF000000"/>
        <sz val="10.0"/>
      </rPr>
      <t>Cleared Main Line;Cleaned and
Disinfected</t>
    </r>
  </si>
  <si>
    <t>2345 MARGARET ST</t>
  </si>
  <si>
    <r>
      <rPr>
        <rFont val="Arial"/>
        <color rgb="FF000000"/>
        <sz val="10.0"/>
      </rPr>
      <t>Cleared Service Lateral;Cleaned and
Disinfected</t>
    </r>
  </si>
  <si>
    <t>5314 NEWKIRK LN</t>
  </si>
  <si>
    <r>
      <rPr>
        <rFont val="Arial"/>
        <color rgb="FF000000"/>
        <sz val="10.0"/>
      </rPr>
      <t>Cleared Main Line;Cleaned and
Disinfected</t>
    </r>
  </si>
  <si>
    <t>513 VINCENT ST,TX</t>
  </si>
  <si>
    <t>15:59</t>
  </si>
  <si>
    <t>Cleaned and Disinfected;Cleared City Clean Out;Cleared Main Line</t>
  </si>
  <si>
    <r>
      <rPr>
        <rFont val="Arial"/>
        <color rgb="FF000000"/>
        <sz val="10.0"/>
      </rPr>
      <t>Cleared Main Line;Cleaned and
Disinfected</t>
    </r>
  </si>
  <si>
    <t>8565 W SAM HOUSTON PKWY</t>
  </si>
  <si>
    <r>
      <rPr>
        <rFont val="Arial"/>
        <color rgb="FF000000"/>
        <sz val="10.0"/>
      </rPr>
      <t>Cleaned and Disinfected;Cleared
Main Line</t>
    </r>
  </si>
  <si>
    <t>1422 LAWRENCE ST</t>
  </si>
  <si>
    <t>14:09</t>
  </si>
  <si>
    <r>
      <rPr>
        <rFont val="Arial"/>
        <color rgb="FF000000"/>
        <sz val="10.0"/>
      </rPr>
      <t>Cleared Main Line;Cleaned and
Disinfected</t>
    </r>
  </si>
  <si>
    <t>8602 VALLEY SONG DR</t>
  </si>
  <si>
    <r>
      <rPr>
        <rFont val="Arial"/>
        <color rgb="FF000000"/>
        <sz val="10.0"/>
      </rPr>
      <t>Cleared Main Line;Cleaned and
Disinfected</t>
    </r>
  </si>
  <si>
    <t>711 LENOX ST</t>
  </si>
  <si>
    <r>
      <rPr>
        <rFont val="Arial"/>
        <color rgb="FF000000"/>
        <sz val="10.0"/>
      </rPr>
      <t>Private
Cleanout</t>
    </r>
  </si>
  <si>
    <r>
      <rPr>
        <rFont val="Arial"/>
        <color rgb="FF000000"/>
        <sz val="10.0"/>
      </rPr>
      <t>Cleared Main Line;Cleaned and
Disinfected</t>
    </r>
  </si>
  <si>
    <t>10004 BELLAIRE BLVD</t>
  </si>
  <si>
    <r>
      <rPr>
        <rFont val="Arial"/>
        <color rgb="FF000000"/>
        <sz val="10.0"/>
      </rPr>
      <t>Contain All or Portion of Spill;Cleaned and Disinfected;Monitor Receiving
Waterbody</t>
    </r>
  </si>
  <si>
    <r>
      <rPr>
        <rFont val="Arial"/>
        <color rgb="FF000000"/>
        <sz val="10.0"/>
      </rPr>
      <t>Cleared Main Line;Cleaned and Disinfected;Monitor Receiving
Waterbody</t>
    </r>
  </si>
  <si>
    <r>
      <rPr>
        <rFont val="Arial"/>
        <color rgb="FF000000"/>
        <sz val="10.0"/>
      </rPr>
      <t>Cleared Main Line;Cleaned and
Disinfected</t>
    </r>
  </si>
  <si>
    <t>3026 DAWSON LN</t>
  </si>
  <si>
    <t>8:24</t>
  </si>
  <si>
    <r>
      <rPr>
        <rFont val="Arial"/>
        <color rgb="FF000000"/>
        <sz val="10.0"/>
      </rPr>
      <t>Cleared Main Line;Cleaned and
Disinfected</t>
    </r>
  </si>
  <si>
    <t>8:32</t>
  </si>
  <si>
    <r>
      <rPr>
        <rFont val="Arial"/>
        <color rgb="FF000000"/>
        <sz val="10.0"/>
      </rPr>
      <t>Cleared Main Line;Cleaned and
Disinfected</t>
    </r>
  </si>
  <si>
    <t>4121 WIPPRECHT ST</t>
  </si>
  <si>
    <r>
      <rPr>
        <rFont val="Arial"/>
        <color rgb="FF000000"/>
        <sz val="10.0"/>
      </rPr>
      <t>Cleaned and Disinfected;Cleared
Service Lateral</t>
    </r>
  </si>
  <si>
    <t>1845 PASADENA ST</t>
  </si>
  <si>
    <t>13:17</t>
  </si>
  <si>
    <r>
      <rPr>
        <rFont val="Arial"/>
        <color rgb="FF000000"/>
        <sz val="10.0"/>
      </rPr>
      <t>Cleaned and Disinfected;Cleared
Service Lateral</t>
    </r>
  </si>
  <si>
    <t>2823 COCHRAN ST</t>
  </si>
  <si>
    <r>
      <rPr>
        <rFont val="Arial"/>
        <color rgb="FF000000"/>
        <sz val="10.0"/>
      </rPr>
      <t>Private
Cleanout</t>
    </r>
  </si>
  <si>
    <r>
      <rPr>
        <rFont val="Arial"/>
        <color rgb="FF000000"/>
        <sz val="10.0"/>
      </rPr>
      <t>Cleaned and Disinfected;Cleared
Service Lateral</t>
    </r>
  </si>
  <si>
    <t>3401 BLALOCK RD</t>
  </si>
  <si>
    <t>22:10</t>
  </si>
  <si>
    <r>
      <rPr>
        <rFont val="Arial"/>
        <color rgb="FF000000"/>
        <sz val="10.0"/>
      </rPr>
      <t>Cleared Main Line;Cleaned and
Disinfected</t>
    </r>
  </si>
  <si>
    <t>7832 GROVE RIDGE DR</t>
  </si>
  <si>
    <t>19:40</t>
  </si>
  <si>
    <r>
      <rPr>
        <rFont val="Arial"/>
        <color rgb="FF000000"/>
        <sz val="10.0"/>
      </rPr>
      <t>Cleared Main Line;Cleaned and
Disinfected</t>
    </r>
  </si>
  <si>
    <t>3502 MELBOURNE ST</t>
  </si>
  <si>
    <r>
      <rPr>
        <rFont val="Arial"/>
        <color rgb="FF000000"/>
        <sz val="10.0"/>
      </rPr>
      <t>Private
Cleanout</t>
    </r>
  </si>
  <si>
    <r>
      <rPr>
        <rFont val="Arial"/>
        <color rgb="FF000000"/>
        <sz val="10.0"/>
      </rPr>
      <t>Cleaned and Disinfected;Cleared
Main Line</t>
    </r>
  </si>
  <si>
    <t>12110 JUTLAND RD</t>
  </si>
  <si>
    <t>13339 EMPORIA ST</t>
  </si>
  <si>
    <r>
      <rPr>
        <rFont val="Arial"/>
        <color rgb="FF000000"/>
        <sz val="10.0"/>
      </rPr>
      <t>Private
Cleanout</t>
    </r>
  </si>
  <si>
    <t>17:52</t>
  </si>
  <si>
    <r>
      <rPr>
        <rFont val="Arial"/>
        <color rgb="FF000000"/>
        <sz val="10.0"/>
      </rPr>
      <t>Cleared Main Line;Cleaned and
Disinfected</t>
    </r>
  </si>
  <si>
    <t>7710 BARBERTON DR</t>
  </si>
  <si>
    <r>
      <rPr>
        <rFont val="Arial"/>
        <color rgb="FF000000"/>
        <sz val="10.0"/>
      </rPr>
      <t>Cleaned and Disinfected;Cleared
Main Line</t>
    </r>
  </si>
  <si>
    <t>16100 GALVESTON RD</t>
  </si>
  <si>
    <t>19:20</t>
  </si>
  <si>
    <r>
      <rPr>
        <rFont val="Arial"/>
        <color rgb="FF000000"/>
        <sz val="10.0"/>
      </rPr>
      <t>Cleared Main Line;Cleaned and
Disinfected</t>
    </r>
  </si>
  <si>
    <t>7:30</t>
  </si>
  <si>
    <t>Contain All or Portion of Spill;Cleaned and Disinfected;Returned Spill to Sanitary System;Set Bypass Pump</t>
  </si>
  <si>
    <t>5510 ROSSLYN RD</t>
  </si>
  <si>
    <t>11:24</t>
  </si>
  <si>
    <r>
      <rPr>
        <rFont val="Arial"/>
        <color rgb="FF000000"/>
        <sz val="10.0"/>
      </rPr>
      <t>Cleared City Clean Out;Cleaned and
Disinfected</t>
    </r>
  </si>
  <si>
    <t>5935 SOUTHSEAS ST</t>
  </si>
  <si>
    <r>
      <rPr>
        <rFont val="Arial"/>
        <color rgb="FF000000"/>
        <sz val="10.0"/>
      </rPr>
      <t>Private
Cleanout</t>
    </r>
  </si>
  <si>
    <r>
      <rPr>
        <rFont val="Arial"/>
        <color rgb="FF000000"/>
        <sz val="10.0"/>
      </rPr>
      <t>Cleared Main Line;Cleaned and
Disinfected</t>
    </r>
  </si>
  <si>
    <t>5970 DOOLITTLE BLVD</t>
  </si>
  <si>
    <r>
      <rPr>
        <rFont val="Arial"/>
        <color rgb="FF000000"/>
        <sz val="10.0"/>
      </rPr>
      <t>Cleared Main Line;Cleaned and
Disinfected</t>
    </r>
  </si>
  <si>
    <t>10513 MURR WAY</t>
  </si>
  <si>
    <t>302 HAHLO ST</t>
  </si>
  <si>
    <t>18:02</t>
  </si>
  <si>
    <r>
      <rPr>
        <rFont val="Arial"/>
        <color rgb="FF000000"/>
        <sz val="10.0"/>
      </rPr>
      <t>Cleared Main Line;Cleaned and
Disinfected</t>
    </r>
  </si>
  <si>
    <t>10938 CHEEVES DR</t>
  </si>
  <si>
    <r>
      <rPr>
        <rFont val="Arial"/>
        <color rgb="FF000000"/>
        <sz val="10.0"/>
      </rPr>
      <t>Private
Cleanout</t>
    </r>
  </si>
  <si>
    <r>
      <rPr>
        <rFont val="Arial"/>
        <color rgb="FF000000"/>
        <sz val="10.0"/>
      </rPr>
      <t>Cleaned and Disinfected;Cleared
Main Line</t>
    </r>
  </si>
  <si>
    <r>
      <rPr>
        <rFont val="Arial"/>
        <color rgb="FF000000"/>
        <sz val="10.0"/>
      </rPr>
      <t>Cleared City Clean Out;Cleaned and
Disinfected</t>
    </r>
  </si>
  <si>
    <t>9211 SHOREHAM ST</t>
  </si>
  <si>
    <r>
      <rPr>
        <rFont val="Arial"/>
        <color rgb="FF000000"/>
        <sz val="10.0"/>
      </rPr>
      <t>Private
Cleanout</t>
    </r>
  </si>
  <si>
    <r>
      <rPr>
        <rFont val="Arial"/>
        <color rgb="FF000000"/>
        <sz val="10.0"/>
      </rPr>
      <t>Cleared Main Line;Cleaned and
Disinfected</t>
    </r>
  </si>
  <si>
    <r>
      <rPr>
        <rFont val="Arial"/>
        <color rgb="FF000000"/>
        <sz val="10.0"/>
      </rPr>
      <t>Cleared Main Line;Cleaned and
Disinfected</t>
    </r>
  </si>
  <si>
    <r>
      <rPr>
        <rFont val="Arial"/>
        <color rgb="FF000000"/>
        <sz val="10.0"/>
      </rPr>
      <t>Cleared Main Line;Cleaned and
Disinfected</t>
    </r>
  </si>
  <si>
    <t>18:22</t>
  </si>
  <si>
    <r>
      <rPr>
        <rFont val="Arial"/>
        <color rgb="FF000000"/>
        <sz val="10.0"/>
      </rPr>
      <t>Cleaned and Disinfected;Contain All or Portion of Spill;Set Bypass Pump;Returned Spill to Sanitary
System</t>
    </r>
  </si>
  <si>
    <t>3774 TANGLEWILDE ST</t>
  </si>
  <si>
    <r>
      <rPr>
        <rFont val="Arial"/>
        <color rgb="FF000000"/>
        <sz val="10.0"/>
      </rPr>
      <t>Cleared Main Line;Cleaned and
Disinfected</t>
    </r>
  </si>
  <si>
    <t>9510 BEECHNUT ST</t>
  </si>
  <si>
    <t>18:54</t>
  </si>
  <si>
    <t>2150 BENTWORTH DR</t>
  </si>
  <si>
    <t>11:47</t>
  </si>
  <si>
    <r>
      <rPr>
        <rFont val="Arial"/>
        <color rgb="FF000000"/>
        <sz val="10.0"/>
      </rPr>
      <t>Cleared City Clean Out;Cleaned and
Disinfected</t>
    </r>
  </si>
  <si>
    <t>302 GREENPARK DR</t>
  </si>
  <si>
    <r>
      <rPr>
        <rFont val="Arial"/>
        <color rgb="FF000000"/>
        <sz val="10.0"/>
      </rPr>
      <t>Cleared City Clean Out;Cleaned and
Disinfected</t>
    </r>
  </si>
  <si>
    <t>6805 NORDLING RD</t>
  </si>
  <si>
    <t>8675 CLINTON DR</t>
  </si>
  <si>
    <t>13:26</t>
  </si>
  <si>
    <t>16:05</t>
  </si>
  <si>
    <t>3608 FARMER ST</t>
  </si>
  <si>
    <t>18:20</t>
  </si>
  <si>
    <r>
      <rPr>
        <rFont val="Arial"/>
        <color rgb="FF000000"/>
        <sz val="10.0"/>
      </rPr>
      <t>Cleared Service Lateral;Cleaned and
Disinfected</t>
    </r>
  </si>
  <si>
    <t>6926 S LOOP FWY</t>
  </si>
  <si>
    <r>
      <rPr>
        <rFont val="Arial"/>
        <color rgb="FF000000"/>
        <sz val="10.0"/>
      </rPr>
      <t>Cleared Main Line;Cleaned and
Disinfected</t>
    </r>
  </si>
  <si>
    <t>5910 PAR FOUR DR</t>
  </si>
  <si>
    <r>
      <rPr>
        <rFont val="Arial"/>
        <color rgb="FF000000"/>
        <sz val="10.0"/>
      </rPr>
      <t>Cleared Main Line;Cleaned and
Disinfected</t>
    </r>
  </si>
  <si>
    <t>15111 BATHURST DR</t>
  </si>
  <si>
    <t>9:21</t>
  </si>
  <si>
    <r>
      <rPr>
        <rFont val="Arial"/>
        <color rgb="FF000000"/>
        <sz val="10.0"/>
      </rPr>
      <t>Cleaned and Disinfected;Cleared
Main Line</t>
    </r>
  </si>
  <si>
    <r>
      <rPr>
        <rFont val="Arial"/>
        <color rgb="FF000000"/>
        <sz val="10.0"/>
      </rPr>
      <t>Cleared City Clean Out;Cleaned and
Disinfected</t>
    </r>
  </si>
  <si>
    <t>3801 TELEPHONE RD</t>
  </si>
  <si>
    <r>
      <rPr>
        <rFont val="Arial"/>
        <color rgb="FF000000"/>
        <sz val="10.0"/>
      </rPr>
      <t>Cleaned and Disinfected;Cleared
Main Line</t>
    </r>
  </si>
  <si>
    <t>2511 WILLOWICK RD</t>
  </si>
  <si>
    <t>77027</t>
  </si>
  <si>
    <r>
      <rPr>
        <rFont val="Arial"/>
        <color rgb="FF000000"/>
        <sz val="10.0"/>
      </rPr>
      <t>Cleared Main Line;Cleaned and
Disinfected</t>
    </r>
  </si>
  <si>
    <t>1545 MUNGER ST</t>
  </si>
  <si>
    <t>16:37</t>
  </si>
  <si>
    <r>
      <rPr>
        <rFont val="Arial"/>
        <color rgb="FF000000"/>
        <sz val="10.0"/>
      </rPr>
      <t>Cleaned and Disinfected;Cleared
City Clean Out</t>
    </r>
  </si>
  <si>
    <t>9523 GULF BRIDGE ST</t>
  </si>
  <si>
    <t>17:25</t>
  </si>
  <si>
    <r>
      <rPr>
        <rFont val="Arial"/>
        <color rgb="FF000000"/>
        <sz val="10.0"/>
      </rPr>
      <t>Cleaned and Disinfected;Cleared
City Clean Out</t>
    </r>
  </si>
  <si>
    <t>13910 LOCKE LN</t>
  </si>
  <si>
    <r>
      <rPr>
        <rFont val="Arial"/>
        <color rgb="FF000000"/>
        <sz val="10.0"/>
      </rPr>
      <t>Cleaned and Disinfected;Cleared
Main Line</t>
    </r>
  </si>
  <si>
    <t>301 N DRENNAN ST</t>
  </si>
  <si>
    <r>
      <rPr>
        <rFont val="Arial"/>
        <color rgb="FF000000"/>
        <sz val="10.0"/>
      </rPr>
      <t>Cleared Main Line;Cleaned and
Disinfected</t>
    </r>
  </si>
  <si>
    <t>6705 NAVIGATION BLVD</t>
  </si>
  <si>
    <r>
      <rPr>
        <rFont val="Arial"/>
        <color rgb="FF000000"/>
        <sz val="10.0"/>
      </rPr>
      <t>Cleared Service Lateral;Cleaned and
Disinfected</t>
    </r>
  </si>
  <si>
    <t>3505 BLODGETT ST</t>
  </si>
  <si>
    <r>
      <rPr>
        <rFont val="Arial"/>
        <color rgb="FF000000"/>
        <sz val="10.0"/>
      </rPr>
      <t>Cleaned and Disinfected;Cleared
Main Line</t>
    </r>
  </si>
  <si>
    <t>5305 WENDA ST</t>
  </si>
  <si>
    <t>14506 PLAYER ST</t>
  </si>
  <si>
    <r>
      <rPr>
        <rFont val="Arial"/>
        <color rgb="FF000000"/>
        <sz val="10.0"/>
      </rPr>
      <t>Private
Cleanout</t>
    </r>
  </si>
  <si>
    <r>
      <rPr>
        <rFont val="Arial"/>
        <color rgb="FF000000"/>
        <sz val="10.0"/>
      </rPr>
      <t>Cleaned and Disinfected;Cleared
Main Line</t>
    </r>
  </si>
  <si>
    <t>8630 KEMPWOOD DR</t>
  </si>
  <si>
    <t>19:41</t>
  </si>
  <si>
    <r>
      <rPr>
        <rFont val="Arial"/>
        <color rgb="FF000000"/>
        <sz val="10.0"/>
      </rPr>
      <t>Cleaned and Disinfected;Cleared
Main Line</t>
    </r>
  </si>
  <si>
    <t>3852 TELEPHONE RD</t>
  </si>
  <si>
    <t>8:18</t>
  </si>
  <si>
    <r>
      <rPr>
        <rFont val="Arial"/>
        <color rgb="FF000000"/>
        <sz val="10.0"/>
      </rPr>
      <t>Cleaned and Disinfected;Cleared
Main Line</t>
    </r>
  </si>
  <si>
    <r>
      <rPr>
        <rFont val="Arial"/>
        <color rgb="FF000000"/>
        <sz val="10.0"/>
      </rPr>
      <t>Cleaned and Disinfected;Cleared
Main Line</t>
    </r>
  </si>
  <si>
    <t>3102 TILSON LN</t>
  </si>
  <si>
    <r>
      <rPr>
        <rFont val="Arial"/>
        <color rgb="FF000000"/>
        <sz val="10.0"/>
      </rPr>
      <t>Cleared Service Lateral;Cleaned and
Disinfected</t>
    </r>
  </si>
  <si>
    <t>4700 WENDA ST</t>
  </si>
  <si>
    <t>19:12</t>
  </si>
  <si>
    <r>
      <rPr>
        <rFont val="Arial"/>
        <color rgb="FF000000"/>
        <sz val="10.0"/>
      </rPr>
      <t>Cleared Main Line;Cleaned and
Disinfected</t>
    </r>
  </si>
  <si>
    <r>
      <rPr>
        <rFont val="Arial"/>
        <color rgb="FF000000"/>
        <sz val="10.0"/>
      </rPr>
      <t>Cleared Main Line;Cleaned and
Disinfected</t>
    </r>
  </si>
  <si>
    <t>7902 CANDLE LN</t>
  </si>
  <si>
    <r>
      <rPr>
        <rFont val="Arial"/>
        <color rgb="FF000000"/>
        <sz val="10.0"/>
      </rPr>
      <t>Cleared Main Line;Cleaned and
Disinfected</t>
    </r>
  </si>
  <si>
    <t>2108 BANKS ST</t>
  </si>
  <si>
    <t>406 HUTCHESON ST</t>
  </si>
  <si>
    <t>1910 TIDWELL</t>
  </si>
  <si>
    <r>
      <rPr>
        <rFont val="Arial"/>
        <color rgb="FF000000"/>
        <sz val="10.0"/>
      </rPr>
      <t>Cleared Main Line;Cleaned and
Disinfected</t>
    </r>
  </si>
  <si>
    <t>7531 GLENHEATH ST</t>
  </si>
  <si>
    <r>
      <rPr>
        <rFont val="Arial"/>
        <color rgb="FF000000"/>
        <sz val="10.0"/>
      </rPr>
      <t>Cleared Main Line;Cleaned and
Disinfected</t>
    </r>
  </si>
  <si>
    <t>5334 RIPPLEBROOK DR</t>
  </si>
  <si>
    <r>
      <rPr>
        <rFont val="Arial"/>
        <color rgb="FF000000"/>
        <sz val="10.0"/>
      </rPr>
      <t>Cleared Main Line;Cleaned and
Disinfected</t>
    </r>
  </si>
  <si>
    <t>5002 RAINDROP HOLLOW DR</t>
  </si>
  <si>
    <r>
      <rPr>
        <rFont val="Arial"/>
        <color rgb="FF000000"/>
        <sz val="10.0"/>
      </rPr>
      <t>Cleared Main Line;Cleaned and
Disinfected</t>
    </r>
  </si>
  <si>
    <t>9012 BEECHNUT ST</t>
  </si>
  <si>
    <r>
      <rPr>
        <rFont val="Arial"/>
        <color rgb="FF000000"/>
        <sz val="10.0"/>
      </rPr>
      <t>Cleaned and Disinfected;Cleared
Main Line</t>
    </r>
  </si>
  <si>
    <t>13003 GREENWAY CHASE CT</t>
  </si>
  <si>
    <t>8:23</t>
  </si>
  <si>
    <r>
      <rPr>
        <rFont val="Arial"/>
        <color rgb="FF000000"/>
        <sz val="10.0"/>
      </rPr>
      <t>Cleared Main Line;Cleaned and
Disinfected</t>
    </r>
  </si>
  <si>
    <t>1960 INDIANA ST</t>
  </si>
  <si>
    <r>
      <rPr>
        <rFont val="Arial"/>
        <color rgb="FF000000"/>
        <sz val="10.0"/>
      </rPr>
      <t>Cleared Main Line;Cleaned and
Disinfected</t>
    </r>
  </si>
  <si>
    <t>10006 WESTVIEW DR</t>
  </si>
  <si>
    <r>
      <rPr>
        <rFont val="Arial"/>
        <color rgb="FF000000"/>
        <sz val="10.0"/>
      </rPr>
      <t>Cleared City Clean Out;Cleaned and
Disinfected</t>
    </r>
  </si>
  <si>
    <t>5806 SOUTHSEAS ST</t>
  </si>
  <si>
    <r>
      <rPr>
        <rFont val="Arial"/>
        <color rgb="FF000000"/>
        <sz val="10.0"/>
      </rPr>
      <t>Cleared Service Lateral;Cleaned and
Disinfected</t>
    </r>
  </si>
  <si>
    <t>7969 BLUE ST</t>
  </si>
  <si>
    <t>6100 BELLAIRE BLVD</t>
  </si>
  <si>
    <r>
      <rPr>
        <rFont val="Arial"/>
        <color rgb="FF000000"/>
        <sz val="10.0"/>
      </rPr>
      <t>Cleared Main Line;Cleaned and
Disinfected</t>
    </r>
  </si>
  <si>
    <t>7030 CAYTON ST</t>
  </si>
  <si>
    <t>955 W 23RD ST</t>
  </si>
  <si>
    <r>
      <rPr>
        <rFont val="Arial"/>
        <color rgb="FF000000"/>
        <sz val="10.0"/>
      </rPr>
      <t>Private
Cleanout</t>
    </r>
  </si>
  <si>
    <r>
      <rPr>
        <rFont val="Arial"/>
        <color rgb="FF000000"/>
        <sz val="10.0"/>
      </rPr>
      <t>Cleared Main Line;Cleaned and
Disinfected</t>
    </r>
  </si>
  <si>
    <t>9410 BOB WHITE DR</t>
  </si>
  <si>
    <r>
      <rPr>
        <rFont val="Arial"/>
        <color rgb="FF000000"/>
        <sz val="10.0"/>
      </rPr>
      <t>Cleared Main Line;Cleaned and
Disinfected</t>
    </r>
  </si>
  <si>
    <t>5850 KIAM ST</t>
  </si>
  <si>
    <r>
      <rPr>
        <rFont val="Arial"/>
        <color rgb="FF000000"/>
        <sz val="10.0"/>
      </rPr>
      <t>Cleared Main Line;Cleaned and
Disinfected</t>
    </r>
  </si>
  <si>
    <t>4106 WORRELL DR</t>
  </si>
  <si>
    <t>15:58</t>
  </si>
  <si>
    <t>19:30</t>
  </si>
  <si>
    <r>
      <rPr>
        <rFont val="Arial"/>
        <color rgb="FF000000"/>
        <sz val="10.0"/>
      </rPr>
      <t>Cleared Main Line;Cleaned and
Disinfected</t>
    </r>
  </si>
  <si>
    <t>927 MAROBY ST</t>
  </si>
  <si>
    <r>
      <rPr>
        <rFont val="Arial"/>
        <color rgb="FF000000"/>
        <sz val="10.0"/>
      </rPr>
      <t>Cleared Main Line;Cleaned and
Disinfected</t>
    </r>
  </si>
  <si>
    <t>10030 LAZY OAKS ST</t>
  </si>
  <si>
    <r>
      <rPr>
        <rFont val="Arial"/>
        <color rgb="FF000000"/>
        <sz val="10.0"/>
      </rPr>
      <t>Cleared City Clean Out;Cleaned and
Disinfected</t>
    </r>
  </si>
  <si>
    <t>1003 KELLEY ST</t>
  </si>
  <si>
    <t>2103 DAVIS ST</t>
  </si>
  <si>
    <r>
      <rPr>
        <rFont val="Arial"/>
        <color rgb="FF000000"/>
        <sz val="10.0"/>
      </rPr>
      <t>Cleared Service Lateral;Cleaned and
Disinfected</t>
    </r>
  </si>
  <si>
    <t>10:23</t>
  </si>
  <si>
    <r>
      <rPr>
        <rFont val="Arial"/>
        <color rgb="FF000000"/>
        <sz val="10.0"/>
      </rPr>
      <t>Cleaned and Disinfected;Cleared
Main Line</t>
    </r>
  </si>
  <si>
    <r>
      <rPr>
        <rFont val="Arial"/>
        <color rgb="FF000000"/>
        <sz val="10.0"/>
      </rPr>
      <t>Cleared Main Line;Cleaned and
Disinfected</t>
    </r>
  </si>
  <si>
    <r>
      <rPr>
        <rFont val="Arial"/>
        <color rgb="FF000000"/>
        <sz val="10.0"/>
      </rPr>
      <t>Cleared Main Line;Cleaned and
Disinfected</t>
    </r>
  </si>
  <si>
    <t>7054 HENDON LN</t>
  </si>
  <si>
    <t>15:35</t>
  </si>
  <si>
    <r>
      <rPr>
        <rFont val="Arial"/>
        <color rgb="FF000000"/>
        <sz val="10.0"/>
      </rPr>
      <t>Cleaned and Disinfected;Cleared
Main Line</t>
    </r>
  </si>
  <si>
    <t>6815 CRESTMONT ST</t>
  </si>
  <si>
    <r>
      <rPr>
        <rFont val="Arial"/>
        <color rgb="FF000000"/>
        <sz val="10.0"/>
      </rPr>
      <t>Cleared Main Line;Cleaned and
Disinfected</t>
    </r>
  </si>
  <si>
    <t>8300 SANDS POINT DR</t>
  </si>
  <si>
    <r>
      <rPr>
        <rFont val="Arial"/>
        <color rgb="FF000000"/>
        <sz val="10.0"/>
      </rPr>
      <t>Cleared Main Line;Cleaned and
Disinfected</t>
    </r>
  </si>
  <si>
    <t>10004 WESTVIEW DR</t>
  </si>
  <si>
    <r>
      <rPr>
        <rFont val="Arial"/>
        <color rgb="FF000000"/>
        <sz val="10.0"/>
      </rPr>
      <t>Cleared City Clean Out;Cleaned and
Disinfected</t>
    </r>
  </si>
  <si>
    <t>222 HOHLDALE ST</t>
  </si>
  <si>
    <r>
      <rPr>
        <rFont val="Arial"/>
        <color rgb="FF000000"/>
        <sz val="10.0"/>
      </rPr>
      <t>Cleared Main Line;Cleaned and
Disinfected</t>
    </r>
  </si>
  <si>
    <t>701 LINK RD</t>
  </si>
  <si>
    <t>2201 PRESTON ST</t>
  </si>
  <si>
    <t>13202 LEA ST</t>
  </si>
  <si>
    <r>
      <rPr>
        <rFont val="Arial"/>
        <color rgb="FF000000"/>
        <sz val="10.0"/>
      </rPr>
      <t>Cleaned and Disinfected;Cleared
City Clean Out</t>
    </r>
  </si>
  <si>
    <t>995 JUNELL ST</t>
  </si>
  <si>
    <r>
      <rPr>
        <rFont val="Arial"/>
        <color rgb="FF000000"/>
        <sz val="10.0"/>
      </rPr>
      <t>Cleaned and Disinfected;Cleared
Service Lateral</t>
    </r>
  </si>
  <si>
    <r>
      <rPr>
        <rFont val="Arial"/>
        <color rgb="FF000000"/>
        <sz val="10.0"/>
      </rPr>
      <t>Cleaned and Disinfected;Cleared
Main Line</t>
    </r>
  </si>
  <si>
    <t>4324 WALKER ST</t>
  </si>
  <si>
    <t>6442 CROSSWELL ST</t>
  </si>
  <si>
    <t>7102 HAVERTON DR</t>
  </si>
  <si>
    <t>Storm Sewer (not
contained)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</si>
  <si>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</si>
  <si>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</si>
  <si>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</si>
  <si>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</si>
  <si>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7103 BELLE PARK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</si>
  <si>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</si>
  <si>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</si>
  <si>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1418 GLOBE ST</t>
  </si>
  <si>
    <t>1510 JENSEN DR</t>
  </si>
  <si>
    <t>5626 SOUTHWEST FWY</t>
  </si>
  <si>
    <t>1201 SHEPHERD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</si>
  <si>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</si>
  <si>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</si>
  <si>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1927 FAIRVIEW AVE</t>
  </si>
  <si>
    <t>22:18</t>
  </si>
  <si>
    <t>3401 BROADWAY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</si>
  <si>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</si>
  <si>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</si>
  <si>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8211 FAWNDALE LN</t>
  </si>
  <si>
    <t>10:39</t>
  </si>
  <si>
    <t>1202 DAIRY ASHFORD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</si>
  <si>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</si>
  <si>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</si>
  <si>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10222 FORUM WEST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</si>
  <si>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</si>
  <si>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</si>
  <si>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5730 ORIOLE ST</t>
  </si>
  <si>
    <t>21:40</t>
  </si>
  <si>
    <t>5315 LEELAND ST</t>
  </si>
  <si>
    <t>3702 ASCOT LN</t>
  </si>
  <si>
    <t>10827 CHEEVES DR</t>
  </si>
  <si>
    <r>
      <rPr>
        <rFont val="Arial"/>
        <color rgb="FF000000"/>
        <sz val="10.0"/>
      </rPr>
      <t>Collection
system structural failure</t>
    </r>
  </si>
  <si>
    <t>4913 CHENNAULT RD</t>
  </si>
  <si>
    <r>
      <rPr>
        <rFont val="Arial"/>
        <color rgb="FF000000"/>
        <sz val="10.0"/>
      </rPr>
      <t>Grease
Blockage</t>
    </r>
  </si>
  <si>
    <t>9:16</t>
  </si>
  <si>
    <r>
      <rPr>
        <rFont val="Arial"/>
        <color rgb="FF000000"/>
        <sz val="10.0"/>
      </rPr>
      <t>Cleaned and Disinfected;Cleared Main
Line</t>
    </r>
  </si>
  <si>
    <t>10906 CHEEVES DR</t>
  </si>
  <si>
    <t>7622 TEESDALE DR</t>
  </si>
  <si>
    <t>13:36</t>
  </si>
  <si>
    <r>
      <rPr>
        <rFont val="Arial"/>
        <color rgb="FF000000"/>
        <sz val="10.0"/>
      </rPr>
      <t>Cleaned and Disinfected;Cleared City
Clean Out</t>
    </r>
  </si>
  <si>
    <t>8017 DARIEN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</si>
  <si>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</si>
  <si>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City
Clean Out</t>
    </r>
  </si>
  <si>
    <t>5519 CARTAGENA ST</t>
  </si>
  <si>
    <t>15:53</t>
  </si>
  <si>
    <t>6306 LEEDALE ST</t>
  </si>
  <si>
    <t>11514 RIVERVIEW DR</t>
  </si>
  <si>
    <t>13702 MONARCH RD</t>
  </si>
  <si>
    <t>8482 SONNEVILLE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</si>
  <si>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</si>
  <si>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</si>
  <si>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10440 HOLLY SPRINGS DR</t>
  </si>
  <si>
    <t>19:33</t>
  </si>
  <si>
    <r>
      <rPr>
        <rFont val="Arial"/>
        <color rgb="FF000000"/>
        <sz val="10.0"/>
      </rPr>
      <t>Collection
system structural failure</t>
    </r>
  </si>
  <si>
    <t>9:02</t>
  </si>
  <si>
    <t>1011 W 10TH ST</t>
  </si>
  <si>
    <t>4933 CHENNAULT RD</t>
  </si>
  <si>
    <t>9100 BRIAR FOREST DR</t>
  </si>
  <si>
    <r>
      <rPr>
        <rFont val="Arial"/>
        <color rgb="FF000000"/>
        <sz val="10.0"/>
      </rPr>
      <t>Collection
system structural failure</t>
    </r>
  </si>
  <si>
    <t>2505 DICKEY PL</t>
  </si>
  <si>
    <t>1502 W 24TH ST</t>
  </si>
  <si>
    <t>10318 SHADY RIVER DR</t>
  </si>
  <si>
    <t>1404 ALABAMA ST</t>
  </si>
  <si>
    <r>
      <rPr>
        <rFont val="Arial"/>
        <color rgb="FF000000"/>
        <sz val="10.0"/>
      </rPr>
      <t>Cleared Main Line;Cleaned and
Disinfected</t>
    </r>
  </si>
  <si>
    <t>1919 COURTNEY LANE DR</t>
  </si>
  <si>
    <t>1007 DEWALT ST</t>
  </si>
  <si>
    <r>
      <rPr>
        <rFont val="Arial"/>
        <color rgb="FF000000"/>
        <sz val="10.0"/>
      </rPr>
      <t>Collection
system structural blockage</t>
    </r>
  </si>
  <si>
    <t>15355 W HARDY RD</t>
  </si>
  <si>
    <r>
      <rPr>
        <rFont val="Arial"/>
        <color rgb="FF000000"/>
        <sz val="10.0"/>
      </rPr>
      <t>Grease
Blockage</t>
    </r>
  </si>
  <si>
    <t>10:19</t>
  </si>
  <si>
    <r>
      <rPr>
        <rFont val="Arial"/>
        <color rgb="FF000000"/>
        <sz val="10.0"/>
      </rPr>
      <t>Cleared Main Line;Cleaned and
Disinfected</t>
    </r>
  </si>
  <si>
    <t>6307 HIRONDEL ST</t>
  </si>
  <si>
    <r>
      <rPr>
        <rFont val="Arial"/>
        <color rgb="FF000000"/>
        <sz val="10.0"/>
      </rPr>
      <t>Collection
system structural blockage</t>
    </r>
  </si>
  <si>
    <t>16331 PARK MANOR ST</t>
  </si>
  <si>
    <t>Storm Sewer ‐
contained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</si>
  <si>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</si>
  <si>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</si>
  <si>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6200 DASHWOOD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</si>
  <si>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</si>
  <si>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</si>
  <si>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4447 MOUNT VERNON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</si>
  <si>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</si>
  <si>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</si>
  <si>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211 N BRYAN ST</t>
  </si>
  <si>
    <t>Cleaned and Disinfected;Set Bypass Pump;Cleared Service Lateral</t>
  </si>
  <si>
    <t>4401 LOCKWOOD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</si>
  <si>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</si>
  <si>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</si>
  <si>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1745 CRESTDALE DR</t>
  </si>
  <si>
    <t>14902 ASHTEX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</si>
  <si>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</si>
  <si>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</si>
  <si>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4135 BRINKLEY ST</t>
  </si>
  <si>
    <t>3830 DARLINGHURST DR</t>
  </si>
  <si>
    <t>16:10</t>
  </si>
  <si>
    <t>12615 GOTHAM DR</t>
  </si>
  <si>
    <t>5:29</t>
  </si>
  <si>
    <t>1115 CLAXTON ST</t>
  </si>
  <si>
    <r>
      <rPr>
        <rFont val="Arial"/>
        <color rgb="FF000000"/>
        <sz val="10.0"/>
      </rPr>
      <t>Grease
Blockage</t>
    </r>
  </si>
  <si>
    <t>8:08</t>
  </si>
  <si>
    <r>
      <rPr>
        <rFont val="Arial"/>
        <color rgb="FF000000"/>
        <sz val="10.0"/>
      </rPr>
      <t>Cleared City Clean Out;Cleaned and
Disinfected</t>
    </r>
  </si>
  <si>
    <t>9603 HOMESTEAD RD</t>
  </si>
  <si>
    <t>13:20</t>
  </si>
  <si>
    <t>6370 TEAL RUN DR</t>
  </si>
  <si>
    <t>11:27</t>
  </si>
  <si>
    <t>3619 S SHEPHERD DR</t>
  </si>
  <si>
    <r>
      <rPr>
        <rFont val="Arial"/>
        <color rgb="FF000000"/>
        <sz val="10.0"/>
      </rPr>
      <t>Collection
system temporary blockage</t>
    </r>
  </si>
  <si>
    <t>17:55</t>
  </si>
  <si>
    <t>180 SORTERS MCCLELLAN RD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</si>
  <si>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</si>
  <si>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</si>
  <si>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5407 GULFTON ST</t>
  </si>
  <si>
    <t>6207 W RIDGECREEK DR</t>
  </si>
  <si>
    <t>2549 MUNGER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</si>
  <si>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</si>
  <si>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</si>
  <si>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314 CANINO RD</t>
  </si>
  <si>
    <t>8271 GRAFTON ST</t>
  </si>
  <si>
    <t>3733 ELLA LEE LN</t>
  </si>
  <si>
    <t>1919 CAMPBELL RD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</si>
  <si>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</si>
  <si>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</si>
  <si>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4819 MANDELL ST</t>
  </si>
  <si>
    <r>
      <rPr>
        <rFont val="Arial"/>
        <color rgb="FF000000"/>
        <sz val="10.0"/>
      </rPr>
      <t>Cleaned and Disinfected;Cleared Service
Lateral</t>
    </r>
  </si>
  <si>
    <t>4102 CURTIS ST</t>
  </si>
  <si>
    <t>5033 PAULA ST</t>
  </si>
  <si>
    <t>230 VICTORIA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</si>
  <si>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</si>
  <si>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</si>
  <si>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r>
      <rPr>
        <rFont val="Arial"/>
        <color rgb="FF000000"/>
        <sz val="10.0"/>
      </rPr>
      <t>Grease
Blockage</t>
    </r>
  </si>
  <si>
    <t>15:26</t>
  </si>
  <si>
    <r>
      <rPr>
        <rFont val="Arial"/>
        <color rgb="FF000000"/>
        <sz val="10.0"/>
      </rPr>
      <t>Cleared Main Line;Cleaned and
Disinfected</t>
    </r>
  </si>
  <si>
    <t>7530 GULFBRIAR PL</t>
  </si>
  <si>
    <t>11:54</t>
  </si>
  <si>
    <t>16361 IMPERIAL VALLEY DR</t>
  </si>
  <si>
    <r>
      <rPr>
        <rFont val="Arial"/>
        <color rgb="FF000000"/>
        <sz val="10.0"/>
      </rPr>
      <t>Grease
Blockage</t>
    </r>
  </si>
  <si>
    <t>13:11</t>
  </si>
  <si>
    <r>
      <rPr>
        <rFont val="Arial"/>
        <color rgb="FF000000"/>
        <sz val="10.0"/>
      </rPr>
      <t>Post Warning Signs;Cleared Main
Line;Cleaned and Disinfected</t>
    </r>
  </si>
  <si>
    <t>6406 JEFFERSON ST</t>
  </si>
  <si>
    <t>16:28</t>
  </si>
  <si>
    <t>6402 JEFFERSON ST</t>
  </si>
  <si>
    <t>5045 HARDWAY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</si>
  <si>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</si>
  <si>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Service Lateral;Cleaned and
Disinfected</t>
    </r>
  </si>
  <si>
    <t>5353 DEEP FOREST DR</t>
  </si>
  <si>
    <r>
      <rPr>
        <rFont val="Arial"/>
        <color rgb="FF000000"/>
        <sz val="10.0"/>
      </rPr>
      <t>Grease
Blockage</t>
    </r>
  </si>
  <si>
    <t>8:48</t>
  </si>
  <si>
    <r>
      <rPr>
        <rFont val="Arial"/>
        <color rgb="FF000000"/>
        <sz val="10.0"/>
      </rPr>
      <t>Cleared Main Line;Cleaned and
Disinfected</t>
    </r>
  </si>
  <si>
    <t>5350 KINGSBURY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</si>
  <si>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</si>
  <si>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City Clean Out;Cleaned and
Disinfected</t>
    </r>
  </si>
  <si>
    <t>1006 AHRENS ST</t>
  </si>
  <si>
    <r>
      <rPr>
        <rFont val="Arial"/>
        <color rgb="FF000000"/>
        <sz val="10.0"/>
      </rPr>
      <t>Collection
system structural blockage</t>
    </r>
  </si>
  <si>
    <t>7602 MOSEWOOD ST</t>
  </si>
  <si>
    <t>2201 LORRAINE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</si>
  <si>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</si>
  <si>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City Clean Out;Cleaned and
Disinfected</t>
    </r>
  </si>
  <si>
    <t>4001 CHEENA DR</t>
  </si>
  <si>
    <t>13931 LOCKE LN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</si>
  <si>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</si>
  <si>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Service Lateral;Cleaned and
Disinfected</t>
    </r>
  </si>
  <si>
    <t>7740 W LITTLE YORK RD</t>
  </si>
  <si>
    <t>400 GREENS RD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</si>
  <si>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</si>
  <si>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</si>
  <si>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5063 CALHOUN RD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</si>
  <si>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</si>
  <si>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</si>
  <si>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7313 GULF FWY</t>
  </si>
  <si>
    <t>7:45</t>
  </si>
  <si>
    <t>6650 BRIARGATE DR</t>
  </si>
  <si>
    <t>11:13</t>
  </si>
  <si>
    <t>1713 DOLLY WRIGHT ST</t>
  </si>
  <si>
    <t>812 WAINWRIGHT ST</t>
  </si>
  <si>
    <t>4412 N SHEPHERD DR</t>
  </si>
  <si>
    <r>
      <rPr>
        <rFont val="Arial"/>
        <color rgb="FF000000"/>
        <sz val="10.0"/>
      </rPr>
      <t>Cleared Main Line;Cleaned and
Disinfected</t>
    </r>
  </si>
  <si>
    <t>2222 BELLEFONTAINE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</si>
  <si>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</si>
  <si>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</si>
  <si>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2473 BRIARWEST BLVD</t>
  </si>
  <si>
    <t>7911 TUFFLY ST</t>
  </si>
  <si>
    <r>
      <rPr>
        <rFont val="Arial"/>
        <color rgb="FF000000"/>
        <sz val="10.0"/>
      </rPr>
      <t>Collection
system structural blockage</t>
    </r>
  </si>
  <si>
    <t>1730 CRESTDALE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</si>
  <si>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</si>
  <si>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</si>
  <si>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7005 CONLEY ST</t>
  </si>
  <si>
    <t>8245 JET PILOT ST</t>
  </si>
  <si>
    <t>20:35</t>
  </si>
  <si>
    <t>981 KIRBY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</si>
  <si>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</si>
  <si>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</si>
  <si>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12510 S GREEN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</si>
  <si>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</si>
  <si>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</si>
  <si>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8323 CINNAMON LN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</si>
  <si>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</si>
  <si>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</si>
  <si>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818 PENNINGTON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</si>
  <si>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</si>
  <si>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</si>
  <si>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6023 FONDREN RD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</si>
  <si>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</si>
  <si>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</si>
  <si>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Cleaned and Disinfected;Cleared Main Line;Post Warning Signs</t>
  </si>
  <si>
    <t>5606 CAVANAUGH ST</t>
  </si>
  <si>
    <t>17:53</t>
  </si>
  <si>
    <t>817 MILWAUKEE ST</t>
  </si>
  <si>
    <t>5615 KNIGHTWOOD ST</t>
  </si>
  <si>
    <t>16203 BOWRIDGE LN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</si>
  <si>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</si>
  <si>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</si>
  <si>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5322 TIMBER SHADE DR</t>
  </si>
  <si>
    <t>Cleaned and Disinfected;Set Bypass Pump;Contain All or Portion of Spill;Returned Spill to Sanitary System</t>
  </si>
  <si>
    <t>4078 MERRICK ST</t>
  </si>
  <si>
    <r>
      <rPr>
        <rFont val="Arial"/>
        <color rgb="FF000000"/>
        <sz val="10.0"/>
      </rPr>
      <t>Grease
Blockage</t>
    </r>
  </si>
  <si>
    <t>19:16</t>
  </si>
  <si>
    <r>
      <rPr>
        <rFont val="Arial"/>
        <color rgb="FF000000"/>
        <sz val="10.0"/>
      </rPr>
      <t>Cleared Main Line;Cleaned and
Disinfected</t>
    </r>
  </si>
  <si>
    <t>12905 BARCUS LN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</si>
  <si>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</si>
  <si>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</si>
  <si>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</si>
  <si>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</si>
  <si>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5830 SOUTHWELL ST</t>
  </si>
  <si>
    <t>Set Bypass Pump;Cleared Main Line;Cleaned and Disinfected</t>
  </si>
  <si>
    <t>1434 SILVERDALE ST</t>
  </si>
  <si>
    <t>4130 LOCKFIELD ST</t>
  </si>
  <si>
    <t>708 TELEPHONE RD</t>
  </si>
  <si>
    <r>
      <rPr>
        <rFont val="Arial"/>
        <color rgb="FF000000"/>
        <sz val="10.0"/>
      </rPr>
      <t>Collection
system structural blockage</t>
    </r>
  </si>
  <si>
    <t>7514 ILEX ST</t>
  </si>
  <si>
    <t>14430 MINETTA ST</t>
  </si>
  <si>
    <r>
      <rPr>
        <rFont val="Arial"/>
        <color rgb="FF000000"/>
        <sz val="10.0"/>
      </rPr>
      <t>Cleaned and Disinfected;Cleared City
Clean Out</t>
    </r>
  </si>
  <si>
    <t>3303 WESTWICK DR</t>
  </si>
  <si>
    <t>3318 MEADWAY DR</t>
  </si>
  <si>
    <t>4514 YALE ST</t>
  </si>
  <si>
    <r>
      <rPr>
        <rFont val="Arial"/>
        <color rgb="FF000000"/>
        <sz val="10.0"/>
      </rPr>
      <t>Collection
system structural failure</t>
    </r>
  </si>
  <si>
    <t>3901 DALLAS ST</t>
  </si>
  <si>
    <t>6711 BELLFORT ST</t>
  </si>
  <si>
    <r>
      <rPr>
        <rFont val="Arial"/>
        <color rgb="FF000000"/>
        <sz val="10.0"/>
      </rPr>
      <t>Cleared City Clean Out;Cleaned and
Disinfected</t>
    </r>
  </si>
  <si>
    <t>12946 PEGGYS LN</t>
  </si>
  <si>
    <t>Within 5 ft. of
Bayou/Surface Water/Drainage Ditch</t>
  </si>
  <si>
    <t>7226 SAINT AUGUSTINE ST</t>
  </si>
  <si>
    <r>
      <rPr>
        <rFont val="Arial"/>
        <color rgb="FF000000"/>
        <sz val="10.0"/>
      </rPr>
      <t>Grease
Blockage</t>
    </r>
  </si>
  <si>
    <t>17:31</t>
  </si>
  <si>
    <r>
      <rPr>
        <rFont val="Arial"/>
        <color rgb="FF000000"/>
        <sz val="10.0"/>
      </rPr>
      <t>Cleaned and Disinfected;Cleared Main
Line</t>
    </r>
  </si>
  <si>
    <t>6014 WINSOME LN</t>
  </si>
  <si>
    <t>8525 DOSIA ST</t>
  </si>
  <si>
    <t>5500 EL CAMINO DEL REY ST</t>
  </si>
  <si>
    <t>12:17</t>
  </si>
  <si>
    <t>1212 WESTHEIMER RD</t>
  </si>
  <si>
    <t>2418 MOREHOUSE LN</t>
  </si>
  <si>
    <t>10119 RAYMONDVILLE RD</t>
  </si>
  <si>
    <t>4929 HANLEY LN</t>
  </si>
  <si>
    <t>Bayou/surface
water/drainage ditch</t>
  </si>
  <si>
    <t>1003 WAKEFIELD DR</t>
  </si>
  <si>
    <t>5406 LONGMONT DR</t>
  </si>
  <si>
    <t>16419 LAZY RIDGE RD</t>
  </si>
  <si>
    <t>12803 LONGVINE CT</t>
  </si>
  <si>
    <r>
      <rPr>
        <rFont val="Arial"/>
        <color rgb="FF000000"/>
        <sz val="10.0"/>
      </rPr>
      <t>Cleared Main Line;Cleaned and
Disinfected</t>
    </r>
  </si>
  <si>
    <t>3019 CAMPBELL ST</t>
  </si>
  <si>
    <t>6120 BELLAIRE BLVD</t>
  </si>
  <si>
    <t>6700 S DAIRY ASHFORD ST</t>
  </si>
  <si>
    <t>5408 FEAGAN ST</t>
  </si>
  <si>
    <r>
      <rPr>
        <rFont val="Arial"/>
        <color rgb="FF000000"/>
        <sz val="10.0"/>
      </rPr>
      <t>Cleared Main Line;Cleaned and
Disinfected</t>
    </r>
  </si>
  <si>
    <t>9930 LONG POINT RD</t>
  </si>
  <si>
    <t>6139 LYNBROOK DR</t>
  </si>
  <si>
    <t>18:42</t>
  </si>
  <si>
    <t>273 SPREADING OAK DR</t>
  </si>
  <si>
    <t>7913 LONGRIDGE DR</t>
  </si>
  <si>
    <t>6618 REAMER ST</t>
  </si>
  <si>
    <t>16:42</t>
  </si>
  <si>
    <t>5262 CASTLECREEK LN</t>
  </si>
  <si>
    <t>700 DUNLAVY ST</t>
  </si>
  <si>
    <t>6911 CORPUS CHRISTI ST</t>
  </si>
  <si>
    <t>7185 SANTA FE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</si>
  <si>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</si>
  <si>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Service Lateral;Cleaned and
Disinfected</t>
    </r>
  </si>
  <si>
    <t>1502 BROADWAY ST</t>
  </si>
  <si>
    <t>823 E 42ND ST</t>
  </si>
  <si>
    <t>5000 LAVENDER ST</t>
  </si>
  <si>
    <t>12215 DORWAYNE CT</t>
  </si>
  <si>
    <t>9:17</t>
  </si>
  <si>
    <t>253 OWENS ST</t>
  </si>
  <si>
    <t>4801 CANAL ST</t>
  </si>
  <si>
    <t>11221 BISSONNET ST</t>
  </si>
  <si>
    <t>16:03</t>
  </si>
  <si>
    <t>5710 GLENARM ST</t>
  </si>
  <si>
    <t>8:26</t>
  </si>
  <si>
    <t>8505 BOB WHITE DR</t>
  </si>
  <si>
    <t>2910 RUTH ST</t>
  </si>
  <si>
    <t>11919 AGGIE LN</t>
  </si>
  <si>
    <t>8006 DUNLAP ST</t>
  </si>
  <si>
    <t>2424 SAKOWITZ ST</t>
  </si>
  <si>
    <t>2604 WAUGH DR</t>
  </si>
  <si>
    <t>5339 RIPPLEBROOK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</si>
  <si>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</si>
  <si>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</si>
  <si>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15531 OLD STONE TRL</t>
  </si>
  <si>
    <t>6909 AVENUE E</t>
  </si>
  <si>
    <t>8318 BLUE QUAIL DR</t>
  </si>
  <si>
    <t>13:39</t>
  </si>
  <si>
    <t>10102 FONVILLE DR</t>
  </si>
  <si>
    <t>21:52</t>
  </si>
  <si>
    <t>6116 HAMMAN ST</t>
  </si>
  <si>
    <t>9:52</t>
  </si>
  <si>
    <t>241 OWENS ST</t>
  </si>
  <si>
    <t>4503 S KIRKWOOD RD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</si>
  <si>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</si>
  <si>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</si>
  <si>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7525 SHERMAN ST</t>
  </si>
  <si>
    <t>14:07</t>
  </si>
  <si>
    <t>6:22</t>
  </si>
  <si>
    <t>1300 B ANITA ST</t>
  </si>
  <si>
    <t>2500 TANGLEWILDE ST</t>
  </si>
  <si>
    <r>
      <rPr>
        <rFont val="Arial"/>
        <color rgb="FF000000"/>
        <sz val="10.0"/>
      </rPr>
      <t>Grease
Blockage</t>
    </r>
  </si>
  <si>
    <t>22:15</t>
  </si>
  <si>
    <r>
      <rPr>
        <rFont val="Arial"/>
        <color rgb="FF000000"/>
        <sz val="10.0"/>
      </rPr>
      <t>Cleared Main Line;Cleaned and
Disinfected</t>
    </r>
  </si>
  <si>
    <t>8008 DUNLAP ST</t>
  </si>
  <si>
    <t>3800 AUDLEY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</si>
  <si>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</si>
  <si>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</si>
  <si>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3224 BRACKENRIDGE ST</t>
  </si>
  <si>
    <t>5003 LYONS AVE</t>
  </si>
  <si>
    <t>16:34</t>
  </si>
  <si>
    <t>8210 PARK PLACE BLVD</t>
  </si>
  <si>
    <r>
      <rPr>
        <rFont val="Arial"/>
        <color rgb="FF000000"/>
        <sz val="10.0"/>
      </rPr>
      <t>Collection
system structural failure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</si>
  <si>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</si>
  <si>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</si>
  <si>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2900 HOLMAN ST</t>
  </si>
  <si>
    <r>
      <rPr>
        <rFont val="Arial"/>
        <color rgb="FF000000"/>
        <sz val="10.0"/>
      </rPr>
      <t>Cleared Service Lateral;Cleaned and
Disinfected</t>
    </r>
  </si>
  <si>
    <t>13443 WOODRING DR</t>
  </si>
  <si>
    <t>4044 W FUQUA ST</t>
  </si>
  <si>
    <t>3838 WESTHEIMER RD</t>
  </si>
  <si>
    <t>4402 LILLIAN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</si>
  <si>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</si>
  <si>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</si>
  <si>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2828 COLLINGSWORTH ST</t>
  </si>
  <si>
    <r>
      <rPr>
        <rFont val="Arial"/>
        <color rgb="FF000000"/>
        <sz val="10.0"/>
      </rPr>
      <t>Private
Sample Well</t>
    </r>
  </si>
  <si>
    <r>
      <rPr>
        <rFont val="Arial"/>
        <color rgb="FF000000"/>
        <sz val="10.0"/>
      </rPr>
      <t>Grease
Blockage</t>
    </r>
  </si>
  <si>
    <t>11:16</t>
  </si>
  <si>
    <r>
      <rPr>
        <rFont val="Arial"/>
        <color rgb="FF000000"/>
        <sz val="10.0"/>
      </rPr>
      <t>Cleared Main Line;Cleaned and
Disinfected;Set Bypass Pump</t>
    </r>
  </si>
  <si>
    <t>11345 BEECHNUT ST</t>
  </si>
  <si>
    <r>
      <rPr>
        <rFont val="Arial"/>
        <color rgb="FF000000"/>
        <sz val="10.0"/>
      </rPr>
      <t>Collection
system structural failure</t>
    </r>
  </si>
  <si>
    <t>7235 FAUNA ST</t>
  </si>
  <si>
    <t>10143 VALLEY WIND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</si>
  <si>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</si>
  <si>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</si>
  <si>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</si>
  <si>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Service Lateral;Cleaned and
Disinfected</t>
    </r>
  </si>
  <si>
    <t>825 DAVIDSON ST</t>
  </si>
  <si>
    <t>7814 CRESTVIEW DR</t>
  </si>
  <si>
    <r>
      <rPr>
        <rFont val="Arial"/>
        <color rgb="FF000000"/>
        <sz val="10.0"/>
      </rPr>
      <t>Collection
system structural blockage</t>
    </r>
  </si>
  <si>
    <r>
      <rPr>
        <rFont val="Arial"/>
        <color rgb="FF000000"/>
        <sz val="10.0"/>
      </rPr>
      <t>Collection
system temporary blockage</t>
    </r>
  </si>
  <si>
    <t>9201 MELDRUM LN</t>
  </si>
  <si>
    <t>1615 GANO ST</t>
  </si>
  <si>
    <r>
      <rPr>
        <rFont val="Arial"/>
        <color rgb="FF000000"/>
        <sz val="10.0"/>
      </rPr>
      <t>Collection
system structural blockage</t>
    </r>
  </si>
  <si>
    <t>4118 MAJESTIC ST</t>
  </si>
  <si>
    <r>
      <rPr>
        <rFont val="Arial"/>
        <color rgb="FF000000"/>
        <sz val="10.0"/>
      </rPr>
      <t>Collection
system structural failure</t>
    </r>
  </si>
  <si>
    <t>6801 WARD ST</t>
  </si>
  <si>
    <t>7:55</t>
  </si>
  <si>
    <r>
      <rPr>
        <rFont val="Arial"/>
        <color rgb="FF000000"/>
        <sz val="10.0"/>
      </rPr>
      <t>Cleared City Clean Out;Cleaned and
Disinfected</t>
    </r>
  </si>
  <si>
    <t>9499 SCOTT ST</t>
  </si>
  <si>
    <r>
      <rPr>
        <rFont val="Arial"/>
        <color rgb="FF000000"/>
        <sz val="10.0"/>
      </rPr>
      <t>Grease
Blockage</t>
    </r>
  </si>
  <si>
    <t>8:20</t>
  </si>
  <si>
    <r>
      <rPr>
        <rFont val="Arial"/>
        <color rgb="FF000000"/>
        <sz val="10.0"/>
      </rPr>
      <t>Cleared Main Line;Cleaned and
Disinfected</t>
    </r>
  </si>
  <si>
    <t>12811 PANAY DR</t>
  </si>
  <si>
    <r>
      <rPr>
        <rFont val="Arial"/>
        <color rgb="FF000000"/>
        <sz val="10.0"/>
      </rPr>
      <t>Collection
system structural failure</t>
    </r>
  </si>
  <si>
    <t>9700 COURT GLEN DR</t>
  </si>
  <si>
    <t>10904 FUQUA ST</t>
  </si>
  <si>
    <r>
      <rPr>
        <rFont val="Arial"/>
        <color rgb="FF000000"/>
        <sz val="10.0"/>
      </rPr>
      <t>Grease
Blockage</t>
    </r>
  </si>
  <si>
    <t>14:03</t>
  </si>
  <si>
    <r>
      <rPr>
        <rFont val="Arial"/>
        <color rgb="FF000000"/>
        <sz val="10.0"/>
      </rPr>
      <t>Cleared Main Line;Cleaned and
Disinfected</t>
    </r>
  </si>
  <si>
    <t>10125 EMNORA LN</t>
  </si>
  <si>
    <t>15:47</t>
  </si>
  <si>
    <t>218 MEDINA ST</t>
  </si>
  <si>
    <t>Cleaned and Disinfected;Set Bypass Pump;Cleared Main Line</t>
  </si>
  <si>
    <t>7007 CRESTMONT ST</t>
  </si>
  <si>
    <t>811 W COTTAGE ST</t>
  </si>
  <si>
    <t>12:49</t>
  </si>
  <si>
    <t>7318 TEXAS ST</t>
  </si>
  <si>
    <t>221 E LITTLE YORK RD</t>
  </si>
  <si>
    <t>308 MEDINA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</si>
  <si>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</si>
  <si>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Set Bypass Pump;Cleaned and
Disinfected;Cleared Main Line</t>
    </r>
  </si>
  <si>
    <t>1541 LAWSON ST</t>
  </si>
  <si>
    <t>8511 WIER DR</t>
  </si>
  <si>
    <t>7714 AVENUE L</t>
  </si>
  <si>
    <t>11915 WILKIE LN</t>
  </si>
  <si>
    <r>
      <rPr>
        <rFont val="Arial"/>
        <color rgb="FF000000"/>
        <sz val="10.0"/>
      </rPr>
      <t>Collection
system structural blockage</t>
    </r>
  </si>
  <si>
    <t>4111 LILLIAN ST</t>
  </si>
  <si>
    <t>6315 WESTOVER ST</t>
  </si>
  <si>
    <t>17:07</t>
  </si>
  <si>
    <t>8000 CREEKBEND DR</t>
  </si>
  <si>
    <r>
      <rPr>
        <rFont val="Arial"/>
        <color rgb="FF000000"/>
        <sz val="10.0"/>
      </rPr>
      <t>Collection
system temporary blockage</t>
    </r>
  </si>
  <si>
    <t>6915 S GESSNER DR</t>
  </si>
  <si>
    <t>7707 HARDING ST</t>
  </si>
  <si>
    <t>10:16</t>
  </si>
  <si>
    <t>16419 MONTE CARLO LN</t>
  </si>
  <si>
    <t>1020 DEWALT ST</t>
  </si>
  <si>
    <t>10150 WESTVIEW DR</t>
  </si>
  <si>
    <t>825 ELLENA RD</t>
  </si>
  <si>
    <t>16:23</t>
  </si>
  <si>
    <t>11212 WESTPARK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</si>
  <si>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</si>
  <si>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</si>
  <si>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2120 WALKER ST</t>
  </si>
  <si>
    <t>6202 WASHINGTON AVE</t>
  </si>
  <si>
    <t>4022 MERRICK ST</t>
  </si>
  <si>
    <t>3701 BOLIN RD</t>
  </si>
  <si>
    <t>12207 PREAKNESS WAY</t>
  </si>
  <si>
    <t>8447 MISTY VALE LN</t>
  </si>
  <si>
    <t>6939 AVENUE N</t>
  </si>
  <si>
    <t>5601 IRVINGTON BLVD</t>
  </si>
  <si>
    <t>6701 LONGVIEW ST</t>
  </si>
  <si>
    <t>4805 PALISADE DR</t>
  </si>
  <si>
    <t>2700 DAIRY ASHFORD ST</t>
  </si>
  <si>
    <r>
      <rPr>
        <rFont val="Arial"/>
        <color rgb="FF000000"/>
        <sz val="10.0"/>
      </rPr>
      <t>Grease
Blockage</t>
    </r>
  </si>
  <si>
    <t>18:08</t>
  </si>
  <si>
    <r>
      <rPr>
        <rFont val="Arial"/>
        <color rgb="FF000000"/>
        <sz val="10.0"/>
      </rPr>
      <t>Cleared Main Line;Cleaned and
Disinfected</t>
    </r>
  </si>
  <si>
    <r>
      <rPr>
        <rFont val="Arial"/>
        <color rgb="FF000000"/>
        <sz val="10.0"/>
      </rPr>
      <t>Collection
system ‐ wet weather</t>
    </r>
  </si>
  <si>
    <r>
      <rPr>
        <rFont val="Arial"/>
        <color rgb="FF000000"/>
        <sz val="10.0"/>
      </rPr>
      <t>Collection
system ‐ wet weather</t>
    </r>
  </si>
  <si>
    <r>
      <rPr>
        <rFont val="Arial"/>
        <color rgb="FF000000"/>
        <sz val="10.0"/>
      </rPr>
      <t>Collection
system ‐ wet weather</t>
    </r>
  </si>
  <si>
    <t>13026 MARKET ST</t>
  </si>
  <si>
    <t>14:51</t>
  </si>
  <si>
    <r>
      <rPr>
        <rFont val="Arial"/>
        <color rgb="FF000000"/>
        <sz val="10.0"/>
      </rPr>
      <t>Cleared City Clean Out;Cleaned and
Disinfected</t>
    </r>
  </si>
  <si>
    <t>8405 SOUTHVIEW ST</t>
  </si>
  <si>
    <r>
      <rPr>
        <rFont val="Arial"/>
        <color rgb="FF000000"/>
        <sz val="10.0"/>
      </rPr>
      <t>Cleared Service Lateral;Cleaned and
Disinfected</t>
    </r>
  </si>
  <si>
    <t>7400 BRETON RIDGE ST</t>
  </si>
  <si>
    <r>
      <rPr>
        <rFont val="Arial"/>
        <color rgb="FF000000"/>
        <sz val="10.0"/>
      </rPr>
      <t>Collection
system structural failure</t>
    </r>
  </si>
  <si>
    <t>16:50</t>
  </si>
  <si>
    <t>9425 SCOTT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</si>
  <si>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</si>
  <si>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</si>
  <si>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3615 OLD SPANISH TRL</t>
  </si>
  <si>
    <r>
      <rPr>
        <rFont val="Arial"/>
        <color rgb="FF000000"/>
        <sz val="10.0"/>
      </rPr>
      <t>Grease
Blockage</t>
    </r>
  </si>
  <si>
    <t>22:35</t>
  </si>
  <si>
    <r>
      <rPr>
        <rFont val="Arial"/>
        <color rgb="FF000000"/>
        <sz val="10.0"/>
      </rPr>
      <t>Cleared Main Line;Cleaned and
Disinfected</t>
    </r>
  </si>
  <si>
    <t>1922 BANKS ST</t>
  </si>
  <si>
    <t>Drainage Ditch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</si>
  <si>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</si>
  <si>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Service Lateral;Cleaned and
Disinfected</t>
    </r>
  </si>
  <si>
    <t>10330 SCOTT ST</t>
  </si>
  <si>
    <r>
      <rPr>
        <rFont val="Arial"/>
        <color rgb="FF000000"/>
        <sz val="10.0"/>
      </rPr>
      <t>Grease
Blockage</t>
    </r>
  </si>
  <si>
    <t>17:05</t>
  </si>
  <si>
    <r>
      <rPr>
        <rFont val="Arial"/>
        <color rgb="FF000000"/>
        <sz val="10.0"/>
      </rPr>
      <t>Cleared Main Line;Cleaned and
Disinfected</t>
    </r>
  </si>
  <si>
    <t>8002 RIPTIDE DR</t>
  </si>
  <si>
    <t>18:21</t>
  </si>
  <si>
    <t>13602 SUNROSE LN</t>
  </si>
  <si>
    <t>8209 MUNN ST</t>
  </si>
  <si>
    <t>4707 CALLERY CREEK DR</t>
  </si>
  <si>
    <t>23:18</t>
  </si>
  <si>
    <t>3:35</t>
  </si>
  <si>
    <t>12342 ORMANDY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</si>
  <si>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</si>
  <si>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</si>
  <si>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12901 BARCUS LN</t>
  </si>
  <si>
    <r>
      <rPr>
        <rFont val="Arial"/>
        <color rgb="FF000000"/>
        <sz val="10.0"/>
      </rPr>
      <t>Collection
system temporary blockage</t>
    </r>
  </si>
  <si>
    <t>214 CLINTON PARK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</si>
  <si>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</si>
  <si>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</si>
  <si>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10507 SWAN GLEN DR</t>
  </si>
  <si>
    <t>4102 CORNELL ST</t>
  </si>
  <si>
    <r>
      <rPr>
        <rFont val="Arial"/>
        <color rgb="FF000000"/>
        <sz val="10.0"/>
      </rPr>
      <t>Cleared Service Lateral;Cleaned and
Disinfected</t>
    </r>
  </si>
  <si>
    <t>11518 LEADER ST</t>
  </si>
  <si>
    <t>4002 ACORN LN</t>
  </si>
  <si>
    <t>77365</t>
  </si>
  <si>
    <t>Contained On Site</t>
  </si>
  <si>
    <r>
      <rPr>
        <rFont val="Arial"/>
        <color rgb="FF000000"/>
        <sz val="10.0"/>
      </rPr>
      <t>Private
Cleanout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</si>
  <si>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</si>
  <si>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</si>
  <si>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5231 PANAY PARK DR</t>
  </si>
  <si>
    <t>8:15</t>
  </si>
  <si>
    <t>4210 CAPITOL ST</t>
  </si>
  <si>
    <t>8:22</t>
  </si>
  <si>
    <t>18:39</t>
  </si>
  <si>
    <t>7926 RIPTIDE DR</t>
  </si>
  <si>
    <t>8206 QUAIL HILLS DR</t>
  </si>
  <si>
    <t>18:12</t>
  </si>
  <si>
    <t>11207 CROWN PARK DR</t>
  </si>
  <si>
    <t>77067</t>
  </si>
  <si>
    <t>2309 CENTER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</si>
  <si>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</si>
  <si>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</si>
  <si>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10155 VALLEY CLUB DR</t>
  </si>
  <si>
    <t>2000 EDWARDS ST</t>
  </si>
  <si>
    <t>9:26</t>
  </si>
  <si>
    <t>4117 GLENBROOK CT</t>
  </si>
  <si>
    <t>2727 BRIARHURST DR</t>
  </si>
  <si>
    <t>8807 SUNNY FIELD DR</t>
  </si>
  <si>
    <t>16214 ROSENRIDGE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</si>
  <si>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</si>
  <si>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</si>
  <si>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6411 SIDNEY ST</t>
  </si>
  <si>
    <t>6114 BELMARK ST</t>
  </si>
  <si>
    <t>4306 DALLAS ST</t>
  </si>
  <si>
    <t>3701 OCEE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</si>
  <si>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</si>
  <si>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</si>
  <si>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12486 NORTHWEST FWY</t>
  </si>
  <si>
    <r>
      <rPr>
        <rFont val="Arial"/>
        <color rgb="FF000000"/>
        <sz val="10.0"/>
      </rPr>
      <t>Cleared City Clean Out;Cleaned and
Disinfected</t>
    </r>
  </si>
  <si>
    <t>3814 NAN ST</t>
  </si>
  <si>
    <t>9939 ROWLETT RD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</si>
  <si>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</si>
  <si>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</si>
  <si>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7424 BYWOOD ST</t>
  </si>
  <si>
    <t>8000 COOK RD</t>
  </si>
  <si>
    <t>790 BATESWOOD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</si>
  <si>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</si>
  <si>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</si>
  <si>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261 TREASURE DR</t>
  </si>
  <si>
    <r>
      <rPr>
        <rFont val="Arial"/>
        <color rgb="FF000000"/>
        <sz val="10.0"/>
      </rPr>
      <t>Cleaned and Disinfected;Cleared Main
Line</t>
    </r>
  </si>
  <si>
    <t>4002 CHARTRES ST</t>
  </si>
  <si>
    <r>
      <rPr>
        <rFont val="Arial"/>
        <color rgb="FF000000"/>
        <sz val="10.0"/>
      </rPr>
      <t>Collection
system temporary blockage</t>
    </r>
  </si>
  <si>
    <t>19:55</t>
  </si>
  <si>
    <t>12106 BRAEWICK DR</t>
  </si>
  <si>
    <t>18:52</t>
  </si>
  <si>
    <t>4207 BILLINGSLEY ST</t>
  </si>
  <si>
    <r>
      <rPr>
        <rFont val="Arial"/>
        <color rgb="FF000000"/>
        <sz val="10.0"/>
      </rPr>
      <t>Private
Cleanout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</si>
  <si>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</si>
  <si>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</si>
  <si>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19301 HIGHTOWER LN</t>
  </si>
  <si>
    <t>77338</t>
  </si>
  <si>
    <t>7225 HIRSCH RD</t>
  </si>
  <si>
    <t>4046 LELIA ST</t>
  </si>
  <si>
    <r>
      <rPr>
        <rFont val="Arial"/>
        <color rgb="FF000000"/>
        <sz val="10.0"/>
      </rPr>
      <t>Collection
system structural blockage</t>
    </r>
  </si>
  <si>
    <t>3425 EASTEX FWY</t>
  </si>
  <si>
    <r>
      <rPr>
        <rFont val="Arial"/>
        <color rgb="FF000000"/>
        <sz val="10.0"/>
      </rPr>
      <t>Private
Sample Well</t>
    </r>
  </si>
  <si>
    <r>
      <rPr>
        <rFont val="Arial"/>
        <color rgb="FF000000"/>
        <sz val="10.0"/>
      </rPr>
      <t>Cleaned and Disinfected;Cleared Main
Line</t>
    </r>
  </si>
  <si>
    <t>7429 LONG POINT RD</t>
  </si>
  <si>
    <r>
      <rPr>
        <rFont val="Arial"/>
        <color rgb="FF000000"/>
        <sz val="10.0"/>
      </rPr>
      <t>Collection
system temporary blockage</t>
    </r>
  </si>
  <si>
    <t>6323 CRESTVILLE ST</t>
  </si>
  <si>
    <t>21:10</t>
  </si>
  <si>
    <t>3709 TOPPING ST</t>
  </si>
  <si>
    <t>9:08</t>
  </si>
  <si>
    <t>5814 BRETSHIRE DR</t>
  </si>
  <si>
    <r>
      <rPr>
        <rFont val="Arial"/>
        <color rgb="FF000000"/>
        <sz val="10.0"/>
      </rPr>
      <t>Grease
Blockage</t>
    </r>
  </si>
  <si>
    <t>10:01</t>
  </si>
  <si>
    <r>
      <rPr>
        <rFont val="Arial"/>
        <color rgb="FF000000"/>
        <sz val="10.0"/>
      </rPr>
      <t>Cleared Main Line;Cleaned and
Disinfected</t>
    </r>
  </si>
  <si>
    <t>1266 DOVE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</si>
  <si>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</si>
  <si>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</si>
  <si>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2305 DES CHAUMES ST</t>
  </si>
  <si>
    <t>5123 FAIRGREEN LN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</si>
  <si>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</si>
  <si>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</si>
  <si>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9214 SHREVEPORT BLVD</t>
  </si>
  <si>
    <r>
      <rPr>
        <rFont val="Arial"/>
        <color rgb="FF000000"/>
        <sz val="10.0"/>
      </rPr>
      <t>Grease
Blockage</t>
    </r>
  </si>
  <si>
    <t>16:58</t>
  </si>
  <si>
    <r>
      <rPr>
        <rFont val="Arial"/>
        <color rgb="FF000000"/>
        <sz val="10.0"/>
      </rPr>
      <t>Cleared Service Lateral;Cleaned and
Disinfected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</si>
  <si>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</si>
  <si>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</si>
  <si>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Contained On Site, not within 5 ft. of Bayou/Surface Water/Drainage
Ditch</t>
  </si>
  <si>
    <t>14101 BRIAR FOREST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</si>
  <si>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</si>
  <si>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</si>
  <si>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5338 FAIRGREEN LN</t>
  </si>
  <si>
    <t>16502 QUAIL DALE DR</t>
  </si>
  <si>
    <t>6748 PEERLESS ST</t>
  </si>
  <si>
    <r>
      <rPr>
        <rFont val="Arial"/>
        <color rgb="FF000000"/>
        <sz val="10.0"/>
      </rPr>
      <t>Cleaned and Disinfected;Cleared Service
Lateral</t>
    </r>
  </si>
  <si>
    <t>1410 LAIRD ST</t>
  </si>
  <si>
    <r>
      <rPr>
        <rFont val="Arial"/>
        <color rgb="FF000000"/>
        <sz val="10.0"/>
      </rPr>
      <t>Collection
system structural
failure</t>
    </r>
  </si>
  <si>
    <t>9224 PECOS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</si>
  <si>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</si>
  <si>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</si>
  <si>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14311 BENITA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</si>
  <si>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</si>
  <si>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</si>
  <si>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7038 BENT BRANCH DR</t>
  </si>
  <si>
    <t>611 E ROGERS ST</t>
  </si>
  <si>
    <t>10:43</t>
  </si>
  <si>
    <t>2901 ELMSIDE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</si>
  <si>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</si>
  <si>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</si>
  <si>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3528 RUSSELL ST</t>
  </si>
  <si>
    <r>
      <rPr>
        <rFont val="Arial"/>
        <color rgb="FF000000"/>
        <sz val="10.0"/>
      </rPr>
      <t>Private
Cleanout</t>
    </r>
  </si>
  <si>
    <r>
      <rPr>
        <rFont val="Arial"/>
        <color rgb="FF000000"/>
        <sz val="10.0"/>
      </rPr>
      <t>Grease
Blockage</t>
    </r>
  </si>
  <si>
    <t>13:38</t>
  </si>
  <si>
    <r>
      <rPr>
        <rFont val="Arial"/>
        <color rgb="FF000000"/>
        <sz val="10.0"/>
      </rPr>
      <t>Cleaned and Disinfected;Cleared Main
Line</t>
    </r>
  </si>
  <si>
    <t>4034 CURLY OAKS DR</t>
  </si>
  <si>
    <t>9119 BARTON ST</t>
  </si>
  <si>
    <t>Bayou/surface
water/drainage
ditch</t>
  </si>
  <si>
    <t>5629 GRAPEVINE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</si>
  <si>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</si>
  <si>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Service
Lateral</t>
    </r>
  </si>
  <si>
    <t>5245 TED ST</t>
  </si>
  <si>
    <r>
      <rPr>
        <rFont val="Arial"/>
        <color rgb="FF000000"/>
        <sz val="10.0"/>
      </rPr>
      <t>Collection system structural
failure</t>
    </r>
  </si>
  <si>
    <r>
      <rPr>
        <rFont val="Arial"/>
        <color rgb="FF000000"/>
        <sz val="10.0"/>
      </rPr>
      <t>Collection
system structural
failure</t>
    </r>
  </si>
  <si>
    <t>18:49</t>
  </si>
  <si>
    <t>5430 WINDING WAY DR</t>
  </si>
  <si>
    <t>37 E RIVERCREST DR</t>
  </si>
  <si>
    <t>3920 ERIE ST</t>
  </si>
  <si>
    <t>309 ROBMORE ST</t>
  </si>
  <si>
    <r>
      <rPr>
        <rFont val="Arial"/>
        <color rgb="FF000000"/>
        <sz val="10.0"/>
      </rPr>
      <t>Cleared Main Line;Cleaned and
Disinfected</t>
    </r>
  </si>
  <si>
    <r>
      <rPr>
        <rFont val="Arial"/>
        <color rgb="FF000000"/>
        <sz val="10.0"/>
      </rPr>
      <t>Collection system structural
blockage</t>
    </r>
  </si>
  <si>
    <t>7933 DARLINGTON DR</t>
  </si>
  <si>
    <r>
      <rPr>
        <rFont val="Arial"/>
        <color rgb="FF000000"/>
        <sz val="10.0"/>
      </rPr>
      <t>Collection system structural
blockage</t>
    </r>
  </si>
  <si>
    <t>1834 HUGE OAKS ST</t>
  </si>
  <si>
    <r>
      <rPr>
        <rFont val="Arial"/>
        <color rgb="FF000000"/>
        <sz val="10.0"/>
      </rPr>
      <t>Collection system structural
failure</t>
    </r>
  </si>
  <si>
    <t>4903 AIRLINE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</si>
  <si>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</si>
  <si>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Disinfected;Set Bypass
Pump</t>
    </r>
  </si>
  <si>
    <t>8517 SHADY DR</t>
  </si>
  <si>
    <t>3402 TAMPA ST</t>
  </si>
  <si>
    <r>
      <rPr>
        <rFont val="Arial"/>
        <color rgb="FF000000"/>
        <sz val="10.0"/>
      </rPr>
      <t>Collection
system structural failure</t>
    </r>
  </si>
  <si>
    <t>Cleaned and Disinfected;Returned Spill to Sanitary System;Set Bypass Pump</t>
  </si>
  <si>
    <t>6321 BROOK LEA ST</t>
  </si>
  <si>
    <t>1423 PEACH SPRING DR</t>
  </si>
  <si>
    <t>16:09</t>
  </si>
  <si>
    <t>7800 LYONS AVE</t>
  </si>
  <si>
    <t>4126 S ACRES DR</t>
  </si>
  <si>
    <t>19:51</t>
  </si>
  <si>
    <t>614 CRESLINE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</si>
  <si>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</si>
  <si>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</si>
  <si>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9716 EDGEWORTH ST</t>
  </si>
  <si>
    <t>4001 HAMILTON ST</t>
  </si>
  <si>
    <t>8710 WILCREST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</si>
  <si>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</si>
  <si>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</si>
  <si>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214 NAGLE ST</t>
  </si>
  <si>
    <t>10950 GULF FWY</t>
  </si>
  <si>
    <r>
      <rPr>
        <rFont val="Arial"/>
        <color rgb="FF000000"/>
        <sz val="10.0"/>
      </rPr>
      <t>Cleared Main Line;Cleaned and
Disinfected</t>
    </r>
  </si>
  <si>
    <t>1415 GREENS PKWY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</si>
  <si>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</si>
  <si>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</si>
  <si>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2907 DELANO ST</t>
  </si>
  <si>
    <t>7637 HARWIN DR</t>
  </si>
  <si>
    <t>14:18</t>
  </si>
  <si>
    <t>18:48</t>
  </si>
  <si>
    <t>5019 BRISBANE DR</t>
  </si>
  <si>
    <t>8902 N DEER MEADOW DR</t>
  </si>
  <si>
    <t>12:32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</si>
  <si>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</si>
  <si>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</si>
  <si>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1111 W LOOP FWY</t>
  </si>
  <si>
    <t>3309 BEULAH ST</t>
  </si>
  <si>
    <t>13825 STANCLIFF ST</t>
  </si>
  <si>
    <r>
      <rPr>
        <rFont val="Arial"/>
        <color rgb="FF000000"/>
        <sz val="10.0"/>
      </rPr>
      <t>Grease
Blockage</t>
    </r>
  </si>
  <si>
    <t>14:17</t>
  </si>
  <si>
    <r>
      <rPr>
        <rFont val="Arial"/>
        <color rgb="FF000000"/>
        <sz val="10.0"/>
      </rPr>
      <t>Cleaned and Disinfected;Cleared Main
Line</t>
    </r>
  </si>
  <si>
    <t>4139 TROUT ST</t>
  </si>
  <si>
    <r>
      <rPr>
        <rFont val="Arial"/>
        <color rgb="FF000000"/>
        <sz val="10.0"/>
      </rPr>
      <t>Collection
system structural
failure</t>
    </r>
  </si>
  <si>
    <t>4530 KINGSBURY ST</t>
  </si>
  <si>
    <t>11203 PEMBRIDGE DR</t>
  </si>
  <si>
    <t>7114 DIXIE DR</t>
  </si>
  <si>
    <t>9235 WESTHEIMER RD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</si>
  <si>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</si>
  <si>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</si>
  <si>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4114 CAPLIN ST</t>
  </si>
  <si>
    <t>8225 HOUSTON RD</t>
  </si>
  <si>
    <t>2313 FOUNTAIN VIEW DR</t>
  </si>
  <si>
    <t>2933 KIRK ST</t>
  </si>
  <si>
    <r>
      <rPr>
        <rFont val="Arial"/>
        <color rgb="FF000000"/>
        <sz val="10.0"/>
      </rPr>
      <t>Collection system temporary
blockage</t>
    </r>
  </si>
  <si>
    <t>8903 FONDREN VILLAGE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</si>
  <si>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</si>
  <si>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</si>
  <si>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9003 ALTAMONT DR</t>
  </si>
  <si>
    <t>3915 LAMAR ST</t>
  </si>
  <si>
    <r>
      <rPr>
        <rFont val="Arial"/>
        <color rgb="FF000000"/>
        <sz val="10.0"/>
      </rPr>
      <t>Collection system structural
failure</t>
    </r>
  </si>
  <si>
    <t>4108 DENMARK ST</t>
  </si>
  <si>
    <r>
      <rPr>
        <rFont val="Arial"/>
        <color rgb="FF000000"/>
        <sz val="10.0"/>
      </rPr>
      <t>Collection
system structural
blockage</t>
    </r>
  </si>
  <si>
    <t>402 HIGHRIDGE ST</t>
  </si>
  <si>
    <t>19:39</t>
  </si>
  <si>
    <t>8607 QUAIL HILLS DR</t>
  </si>
  <si>
    <t>3803 JULIUS LN</t>
  </si>
  <si>
    <t>8:10</t>
  </si>
  <si>
    <r>
      <rPr>
        <rFont val="Arial"/>
        <color rgb="FF000000"/>
        <sz val="10.0"/>
      </rPr>
      <t>Cleaned and Disinfected;Cleared Main
Line</t>
    </r>
  </si>
  <si>
    <t>12706 COULSON ST</t>
  </si>
  <si>
    <t>7907 ENDOR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</si>
  <si>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</si>
  <si>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</si>
  <si>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5927 SOUTHVILLE ST</t>
  </si>
  <si>
    <t>7626 GOUDIN DR</t>
  </si>
  <si>
    <r>
      <rPr>
        <rFont val="Arial"/>
        <color rgb="FF000000"/>
        <sz val="10.0"/>
      </rPr>
      <t>Grease
Blockage</t>
    </r>
  </si>
  <si>
    <t>17:56</t>
  </si>
  <si>
    <r>
      <rPr>
        <rFont val="Arial"/>
        <color rgb="FF000000"/>
        <sz val="10.0"/>
      </rPr>
      <t>Cleared Main Line;Cleaned and
Disinfected</t>
    </r>
  </si>
  <si>
    <t>2056 ANTOINE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</si>
  <si>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</si>
  <si>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</si>
  <si>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1010 SOUTH LN</t>
  </si>
  <si>
    <r>
      <rPr>
        <rFont val="Arial"/>
        <color rgb="FF000000"/>
        <sz val="10.0"/>
      </rPr>
      <t>Collection system structural
failure</t>
    </r>
  </si>
  <si>
    <t>14:06</t>
  </si>
  <si>
    <t>9800 EASTEX FWY</t>
  </si>
  <si>
    <t>7964 AMELIA RD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</si>
  <si>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</si>
  <si>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</si>
  <si>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16:01</t>
  </si>
  <si>
    <t>Cleared City Clean Out;Cleaned and Disinfected;Cleared Main Line</t>
  </si>
  <si>
    <r>
      <rPr>
        <rFont val="Arial"/>
        <color rgb="FF000000"/>
        <sz val="10.0"/>
      </rPr>
      <t>Collection
system structural
failure</t>
    </r>
  </si>
  <si>
    <t>12100 STONE WEST DR</t>
  </si>
  <si>
    <t>4713 PARADISE LN</t>
  </si>
  <si>
    <t>4400 18TH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</si>
  <si>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</si>
  <si>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</si>
  <si>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</si>
  <si>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</si>
  <si>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16122 CANARIDGE DR</t>
  </si>
  <si>
    <t>4807 E RIDGE CREEK DR</t>
  </si>
  <si>
    <t>12906 BRANT ROCK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</si>
  <si>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</si>
  <si>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</si>
  <si>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11675 W BELLFORT AVE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</si>
  <si>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</si>
  <si>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</si>
  <si>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3409 HARDIE ST</t>
  </si>
  <si>
    <t>9:38</t>
  </si>
  <si>
    <r>
      <rPr>
        <rFont val="Arial"/>
        <color rgb="FF000000"/>
        <sz val="10.0"/>
      </rPr>
      <t>Cleaned and Disinfected;Cleared City
Clean Out</t>
    </r>
  </si>
  <si>
    <t>12150 BISSONNET ST</t>
  </si>
  <si>
    <t>7111 AVENUE H</t>
  </si>
  <si>
    <r>
      <rPr>
        <rFont val="Arial"/>
        <color rgb="FF000000"/>
        <sz val="10.0"/>
      </rPr>
      <t>Collection
system structural blockage</t>
    </r>
  </si>
  <si>
    <t>5020 BATON ROUGE</t>
  </si>
  <si>
    <t>9726 SAN CARLOS ST</t>
  </si>
  <si>
    <t>7119 THORNWILD RD</t>
  </si>
  <si>
    <t>20:05</t>
  </si>
  <si>
    <t>6023 IRISH HILL DR</t>
  </si>
  <si>
    <t>2840 SHADOWBRIAR DR</t>
  </si>
  <si>
    <r>
      <rPr>
        <rFont val="Arial"/>
        <color rgb="FF000000"/>
        <sz val="10.0"/>
      </rPr>
      <t>Grease
Blockage</t>
    </r>
  </si>
  <si>
    <t>12:38</t>
  </si>
  <si>
    <r>
      <rPr>
        <rFont val="Arial"/>
        <color rgb="FF000000"/>
        <sz val="10.0"/>
      </rPr>
      <t>Cleared Main Line;Cleaned and
Disinfected</t>
    </r>
  </si>
  <si>
    <t>2706 WESTHEIMER RD</t>
  </si>
  <si>
    <r>
      <rPr>
        <rFont val="Arial"/>
        <color rgb="FF000000"/>
        <sz val="10.0"/>
      </rPr>
      <t>Private
Sample Well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</si>
  <si>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</si>
  <si>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</si>
  <si>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7015 OAK BOUGH DR</t>
  </si>
  <si>
    <r>
      <rPr>
        <rFont val="Arial"/>
        <color rgb="FF000000"/>
        <sz val="10.0"/>
      </rPr>
      <t>Collection system structural
failure</t>
    </r>
  </si>
  <si>
    <t>2510 BEATTY ST</t>
  </si>
  <si>
    <t>20:12</t>
  </si>
  <si>
    <t>8025 LENORE ST</t>
  </si>
  <si>
    <t>1406 LAWRENCE ST</t>
  </si>
  <si>
    <r>
      <rPr>
        <rFont val="Arial"/>
        <color rgb="FF000000"/>
        <sz val="10.0"/>
      </rPr>
      <t>Collection system structural
failure</t>
    </r>
  </si>
  <si>
    <t>5531 CHANTILLY LN</t>
  </si>
  <si>
    <r>
      <rPr>
        <rFont val="Arial"/>
        <color rgb="FF000000"/>
        <sz val="10.0"/>
      </rPr>
      <t>Cleared Main Line;Cleaned and
Disinfected</t>
    </r>
  </si>
  <si>
    <t>511 DERBYSHIRE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</si>
  <si>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</si>
  <si>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</si>
  <si>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6410 KASSARINE PASS</t>
  </si>
  <si>
    <t>3412 GRAUSTARK ST</t>
  </si>
  <si>
    <t>6540 TUSKEGEE ST</t>
  </si>
  <si>
    <t>10936 MEADOWGLEN LN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</si>
  <si>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</si>
  <si>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</si>
  <si>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4821 BOICEWOOD ST</t>
  </si>
  <si>
    <r>
      <rPr>
        <rFont val="Arial"/>
        <color rgb="FF000000"/>
        <sz val="10.0"/>
      </rPr>
      <t>Collection system structural
blockage</t>
    </r>
  </si>
  <si>
    <t>13610 SUNROSE LN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</si>
  <si>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</si>
  <si>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</si>
  <si>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122 GESSNER RD</t>
  </si>
  <si>
    <t>1420 KINGWOOD DR</t>
  </si>
  <si>
    <r>
      <rPr>
        <rFont val="Arial"/>
        <color rgb="FF000000"/>
        <sz val="10.0"/>
      </rPr>
      <t>Grease
Blockage</t>
    </r>
  </si>
  <si>
    <t>18:45</t>
  </si>
  <si>
    <r>
      <rPr>
        <rFont val="Arial"/>
        <color rgb="FF000000"/>
        <sz val="10.0"/>
      </rPr>
      <t>Cleaned and Disinfected;Cleared Main
Line</t>
    </r>
  </si>
  <si>
    <t>10166 INWOOD HOLLOW LN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</si>
  <si>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</si>
  <si>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</si>
  <si>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r>
      <rPr>
        <rFont val="Arial"/>
        <color rgb="FF000000"/>
        <sz val="10.0"/>
      </rPr>
      <t>Grease
Blockage</t>
    </r>
  </si>
  <si>
    <t>13:49</t>
  </si>
  <si>
    <r>
      <rPr>
        <rFont val="Arial"/>
        <color rgb="FF000000"/>
        <sz val="10.0"/>
      </rPr>
      <t>Cleared Main Line;Cleaned and
Disinfected</t>
    </r>
  </si>
  <si>
    <t>2200 JEFFERSON ST</t>
  </si>
  <si>
    <t>9571 W AIRPORT BLVD</t>
  </si>
  <si>
    <t>10:09</t>
  </si>
  <si>
    <t>8635 MEADVILLE ST</t>
  </si>
  <si>
    <r>
      <rPr>
        <rFont val="Arial"/>
        <color rgb="FF000000"/>
        <sz val="10.0"/>
      </rPr>
      <t>Private
Cleanout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</si>
  <si>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</si>
  <si>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</si>
  <si>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3206 IOLA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</si>
  <si>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</si>
  <si>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</si>
  <si>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7516 HILLCROFT AVE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</si>
  <si>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</si>
  <si>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Service
Lateral</t>
    </r>
  </si>
  <si>
    <t>1834 GESSNER DR</t>
  </si>
  <si>
    <t>3115 KIRBY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</si>
  <si>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</si>
  <si>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</si>
  <si>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4528 KINGSBURY ST</t>
  </si>
  <si>
    <r>
      <rPr>
        <rFont val="Arial"/>
        <color rgb="FF000000"/>
        <sz val="10.0"/>
      </rPr>
      <t>Collection
system structural blockage</t>
    </r>
  </si>
  <si>
    <t>6227 AUTUMN ARBOR DR</t>
  </si>
  <si>
    <t>8:36</t>
  </si>
  <si>
    <t>1702 CHESTNUT ST</t>
  </si>
  <si>
    <r>
      <rPr>
        <rFont val="Arial"/>
        <color rgb="FF000000"/>
        <sz val="10.0"/>
      </rPr>
      <t>Collection system structural
failure</t>
    </r>
  </si>
  <si>
    <t>13:06</t>
  </si>
  <si>
    <t>2518 DORRINGTON ST</t>
  </si>
  <si>
    <t>3403 SAGE RD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</si>
  <si>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</si>
  <si>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</si>
  <si>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5537 LAWNDALE ST</t>
  </si>
  <si>
    <t>7018 ALDER DR</t>
  </si>
  <si>
    <t>1493 CHEATHAM LN</t>
  </si>
  <si>
    <t>19:56</t>
  </si>
  <si>
    <t>1500 SHERWOOD FOREST ST</t>
  </si>
  <si>
    <r>
      <rPr>
        <rFont val="Arial"/>
        <color rgb="FF000000"/>
        <sz val="10.0"/>
      </rPr>
      <t>Collection
system structural
blockage</t>
    </r>
  </si>
  <si>
    <t>9:23</t>
  </si>
  <si>
    <t>3701 COCHRAN ST</t>
  </si>
  <si>
    <t>11:19</t>
  </si>
  <si>
    <t>1243 S KIRKWOOD RD</t>
  </si>
  <si>
    <t>14:24</t>
  </si>
  <si>
    <t>8470 GOLD CREEK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</si>
  <si>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</si>
  <si>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</si>
  <si>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4817 BOICEWOOD ST</t>
  </si>
  <si>
    <r>
      <rPr>
        <rFont val="Arial"/>
        <color rgb="FF000000"/>
        <sz val="10.0"/>
      </rPr>
      <t>Collection system structural
blockage</t>
    </r>
  </si>
  <si>
    <t>6154 ROCKY NOOK DR</t>
  </si>
  <si>
    <t>15810 BAZELBRIAR LN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</si>
  <si>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</si>
  <si>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</si>
  <si>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r>
      <rPr>
        <rFont val="Arial"/>
        <color rgb="FF000000"/>
        <sz val="10.0"/>
      </rPr>
      <t>Cleared City Clean Out;Cleaned and
Disinfected</t>
    </r>
  </si>
  <si>
    <t>2403 BRANARD ST</t>
  </si>
  <si>
    <t>18:11</t>
  </si>
  <si>
    <t>5211 GREEN TREE RD</t>
  </si>
  <si>
    <t>17:35</t>
  </si>
  <si>
    <t>249 GEORGIA ST</t>
  </si>
  <si>
    <t>5671 YALE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</si>
  <si>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</si>
  <si>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</si>
  <si>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4102 LEMAC DR</t>
  </si>
  <si>
    <t>10842 CORONA LN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</si>
  <si>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</si>
  <si>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</si>
  <si>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5103 TIMBER SHADE DR</t>
  </si>
  <si>
    <t>21:15</t>
  </si>
  <si>
    <t>2635 GESSNER DR</t>
  </si>
  <si>
    <t>9415 E AVENUE L</t>
  </si>
  <si>
    <t>4818 IRVINGTON BLVD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</si>
  <si>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</si>
  <si>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</si>
  <si>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10002 INWOOD DR</t>
  </si>
  <si>
    <t>Cross-connection to Storm Sewer</t>
  </si>
  <si>
    <t>9801 MEADOWGLEN LN</t>
  </si>
  <si>
    <t>2930 LAZY LANE BLVD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</si>
  <si>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</si>
  <si>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</si>
  <si>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2006 VERMONT ST</t>
  </si>
  <si>
    <r>
      <rPr>
        <rFont val="Arial"/>
        <color rgb="FF000000"/>
        <sz val="10.0"/>
      </rPr>
      <t>Collection
system structural failure</t>
    </r>
  </si>
  <si>
    <t>20:10</t>
  </si>
  <si>
    <t>7557 MAIN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</si>
  <si>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</si>
  <si>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</si>
  <si>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808 CANADIAN ST</t>
  </si>
  <si>
    <t>21:49</t>
  </si>
  <si>
    <t>7125 SIDNEY ST</t>
  </si>
  <si>
    <t>216 BAYWOOD ST</t>
  </si>
  <si>
    <r>
      <rPr>
        <rFont val="Arial"/>
        <color rgb="FF000000"/>
        <sz val="10.0"/>
      </rPr>
      <t>Collection system structural
failure</t>
    </r>
  </si>
  <si>
    <t>22:11</t>
  </si>
  <si>
    <t>3903 ERBY ST</t>
  </si>
  <si>
    <t>22:19</t>
  </si>
  <si>
    <t>Contain All or Portion of Spill;Cleared Service Lateral;Cleaned and Disinfected</t>
  </si>
  <si>
    <t>11314 ENDICOTT LN</t>
  </si>
  <si>
    <t>22:44</t>
  </si>
  <si>
    <t>5323 OAK COVE DR</t>
  </si>
  <si>
    <r>
      <rPr>
        <rFont val="Arial"/>
        <color rgb="FF000000"/>
        <sz val="10.0"/>
      </rPr>
      <t>Grease
Blockage</t>
    </r>
  </si>
  <si>
    <t>20:26</t>
  </si>
  <si>
    <r>
      <rPr>
        <rFont val="Arial"/>
        <color rgb="FF000000"/>
        <sz val="10.0"/>
      </rPr>
      <t>Cleared Main Line;Cleaned and
Disinfected</t>
    </r>
  </si>
  <si>
    <r>
      <rPr>
        <rFont val="Arial"/>
        <color rgb="FF000000"/>
        <sz val="10.0"/>
      </rPr>
      <t>Collection system structural
failure</t>
    </r>
  </si>
  <si>
    <t>23:09</t>
  </si>
  <si>
    <t>7726 HOWTON</t>
  </si>
  <si>
    <t>8018 HICKOK LN</t>
  </si>
  <si>
    <r>
      <rPr>
        <rFont val="Arial"/>
        <color rgb="FF000000"/>
        <sz val="10.0"/>
      </rPr>
      <t>Cleared City Clean Out;Cleaned and
Disinfected</t>
    </r>
  </si>
  <si>
    <r>
      <rPr>
        <rFont val="Arial"/>
        <color rgb="FF000000"/>
        <sz val="10.0"/>
      </rPr>
      <t>Air Relief
Valve (ARV) Failure</t>
    </r>
  </si>
  <si>
    <t>8814 SAGER DR</t>
  </si>
  <si>
    <t>9221 PAGEWOOD LN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</si>
  <si>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</si>
  <si>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</si>
  <si>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9506 TOWER ST</t>
  </si>
  <si>
    <r>
      <rPr>
        <rFont val="Arial"/>
        <color rgb="FF000000"/>
        <sz val="10.0"/>
      </rPr>
      <t>Collection
system structural
failure</t>
    </r>
  </si>
  <si>
    <t>1259 W TIDWELL RD</t>
  </si>
  <si>
    <r>
      <rPr>
        <rFont val="Arial"/>
        <color rgb="FF000000"/>
        <sz val="10.0"/>
      </rPr>
      <t>Collection
system structural failure</t>
    </r>
  </si>
  <si>
    <t>8311 WINKLER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</si>
  <si>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</si>
  <si>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</si>
  <si>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7302 MOUNTBATTEN RD</t>
  </si>
  <si>
    <t>4206 LILLIAN ST</t>
  </si>
  <si>
    <t>10118 ASHVILLE DR</t>
  </si>
  <si>
    <t>2114 MASON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</si>
  <si>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</si>
  <si>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</si>
  <si>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2021 VERMONT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</si>
  <si>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</si>
  <si>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</si>
  <si>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9311 PAGEWOOD LN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</si>
  <si>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</si>
  <si>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</si>
  <si>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10780 WESTHEIMER RD</t>
  </si>
  <si>
    <t>6812 BROWNSVILLE ST</t>
  </si>
  <si>
    <r>
      <rPr>
        <rFont val="Arial"/>
        <color rgb="FF000000"/>
        <sz val="10.0"/>
      </rPr>
      <t>Collection
system structural failure</t>
    </r>
  </si>
  <si>
    <t>4609 MARKET ST</t>
  </si>
  <si>
    <t>9954 STELLA LINK RD</t>
  </si>
  <si>
    <r>
      <rPr>
        <rFont val="Arial"/>
        <color rgb="FF000000"/>
        <sz val="10.0"/>
      </rPr>
      <t>Collection
system structural failure</t>
    </r>
  </si>
  <si>
    <t>2308 CANAL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</si>
  <si>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</si>
  <si>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</si>
  <si>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3356 FOUNTAIN VIEW DR</t>
  </si>
  <si>
    <t>8:04</t>
  </si>
  <si>
    <t>1103 W GRAY ST</t>
  </si>
  <si>
    <t>8932 SAGE PLACE DR</t>
  </si>
  <si>
    <t>7742 SIGN ST</t>
  </si>
  <si>
    <t>1202 UVALDE RD</t>
  </si>
  <si>
    <t>1300 AUGUSTA DR</t>
  </si>
  <si>
    <t>6400 W BELLFORT AVE</t>
  </si>
  <si>
    <r>
      <rPr>
        <rFont val="Arial"/>
        <color rgb="FF000000"/>
        <sz val="10.0"/>
      </rPr>
      <t>Collection
system temporary blockage</t>
    </r>
  </si>
  <si>
    <t>234 E JANISCH RD</t>
  </si>
  <si>
    <r>
      <rPr>
        <rFont val="Arial"/>
        <color rgb="FF000000"/>
        <sz val="10.0"/>
      </rPr>
      <t>Private
Cleanout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</si>
  <si>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</si>
  <si>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</si>
  <si>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7925 COOK RD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</si>
  <si>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</si>
  <si>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</si>
  <si>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7108 AVENUE J</t>
  </si>
  <si>
    <t>21:19</t>
  </si>
  <si>
    <t>1717 FLAGSTONE TER</t>
  </si>
  <si>
    <r>
      <rPr>
        <rFont val="Arial"/>
        <color rgb="FF000000"/>
        <sz val="10.0"/>
      </rPr>
      <t>Collection system structural
blockage</t>
    </r>
  </si>
  <si>
    <t>439 W GAYWOOD DR</t>
  </si>
  <si>
    <t>6403 UNDERHILL ST</t>
  </si>
  <si>
    <t>7939 CAROLWOOD DR</t>
  </si>
  <si>
    <r>
      <rPr>
        <rFont val="Arial"/>
        <color rgb="FF000000"/>
        <sz val="10.0"/>
      </rPr>
      <t>Collection
system structural
failure</t>
    </r>
  </si>
  <si>
    <t>4911 E RIDGE CREEK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</si>
  <si>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</si>
  <si>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</si>
  <si>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8 TIEL WAY</t>
  </si>
  <si>
    <r>
      <rPr>
        <rFont val="Arial"/>
        <color rgb="FF000000"/>
        <sz val="10.0"/>
      </rPr>
      <t>Service
Lateral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</si>
  <si>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</si>
  <si>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</si>
  <si>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</si>
  <si>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</si>
  <si>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</si>
  <si>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</si>
  <si>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1634 S KIRKWOOD RD</t>
  </si>
  <si>
    <t>2033 S GESSNER RD</t>
  </si>
  <si>
    <r>
      <rPr>
        <rFont val="Arial"/>
        <color rgb="FF000000"/>
        <sz val="10.0"/>
      </rPr>
      <t>Grease
Blockage</t>
    </r>
  </si>
  <si>
    <t>17:01</t>
  </si>
  <si>
    <r>
      <rPr>
        <rFont val="Arial"/>
        <color rgb="FF000000"/>
        <sz val="10.0"/>
      </rPr>
      <t>Cleared Main Line;Cleaned and
Disinfected</t>
    </r>
  </si>
  <si>
    <t>3802 MEYER ST</t>
  </si>
  <si>
    <t>10119 VICTORIA FALLS LN</t>
  </si>
  <si>
    <t>Cleared Main Line;Cleaned and Disinfected;Contain All or Portion of Spill</t>
  </si>
  <si>
    <t>11219 NORTH FWY</t>
  </si>
  <si>
    <r>
      <rPr>
        <rFont val="Arial"/>
        <color rgb="FF000000"/>
        <sz val="10.0"/>
      </rPr>
      <t>Grease
Blockage</t>
    </r>
  </si>
  <si>
    <t>15:38</t>
  </si>
  <si>
    <r>
      <rPr>
        <rFont val="Arial"/>
        <color rgb="FF000000"/>
        <sz val="10.0"/>
      </rPr>
      <t>Cleaned and Disinfected;Cleared Main
Line</t>
    </r>
  </si>
  <si>
    <t>2828 OLD SPANISH TRL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</si>
  <si>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</si>
  <si>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</si>
  <si>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7417 CADDO RD</t>
  </si>
  <si>
    <t>1607 OVID ST</t>
  </si>
  <si>
    <r>
      <rPr>
        <rFont val="Arial"/>
        <color rgb="FF000000"/>
        <sz val="10.0"/>
      </rPr>
      <t>Collection
system structural failure</t>
    </r>
  </si>
  <si>
    <t>5427 ASHBROOK DR</t>
  </si>
  <si>
    <t>13334 INDIAN BLANKET LN</t>
  </si>
  <si>
    <t>10651 EMNORA LN</t>
  </si>
  <si>
    <t>9430 CONCOURSE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</si>
  <si>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</si>
  <si>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</si>
  <si>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r>
      <rPr>
        <rFont val="Arial"/>
        <color rgb="FF000000"/>
        <sz val="10.0"/>
      </rPr>
      <t>Grease
Blockage</t>
    </r>
  </si>
  <si>
    <t>9:14</t>
  </si>
  <si>
    <r>
      <rPr>
        <rFont val="Arial"/>
        <color rgb="FF000000"/>
        <sz val="10.0"/>
      </rPr>
      <t>Cleared Main Line;Cleaned and
Disinfected</t>
    </r>
  </si>
  <si>
    <t>1803 LUBBOCK ST</t>
  </si>
  <si>
    <t>803 CENTERWOOD DR</t>
  </si>
  <si>
    <t>2001 KARBACH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</si>
  <si>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</si>
  <si>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Service
Lateral</t>
    </r>
  </si>
  <si>
    <t>7511 TIMBERWAY LN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</si>
  <si>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</si>
  <si>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</si>
  <si>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10715 MEADOWGLEN LN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</si>
  <si>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</si>
  <si>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</si>
  <si>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221 BOLDEN ST</t>
  </si>
  <si>
    <t>1846 COLQUITT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</si>
  <si>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</si>
  <si>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</si>
  <si>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</si>
  <si>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</si>
  <si>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7915 CAROLWOOD DR</t>
  </si>
  <si>
    <r>
      <rPr>
        <rFont val="Arial"/>
        <color rgb="FF000000"/>
        <sz val="10.0"/>
      </rPr>
      <t>Collection system structural
blockage</t>
    </r>
  </si>
  <si>
    <t>1107 WILLARD ST</t>
  </si>
  <si>
    <t>8:42</t>
  </si>
  <si>
    <t>3407 PARKRIDGE GLEN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</si>
  <si>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</si>
  <si>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</si>
  <si>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6805 ROSWELL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</si>
  <si>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</si>
  <si>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</si>
  <si>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7715 FAWN TERRACE DR</t>
  </si>
  <si>
    <t>114 ROBMORE ST</t>
  </si>
  <si>
    <t>12723 EASTBROOK DR</t>
  </si>
  <si>
    <t>3505 S DAIRY ASHFORD RD</t>
  </si>
  <si>
    <t>2201 CONGRESS ST</t>
  </si>
  <si>
    <r>
      <rPr>
        <rFont val="Arial"/>
        <color rgb="FF000000"/>
        <sz val="10.0"/>
      </rPr>
      <t>Collection
system structural blockage</t>
    </r>
  </si>
  <si>
    <t>8122 GLEN VALLEY DR</t>
  </si>
  <si>
    <r>
      <rPr>
        <rFont val="Arial"/>
        <color rgb="FF000000"/>
        <sz val="10.0"/>
      </rPr>
      <t>Collection system structural
failure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</si>
  <si>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</si>
  <si>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</si>
  <si>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8102 WESTHEIMER RD</t>
  </si>
  <si>
    <r>
      <rPr>
        <rFont val="Arial"/>
        <color rgb="FF000000"/>
        <sz val="10.0"/>
      </rPr>
      <t>Service
Lateral</t>
    </r>
  </si>
  <si>
    <r>
      <rPr>
        <rFont val="Arial"/>
        <color rgb="FF000000"/>
        <sz val="10.0"/>
      </rPr>
      <t>Cleared Service Lateral;Cleaned and
Disinfected</t>
    </r>
  </si>
  <si>
    <t>5839 SOUTHMONT ST</t>
  </si>
  <si>
    <r>
      <rPr>
        <rFont val="Arial"/>
        <color rgb="FF000000"/>
        <sz val="10.0"/>
      </rPr>
      <t>Private
Cleanout</t>
    </r>
  </si>
  <si>
    <r>
      <rPr>
        <rFont val="Arial"/>
        <color rgb="FF000000"/>
        <sz val="10.0"/>
      </rPr>
      <t>Cleaned and Disinfected;Cleared Service
Lateral</t>
    </r>
  </si>
  <si>
    <t>8181 COLONY ST</t>
  </si>
  <si>
    <t>6825 S LOOP FWY</t>
  </si>
  <si>
    <t>7844 GREEN LAWN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</si>
  <si>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</si>
  <si>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</si>
  <si>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4706 YELLOWSTONE BLVD</t>
  </si>
  <si>
    <r>
      <rPr>
        <rFont val="Arial"/>
        <color rgb="FF000000"/>
        <sz val="10.0"/>
      </rPr>
      <t>Cleared Service Lateral;Cleaned and
Disinfected</t>
    </r>
  </si>
  <si>
    <t>14003 DUBLIN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</si>
  <si>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</si>
  <si>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</si>
  <si>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11202 MEADOWGLEN LN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</si>
  <si>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</si>
  <si>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</si>
  <si>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738 HOFFMAN ST</t>
  </si>
  <si>
    <t>600 E ANDERSON RD</t>
  </si>
  <si>
    <t>13302 INNSHIRE LN</t>
  </si>
  <si>
    <t>16403 LOST QUAIL DR</t>
  </si>
  <si>
    <t>1109 HYDE PARK BLVD</t>
  </si>
  <si>
    <r>
      <rPr>
        <rFont val="Arial"/>
        <color rgb="FF000000"/>
        <sz val="10.0"/>
      </rPr>
      <t>Cleared City Clean Out;Cleaned and
Disinfected</t>
    </r>
  </si>
  <si>
    <t>106 SADDLEBROOK LN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</si>
  <si>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</si>
  <si>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</si>
  <si>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11303 BARRETT BRAE DR</t>
  </si>
  <si>
    <t>5017 DENMARK ST</t>
  </si>
  <si>
    <t>5700 THOUSAND OAKS CIR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</si>
  <si>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</si>
  <si>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</si>
  <si>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907 GREGG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</si>
  <si>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</si>
  <si>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</si>
  <si>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</si>
  <si>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</si>
  <si>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15004 CROSSWINDS DR</t>
  </si>
  <si>
    <r>
      <rPr>
        <rFont val="Arial"/>
        <color rgb="FF000000"/>
        <sz val="10.0"/>
      </rPr>
      <t>Collection system temporary
blockage</t>
    </r>
  </si>
  <si>
    <t>1554 ELLIOTT ST</t>
  </si>
  <si>
    <t>5514 HIRSCH RD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</si>
  <si>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</si>
  <si>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</si>
  <si>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1444 ALEXANDER ST</t>
  </si>
  <si>
    <t>10402 TOWN AND COUNTRY
WAY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</si>
  <si>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</si>
  <si>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</si>
  <si>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9717 BEVLYN DR</t>
  </si>
  <si>
    <t>50 SORTERS MCCLELLAN RD</t>
  </si>
  <si>
    <t>16:49</t>
  </si>
  <si>
    <t>4400 N SHEPHERD DR</t>
  </si>
  <si>
    <t>9:07</t>
  </si>
  <si>
    <t>13:34</t>
  </si>
  <si>
    <t>Cleared Service Lateral</t>
  </si>
  <si>
    <t>12210 W BELLFORT ST</t>
  </si>
  <si>
    <r>
      <rPr>
        <rFont val="Arial"/>
        <color rgb="FF000000"/>
        <sz val="10.0"/>
      </rPr>
      <t>Collection system -
wet weather</t>
    </r>
  </si>
  <si>
    <r>
      <rPr>
        <rFont val="Arial"/>
        <color rgb="FF000000"/>
        <sz val="10.0"/>
      </rPr>
      <t>Collection system -
wet weather</t>
    </r>
  </si>
  <si>
    <t>9002 STERLINGSHIRE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</si>
  <si>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</si>
  <si>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Set Bypass Pump;Cleaned and
Disinfected;Cleared Main Line</t>
    </r>
  </si>
  <si>
    <t>8310 JORINE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</si>
  <si>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</si>
  <si>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</si>
  <si>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</si>
  <si>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Service
Lateral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</si>
  <si>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</si>
  <si>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</si>
  <si>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</si>
  <si>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</si>
  <si>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5264 AEROPARK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</si>
  <si>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</si>
  <si>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</si>
  <si>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4305 ROGERS ST</t>
  </si>
  <si>
    <t>1108 STUDER ST</t>
  </si>
  <si>
    <t>2214 HOSKINS DR</t>
  </si>
  <si>
    <t>6603 LEEDALE ST</t>
  </si>
  <si>
    <t>7305 BOGGESS RD</t>
  </si>
  <si>
    <t>220 MEADOWFERN DR</t>
  </si>
  <si>
    <r>
      <rPr>
        <rFont val="Arial"/>
        <color rgb="FF000000"/>
        <sz val="10.0"/>
      </rPr>
      <t>Collection system temporary
blockage</t>
    </r>
  </si>
  <si>
    <t>14:38</t>
  </si>
  <si>
    <t>4518 FALLEN OAKS DR</t>
  </si>
  <si>
    <t>7407 AUGUSTINE DR</t>
  </si>
  <si>
    <t>13410 ASCOT GLEN LN</t>
  </si>
  <si>
    <t>7331 ATHLONE DR</t>
  </si>
  <si>
    <t>802 41ST ST</t>
  </si>
  <si>
    <t>6320 WINDSWEPT LN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</si>
  <si>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</si>
  <si>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</si>
  <si>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7102 LYONS AVE</t>
  </si>
  <si>
    <r>
      <rPr>
        <rFont val="Arial"/>
        <color rgb="FF000000"/>
        <sz val="10.0"/>
      </rPr>
      <t>Grease
Blockage</t>
    </r>
  </si>
  <si>
    <t>21:50</t>
  </si>
  <si>
    <r>
      <rPr>
        <rFont val="Arial"/>
        <color rgb="FF000000"/>
        <sz val="10.0"/>
      </rPr>
      <t>Cleared Main Line;Cleaned and
Disinfected</t>
    </r>
  </si>
  <si>
    <t>3401 STONEWALL ST</t>
  </si>
  <si>
    <r>
      <rPr>
        <rFont val="Arial"/>
        <color rgb="FF000000"/>
        <sz val="10.0"/>
      </rPr>
      <t>Collection
system structural
failure</t>
    </r>
  </si>
  <si>
    <t>5502 HOHEN CIR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</si>
  <si>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</si>
  <si>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</si>
  <si>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11811 NORTH FWY</t>
  </si>
  <si>
    <r>
      <rPr>
        <rFont val="Arial"/>
        <color rgb="FF000000"/>
        <sz val="10.0"/>
      </rPr>
      <t>Grease
Blockage</t>
    </r>
  </si>
  <si>
    <t>21:08</t>
  </si>
  <si>
    <r>
      <rPr>
        <rFont val="Arial"/>
        <color rgb="FF000000"/>
        <sz val="10.0"/>
      </rPr>
      <t>Cleared Main Line;Cleaned and
Disinfected</t>
    </r>
  </si>
  <si>
    <t>12620 W BELLFORT AVE</t>
  </si>
  <si>
    <t>77478</t>
  </si>
  <si>
    <t>9724 BENNETT ST</t>
  </si>
  <si>
    <t>6501 A PICKENS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</si>
  <si>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</si>
  <si>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</si>
  <si>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1433 N SHEPHERD DR</t>
  </si>
  <si>
    <t>15450 HIGHWAY 3</t>
  </si>
  <si>
    <t>1213 FEDERAL RD</t>
  </si>
  <si>
    <t>16:07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</si>
  <si>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</si>
  <si>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</si>
  <si>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6042 BEACONRIDGE DR</t>
  </si>
  <si>
    <t>2502 CANAL ST</t>
  </si>
  <si>
    <t>5010 ALDINE BENDER RD</t>
  </si>
  <si>
    <r>
      <rPr>
        <rFont val="Arial"/>
        <color rgb="FF000000"/>
        <sz val="10.0"/>
      </rPr>
      <t>Grease
Blockage</t>
    </r>
  </si>
  <si>
    <t>19:15</t>
  </si>
  <si>
    <r>
      <rPr>
        <rFont val="Arial"/>
        <color rgb="FF000000"/>
        <sz val="10.0"/>
      </rPr>
      <t>Cleaned and Disinfected;Cleared Main
Line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</si>
  <si>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</si>
  <si>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</si>
  <si>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950 VILLA DE MATEL RD</t>
  </si>
  <si>
    <t>10841 GREENWILLOW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</si>
  <si>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</si>
  <si>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</si>
  <si>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10018 KIRKGLEN DR</t>
  </si>
  <si>
    <t>6701 ROOS RD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</si>
  <si>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</si>
  <si>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</si>
  <si>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6518 UTAH ST</t>
  </si>
  <si>
    <r>
      <rPr>
        <rFont val="Arial"/>
        <color rgb="FF000000"/>
        <sz val="10.0"/>
      </rPr>
      <t>Collection
system temporary blockage</t>
    </r>
  </si>
  <si>
    <t>9613 KEMPWOOD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</si>
  <si>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</si>
  <si>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</si>
  <si>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8102 OAK KNOLL LN</t>
  </si>
  <si>
    <r>
      <rPr>
        <rFont val="Arial"/>
        <color rgb="FF000000"/>
        <sz val="10.0"/>
      </rPr>
      <t>Collection
system
structural blockage</t>
    </r>
  </si>
  <si>
    <t>13521 PEORIA ST</t>
  </si>
  <si>
    <t>521 BRIARCLIFF DR</t>
  </si>
  <si>
    <t>1515 ALDRICH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</si>
  <si>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</si>
  <si>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</si>
  <si>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2302 LADBROOK DR</t>
  </si>
  <si>
    <r>
      <rPr>
        <rFont val="Arial"/>
        <color rgb="FF000000"/>
        <sz val="10.0"/>
      </rPr>
      <t>Collection
system structural blockage</t>
    </r>
  </si>
  <si>
    <t>22:06</t>
  </si>
  <si>
    <t>2060 ALLEN GENOA RD</t>
  </si>
  <si>
    <t>6605 GESSNER RD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</si>
  <si>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</si>
  <si>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</si>
  <si>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10832 BENTLEY ST</t>
  </si>
  <si>
    <t>10807 SAGEBURROW DR</t>
  </si>
  <si>
    <t>1703 ASHFORD HOLLOW LN</t>
  </si>
  <si>
    <r>
      <rPr>
        <rFont val="Arial"/>
        <color rgb="FF000000"/>
        <sz val="10.0"/>
      </rPr>
      <t>Collection system structural
failure</t>
    </r>
  </si>
  <si>
    <t>15309 CORSAIR RD</t>
  </si>
  <si>
    <t>9:03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</si>
  <si>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</si>
  <si>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</si>
  <si>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6822 AVENUE S</t>
  </si>
  <si>
    <t>Pump/Lift Station Mechanical Failure</t>
  </si>
  <si>
    <t>21:11</t>
  </si>
  <si>
    <t>Set Bypass Pump;Contain All or Portion of Spill;Cleaned and Disinfected</t>
  </si>
  <si>
    <t>1806 PLEASANTVILLE DR</t>
  </si>
  <si>
    <t>6389 S BRIAR BAYOU DR</t>
  </si>
  <si>
    <r>
      <rPr>
        <rFont val="Arial"/>
        <color rgb="FF000000"/>
        <sz val="10.0"/>
      </rPr>
      <t>Collection
system structural blockage</t>
    </r>
  </si>
  <si>
    <t>2106 AMBERLY CT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</si>
  <si>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</si>
  <si>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</si>
  <si>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12925 SAMUEL LN</t>
  </si>
  <si>
    <t>1850 COLQUITT ST</t>
  </si>
  <si>
    <t>10308 MAIN ST</t>
  </si>
  <si>
    <t>2202 NANTUCKET DR</t>
  </si>
  <si>
    <t>1412 NANTUCKET DR</t>
  </si>
  <si>
    <r>
      <rPr>
        <rFont val="Arial"/>
        <color rgb="FF000000"/>
        <sz val="10.0"/>
      </rPr>
      <t>Private
Cleanout</t>
    </r>
  </si>
  <si>
    <r>
      <rPr>
        <rFont val="Arial"/>
        <color rgb="FF000000"/>
        <sz val="10.0"/>
      </rPr>
      <t>Grease
Blockage</t>
    </r>
  </si>
  <si>
    <t>12:19</t>
  </si>
  <si>
    <r>
      <rPr>
        <rFont val="Arial"/>
        <color rgb="FF000000"/>
        <sz val="10.0"/>
      </rPr>
      <t>Cleared Main Line;Cleaned and
Disinfected</t>
    </r>
  </si>
  <si>
    <t>735 E 7TH ST</t>
  </si>
  <si>
    <t>6454 DRYAD DR</t>
  </si>
  <si>
    <t>317 THORNTON RD</t>
  </si>
  <si>
    <t>7360 RAMPART ST</t>
  </si>
  <si>
    <t>16402 QUAIL BRIAR DR</t>
  </si>
  <si>
    <t>911 BAY STAR BLVD</t>
  </si>
  <si>
    <t>4719 CAPITOL ST</t>
  </si>
  <si>
    <t>8800 GUSTINE LN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</si>
  <si>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</si>
  <si>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</si>
  <si>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r>
      <rPr>
        <rFont val="Arial"/>
        <color rgb="FF000000"/>
        <sz val="10.0"/>
      </rPr>
      <t>Collection system structural
blockage</t>
    </r>
  </si>
  <si>
    <t>3965 INVERNESS DR</t>
  </si>
  <si>
    <t>Contain All or Portion of Spill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</si>
  <si>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</si>
  <si>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</si>
  <si>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9602 KINGSPOINT RD</t>
  </si>
  <si>
    <r>
      <rPr>
        <rFont val="Arial"/>
        <color rgb="FF000000"/>
        <sz val="10.0"/>
      </rPr>
      <t>Collection
system structural failure</t>
    </r>
  </si>
  <si>
    <t>422 W 15TH ST</t>
  </si>
  <si>
    <t>1038 GESSNER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</si>
  <si>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</si>
  <si>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</si>
  <si>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6105 NUNN ST</t>
  </si>
  <si>
    <t>17210 IMPERIAL VALLEY DR</t>
  </si>
  <si>
    <t>8400 HEARTH DR</t>
  </si>
  <si>
    <r>
      <rPr>
        <rFont val="Arial"/>
        <color rgb="FF000000"/>
        <sz val="10.0"/>
      </rPr>
      <t>Collection
system structural failure</t>
    </r>
  </si>
  <si>
    <t>Cleaned and Disinfected;Cleared Main Line;Contain All or Portion of Spill</t>
  </si>
  <si>
    <t>12500 DUNLAP DR</t>
  </si>
  <si>
    <t>2120 CONVERSE ST</t>
  </si>
  <si>
    <r>
      <rPr>
        <rFont val="Arial"/>
        <color rgb="FF000000"/>
        <sz val="10.0"/>
      </rPr>
      <t>Collection
system structural blockage</t>
    </r>
  </si>
  <si>
    <t>8:13</t>
  </si>
  <si>
    <t>13313 VICKSBURG ST</t>
  </si>
  <si>
    <r>
      <rPr>
        <rFont val="Arial"/>
        <color rgb="FF000000"/>
        <sz val="10.0"/>
      </rPr>
      <t>Collection
system structural failure</t>
    </r>
  </si>
  <si>
    <t>6701 ROWAN LN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</si>
  <si>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</si>
  <si>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</si>
  <si>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1713 JOHNSON ST</t>
  </si>
  <si>
    <r>
      <rPr>
        <rFont val="Arial"/>
        <color rgb="FF000000"/>
        <sz val="10.0"/>
      </rPr>
      <t>Collection
system structural
failure</t>
    </r>
  </si>
  <si>
    <t>3916 AVERILL ST</t>
  </si>
  <si>
    <r>
      <rPr>
        <rFont val="Arial"/>
        <color rgb="FF000000"/>
        <sz val="10.0"/>
      </rPr>
      <t>Grease
Blockage</t>
    </r>
  </si>
  <si>
    <t>10:31</t>
  </si>
  <si>
    <r>
      <rPr>
        <rFont val="Arial"/>
        <color rgb="FF000000"/>
        <sz val="10.0"/>
      </rPr>
      <t>Cleaned and Disinfected;Cleared Main
Line</t>
    </r>
  </si>
  <si>
    <t>13502 FORCE ST</t>
  </si>
  <si>
    <t>5802 BELDART ST</t>
  </si>
  <si>
    <r>
      <rPr>
        <rFont val="Arial"/>
        <color rgb="FF000000"/>
        <sz val="10.0"/>
      </rPr>
      <t>Cleaned and Disinfected;Cleared Main
Line</t>
    </r>
  </si>
  <si>
    <t>4707 RIDGEROD LN</t>
  </si>
  <si>
    <t>6410 MARTIN LUTHER KING
BLVD</t>
  </si>
  <si>
    <r>
      <rPr>
        <rFont val="Arial"/>
        <color rgb="FF000000"/>
        <sz val="10.0"/>
      </rPr>
      <t>Grease
Blockage</t>
    </r>
  </si>
  <si>
    <t>18:56</t>
  </si>
  <si>
    <r>
      <rPr>
        <rFont val="Arial"/>
        <color rgb="FF000000"/>
        <sz val="10.0"/>
      </rPr>
      <t>Cleaned and Disinfected;Cleared Main
Line</t>
    </r>
  </si>
  <si>
    <t>7502 BREEZEWAY ST</t>
  </si>
  <si>
    <t>3002 HAZEL PARK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</si>
  <si>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</si>
  <si>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</si>
  <si>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3003 HAZEL PARK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</si>
  <si>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</si>
  <si>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</si>
  <si>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5320 ANTOINE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</si>
  <si>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</si>
  <si>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</si>
  <si>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2608 STANFORD ST</t>
  </si>
  <si>
    <r>
      <rPr>
        <rFont val="Arial"/>
        <color rgb="FF000000"/>
        <sz val="10.0"/>
      </rPr>
      <t>Collection
system
structural failure</t>
    </r>
  </si>
  <si>
    <t>7337 BONITA ST</t>
  </si>
  <si>
    <r>
      <rPr>
        <rFont val="Arial"/>
        <color rgb="FF000000"/>
        <sz val="10.0"/>
      </rPr>
      <t>Collection
system structural blockage</t>
    </r>
  </si>
  <si>
    <t>7310 SHADY GROVE LN</t>
  </si>
  <si>
    <t>7118 S DAIRY ASHFORD ST</t>
  </si>
  <si>
    <t>8:11</t>
  </si>
  <si>
    <t>7002 ILEX ST</t>
  </si>
  <si>
    <r>
      <rPr>
        <rFont val="Arial"/>
        <color rgb="FF000000"/>
        <sz val="10.0"/>
      </rPr>
      <t>Grease
Blockage</t>
    </r>
  </si>
  <si>
    <t>8:46</t>
  </si>
  <si>
    <r>
      <rPr>
        <rFont val="Arial"/>
        <color rgb="FF000000"/>
        <sz val="10.0"/>
      </rPr>
      <t>Cleared Main Line;Cleaned and
Disinfected</t>
    </r>
  </si>
  <si>
    <t>13555 CULLEN BLVD</t>
  </si>
  <si>
    <r>
      <rPr>
        <rFont val="Arial"/>
        <color rgb="FF000000"/>
        <sz val="10.0"/>
      </rPr>
      <t>Grease
Blockage</t>
    </r>
  </si>
  <si>
    <t>9:40</t>
  </si>
  <si>
    <r>
      <rPr>
        <rFont val="Arial"/>
        <color rgb="FF000000"/>
        <sz val="10.0"/>
      </rPr>
      <t>Cleared Main Line;Cleaned and
Disinfected</t>
    </r>
  </si>
  <si>
    <t>3936 HERALD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</si>
  <si>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</si>
  <si>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</si>
  <si>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3707 WESLOW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</si>
  <si>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</si>
  <si>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</si>
  <si>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5763 HIRONDEL ST</t>
  </si>
  <si>
    <t>13439 CULLEN BLVD</t>
  </si>
  <si>
    <r>
      <rPr>
        <rFont val="Arial"/>
        <color rgb="FF000000"/>
        <sz val="10.0"/>
      </rPr>
      <t>Grease
Blockage</t>
    </r>
  </si>
  <si>
    <t>7:51</t>
  </si>
  <si>
    <r>
      <rPr>
        <rFont val="Arial"/>
        <color rgb="FF000000"/>
        <sz val="10.0"/>
      </rPr>
      <t>Cleaned and Disinfected;Cleared Main
Line</t>
    </r>
  </si>
  <si>
    <t>6446 OLD CHATHAM LN</t>
  </si>
  <si>
    <t>5714 JESSAMINE ST</t>
  </si>
  <si>
    <r>
      <rPr>
        <rFont val="Arial"/>
        <color rgb="FF000000"/>
        <sz val="10.0"/>
      </rPr>
      <t>Force Main</t>
    </r>
  </si>
  <si>
    <r>
      <rPr>
        <rFont val="Arial"/>
        <color rgb="FF000000"/>
        <sz val="10.0"/>
      </rPr>
      <t>Air Relief Valve (ARV) Failure</t>
    </r>
  </si>
  <si>
    <r>
      <rPr>
        <rFont val="Arial"/>
        <color rgb="FF000000"/>
        <sz val="10.0"/>
      </rPr>
      <t>Cleaned and Disinfected;Contain All or Portion of Spill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</si>
  <si>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</si>
  <si>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</si>
  <si>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15507 WESTWARD LAKE LN</t>
  </si>
  <si>
    <t>77044</t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</si>
  <si>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</si>
  <si>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Cleared Main Line;Cleaned and Disinfected</t>
    </r>
  </si>
  <si>
    <t>11703 HAZEN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</si>
  <si>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</si>
  <si>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</si>
  <si>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r>
      <rPr>
        <rFont val="Arial"/>
        <color rgb="FF000000"/>
        <sz val="10.0"/>
      </rPr>
      <t>Building Backup</t>
    </r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</si>
  <si>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</si>
  <si>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Cleaned and Disinfected;Cleared Main Line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</si>
  <si>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</si>
  <si>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</si>
  <si>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</si>
  <si>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Cleaned and Disinfected;Cleared Main Line</t>
    </r>
  </si>
  <si>
    <r>
      <rPr>
        <rFont val="Arial"/>
        <color rgb="FF000000"/>
        <sz val="10.0"/>
      </rPr>
      <t>Collection
system temporary blockage</t>
    </r>
  </si>
  <si>
    <r>
      <rPr>
        <rFont val="Arial"/>
        <color rgb="FF000000"/>
        <sz val="10.0"/>
      </rPr>
      <t>Cleaned and Disinfected</t>
    </r>
  </si>
  <si>
    <t>1401 ENCLAVE PKWY</t>
  </si>
  <si>
    <r>
      <rPr>
        <rFont val="Arial"/>
        <color rgb="FF000000"/>
        <sz val="10.0"/>
      </rPr>
      <t>Force Main</t>
    </r>
  </si>
  <si>
    <r>
      <rPr>
        <rFont val="Arial"/>
        <color rgb="FF000000"/>
        <sz val="10.0"/>
      </rPr>
      <t>Collection
system structural failure</t>
    </r>
  </si>
  <si>
    <r>
      <rPr>
        <rFont val="Arial"/>
        <color rgb="FF000000"/>
        <sz val="10.0"/>
      </rPr>
      <t>Cleaned and Disinfected;Contain All or Portion of Spill</t>
    </r>
  </si>
  <si>
    <t>3206 TURNER DR</t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</si>
  <si>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</si>
  <si>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Cleaned and Disinfected;Cleared Main Line</t>
    </r>
  </si>
  <si>
    <t>15600 BARKERS LANDING RD</t>
  </si>
  <si>
    <r>
      <rPr>
        <rFont val="Arial"/>
        <color rgb="FF000000"/>
        <sz val="10.0"/>
      </rPr>
      <t>Lift Station</t>
    </r>
  </si>
  <si>
    <r>
      <rPr>
        <rFont val="Arial"/>
        <color rgb="FF000000"/>
        <sz val="10.0"/>
      </rPr>
      <t>Pump/Lift
Station Hydraulic Overload</t>
    </r>
  </si>
  <si>
    <t>23:58</t>
  </si>
  <si>
    <r>
      <rPr>
        <rFont val="Arial"/>
        <color rgb="FF000000"/>
        <sz val="10.0"/>
      </rPr>
      <t>Set Bypass Pump;Cleaned and Disinfected</t>
    </r>
  </si>
  <si>
    <t>15603 MEMORIAL DR</t>
  </si>
  <si>
    <r>
      <rPr>
        <rFont val="Arial"/>
        <color rgb="FF000000"/>
        <sz val="10.0"/>
      </rPr>
      <t>Lift Station</t>
    </r>
  </si>
  <si>
    <r>
      <rPr>
        <rFont val="Arial"/>
        <color rgb="FF000000"/>
        <sz val="10.0"/>
      </rPr>
      <t>Pump/Lift
Station Hydraulic Overload</t>
    </r>
  </si>
  <si>
    <r>
      <rPr>
        <rFont val="Arial"/>
        <color rgb="FF000000"/>
        <sz val="10.0"/>
      </rPr>
      <t>Set Bypass Pump;Cleaned and Disinfected</t>
    </r>
  </si>
  <si>
    <t>5783 BELCREST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</si>
  <si>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</si>
  <si>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</si>
  <si>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7322 JUTLAND RD</t>
  </si>
  <si>
    <r>
      <rPr>
        <rFont val="Arial"/>
        <color rgb="FF000000"/>
        <sz val="10.0"/>
      </rPr>
      <t>Private Cleanout</t>
    </r>
  </si>
  <si>
    <r>
      <rPr>
        <rFont val="Arial"/>
        <color rgb="FF000000"/>
        <sz val="10.0"/>
      </rPr>
      <t>Grease Blockage</t>
    </r>
  </si>
  <si>
    <t>7:19</t>
  </si>
  <si>
    <t>7:20</t>
  </si>
  <si>
    <r>
      <rPr>
        <rFont val="Arial"/>
        <color rgb="FF000000"/>
        <sz val="10.0"/>
      </rPr>
      <t>Cleaned and Disinfected;Cleared Main Line</t>
    </r>
  </si>
  <si>
    <t>7422 DEARBORN ST</t>
  </si>
  <si>
    <r>
      <rPr>
        <rFont val="Arial"/>
        <color rgb="FF000000"/>
        <sz val="10.0"/>
      </rPr>
      <t>Service Lateral</t>
    </r>
  </si>
  <si>
    <r>
      <rPr>
        <rFont val="Arial"/>
        <color rgb="FF000000"/>
        <sz val="10.0"/>
      </rPr>
      <t>Collection system structural
failure</t>
    </r>
  </si>
  <si>
    <r>
      <rPr>
        <rFont val="Arial"/>
        <color rgb="FF000000"/>
        <sz val="10.0"/>
      </rPr>
      <t>Cleaned and Disinfected</t>
    </r>
  </si>
  <si>
    <t>1440 DOROTHY ST</t>
  </si>
  <si>
    <r>
      <rPr>
        <rFont val="Arial"/>
        <color rgb="FF000000"/>
        <sz val="10.0"/>
      </rPr>
      <t>Gravity Main</t>
    </r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</si>
  <si>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</si>
  <si>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Cleared Main Line;Cleaned and Disinfected</t>
    </r>
  </si>
  <si>
    <t>9003 BELLE GLEN DR</t>
  </si>
  <si>
    <r>
      <rPr>
        <rFont val="Arial"/>
        <color rgb="FF000000"/>
        <sz val="10.0"/>
      </rPr>
      <t>City Cleanout</t>
    </r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</si>
  <si>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</si>
  <si>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Cleaned and Disinfected;Cleared Service Lateral</t>
    </r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</si>
  <si>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</si>
  <si>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Cleaned and Disinfected;Cleared Main Line</t>
    </r>
  </si>
  <si>
    <t>11131 PEMBRIDGE DR</t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</si>
  <si>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</si>
  <si>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Cleared Main Line;Cleaned and Disinfected</t>
    </r>
  </si>
  <si>
    <t>6941 FINCH ST</t>
  </si>
  <si>
    <r>
      <rPr>
        <rFont val="Arial"/>
        <color rgb="FF000000"/>
        <sz val="10.0"/>
      </rPr>
      <t>City Cleanout</t>
    </r>
  </si>
  <si>
    <r>
      <rPr>
        <rFont val="Arial"/>
        <color rgb="FF000000"/>
        <sz val="10.0"/>
      </rPr>
      <t>Cleared Main Line;Cleaned and Disinfected</t>
    </r>
  </si>
  <si>
    <t>4723 BEECHAVEN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</si>
  <si>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</si>
  <si>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</si>
  <si>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15931 KENBROOK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</si>
  <si>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</si>
  <si>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</si>
  <si>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4110 CORNELL ST</t>
  </si>
  <si>
    <r>
      <rPr>
        <rFont val="Arial"/>
        <color rgb="FF000000"/>
        <sz val="10.0"/>
      </rPr>
      <t>City Cleanout</t>
    </r>
  </si>
  <si>
    <r>
      <rPr>
        <rFont val="Arial"/>
        <color rgb="FF000000"/>
        <sz val="10.0"/>
      </rPr>
      <t>Cleaned and Disinfected;Cleared Service
Lateral</t>
    </r>
  </si>
  <si>
    <t>1537 HADDON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</si>
  <si>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</si>
  <si>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</si>
  <si>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10910 VILLAGE BEND LN</t>
  </si>
  <si>
    <r>
      <rPr>
        <rFont val="Arial"/>
        <color rgb="FF000000"/>
        <sz val="10.0"/>
      </rPr>
      <t>City Cleanout</t>
    </r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</si>
  <si>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</si>
  <si>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Cleaned and Disinfected;Cleared Service Lateral</t>
    </r>
  </si>
  <si>
    <t>6623 HERON DR</t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</si>
  <si>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</si>
  <si>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Cleaned and Disinfected;Cleared Main Line</t>
    </r>
  </si>
  <si>
    <t>11522 VILLAGE PL</t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</si>
  <si>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</si>
  <si>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Set Bypass Pump;Cleaned and Disinfected</t>
    </r>
  </si>
  <si>
    <t>7932 MILEY ST</t>
  </si>
  <si>
    <r>
      <rPr>
        <rFont val="Arial"/>
        <color rgb="FF000000"/>
        <sz val="10.0"/>
      </rPr>
      <t>City Cleanout</t>
    </r>
  </si>
  <si>
    <r>
      <rPr>
        <rFont val="Arial"/>
        <color rgb="FF000000"/>
        <sz val="10.0"/>
      </rPr>
      <t>Collection system temporary
blockage</t>
    </r>
  </si>
  <si>
    <r>
      <rPr>
        <rFont val="Arial"/>
        <color rgb="FF000000"/>
        <sz val="10.0"/>
      </rPr>
      <t>Set Bypass Pump;Cleaned and Disinfected</t>
    </r>
  </si>
  <si>
    <t>3423 BREMOND ST</t>
  </si>
  <si>
    <r>
      <rPr>
        <rFont val="Arial"/>
        <color rgb="FF000000"/>
        <sz val="10.0"/>
      </rPr>
      <t>Service Lateral</t>
    </r>
  </si>
  <si>
    <r>
      <rPr>
        <rFont val="Arial"/>
        <color rgb="FF000000"/>
        <sz val="10.0"/>
      </rPr>
      <t>Collection system structural failure</t>
    </r>
  </si>
  <si>
    <r>
      <rPr>
        <rFont val="Arial"/>
        <color rgb="FF000000"/>
        <sz val="10.0"/>
      </rPr>
      <t>Cleaned and Disinfected</t>
    </r>
  </si>
  <si>
    <t>9013 BURL ST</t>
  </si>
  <si>
    <r>
      <rPr>
        <rFont val="Arial"/>
        <color rgb="FF000000"/>
        <sz val="10.0"/>
      </rPr>
      <t>City Cleanout</t>
    </r>
  </si>
  <si>
    <r>
      <rPr>
        <rFont val="Arial"/>
        <color rgb="FF000000"/>
        <sz val="10.0"/>
      </rPr>
      <t>Cleaned and Disinfected;Cleared City Clean Out</t>
    </r>
  </si>
  <si>
    <t>6519 SLOAN ST</t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</si>
  <si>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</si>
  <si>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Cleared Main Line;Cleaned and Disinfected</t>
    </r>
  </si>
  <si>
    <t>6700 CHIMNEY ROCK RD</t>
  </si>
  <si>
    <r>
      <rPr>
        <rFont val="Arial"/>
        <color rgb="FF000000"/>
        <sz val="10.0"/>
      </rPr>
      <t>City Cleanout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</si>
  <si>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</si>
  <si>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City
Clean Out</t>
    </r>
  </si>
  <si>
    <r>
      <rPr>
        <rFont val="Arial"/>
        <color rgb="FF000000"/>
        <sz val="10.0"/>
      </rPr>
      <t>5801 W SUNFOREST DR</t>
    </r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</si>
  <si>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</si>
  <si>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Cleared Main Line;Cleaned and Disinfected</t>
    </r>
  </si>
  <si>
    <t>11819 GLENWOLDE DR</t>
  </si>
  <si>
    <r>
      <rPr>
        <rFont val="Arial"/>
        <color rgb="FF000000"/>
        <sz val="10.0"/>
      </rPr>
      <t>City Cleanout</t>
    </r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</si>
  <si>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</si>
  <si>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Cleaned and Disinfected;Cleared Service Lateral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</si>
  <si>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</si>
  <si>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</si>
  <si>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</si>
  <si>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Cleaned and Disinfected;Cleared Main Line</t>
    </r>
  </si>
  <si>
    <t>310 RITTENHOUSE ST</t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</si>
  <si>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</si>
  <si>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Cleaned and Disinfected;Cleared Main Line</t>
    </r>
  </si>
  <si>
    <r>
      <rPr>
        <rFont val="Arial"/>
        <color rgb="FF000000"/>
        <sz val="10.0"/>
      </rPr>
      <t>City Cleanout</t>
    </r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</si>
  <si>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</si>
  <si>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Cleared City Clean Out;Cleaned and Disinfected</t>
    </r>
  </si>
  <si>
    <t>8800 BRAESWOOD BLVD</t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</si>
  <si>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</si>
  <si>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Cleaned and Disinfected;Cleared Main Line</t>
    </r>
  </si>
  <si>
    <t>2801 ROLIDO DR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</si>
  <si>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</si>
  <si>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</si>
  <si>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8549 BEECHNUT ST</t>
  </si>
  <si>
    <r>
      <rPr>
        <rFont val="Arial"/>
        <color rgb="FF000000"/>
        <sz val="10.0"/>
      </rPr>
      <t>City Cleanout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</si>
  <si>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</si>
  <si>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City
Clean Out</t>
    </r>
  </si>
  <si>
    <r>
      <rPr>
        <rFont val="Arial"/>
        <color rgb="FF000000"/>
        <sz val="10.0"/>
      </rPr>
      <t>607 E 23RD ST</t>
    </r>
  </si>
  <si>
    <r>
      <rPr>
        <rFont val="Arial"/>
        <color rgb="FF000000"/>
        <sz val="10.0"/>
      </rPr>
      <t>City Cleanout</t>
    </r>
  </si>
  <si>
    <r>
      <rPr>
        <rFont val="Arial"/>
        <color rgb="FF000000"/>
        <sz val="10.0"/>
      </rPr>
      <t>Cleared Service Lateral;Cleaned and Disinfected</t>
    </r>
  </si>
  <si>
    <r>
      <rPr>
        <rFont val="Arial"/>
        <color rgb="FF000000"/>
        <sz val="10.0"/>
      </rPr>
      <t>City Cleanout</t>
    </r>
  </si>
  <si>
    <r>
      <rPr>
        <rFont val="Arial"/>
        <color rgb="FF000000"/>
        <sz val="10.0"/>
      </rPr>
      <t>Cleared City Clean Out;Cleaned and Disinfected</t>
    </r>
  </si>
  <si>
    <t>10005 LAZY OAKS ST</t>
  </si>
  <si>
    <r>
      <rPr>
        <rFont val="Arial"/>
        <color rgb="FF000000"/>
        <sz val="10.0"/>
      </rPr>
      <t>Service Lateral</t>
    </r>
  </si>
  <si>
    <r>
      <rPr>
        <rFont val="Arial"/>
        <color rgb="FF000000"/>
        <sz val="10.0"/>
      </rPr>
      <t>Collection system structural blockage</t>
    </r>
  </si>
  <si>
    <r>
      <rPr>
        <rFont val="Arial"/>
        <color rgb="FF000000"/>
        <sz val="10.0"/>
      </rPr>
      <t>Cleaned and Disinfected;Cleared Service Lateral</t>
    </r>
  </si>
  <si>
    <t>11002 DALEBROOK DR</t>
  </si>
  <si>
    <r>
      <rPr>
        <rFont val="Arial"/>
        <color rgb="FF000000"/>
        <sz val="10.0"/>
      </rPr>
      <t>Grease Blockage</t>
    </r>
  </si>
  <si>
    <t>14:43</t>
  </si>
  <si>
    <r>
      <rPr>
        <rFont val="Arial"/>
        <color rgb="FF000000"/>
        <sz val="10.0"/>
      </rPr>
      <t>Cleared Main Line;Cleaned and Disinfected</t>
    </r>
  </si>
  <si>
    <t>6119 BACHER ST</t>
  </si>
  <si>
    <r>
      <rPr>
        <rFont val="Arial"/>
        <color rgb="FF000000"/>
        <sz val="10.0"/>
      </rPr>
      <t>City Cleanout</t>
    </r>
  </si>
  <si>
    <r>
      <rPr>
        <rFont val="Arial"/>
        <color rgb="FF000000"/>
        <sz val="10.0"/>
      </rPr>
      <t>Collection
system structural blockage</t>
    </r>
  </si>
  <si>
    <r>
      <rPr>
        <rFont val="Arial"/>
        <color rgb="FF000000"/>
        <sz val="10.0"/>
      </rPr>
      <t>Cleaned and Disinfected;Cleared City Clean Out</t>
    </r>
  </si>
  <si>
    <t>15013 KIMBERLEY CT</t>
  </si>
  <si>
    <r>
      <rPr>
        <rFont val="Arial"/>
        <color rgb="FF000000"/>
        <sz val="10.0"/>
      </rPr>
      <t>Service Lateral</t>
    </r>
  </si>
  <si>
    <r>
      <rPr>
        <rFont val="Arial"/>
        <color rgb="FF000000"/>
        <sz val="10.0"/>
      </rPr>
      <t>Collection system structural
blockage</t>
    </r>
  </si>
  <si>
    <r>
      <rPr>
        <rFont val="Arial"/>
        <color rgb="FF000000"/>
        <sz val="10.0"/>
      </rPr>
      <t>Cleared Service Lateral;Cleaned and Disinfected</t>
    </r>
  </si>
  <si>
    <t>9203 SANFORD RD</t>
  </si>
  <si>
    <r>
      <rPr>
        <rFont val="Arial"/>
        <color rgb="FF000000"/>
        <sz val="10.0"/>
      </rPr>
      <t>Private Cleanout</t>
    </r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</si>
  <si>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</si>
  <si>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Cleaned and Disinfected;Cleared Main Line</t>
    </r>
  </si>
  <si>
    <t>7015 WOODSMAN TRL</t>
  </si>
  <si>
    <r>
      <rPr>
        <rFont val="Arial"/>
        <color rgb="FF000000"/>
        <sz val="10.0"/>
      </rPr>
      <t>Gravity Main</t>
    </r>
  </si>
  <si>
    <r>
      <rPr>
        <rFont val="Arial"/>
        <color rgb="FF000000"/>
        <sz val="10.0"/>
      </rPr>
      <t>Collection
system structural failure</t>
    </r>
  </si>
  <si>
    <r>
      <rPr>
        <rFont val="Arial"/>
        <color rgb="FF000000"/>
        <sz val="10.0"/>
      </rPr>
      <t>Cleaned and Disinfected;Set Bypass Pump</t>
    </r>
  </si>
  <si>
    <t>9 MARSDEN ST</t>
  </si>
  <si>
    <r>
      <rPr>
        <rFont val="Arial"/>
        <color rgb="FF000000"/>
        <sz val="10.0"/>
      </rPr>
      <t>Service Lateral</t>
    </r>
  </si>
  <si>
    <r>
      <rPr>
        <rFont val="Arial"/>
        <color rgb="FF000000"/>
        <sz val="10.0"/>
      </rPr>
      <t>Collection
system structural failure</t>
    </r>
  </si>
  <si>
    <r>
      <rPr>
        <rFont val="Arial"/>
        <color rgb="FF000000"/>
        <sz val="10.0"/>
      </rPr>
      <t>Cleaned and Disinfected</t>
    </r>
  </si>
  <si>
    <t>7435 HILLSBORO ST</t>
  </si>
  <si>
    <r>
      <rPr>
        <rFont val="Arial"/>
        <color rgb="FF000000"/>
        <sz val="10.0"/>
      </rPr>
      <t>Private Cleanout</t>
    </r>
  </si>
  <si>
    <r>
      <rPr>
        <rFont val="Arial"/>
        <color rgb="FF000000"/>
        <sz val="10.0"/>
      </rPr>
      <t>Collection system structural
blockage</t>
    </r>
  </si>
  <si>
    <r>
      <rPr>
        <rFont val="Arial"/>
        <color rgb="FF000000"/>
        <sz val="10.0"/>
      </rPr>
      <t>Cleaned and Disinfected</t>
    </r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</si>
  <si>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</si>
  <si>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</si>
  <si>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14906 LEE RD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</si>
  <si>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</si>
  <si>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</si>
  <si>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10502 BRIAR FOREST DR</t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</si>
  <si>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</si>
  <si>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Cleared Main Line;Cleaned and Disinfected</t>
    </r>
  </si>
  <si>
    <t>6061 BEVERLY HILL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</si>
  <si>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</si>
  <si>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Cleaned and Disinfected;Cleared Main
Line</t>
    </r>
  </si>
  <si>
    <t>5524 WESLAYAN ST</t>
  </si>
  <si>
    <t>77005</t>
  </si>
  <si>
    <r>
      <rPr>
        <rFont val="Arial"/>
        <color rgb="FF000000"/>
        <sz val="10.0"/>
      </rPr>
      <t>Gravity Main</t>
    </r>
  </si>
  <si>
    <r>
      <rPr>
        <rFont val="Arial"/>
        <color rgb="FF000000"/>
        <sz val="10.0"/>
      </rPr>
      <t>Collection system structural failure</t>
    </r>
  </si>
  <si>
    <t>13:27</t>
  </si>
  <si>
    <r>
      <rPr>
        <rFont val="Arial"/>
        <color rgb="FF000000"/>
        <sz val="10.0"/>
      </rPr>
      <t>Post Warning Signs</t>
    </r>
  </si>
  <si>
    <r>
      <rPr>
        <rFont val="Arial"/>
        <color rgb="FF000000"/>
        <sz val="10.0"/>
      </rPr>
      <t>9624 BECKLEY ST</t>
    </r>
  </si>
  <si>
    <r>
      <rPr>
        <rFont val="Arial"/>
        <color rgb="FF000000"/>
        <sz val="10.0"/>
      </rPr>
      <t>Service Lateral</t>
    </r>
  </si>
  <si>
    <r>
      <rPr>
        <rFont val="Arial"/>
        <color rgb="FF000000"/>
        <sz val="10.0"/>
      </rPr>
      <t>Collection
system structural blockage</t>
    </r>
  </si>
  <si>
    <r>
      <rPr>
        <rFont val="Arial"/>
        <color rgb="FF000000"/>
        <sz val="10.0"/>
      </rPr>
      <t>Cleared Service Lateral;Cleaned and Disinfected</t>
    </r>
  </si>
  <si>
    <r>
      <rPr>
        <rFont val="Arial"/>
        <color rgb="FF000000"/>
        <sz val="10.0"/>
      </rPr>
      <t>2021 JACQUELYN DR</t>
    </r>
  </si>
  <si>
    <r>
      <rPr>
        <rFont val="Arial"/>
        <color rgb="FF000000"/>
        <sz val="10.0"/>
      </rPr>
      <t>Service Lateral</t>
    </r>
  </si>
  <si>
    <r>
      <rPr>
        <rFont val="Arial"/>
        <color rgb="FF000000"/>
        <sz val="10.0"/>
      </rPr>
      <t>Cleaned and Disinfected</t>
    </r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</si>
  <si>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</si>
  <si>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Cleaned and Disinfected;Cleared Main Line</t>
    </r>
  </si>
  <si>
    <t>1030 VOIGHT ST</t>
  </si>
  <si>
    <r>
      <rPr>
        <rFont val="Arial"/>
        <color rgb="FF000000"/>
        <sz val="10.0"/>
      </rPr>
      <t>Grease
Blockage</t>
    </r>
  </si>
  <si>
    <r>
      <rPr>
        <rFont val="Arial"/>
        <color rgb="FF000000"/>
        <sz val="10.0"/>
      </rPr>
      <t>Cleared Main Line;Cleaned and
Disinfected</t>
    </r>
  </si>
  <si>
    <t>6421 ELLA LEE LN</t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</si>
  <si>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</si>
  <si>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Cleared Main Line;Cleaned and Disinfected</t>
    </r>
  </si>
  <si>
    <t>2574 MARILEE LN</t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</si>
  <si>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</si>
  <si>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Cleared Main Line;Cleaned and Disinfected</t>
    </r>
  </si>
  <si>
    <r>
      <rPr>
        <rFont val="Arial"/>
        <color rgb="FF000000"/>
        <sz val="10.0"/>
      </rPr>
      <t>2219 DEVONSHIRE ST</t>
    </r>
  </si>
  <si>
    <r>
      <rPr>
        <rFont val="Arial"/>
        <color rgb="FF000000"/>
        <sz val="10.0"/>
      </rPr>
      <t>City Cleanout</t>
    </r>
  </si>
  <si>
    <r>
      <rPr>
        <rFont val="Arial"/>
        <color rgb="FF000000"/>
        <sz val="10.0"/>
      </rPr>
      <t>Grease Blockage</t>
    </r>
  </si>
  <si>
    <r>
      <rPr>
        <rFont val="Arial"/>
        <color rgb="FF000000"/>
        <sz val="10.0"/>
      </rPr>
      <t>Cleared Main Line;Cleaned and Disinfected</t>
    </r>
  </si>
  <si>
    <r>
      <rPr>
        <rFont val="Arial"/>
        <color rgb="FF000000"/>
        <sz val="10.0"/>
      </rPr>
      <t>3107 N COTSWOLD MANOR DR</t>
    </r>
  </si>
  <si>
    <r>
      <rPr>
        <rFont val="Arial"/>
        <color rgb="FF000000"/>
        <sz val="10.0"/>
      </rPr>
      <t>Force Main</t>
    </r>
  </si>
  <si>
    <r>
      <rPr>
        <rFont val="Arial"/>
        <color rgb="FF000000"/>
        <sz val="10.0"/>
      </rPr>
      <t>Collection system structural
failure</t>
    </r>
  </si>
  <si>
    <r>
      <rPr>
        <rFont val="Arial"/>
        <color rgb="FF000000"/>
        <sz val="10.0"/>
      </rPr>
      <t>Cleaned and Disinfected</t>
    </r>
  </si>
  <si>
    <r>
      <rPr>
        <rFont val="Arial"/>
        <color rgb="FF000000"/>
        <sz val="10.0"/>
      </rPr>
      <t>9401 AVENUE H</t>
    </r>
  </si>
  <si>
    <r>
      <rPr>
        <rFont val="Arial"/>
        <color rgb="FF000000"/>
        <sz val="10.0"/>
      </rPr>
      <t>Service Lateral</t>
    </r>
  </si>
  <si>
    <r>
      <rPr>
        <rFont val="Arial"/>
        <color rgb="FF000000"/>
        <sz val="10.0"/>
      </rPr>
      <t>Collection system structural blockage</t>
    </r>
  </si>
  <si>
    <r>
      <rPr>
        <rFont val="Arial"/>
        <color rgb="FF000000"/>
        <sz val="10.0"/>
      </rPr>
      <t>Cleaned and Disinfected</t>
    </r>
  </si>
  <si>
    <t>14618 HEMPSTEAD RD</t>
  </si>
  <si>
    <t>Grease
Blockage</t>
  </si>
  <si>
    <t>Cleared City Clean Out;Cleaned and
Disinfected</t>
  </si>
  <si>
    <t>433 SEDGWICK DR</t>
  </si>
  <si>
    <t>16610 RUSTON ST</t>
  </si>
  <si>
    <t>5502 TELEPHONE RD</t>
  </si>
  <si>
    <t>6220 WEDGEFIELD ST</t>
  </si>
  <si>
    <t>10835 W LITTLE YORK RD</t>
  </si>
  <si>
    <t>Cleaned and Disinfected;Cleared Main
Line</t>
  </si>
  <si>
    <t>1511 SUMMER ST</t>
  </si>
  <si>
    <t>Collection system structural
failure</t>
  </si>
  <si>
    <t>Cleaned and Disinfected;Add Comments</t>
  </si>
  <si>
    <t>9501 LONG POINT RD</t>
  </si>
  <si>
    <t>3623 KATY FWY</t>
  </si>
  <si>
    <t>9525 S KIRKWOOD RD</t>
  </si>
  <si>
    <t>Cleared Main Line;Cleaned and
Disinfected</t>
  </si>
  <si>
    <t>1214 STONEHOLLOW DR</t>
  </si>
  <si>
    <t>7402 SENFRONIA HILLS DR</t>
  </si>
  <si>
    <t>2052 SWIFT BLVD</t>
  </si>
  <si>
    <t>9630 INTERVALE ST</t>
  </si>
  <si>
    <t>Service
Lateral</t>
  </si>
  <si>
    <t>Cleaned and Disinfected;Cleared City
Clean Out</t>
  </si>
  <si>
    <t>7914 WILMERDEAN ST</t>
  </si>
  <si>
    <t>10614 CHEEVES DR</t>
  </si>
  <si>
    <t>10839 BELLAIRE BLVD</t>
  </si>
  <si>
    <t>12750 COULSON ST</t>
  </si>
  <si>
    <t>6805 COHN ST</t>
  </si>
  <si>
    <t>10318 CAXTON ST</t>
  </si>
  <si>
    <t>18:16</t>
  </si>
  <si>
    <t>7459 WHEATLEY GARDENS DR</t>
  </si>
  <si>
    <t>10225 SCOTT ST</t>
  </si>
  <si>
    <t>6343 FRENCH CHATEAU DR</t>
  </si>
  <si>
    <t>1211 SHELBY ST</t>
  </si>
  <si>
    <t>8201 W BELLFORT AVE</t>
  </si>
  <si>
    <t>117 N 79TH ST</t>
  </si>
  <si>
    <t>952 JUDIWAY ST</t>
  </si>
  <si>
    <t>3306 FOLGER ST</t>
  </si>
  <si>
    <t>5509 CAVALCADE ST</t>
  </si>
  <si>
    <t>1206 HENNINGER ST</t>
  </si>
  <si>
    <t>3800 TANGLEWILDE ST</t>
  </si>
  <si>
    <t>459 CLAIRE LN</t>
  </si>
  <si>
    <t>9126 MADERA RD</t>
  </si>
  <si>
    <t>Cleaned and Disinfected;Cleared
Service Lateral</t>
  </si>
  <si>
    <t>8709 BLANKENSHIP DR</t>
  </si>
  <si>
    <t>6700 BELLAIRE BLVD</t>
  </si>
  <si>
    <t>12803 HARLESDEN LN</t>
  </si>
  <si>
    <t>Collection system temporary
blockage</t>
  </si>
  <si>
    <t>8:02</t>
  </si>
  <si>
    <t>4801 JEWEL ST</t>
  </si>
  <si>
    <t>3602 OLD SPANISH TRL</t>
  </si>
  <si>
    <t>2219 DEVONSHIRE ST</t>
  </si>
  <si>
    <t>20:15</t>
  </si>
  <si>
    <t>1001 HEIGHTS BLVD</t>
  </si>
  <si>
    <t>3140 WEBSTER ST</t>
  </si>
  <si>
    <t>743 SHOTWELL ST</t>
  </si>
  <si>
    <t>737 W 21ST ST</t>
  </si>
  <si>
    <t>7801 BALTIMORE ST</t>
  </si>
  <si>
    <t>Collection system structural
blockage</t>
  </si>
  <si>
    <t>3002 DOLORES PARK LN</t>
  </si>
  <si>
    <t>8150 SNOWDEN ST</t>
  </si>
  <si>
    <t>Cleared City Clean Out;Cleaned and Disinfected;</t>
  </si>
  <si>
    <t>6532 CANAL ST</t>
  </si>
  <si>
    <t>6227 STANDING OAKS ST</t>
  </si>
  <si>
    <t>77050</t>
  </si>
  <si>
    <t>7745 LONG POINT RD</t>
  </si>
  <si>
    <t>1514 WIRT RD</t>
  </si>
  <si>
    <t>2305 HAYES RD</t>
  </si>
  <si>
    <t>Storm Sewer -
contained</t>
  </si>
  <si>
    <t>5827 VILLAGE FOREST CT</t>
  </si>
  <si>
    <t>777 W 23RD ST</t>
  </si>
  <si>
    <t>1320 SCOTT ST</t>
  </si>
  <si>
    <t>6438 WILCREST DR</t>
  </si>
  <si>
    <t>2931 MEIKO DR</t>
  </si>
  <si>
    <t>13342 JOLIET ST</t>
  </si>
  <si>
    <t>4420 TRAVIS ST</t>
  </si>
  <si>
    <t>9747 CASA LOMA DR</t>
  </si>
  <si>
    <t>15:29</t>
  </si>
  <si>
    <t>901 W 23RD ST</t>
  </si>
  <si>
    <t>514 MAPLE WAY</t>
  </si>
  <si>
    <t>8447 PARK PLACE BLVD</t>
  </si>
  <si>
    <t>7132 AVENUE Q</t>
  </si>
  <si>
    <t>8037 OAK KNOLL LN</t>
  </si>
  <si>
    <t>8227 SUMMER QUAIL DR</t>
  </si>
  <si>
    <t>10145 FRIENDLY RD</t>
  </si>
  <si>
    <t>3471 LOCKE LN</t>
  </si>
  <si>
    <t>17:04</t>
  </si>
  <si>
    <t>3712 S SHEPHERD DR</t>
  </si>
  <si>
    <t>8:19</t>
  </si>
  <si>
    <t>6018 HIGH STAR DR</t>
  </si>
  <si>
    <t>10201 MAIN ST</t>
  </si>
  <si>
    <t>2900 TRAVIS ST</t>
  </si>
  <si>
    <t>13001 NYACK DR</t>
  </si>
  <si>
    <t>6730 HENDON LN</t>
  </si>
  <si>
    <t>6927 INDIAN FALLS DR</t>
  </si>
  <si>
    <t>12400 BROOKGLADE CIR</t>
  </si>
  <si>
    <t>6538 SOUTH FWY</t>
  </si>
  <si>
    <t>8205 PEACHTREE ST</t>
  </si>
  <si>
    <t>9307 VICKIJOHN DR</t>
  </si>
  <si>
    <t>6900 LAWNDALE ST</t>
  </si>
  <si>
    <t>7727 DEL GLEN LN</t>
  </si>
  <si>
    <t>4501 MARTIN LUTHER KING BLVD</t>
  </si>
  <si>
    <t>6418 SHERMAN ST</t>
  </si>
  <si>
    <t>Contained On Site, not
 within 5 ft. of Bayou/Surface Water/Drainage Ditch</t>
  </si>
  <si>
    <t>6110 CULLEN BLVD</t>
  </si>
  <si>
    <t>11703 FLEMING DR</t>
  </si>
  <si>
    <t>4923 E RIDGE CREEK DR</t>
  </si>
  <si>
    <t>2305 BREWSTER ST</t>
  </si>
  <si>
    <t>5714 NEWQUAY ST</t>
  </si>
  <si>
    <t>3212 HILLCROFT AVE</t>
  </si>
  <si>
    <t>5305 ANTOINE DR</t>
  </si>
  <si>
    <t>12322 BEXLEY DR</t>
  </si>
  <si>
    <t>8022 CANDLE LN</t>
  </si>
  <si>
    <t>5109 NEW ORLEANS ST</t>
  </si>
  <si>
    <t>16234 DIAMOND RIDGE DR</t>
  </si>
  <si>
    <t>8333 BRAESMAIN DR</t>
  </si>
  <si>
    <t>400 N SAM HOUSTON PKWY</t>
  </si>
  <si>
    <t>7815 BETTY JANE LN</t>
  </si>
  <si>
    <t>900 N DURHAM DR</t>
  </si>
  <si>
    <t>14875 WATERLOO DR</t>
  </si>
  <si>
    <t>9503 VANWOOD ST</t>
  </si>
  <si>
    <t>7706 ELLIS DR</t>
  </si>
  <si>
    <t>3043 GOLFCREST BLVD</t>
  </si>
  <si>
    <t>1208 W DREW ST</t>
  </si>
  <si>
    <t>908 LAWRENCE ST</t>
  </si>
  <si>
    <t>5418 BRETSHIRE DR</t>
  </si>
  <si>
    <t>159 LUTHER ST</t>
  </si>
  <si>
    <t>8139 FILLTOP ST</t>
  </si>
  <si>
    <t>61 E SUNNYSIDE ST</t>
  </si>
  <si>
    <t>154 HARDWICKE RD</t>
  </si>
  <si>
    <t>9319 MCAVOY DR</t>
  </si>
  <si>
    <t>4519 EDSEE ST</t>
  </si>
  <si>
    <t>12003 VALLEY HILLS DR</t>
  </si>
  <si>
    <t>4615 SMOOTH OAK LN</t>
  </si>
  <si>
    <t>12813 ARP ST</t>
  </si>
  <si>
    <t>Contained On Site, not within 5 ft. of Bayou/Surface
 Water/Drainage Ditch</t>
  </si>
  <si>
    <t>11303 SHARPVIEW DR</t>
  </si>
  <si>
    <t>Collection system
temporary blockage</t>
  </si>
  <si>
    <t>1849 COLQUITT ST</t>
  </si>
  <si>
    <t>17404 KATY FWY</t>
  </si>
  <si>
    <t>77084</t>
  </si>
  <si>
    <t>2333 BERRY RD</t>
  </si>
  <si>
    <t>300 W 20TH ST</t>
  </si>
  <si>
    <t>12938 WESTELLA DR</t>
  </si>
  <si>
    <t>6231 GREY OAKS DR</t>
  </si>
  <si>
    <t>1200 DAIRY ASHFORD RD</t>
  </si>
  <si>
    <t>12606 ASHCLIFT DR</t>
  </si>
  <si>
    <t>3520 MOUNT PLEASANT ST</t>
  </si>
  <si>
    <t>7373 N WAYSIDE DR</t>
  </si>
  <si>
    <t>5003 E RIDGE CREEK DR</t>
  </si>
  <si>
    <t>5858 2/3 REIMS RD</t>
  </si>
  <si>
    <t>8966 IMOGENE ST</t>
  </si>
  <si>
    <t>10909 GULF FWY</t>
  </si>
  <si>
    <t>10532 S POST OAK RD</t>
  </si>
  <si>
    <t>7527 LEAFTEX DR</t>
  </si>
  <si>
    <t>8502 SANDY GLEN LN</t>
  </si>
  <si>
    <t>205 E HAMILTON ST</t>
  </si>
  <si>
    <t>Contain All or Portion of Spill;Cleaned and Disinfected;Cleared Main Line</t>
  </si>
  <si>
    <t>10901 TELEPHONE RD</t>
  </si>
  <si>
    <t>10830 SAGEVALE LN</t>
  </si>
  <si>
    <t>9703 RAVENSWORTH DR</t>
  </si>
  <si>
    <t>1019 E 7TH ST</t>
  </si>
  <si>
    <t>7313 SANTIAGO ST</t>
  </si>
  <si>
    <t>1820 KANE ST</t>
  </si>
  <si>
    <t>8435 SPRINGTIME LN</t>
  </si>
  <si>
    <t>9009 IMOGENE ST</t>
  </si>
  <si>
    <t>13338 ORLEANS ST</t>
  </si>
  <si>
    <t>5207 BRAESHEATHER DR</t>
  </si>
  <si>
    <t>5114 PARKRIDGE DR</t>
  </si>
  <si>
    <t>12213 DASHWOOD DR</t>
  </si>
  <si>
    <t>2508 JAMESTOWN MALL</t>
  </si>
  <si>
    <t>7835 GROW LN</t>
  </si>
  <si>
    <t>2207 RIVER OAKS BLVD</t>
  </si>
  <si>
    <t>4809 BEECHAVEN DR</t>
  </si>
  <si>
    <t>11411 GREEN PLAZA DR</t>
  </si>
  <si>
    <t>77038</t>
  </si>
  <si>
    <t>10122 MARISA ALEXIS DR</t>
  </si>
  <si>
    <t>7922 LIVINGSTON ST</t>
  </si>
  <si>
    <t>5342 WINDSWEPT LN</t>
  </si>
  <si>
    <t>5495 LAMPASAS ST</t>
  </si>
  <si>
    <t>2923 ASHLEY ST</t>
  </si>
  <si>
    <t>10402 VALLEY FORGE DR</t>
  </si>
  <si>
    <t>11650 W BELLFORT AVE</t>
  </si>
  <si>
    <t>1408 ALABAMA ST</t>
  </si>
  <si>
    <t>1110 FERGUSON WAY</t>
  </si>
  <si>
    <t>2465 ELDRIDGE PKWY</t>
  </si>
  <si>
    <t>12727 HUNTINGTON FIELD DR</t>
  </si>
  <si>
    <t>3439 ASHLOCK DR</t>
  </si>
  <si>
    <t>8832 LAKES AT 610 DR</t>
  </si>
  <si>
    <t>8927 SAGE PLACE DR</t>
  </si>
  <si>
    <t>5255 PEASE ST</t>
  </si>
  <si>
    <t>5854 SAN FELIPE ST</t>
  </si>
  <si>
    <t>3715 GANO ST</t>
  </si>
  <si>
    <t>1655 NORFOLK ST</t>
  </si>
  <si>
    <t>1206 E 26TH ST</t>
  </si>
  <si>
    <t>1706 LAKESHORE DR</t>
  </si>
  <si>
    <t>1320 WILBURFORCE ST</t>
  </si>
  <si>
    <t>9925 BURDEN ST</t>
  </si>
  <si>
    <t>5700 LOST FOREST DR</t>
  </si>
  <si>
    <t>15885 RIDGECROFT RD</t>
  </si>
  <si>
    <t>2320 CRESLINE ST</t>
  </si>
  <si>
    <t>12235 WHITE CAP LN</t>
  </si>
  <si>
    <t>8225 SPAULDING ST</t>
  </si>
  <si>
    <t>19210 GULF FWY</t>
  </si>
  <si>
    <t>77546</t>
  </si>
  <si>
    <t>13367 LOUISVILLE ST</t>
  </si>
  <si>
    <t>12402 HILLCROFT AVE</t>
  </si>
  <si>
    <t>7237 LYONS AVE</t>
  </si>
  <si>
    <t>6815 INWOOD WEST DR</t>
  </si>
  <si>
    <t>1504 TAUB LOOP</t>
  </si>
  <si>
    <t>4023 HEATHERBLOOM DR</t>
  </si>
  <si>
    <t>7972 RAVENWOOD CIR</t>
  </si>
  <si>
    <t>6125 COLLINGSWORTH ST</t>
  </si>
  <si>
    <t>6720 DE MOSS DR</t>
  </si>
  <si>
    <t>13310 GERRARDS CROSS DR</t>
  </si>
  <si>
    <t>4701 CLINTON DR</t>
  </si>
  <si>
    <t>4902 LYONS AVE</t>
  </si>
  <si>
    <t>5715 GARDEN POINT DR</t>
  </si>
  <si>
    <t>15280 CHIPMAN LN</t>
  </si>
  <si>
    <t>2302 STATELY OAK ST</t>
  </si>
  <si>
    <t>7402 DALLAS ST</t>
  </si>
  <si>
    <t>7707 SIGN ST</t>
  </si>
  <si>
    <t>11621 FLEMING DR</t>
  </si>
  <si>
    <t>4925 OAKLAND ST</t>
  </si>
  <si>
    <t>1811 CALUMET ST</t>
  </si>
  <si>
    <t>803 STANFORD ST</t>
  </si>
  <si>
    <t>8603 LOMAX ST</t>
  </si>
  <si>
    <t>11802 HILLCROFT AVE</t>
  </si>
  <si>
    <t>406 W 22ND ST</t>
  </si>
  <si>
    <t>413 MAYFORD ST</t>
  </si>
  <si>
    <t>6111 WILLOWBEND BLVD</t>
  </si>
  <si>
    <t>6030 TRURO ST</t>
  </si>
  <si>
    <t>4676 BELLFORT ST</t>
  </si>
  <si>
    <t>8822 VINKINS RD</t>
  </si>
  <si>
    <t>3137 TILFER ST</t>
  </si>
  <si>
    <t>3215 S LOOP FWY</t>
  </si>
  <si>
    <t>715 REINERMAN ST</t>
  </si>
  <si>
    <t>1210 LUZON ST</t>
  </si>
  <si>
    <t>9639 BLACKHAWK BLVD</t>
  </si>
  <si>
    <t>3206 S GREENPARK DR</t>
  </si>
  <si>
    <t>8235 BROCKTON ST</t>
  </si>
  <si>
    <t>238 N SAMPSON ST</t>
  </si>
  <si>
    <t>6234 BRIAR TERRACE DR</t>
  </si>
  <si>
    <t>6150 HOLLY SPRINGS DR</t>
  </si>
  <si>
    <t>8715 W LOOP FWY</t>
  </si>
  <si>
    <t>5501 BEECHNUT ST</t>
  </si>
  <si>
    <t>1811 RUIZ ST</t>
  </si>
  <si>
    <t>5 ADAMS ST</t>
  </si>
  <si>
    <t>7216 AVENUE F</t>
  </si>
  <si>
    <t>Cleaned and Disinfected;Cleared City Clean Out;Contain All or Portion of Spill</t>
  </si>
  <si>
    <t>8241 BROCKTON ST</t>
  </si>
  <si>
    <t>7319 DALLAS ST</t>
  </si>
  <si>
    <t>8711 COMPTON ST</t>
  </si>
  <si>
    <t>1102 TEAL ST</t>
  </si>
  <si>
    <t>4420 CREEKMONT DR</t>
  </si>
  <si>
    <t>7825 CORPORATE DR</t>
  </si>
  <si>
    <t>11531 MISTY GLEN LN</t>
  </si>
  <si>
    <t>9725 BUCROFT ST</t>
  </si>
  <si>
    <t>7575 BISSONNET ST</t>
  </si>
  <si>
    <t>960 KIRBY DR</t>
  </si>
  <si>
    <t>8302 SUMMER QUAIL DR</t>
  </si>
  <si>
    <t>13513 CORPUS CHRISTI ST</t>
  </si>
  <si>
    <t>4320 EUROPA ST</t>
  </si>
  <si>
    <t>11902 CHANTELOUP DR</t>
  </si>
  <si>
    <t>4506 BLUE BONNET DR</t>
  </si>
  <si>
    <t>9009 RICHMOND AVE</t>
  </si>
  <si>
    <t>11201 FUQUA ST</t>
  </si>
  <si>
    <t>2374 DUNSTAN RD</t>
  </si>
  <si>
    <t>15807 CARDONO LN</t>
  </si>
  <si>
    <t>4002 CORDER ST</t>
  </si>
  <si>
    <t>8423 BRAES BLVD</t>
  </si>
  <si>
    <t>4306 GIBSON ST</t>
  </si>
  <si>
    <t>1014 GRENSHAW ST</t>
  </si>
  <si>
    <t>2500 S LOOP FWY</t>
  </si>
  <si>
    <t>9707 KIT ST</t>
  </si>
  <si>
    <t>4517 KINGWOOD DR</t>
  </si>
  <si>
    <t>2815 SAN JACINTO ST</t>
  </si>
  <si>
    <t>8518 BONNER DR</t>
  </si>
  <si>
    <t>5446 APPLE CREEK RD</t>
  </si>
  <si>
    <t>9801 FONDREN RD</t>
  </si>
  <si>
    <t>911 W LITTLE YORK RD</t>
  </si>
  <si>
    <t>141 E SUNNYSIDE ST</t>
  </si>
  <si>
    <t>12607 ASHFORD MEADOW DR</t>
  </si>
  <si>
    <t>14910 CHADBOURNE DR</t>
  </si>
  <si>
    <t>15115 WELLMAN LN</t>
  </si>
  <si>
    <t>2305  CENTER ST</t>
  </si>
  <si>
    <t>7521  PAGEWOOD LN</t>
  </si>
  <si>
    <t>5504  SHADOW CREST ST</t>
  </si>
  <si>
    <t>4219  EDISON ST</t>
  </si>
  <si>
    <t>2074  ANTOINE DR</t>
  </si>
  <si>
    <t>Cleared City Cleanout;Cleaned and Disinfected;Set Bypass Pump</t>
  </si>
  <si>
    <t>410  LONGWOODS LN</t>
  </si>
  <si>
    <t>9716  EDGEWORTH ST</t>
  </si>
  <si>
    <t>10627  ALBURY DR</t>
  </si>
  <si>
    <t>330  HARBOR ST</t>
  </si>
  <si>
    <t>7324  EAGLE PASS ST</t>
  </si>
  <si>
    <t>5512  BUNTE ST</t>
  </si>
  <si>
    <t>5202 A  FLOYD ST</t>
  </si>
  <si>
    <t>10275  GREENFORK DR</t>
  </si>
  <si>
    <t>723  SHOTWELL ST</t>
  </si>
  <si>
    <t>5219  PENFIELD LN</t>
  </si>
  <si>
    <t>7550  EL RANCHO ST</t>
  </si>
  <si>
    <t>1556  PRAIRIE GROVE DR</t>
  </si>
  <si>
    <t>8915  COMPTON ST</t>
  </si>
  <si>
    <t>15107  WELLMAN LN</t>
  </si>
  <si>
    <t>3410  OAK FOREST DR</t>
  </si>
  <si>
    <t>1216  NORTHWOOD ST</t>
  </si>
  <si>
    <t>11607  NORTHWEST FWY</t>
  </si>
  <si>
    <t>8600  JAMEEL RD</t>
  </si>
  <si>
    <t>9555  CROFTON ST</t>
  </si>
  <si>
    <t>5138 CHEENA DR</t>
  </si>
  <si>
    <t>8563  MONTRIDGE DR</t>
  </si>
  <si>
    <t>609  SCHWEIKHARDT ST</t>
  </si>
  <si>
    <t>5213  LYONS AVE</t>
  </si>
  <si>
    <t>7725  AVENUE F</t>
  </si>
  <si>
    <t>1031  VOIGHT ST</t>
  </si>
  <si>
    <t>10903  RADFORD LN</t>
  </si>
  <si>
    <t>Cleaned and Disinfected;Cleared Main Line;Set bypass pump</t>
  </si>
  <si>
    <t>8602  VALLEY SONG DR</t>
  </si>
  <si>
    <t>7718  GRAHAMCREST DR</t>
  </si>
  <si>
    <t>711  SCHWEIKART ST</t>
  </si>
  <si>
    <t>307  FAIRVIEW AVE</t>
  </si>
  <si>
    <t>12614  SKYVIEW CREEK CT</t>
  </si>
  <si>
    <t>730  AUTUMNWOOD DR</t>
  </si>
  <si>
    <t>9009  RICHMOND AVE</t>
  </si>
  <si>
    <t>1214  NORTHWOOD ST</t>
  </si>
  <si>
    <t>1201  SPRING ST</t>
  </si>
  <si>
    <t>2419  PANNELL ST</t>
  </si>
  <si>
    <t>4113  PARKER RD</t>
  </si>
  <si>
    <t>5202  DARLING ST</t>
  </si>
  <si>
    <t>1015  VILLA DE MATEL RD</t>
  </si>
  <si>
    <t>9106 E HARDY RD</t>
  </si>
  <si>
    <t>11403  TRIOLA LN</t>
  </si>
  <si>
    <t>2120  WALKER ST</t>
  </si>
  <si>
    <t>705  EVANSTON ST</t>
  </si>
  <si>
    <t>4023  ANTOINETTE ST</t>
  </si>
  <si>
    <t>6606  KELLER ST</t>
  </si>
  <si>
    <t>5946  VAN FLEET ST</t>
  </si>
  <si>
    <t>6823  MORROW ST</t>
  </si>
  <si>
    <t>4703  BRYANT RIDGE RD</t>
  </si>
  <si>
    <t>8007  CAPITOL ST</t>
  </si>
  <si>
    <t>14031  NORTHWEST FWY</t>
  </si>
  <si>
    <t>7947  CAPITOL ST</t>
  </si>
  <si>
    <t>4923  CRANSWICK RD</t>
  </si>
  <si>
    <t>12058  WHITE CAP LN</t>
  </si>
  <si>
    <t>7931 CLAIRBORNE ST</t>
  </si>
  <si>
    <t>2407 PANNELL ST</t>
  </si>
  <si>
    <t>3230  GESSNER RD</t>
  </si>
  <si>
    <t>12477  STRICK LN</t>
  </si>
  <si>
    <t>13139  NORTH FWY</t>
  </si>
  <si>
    <t>Pump/Lift station instrumentation failure</t>
  </si>
  <si>
    <t>4019  ANTOINETTE ST</t>
  </si>
  <si>
    <t>8951  SUMMERSET MEADOW CT</t>
  </si>
  <si>
    <t>5301  COLLINGSWORTH ST</t>
  </si>
  <si>
    <t>5638  SOUTHBROOK DR</t>
  </si>
  <si>
    <t>7816 E MAGNOLIA ST</t>
  </si>
  <si>
    <t>11218  SAGEWILLOW LN</t>
  </si>
  <si>
    <t>6502  HAWKEYE CT</t>
  </si>
  <si>
    <t>6058  CRAB ORCHARD RD</t>
  </si>
  <si>
    <t>242  OWENS ST</t>
  </si>
  <si>
    <t>6232  AIRPORT BLVD</t>
  </si>
  <si>
    <t>614 S WAYSIDE ST</t>
  </si>
  <si>
    <t>7815  SUN RISE LN</t>
  </si>
  <si>
    <t>1655  NORFOLK ST</t>
  </si>
  <si>
    <t>12207  CARRSWOLD DR</t>
  </si>
  <si>
    <t>9811  SOUTHWEST FWY</t>
  </si>
  <si>
    <t>7142  YELLOW PINE DR</t>
  </si>
  <si>
    <t>4509  WIPPRECHT ST</t>
  </si>
  <si>
    <t>5815 W LITTLE YORK RD</t>
  </si>
  <si>
    <t>155  COOPER RD</t>
  </si>
  <si>
    <t>5800  SOUTHMUND ST</t>
  </si>
  <si>
    <t>10575  WESTPARK DR</t>
  </si>
  <si>
    <t>20  WICKERBAY ST</t>
  </si>
  <si>
    <t>8914  TRIOLA LN</t>
  </si>
  <si>
    <t>5353  DEEP FOREST DR</t>
  </si>
  <si>
    <t>1842 W ALABAMA ST</t>
  </si>
  <si>
    <t>3333  KATY FWY</t>
  </si>
  <si>
    <t>7003  AVENUE H</t>
  </si>
  <si>
    <t>7518  GRAPE ST</t>
  </si>
  <si>
    <t>12235  WHITE CAP LN</t>
  </si>
  <si>
    <t>2134  BINGLE RD</t>
  </si>
  <si>
    <t>5203 E PAGEWICK DR</t>
  </si>
  <si>
    <t>6522  GAINESVILLE ST</t>
  </si>
  <si>
    <t>1439  PRINCE ST</t>
  </si>
  <si>
    <t>2126  BAUER DR</t>
  </si>
  <si>
    <t>5416  DICKSON ST</t>
  </si>
  <si>
    <t>851  FEDERAL RD</t>
  </si>
  <si>
    <t>4720  MONTROSE BLVD</t>
  </si>
  <si>
    <t>12326  BARRYKNOLL LN</t>
  </si>
  <si>
    <t>2312  TERRY ST</t>
  </si>
  <si>
    <t>602 E 42ND ST</t>
  </si>
  <si>
    <t>7822  SUN RISE LN</t>
  </si>
  <si>
    <t>3422  VINTAGE ST</t>
  </si>
  <si>
    <t>8435  WESTGLEN DR</t>
  </si>
  <si>
    <t>1301  WAYSIDE DR</t>
  </si>
  <si>
    <t>6800  LYONS AVE</t>
  </si>
  <si>
    <t>1006  HACKNEY ST</t>
  </si>
  <si>
    <t>6335  BROOKSIDE DR</t>
  </si>
  <si>
    <t>22  DEER RIDGE ESTATES BLVD</t>
  </si>
  <si>
    <t>Lift Station</t>
  </si>
  <si>
    <t>1443  BLAIR ST</t>
  </si>
  <si>
    <t>8302  GULF TREE LN</t>
  </si>
  <si>
    <t>2302  STATELY OAK ST</t>
  </si>
  <si>
    <t>7901  LEONORA ST</t>
  </si>
  <si>
    <t>1325  MUNGER ST</t>
  </si>
  <si>
    <t>7509 1/2  PAGEWOOD LN</t>
  </si>
  <si>
    <t>6747  LAWNDALE ST</t>
  </si>
  <si>
    <t>8550  GUINEVERE ST</t>
  </si>
  <si>
    <t>2914  STAPLES ST</t>
  </si>
  <si>
    <t>7835  GROW LN</t>
  </si>
  <si>
    <t>4902 PERSHING ST</t>
  </si>
  <si>
    <t>10906  SAGETRAIL DR</t>
  </si>
  <si>
    <t>2101  POLK ST</t>
  </si>
  <si>
    <t>6343  FRENCH CHATEAU DR</t>
  </si>
  <si>
    <t>14875  WATERLOO DR</t>
  </si>
  <si>
    <t>5810  VAN ZANDT ST</t>
  </si>
  <si>
    <t>2600  TRAVIS ST</t>
  </si>
  <si>
    <t>7703  TRAVIS PARK LN</t>
  </si>
  <si>
    <t>1200  DAIRY ASHFORD RD</t>
  </si>
  <si>
    <t>11502  VANDERFORD DR</t>
  </si>
  <si>
    <t>13313  VICKSBURG ST</t>
  </si>
  <si>
    <t>2401  MILWAUKEE ST</t>
  </si>
  <si>
    <t>13118  APPLE GLEN LN</t>
  </si>
  <si>
    <t>3822  OLD SPANISH TRL</t>
  </si>
  <si>
    <t>15171  CHIPMAN LN</t>
  </si>
  <si>
    <t>2727  BAY AREA BLVD</t>
  </si>
  <si>
    <t>77058</t>
  </si>
  <si>
    <t>3766  GRENNOCH LN</t>
  </si>
  <si>
    <t>11201  LYNBROOK DR</t>
  </si>
  <si>
    <t>7818  GLOVER ST</t>
  </si>
  <si>
    <t>5  ADAMS ST</t>
  </si>
  <si>
    <t>8778  AIRPORT BLVD</t>
  </si>
  <si>
    <t>12826  SHANNON HILLS DR</t>
  </si>
  <si>
    <t>6441  OLD CHATHAM LN</t>
  </si>
  <si>
    <t>1430 W 19TH ST</t>
  </si>
  <si>
    <t>11911  CHIMNEY ROCK DR</t>
  </si>
  <si>
    <t>5315  LEELAND ST</t>
  </si>
  <si>
    <t>6301  FORCE ST</t>
  </si>
  <si>
    <t>5410  HIRSCH RD</t>
  </si>
  <si>
    <t>8056  WIER DR</t>
  </si>
  <si>
    <t>16314  BERETTA CT</t>
  </si>
  <si>
    <t>10707 S GESSNER RD</t>
  </si>
  <si>
    <t>3719 W OREM DR</t>
  </si>
  <si>
    <t>4614  CHISUM ST</t>
  </si>
  <si>
    <t>6363  SAN FELIPE ST</t>
  </si>
  <si>
    <t>1420 W LITTLE YORK RD</t>
  </si>
  <si>
    <t>12130  DICKINSON RD</t>
  </si>
  <si>
    <t>3010  NORHILL BLVD</t>
  </si>
  <si>
    <t>5403  JEFFERSON ST</t>
  </si>
  <si>
    <t>9708 W BELLFORT AVE</t>
  </si>
  <si>
    <t>501  GREENS RD</t>
  </si>
  <si>
    <t>3819  BOTANY LN</t>
  </si>
  <si>
    <t>9708  LOCKWOOD DR</t>
  </si>
  <si>
    <t>1850  COLQUITT ST</t>
  </si>
  <si>
    <t>6060  SOUTHWEST FWY</t>
  </si>
  <si>
    <t>9872  LEDGE ST</t>
  </si>
  <si>
    <t>4676  BELLFORT ST</t>
  </si>
  <si>
    <t>4508 A OLD YALE ST</t>
  </si>
  <si>
    <t>12720  FEATHERWOOD DR</t>
  </si>
  <si>
    <t>3354  ROGERDALE RD</t>
  </si>
  <si>
    <t>201  HUTCHINS ST</t>
  </si>
  <si>
    <t>5111  FRISCH ST</t>
  </si>
  <si>
    <t>11914  MEADOWFAIR ST</t>
  </si>
  <si>
    <t>8637  WOODLYN RD</t>
  </si>
  <si>
    <t>1410  DEL NORTE ST</t>
  </si>
  <si>
    <t>5620  TIDWELL RD</t>
  </si>
  <si>
    <t>11210  SCARSDALE BLVD</t>
  </si>
  <si>
    <t>Contain All or Portion of Spill;Cleaned and Disinfected;Blocked and Bagged Storm Drain</t>
  </si>
  <si>
    <t>2233 S VOSS RD</t>
  </si>
  <si>
    <t>6748  PEERLESS ST</t>
  </si>
  <si>
    <t>5  KILLARNEY CT</t>
  </si>
  <si>
    <t>2950  BROADWAY ST</t>
  </si>
  <si>
    <t>12023  BISSONNET ST</t>
  </si>
  <si>
    <t>10000  HAMMERLY BLVD</t>
  </si>
  <si>
    <t>15910  RIDGEROCK RD</t>
  </si>
  <si>
    <t>9313  INTERVALE ST</t>
  </si>
  <si>
    <t>7118  TUCK ST</t>
  </si>
  <si>
    <t>4902  LYONS AVE</t>
  </si>
  <si>
    <t>4819  IRVINGTON BLVD</t>
  </si>
  <si>
    <t>5255  PEASE ST</t>
  </si>
  <si>
    <t>8017  NORVIC ST</t>
  </si>
  <si>
    <t>1253  BLALOCK RD</t>
  </si>
  <si>
    <t>2306  BRAZOS ST</t>
  </si>
  <si>
    <t>6319  MARDALE DR</t>
  </si>
  <si>
    <t>4101  GANO ST</t>
  </si>
  <si>
    <t>1920  WIRT RD</t>
  </si>
  <si>
    <t>16485  IMPERIAL VALLEY DR</t>
  </si>
  <si>
    <t>1314  NORTH BLVD</t>
  </si>
  <si>
    <t>1200 W TIDWELL RD</t>
  </si>
  <si>
    <t>6700  CHIMNEY ROCK RD</t>
  </si>
  <si>
    <t>6246  WESTWARD ST</t>
  </si>
  <si>
    <t>3701  KIRBY DR</t>
  </si>
  <si>
    <t>7642  AVENUE I</t>
  </si>
  <si>
    <t>5505  PINE ST</t>
  </si>
  <si>
    <t>11302  BROOK MEADOW CIR</t>
  </si>
  <si>
    <t>Post Warning Signs;Cleaned and Disinfected;Contain All or Portion of Spill</t>
  </si>
  <si>
    <t>6747 LAWNDALE ST</t>
  </si>
  <si>
    <t>4306  YOAKUM BLVD</t>
  </si>
  <si>
    <t>7103  LINA ST</t>
  </si>
  <si>
    <t>4910  ALLENDALE RD</t>
  </si>
  <si>
    <t>2933  KIRK ST</t>
  </si>
  <si>
    <t>4621  ALVIN ST</t>
  </si>
  <si>
    <t>6701  LONGVIEW ST</t>
  </si>
  <si>
    <t>7904  PHIL ST</t>
  </si>
  <si>
    <t>6618  INWOOD WEST DR</t>
  </si>
  <si>
    <t>4528  LEELAND ST</t>
  </si>
  <si>
    <t>1098  HORNE ST</t>
  </si>
  <si>
    <t>7527  LEAFTEX DR</t>
  </si>
  <si>
    <t>2122  BAUER DR</t>
  </si>
  <si>
    <t>3713  JENSEN DR</t>
  </si>
  <si>
    <t>1415 W GULF BANK RD</t>
  </si>
  <si>
    <t>706  FAIRBANKS ST</t>
  </si>
  <si>
    <t>2840  CHIMNEY ROCK RD</t>
  </si>
  <si>
    <t>4408 A  SCHULER ST</t>
  </si>
  <si>
    <t>8415  WHITECASTLE LN</t>
  </si>
  <si>
    <t>6538  SOUTH FWY</t>
  </si>
  <si>
    <t>10501  MOORBERRY LN</t>
  </si>
  <si>
    <t>6423  TAUTENHAHN RD</t>
  </si>
  <si>
    <t>6615  HILLSBORO ST</t>
  </si>
  <si>
    <t>Cleaned and Disinfected;Set bypass pump</t>
  </si>
  <si>
    <t>11010 CONCHO ST</t>
  </si>
  <si>
    <t>8111  GESSNER DR</t>
  </si>
  <si>
    <t>8235  SANDS POINT DR</t>
  </si>
  <si>
    <t>8798  HIRSCH RD</t>
  </si>
  <si>
    <t>169 E WITCHER LN</t>
  </si>
  <si>
    <t>4303  BROOKFIELD DR</t>
  </si>
  <si>
    <t>11411  GREEN PLAZA DR</t>
  </si>
  <si>
    <t>1200  WOODING ST</t>
  </si>
  <si>
    <t>909  ELLISTON ST</t>
  </si>
  <si>
    <t>11212  WESTPARK DR</t>
  </si>
  <si>
    <t>802  CHRISTINE ST</t>
  </si>
  <si>
    <t>5809  SENIOR ST</t>
  </si>
  <si>
    <t>5012  LOS ANGELES ST</t>
  </si>
  <si>
    <t>2408  KING ST</t>
  </si>
  <si>
    <t>37  SOREN LN</t>
  </si>
  <si>
    <t>804  HARBOR ST</t>
  </si>
  <si>
    <t>3502  DARLINGHURST DR</t>
  </si>
  <si>
    <t>11974  NORTH FWY</t>
  </si>
  <si>
    <t>5335 W GULF BANK RD</t>
  </si>
  <si>
    <t>1126 W 21ST ST</t>
  </si>
  <si>
    <t>8100  BELLAIRE BLVD</t>
  </si>
  <si>
    <t>6922 S LOOP FWY</t>
  </si>
  <si>
    <t>8175  OGDEN ST</t>
  </si>
  <si>
    <t>8227  JET PILOT AVE</t>
  </si>
  <si>
    <t>1811  CALUMET ST</t>
  </si>
  <si>
    <t>6010  SUNNYCREST ST</t>
  </si>
  <si>
    <t>2523  MAXROY ST</t>
  </si>
  <si>
    <t>2409  ABERNATHY ST</t>
  </si>
  <si>
    <t>1414  DEL NORTE ST</t>
  </si>
  <si>
    <t>10610  FLEMING DR</t>
  </si>
  <si>
    <t>2617 CANAL ST</t>
  </si>
  <si>
    <t>Cleaned and Disinfected; Cleared City Clean Out</t>
  </si>
  <si>
    <t>9429 AVENUE L</t>
  </si>
  <si>
    <t>Set Bypass Pump; Cleaned and Disinfected</t>
  </si>
  <si>
    <t>707 QUITMAN ST</t>
  </si>
  <si>
    <t>12751 ZAVALLA ST</t>
  </si>
  <si>
    <t>8210 DAWN QUAIL CT</t>
  </si>
  <si>
    <t>Cleaned and Disinfected; Cleared Main Line</t>
  </si>
  <si>
    <t>1118 PLEASANTVILLE DR</t>
  </si>
  <si>
    <t>6414 KERNEL ST</t>
  </si>
  <si>
    <t>3518 CORKSIE ST</t>
  </si>
  <si>
    <t>12223 SHADY DOWNS DR</t>
  </si>
  <si>
    <t>12510 GREEN DR</t>
  </si>
  <si>
    <t>1812 STEVENS ST</t>
  </si>
  <si>
    <t>Cleaned and Disinfected; Cleared Service Lateral</t>
  </si>
  <si>
    <t>10831 CHEEVES DR</t>
  </si>
  <si>
    <t>2409 ABERNATHY ST</t>
  </si>
  <si>
    <t>Set Bypass Pump; Cleaned and Disinfected; Post Warning Signs</t>
  </si>
  <si>
    <t>9400 IRVINGTON BLVD</t>
  </si>
  <si>
    <t>12765 NIMITZ ST</t>
  </si>
  <si>
    <t>15802 GALVESTON RD</t>
  </si>
  <si>
    <t>1554 LAWSON ST</t>
  </si>
  <si>
    <t>1620 LOOP FWY</t>
  </si>
  <si>
    <t>813 ST EMANUEL ST</t>
  </si>
  <si>
    <t>6725 POLK ST</t>
  </si>
  <si>
    <t>7428 CABOT ST</t>
  </si>
  <si>
    <t>12818 LILA LN</t>
  </si>
  <si>
    <t>10763 EASTEX FWY</t>
  </si>
  <si>
    <t>6000 SUNFOREST DR</t>
  </si>
  <si>
    <t>5555 GULF BANK RD</t>
  </si>
  <si>
    <t>5806 MAYBELL ST</t>
  </si>
  <si>
    <t>3601 BLODGETT ST</t>
  </si>
  <si>
    <t>4125 TIFFIN ST</t>
  </si>
  <si>
    <t>3131 PRESCOTT ST</t>
  </si>
  <si>
    <t>1905 DRISCOLL ST</t>
  </si>
  <si>
    <t>631 GAZIN ST</t>
  </si>
  <si>
    <t>1203 MCNEIL ST</t>
  </si>
  <si>
    <t>14031 NORTHWEST FWY</t>
  </si>
  <si>
    <t>1122 PAUL QUINN ST</t>
  </si>
  <si>
    <t>8028 GROW LN</t>
  </si>
  <si>
    <t>5610 CLINTON DR</t>
  </si>
  <si>
    <t>706 KING ST</t>
  </si>
  <si>
    <t>5731 HARVEY WILSON DR</t>
  </si>
  <si>
    <t>4403 BAYOU VISTA DR</t>
  </si>
  <si>
    <t>14315 BURGOYNE RD</t>
  </si>
  <si>
    <t>1216 NORTHWOOD ST</t>
  </si>
  <si>
    <t>Cleared Main Line; Set Bypass Pump; Cleaned and Disinfected</t>
  </si>
  <si>
    <t>12727 CORONA LN</t>
  </si>
  <si>
    <t>12320 ORMANDY ST</t>
  </si>
  <si>
    <t>15902 GALVESTON RD</t>
  </si>
  <si>
    <t>18 WICKERBAY ST</t>
  </si>
  <si>
    <t>406 MILWAUKEE ST</t>
  </si>
  <si>
    <t>37 SOREN LN</t>
  </si>
  <si>
    <t>12234 ORMANDY ST</t>
  </si>
  <si>
    <t>3535 CORDER ST</t>
  </si>
  <si>
    <t>11111 SANDSTONE ST</t>
  </si>
  <si>
    <t>5300 GULF BANK RD</t>
  </si>
  <si>
    <t>5407 JEFFERSON ST</t>
  </si>
  <si>
    <t>6000 GULF FWY</t>
  </si>
  <si>
    <t>9444 NEUENS RD</t>
  </si>
  <si>
    <t>8422 BRAES BLVD</t>
  </si>
  <si>
    <t>5919 JESSAMINE ST</t>
  </si>
  <si>
    <t>10907 CONCHO ST</t>
  </si>
  <si>
    <t>Building Backup</t>
  </si>
  <si>
    <t>4200 LOCKFIELD ST</t>
  </si>
  <si>
    <t>8310 LONE QUAIL DR</t>
  </si>
  <si>
    <t>1977 CAMPBELL RD</t>
  </si>
  <si>
    <t>7050 BENNINGTON ST</t>
  </si>
  <si>
    <t>4014 PROVIDENCE ST</t>
  </si>
  <si>
    <t>1505 BRITTMOORE RD</t>
  </si>
  <si>
    <t>402 41ST ST</t>
  </si>
  <si>
    <t>7515 SHINER LN</t>
  </si>
  <si>
    <t>6603 KELVIN DR</t>
  </si>
  <si>
    <t>4914 PEDERSON ST</t>
  </si>
  <si>
    <t>5402 DEEP FOREST DR</t>
  </si>
  <si>
    <t>6053 WORTHAM WAY</t>
  </si>
  <si>
    <t>5222 TARAWA RD</t>
  </si>
  <si>
    <t>5367 ANTOINE DR</t>
  </si>
  <si>
    <t>5654 HOMESTEAD RD</t>
  </si>
  <si>
    <t>920 VICTORY DR</t>
  </si>
  <si>
    <t>342 OXFORD ST</t>
  </si>
  <si>
    <t>2408 STAPLES ST</t>
  </si>
  <si>
    <t>10603 SCOTT ST</t>
  </si>
  <si>
    <t>6116 SOUTHWEST FWY</t>
  </si>
  <si>
    <t>2600 WESTRIDGE ST</t>
  </si>
  <si>
    <t>2101 BRIARGLEN DR</t>
  </si>
  <si>
    <t>6737 LOZIER ST</t>
  </si>
  <si>
    <t>9006 BEECHNUT ST</t>
  </si>
  <si>
    <t>518 13TH ST</t>
  </si>
  <si>
    <t>5923 WILLOW GLEN DR</t>
  </si>
  <si>
    <t>5600 RICHMOND AVE</t>
  </si>
  <si>
    <t>13735 BEAMER RD</t>
  </si>
  <si>
    <t>32 DE BOLL ST</t>
  </si>
  <si>
    <t>Cleaned and Disinfected; Post Warning Signs</t>
  </si>
  <si>
    <t>4930 CRUSE RD</t>
  </si>
  <si>
    <t>302 CROSSTIMBERS ST</t>
  </si>
  <si>
    <t>5310 BELLFORT AVE</t>
  </si>
  <si>
    <t>3210 DALLAS ST</t>
  </si>
  <si>
    <t>5919 ANNUNCIATION ST</t>
  </si>
  <si>
    <t>2410 SAM WILSON ST</t>
  </si>
  <si>
    <t>9234 GREEN RIVER DR</t>
  </si>
  <si>
    <t>10639 NORTON DR</t>
  </si>
  <si>
    <t>6017 HAMMAN ST</t>
  </si>
  <si>
    <t>8923 RICE AVE</t>
  </si>
  <si>
    <t>8701 BERTWOOD ST</t>
  </si>
  <si>
    <t>4103 VALOR ST</t>
  </si>
  <si>
    <t>1126 21ST ST</t>
  </si>
  <si>
    <t>8245 JET PILOT AVE</t>
  </si>
  <si>
    <t>7810 PIPING ROCK LN</t>
  </si>
  <si>
    <t>8209 MONTRIDGE DR</t>
  </si>
  <si>
    <t>4235 BARBERRY DR</t>
  </si>
  <si>
    <t>2475 KIRKWOOD RD</t>
  </si>
  <si>
    <t>4110 EMANCIPATION AVE</t>
  </si>
  <si>
    <t>511 WOOLWORTH ST</t>
  </si>
  <si>
    <t>6400 BELLFORT AVE</t>
  </si>
  <si>
    <t>5117 MALMEDY RD</t>
  </si>
  <si>
    <t>5107 TREMPER ST</t>
  </si>
  <si>
    <t>8110 ALLWOOD ST</t>
  </si>
  <si>
    <t>501 COLQUITT ST</t>
  </si>
  <si>
    <t>2250 ALBANS RD</t>
  </si>
  <si>
    <t>12534 HUNTINGTON FIELD DR</t>
  </si>
  <si>
    <t>1218 GENOVA ST</t>
  </si>
  <si>
    <t>7115 LA PASEO ST</t>
  </si>
  <si>
    <t>2218 RAINBOW DR</t>
  </si>
  <si>
    <t>11014 HAZEN ST</t>
  </si>
  <si>
    <t>5547 INGOMAR WAY</t>
  </si>
  <si>
    <t>Set Bypass Pump; Cleaned and Disinfected; Returned Spill to Sanitary System</t>
  </si>
  <si>
    <t>3911 KENNON ST</t>
  </si>
  <si>
    <t>14014 WHITE HEATHER DR</t>
  </si>
  <si>
    <t>11839 PLUMBROOK DR</t>
  </si>
  <si>
    <t>4414 SHELTON RD</t>
  </si>
  <si>
    <t>5526 LINCREST LN</t>
  </si>
  <si>
    <t>1818 WAUGH DR</t>
  </si>
  <si>
    <t>10210 MOROCCO RD</t>
  </si>
  <si>
    <t>7600 HOUSTON RD</t>
  </si>
  <si>
    <t>9417 SPRINGVIEW LN</t>
  </si>
  <si>
    <t>10301 HARWIN DR</t>
  </si>
  <si>
    <t>4920 AIRLINE DR</t>
  </si>
  <si>
    <t>9602 GUEST ST</t>
  </si>
  <si>
    <t>4916 BROOM ST</t>
  </si>
  <si>
    <t>5751 MEADOW CREEK LN</t>
  </si>
  <si>
    <t>667 SEMINAR DR</t>
  </si>
  <si>
    <t>1003 20TH ST</t>
  </si>
  <si>
    <t>2532 FONDREN RD</t>
  </si>
  <si>
    <t>8306 BRAESVIEW LN</t>
  </si>
  <si>
    <t>1813 BENSON ST</t>
  </si>
  <si>
    <t>10950 TANNER PARK CT</t>
  </si>
  <si>
    <t>5850 PARKFRONT DR</t>
  </si>
  <si>
    <t>5889 PARKFRONT DR</t>
  </si>
  <si>
    <t>4950 POLK ST</t>
  </si>
  <si>
    <t>8233 WESTCOTT RD</t>
  </si>
  <si>
    <t>9713 BENNETT ST</t>
  </si>
  <si>
    <t>9524 BRAEBURN GLEN BLVD</t>
  </si>
  <si>
    <t>910 EVONNE ST</t>
  </si>
  <si>
    <t>3838 SEARLE DR</t>
  </si>
  <si>
    <t>7527 KINGSLEY ST</t>
  </si>
  <si>
    <t>1700 RICHMOND AVE</t>
  </si>
  <si>
    <t>242 OWENS ST</t>
  </si>
  <si>
    <t>12850 GREENS BAYOU ST</t>
  </si>
  <si>
    <t>7615 FAWN TERRACE DR</t>
  </si>
  <si>
    <t>5815 PHILLIPS ST</t>
  </si>
  <si>
    <t>727 SERVICE ST</t>
  </si>
  <si>
    <t>6910 PETRE DR</t>
  </si>
  <si>
    <t>3537 WHEELER ST</t>
  </si>
  <si>
    <t>6214 EL PLATINO DR</t>
  </si>
  <si>
    <t>4330 1/2 DACOMA ST</t>
  </si>
  <si>
    <t>5318 SCHUMACHER LN</t>
  </si>
  <si>
    <t>3750 GLEN HAVEN BLVD</t>
  </si>
  <si>
    <t>11013 STABLER LN</t>
  </si>
  <si>
    <t>11635 GLENWOLDE DR</t>
  </si>
  <si>
    <t>7178 CROWNWEST ST</t>
  </si>
  <si>
    <t>9211 PECOS ST</t>
  </si>
  <si>
    <t>5806 SOUTHWELL ST</t>
  </si>
  <si>
    <t>6622 KELLER ST</t>
  </si>
  <si>
    <t>3758 MARONEAL ST</t>
  </si>
  <si>
    <t>10510 BEECHNUT ST</t>
  </si>
  <si>
    <t>2076 ANTOINE DR</t>
  </si>
  <si>
    <t>12403 MAIN ST</t>
  </si>
  <si>
    <t>4915 WINFREE DR</t>
  </si>
  <si>
    <t>2465 TIM ST</t>
  </si>
  <si>
    <t>11701 SAM HOUSTON PKWY</t>
  </si>
  <si>
    <t>39 ST CHARLES ST</t>
  </si>
  <si>
    <t>8246 JET PILOT AVE</t>
  </si>
  <si>
    <t>7727 LOG HOLLOW DR</t>
  </si>
  <si>
    <t>Cleaned and Disinfected; Set Bypass Pump; Cleared Main Line</t>
  </si>
  <si>
    <t>5803 VILLAGE FOREST CT</t>
  </si>
  <si>
    <t>6709 COVINGTON DR</t>
  </si>
  <si>
    <t>8400 WESTGLEN DR</t>
  </si>
  <si>
    <t>8241 SWISS LN</t>
  </si>
  <si>
    <t>2301 SUNSET BLVD</t>
  </si>
  <si>
    <t>5735 SWEETBRIAR ST</t>
  </si>
  <si>
    <t>730 HOFFMAN ST</t>
  </si>
  <si>
    <t>3116 PARKER RD</t>
  </si>
  <si>
    <t>12500 ALMEDA RD</t>
  </si>
  <si>
    <t>10231 PALM SHADOWS ST</t>
  </si>
  <si>
    <t>1300 WAYSIDE DR</t>
  </si>
  <si>
    <t>6800 LYONS AVE</t>
  </si>
  <si>
    <t>1606 BRAESWOOD BLVD</t>
  </si>
  <si>
    <t>9714 BRAESMONT DR</t>
  </si>
  <si>
    <t>7211 HAVERTON DR</t>
  </si>
  <si>
    <t>4618 CLINTON DR</t>
  </si>
  <si>
    <t>3200 WESTHEIMER RD</t>
  </si>
  <si>
    <t>6119 GRANTON ST</t>
  </si>
  <si>
    <t>8450 WILLOW PLACE DR</t>
  </si>
  <si>
    <t>7225 BRETSHIRE DR</t>
  </si>
  <si>
    <t>804 ERIN ST</t>
  </si>
  <si>
    <t>7227 VALMONT DR</t>
  </si>
  <si>
    <t>5917 FAIRDALE LN</t>
  </si>
  <si>
    <t>10247 FIELD STONE DR</t>
  </si>
  <si>
    <t>6603 WINFIELD RD</t>
  </si>
  <si>
    <t>847 GRENSHAW ST</t>
  </si>
  <si>
    <t>4939 CALLERY CREEK DR</t>
  </si>
  <si>
    <t>4903 RIDGESTONE LN</t>
  </si>
  <si>
    <t>2602 MOREAU ST</t>
  </si>
  <si>
    <t>909 WIRT RD</t>
  </si>
  <si>
    <t>8823 LEADER ST</t>
  </si>
  <si>
    <t>5759 WILLOWBEND BLVD</t>
  </si>
  <si>
    <t>5326 DE MILO DR</t>
  </si>
  <si>
    <t>10315 CLIFFWOOD DR</t>
  </si>
  <si>
    <t>Post Warning Signs; Cleaned and Disinfected</t>
  </si>
  <si>
    <t>1308 WRIGHTWOOD ST</t>
  </si>
  <si>
    <t>3203 LOCKE LN</t>
  </si>
  <si>
    <t>4100 CLINTON DR</t>
  </si>
  <si>
    <t>515 TAFT ST</t>
  </si>
  <si>
    <t>6612 SOUTHBROOK DR</t>
  </si>
  <si>
    <t>5426 ACRES DR</t>
  </si>
  <si>
    <t>1143 MITCHELL RD</t>
  </si>
  <si>
    <t>5513 CAVALCADE ST</t>
  </si>
  <si>
    <t>9221 PARK SOUTH VIEW</t>
  </si>
  <si>
    <t>3823 WILMER ST</t>
  </si>
  <si>
    <t>5537 CRANE ST</t>
  </si>
  <si>
    <t>8705 VARNER RD</t>
  </si>
  <si>
    <t>1489 SILVERADO DR</t>
  </si>
  <si>
    <t>15702 SAMOA WAY</t>
  </si>
  <si>
    <t>5014 HAYWOOD ST</t>
  </si>
  <si>
    <t>7225 CAROTHERS ST</t>
  </si>
  <si>
    <t>2051 MAIN ST</t>
  </si>
  <si>
    <t>3215 LOOP FWY</t>
  </si>
  <si>
    <t>10901 DEBRA RD</t>
  </si>
  <si>
    <t>2705 SAM WILSON ST</t>
  </si>
  <si>
    <t>7714 POINTER ST</t>
  </si>
  <si>
    <t>Cleared City Clean Out; Cleaned and Disinfected; Set Bypass Pump</t>
  </si>
  <si>
    <t>1805 DAVIS ST</t>
  </si>
  <si>
    <t>2011 MCKINNEY ST</t>
  </si>
  <si>
    <t>10830 NORTHWEST FWY</t>
  </si>
  <si>
    <t>4202 TOPPING ST</t>
  </si>
  <si>
    <t>7519 JOPLIN ST</t>
  </si>
  <si>
    <t>1302 MARSHALL ST</t>
  </si>
  <si>
    <t>12505 GULF FWY</t>
  </si>
  <si>
    <t>21 BRIAR HOLLOW LN</t>
  </si>
  <si>
    <t>14403 STONE PARK RD</t>
  </si>
  <si>
    <t>3003 TANGERINE ST</t>
  </si>
  <si>
    <t>18 RITTENHOUSE ST</t>
  </si>
  <si>
    <t>2019 CHAPMAN ST</t>
  </si>
  <si>
    <t>4401 18TH ST</t>
  </si>
  <si>
    <t>5325 LYNBROOK DR</t>
  </si>
  <si>
    <t>7701 POINTER ST</t>
  </si>
  <si>
    <t>3507 SUNBEAM ST</t>
  </si>
  <si>
    <t>226 CORONATION DR</t>
  </si>
  <si>
    <t>7511 JANAK DR</t>
  </si>
  <si>
    <t>2505 MAYVIEW DR</t>
  </si>
  <si>
    <t>2626 YALE ST</t>
  </si>
  <si>
    <t>1203 TRACE DR</t>
  </si>
  <si>
    <t>8243 MISTY RIDGE LN</t>
  </si>
  <si>
    <t>7000 BRAES BLVD</t>
  </si>
  <si>
    <t>10631 HUNTINGTON ESTATES DR</t>
  </si>
  <si>
    <t>Set Bypass Pump; Cleaned and Disinfected; Post Warning Signs; Monitor Receiving Waterbody</t>
  </si>
  <si>
    <t>Cleared Main Line; Cleaned and Disinfected; Set Bypass Pump; Post Warning Signs; Monitor Receiving Waterbody</t>
  </si>
  <si>
    <t>11479 NORTH FWY</t>
  </si>
  <si>
    <t>Cleared Main Line; Cleaned and Disinfected; Set Bypass Pump</t>
  </si>
  <si>
    <t>7426 BIGWOOD ST</t>
  </si>
  <si>
    <t>1016 LUCKY ST</t>
  </si>
  <si>
    <t>1015 VILLA DE MATEL RD</t>
  </si>
  <si>
    <t>6013 TOWNSAN RD</t>
  </si>
  <si>
    <t>2002 WAYSIDE DR</t>
  </si>
  <si>
    <t>1348 SHEPHERD DR</t>
  </si>
  <si>
    <t>234 JANISCH RD</t>
  </si>
  <si>
    <t>7918 GLENHEATH ST</t>
  </si>
  <si>
    <t>9674 AZEEM AVE</t>
  </si>
  <si>
    <t>1201 SPRING ST</t>
  </si>
  <si>
    <t>12662 COULSON ST</t>
  </si>
  <si>
    <t>6819 MORROW ST</t>
  </si>
  <si>
    <t>7710 LITTLE YORK RD</t>
  </si>
  <si>
    <t>8037 SNOWDEN ST</t>
  </si>
  <si>
    <t>5709 LOS ANGELES ST</t>
  </si>
  <si>
    <t>8100 MAPLECREST DR</t>
  </si>
  <si>
    <t>4107 TURNBERRY CIR</t>
  </si>
  <si>
    <t>2011 SAGO LN</t>
  </si>
  <si>
    <t>8717 WOODRUFF ST</t>
  </si>
  <si>
    <t>12096 KIMBERLEY LN</t>
  </si>
  <si>
    <t>1507 HAMBLEN ST</t>
  </si>
  <si>
    <t>9807 BUCROFT ST</t>
  </si>
  <si>
    <t>4402 TALINA WAY</t>
  </si>
  <si>
    <t>5112 LELIA ST</t>
  </si>
  <si>
    <t>7320 ANTOINE DR</t>
  </si>
  <si>
    <t>5815 BELLAIRE BLVD</t>
  </si>
  <si>
    <t>5801 BELLAIRE BLVD</t>
  </si>
  <si>
    <t>777 BRISBANE ST</t>
  </si>
  <si>
    <t>7816 CORINTH ST</t>
  </si>
  <si>
    <t>7627 ATHLONE DR</t>
  </si>
  <si>
    <t>7616 AVENUE J</t>
  </si>
  <si>
    <t>3514 LOVE ST</t>
  </si>
  <si>
    <t>10306 CAXTON ST</t>
  </si>
  <si>
    <t>414 LINDALE ST</t>
  </si>
  <si>
    <t>7210 LOOP FWY</t>
  </si>
  <si>
    <t>872 BETTINA CT</t>
  </si>
  <si>
    <t>6121 FUQUA ST</t>
  </si>
  <si>
    <t>10940 MEADOWGLEN LN</t>
  </si>
  <si>
    <t>405 WOOLWORTH ST</t>
  </si>
  <si>
    <t>8502 GREENBUSH ST</t>
  </si>
  <si>
    <t>4119 TAVENOR LN</t>
  </si>
  <si>
    <t>11717 KIRKWOOD RD</t>
  </si>
  <si>
    <t>6314 HARTWICK RD</t>
  </si>
  <si>
    <t>6521 HILLSBORO ST</t>
  </si>
  <si>
    <t>13155 KATY FWY</t>
  </si>
  <si>
    <t>1655 WOODVINE DR</t>
  </si>
  <si>
    <t>6811 KIRBY DR</t>
  </si>
  <si>
    <t>7031 AVENUE P</t>
  </si>
  <si>
    <t>2902 KIRBY DR</t>
  </si>
  <si>
    <t>5137 INGOMAR WAY</t>
  </si>
  <si>
    <t>9850 GOODYEAR DR</t>
  </si>
  <si>
    <t>4621 ALVIN ST</t>
  </si>
  <si>
    <t>13502 NORTHBOROUGH DR</t>
  </si>
  <si>
    <t>3306 CLOVERDALE ST</t>
  </si>
  <si>
    <t>736 LINK RD</t>
  </si>
  <si>
    <t>803 SSGT MACARIO GARCIA DR</t>
  </si>
  <si>
    <t>904 ALLSTON ST</t>
  </si>
  <si>
    <t>8308 LA PORTE RD</t>
  </si>
  <si>
    <t>8869 CHATSWORTH DR</t>
  </si>
  <si>
    <t>11865 NORTH FWY</t>
  </si>
  <si>
    <t>10210 SHADOW WOOD DR</t>
  </si>
  <si>
    <t>7149 CAROTHERS ST</t>
  </si>
  <si>
    <t>6151 ALMEDA RD</t>
  </si>
  <si>
    <t>1520 TELEPHONE RD</t>
  </si>
  <si>
    <t>11234 REBEL RD</t>
  </si>
  <si>
    <t>12126 COULSON CIR</t>
  </si>
  <si>
    <t>13307 AGARITA LN</t>
  </si>
  <si>
    <t>6301 BELLFORT AVE</t>
  </si>
  <si>
    <t>3217 IOLA ST</t>
  </si>
  <si>
    <t>2212 POLK ST</t>
  </si>
  <si>
    <t>12500 AMELIA DR</t>
  </si>
  <si>
    <t>5727 WESTHEIMER RD</t>
  </si>
  <si>
    <t>6322 TULSA RD</t>
  </si>
  <si>
    <t>3046 GOLFCREST BLVD</t>
  </si>
  <si>
    <t>2610 CAMPBELL RD</t>
  </si>
  <si>
    <t>10916 MEADOWGLEN LN</t>
  </si>
  <si>
    <t>2101 POLK ST</t>
  </si>
  <si>
    <t>10922 SOUTHVIEW ST</t>
  </si>
  <si>
    <t>5350 GULF BANK RD</t>
  </si>
  <si>
    <t>10903 LONG GATE DR</t>
  </si>
  <si>
    <t>8626 SCOTT ST</t>
  </si>
  <si>
    <t>1313 B 25TH ST</t>
  </si>
  <si>
    <t>16014 CHIMNEY ROCK RD</t>
  </si>
  <si>
    <t>7867 GREEN LAWN DR</t>
  </si>
  <si>
    <t>4306 WILMER ST</t>
  </si>
  <si>
    <t>8355 WHITECASTLE LN</t>
  </si>
  <si>
    <t>900 WINSTON ST</t>
  </si>
  <si>
    <t>3813 WIPPRECHT ST</t>
  </si>
  <si>
    <t>8363 LEAWOOD BLVD</t>
  </si>
  <si>
    <t>3604 TUAM ST</t>
  </si>
  <si>
    <t>5646 WINDING WAY DR</t>
  </si>
  <si>
    <t>1011 LA RUE ST</t>
  </si>
  <si>
    <t>2540 TIMES BLVD</t>
  </si>
  <si>
    <t>6923 ANTOINE DR</t>
  </si>
  <si>
    <t>919 ENCLAVE LAKE DR</t>
  </si>
  <si>
    <t>4618 RIDGECREEK DR</t>
  </si>
  <si>
    <t>1110 ENCLAVE SQ</t>
  </si>
  <si>
    <t>2312 CROCKER ST</t>
  </si>
  <si>
    <t>9712 LOCKWOOD DR</t>
  </si>
  <si>
    <t>2715 LA BRANCH ST</t>
  </si>
  <si>
    <t>1013 MAXEY RD</t>
  </si>
  <si>
    <t>Cleaned and Disinfected; Cleaned and Disinfected</t>
  </si>
  <si>
    <t>1305 MARSHALL ST</t>
  </si>
  <si>
    <t>5402 THRUSH DR</t>
  </si>
  <si>
    <t>6698 PINEMONT DR</t>
  </si>
  <si>
    <t>1406 SHEPHERD DR</t>
  </si>
  <si>
    <t>10902 STABLER LN</t>
  </si>
  <si>
    <t>1308 ALABAMA ST</t>
  </si>
  <si>
    <t>1103 BLUE WILLOW DR</t>
  </si>
  <si>
    <t>2400 NAVIGATION BLVD</t>
  </si>
  <si>
    <t>Cleared Main Line; Set Bypass Pump</t>
  </si>
  <si>
    <t>12802 COULSON ST</t>
  </si>
  <si>
    <t>1307 MARSHALL ST</t>
  </si>
  <si>
    <t>6226 CAVALIER ST</t>
  </si>
  <si>
    <t>Cleaned and Disinfected; Monitor Receiving Waterbody</t>
  </si>
  <si>
    <t>4511 WIPPRECHT ST</t>
  </si>
  <si>
    <t>3327 STASSEN ST</t>
  </si>
  <si>
    <t>9959 TELEPHONE RD</t>
  </si>
  <si>
    <t>9305 SAM HOUSTON PKWY</t>
  </si>
  <si>
    <t>13711 LUDGATE PASS</t>
  </si>
  <si>
    <t>14558 CHADBOURNE DR</t>
  </si>
  <si>
    <t>10635 WICKERSHAM LN</t>
  </si>
  <si>
    <t>13118 ENSLEY WOOD DR</t>
  </si>
  <si>
    <t>3925 MCCARTY ST</t>
  </si>
  <si>
    <t>5337 ELM ST</t>
  </si>
  <si>
    <t>6522 GAINESVILLE ST</t>
  </si>
  <si>
    <t>11406 SHARPCREST ST</t>
  </si>
  <si>
    <t>5846 SOUTHINGTON ST</t>
  </si>
  <si>
    <t>10702 SAGEDOWNE LN</t>
  </si>
  <si>
    <t>4444 MACGREGOR WAY</t>
  </si>
  <si>
    <t>7040 AIRLINE DR</t>
  </si>
  <si>
    <t>275 GELLHORN DR</t>
  </si>
  <si>
    <t>Cleaned and Disinfected; Blocked and Bagged Storm Drain</t>
  </si>
  <si>
    <t>702 40TH 1/2 ST</t>
  </si>
  <si>
    <t>1270 MORRIS ST</t>
  </si>
  <si>
    <t>3406 BAYOU DR</t>
  </si>
  <si>
    <t>6550 HILLCROFT AVE</t>
  </si>
  <si>
    <t>6602 KELLER ST</t>
  </si>
  <si>
    <t>3000 HIGHWAY 6</t>
  </si>
  <si>
    <t>4102 MANGUM RD</t>
  </si>
  <si>
    <t>4410 MACGREGOR WAY</t>
  </si>
  <si>
    <t>10901 BELLAIRE BLVD</t>
  </si>
  <si>
    <t>10110 FORUM WEST DR</t>
  </si>
  <si>
    <t>915 MARLEEN ST</t>
  </si>
  <si>
    <t>77587</t>
  </si>
  <si>
    <t>10532 POST OAK RD</t>
  </si>
  <si>
    <t>7406 TOWERVIEW LN</t>
  </si>
  <si>
    <t>9330 LAWNDALE ST</t>
  </si>
  <si>
    <t>3722 LEHALL ST</t>
  </si>
  <si>
    <t>12006 PALMDATE ST</t>
  </si>
  <si>
    <t>6010 TIDWELL RD</t>
  </si>
  <si>
    <t>8120 BROCKTON ST</t>
  </si>
  <si>
    <t>1833 SHARP PL</t>
  </si>
  <si>
    <t>2026 34TH ST</t>
  </si>
  <si>
    <t>3511 ASKEW ST</t>
  </si>
  <si>
    <t>8299 CAMBRIDGE ST</t>
  </si>
  <si>
    <t>13 TIEL WAY</t>
  </si>
  <si>
    <t>12603 NORTHBOROUGH DR</t>
  </si>
  <si>
    <t>2711 BRIARHURST DR</t>
  </si>
  <si>
    <t>420 CAPLIN ST</t>
  </si>
  <si>
    <t>602 BIZERTE ST</t>
  </si>
  <si>
    <t>2020 HOLLISTER ST</t>
  </si>
  <si>
    <t>5234 BELTON SPRINGS LN</t>
  </si>
  <si>
    <t>5555 HOLLY VIEW DR</t>
  </si>
  <si>
    <t>10103 KNOBOAK DR</t>
  </si>
  <si>
    <t>3362 FOUNTAIN VIEW DR</t>
  </si>
  <si>
    <t>2322 KINGS TRL</t>
  </si>
  <si>
    <t>414 BIRDSALL ST</t>
  </si>
  <si>
    <t>4139 WYNONA ST</t>
  </si>
  <si>
    <t>5100 ALLENDALE RD</t>
  </si>
  <si>
    <t>5630 BIRCHMONT DR</t>
  </si>
  <si>
    <t>5546 PRIMROSE ST</t>
  </si>
  <si>
    <t>8305 SPAULDING ST</t>
  </si>
  <si>
    <t>4223 YUPON RIDGE DR</t>
  </si>
  <si>
    <t>13405 NORTHWEST FWY</t>
  </si>
  <si>
    <t>12819 CHIMES DR</t>
  </si>
  <si>
    <t>1910 DISMUKE ST</t>
  </si>
  <si>
    <t>6859 2/3 OLD NORTH BELT DR</t>
  </si>
  <si>
    <t>5009 IRVING WAY</t>
  </si>
  <si>
    <t>3605 CROSSTIMBERS ST</t>
  </si>
  <si>
    <t>7613 CLARIDGE DR</t>
  </si>
  <si>
    <t>4920 WAYSIDE DR</t>
  </si>
  <si>
    <t>4014 CURLY OAKS DR</t>
  </si>
  <si>
    <t>5802 BRAESHEATHER DR</t>
  </si>
  <si>
    <t>2603 JOEL WHEATON RD</t>
  </si>
  <si>
    <t>13835 WESTHOLLOW PARK DR</t>
  </si>
  <si>
    <t>4438 WYLIE ST</t>
  </si>
  <si>
    <t>3922 FARMER ST</t>
  </si>
  <si>
    <t>10001 FONDREN RD</t>
  </si>
  <si>
    <t>6826 SONGBROOK DR</t>
  </si>
  <si>
    <t>15718 MUNSON LN</t>
  </si>
  <si>
    <t>14023 POST OAK RD</t>
  </si>
  <si>
    <t>3711 WILMINGTON ST</t>
  </si>
  <si>
    <t>922 RANDOLPH ST</t>
  </si>
  <si>
    <t>7226 BLANDFORD LN</t>
  </si>
  <si>
    <t>4300 SHAVER ST</t>
  </si>
  <si>
    <r>
      <rPr>
        <rFont val="Arial"/>
        <color theme="1"/>
      </rPr>
      <t>10131 HINDS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</si>
  <si>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</si>
  <si>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Private Cleanout</t>
    </r>
  </si>
  <si>
    <r>
      <rPr>
        <rFont val="Arial"/>
        <color theme="1"/>
      </rPr>
      <t>Roots</t>
    </r>
  </si>
  <si>
    <r>
      <rPr>
        <rFont val="Arial"/>
        <color theme="1"/>
      </rPr>
      <t>8:59</t>
    </r>
  </si>
  <si>
    <r>
      <rPr>
        <rFont val="Arial"/>
        <color theme="1"/>
      </rPr>
      <t>9:00</t>
    </r>
  </si>
  <si>
    <r>
      <rPr>
        <rFont val="Arial"/>
        <color theme="1"/>
      </rPr>
      <t>Cleaned and Disinfected</t>
    </r>
  </si>
  <si>
    <r>
      <rPr>
        <rFont val="Arial"/>
        <color theme="1"/>
      </rPr>
      <t>2514 SKYVIEW COVE CT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</si>
  <si>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</si>
  <si>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</si>
  <si>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</si>
  <si>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11:30</t>
    </r>
  </si>
  <si>
    <r>
      <rPr>
        <rFont val="Arial"/>
        <color theme="1"/>
      </rPr>
      <t>15:15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</si>
  <si>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</si>
  <si>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12614 SKYVIEW CREEK CT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</si>
  <si>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</si>
  <si>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</si>
  <si>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</si>
  <si>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11:30</t>
    </r>
  </si>
  <si>
    <r>
      <rPr>
        <rFont val="Arial"/>
        <color theme="1"/>
      </rPr>
      <t>15:15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</si>
  <si>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</si>
  <si>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419 CAPLIN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</si>
  <si>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</si>
  <si>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</si>
  <si>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Grease Blockage</t>
    </r>
  </si>
  <si>
    <r>
      <rPr>
        <rFont val="Arial"/>
        <color theme="1"/>
      </rPr>
      <t>14:36</t>
    </r>
  </si>
  <si>
    <r>
      <rPr>
        <rFont val="Arial"/>
        <color theme="1"/>
      </rPr>
      <t>14:37</t>
    </r>
  </si>
  <si>
    <r>
      <rPr>
        <rFont val="Arial"/>
        <color theme="1"/>
      </rPr>
      <t>Cleaned and Disinfected; Cleared City Clean Out</t>
    </r>
  </si>
  <si>
    <r>
      <rPr>
        <rFont val="Arial"/>
        <color theme="1"/>
      </rPr>
      <t>2451 BROOKMERE DR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</si>
  <si>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</si>
  <si>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</si>
  <si>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</si>
  <si>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9:30</t>
    </r>
  </si>
  <si>
    <r>
      <rPr>
        <rFont val="Arial"/>
        <color theme="1"/>
      </rPr>
      <t>12:30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</si>
  <si>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</si>
  <si>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9601 DENSLOW CIR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</si>
  <si>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</si>
  <si>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</si>
  <si>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8:12</t>
    </r>
  </si>
  <si>
    <r>
      <rPr>
        <rFont val="Arial"/>
        <color theme="1"/>
      </rPr>
      <t>8:13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</si>
  <si>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</si>
  <si>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3503 LAZYWOOD LN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</si>
  <si>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</si>
  <si>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</si>
  <si>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</si>
  <si>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8:49</t>
    </r>
  </si>
  <si>
    <r>
      <rPr>
        <rFont val="Arial"/>
        <color theme="1"/>
      </rPr>
      <t>10:15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</si>
  <si>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</si>
  <si>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3230 GESSNER RD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</si>
  <si>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</si>
  <si>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</si>
  <si>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</si>
  <si>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9:31</t>
    </r>
  </si>
  <si>
    <r>
      <rPr>
        <rFont val="Arial"/>
        <color theme="1"/>
      </rPr>
      <t>12:45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</si>
  <si>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</si>
  <si>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4701 PEASE ST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</si>
  <si>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</si>
  <si>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</si>
  <si>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9:43</t>
    </r>
  </si>
  <si>
    <r>
      <rPr>
        <rFont val="Arial"/>
        <color theme="1"/>
      </rPr>
      <t>13:48</t>
    </r>
  </si>
  <si>
    <r>
      <rPr>
        <rFont val="Arial"/>
        <color theme="1"/>
      </rPr>
      <t>Cleaned and Disinfected</t>
    </r>
  </si>
  <si>
    <r>
      <rPr>
        <rFont val="Arial"/>
        <color theme="1"/>
      </rPr>
      <t>12018 BINGHAMPTON DR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</si>
  <si>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</si>
  <si>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</si>
  <si>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Collection system structural blockage</t>
    </r>
  </si>
  <si>
    <r>
      <rPr>
        <rFont val="Arial"/>
        <color theme="1"/>
      </rPr>
      <t>13:29</t>
    </r>
  </si>
  <si>
    <r>
      <rPr>
        <rFont val="Arial"/>
        <color theme="1"/>
      </rPr>
      <t>14:20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</si>
  <si>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</si>
  <si>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901 HAWTHORNE ST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</si>
  <si>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</si>
  <si>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</si>
  <si>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</si>
  <si>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17:22</t>
    </r>
  </si>
  <si>
    <r>
      <rPr>
        <rFont val="Arial"/>
        <color theme="1"/>
      </rPr>
      <t>17:31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</si>
  <si>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</si>
  <si>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10002 PARK TRL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</si>
  <si>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</si>
  <si>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</si>
  <si>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</si>
  <si>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9:32</t>
    </r>
  </si>
  <si>
    <r>
      <rPr>
        <rFont val="Arial"/>
        <color theme="1"/>
      </rPr>
      <t>13:58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</si>
  <si>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</si>
  <si>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2711 BRIARHURST DR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</si>
  <si>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</si>
  <si>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</si>
  <si>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</si>
  <si>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10:06</t>
    </r>
  </si>
  <si>
    <r>
      <rPr>
        <rFont val="Arial"/>
        <color theme="1"/>
      </rPr>
      <t>10:07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</si>
  <si>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</si>
  <si>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7459 COOK RD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</si>
  <si>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</si>
  <si>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</si>
  <si>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Rags/Wipes</t>
    </r>
  </si>
  <si>
    <r>
      <rPr>
        <rFont val="Arial"/>
        <color theme="1"/>
      </rPr>
      <t>12:51</t>
    </r>
  </si>
  <si>
    <r>
      <rPr>
        <rFont val="Arial"/>
        <color theme="1"/>
      </rPr>
      <t>15:00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</si>
  <si>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</si>
  <si>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6515 COUNTRY CLUB DR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</si>
  <si>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</si>
  <si>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</si>
  <si>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Grease Blockage</t>
    </r>
  </si>
  <si>
    <r>
      <rPr>
        <rFont val="Arial"/>
        <color theme="1"/>
      </rPr>
      <t>15:14</t>
    </r>
  </si>
  <si>
    <r>
      <rPr>
        <rFont val="Arial"/>
        <color theme="1"/>
      </rPr>
      <t>15:15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</si>
  <si>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</si>
  <si>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7050 BENNINGTON ST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</si>
  <si>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</si>
  <si>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</si>
  <si>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</si>
  <si>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16:13</t>
    </r>
  </si>
  <si>
    <r>
      <rPr>
        <rFont val="Arial"/>
        <color theme="1"/>
      </rPr>
      <t>10:10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</si>
  <si>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</si>
  <si>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6565 HOMESTEAD RD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</si>
  <si>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</si>
  <si>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</si>
  <si>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</si>
  <si>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16:13</t>
    </r>
  </si>
  <si>
    <r>
      <rPr>
        <rFont val="Arial"/>
        <color theme="1"/>
      </rPr>
      <t>10:10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</si>
  <si>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</si>
  <si>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5110 PARKRIDGE DR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</si>
  <si>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</si>
  <si>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</si>
  <si>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</si>
  <si>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14:14</t>
    </r>
  </si>
  <si>
    <r>
      <rPr>
        <rFont val="Arial"/>
        <color theme="1"/>
      </rPr>
      <t>14:15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</si>
  <si>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</si>
  <si>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9207 CULLEN BLVD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</si>
  <si>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</si>
  <si>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</si>
  <si>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</si>
  <si>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16:41</t>
    </r>
  </si>
  <si>
    <r>
      <rPr>
        <rFont val="Arial"/>
        <color theme="1"/>
      </rPr>
      <t>16:42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</si>
  <si>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</si>
  <si>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6902 SHAVELSON ST</t>
    </r>
  </si>
  <si>
    <r>
      <rPr>
        <rFont val="Arial"/>
        <color theme="1"/>
      </rPr>
      <t xml:space="preserve">Contained On Site, not within 5 ft. of Bayou/Surface
</t>
    </r>
    <r>
      <rPr>
        <rFont val="Arial"/>
        <color theme="1"/>
      </rPr>
      <t>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</si>
  <si>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</si>
  <si>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Rags/Wipes</t>
    </r>
  </si>
  <si>
    <r>
      <rPr>
        <rFont val="Arial"/>
        <color theme="1"/>
      </rPr>
      <t>14:29</t>
    </r>
  </si>
  <si>
    <r>
      <rPr>
        <rFont val="Arial"/>
        <color theme="1"/>
      </rPr>
      <t>16:34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</si>
  <si>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</si>
  <si>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12929 BARCUS LN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</si>
  <si>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</si>
  <si>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</si>
  <si>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Collection system structural blockage</t>
    </r>
  </si>
  <si>
    <r>
      <rPr>
        <rFont val="Arial"/>
        <color theme="1"/>
      </rPr>
      <t>8:40</t>
    </r>
  </si>
  <si>
    <r>
      <rPr>
        <rFont val="Arial"/>
        <color theme="1"/>
      </rPr>
      <t>8:41</t>
    </r>
  </si>
  <si>
    <r>
      <rPr>
        <rFont val="Arial"/>
        <color theme="1"/>
      </rPr>
      <t>Set Bypass Pump; Cleaned and Disinfected</t>
    </r>
  </si>
  <si>
    <r>
      <rPr>
        <rFont val="Arial"/>
        <color theme="1"/>
      </rPr>
      <t>2008 LYNNFIELD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</si>
  <si>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</si>
  <si>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Service Lateral</t>
    </r>
  </si>
  <si>
    <r>
      <rPr>
        <rFont val="Arial"/>
        <color theme="1"/>
      </rPr>
      <t>Collection system structural failure</t>
    </r>
  </si>
  <si>
    <r>
      <rPr>
        <rFont val="Arial"/>
        <color theme="1"/>
      </rPr>
      <t>8:46</t>
    </r>
  </si>
  <si>
    <r>
      <rPr>
        <rFont val="Arial"/>
        <color theme="1"/>
      </rPr>
      <t>8:47</t>
    </r>
  </si>
  <si>
    <r>
      <rPr>
        <rFont val="Arial"/>
        <color theme="1"/>
      </rPr>
      <t>Cleaned and Disinfected; Set Bypass Pump</t>
    </r>
  </si>
  <si>
    <r>
      <rPr>
        <rFont val="Arial"/>
        <color theme="1"/>
      </rPr>
      <t>7730 THUROW ST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</si>
  <si>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</si>
  <si>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</si>
  <si>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</si>
  <si>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10:03</t>
    </r>
  </si>
  <si>
    <r>
      <rPr>
        <rFont val="Arial"/>
        <color theme="1"/>
      </rPr>
      <t>13:25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</si>
  <si>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</si>
  <si>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11630 HERALD SQUARE DR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</si>
  <si>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</si>
  <si>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</si>
  <si>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Collection system structural failure</t>
    </r>
  </si>
  <si>
    <r>
      <rPr>
        <rFont val="Arial"/>
        <color theme="1"/>
      </rPr>
      <t>15:14</t>
    </r>
  </si>
  <si>
    <r>
      <rPr>
        <rFont val="Arial"/>
        <color theme="1"/>
      </rPr>
      <t>15:15</t>
    </r>
  </si>
  <si>
    <r>
      <rPr>
        <rFont val="Arial"/>
        <color theme="1"/>
      </rPr>
      <t>Cleaned and Disinfected</t>
    </r>
  </si>
  <si>
    <r>
      <rPr>
        <rFont val="Arial"/>
        <color theme="1"/>
      </rPr>
      <t>19 BURRESS ST</t>
    </r>
  </si>
  <si>
    <r>
      <rPr>
        <rFont val="Arial"/>
        <color theme="1"/>
      </rPr>
      <t xml:space="preserve">Bayou/surface
</t>
    </r>
    <r>
      <rPr>
        <rFont val="Arial"/>
        <color theme="1"/>
      </rPr>
      <t>water/drainage ditch</t>
    </r>
  </si>
  <si>
    <r>
      <rPr>
        <rFont val="Arial"/>
        <color theme="1"/>
      </rPr>
      <t>Gravity Main</t>
    </r>
  </si>
  <si>
    <r>
      <rPr>
        <rFont val="Arial"/>
        <color theme="1"/>
      </rPr>
      <t>Rags/Wipes</t>
    </r>
  </si>
  <si>
    <r>
      <rPr>
        <rFont val="Arial"/>
        <color theme="1"/>
      </rPr>
      <t>17:12</t>
    </r>
  </si>
  <si>
    <r>
      <rPr>
        <rFont val="Arial"/>
        <color theme="1"/>
      </rPr>
      <t>17:13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</si>
  <si>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</si>
  <si>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5315 LEELAND ST</t>
    </r>
  </si>
  <si>
    <r>
      <rPr>
        <rFont val="Arial"/>
        <color theme="1"/>
      </rPr>
      <t xml:space="preserve">Contained On Site, not within 5 ft. of Bayou/Surface
</t>
    </r>
    <r>
      <rPr>
        <rFont val="Arial"/>
        <color theme="1"/>
      </rPr>
      <t>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</si>
  <si>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</si>
  <si>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Grease Blockage</t>
    </r>
  </si>
  <si>
    <r>
      <rPr>
        <rFont val="Arial"/>
        <color theme="1"/>
      </rPr>
      <t>8:12</t>
    </r>
  </si>
  <si>
    <r>
      <rPr>
        <rFont val="Arial"/>
        <color theme="1"/>
      </rPr>
      <t>8:13</t>
    </r>
  </si>
  <si>
    <r>
      <rPr>
        <rFont val="Arial"/>
        <color theme="1"/>
      </rPr>
      <t>Cleared City Clean Out; Cleaned and Disinfected</t>
    </r>
  </si>
  <si>
    <r>
      <rPr>
        <rFont val="Arial"/>
        <color theme="1"/>
      </rPr>
      <t>3938 COSBY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</si>
  <si>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</si>
  <si>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</si>
  <si>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Grease Blockage</t>
    </r>
  </si>
  <si>
    <r>
      <rPr>
        <rFont val="Arial"/>
        <color theme="1"/>
      </rPr>
      <t>11:51</t>
    </r>
  </si>
  <si>
    <r>
      <rPr>
        <rFont val="Arial"/>
        <color theme="1"/>
      </rPr>
      <t>11:52</t>
    </r>
  </si>
  <si>
    <r>
      <rPr>
        <rFont val="Arial"/>
        <color theme="1"/>
      </rPr>
      <t>Cleaned and Disinfected; Cleared City Clean Out</t>
    </r>
  </si>
  <si>
    <r>
      <rPr>
        <rFont val="Arial"/>
        <color theme="1"/>
      </rPr>
      <t>6321 BROOK LEA ST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</si>
  <si>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</si>
  <si>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City Cleanout</t>
    </r>
  </si>
  <si>
    <r>
      <rPr>
        <rFont val="Arial"/>
        <color theme="1"/>
      </rPr>
      <t>Grease Blockage</t>
    </r>
  </si>
  <si>
    <r>
      <rPr>
        <rFont val="Arial"/>
        <color theme="1"/>
      </rPr>
      <t>18:07</t>
    </r>
  </si>
  <si>
    <r>
      <rPr>
        <rFont val="Arial"/>
        <color theme="1"/>
      </rPr>
      <t>18:08</t>
    </r>
  </si>
  <si>
    <r>
      <rPr>
        <rFont val="Arial"/>
        <color theme="1"/>
      </rPr>
      <t>Cleaned and Disinfected; Cleared City Clean Out</t>
    </r>
  </si>
  <si>
    <r>
      <rPr>
        <rFont val="Arial"/>
        <color theme="1"/>
      </rPr>
      <t>6050 WILLOWBEND BLVD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</si>
  <si>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</si>
  <si>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</si>
  <si>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</si>
  <si>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9:04</t>
    </r>
  </si>
  <si>
    <r>
      <rPr>
        <rFont val="Arial"/>
        <color theme="1"/>
      </rPr>
      <t>12:15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</si>
  <si>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</si>
  <si>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6346 WILLOW DALE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</si>
  <si>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</si>
  <si>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</si>
  <si>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Grease Blockage</t>
    </r>
  </si>
  <si>
    <r>
      <rPr>
        <rFont val="Arial"/>
        <color theme="1"/>
      </rPr>
      <t>11:08</t>
    </r>
  </si>
  <si>
    <r>
      <rPr>
        <rFont val="Arial"/>
        <color theme="1"/>
      </rPr>
      <t>11:09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</si>
  <si>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</si>
  <si>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14023 POST OAK RD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</si>
  <si>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</si>
  <si>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Service Lateral</t>
    </r>
  </si>
  <si>
    <r>
      <rPr>
        <rFont val="Arial"/>
        <color theme="1"/>
      </rPr>
      <t>Collection system structural failure</t>
    </r>
  </si>
  <si>
    <r>
      <rPr>
        <rFont val="Arial"/>
        <color theme="1"/>
      </rPr>
      <t>12:45</t>
    </r>
  </si>
  <si>
    <r>
      <rPr>
        <rFont val="Arial"/>
        <color theme="1"/>
      </rPr>
      <t>13:01</t>
    </r>
  </si>
  <si>
    <r>
      <rPr>
        <rFont val="Arial"/>
        <color theme="1"/>
      </rPr>
      <t>Set Bypass Pump; Cleaned and Disinfected</t>
    </r>
  </si>
  <si>
    <r>
      <rPr>
        <rFont val="Arial"/>
        <color theme="1"/>
      </rPr>
      <t>2500 TANGLEWILDE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</si>
  <si>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</si>
  <si>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</si>
  <si>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Rags/Wipes</t>
    </r>
  </si>
  <si>
    <r>
      <rPr>
        <rFont val="Arial"/>
        <color theme="1"/>
      </rPr>
      <t>16:26</t>
    </r>
  </si>
  <si>
    <r>
      <rPr>
        <rFont val="Arial"/>
        <color theme="1"/>
      </rPr>
      <t>16:27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</si>
  <si>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</si>
  <si>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1803 SHANNON VALLEY DR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</si>
  <si>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</si>
  <si>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</si>
  <si>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</si>
  <si>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18:03</t>
    </r>
  </si>
  <si>
    <r>
      <rPr>
        <rFont val="Arial"/>
        <color theme="1"/>
      </rPr>
      <t>7:38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</si>
  <si>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</si>
  <si>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2302 LADBROOK DR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</si>
  <si>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</si>
  <si>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Force Main</t>
    </r>
  </si>
  <si>
    <r>
      <rPr>
        <rFont val="Arial"/>
        <color theme="1"/>
      </rPr>
      <t>Collection system structural failure</t>
    </r>
  </si>
  <si>
    <r>
      <rPr>
        <rFont val="Arial"/>
        <color theme="1"/>
      </rPr>
      <t>14:54</t>
    </r>
  </si>
  <si>
    <r>
      <rPr>
        <rFont val="Arial"/>
        <color theme="1"/>
      </rPr>
      <t>13:45</t>
    </r>
  </si>
  <si>
    <r>
      <rPr>
        <rFont val="Arial"/>
        <color theme="1"/>
      </rPr>
      <t>Cleaned and Disinfected</t>
    </r>
  </si>
  <si>
    <r>
      <rPr>
        <rFont val="Arial"/>
        <color theme="1"/>
      </rPr>
      <t>5100 ALLENDALE RD</t>
    </r>
  </si>
  <si>
    <r>
      <rPr>
        <rFont val="Arial"/>
        <color theme="1"/>
      </rPr>
      <t>Bayou/surface water/drainage ditch</t>
    </r>
  </si>
  <si>
    <r>
      <rPr>
        <rFont val="Arial"/>
        <color theme="1"/>
      </rPr>
      <t>Gravity Main</t>
    </r>
  </si>
  <si>
    <r>
      <rPr>
        <rFont val="Arial"/>
        <color theme="1"/>
      </rPr>
      <t>Collection system structural failure</t>
    </r>
  </si>
  <si>
    <r>
      <rPr>
        <rFont val="Arial"/>
        <color theme="1"/>
      </rPr>
      <t>14:30</t>
    </r>
  </si>
  <si>
    <r>
      <rPr>
        <rFont val="Arial"/>
        <color theme="1"/>
      </rPr>
      <t>15:35</t>
    </r>
  </si>
  <si>
    <r>
      <rPr>
        <rFont val="Arial"/>
        <color theme="1"/>
      </rPr>
      <t>Set Bypass Pump</t>
    </r>
  </si>
  <si>
    <r>
      <rPr>
        <rFont val="Arial"/>
        <color theme="1"/>
      </rPr>
      <t>11503 SOUTHWEST FWY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</si>
  <si>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</si>
  <si>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</si>
  <si>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</si>
  <si>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16:51</t>
    </r>
  </si>
  <si>
    <r>
      <rPr>
        <rFont val="Arial"/>
        <color theme="1"/>
      </rPr>
      <t>17:12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</si>
  <si>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</si>
  <si>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7122 LONGVINE DR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</si>
  <si>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</si>
  <si>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Private Cleanout</t>
    </r>
  </si>
  <si>
    <r>
      <rPr>
        <rFont val="Arial"/>
        <color theme="1"/>
      </rPr>
      <t>Grease Blockage</t>
    </r>
  </si>
  <si>
    <r>
      <rPr>
        <rFont val="Arial"/>
        <color theme="1"/>
      </rPr>
      <t>8:43</t>
    </r>
  </si>
  <si>
    <r>
      <rPr>
        <rFont val="Arial"/>
        <color theme="1"/>
      </rPr>
      <t>8:44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</si>
  <si>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</si>
  <si>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3034 NITA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</si>
  <si>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</si>
  <si>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Private Cleanout</t>
    </r>
  </si>
  <si>
    <r>
      <rPr>
        <rFont val="Arial"/>
        <color theme="1"/>
      </rPr>
      <t>Rags/Wipes</t>
    </r>
  </si>
  <si>
    <r>
      <rPr>
        <rFont val="Arial"/>
        <color theme="1"/>
      </rPr>
      <t>13:09</t>
    </r>
  </si>
  <si>
    <r>
      <rPr>
        <rFont val="Arial"/>
        <color theme="1"/>
      </rPr>
      <t>13:10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</si>
  <si>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</si>
  <si>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3934 SHADOW COVE DR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</si>
  <si>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</si>
  <si>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</si>
  <si>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</si>
  <si>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14:15</t>
    </r>
  </si>
  <si>
    <r>
      <rPr>
        <rFont val="Arial"/>
        <color theme="1"/>
      </rPr>
      <t>8:51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</si>
  <si>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</si>
  <si>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2901 FULTON ST</t>
    </r>
  </si>
  <si>
    <r>
      <rPr>
        <rFont val="Arial"/>
        <color theme="1"/>
      </rPr>
      <t>Bayou/surface 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</si>
  <si>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</si>
  <si>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</si>
  <si>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15:23</t>
    </r>
  </si>
  <si>
    <r>
      <rPr>
        <rFont val="Arial"/>
        <color theme="1"/>
      </rPr>
      <t>18:00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</si>
  <si>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</si>
  <si>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5601 CEDAR HILL LN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</si>
  <si>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</si>
  <si>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</si>
  <si>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Collection system structural failure</t>
    </r>
  </si>
  <si>
    <r>
      <rPr>
        <rFont val="Arial"/>
        <color theme="1"/>
      </rPr>
      <t>16:42</t>
    </r>
  </si>
  <si>
    <r>
      <rPr>
        <rFont val="Arial"/>
        <color theme="1"/>
      </rPr>
      <t>16:43</t>
    </r>
  </si>
  <si>
    <r>
      <rPr>
        <rFont val="Arial"/>
        <color theme="1"/>
      </rPr>
      <t>Cleaned and Disinfected; Cleared City Clean Out</t>
    </r>
  </si>
  <si>
    <r>
      <rPr>
        <rFont val="Arial"/>
        <color theme="1"/>
      </rPr>
      <t>300 20TH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</si>
  <si>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</si>
  <si>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Private Cleanout</t>
    </r>
  </si>
  <si>
    <r>
      <rPr>
        <rFont val="Arial"/>
        <color theme="1"/>
      </rPr>
      <t>Grease Blockage</t>
    </r>
  </si>
  <si>
    <r>
      <rPr>
        <rFont val="Arial"/>
        <color theme="1"/>
      </rPr>
      <t>11:45</t>
    </r>
  </si>
  <si>
    <r>
      <rPr>
        <rFont val="Arial"/>
        <color theme="1"/>
      </rPr>
      <t>11:46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</si>
  <si>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</si>
  <si>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11238 STROUD DR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</si>
  <si>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</si>
  <si>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</si>
  <si>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</si>
  <si>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13:20</t>
    </r>
  </si>
  <si>
    <r>
      <rPr>
        <rFont val="Arial"/>
        <color theme="1"/>
      </rPr>
      <t>16:45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</si>
  <si>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</si>
  <si>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119 LUETTA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</si>
  <si>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</si>
  <si>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</si>
  <si>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Rags/Wipes</t>
    </r>
  </si>
  <si>
    <r>
      <rPr>
        <rFont val="Arial"/>
        <color theme="1"/>
      </rPr>
      <t>10:24</t>
    </r>
  </si>
  <si>
    <r>
      <rPr>
        <rFont val="Arial"/>
        <color theme="1"/>
      </rPr>
      <t>10:25</t>
    </r>
  </si>
  <si>
    <r>
      <rPr>
        <rFont val="Arial"/>
        <color theme="1"/>
      </rPr>
      <t>Cleaned and Disinfected; Cleared City Clean Out</t>
    </r>
  </si>
  <si>
    <r>
      <rPr>
        <rFont val="Arial"/>
        <color theme="1"/>
      </rPr>
      <t>5919 GUM GROVE LN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</si>
  <si>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</si>
  <si>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</si>
  <si>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</si>
  <si>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10:10</t>
    </r>
  </si>
  <si>
    <r>
      <rPr>
        <rFont val="Arial"/>
        <color theme="1"/>
      </rPr>
      <t>16:22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</si>
  <si>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</si>
  <si>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12431 HUNTINGTON FIELD DR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</si>
  <si>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</si>
  <si>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</si>
  <si>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Collection system structural blockage</t>
    </r>
  </si>
  <si>
    <r>
      <rPr>
        <rFont val="Arial"/>
        <color theme="1"/>
      </rPr>
      <t>13:00</t>
    </r>
  </si>
  <si>
    <r>
      <rPr>
        <rFont val="Arial"/>
        <color theme="1"/>
      </rPr>
      <t>14:00</t>
    </r>
  </si>
  <si>
    <r>
      <rPr>
        <rFont val="Arial"/>
        <color theme="1"/>
      </rPr>
      <t>Set Bypass Pump; Cleaned and Disinfected</t>
    </r>
  </si>
  <si>
    <r>
      <rPr>
        <rFont val="Arial"/>
        <color theme="1"/>
      </rPr>
      <t>8301 PARK PLACE BLVD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</si>
  <si>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</si>
  <si>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</si>
  <si>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</si>
  <si>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7:38</t>
    </r>
  </si>
  <si>
    <r>
      <rPr>
        <rFont val="Arial"/>
        <color theme="1"/>
      </rPr>
      <t>16:02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</si>
  <si>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</si>
  <si>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7406 TOWERVIEW LN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</si>
  <si>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</si>
  <si>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Service Lateral</t>
    </r>
  </si>
  <si>
    <r>
      <rPr>
        <rFont val="Arial"/>
        <color theme="1"/>
      </rPr>
      <t>Collection system structural blockage</t>
    </r>
  </si>
  <si>
    <r>
      <rPr>
        <rFont val="Arial"/>
        <color theme="1"/>
      </rPr>
      <t>9:49</t>
    </r>
  </si>
  <si>
    <r>
      <rPr>
        <rFont val="Arial"/>
        <color theme="1"/>
      </rPr>
      <t>9:50</t>
    </r>
  </si>
  <si>
    <r>
      <rPr>
        <rFont val="Arial"/>
        <color theme="1"/>
      </rPr>
      <t>Cleaned and Disinfected; Cleared Service Lateral</t>
    </r>
  </si>
  <si>
    <r>
      <rPr>
        <rFont val="Arial"/>
        <color theme="1"/>
      </rPr>
      <t>13509 JOLIET ST</t>
    </r>
  </si>
  <si>
    <r>
      <rPr>
        <rFont val="Arial"/>
        <color theme="1"/>
      </rPr>
      <t xml:space="preserve">Bayou/surface
</t>
    </r>
    <r>
      <rPr>
        <rFont val="Arial"/>
        <color theme="1"/>
      </rPr>
      <t>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</si>
  <si>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</si>
  <si>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</si>
  <si>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10:57</t>
    </r>
  </si>
  <si>
    <r>
      <rPr>
        <rFont val="Arial"/>
        <color theme="1"/>
      </rPr>
      <t>10:58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</si>
  <si>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</si>
  <si>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6016 CANAL ST</t>
    </r>
  </si>
  <si>
    <r>
      <rPr>
        <rFont val="Arial"/>
        <color theme="1"/>
      </rPr>
      <t xml:space="preserve">Contained On Site, not within 5 ft. of Bayou/Surface
</t>
    </r>
    <r>
      <rPr>
        <rFont val="Arial"/>
        <color theme="1"/>
      </rPr>
      <t>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</si>
  <si>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</si>
  <si>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Grease Blockage</t>
    </r>
  </si>
  <si>
    <r>
      <rPr>
        <rFont val="Arial"/>
        <color theme="1"/>
      </rPr>
      <t>10:47</t>
    </r>
  </si>
  <si>
    <r>
      <rPr>
        <rFont val="Arial"/>
        <color theme="1"/>
      </rPr>
      <t>10:48</t>
    </r>
  </si>
  <si>
    <r>
      <rPr>
        <rFont val="Arial"/>
        <color theme="1"/>
      </rPr>
      <t>Cleared Service Lateral; Cleaned and Disinfected</t>
    </r>
  </si>
  <si>
    <r>
      <rPr>
        <rFont val="Arial"/>
        <color theme="1"/>
      </rPr>
      <t>12818 ROYCE LN</t>
    </r>
  </si>
  <si>
    <r>
      <rPr>
        <rFont val="Arial"/>
        <color theme="1"/>
      </rPr>
      <t>Bayou/surface water/drainage ditch</t>
    </r>
  </si>
  <si>
    <r>
      <rPr>
        <rFont val="Arial"/>
        <color theme="1"/>
      </rPr>
      <t>Service Lateral</t>
    </r>
  </si>
  <si>
    <r>
      <rPr>
        <rFont val="Arial"/>
        <color theme="1"/>
      </rPr>
      <t>Collection system structural failure</t>
    </r>
  </si>
  <si>
    <r>
      <rPr>
        <rFont val="Arial"/>
        <color theme="1"/>
      </rPr>
      <t>13:26</t>
    </r>
  </si>
  <si>
    <r>
      <rPr>
        <rFont val="Arial"/>
        <color theme="1"/>
      </rPr>
      <t>13:27</t>
    </r>
  </si>
  <si>
    <r>
      <rPr>
        <rFont val="Arial"/>
        <color theme="1"/>
      </rPr>
      <t>Cleaned and Disinfected</t>
    </r>
  </si>
  <si>
    <r>
      <rPr>
        <rFont val="Arial"/>
        <color theme="1"/>
      </rPr>
      <t>7103 AIRLINE DR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</si>
  <si>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</si>
  <si>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Service Lateral</t>
    </r>
  </si>
  <si>
    <r>
      <rPr>
        <rFont val="Arial"/>
        <color theme="1"/>
      </rPr>
      <t>Collection system structural failure</t>
    </r>
  </si>
  <si>
    <r>
      <rPr>
        <rFont val="Arial"/>
        <color theme="1"/>
      </rPr>
      <t>14:15</t>
    </r>
  </si>
  <si>
    <r>
      <rPr>
        <rFont val="Arial"/>
        <color theme="1"/>
      </rPr>
      <t>16:23</t>
    </r>
  </si>
  <si>
    <r>
      <rPr>
        <rFont val="Arial"/>
        <color theme="1"/>
      </rPr>
      <t>Cleaned and Disinfected</t>
    </r>
  </si>
  <si>
    <r>
      <rPr>
        <rFont val="Arial"/>
        <color theme="1"/>
      </rPr>
      <t>12927 WESTPARK DR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</si>
  <si>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</si>
  <si>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</si>
  <si>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</si>
  <si>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15:37</t>
    </r>
  </si>
  <si>
    <r>
      <rPr>
        <rFont val="Arial"/>
        <color theme="1"/>
      </rPr>
      <t>15:38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</si>
  <si>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</si>
  <si>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1214 STONEHOLLOW DR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</si>
  <si>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</si>
  <si>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</si>
  <si>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Grease Blockage</t>
    </r>
  </si>
  <si>
    <r>
      <rPr>
        <rFont val="Arial"/>
        <color theme="1"/>
      </rPr>
      <t>9:59</t>
    </r>
  </si>
  <si>
    <r>
      <rPr>
        <rFont val="Arial"/>
        <color theme="1"/>
      </rPr>
      <t>10:40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</si>
  <si>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</si>
  <si>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5334 ALLISON RD</t>
    </r>
  </si>
  <si>
    <r>
      <rPr>
        <rFont val="Arial"/>
        <color theme="1"/>
      </rPr>
      <t>Drainage Ditch</t>
    </r>
  </si>
  <si>
    <r>
      <rPr>
        <rFont val="Arial"/>
        <color theme="1"/>
      </rPr>
      <t>Manhole</t>
    </r>
  </si>
  <si>
    <r>
      <rPr>
        <rFont val="Arial"/>
        <color theme="1"/>
      </rPr>
      <t>Collection system structural failure</t>
    </r>
  </si>
  <si>
    <r>
      <rPr>
        <rFont val="Arial"/>
        <color theme="1"/>
      </rPr>
      <t>9:02</t>
    </r>
  </si>
  <si>
    <r>
      <rPr>
        <rFont val="Arial"/>
        <color theme="1"/>
      </rPr>
      <t>17:48</t>
    </r>
  </si>
  <si>
    <r>
      <rPr>
        <rFont val="Arial"/>
        <color theme="1"/>
      </rPr>
      <t>Set Bypass Pump; Cleaned and Disinfected</t>
    </r>
  </si>
  <si>
    <r>
      <rPr>
        <rFont val="Arial"/>
        <color theme="1"/>
      </rPr>
      <t>10515 JODY CT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</si>
  <si>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</si>
  <si>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</si>
  <si>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Collection system structural failure</t>
    </r>
  </si>
  <si>
    <r>
      <rPr>
        <rFont val="Arial"/>
        <color theme="1"/>
      </rPr>
      <t>11:04</t>
    </r>
  </si>
  <si>
    <r>
      <rPr>
        <rFont val="Arial"/>
        <color theme="1"/>
      </rPr>
      <t>11:05</t>
    </r>
  </si>
  <si>
    <r>
      <rPr>
        <rFont val="Arial"/>
        <color theme="1"/>
      </rPr>
      <t>Set Bypass Pump; Cleaned and Disinfected</t>
    </r>
  </si>
  <si>
    <r>
      <rPr>
        <rFont val="Arial"/>
        <color theme="1"/>
      </rPr>
      <t>5100 ALLENDALE RD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</si>
  <si>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</si>
  <si>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Gravity Main</t>
    </r>
  </si>
  <si>
    <r>
      <rPr>
        <rFont val="Arial"/>
        <color theme="1"/>
      </rPr>
      <t>Collection system structural failure</t>
    </r>
  </si>
  <si>
    <r>
      <rPr>
        <rFont val="Arial"/>
        <color theme="1"/>
      </rPr>
      <t>9:18</t>
    </r>
  </si>
  <si>
    <r>
      <rPr>
        <rFont val="Arial"/>
        <color theme="1"/>
      </rPr>
      <t>10:30</t>
    </r>
  </si>
  <si>
    <r>
      <rPr>
        <rFont val="Arial"/>
        <color theme="1"/>
      </rPr>
      <t>Set Bypass Pump</t>
    </r>
  </si>
  <si>
    <r>
      <rPr>
        <rFont val="Arial"/>
        <color theme="1"/>
      </rPr>
      <t>731 REINERMAN ST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</si>
  <si>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</si>
  <si>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</si>
  <si>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</si>
  <si>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12:33</t>
    </r>
  </si>
  <si>
    <r>
      <rPr>
        <rFont val="Arial"/>
        <color theme="1"/>
      </rPr>
      <t>12:34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</si>
  <si>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</si>
  <si>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709 QUITMAN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</si>
  <si>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</si>
  <si>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</si>
  <si>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Grease Blockage</t>
    </r>
  </si>
  <si>
    <r>
      <rPr>
        <rFont val="Arial"/>
        <color theme="1"/>
      </rPr>
      <t>12:18</t>
    </r>
  </si>
  <si>
    <r>
      <rPr>
        <rFont val="Arial"/>
        <color theme="1"/>
      </rPr>
      <t>17:15</t>
    </r>
  </si>
  <si>
    <r>
      <rPr>
        <rFont val="Arial"/>
        <color theme="1"/>
      </rPr>
      <t>Cleared City Clean Out; Cleaned and Disinfected</t>
    </r>
  </si>
  <si>
    <r>
      <rPr>
        <rFont val="Arial"/>
        <color theme="1"/>
      </rPr>
      <t>5512 BUNTE ST</t>
    </r>
  </si>
  <si>
    <r>
      <rPr>
        <rFont val="Arial"/>
        <color theme="1"/>
      </rPr>
      <t>Storm Sewer - contained</t>
    </r>
  </si>
  <si>
    <r>
      <rPr>
        <rFont val="Arial"/>
        <color theme="1"/>
      </rPr>
      <t>City Cleanout</t>
    </r>
  </si>
  <si>
    <r>
      <rPr>
        <rFont val="Arial"/>
        <color theme="1"/>
      </rPr>
      <t>Grease Blockage</t>
    </r>
  </si>
  <si>
    <r>
      <rPr>
        <rFont val="Arial"/>
        <color theme="1"/>
      </rPr>
      <t>15:44</t>
    </r>
  </si>
  <si>
    <r>
      <rPr>
        <rFont val="Arial"/>
        <color theme="1"/>
      </rPr>
      <t>17:42</t>
    </r>
  </si>
  <si>
    <r>
      <rPr>
        <rFont val="Arial"/>
        <color theme="1"/>
      </rPr>
      <t>Cleared Service Lateral; Cleaned and Disinfected</t>
    </r>
  </si>
  <si>
    <r>
      <rPr>
        <rFont val="Arial"/>
        <color theme="1"/>
      </rPr>
      <t>5629 GRAPEVINE ST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</si>
  <si>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</si>
  <si>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City Cleanout</t>
    </r>
  </si>
  <si>
    <r>
      <rPr>
        <rFont val="Arial"/>
        <color theme="1"/>
      </rPr>
      <t>Collection system structural blockage</t>
    </r>
  </si>
  <si>
    <r>
      <rPr>
        <rFont val="Arial"/>
        <color theme="1"/>
      </rPr>
      <t>10:16</t>
    </r>
  </si>
  <si>
    <r>
      <rPr>
        <rFont val="Arial"/>
        <color theme="1"/>
      </rPr>
      <t>11:40</t>
    </r>
  </si>
  <si>
    <r>
      <rPr>
        <rFont val="Arial"/>
        <color theme="1"/>
      </rPr>
      <t>Cleaned and Disinfected; Cleared Service Lateral</t>
    </r>
  </si>
  <si>
    <r>
      <rPr>
        <rFont val="Arial"/>
        <color theme="1"/>
      </rPr>
      <t>8112 CHATEAU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</si>
  <si>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</si>
  <si>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</si>
  <si>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Collection system temporary blockage</t>
    </r>
  </si>
  <si>
    <r>
      <rPr>
        <rFont val="Arial"/>
        <color theme="1"/>
      </rPr>
      <t>16:08</t>
    </r>
  </si>
  <si>
    <r>
      <rPr>
        <rFont val="Arial"/>
        <color theme="1"/>
      </rPr>
      <t>16:09</t>
    </r>
  </si>
  <si>
    <r>
      <rPr>
        <rFont val="Arial"/>
        <color theme="1"/>
      </rPr>
      <t>Cleared City Clean Out; Cleaned and Disinfected</t>
    </r>
  </si>
  <si>
    <r>
      <rPr>
        <rFont val="Arial"/>
        <color theme="1"/>
      </rPr>
      <t>13538 FOREST GULLY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</si>
  <si>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</si>
  <si>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</si>
  <si>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</si>
  <si>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17:22</t>
    </r>
  </si>
  <si>
    <r>
      <rPr>
        <rFont val="Arial"/>
        <color theme="1"/>
      </rPr>
      <t>17:23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</si>
  <si>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</si>
  <si>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3125 CRESTDALE DR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</si>
  <si>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</si>
  <si>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</si>
  <si>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</si>
  <si>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12:00</t>
    </r>
  </si>
  <si>
    <r>
      <rPr>
        <rFont val="Arial"/>
        <color theme="1"/>
      </rPr>
      <t>12:45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</si>
  <si>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</si>
  <si>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3354 ROGERDALE RD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</si>
  <si>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</si>
  <si>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</si>
  <si>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Collection system structural blockage</t>
    </r>
  </si>
  <si>
    <r>
      <rPr>
        <rFont val="Arial"/>
        <color theme="1"/>
      </rPr>
      <t>10:58</t>
    </r>
  </si>
  <si>
    <r>
      <rPr>
        <rFont val="Arial"/>
        <color theme="1"/>
      </rPr>
      <t>14:00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</si>
  <si>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</si>
  <si>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10634 KNOBOAK DR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</si>
  <si>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</si>
  <si>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Service Lateral</t>
    </r>
  </si>
  <si>
    <r>
      <rPr>
        <rFont val="Arial"/>
        <color theme="1"/>
      </rPr>
      <t>Collection system structural blockage</t>
    </r>
  </si>
  <si>
    <r>
      <rPr>
        <rFont val="Arial"/>
        <color theme="1"/>
      </rPr>
      <t>18:05</t>
    </r>
  </si>
  <si>
    <r>
      <rPr>
        <rFont val="Arial"/>
        <color theme="1"/>
      </rPr>
      <t>18:06</t>
    </r>
  </si>
  <si>
    <r>
      <rPr>
        <rFont val="Arial"/>
        <color theme="1"/>
      </rPr>
      <t>Cleaned and Disinfected</t>
    </r>
  </si>
  <si>
    <r>
      <rPr>
        <rFont val="Arial"/>
        <color theme="1"/>
      </rPr>
      <t>2429 WAVELL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</si>
  <si>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</si>
  <si>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</si>
  <si>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Collection system structural failure</t>
    </r>
  </si>
  <si>
    <r>
      <rPr>
        <rFont val="Arial"/>
        <color theme="1"/>
      </rPr>
      <t>18:13</t>
    </r>
  </si>
  <si>
    <r>
      <rPr>
        <rFont val="Arial"/>
        <color theme="1"/>
      </rPr>
      <t>18:14</t>
    </r>
  </si>
  <si>
    <r>
      <rPr>
        <rFont val="Arial"/>
        <color theme="1"/>
      </rPr>
      <t>Cleaned and Disinfected</t>
    </r>
  </si>
  <si>
    <r>
      <rPr>
        <rFont val="Arial"/>
        <color theme="1"/>
      </rPr>
      <t>12320 BELLAIRE BLVD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</si>
  <si>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</si>
  <si>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</si>
  <si>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Grease Blockage</t>
    </r>
  </si>
  <si>
    <r>
      <rPr>
        <rFont val="Arial"/>
        <color theme="1"/>
      </rPr>
      <t>9:21</t>
    </r>
  </si>
  <si>
    <r>
      <rPr>
        <rFont val="Arial"/>
        <color theme="1"/>
      </rPr>
      <t>13:10</t>
    </r>
  </si>
  <si>
    <r>
      <rPr>
        <rFont val="Arial"/>
        <color theme="1"/>
      </rPr>
      <t>Cleaned and Disinfected; Cleared City Clean Out; Cleared Main Line</t>
    </r>
  </si>
  <si>
    <r>
      <rPr>
        <rFont val="Arial"/>
        <color theme="1"/>
      </rPr>
      <t>7406 TOWERVIEW LN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</si>
  <si>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</si>
  <si>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</si>
  <si>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Collection system structural blockage</t>
    </r>
  </si>
  <si>
    <r>
      <rPr>
        <rFont val="Arial"/>
        <color theme="1"/>
      </rPr>
      <t>11:20</t>
    </r>
  </si>
  <si>
    <r>
      <rPr>
        <rFont val="Arial"/>
        <color theme="1"/>
      </rPr>
      <t>11:21</t>
    </r>
  </si>
  <si>
    <r>
      <rPr>
        <rFont val="Arial"/>
        <color theme="1"/>
      </rPr>
      <t>Cleaned and Disinfected; Cleared City Clean Out</t>
    </r>
  </si>
  <si>
    <r>
      <rPr>
        <rFont val="Arial"/>
        <color theme="1"/>
      </rPr>
      <t>6220 WESTPARK DR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</si>
  <si>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</si>
  <si>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</si>
  <si>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</si>
  <si>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13:41</t>
    </r>
  </si>
  <si>
    <r>
      <rPr>
        <rFont val="Arial"/>
        <color theme="1"/>
      </rPr>
      <t>13:42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</si>
  <si>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</si>
  <si>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706 CRESLINE ST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</si>
  <si>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</si>
  <si>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City Cleanout</t>
    </r>
  </si>
  <si>
    <r>
      <rPr>
        <rFont val="Arial"/>
        <color theme="1"/>
      </rPr>
      <t>Grease Blockage</t>
    </r>
  </si>
  <si>
    <r>
      <rPr>
        <rFont val="Arial"/>
        <color theme="1"/>
      </rPr>
      <t>15:11</t>
    </r>
  </si>
  <si>
    <r>
      <rPr>
        <rFont val="Arial"/>
        <color theme="1"/>
      </rPr>
      <t>15:12</t>
    </r>
  </si>
  <si>
    <r>
      <rPr>
        <rFont val="Arial"/>
        <color theme="1"/>
      </rPr>
      <t>Cleared City Clean Out; Cleaned and Disinfected</t>
    </r>
  </si>
  <si>
    <r>
      <rPr>
        <rFont val="Arial"/>
        <color theme="1"/>
      </rPr>
      <t>6231 LOCKE LN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</si>
  <si>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</si>
  <si>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Private Cleanout</t>
    </r>
  </si>
  <si>
    <r>
      <rPr>
        <rFont val="Arial"/>
        <color theme="1"/>
      </rPr>
      <t>Grease Blockage</t>
    </r>
  </si>
  <si>
    <r>
      <rPr>
        <rFont val="Arial"/>
        <color theme="1"/>
      </rPr>
      <t>11:01</t>
    </r>
  </si>
  <si>
    <r>
      <rPr>
        <rFont val="Arial"/>
        <color theme="1"/>
      </rPr>
      <t>15:12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</si>
  <si>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</si>
  <si>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10510 NORTHWEST FWY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</si>
  <si>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</si>
  <si>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</si>
  <si>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</si>
  <si>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14:52</t>
    </r>
  </si>
  <si>
    <r>
      <rPr>
        <rFont val="Arial"/>
        <color theme="1"/>
      </rPr>
      <t>14:53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</si>
  <si>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</si>
  <si>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4218 WIPPRECHT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</si>
  <si>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</si>
  <si>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</si>
  <si>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Rags/Wipes</t>
    </r>
  </si>
  <si>
    <r>
      <rPr>
        <rFont val="Arial"/>
        <color theme="1"/>
      </rPr>
      <t>8:30</t>
    </r>
  </si>
  <si>
    <r>
      <rPr>
        <rFont val="Arial"/>
        <color theme="1"/>
      </rPr>
      <t>8:31</t>
    </r>
  </si>
  <si>
    <r>
      <rPr>
        <rFont val="Arial"/>
        <color theme="1"/>
      </rPr>
      <t>Cleared City Clean Out; Cleaned and Disinfected</t>
    </r>
  </si>
  <si>
    <r>
      <rPr>
        <rFont val="Arial"/>
        <color theme="1"/>
      </rPr>
      <t>12925 SAMUEL LN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</si>
  <si>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</si>
  <si>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</si>
  <si>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Grease Blockage</t>
    </r>
  </si>
  <si>
    <r>
      <rPr>
        <rFont val="Arial"/>
        <color theme="1"/>
      </rPr>
      <t>12:10</t>
    </r>
  </si>
  <si>
    <r>
      <rPr>
        <rFont val="Arial"/>
        <color theme="1"/>
      </rPr>
      <t>12:11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</si>
  <si>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</si>
  <si>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12603 NORTHBOROUGH DR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</si>
  <si>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</si>
  <si>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</si>
  <si>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</si>
  <si>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15:18</t>
    </r>
  </si>
  <si>
    <r>
      <rPr>
        <rFont val="Arial"/>
        <color theme="1"/>
      </rPr>
      <t>17:50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</si>
  <si>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</si>
  <si>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11630 HERALD SQUARE DR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</si>
  <si>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</si>
  <si>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Service Lateral</t>
    </r>
  </si>
  <si>
    <r>
      <rPr>
        <rFont val="Arial"/>
        <color theme="1"/>
      </rPr>
      <t>Collection system structural blockage</t>
    </r>
  </si>
  <si>
    <r>
      <rPr>
        <rFont val="Arial"/>
        <color theme="1"/>
      </rPr>
      <t>14:54</t>
    </r>
  </si>
  <si>
    <r>
      <rPr>
        <rFont val="Arial"/>
        <color theme="1"/>
      </rPr>
      <t>14:55</t>
    </r>
  </si>
  <si>
    <r>
      <rPr>
        <rFont val="Arial"/>
        <color theme="1"/>
      </rPr>
      <t>Cleaned and Disinfected</t>
    </r>
  </si>
  <si>
    <r>
      <rPr>
        <rFont val="Arial"/>
        <color theme="1"/>
      </rPr>
      <t>2615 DAIRY ASHFORD ST</t>
    </r>
  </si>
  <si>
    <r>
      <rPr>
        <rFont val="Arial"/>
        <color theme="1"/>
      </rPr>
      <t xml:space="preserve">Contained On Site, not within 5 ft. of Bayou/Surface
</t>
    </r>
    <r>
      <rPr>
        <rFont val="Arial"/>
        <color theme="1"/>
      </rPr>
      <t>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</si>
  <si>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</si>
  <si>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</si>
  <si>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9:36</t>
    </r>
  </si>
  <si>
    <r>
      <rPr>
        <rFont val="Arial"/>
        <color theme="1"/>
      </rPr>
      <t>9:37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</si>
  <si>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</si>
  <si>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2345 MARGARET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</si>
  <si>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</si>
  <si>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</si>
  <si>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Rags/Wipes</t>
    </r>
  </si>
  <si>
    <r>
      <rPr>
        <rFont val="Arial"/>
        <color theme="1"/>
      </rPr>
      <t>13:19</t>
    </r>
  </si>
  <si>
    <r>
      <rPr>
        <rFont val="Arial"/>
        <color theme="1"/>
      </rPr>
      <t>13:20</t>
    </r>
  </si>
  <si>
    <r>
      <rPr>
        <rFont val="Arial"/>
        <color theme="1"/>
      </rPr>
      <t>Cleared City Clean Out; Cleaned and Disinfected</t>
    </r>
  </si>
  <si>
    <r>
      <rPr>
        <rFont val="Arial"/>
        <color theme="1"/>
      </rPr>
      <t>1805 DAVIS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</si>
  <si>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</si>
  <si>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</si>
  <si>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Rags/Wipes</t>
    </r>
  </si>
  <si>
    <r>
      <rPr>
        <rFont val="Arial"/>
        <color theme="1"/>
      </rPr>
      <t>10:35</t>
    </r>
  </si>
  <si>
    <r>
      <rPr>
        <rFont val="Arial"/>
        <color theme="1"/>
      </rPr>
      <t>16:40</t>
    </r>
  </si>
  <si>
    <r>
      <rPr>
        <rFont val="Arial"/>
        <color theme="1"/>
      </rPr>
      <t>Cleared City Clean Out; Cleaned and Disinfected</t>
    </r>
  </si>
  <si>
    <r>
      <rPr>
        <rFont val="Arial"/>
        <color theme="1"/>
      </rPr>
      <t>8603 VALLEY SONG DR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</si>
  <si>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</si>
  <si>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Private Cleanout</t>
    </r>
  </si>
  <si>
    <r>
      <rPr>
        <rFont val="Arial"/>
        <color theme="1"/>
      </rPr>
      <t>Rags/Wipes</t>
    </r>
  </si>
  <si>
    <r>
      <rPr>
        <rFont val="Arial"/>
        <color theme="1"/>
      </rPr>
      <t>12:12</t>
    </r>
  </si>
  <si>
    <r>
      <rPr>
        <rFont val="Arial"/>
        <color theme="1"/>
      </rPr>
      <t>12:13</t>
    </r>
  </si>
  <si>
    <r>
      <rPr>
        <rFont val="Arial"/>
        <color theme="1"/>
      </rPr>
      <t>Cleared Service Lateral; Cleaned and Disinfected</t>
    </r>
  </si>
  <si>
    <r>
      <rPr>
        <rFont val="Arial"/>
        <color theme="1"/>
      </rPr>
      <t>8244 DETROIT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</si>
  <si>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</si>
  <si>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Private Cleanout</t>
    </r>
  </si>
  <si>
    <r>
      <rPr>
        <rFont val="Arial"/>
        <color theme="1"/>
      </rPr>
      <t>Collection system structural failure</t>
    </r>
  </si>
  <si>
    <r>
      <rPr>
        <rFont val="Arial"/>
        <color theme="1"/>
      </rPr>
      <t>14:05</t>
    </r>
  </si>
  <si>
    <r>
      <rPr>
        <rFont val="Arial"/>
        <color theme="1"/>
      </rPr>
      <t>14:06</t>
    </r>
  </si>
  <si>
    <r>
      <rPr>
        <rFont val="Arial"/>
        <color theme="1"/>
      </rPr>
      <t>Cleaned and Disinfected</t>
    </r>
  </si>
  <si>
    <r>
      <rPr>
        <rFont val="Arial"/>
        <color theme="1"/>
      </rPr>
      <t>5309 CAVALCADE ST</t>
    </r>
  </si>
  <si>
    <r>
      <rPr>
        <rFont val="Arial"/>
        <color theme="1"/>
      </rPr>
      <t xml:space="preserve">Contained On Site, not within 5 ft. of Bayou/Surface
</t>
    </r>
    <r>
      <rPr>
        <rFont val="Arial"/>
        <color theme="1"/>
      </rPr>
      <t>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</si>
  <si>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</si>
  <si>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</si>
  <si>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14:37</t>
    </r>
  </si>
  <si>
    <r>
      <rPr>
        <rFont val="Arial"/>
        <color theme="1"/>
      </rPr>
      <t>14:38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</si>
  <si>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</si>
  <si>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1214 STONEHOLLOW DR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</si>
  <si>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</si>
  <si>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</si>
  <si>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Collection system structural blockage</t>
    </r>
  </si>
  <si>
    <r>
      <rPr>
        <rFont val="Arial"/>
        <color theme="1"/>
      </rPr>
      <t>16:09</t>
    </r>
  </si>
  <si>
    <r>
      <rPr>
        <rFont val="Arial"/>
        <color theme="1"/>
      </rPr>
      <t>16:10</t>
    </r>
  </si>
  <si>
    <r>
      <rPr>
        <rFont val="Arial"/>
        <color theme="1"/>
      </rPr>
      <t>Set Bypass Pump; Cleaned and Disinfected</t>
    </r>
  </si>
  <si>
    <r>
      <rPr>
        <rFont val="Arial"/>
        <color theme="1"/>
      </rPr>
      <t>2019 WALKER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</si>
  <si>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</si>
  <si>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</si>
  <si>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Rags/Wipes</t>
    </r>
  </si>
  <si>
    <r>
      <rPr>
        <rFont val="Arial"/>
        <color theme="1"/>
      </rPr>
      <t>18:50</t>
    </r>
  </si>
  <si>
    <r>
      <rPr>
        <rFont val="Arial"/>
        <color theme="1"/>
      </rPr>
      <t>18:51</t>
    </r>
  </si>
  <si>
    <r>
      <rPr>
        <rFont val="Arial"/>
        <color theme="1"/>
      </rPr>
      <t>Cleaned and Disinfected; Cleared City Clean Out</t>
    </r>
  </si>
  <si>
    <r>
      <rPr>
        <rFont val="Arial"/>
        <color theme="1"/>
      </rPr>
      <t>8559 BEECHNUT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</si>
  <si>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</si>
  <si>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</si>
  <si>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Grease Blockage</t>
    </r>
  </si>
  <si>
    <r>
      <rPr>
        <rFont val="Arial"/>
        <color theme="1"/>
      </rPr>
      <t>8:05</t>
    </r>
  </si>
  <si>
    <r>
      <rPr>
        <rFont val="Arial"/>
        <color theme="1"/>
      </rPr>
      <t>8:06</t>
    </r>
  </si>
  <si>
    <r>
      <rPr>
        <rFont val="Arial"/>
        <color theme="1"/>
      </rPr>
      <t>Cleared Service Lateral; Cleaned and Disinfected</t>
    </r>
  </si>
  <si>
    <r>
      <rPr>
        <rFont val="Arial"/>
        <color theme="1"/>
      </rPr>
      <t>7220 HALL ST</t>
    </r>
  </si>
  <si>
    <r>
      <rPr>
        <rFont val="Arial"/>
        <color theme="1"/>
      </rPr>
      <t>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</si>
  <si>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</si>
  <si>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Collection system structural failure</t>
    </r>
  </si>
  <si>
    <r>
      <rPr>
        <rFont val="Arial"/>
        <color theme="1"/>
      </rPr>
      <t>10:50</t>
    </r>
  </si>
  <si>
    <r>
      <rPr>
        <rFont val="Arial"/>
        <color theme="1"/>
      </rPr>
      <t>18:58</t>
    </r>
  </si>
  <si>
    <r>
      <rPr>
        <rFont val="Arial"/>
        <color theme="1"/>
      </rPr>
      <t>Cleaned and Disinfected</t>
    </r>
  </si>
  <si>
    <r>
      <rPr>
        <rFont val="Arial"/>
        <color theme="1"/>
      </rPr>
      <t>3505 BLODGETT ST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</si>
  <si>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</si>
  <si>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</si>
  <si>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Rags/Wipes</t>
    </r>
  </si>
  <si>
    <r>
      <rPr>
        <rFont val="Arial"/>
        <color theme="1"/>
      </rPr>
      <t>14:33</t>
    </r>
  </si>
  <si>
    <r>
      <rPr>
        <rFont val="Arial"/>
        <color theme="1"/>
      </rPr>
      <t>17:32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</si>
  <si>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</si>
  <si>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12603 NORTHBOROUGH DR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</si>
  <si>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</si>
  <si>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</si>
  <si>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Collection system temporary blockage</t>
    </r>
  </si>
  <si>
    <r>
      <rPr>
        <rFont val="Arial"/>
        <color theme="1"/>
      </rPr>
      <t>15:30</t>
    </r>
  </si>
  <si>
    <r>
      <rPr>
        <rFont val="Arial"/>
        <color theme="1"/>
      </rPr>
      <t>17:30</t>
    </r>
  </si>
  <si>
    <r>
      <rPr>
        <rFont val="Arial"/>
        <color theme="1"/>
      </rPr>
      <t>Cleaned and Disinfected; Set Bypass Pump</t>
    </r>
  </si>
  <si>
    <r>
      <rPr>
        <rFont val="Arial"/>
        <color theme="1"/>
      </rPr>
      <t>6220 WESTPARK DR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</si>
  <si>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</si>
  <si>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Private Cleanout</t>
    </r>
  </si>
  <si>
    <r>
      <rPr>
        <rFont val="Arial"/>
        <color theme="1"/>
      </rPr>
      <t>Grease Blockage</t>
    </r>
  </si>
  <si>
    <r>
      <rPr>
        <rFont val="Arial"/>
        <color theme="1"/>
      </rPr>
      <t>16:45</t>
    </r>
  </si>
  <si>
    <r>
      <rPr>
        <rFont val="Arial"/>
        <color theme="1"/>
      </rPr>
      <t>16:46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</si>
  <si>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</si>
  <si>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805 WESTMONT DR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</si>
  <si>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</si>
  <si>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</si>
  <si>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</si>
  <si>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8:15</t>
    </r>
  </si>
  <si>
    <r>
      <rPr>
        <rFont val="Arial"/>
        <color theme="1"/>
      </rPr>
      <t>16:37</t>
    </r>
  </si>
  <si>
    <r>
      <rPr>
        <rFont val="Arial"/>
        <color theme="1"/>
      </rPr>
      <t>Cleaned and Disinfected; Set Bypass Pump; Cleared Main Line</t>
    </r>
  </si>
  <si>
    <r>
      <rPr>
        <rFont val="Arial"/>
        <color theme="1"/>
      </rPr>
      <t>12803 NORTHBOROUGH DR</t>
    </r>
  </si>
  <si>
    <r>
      <rPr>
        <rFont val="Arial"/>
        <color theme="1"/>
      </rPr>
      <t>Manhole</t>
    </r>
  </si>
  <si>
    <r>
      <rPr>
        <rFont val="Arial"/>
        <color theme="1"/>
      </rPr>
      <t xml:space="preserve">Collection system
</t>
    </r>
    <r>
      <rPr>
        <rFont val="Arial"/>
        <color theme="1"/>
      </rPr>
      <t>temporary blockage</t>
    </r>
  </si>
  <si>
    <r>
      <rPr>
        <rFont val="Arial"/>
        <color theme="1"/>
      </rPr>
      <t>10:19</t>
    </r>
  </si>
  <si>
    <r>
      <rPr>
        <rFont val="Arial"/>
        <color theme="1"/>
      </rPr>
      <t>18:20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</si>
  <si>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</si>
  <si>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12703 CORNING DR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</si>
  <si>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</si>
  <si>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Private Cleanout</t>
    </r>
  </si>
  <si>
    <r>
      <rPr>
        <rFont val="Arial"/>
        <color theme="1"/>
      </rPr>
      <t>Collection system structural failure</t>
    </r>
  </si>
  <si>
    <r>
      <rPr>
        <rFont val="Arial"/>
        <color theme="1"/>
      </rPr>
      <t>14:43</t>
    </r>
  </si>
  <si>
    <r>
      <rPr>
        <rFont val="Arial"/>
        <color theme="1"/>
      </rPr>
      <t>14:44</t>
    </r>
  </si>
  <si>
    <r>
      <rPr>
        <rFont val="Arial"/>
        <color theme="1"/>
      </rPr>
      <t>Cleaned and Disinfected</t>
    </r>
  </si>
  <si>
    <r>
      <rPr>
        <rFont val="Arial"/>
        <color theme="1"/>
      </rPr>
      <t>211 BRYAN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</si>
  <si>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</si>
  <si>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</si>
  <si>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Rags/Wipes</t>
    </r>
  </si>
  <si>
    <r>
      <rPr>
        <rFont val="Arial"/>
        <color theme="1"/>
      </rPr>
      <t>15:01</t>
    </r>
  </si>
  <si>
    <r>
      <rPr>
        <rFont val="Arial"/>
        <color theme="1"/>
      </rPr>
      <t>15:02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</si>
  <si>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</si>
  <si>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8006 GESSNER RD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</si>
  <si>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</si>
  <si>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</si>
  <si>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Collection system structural failure</t>
    </r>
  </si>
  <si>
    <r>
      <rPr>
        <rFont val="Arial"/>
        <color theme="1"/>
      </rPr>
      <t>15:45</t>
    </r>
  </si>
  <si>
    <r>
      <rPr>
        <rFont val="Arial"/>
        <color theme="1"/>
      </rPr>
      <t>15:46</t>
    </r>
  </si>
  <si>
    <r>
      <rPr>
        <rFont val="Arial"/>
        <color theme="1"/>
      </rPr>
      <t>Set Bypass Pump; Cleaned and Disinfected</t>
    </r>
  </si>
  <si>
    <r>
      <rPr>
        <rFont val="Arial"/>
        <color theme="1"/>
      </rPr>
      <t>3214 SHADOWFERN CT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</si>
  <si>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</si>
  <si>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</si>
  <si>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Grease Blockage</t>
    </r>
  </si>
  <si>
    <r>
      <rPr>
        <rFont val="Arial"/>
        <color theme="1"/>
      </rPr>
      <t>7:51</t>
    </r>
  </si>
  <si>
    <r>
      <rPr>
        <rFont val="Arial"/>
        <color theme="1"/>
      </rPr>
      <t>7:52</t>
    </r>
  </si>
  <si>
    <r>
      <rPr>
        <rFont val="Arial"/>
        <color theme="1"/>
      </rPr>
      <t>Cleaned and Disinfected; Cleared Service Lateral</t>
    </r>
  </si>
  <si>
    <r>
      <rPr>
        <rFont val="Arial"/>
        <color theme="1"/>
      </rPr>
      <t>10440 SOUTH DR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</si>
  <si>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</si>
  <si>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</si>
  <si>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</si>
  <si>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13:30</t>
    </r>
  </si>
  <si>
    <r>
      <rPr>
        <rFont val="Arial"/>
        <color theme="1"/>
      </rPr>
      <t>14:30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</si>
  <si>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</si>
  <si>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7261 YOE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</si>
  <si>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</si>
  <si>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</si>
  <si>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Collection system structural blockage</t>
    </r>
  </si>
  <si>
    <r>
      <rPr>
        <rFont val="Arial"/>
        <color theme="1"/>
      </rPr>
      <t>9:29</t>
    </r>
  </si>
  <si>
    <r>
      <rPr>
        <rFont val="Arial"/>
        <color theme="1"/>
      </rPr>
      <t>9:30</t>
    </r>
  </si>
  <si>
    <r>
      <rPr>
        <rFont val="Arial"/>
        <color theme="1"/>
      </rPr>
      <t>Cleared Service Lateral; Cleaned and Disinfected</t>
    </r>
  </si>
  <si>
    <r>
      <rPr>
        <rFont val="Arial"/>
        <color theme="1"/>
      </rPr>
      <t>242 OWENS ST</t>
    </r>
  </si>
  <si>
    <r>
      <rPr>
        <rFont val="Arial"/>
        <color theme="1"/>
      </rPr>
      <t>Bayou/surface 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</si>
  <si>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</si>
  <si>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</si>
  <si>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13:28</t>
    </r>
  </si>
  <si>
    <r>
      <rPr>
        <rFont val="Arial"/>
        <color theme="1"/>
      </rPr>
      <t>13:29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</si>
  <si>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</si>
  <si>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2112 TRUXILLO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</si>
  <si>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</si>
  <si>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Private Cleanout</t>
    </r>
  </si>
  <si>
    <r>
      <rPr>
        <rFont val="Arial"/>
        <color theme="1"/>
      </rPr>
      <t>Grease Blockage</t>
    </r>
  </si>
  <si>
    <r>
      <rPr>
        <rFont val="Arial"/>
        <color theme="1"/>
      </rPr>
      <t>8:44</t>
    </r>
  </si>
  <si>
    <r>
      <rPr>
        <rFont val="Arial"/>
        <color theme="1"/>
      </rPr>
      <t>8:45</t>
    </r>
  </si>
  <si>
    <r>
      <rPr>
        <rFont val="Arial"/>
        <color theme="1"/>
      </rPr>
      <t>Cleared Main Line; Cleaned and Disinfected</t>
    </r>
  </si>
  <si>
    <r>
      <rPr>
        <rFont val="Arial"/>
        <color theme="1"/>
      </rPr>
      <t>6768 RENWICK DR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</si>
  <si>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</si>
  <si>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</si>
  <si>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Grease Blockage</t>
    </r>
  </si>
  <si>
    <r>
      <rPr>
        <rFont val="Arial"/>
        <color theme="1"/>
      </rPr>
      <t>11:23</t>
    </r>
  </si>
  <si>
    <r>
      <rPr>
        <rFont val="Arial"/>
        <color theme="1"/>
      </rPr>
      <t>12:20</t>
    </r>
  </si>
  <si>
    <r>
      <rPr>
        <rFont val="Arial"/>
        <color theme="1"/>
      </rPr>
      <t>Cleared Service Lateral; Cleaned and Disinfected</t>
    </r>
  </si>
  <si>
    <r>
      <rPr>
        <rFont val="Arial"/>
        <color theme="1"/>
      </rPr>
      <t>3401 BLALOCK RD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</si>
  <si>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</si>
  <si>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Manhole</t>
    </r>
  </si>
  <si>
    <r>
      <rPr>
        <rFont val="Arial"/>
        <color theme="1"/>
      </rPr>
      <t>Grease Blockage</t>
    </r>
  </si>
  <si>
    <r>
      <rPr>
        <rFont val="Arial"/>
        <color theme="1"/>
      </rPr>
      <t>11:22</t>
    </r>
  </si>
  <si>
    <r>
      <rPr>
        <rFont val="Arial"/>
        <color theme="1"/>
      </rPr>
      <t>15:00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</si>
  <si>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</si>
  <si>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4200 LOCKFIELD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</si>
  <si>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</si>
  <si>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</si>
  <si>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Grease Blockage</t>
    </r>
  </si>
  <si>
    <r>
      <rPr>
        <rFont val="Arial"/>
        <color theme="1"/>
      </rPr>
      <t>12:48</t>
    </r>
  </si>
  <si>
    <r>
      <rPr>
        <rFont val="Arial"/>
        <color theme="1"/>
      </rPr>
      <t>12:49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</si>
  <si>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</si>
  <si>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1021 WESTMONT DR</t>
    </r>
  </si>
  <si>
    <r>
      <rPr>
        <rFont val="Arial"/>
        <color theme="1"/>
      </rPr>
      <t xml:space="preserve">Bayou/surface
</t>
    </r>
    <r>
      <rPr>
        <rFont val="Arial"/>
        <color theme="1"/>
      </rPr>
      <t>water/drainage ditch</t>
    </r>
  </si>
  <si>
    <r>
      <rPr>
        <rFont val="Arial"/>
        <color theme="1"/>
      </rPr>
      <t>City Cleanout</t>
    </r>
  </si>
  <si>
    <r>
      <rPr>
        <rFont val="Arial"/>
        <color theme="1"/>
      </rPr>
      <t>Rags/Wipes</t>
    </r>
  </si>
  <si>
    <r>
      <rPr>
        <rFont val="Arial"/>
        <color theme="1"/>
      </rPr>
      <t>14:32</t>
    </r>
  </si>
  <si>
    <r>
      <rPr>
        <rFont val="Arial"/>
        <color theme="1"/>
      </rPr>
      <t>14:33</t>
    </r>
  </si>
  <si>
    <r>
      <rPr>
        <rFont val="Arial"/>
        <color theme="1"/>
      </rPr>
      <t>Cleaned and Disinfected; Cleared City Clean Out</t>
    </r>
  </si>
  <si>
    <r>
      <rPr>
        <rFont val="Arial"/>
        <color theme="1"/>
      </rPr>
      <t>10950 LINDEN GATE DR</t>
    </r>
  </si>
  <si>
    <r>
      <rPr>
        <rFont val="Arial"/>
        <color theme="1"/>
      </rPr>
      <t>Storm Sewer (not contained)</t>
    </r>
  </si>
  <si>
    <r>
      <rPr>
        <rFont val="Arial"/>
        <color theme="1"/>
      </rPr>
      <t>Private Cleanout</t>
    </r>
  </si>
  <si>
    <r>
      <rPr>
        <rFont val="Arial"/>
        <color theme="1"/>
      </rPr>
      <t>Grease Blockage</t>
    </r>
  </si>
  <si>
    <r>
      <rPr>
        <rFont val="Arial"/>
        <color theme="1"/>
      </rPr>
      <t>15:53</t>
    </r>
  </si>
  <si>
    <r>
      <rPr>
        <rFont val="Arial"/>
        <color theme="1"/>
      </rPr>
      <t>15:54</t>
    </r>
  </si>
  <si>
    <r>
      <rPr>
        <rFont val="Arial"/>
        <color theme="1"/>
      </rPr>
      <t>Cleaned and Disinfected; Cleared Main Line</t>
    </r>
  </si>
  <si>
    <r>
      <rPr>
        <rFont val="Arial"/>
        <color theme="1"/>
      </rPr>
      <t>8319 GLENALTA ST</t>
    </r>
  </si>
  <si>
    <r>
      <rPr>
        <rFont val="Arial"/>
        <color theme="1"/>
      </rPr>
      <t>Contained On Site, not within 5 ft. of Bayou/Surface Water/Drainage Ditch</t>
    </r>
  </si>
  <si>
    <r>
      <rPr>
        <rFont val="Arial"/>
        <color theme="1"/>
      </rPr>
      <t>Manhole</t>
    </r>
  </si>
  <si>
    <r>
      <rPr>
        <rFont val="Arial"/>
        <color theme="1"/>
      </rPr>
      <t>Collection system structural blockage</t>
    </r>
  </si>
  <si>
    <r>
      <rPr>
        <rFont val="Arial"/>
        <color theme="1"/>
      </rPr>
      <t>12:59</t>
    </r>
  </si>
  <si>
    <r>
      <rPr>
        <rFont val="Arial"/>
        <color theme="1"/>
      </rPr>
      <t>13:00</t>
    </r>
  </si>
  <si>
    <r>
      <rPr>
        <rFont val="Arial"/>
        <color theme="1"/>
      </rPr>
      <t>Cleared Main Line; Cleaned and Disinfected</t>
    </r>
  </si>
  <si>
    <t>206 FAUST LN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</si>
  <si>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</si>
  <si>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3100 GILLESPIE ST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</si>
  <si>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</si>
  <si>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5697 HOLLISTER ST</t>
  </si>
  <si>
    <r>
      <rPr>
        <rFont val="Arial"/>
        <color rgb="FF000000"/>
      </rPr>
      <t>B</t>
    </r>
    <r>
      <rPr>
        <rFont val="Arial"/>
        <color rgb="FF000000"/>
      </rPr>
      <t>a</t>
    </r>
    <r>
      <rPr>
        <rFont val="Arial"/>
        <color rgb="FF000000"/>
      </rPr>
      <t>y</t>
    </r>
    <r>
      <rPr>
        <rFont val="Arial"/>
        <color rgb="FF000000"/>
      </rPr>
      <t>o</t>
    </r>
    <r>
      <rPr>
        <rFont val="Arial"/>
        <color rgb="FF000000"/>
      </rPr>
      <t>u</t>
    </r>
    <r>
      <rPr>
        <rFont val="Arial"/>
        <color rgb="FF000000"/>
      </rPr>
      <t>/</t>
    </r>
    <r>
      <rPr>
        <rFont val="Arial"/>
        <color rgb="FF000000"/>
      </rPr>
      <t>s</t>
    </r>
    <r>
      <rPr>
        <rFont val="Arial"/>
        <color rgb="FF000000"/>
      </rPr>
      <t>u</t>
    </r>
    <r>
      <rPr>
        <rFont val="Arial"/>
        <color rgb="FF000000"/>
      </rPr>
      <t>r</t>
    </r>
    <r>
      <rPr>
        <rFont val="Arial"/>
        <color rgb="FF000000"/>
      </rPr>
      <t>f</t>
    </r>
    <r>
      <rPr>
        <rFont val="Arial"/>
        <color rgb="FF000000"/>
      </rPr>
      <t>a</t>
    </r>
    <r>
      <rPr>
        <rFont val="Arial"/>
        <color rgb="FF000000"/>
      </rPr>
      <t>ce</t>
    </r>
    <r>
      <rPr>
        <rFont val="Arial"/>
        <color rgb="FF000000"/>
      </rPr>
      <t xml:space="preserve"> </t>
    </r>
    <r>
      <rPr>
        <rFont val="Arial"/>
        <color rgb="FF000000"/>
      </rPr>
      <t>w</t>
    </r>
    <r>
      <rPr>
        <rFont val="Arial"/>
        <color rgb="FF000000"/>
      </rPr>
      <t>a</t>
    </r>
    <r>
      <rPr>
        <rFont val="Arial"/>
        <color rgb="FF000000"/>
      </rPr>
      <t>t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>/</t>
    </r>
    <r>
      <rPr>
        <rFont val="Arial"/>
        <color rgb="FF000000"/>
      </rPr>
      <t>d</t>
    </r>
    <r>
      <rPr>
        <rFont val="Arial"/>
        <color rgb="FF000000"/>
      </rPr>
      <t>r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a</t>
    </r>
    <r>
      <rPr>
        <rFont val="Arial"/>
        <color rgb="FF000000"/>
      </rPr>
      <t>ge</t>
    </r>
    <r>
      <rPr>
        <rFont val="Arial"/>
        <color rgb="FF000000"/>
      </rPr>
      <t xml:space="preserve"> </t>
    </r>
    <r>
      <rPr>
        <rFont val="Arial"/>
        <color rgb="FF000000"/>
      </rPr>
      <t>d</t>
    </r>
    <r>
      <rPr>
        <rFont val="Arial"/>
        <color rgb="FF000000"/>
      </rPr>
      <t>itch</t>
    </r>
  </si>
  <si>
    <t>9325 EVERGLADE DR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</si>
  <si>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</si>
  <si>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6934 NEFF ST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</si>
  <si>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</si>
  <si>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8746 BERNDALE ST</t>
  </si>
  <si>
    <t>8410 COOLIDGE ST</t>
  </si>
  <si>
    <t>6047 GLENHURST DR</t>
  </si>
  <si>
    <t>434 GLENVALE DR</t>
  </si>
  <si>
    <r>
      <rPr>
        <rFont val="Arial"/>
        <color rgb="FF000000"/>
      </rPr>
      <t>B</t>
    </r>
    <r>
      <rPr>
        <rFont val="Arial"/>
        <color rgb="FF000000"/>
      </rPr>
      <t>a</t>
    </r>
    <r>
      <rPr>
        <rFont val="Arial"/>
        <color rgb="FF000000"/>
      </rPr>
      <t>y</t>
    </r>
    <r>
      <rPr>
        <rFont val="Arial"/>
        <color rgb="FF000000"/>
      </rPr>
      <t>o</t>
    </r>
    <r>
      <rPr>
        <rFont val="Arial"/>
        <color rgb="FF000000"/>
      </rPr>
      <t>u</t>
    </r>
    <r>
      <rPr>
        <rFont val="Arial"/>
        <color rgb="FF000000"/>
      </rPr>
      <t>/</t>
    </r>
    <r>
      <rPr>
        <rFont val="Arial"/>
        <color rgb="FF000000"/>
      </rPr>
      <t>s</t>
    </r>
    <r>
      <rPr>
        <rFont val="Arial"/>
        <color rgb="FF000000"/>
      </rPr>
      <t>u</t>
    </r>
    <r>
      <rPr>
        <rFont val="Arial"/>
        <color rgb="FF000000"/>
      </rPr>
      <t>r</t>
    </r>
    <r>
      <rPr>
        <rFont val="Arial"/>
        <color rgb="FF000000"/>
      </rPr>
      <t>f</t>
    </r>
    <r>
      <rPr>
        <rFont val="Arial"/>
        <color rgb="FF000000"/>
      </rPr>
      <t>a</t>
    </r>
    <r>
      <rPr>
        <rFont val="Arial"/>
        <color rgb="FF000000"/>
      </rPr>
      <t>ce</t>
    </r>
    <r>
      <rPr>
        <rFont val="Arial"/>
        <color rgb="FF000000"/>
      </rPr>
      <t xml:space="preserve"> </t>
    </r>
    <r>
      <rPr>
        <rFont val="Arial"/>
        <color rgb="FF000000"/>
      </rPr>
      <t>w</t>
    </r>
    <r>
      <rPr>
        <rFont val="Arial"/>
        <color rgb="FF000000"/>
      </rPr>
      <t>a</t>
    </r>
    <r>
      <rPr>
        <rFont val="Arial"/>
        <color rgb="FF000000"/>
      </rPr>
      <t>t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>/</t>
    </r>
    <r>
      <rPr>
        <rFont val="Arial"/>
        <color rgb="FF000000"/>
      </rPr>
      <t>d</t>
    </r>
    <r>
      <rPr>
        <rFont val="Arial"/>
        <color rgb="FF000000"/>
      </rPr>
      <t>r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a</t>
    </r>
    <r>
      <rPr>
        <rFont val="Arial"/>
        <color rgb="FF000000"/>
      </rPr>
      <t>ge</t>
    </r>
    <r>
      <rPr>
        <rFont val="Arial"/>
        <color rgb="FF000000"/>
      </rPr>
      <t xml:space="preserve"> </t>
    </r>
    <r>
      <rPr>
        <rFont val="Arial"/>
        <color rgb="FF000000"/>
      </rPr>
      <t>d</t>
    </r>
    <r>
      <rPr>
        <rFont val="Arial"/>
        <color rgb="FF000000"/>
      </rPr>
      <t>itch</t>
    </r>
  </si>
  <si>
    <t>6985 ASHBURN ST</t>
  </si>
  <si>
    <t>303 73RD ST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</si>
  <si>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</si>
  <si>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6231 LOCKE LN</t>
  </si>
  <si>
    <t>9003 HAZEN ST</t>
  </si>
  <si>
    <t>3934 SHADOW COVE DR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</si>
  <si>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</si>
  <si>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6308 DE PRIEST ST</t>
  </si>
  <si>
    <t>9233 WESTHEIMER RD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</si>
  <si>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</si>
  <si>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4513 OXFORD ST</t>
  </si>
  <si>
    <t>3960 INVERNESS DR</t>
  </si>
  <si>
    <t>2401 MCKINNEY ST</t>
  </si>
  <si>
    <t>7450 MEMORIAL WOODS DR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</si>
  <si>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</si>
  <si>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506 19TH ST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</si>
  <si>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</si>
  <si>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10515 JODY CT</t>
  </si>
  <si>
    <t>4101 OATS ST</t>
  </si>
  <si>
    <t>721 7TH ST</t>
  </si>
  <si>
    <t>1842 BINGLE RD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</si>
  <si>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</si>
  <si>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1407 DOROTHY ST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</si>
  <si>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</si>
  <si>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3805 WIPPRECHT ST</t>
  </si>
  <si>
    <t>9209 CULLEN BLVD</t>
  </si>
  <si>
    <t>2929 MILAM ST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</si>
  <si>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</si>
  <si>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5615 H MARK CROSSWELL JR ST</t>
  </si>
  <si>
    <t>5519 AMBERN DR</t>
  </si>
  <si>
    <t>102 BRYAN ST</t>
  </si>
  <si>
    <t>3210 BINGLE RD</t>
  </si>
  <si>
    <r>
      <rPr>
        <rFont val="Arial"/>
        <color rgb="FF000000"/>
      </rPr>
      <t>B</t>
    </r>
    <r>
      <rPr>
        <rFont val="Arial"/>
        <color rgb="FF000000"/>
      </rPr>
      <t>a</t>
    </r>
    <r>
      <rPr>
        <rFont val="Arial"/>
        <color rgb="FF000000"/>
      </rPr>
      <t>y</t>
    </r>
    <r>
      <rPr>
        <rFont val="Arial"/>
        <color rgb="FF000000"/>
      </rPr>
      <t>o</t>
    </r>
    <r>
      <rPr>
        <rFont val="Arial"/>
        <color rgb="FF000000"/>
      </rPr>
      <t>u</t>
    </r>
    <r>
      <rPr>
        <rFont val="Arial"/>
        <color rgb="FF000000"/>
      </rPr>
      <t>/</t>
    </r>
    <r>
      <rPr>
        <rFont val="Arial"/>
        <color rgb="FF000000"/>
      </rPr>
      <t>s</t>
    </r>
    <r>
      <rPr>
        <rFont val="Arial"/>
        <color rgb="FF000000"/>
      </rPr>
      <t>u</t>
    </r>
    <r>
      <rPr>
        <rFont val="Arial"/>
        <color rgb="FF000000"/>
      </rPr>
      <t>r</t>
    </r>
    <r>
      <rPr>
        <rFont val="Arial"/>
        <color rgb="FF000000"/>
      </rPr>
      <t>f</t>
    </r>
    <r>
      <rPr>
        <rFont val="Arial"/>
        <color rgb="FF000000"/>
      </rPr>
      <t>a</t>
    </r>
    <r>
      <rPr>
        <rFont val="Arial"/>
        <color rgb="FF000000"/>
      </rPr>
      <t>ce</t>
    </r>
    <r>
      <rPr>
        <rFont val="Arial"/>
        <color rgb="FF000000"/>
      </rPr>
      <t xml:space="preserve"> </t>
    </r>
    <r>
      <rPr>
        <rFont val="Arial"/>
        <color rgb="FF000000"/>
      </rPr>
      <t>w</t>
    </r>
    <r>
      <rPr>
        <rFont val="Arial"/>
        <color rgb="FF000000"/>
      </rPr>
      <t>a</t>
    </r>
    <r>
      <rPr>
        <rFont val="Arial"/>
        <color rgb="FF000000"/>
      </rPr>
      <t>t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>/</t>
    </r>
    <r>
      <rPr>
        <rFont val="Arial"/>
        <color rgb="FF000000"/>
      </rPr>
      <t>d</t>
    </r>
    <r>
      <rPr>
        <rFont val="Arial"/>
        <color rgb="FF000000"/>
      </rPr>
      <t>r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a</t>
    </r>
    <r>
      <rPr>
        <rFont val="Arial"/>
        <color rgb="FF000000"/>
      </rPr>
      <t>ge</t>
    </r>
    <r>
      <rPr>
        <rFont val="Arial"/>
        <color rgb="FF000000"/>
      </rPr>
      <t xml:space="preserve"> </t>
    </r>
    <r>
      <rPr>
        <rFont val="Arial"/>
        <color rgb="FF000000"/>
      </rPr>
      <t>d</t>
    </r>
    <r>
      <rPr>
        <rFont val="Arial"/>
        <color rgb="FF000000"/>
      </rPr>
      <t>itch</t>
    </r>
  </si>
  <si>
    <t>4218 WIPPRECHT ST</t>
  </si>
  <si>
    <t>12427 HUNTINGTON FIELD DR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</si>
  <si>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</si>
  <si>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</si>
  <si>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717 BACA ST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</si>
  <si>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</si>
  <si>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7212 HOMESTEAD RD</t>
  </si>
  <si>
    <t>7503 GLENHEATH ST</t>
  </si>
  <si>
    <t>4934 MARKWOOD LN</t>
  </si>
  <si>
    <t>Cleared Private Line; Cleaned and Disinfected</t>
  </si>
  <si>
    <t>4212 WASHINGTON AVE</t>
  </si>
  <si>
    <t>1139 DUNBAR ST</t>
  </si>
  <si>
    <t>77406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</si>
  <si>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</si>
  <si>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4311 BETTIS DR</t>
  </si>
  <si>
    <t>6907 PEERLESS ST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</si>
  <si>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</si>
  <si>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13115 IVYHURST LN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</si>
  <si>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</si>
  <si>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1722 PARKER RD</t>
  </si>
  <si>
    <t>810 HIGHWAY 6</t>
  </si>
  <si>
    <r>
      <rPr>
        <rFont val="Arial"/>
        <color rgb="FF000000"/>
      </rPr>
      <t>B</t>
    </r>
    <r>
      <rPr>
        <rFont val="Arial"/>
        <color rgb="FF000000"/>
      </rPr>
      <t>a</t>
    </r>
    <r>
      <rPr>
        <rFont val="Arial"/>
        <color rgb="FF000000"/>
      </rPr>
      <t>y</t>
    </r>
    <r>
      <rPr>
        <rFont val="Arial"/>
        <color rgb="FF000000"/>
      </rPr>
      <t>o</t>
    </r>
    <r>
      <rPr>
        <rFont val="Arial"/>
        <color rgb="FF000000"/>
      </rPr>
      <t>u</t>
    </r>
    <r>
      <rPr>
        <rFont val="Arial"/>
        <color rgb="FF000000"/>
      </rPr>
      <t>/</t>
    </r>
    <r>
      <rPr>
        <rFont val="Arial"/>
        <color rgb="FF000000"/>
      </rPr>
      <t>s</t>
    </r>
    <r>
      <rPr>
        <rFont val="Arial"/>
        <color rgb="FF000000"/>
      </rPr>
      <t>u</t>
    </r>
    <r>
      <rPr>
        <rFont val="Arial"/>
        <color rgb="FF000000"/>
      </rPr>
      <t>r</t>
    </r>
    <r>
      <rPr>
        <rFont val="Arial"/>
        <color rgb="FF000000"/>
      </rPr>
      <t>f</t>
    </r>
    <r>
      <rPr>
        <rFont val="Arial"/>
        <color rgb="FF000000"/>
      </rPr>
      <t>a</t>
    </r>
    <r>
      <rPr>
        <rFont val="Arial"/>
        <color rgb="FF000000"/>
      </rPr>
      <t>ce</t>
    </r>
    <r>
      <rPr>
        <rFont val="Arial"/>
        <color rgb="FF000000"/>
      </rPr>
      <t xml:space="preserve"> </t>
    </r>
    <r>
      <rPr>
        <rFont val="Arial"/>
        <color rgb="FF000000"/>
      </rPr>
      <t>w</t>
    </r>
    <r>
      <rPr>
        <rFont val="Arial"/>
        <color rgb="FF000000"/>
      </rPr>
      <t>a</t>
    </r>
    <r>
      <rPr>
        <rFont val="Arial"/>
        <color rgb="FF000000"/>
      </rPr>
      <t>t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>/</t>
    </r>
    <r>
      <rPr>
        <rFont val="Arial"/>
        <color rgb="FF000000"/>
      </rPr>
      <t>d</t>
    </r>
    <r>
      <rPr>
        <rFont val="Arial"/>
        <color rgb="FF000000"/>
      </rPr>
      <t>r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a</t>
    </r>
    <r>
      <rPr>
        <rFont val="Arial"/>
        <color rgb="FF000000"/>
      </rPr>
      <t>ge</t>
    </r>
    <r>
      <rPr>
        <rFont val="Arial"/>
        <color rgb="FF000000"/>
      </rPr>
      <t xml:space="preserve"> </t>
    </r>
    <r>
      <rPr>
        <rFont val="Arial"/>
        <color rgb="FF000000"/>
      </rPr>
      <t>d</t>
    </r>
    <r>
      <rPr>
        <rFont val="Arial"/>
        <color rgb="FF000000"/>
      </rPr>
      <t>itch</t>
    </r>
  </si>
  <si>
    <t>10422 WILLIE ST</t>
  </si>
  <si>
    <r>
      <rPr>
        <rFont val="Arial"/>
        <color rgb="FF000000"/>
      </rPr>
      <t>B</t>
    </r>
    <r>
      <rPr>
        <rFont val="Arial"/>
        <color rgb="FF000000"/>
      </rPr>
      <t>a</t>
    </r>
    <r>
      <rPr>
        <rFont val="Arial"/>
        <color rgb="FF000000"/>
      </rPr>
      <t>y</t>
    </r>
    <r>
      <rPr>
        <rFont val="Arial"/>
        <color rgb="FF000000"/>
      </rPr>
      <t>o</t>
    </r>
    <r>
      <rPr>
        <rFont val="Arial"/>
        <color rgb="FF000000"/>
      </rPr>
      <t>u</t>
    </r>
    <r>
      <rPr>
        <rFont val="Arial"/>
        <color rgb="FF000000"/>
      </rPr>
      <t>/</t>
    </r>
    <r>
      <rPr>
        <rFont val="Arial"/>
        <color rgb="FF000000"/>
      </rPr>
      <t>s</t>
    </r>
    <r>
      <rPr>
        <rFont val="Arial"/>
        <color rgb="FF000000"/>
      </rPr>
      <t>u</t>
    </r>
    <r>
      <rPr>
        <rFont val="Arial"/>
        <color rgb="FF000000"/>
      </rPr>
      <t>r</t>
    </r>
    <r>
      <rPr>
        <rFont val="Arial"/>
        <color rgb="FF000000"/>
      </rPr>
      <t>f</t>
    </r>
    <r>
      <rPr>
        <rFont val="Arial"/>
        <color rgb="FF000000"/>
      </rPr>
      <t>a</t>
    </r>
    <r>
      <rPr>
        <rFont val="Arial"/>
        <color rgb="FF000000"/>
      </rPr>
      <t>ce</t>
    </r>
    <r>
      <rPr>
        <rFont val="Arial"/>
        <color rgb="FF000000"/>
      </rPr>
      <t xml:space="preserve"> </t>
    </r>
    <r>
      <rPr>
        <rFont val="Arial"/>
        <color rgb="FF000000"/>
      </rPr>
      <t>w</t>
    </r>
    <r>
      <rPr>
        <rFont val="Arial"/>
        <color rgb="FF000000"/>
      </rPr>
      <t>a</t>
    </r>
    <r>
      <rPr>
        <rFont val="Arial"/>
        <color rgb="FF000000"/>
      </rPr>
      <t>t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>/</t>
    </r>
    <r>
      <rPr>
        <rFont val="Arial"/>
        <color rgb="FF000000"/>
      </rPr>
      <t>d</t>
    </r>
    <r>
      <rPr>
        <rFont val="Arial"/>
        <color rgb="FF000000"/>
      </rPr>
      <t>r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a</t>
    </r>
    <r>
      <rPr>
        <rFont val="Arial"/>
        <color rgb="FF000000"/>
      </rPr>
      <t>ge</t>
    </r>
    <r>
      <rPr>
        <rFont val="Arial"/>
        <color rgb="FF000000"/>
      </rPr>
      <t xml:space="preserve"> </t>
    </r>
    <r>
      <rPr>
        <rFont val="Arial"/>
        <color rgb="FF000000"/>
      </rPr>
      <t>d</t>
    </r>
    <r>
      <rPr>
        <rFont val="Arial"/>
        <color rgb="FF000000"/>
      </rPr>
      <t>itch</t>
    </r>
  </si>
  <si>
    <t>1814 GREENGRASS CT</t>
  </si>
  <si>
    <r>
      <rPr>
        <rFont val="Arial"/>
        <color rgb="FF000000"/>
      </rPr>
      <t>B</t>
    </r>
    <r>
      <rPr>
        <rFont val="Arial"/>
        <color rgb="FF000000"/>
      </rPr>
      <t>a</t>
    </r>
    <r>
      <rPr>
        <rFont val="Arial"/>
        <color rgb="FF000000"/>
      </rPr>
      <t>y</t>
    </r>
    <r>
      <rPr>
        <rFont val="Arial"/>
        <color rgb="FF000000"/>
      </rPr>
      <t>o</t>
    </r>
    <r>
      <rPr>
        <rFont val="Arial"/>
        <color rgb="FF000000"/>
      </rPr>
      <t>u</t>
    </r>
    <r>
      <rPr>
        <rFont val="Arial"/>
        <color rgb="FF000000"/>
      </rPr>
      <t>/</t>
    </r>
    <r>
      <rPr>
        <rFont val="Arial"/>
        <color rgb="FF000000"/>
      </rPr>
      <t>s</t>
    </r>
    <r>
      <rPr>
        <rFont val="Arial"/>
        <color rgb="FF000000"/>
      </rPr>
      <t>u</t>
    </r>
    <r>
      <rPr>
        <rFont val="Arial"/>
        <color rgb="FF000000"/>
      </rPr>
      <t>r</t>
    </r>
    <r>
      <rPr>
        <rFont val="Arial"/>
        <color rgb="FF000000"/>
      </rPr>
      <t>f</t>
    </r>
    <r>
      <rPr>
        <rFont val="Arial"/>
        <color rgb="FF000000"/>
      </rPr>
      <t>a</t>
    </r>
    <r>
      <rPr>
        <rFont val="Arial"/>
        <color rgb="FF000000"/>
      </rPr>
      <t>ce</t>
    </r>
    <r>
      <rPr>
        <rFont val="Arial"/>
        <color rgb="FF000000"/>
      </rPr>
      <t xml:space="preserve"> </t>
    </r>
    <r>
      <rPr>
        <rFont val="Arial"/>
        <color rgb="FF000000"/>
      </rPr>
      <t>w</t>
    </r>
    <r>
      <rPr>
        <rFont val="Arial"/>
        <color rgb="FF000000"/>
      </rPr>
      <t>a</t>
    </r>
    <r>
      <rPr>
        <rFont val="Arial"/>
        <color rgb="FF000000"/>
      </rPr>
      <t>t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>/</t>
    </r>
    <r>
      <rPr>
        <rFont val="Arial"/>
        <color rgb="FF000000"/>
      </rPr>
      <t>d</t>
    </r>
    <r>
      <rPr>
        <rFont val="Arial"/>
        <color rgb="FF000000"/>
      </rPr>
      <t>r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a</t>
    </r>
    <r>
      <rPr>
        <rFont val="Arial"/>
        <color rgb="FF000000"/>
      </rPr>
      <t>ge</t>
    </r>
    <r>
      <rPr>
        <rFont val="Arial"/>
        <color rgb="FF000000"/>
      </rPr>
      <t xml:space="preserve"> </t>
    </r>
    <r>
      <rPr>
        <rFont val="Arial"/>
        <color rgb="FF000000"/>
      </rPr>
      <t>d</t>
    </r>
    <r>
      <rPr>
        <rFont val="Arial"/>
        <color rgb="FF000000"/>
      </rPr>
      <t>itch</t>
    </r>
  </si>
  <si>
    <t>1414 COOL SPRING DR</t>
  </si>
  <si>
    <t>115 TURNER DR</t>
  </si>
  <si>
    <t>715 BYRNE ST</t>
  </si>
  <si>
    <t>9403 BENBOW PARK LN</t>
  </si>
  <si>
    <r>
      <rPr>
        <rFont val="Arial"/>
        <color rgb="FF000000"/>
      </rPr>
      <t>B</t>
    </r>
    <r>
      <rPr>
        <rFont val="Arial"/>
        <color rgb="FF000000"/>
      </rPr>
      <t>a</t>
    </r>
    <r>
      <rPr>
        <rFont val="Arial"/>
        <color rgb="FF000000"/>
      </rPr>
      <t>y</t>
    </r>
    <r>
      <rPr>
        <rFont val="Arial"/>
        <color rgb="FF000000"/>
      </rPr>
      <t>o</t>
    </r>
    <r>
      <rPr>
        <rFont val="Arial"/>
        <color rgb="FF000000"/>
      </rPr>
      <t>u</t>
    </r>
    <r>
      <rPr>
        <rFont val="Arial"/>
        <color rgb="FF000000"/>
      </rPr>
      <t>/</t>
    </r>
    <r>
      <rPr>
        <rFont val="Arial"/>
        <color rgb="FF000000"/>
      </rPr>
      <t>s</t>
    </r>
    <r>
      <rPr>
        <rFont val="Arial"/>
        <color rgb="FF000000"/>
      </rPr>
      <t>u</t>
    </r>
    <r>
      <rPr>
        <rFont val="Arial"/>
        <color rgb="FF000000"/>
      </rPr>
      <t>r</t>
    </r>
    <r>
      <rPr>
        <rFont val="Arial"/>
        <color rgb="FF000000"/>
      </rPr>
      <t>f</t>
    </r>
    <r>
      <rPr>
        <rFont val="Arial"/>
        <color rgb="FF000000"/>
      </rPr>
      <t>a</t>
    </r>
    <r>
      <rPr>
        <rFont val="Arial"/>
        <color rgb="FF000000"/>
      </rPr>
      <t>ce</t>
    </r>
    <r>
      <rPr>
        <rFont val="Arial"/>
        <color rgb="FF000000"/>
      </rPr>
      <t xml:space="preserve"> </t>
    </r>
    <r>
      <rPr>
        <rFont val="Arial"/>
        <color rgb="FF000000"/>
      </rPr>
      <t>w</t>
    </r>
    <r>
      <rPr>
        <rFont val="Arial"/>
        <color rgb="FF000000"/>
      </rPr>
      <t>a</t>
    </r>
    <r>
      <rPr>
        <rFont val="Arial"/>
        <color rgb="FF000000"/>
      </rPr>
      <t>t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>/</t>
    </r>
    <r>
      <rPr>
        <rFont val="Arial"/>
        <color rgb="FF000000"/>
      </rPr>
      <t>d</t>
    </r>
    <r>
      <rPr>
        <rFont val="Arial"/>
        <color rgb="FF000000"/>
      </rPr>
      <t>r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a</t>
    </r>
    <r>
      <rPr>
        <rFont val="Arial"/>
        <color rgb="FF000000"/>
      </rPr>
      <t>ge</t>
    </r>
    <r>
      <rPr>
        <rFont val="Arial"/>
        <color rgb="FF000000"/>
      </rPr>
      <t xml:space="preserve"> </t>
    </r>
    <r>
      <rPr>
        <rFont val="Arial"/>
        <color rgb="FF000000"/>
      </rPr>
      <t>d</t>
    </r>
    <r>
      <rPr>
        <rFont val="Arial"/>
        <color rgb="FF000000"/>
      </rPr>
      <t>itch</t>
    </r>
  </si>
  <si>
    <t>7967 RAND ST</t>
  </si>
  <si>
    <t>1522 KINGWOOD DR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</si>
  <si>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</si>
  <si>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7819 MAGNOLIA ST</t>
  </si>
  <si>
    <t>9321 EVERGLADE DR</t>
  </si>
  <si>
    <t>8214 TARBELL RD</t>
  </si>
  <si>
    <t>11234 TAMWORTH DR</t>
  </si>
  <si>
    <t>800 HIGHWAY 6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</si>
  <si>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</si>
  <si>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238 MEADOW LEA DR</t>
  </si>
  <si>
    <t>Cleared City Clean Out; Blocked and Bagged Storm Drain; Cleaned and Disinfected</t>
  </si>
  <si>
    <t>6729 NEFF ST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</si>
  <si>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</si>
  <si>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6419 WESTOVER ST</t>
  </si>
  <si>
    <t>10039 DEL MONTE DR</t>
  </si>
  <si>
    <t>Inspect Sewer with CCTV; Scheduled for further repairs</t>
  </si>
  <si>
    <t>13306 WESTHEIMER RD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</si>
  <si>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</si>
  <si>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8006 GESSNER RD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</si>
  <si>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</si>
  <si>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6301 ILLINOIS ST</t>
  </si>
  <si>
    <t>1531 MILFORD ST</t>
  </si>
  <si>
    <t>7929 COUNT ST</t>
  </si>
  <si>
    <r>
      <rPr>
        <rFont val="Arial"/>
        <color rgb="FF000000"/>
      </rPr>
      <t>B</t>
    </r>
    <r>
      <rPr>
        <rFont val="Arial"/>
        <color rgb="FF000000"/>
      </rPr>
      <t>a</t>
    </r>
    <r>
      <rPr>
        <rFont val="Arial"/>
        <color rgb="FF000000"/>
      </rPr>
      <t>y</t>
    </r>
    <r>
      <rPr>
        <rFont val="Arial"/>
        <color rgb="FF000000"/>
      </rPr>
      <t>o</t>
    </r>
    <r>
      <rPr>
        <rFont val="Arial"/>
        <color rgb="FF000000"/>
      </rPr>
      <t>u</t>
    </r>
    <r>
      <rPr>
        <rFont val="Arial"/>
        <color rgb="FF000000"/>
      </rPr>
      <t>/</t>
    </r>
    <r>
      <rPr>
        <rFont val="Arial"/>
        <color rgb="FF000000"/>
      </rPr>
      <t>s</t>
    </r>
    <r>
      <rPr>
        <rFont val="Arial"/>
        <color rgb="FF000000"/>
      </rPr>
      <t>u</t>
    </r>
    <r>
      <rPr>
        <rFont val="Arial"/>
        <color rgb="FF000000"/>
      </rPr>
      <t>r</t>
    </r>
    <r>
      <rPr>
        <rFont val="Arial"/>
        <color rgb="FF000000"/>
      </rPr>
      <t>f</t>
    </r>
    <r>
      <rPr>
        <rFont val="Arial"/>
        <color rgb="FF000000"/>
      </rPr>
      <t>a</t>
    </r>
    <r>
      <rPr>
        <rFont val="Arial"/>
        <color rgb="FF000000"/>
      </rPr>
      <t>ce</t>
    </r>
    <r>
      <rPr>
        <rFont val="Arial"/>
        <color rgb="FF000000"/>
      </rPr>
      <t xml:space="preserve"> </t>
    </r>
    <r>
      <rPr>
        <rFont val="Arial"/>
        <color rgb="FF000000"/>
      </rPr>
      <t>w</t>
    </r>
    <r>
      <rPr>
        <rFont val="Arial"/>
        <color rgb="FF000000"/>
      </rPr>
      <t>a</t>
    </r>
    <r>
      <rPr>
        <rFont val="Arial"/>
        <color rgb="FF000000"/>
      </rPr>
      <t>t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>/</t>
    </r>
    <r>
      <rPr>
        <rFont val="Arial"/>
        <color rgb="FF000000"/>
      </rPr>
      <t>d</t>
    </r>
    <r>
      <rPr>
        <rFont val="Arial"/>
        <color rgb="FF000000"/>
      </rPr>
      <t>r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a</t>
    </r>
    <r>
      <rPr>
        <rFont val="Arial"/>
        <color rgb="FF000000"/>
      </rPr>
      <t>ge</t>
    </r>
    <r>
      <rPr>
        <rFont val="Arial"/>
        <color rgb="FF000000"/>
      </rPr>
      <t xml:space="preserve"> </t>
    </r>
    <r>
      <rPr>
        <rFont val="Arial"/>
        <color rgb="FF000000"/>
      </rPr>
      <t>d</t>
    </r>
    <r>
      <rPr>
        <rFont val="Arial"/>
        <color rgb="FF000000"/>
      </rPr>
      <t>itch</t>
    </r>
  </si>
  <si>
    <t>11406 SANDROCK DR</t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</si>
  <si>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</si>
  <si>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</si>
  <si>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</si>
  <si>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</si>
  <si>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r>
      <rPr>
        <rFont val="Arial"/>
        <color rgb="FF000000"/>
      </rPr>
      <t>S</t>
    </r>
    <r>
      <rPr>
        <rFont val="Arial"/>
        <color rgb="FF000000"/>
      </rPr>
      <t>to</t>
    </r>
    <r>
      <rPr>
        <rFont val="Arial"/>
        <color rgb="FF000000"/>
      </rPr>
      <t>r</t>
    </r>
    <r>
      <rPr>
        <rFont val="Arial"/>
        <color rgb="FF000000"/>
      </rPr>
      <t>m</t>
    </r>
    <r>
      <rPr>
        <rFont val="Arial"/>
        <color rgb="FF000000"/>
      </rPr>
      <t xml:space="preserve"> </t>
    </r>
    <r>
      <rPr>
        <rFont val="Arial"/>
        <color rgb="FF000000"/>
      </rPr>
      <t>S</t>
    </r>
    <r>
      <rPr>
        <rFont val="Arial"/>
        <color rgb="FF000000"/>
      </rPr>
      <t>e</t>
    </r>
    <r>
      <rPr>
        <rFont val="Arial"/>
        <color rgb="FF000000"/>
      </rPr>
      <t>w</t>
    </r>
    <r>
      <rPr>
        <rFont val="Arial"/>
        <color rgb="FF000000"/>
      </rPr>
      <t>e</t>
    </r>
    <r>
      <rPr>
        <rFont val="Arial"/>
        <color rgb="FF000000"/>
      </rPr>
      <t>r</t>
    </r>
    <r>
      <rPr>
        <rFont val="Arial"/>
        <color rgb="FF000000"/>
      </rPr>
      <t xml:space="preserve"> </t>
    </r>
    <r>
      <rPr>
        <rFont val="Arial"/>
        <color rgb="FF000000"/>
      </rPr>
      <t>(</t>
    </r>
    <r>
      <rPr>
        <rFont val="Arial"/>
        <color rgb="FF000000"/>
      </rPr>
      <t>n</t>
    </r>
    <r>
      <rPr>
        <rFont val="Arial"/>
        <color rgb="FF000000"/>
      </rPr>
      <t>ot</t>
    </r>
    <r>
      <rPr>
        <rFont val="Arial"/>
        <color rgb="FF000000"/>
      </rPr>
      <t xml:space="preserve"> </t>
    </r>
    <r>
      <rPr>
        <rFont val="Arial"/>
        <color rgb="FF000000"/>
      </rPr>
      <t>c</t>
    </r>
    <r>
      <rPr>
        <rFont val="Arial"/>
        <color rgb="FF000000"/>
      </rPr>
      <t>o</t>
    </r>
    <r>
      <rPr>
        <rFont val="Arial"/>
        <color rgb="FF000000"/>
      </rPr>
      <t>n</t>
    </r>
    <r>
      <rPr>
        <rFont val="Arial"/>
        <color rgb="FF000000"/>
      </rPr>
      <t>t</t>
    </r>
    <r>
      <rPr>
        <rFont val="Arial"/>
        <color rgb="FF000000"/>
      </rPr>
      <t>a</t>
    </r>
    <r>
      <rPr>
        <rFont val="Arial"/>
        <color rgb="FF000000"/>
      </rPr>
      <t>i</t>
    </r>
    <r>
      <rPr>
        <rFont val="Arial"/>
        <color rgb="FF000000"/>
      </rPr>
      <t>n</t>
    </r>
    <r>
      <rPr>
        <rFont val="Arial"/>
        <color rgb="FF000000"/>
      </rPr>
      <t>e</t>
    </r>
    <r>
      <rPr>
        <rFont val="Arial"/>
        <color rgb="FF000000"/>
      </rPr>
      <t>d</t>
    </r>
    <r>
      <rPr>
        <rFont val="Arial"/>
        <color rgb="FF000000"/>
      </rPr>
      <t>)</t>
    </r>
  </si>
  <si>
    <t>6107 IRONSIDE TURN DR</t>
  </si>
  <si>
    <t>9571 AIRPORT BLVD</t>
  </si>
  <si>
    <t>8927 GREEN RIVER DR</t>
  </si>
  <si>
    <t>5028 STIMSON ST</t>
  </si>
  <si>
    <t>800 WEBSTER ST</t>
  </si>
  <si>
    <t>13803 POST OAK RD</t>
  </si>
  <si>
    <t>3724 MINGLEWOOD BLVD</t>
  </si>
  <si>
    <t>7714 SHERMAN ST</t>
  </si>
  <si>
    <t>1415 MILFORD ST</t>
  </si>
  <si>
    <t>5942 SOUTHVILLE ST</t>
  </si>
  <si>
    <t>6822 SONGBROOK DR</t>
  </si>
  <si>
    <t>2603 NAVIGATION BLVD</t>
  </si>
  <si>
    <t>9010 BEECHNUT ST</t>
  </si>
  <si>
    <t>6708 LOZIER ST</t>
  </si>
  <si>
    <t>254 OWENS ST</t>
  </si>
  <si>
    <t>710 66TH ST</t>
  </si>
  <si>
    <t>8442 HICKOK LN</t>
  </si>
  <si>
    <t>10719 BORDLEY DR</t>
  </si>
  <si>
    <t>7710 HARDING ST</t>
  </si>
  <si>
    <t>4512 MORNINGSIDE DR</t>
  </si>
  <si>
    <t>6106 IRONSIDE TURN DR</t>
  </si>
  <si>
    <t>5614 RICKY ST</t>
  </si>
  <si>
    <t>2914 GREGG ST</t>
  </si>
  <si>
    <t>10550 VALLEY FORGE DR</t>
  </si>
  <si>
    <t>15922 LENCLAIRE DR</t>
  </si>
  <si>
    <t>7319 LAVENDER ST</t>
  </si>
  <si>
    <t>1201 WALTON ST</t>
  </si>
  <si>
    <t>8214 CANNON ST</t>
  </si>
  <si>
    <t>2704 TERRY ST</t>
  </si>
  <si>
    <t>10501 HOLLY SPRINGS DR</t>
  </si>
  <si>
    <t>6060 RICHMOND AVE</t>
  </si>
  <si>
    <t>12424 MARICOPA LN</t>
  </si>
  <si>
    <t>1900 JOHN RALSTON RD</t>
  </si>
  <si>
    <t>4616 REDBUD ST</t>
  </si>
  <si>
    <t>10623 HUNTINGTON POINT DR</t>
  </si>
  <si>
    <t>Set Bypass Pump; Cleaned and Disinfected; Returned Spill to Sanitary System; Contain All or Portion of Spill</t>
  </si>
  <si>
    <t>10619 HUNTINGTON POINT DR</t>
  </si>
  <si>
    <t>Cleaned and Disinfected; Set Bypass Pump; Returned Spill to Sanitary System; Contain All or Portion of Spill</t>
  </si>
  <si>
    <t>5702 ARIEL ST</t>
  </si>
  <si>
    <t>8020 CORA ST</t>
  </si>
  <si>
    <t>Contained On Site, not within
5 ft. of Bayou/Surface Water/Drainage Ditch</t>
  </si>
  <si>
    <t>8559 BEECHNUT ST</t>
  </si>
  <si>
    <t>111 FM 1959 RD</t>
  </si>
  <si>
    <t>10526 SIERRA DR</t>
  </si>
  <si>
    <t>12320 BELLAIRE BLVD</t>
  </si>
  <si>
    <t>5915 ENGLEFORD ST</t>
  </si>
  <si>
    <t>2920 HOLMAN ST</t>
  </si>
  <si>
    <t>15714 GATEBRIAR DR</t>
  </si>
  <si>
    <t>13405 EAST FWY</t>
  </si>
  <si>
    <t>2415 MCGOWEN ST</t>
  </si>
  <si>
    <t>11515 MISTY GLEN LN</t>
  </si>
  <si>
    <t>5805 GRAPEVINE ST</t>
  </si>
  <si>
    <t>4410 MERWIN ST</t>
  </si>
  <si>
    <t>8136 TIDWELL RD</t>
  </si>
  <si>
    <t>6125 HILLCROFT AVE</t>
  </si>
  <si>
    <t>7123 AVENUE O</t>
  </si>
  <si>
    <t>414 TURNER DR</t>
  </si>
  <si>
    <t>4408 SAYERS ST</t>
  </si>
  <si>
    <t>4220 HARE ST</t>
  </si>
  <si>
    <t>9788 CLAREWOOD DR</t>
  </si>
  <si>
    <t>611 PORTWALL ST</t>
  </si>
  <si>
    <t>1341 TULANE ST</t>
  </si>
  <si>
    <t>6735 GREY OAKS DR</t>
  </si>
  <si>
    <t>4929 REVEILLE ST</t>
  </si>
  <si>
    <t>5433 CAPLIN ST</t>
  </si>
  <si>
    <t>2011 GANO ST</t>
  </si>
  <si>
    <t>10530 SIERRA DR</t>
  </si>
  <si>
    <t>7159 VANDEMAN ST</t>
  </si>
  <si>
    <t>2602 DEAMS ST</t>
  </si>
  <si>
    <t>8050 HARRISBURG BLVD</t>
  </si>
  <si>
    <t>6917 CORPUS CHRISTI ST</t>
  </si>
  <si>
    <t>13203 BABBITT ST</t>
  </si>
  <si>
    <t>1511 LAWNDALE PLZ</t>
  </si>
  <si>
    <t>2207 BRAZOS ST</t>
  </si>
  <si>
    <t>2501 BERING DR</t>
  </si>
  <si>
    <t>7002 LACY HILL DR</t>
  </si>
  <si>
    <t>6731 GREY OAKS DR</t>
  </si>
  <si>
    <t>6122 CAVANAUGH ST</t>
  </si>
  <si>
    <t>2202 LYNNFIELD ST</t>
  </si>
  <si>
    <t>7030 BENT BRANCH DR</t>
  </si>
  <si>
    <t>2418 B QUENBY ST</t>
  </si>
  <si>
    <t>1611 ROSEWOOD ST</t>
  </si>
  <si>
    <t>502 HARKNESS ST</t>
  </si>
  <si>
    <t>908 CANADIAN ST</t>
  </si>
  <si>
    <t>5511 HOHEN CIR</t>
  </si>
  <si>
    <t>9125 NYSSA AVE</t>
  </si>
  <si>
    <t>4730 PALISADE DR</t>
  </si>
  <si>
    <t>518 MELBOURNE ST</t>
  </si>
  <si>
    <t>7644 AVENUE E</t>
  </si>
  <si>
    <t>2933 BRACKENRIDGE ST</t>
  </si>
  <si>
    <t>10259 COTTAGE FIELD RD</t>
  </si>
  <si>
    <t>8337 CONSTELLATION LN</t>
  </si>
  <si>
    <t>5912 HAIGHT ST</t>
  </si>
  <si>
    <t>6414 SILVER CHALICE DR</t>
  </si>
  <si>
    <t>911 LITTLE YORK RD</t>
  </si>
  <si>
    <t>1135 MAJESTIC ST</t>
  </si>
  <si>
    <t>5063 FIELDWOOD DR</t>
  </si>
  <si>
    <t>2519 HUFFMAN EASTGATE RD</t>
  </si>
  <si>
    <t>WWTP Electrical
Failure</t>
  </si>
  <si>
    <t>1510 SOLO ST</t>
  </si>
  <si>
    <t>3602 SARDIS LN</t>
  </si>
  <si>
    <t>3944 ARLINGTON SQUARE DR</t>
  </si>
  <si>
    <t>211 BRYAN ST</t>
  </si>
  <si>
    <t>2514 LUCKY ST</t>
  </si>
  <si>
    <t>7009 SAINT AUGUSTINE ST</t>
  </si>
  <si>
    <t>3607 WILLOWOOD LN</t>
  </si>
  <si>
    <t>707 CLAY ST</t>
  </si>
  <si>
    <t>8503 WIER DR</t>
  </si>
  <si>
    <t>905 CANADIAN ST</t>
  </si>
  <si>
    <t>6809 ALDERSON ST</t>
  </si>
  <si>
    <t>8034 CRESTVIEW DR</t>
  </si>
  <si>
    <t>2027 PERSA ST</t>
  </si>
  <si>
    <t>5714 GULF BANK RD</t>
  </si>
  <si>
    <t>7606 BELLFORT ST</t>
  </si>
  <si>
    <t>2347 SUMMIT WAY CT</t>
  </si>
  <si>
    <t>3402 LAS PALMAS ST</t>
  </si>
  <si>
    <t>2701 BAY AREA BLVD</t>
  </si>
  <si>
    <t>791 FAIR ST</t>
  </si>
  <si>
    <t>3221 QUITMAN ST</t>
  </si>
  <si>
    <t>9202 SEEKER ST</t>
  </si>
  <si>
    <t>Collection system
– wet weather</t>
  </si>
  <si>
    <t>8265 KIRBY DR</t>
  </si>
  <si>
    <t>11503 SAGEDOWNE LN</t>
  </si>
  <si>
    <t>418 ARMSTRONG ST</t>
  </si>
  <si>
    <t>6011 IRISH HILL DR</t>
  </si>
  <si>
    <t>9870 GAYLORD DR</t>
  </si>
  <si>
    <t>3802 TUAM ST</t>
  </si>
  <si>
    <t>16334 TIBURON WAY</t>
  </si>
  <si>
    <t>11714 MOONMIST DR</t>
  </si>
  <si>
    <t>Set Bypass Pump; Cleaned and Disinfected; Cleared Main Line</t>
  </si>
  <si>
    <t>4915 WALKER ST</t>
  </si>
  <si>
    <t>5954 SOUTHSEAS ST</t>
  </si>
  <si>
    <t>7354 LE HAVRE RD</t>
  </si>
  <si>
    <t>7505 HOWTON ST</t>
  </si>
  <si>
    <t>3731 BROOKVALE DR</t>
  </si>
  <si>
    <t>5542 TUPPER LAKE DR</t>
  </si>
  <si>
    <t>848 YALE ST</t>
  </si>
  <si>
    <t>18 COURTLANDT PL</t>
  </si>
  <si>
    <t>8013 WILLOW ST</t>
  </si>
  <si>
    <t>3214 CRAWFORD ST</t>
  </si>
  <si>
    <t>15731 TANYA CIR</t>
  </si>
  <si>
    <t>5005 BRADY ST</t>
  </si>
  <si>
    <t>4502 SHARON ST</t>
  </si>
  <si>
    <t>6507 SOUTHBROOK DR</t>
  </si>
  <si>
    <t>7612 MAGNOLIA ST</t>
  </si>
  <si>
    <t>8234 JET PILOT AVE</t>
  </si>
  <si>
    <t>10210 EMNORA LN</t>
  </si>
  <si>
    <t>1520 MILFORD ST</t>
  </si>
  <si>
    <t>300 GILPIN ST</t>
  </si>
  <si>
    <t>963 VICTORY DR</t>
  </si>
  <si>
    <t>111 9TH ST</t>
  </si>
  <si>
    <t>8510 SUNDERLAND RD</t>
  </si>
  <si>
    <t>12500 GULF FWY</t>
  </si>
  <si>
    <t>2571 JUDIWAY ST</t>
  </si>
  <si>
    <t>9502 NARNIA SPRINGS CT</t>
  </si>
  <si>
    <t>1485 SILVERADO DR</t>
  </si>
  <si>
    <t>9602 KENSINGTON DR</t>
  </si>
  <si>
    <t>9872 LEDGE ST</t>
  </si>
  <si>
    <t>7470 HAYWOOD DR</t>
  </si>
  <si>
    <t>9237 HILLIS ST</t>
  </si>
  <si>
    <t>2303 WYNDAM HEIGHTS LN</t>
  </si>
  <si>
    <t>4329 MAGGIE ST</t>
  </si>
  <si>
    <t>1631 NOCTURNE LN</t>
  </si>
  <si>
    <t>10919 JUTLAND RD</t>
  </si>
  <si>
    <t>1830 ROUND LAKE DR</t>
  </si>
  <si>
    <t>420 COLQUITT ST</t>
  </si>
  <si>
    <t>203 SYLVESTER RD</t>
  </si>
  <si>
    <t>8433 PARNELL ST</t>
  </si>
  <si>
    <t>6608 AVENUE F</t>
  </si>
  <si>
    <t>501 AVONDALE ST</t>
  </si>
  <si>
    <t>16442 GOLD RIDGE LN</t>
  </si>
  <si>
    <t>12605 MCNAIR ST</t>
  </si>
  <si>
    <t>13504 HOOPER RD</t>
  </si>
  <si>
    <t>12934 PEGGYS LN</t>
  </si>
  <si>
    <t>4207 ROGERS ST</t>
  </si>
  <si>
    <t>2509 DICKEY PL</t>
  </si>
  <si>
    <t>3346 AIRPORT BLVD</t>
  </si>
  <si>
    <t>10113 DULCIMER ST</t>
  </si>
  <si>
    <t>13346 KNOLLCREST ST</t>
  </si>
  <si>
    <t>16720 PARK ROW DR</t>
  </si>
  <si>
    <t>5202 DARLING ST</t>
  </si>
  <si>
    <t>3806 WESTHAMPTON DR</t>
  </si>
  <si>
    <t>5227 KILKENNY DR</t>
  </si>
  <si>
    <t>5135 GREEN TREE RD</t>
  </si>
  <si>
    <t>4125 WOODHAVEN ST</t>
  </si>
  <si>
    <t>4804 BLALOCK RD</t>
  </si>
  <si>
    <t>6567 HOLLISTER ST</t>
  </si>
  <si>
    <t>4402 VERDOME LN</t>
  </si>
  <si>
    <t>209 25TH ST</t>
  </si>
  <si>
    <t>Cleaned and Disinfected; Cleared Private Line</t>
  </si>
  <si>
    <t>13802 BRITOAK LN</t>
  </si>
  <si>
    <t>5240 PEASE ST</t>
  </si>
  <si>
    <t>5410 CANTERWAY DR</t>
  </si>
  <si>
    <t>9014 SHARPVIEW DR</t>
  </si>
  <si>
    <t>9427 KRISTIN DR</t>
  </si>
  <si>
    <t>4115 GALVESTON RD</t>
  </si>
  <si>
    <t>10202 HADDINGTON DR</t>
  </si>
  <si>
    <t>4424 STANFORD CT</t>
  </si>
  <si>
    <t>8403 CAMBRIDGE ST</t>
  </si>
  <si>
    <t>7447 CAMBRIDGE ST</t>
  </si>
  <si>
    <t>7575 CAMBRIDGE ST</t>
  </si>
  <si>
    <t>4400 HARRISBURG BLVD</t>
  </si>
  <si>
    <t>222 25TH ST</t>
  </si>
  <si>
    <t>4701 ANDERSON RD</t>
  </si>
  <si>
    <t>801 ROUNDTREE ST</t>
  </si>
  <si>
    <t>4706 BLANTON BLVD</t>
  </si>
  <si>
    <t>744 WORTHSHIRE ST</t>
  </si>
  <si>
    <t>1616 CHESTNUT ST</t>
  </si>
  <si>
    <t>2412 CAMPBELL ST</t>
  </si>
  <si>
    <t>955 MALCOLMS WAY</t>
  </si>
  <si>
    <t>13105 NORTHWEST FWY</t>
  </si>
  <si>
    <t>9614 VOGUE LN</t>
  </si>
  <si>
    <t>14430 BROADGREEN DR</t>
  </si>
  <si>
    <t>113 DE HAVEN ST</t>
  </si>
  <si>
    <t>2904 WOODARD ST</t>
  </si>
  <si>
    <t>608 8TH 1/2 ST</t>
  </si>
  <si>
    <t>1405 COLLIER ST</t>
  </si>
  <si>
    <t>1922 EBONY LN</t>
  </si>
  <si>
    <t>8726 KALEWOOD DR</t>
  </si>
  <si>
    <t>6647 BRIAR GLADE DR</t>
  </si>
  <si>
    <t>3555 AIRPORT BLVD</t>
  </si>
  <si>
    <t>7421 AVENUE F</t>
  </si>
  <si>
    <t>10718 BRAEWICK DR</t>
  </si>
  <si>
    <t>2555 WESTHOLLOW DR</t>
  </si>
  <si>
    <t>12037 NAUGHTON ST</t>
  </si>
  <si>
    <t>1517 ELLIOTT ST</t>
  </si>
  <si>
    <t>10431 METRONOME DR</t>
  </si>
  <si>
    <t>1665 ELDRIDGE PKWY</t>
  </si>
  <si>
    <t>6 BRIARWOOD CT</t>
  </si>
  <si>
    <t>10121 GOLDCREST ST</t>
  </si>
  <si>
    <t>4510 SHARON ST</t>
  </si>
  <si>
    <t>1110 ADELE ST</t>
  </si>
  <si>
    <t>11910 FLUSHING MEADOWS DR</t>
  </si>
  <si>
    <t>8617 COMAL ST</t>
  </si>
  <si>
    <t>5530 OSPREY DR</t>
  </si>
  <si>
    <t>122 CROSSTIMBERS ST</t>
  </si>
  <si>
    <t>6106 KENILWOOD DR</t>
  </si>
  <si>
    <t>518 ROPER ST</t>
  </si>
  <si>
    <t>6011 GREEN TERRACE LN</t>
  </si>
  <si>
    <t>4002 REGENCY DR</t>
  </si>
  <si>
    <t>404 YORK ST</t>
  </si>
  <si>
    <t>12222 PLUMPOINT DR</t>
  </si>
  <si>
    <t>Cleared Main Line; Cleared Private Line; Cleaned and Disinfected</t>
  </si>
  <si>
    <t>1511 WIPPRECHT ST</t>
  </si>
  <si>
    <t>4717 GUNTER ST</t>
  </si>
  <si>
    <t>2557 WESTHOLLOW DR</t>
  </si>
  <si>
    <t>7045 REED RD</t>
  </si>
  <si>
    <t>3011 MAIN ST</t>
  </si>
  <si>
    <t>5133 MALMEDY RD</t>
  </si>
  <si>
    <t>7961 ETHEL ST</t>
  </si>
  <si>
    <t>12026 COULSON CIR</t>
  </si>
  <si>
    <t>8181 SNOWDEN ST</t>
  </si>
  <si>
    <t>3110 CAPLIN ST</t>
  </si>
  <si>
    <t>7711 BELGARD ST</t>
  </si>
  <si>
    <t>9667 PAGEWOOD LN</t>
  </si>
  <si>
    <t>5227 YOAKUM BLVD</t>
  </si>
  <si>
    <t>1216 BETHLEHEM ST</t>
  </si>
  <si>
    <t>7748 AVENUE E</t>
  </si>
  <si>
    <t>1158 BRENFORD DR</t>
  </si>
  <si>
    <t>2310 RUTH ST</t>
  </si>
  <si>
    <t>5202 CHERRY ST</t>
  </si>
  <si>
    <t>5214 CRANE ST</t>
  </si>
  <si>
    <t>10102 CHICKASAW LN</t>
  </si>
  <si>
    <t>7937 ANGUS ST</t>
  </si>
  <si>
    <t>7618 BELLINGHAM DR</t>
  </si>
  <si>
    <t>5922 BENDER RD</t>
  </si>
  <si>
    <t>8807 EMNORA LN</t>
  </si>
  <si>
    <t>6183 LYNDHURST DR</t>
  </si>
  <si>
    <t>10511 EASTEX FWY</t>
  </si>
  <si>
    <t>2419 PANNELL ST</t>
  </si>
  <si>
    <t>2802 BRINGHURST ST</t>
  </si>
  <si>
    <t>2345 BERRY RD</t>
  </si>
  <si>
    <t>9213 HAMMERLY BLVD</t>
  </si>
  <si>
    <t>6508 JENSEN DR</t>
  </si>
  <si>
    <t>2508 MOREHOUSE LN</t>
  </si>
  <si>
    <t>8302 GLENVIEW DR</t>
  </si>
  <si>
    <t>7402 BUENA VISTA ST</t>
  </si>
  <si>
    <t>11323 SAGEMEADOW LN</t>
  </si>
  <si>
    <t>1822 SUL ROSS ST</t>
  </si>
  <si>
    <t>5931 FONTENELLE DR</t>
  </si>
  <si>
    <t>5143 NASSAU RD</t>
  </si>
  <si>
    <t>11410 SPRING GROVE DR</t>
  </si>
  <si>
    <t>4501 ROSENEATH DR</t>
  </si>
  <si>
    <t>730 38TH ST</t>
  </si>
  <si>
    <t>4702 RUSK ST</t>
  </si>
  <si>
    <t>8613 KELLETT ST</t>
  </si>
  <si>
    <t>618 WELLINGTON ST</t>
  </si>
  <si>
    <t>4514 ROBERTSON ST</t>
  </si>
  <si>
    <t>6602 LETCHER ST</t>
  </si>
  <si>
    <t>9400 COVENTRY SQUARE DR</t>
  </si>
  <si>
    <t>6710 RIDGEWAY DR</t>
  </si>
  <si>
    <t>8735 RYLANDER CIR</t>
  </si>
  <si>
    <t>1902 ISABELLA ST</t>
  </si>
  <si>
    <t>2320 RIVER OAKS BLVD</t>
  </si>
  <si>
    <t>4332 GARROTT ST</t>
  </si>
  <si>
    <t>10054 CHICKASAW LN</t>
  </si>
  <si>
    <t>8218 JAMES FRANKLIN ST</t>
  </si>
  <si>
    <t>3810 WILLOWICK RD</t>
  </si>
  <si>
    <t>11702 GALVESTON RD</t>
  </si>
  <si>
    <t>24021 SUNNY GLEN DR</t>
  </si>
  <si>
    <t>708 GROVE ST</t>
  </si>
  <si>
    <t>3834 SEARLE DR</t>
  </si>
  <si>
    <t>2205 SINGLETON ST</t>
  </si>
  <si>
    <t>3308 VINTAGE ST</t>
  </si>
  <si>
    <t>10400 ROTHBURY ST</t>
  </si>
  <si>
    <t>4402 VERNON ST</t>
  </si>
  <si>
    <t>5502 CARILLO DR</t>
  </si>
  <si>
    <t>1111 SHEPHERD DR</t>
  </si>
  <si>
    <t>8181 EL MUNDO ST</t>
  </si>
  <si>
    <t>4634 2/3 NAVIGATION BLVD</t>
  </si>
  <si>
    <t>1178 HEMPSTEAD VILLA LN</t>
  </si>
  <si>
    <t>214 20TH ST</t>
  </si>
  <si>
    <t>8306 SOUTHWEST FWY</t>
  </si>
  <si>
    <t>2600 MID LN</t>
  </si>
  <si>
    <t>10003 WILLOWGROVE DR</t>
  </si>
  <si>
    <t>1317 WINROCK BLVD</t>
  </si>
  <si>
    <t>238 CALLOWAY ST</t>
  </si>
  <si>
    <t>607 POST ST</t>
  </si>
  <si>
    <t>8406 RINN ST</t>
  </si>
  <si>
    <t>732 WILCREST DR</t>
  </si>
  <si>
    <t>5211 PLAZA WAY</t>
  </si>
  <si>
    <t>6015 GREENPARK MANOR LN</t>
  </si>
  <si>
    <t>13402 CROQUET LN</t>
  </si>
  <si>
    <t>11806 SORSBY WAY</t>
  </si>
  <si>
    <t>5815 PINACLE PT</t>
  </si>
  <si>
    <t>7527 WILMERDEAN ST</t>
  </si>
  <si>
    <t>10518 WOODWICK ST</t>
  </si>
  <si>
    <t>13724 STANCLIFF ST</t>
  </si>
  <si>
    <t>2800 BRAZOS ST</t>
  </si>
  <si>
    <t>9906 GENARD RD</t>
  </si>
  <si>
    <t>4601 PERRY ST</t>
  </si>
  <si>
    <t>783 STRAWBERRY PINES CT</t>
  </si>
  <si>
    <t>8790 2/3 AIRPORT BLVD</t>
  </si>
  <si>
    <t>10273 GESSNER DR</t>
  </si>
  <si>
    <t>12703 HARDY RD</t>
  </si>
  <si>
    <t>888 2/3 CHIMNEY ROCK RD</t>
  </si>
  <si>
    <t>5331 BEVERLY HILL ST</t>
  </si>
  <si>
    <t>11431 SAGEGROVE LN</t>
  </si>
  <si>
    <t>11502 SAGEDOWNE LN</t>
  </si>
  <si>
    <t>11514 SAGEDOWNE LN</t>
  </si>
  <si>
    <t>11515 SAGEDOWNE LN</t>
  </si>
  <si>
    <t>11602 SAGEDOWNE LN</t>
  </si>
  <si>
    <t>11607 SAGEDOWNE LN</t>
  </si>
  <si>
    <t>11615 SAGEDOWNE LN</t>
  </si>
  <si>
    <t>11623 SAGEDOWNE LN</t>
  </si>
  <si>
    <t>11622 SAGEDOWNE LN</t>
  </si>
  <si>
    <t>8731 RYLANDER CIR</t>
  </si>
  <si>
    <t>4007 RAWLEY ST</t>
  </si>
  <si>
    <t>3302 SOUTHMORE BLVD</t>
  </si>
  <si>
    <t>5711 YALE ST</t>
  </si>
  <si>
    <t>1459 WILLOW ROCK RD</t>
  </si>
  <si>
    <t>1438 PLEASANTVILLE DR</t>
  </si>
  <si>
    <t>7007 COACHCREEK DR</t>
  </si>
  <si>
    <t>7942 ANGUS ST</t>
  </si>
  <si>
    <t>9538 CHESTERFIELD DR</t>
  </si>
  <si>
    <t>12114 SAGEDOWNE LN</t>
  </si>
  <si>
    <t>2346 WROXTON RD</t>
  </si>
  <si>
    <t>10614 CANDLEWOOD DR</t>
  </si>
  <si>
    <t>11202 LEITRIM WAY</t>
  </si>
  <si>
    <t>306 QUITMAN ST</t>
  </si>
  <si>
    <t>5505 BLOSSOM ST</t>
  </si>
  <si>
    <t>6828 GAINESVILLE ST</t>
  </si>
  <si>
    <t>8603 VALLEY SONG DR</t>
  </si>
  <si>
    <t>2326 ELLA BLVD</t>
  </si>
  <si>
    <t>2503 2/3 WAUGH DR</t>
  </si>
  <si>
    <t>6114 43RD ST</t>
  </si>
  <si>
    <t>7907 SYCAMORE ST</t>
  </si>
  <si>
    <t>1702 TUAM ST</t>
  </si>
  <si>
    <t>1557 GODWIN ST</t>
  </si>
  <si>
    <t>5031 GLENMEADOW DR</t>
  </si>
  <si>
    <t>8990 IMOGENE ST</t>
  </si>
  <si>
    <t>4419 HOWCHER ST</t>
  </si>
  <si>
    <t>7037 CAPITOL ST</t>
  </si>
  <si>
    <t>9702 PETERSHAM DR</t>
  </si>
  <si>
    <t>4435 OSBY DR</t>
  </si>
  <si>
    <t>2801 ROSEDALE ST</t>
  </si>
  <si>
    <t>12217 SOWDEN RD</t>
  </si>
  <si>
    <t>8222 KIRBY DR</t>
  </si>
  <si>
    <t>6383 WESTHEIMER RD</t>
  </si>
  <si>
    <t>6219 BATTERSON ST</t>
  </si>
  <si>
    <t>3509 ALMEDA GENOA RD</t>
  </si>
  <si>
    <t>3499 EVERGREEN DR</t>
  </si>
  <si>
    <t>5609 CRANE ST</t>
  </si>
  <si>
    <t>1021 WESTFORD ST</t>
  </si>
  <si>
    <t>1925 COMMON ST</t>
  </si>
  <si>
    <t>4006 CAMPBELL RD</t>
  </si>
  <si>
    <t>501 78TH ST</t>
  </si>
  <si>
    <t>12945 SAMUEL LN</t>
  </si>
  <si>
    <t>1232 CHESHIRE LN</t>
  </si>
  <si>
    <t>Corrected</t>
  </si>
  <si>
    <r>
      <rPr>
        <rFont val="Calibri"/>
        <color rgb="FF000000"/>
        <sz val="11.0"/>
      </rPr>
      <t>Air Relief
Valve (ARV) Failure</t>
    </r>
  </si>
  <si>
    <r>
      <rPr>
        <rFont val="Calibri"/>
        <color rgb="FF000000"/>
        <sz val="11.0"/>
      </rPr>
      <t>Collection system -
wet weather</t>
    </r>
  </si>
  <si>
    <r>
      <rPr>
        <rFont val="Calibri"/>
        <color rgb="FF000000"/>
        <sz val="11.0"/>
      </rPr>
      <t>Collection system structural
blockage</t>
    </r>
  </si>
  <si>
    <r>
      <rPr>
        <rFont val="Calibri"/>
        <color rgb="FF000000"/>
        <sz val="11.0"/>
      </rPr>
      <t>Collection system structural
failure</t>
    </r>
  </si>
  <si>
    <r>
      <rPr>
        <rFont val="Calibri"/>
        <color rgb="FF000000"/>
        <sz val="11.0"/>
      </rPr>
      <t>Collection system temporary
blockage</t>
    </r>
  </si>
  <si>
    <r>
      <rPr>
        <rFont val="Calibri"/>
        <color rgb="FF000000"/>
        <sz val="11.0"/>
      </rPr>
      <t>Collection
system ‐ wet weather</t>
    </r>
  </si>
  <si>
    <r>
      <rPr>
        <rFont val="Calibri"/>
        <color rgb="FF000000"/>
        <sz val="11.0"/>
      </rPr>
      <t>Collection
system structural blockage</t>
    </r>
  </si>
  <si>
    <r>
      <rPr>
        <rFont val="Calibri"/>
        <color rgb="FF000000"/>
        <sz val="11.0"/>
      </rPr>
      <t>Collection
system structural failure</t>
    </r>
  </si>
  <si>
    <r>
      <rPr>
        <rFont val="Calibri"/>
        <color rgb="FF000000"/>
        <sz val="11.0"/>
      </rPr>
      <t>Collection
system structural
blockage</t>
    </r>
  </si>
  <si>
    <r>
      <rPr>
        <rFont val="Calibri"/>
        <color rgb="FF000000"/>
        <sz val="11.0"/>
      </rPr>
      <t>Collection
system structural
failure</t>
    </r>
  </si>
  <si>
    <r>
      <rPr>
        <rFont val="Calibri"/>
        <color rgb="FF000000"/>
        <sz val="11.0"/>
      </rPr>
      <t>Collection
system temporary blockage</t>
    </r>
  </si>
  <si>
    <r>
      <rPr>
        <rFont val="Calibri"/>
        <color rgb="FF000000"/>
        <sz val="11.0"/>
      </rPr>
      <t>Collection
system
structural blockage</t>
    </r>
  </si>
  <si>
    <r>
      <rPr>
        <rFont val="Calibri"/>
        <color rgb="FF000000"/>
        <sz val="11.0"/>
      </rPr>
      <t>Collection
system
structural failure</t>
    </r>
  </si>
  <si>
    <r>
      <rPr>
        <rFont val="Calibri"/>
        <color rgb="FF000000"/>
        <sz val="11.0"/>
      </rPr>
      <t>Grease
Blockage</t>
    </r>
  </si>
  <si>
    <r>
      <rPr>
        <rFont val="Calibri"/>
        <color rgb="FF000000"/>
        <sz val="11.0"/>
      </rPr>
      <t>Pump/Lift
Station Hydraulic Overload</t>
    </r>
  </si>
  <si>
    <r>
      <rPr>
        <rFont val="Calibri"/>
        <color rgb="FF000000"/>
        <sz val="11.0"/>
      </rPr>
      <t>Pump/Lift
Station Hydraulic Overload</t>
    </r>
  </si>
  <si>
    <r>
      <rPr>
        <rFont val="Calibri"/>
        <color rgb="FF000000"/>
        <sz val="11.0"/>
      </rPr>
      <t>Private
Sample Well</t>
    </r>
  </si>
  <si>
    <r>
      <rPr>
        <rFont val="Calibri"/>
        <color rgb="FF000000"/>
        <sz val="11.0"/>
      </rPr>
      <t>Building Backup</t>
    </r>
  </si>
  <si>
    <r>
      <rPr>
        <rFont val="Calibri"/>
        <color rgb="FF000000"/>
        <sz val="11.0"/>
      </rPr>
      <t>Building Backup</t>
    </r>
  </si>
  <si>
    <r>
      <rPr>
        <rFont val="Calibri"/>
        <color rgb="FF000000"/>
        <sz val="11.0"/>
      </rPr>
      <t>Lift Station</t>
    </r>
  </si>
  <si>
    <r>
      <rPr>
        <rFont val="Calibri"/>
        <color rgb="FF000000"/>
        <sz val="11.0"/>
      </rPr>
      <t>Lift Station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</si>
</sst>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/yyyy"/>
    <numFmt numFmtId="165" formatCode="0.0"/>
    <numFmt numFmtId="166" formatCode="m/d/yyyy"/>
  </numFmts>
  <fonts count="13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b/>
      <sz val="10.0"/>
      <color theme="0"/>
      <name val="Arial"/>
      <scheme val="minor"/>
    </font>
    <font>
      <b/>
      <sz val="10.0"/>
      <color theme="0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color theme="1"/>
      <name val="&quot;Times New Roman&quot;"/>
    </font>
    <font>
      <b/>
      <sz val="11.0"/>
      <color rgb="FFFFFFFF"/>
      <name val="Calibri"/>
    </font>
    <font>
      <b/>
      <sz val="11.0"/>
      <color theme="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2" fontId="2" numFmtId="0" xfId="0" applyAlignment="1" applyBorder="1" applyFont="1">
      <alignment horizontal="center" vertical="top"/>
    </xf>
    <xf borderId="1" fillId="2" fontId="3" numFmtId="0" xfId="0" applyAlignment="1" applyBorder="1" applyFont="1">
      <alignment horizontal="center"/>
    </xf>
    <xf borderId="0" fillId="2" fontId="3" numFmtId="0" xfId="0" applyAlignment="1" applyFont="1">
      <alignment horizontal="center"/>
    </xf>
    <xf borderId="0" fillId="0" fontId="4" numFmtId="0" xfId="0" applyAlignment="1" applyFont="1">
      <alignment horizontal="right" vertical="top"/>
    </xf>
    <xf borderId="0" fillId="0" fontId="4" numFmtId="0" xfId="0" applyAlignment="1" applyFont="1">
      <alignment vertical="top"/>
    </xf>
    <xf borderId="0" fillId="0" fontId="4" numFmtId="14" xfId="0" applyAlignment="1" applyFont="1" applyNumberFormat="1">
      <alignment horizontal="right" vertical="top"/>
    </xf>
    <xf borderId="0" fillId="3" fontId="4" numFmtId="14" xfId="0" applyAlignment="1" applyFill="1" applyFont="1" applyNumberFormat="1">
      <alignment horizontal="right" vertical="top"/>
    </xf>
    <xf borderId="0" fillId="3" fontId="4" numFmtId="0" xfId="0" applyAlignment="1" applyFont="1">
      <alignment vertical="top"/>
    </xf>
    <xf borderId="0" fillId="3" fontId="4" numFmtId="14" xfId="0" applyAlignment="1" applyFont="1" applyNumberFormat="1">
      <alignment horizontal="right" readingOrder="0" vertical="top"/>
    </xf>
    <xf borderId="0" fillId="4" fontId="4" numFmtId="14" xfId="0" applyAlignment="1" applyFill="1" applyFont="1" applyNumberFormat="1">
      <alignment horizontal="right" vertical="top"/>
    </xf>
    <xf borderId="0" fillId="3" fontId="4" numFmtId="0" xfId="0" applyAlignment="1" applyFont="1">
      <alignment readingOrder="0" vertical="top"/>
    </xf>
    <xf borderId="0" fillId="5" fontId="4" numFmtId="0" xfId="0" applyAlignment="1" applyFill="1" applyFont="1">
      <alignment readingOrder="0" vertical="top"/>
    </xf>
    <xf borderId="0" fillId="5" fontId="4" numFmtId="0" xfId="0" applyAlignment="1" applyFont="1">
      <alignment vertical="top"/>
    </xf>
    <xf borderId="0" fillId="5" fontId="4" numFmtId="0" xfId="0" applyAlignment="1" applyFont="1">
      <alignment vertical="top"/>
    </xf>
    <xf borderId="0" fillId="5" fontId="4" numFmtId="1" xfId="0" applyAlignment="1" applyFont="1" applyNumberFormat="1">
      <alignment readingOrder="0" vertical="top"/>
    </xf>
    <xf borderId="0" fillId="5" fontId="4" numFmtId="164" xfId="0" applyAlignment="1" applyFont="1" applyNumberFormat="1">
      <alignment readingOrder="0" vertical="top"/>
    </xf>
    <xf borderId="0" fillId="5" fontId="4" numFmtId="20" xfId="0" applyAlignment="1" applyFont="1" applyNumberFormat="1">
      <alignment readingOrder="0" vertical="top"/>
    </xf>
    <xf borderId="0" fillId="5" fontId="5" numFmtId="0" xfId="0" applyAlignment="1" applyFont="1">
      <alignment vertical="top"/>
    </xf>
    <xf borderId="0" fillId="0" fontId="4" numFmtId="1" xfId="0" applyAlignment="1" applyFont="1" applyNumberFormat="1">
      <alignment vertical="top"/>
    </xf>
    <xf borderId="0" fillId="0" fontId="4" numFmtId="14" xfId="0" applyAlignment="1" applyFont="1" applyNumberFormat="1">
      <alignment vertical="top"/>
    </xf>
    <xf borderId="0" fillId="0" fontId="4" numFmtId="165" xfId="0" applyAlignment="1" applyFont="1" applyNumberFormat="1">
      <alignment vertical="top"/>
    </xf>
    <xf borderId="0" fillId="0" fontId="4" numFmtId="0" xfId="0" applyAlignment="1" applyFont="1">
      <alignment readingOrder="0" vertical="top"/>
    </xf>
    <xf borderId="0" fillId="0" fontId="4" numFmtId="2" xfId="0" applyAlignment="1" applyFont="1" applyNumberFormat="1">
      <alignment vertical="top"/>
    </xf>
    <xf borderId="0" fillId="0" fontId="0" numFmtId="0" xfId="0" applyAlignment="1" applyFont="1">
      <alignment vertical="top"/>
    </xf>
    <xf borderId="0" fillId="0" fontId="4" numFmtId="164" xfId="0" applyAlignment="1" applyFont="1" applyNumberFormat="1">
      <alignment vertical="top"/>
    </xf>
    <xf borderId="0" fillId="0" fontId="4" numFmtId="20" xfId="0" applyAlignment="1" applyFont="1" applyNumberFormat="1">
      <alignment vertical="top"/>
    </xf>
    <xf borderId="0" fillId="0" fontId="4" numFmtId="1" xfId="0" applyAlignment="1" applyFont="1" applyNumberFormat="1">
      <alignment readingOrder="0" vertical="top"/>
    </xf>
    <xf borderId="0" fillId="0" fontId="4" numFmtId="164" xfId="0" applyAlignment="1" applyFont="1" applyNumberFormat="1">
      <alignment readingOrder="0" vertical="top"/>
    </xf>
    <xf borderId="0" fillId="0" fontId="4" numFmtId="20" xfId="0" applyAlignment="1" applyFont="1" applyNumberFormat="1">
      <alignment readingOrder="0" vertical="top"/>
    </xf>
    <xf borderId="0" fillId="0" fontId="4" numFmtId="0" xfId="0" applyAlignment="1" applyFont="1">
      <alignment vertical="top"/>
    </xf>
    <xf borderId="0" fillId="0" fontId="4" numFmtId="166" xfId="0" applyAlignment="1" applyFont="1" applyNumberFormat="1">
      <alignment readingOrder="0" vertical="top"/>
    </xf>
    <xf borderId="0" fillId="5" fontId="5" numFmtId="0" xfId="0" applyFont="1"/>
    <xf borderId="0" fillId="0" fontId="6" numFmtId="0" xfId="0" applyAlignment="1" applyFont="1">
      <alignment vertical="top"/>
    </xf>
    <xf borderId="0" fillId="0" fontId="4" numFmtId="0" xfId="0" applyAlignment="1" applyFont="1">
      <alignment vertical="top"/>
    </xf>
    <xf borderId="0" fillId="4" fontId="0" numFmtId="0" xfId="0" applyAlignment="1" applyFont="1">
      <alignment vertical="top"/>
    </xf>
    <xf borderId="0" fillId="4" fontId="0" numFmtId="0" xfId="0" applyAlignment="1" applyFont="1">
      <alignment vertical="top"/>
    </xf>
    <xf borderId="0" fillId="0" fontId="5" numFmtId="0" xfId="0" applyAlignment="1" applyFont="1">
      <alignment vertical="top"/>
    </xf>
    <xf borderId="0" fillId="5" fontId="5" numFmtId="0" xfId="0" applyAlignment="1" applyFont="1">
      <alignment readingOrder="0"/>
    </xf>
    <xf borderId="0" fillId="5" fontId="5" numFmtId="0" xfId="0" applyAlignment="1" applyFont="1">
      <alignment readingOrder="0" vertical="top"/>
    </xf>
    <xf borderId="0" fillId="0" fontId="4" numFmtId="1" xfId="0" applyAlignment="1" applyFont="1" applyNumberFormat="1">
      <alignment horizontal="right" vertical="top"/>
    </xf>
    <xf borderId="0" fillId="0" fontId="7" numFmtId="1" xfId="0" applyAlignment="1" applyFont="1" applyNumberFormat="1">
      <alignment horizontal="right"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1" xfId="0" applyAlignment="1" applyFont="1" applyNumberFormat="1">
      <alignment horizontal="right" vertical="top"/>
    </xf>
    <xf borderId="0" fillId="0" fontId="4" numFmtId="166" xfId="0" applyAlignment="1" applyFont="1" applyNumberFormat="1">
      <alignment vertical="top"/>
    </xf>
    <xf borderId="0" fillId="0" fontId="7" numFmtId="20" xfId="0" applyAlignment="1" applyFont="1" applyNumberFormat="1">
      <alignment horizontal="right" shrinkToFit="0" vertical="top" wrapText="1"/>
    </xf>
    <xf borderId="0" fillId="0" fontId="7" numFmtId="164" xfId="0" applyAlignment="1" applyFont="1" applyNumberFormat="1">
      <alignment horizontal="right" vertical="top"/>
    </xf>
    <xf borderId="0" fillId="0" fontId="7" numFmtId="0" xfId="0" applyAlignment="1" applyFont="1">
      <alignment readingOrder="0" shrinkToFit="0" vertical="top" wrapText="1"/>
    </xf>
    <xf borderId="0" fillId="0" fontId="7" numFmtId="164" xfId="0" applyAlignment="1" applyFont="1" applyNumberFormat="1">
      <alignment vertical="top"/>
    </xf>
    <xf borderId="0" fillId="0" fontId="5" numFmtId="0" xfId="0" applyAlignment="1" applyFont="1">
      <alignment horizontal="right" readingOrder="0" vertical="top"/>
    </xf>
    <xf borderId="0" fillId="0" fontId="5" numFmtId="0" xfId="0" applyAlignment="1" applyFont="1">
      <alignment readingOrder="0" vertical="top"/>
    </xf>
    <xf borderId="0" fillId="0" fontId="5" numFmtId="1" xfId="0" applyAlignment="1" applyFont="1" applyNumberFormat="1">
      <alignment horizontal="right" readingOrder="0" vertical="top"/>
    </xf>
    <xf borderId="0" fillId="0" fontId="4" numFmtId="164" xfId="0" applyAlignment="1" applyFont="1" applyNumberFormat="1">
      <alignment readingOrder="0"/>
    </xf>
    <xf borderId="0" fillId="0" fontId="5" numFmtId="20" xfId="0" applyAlignment="1" applyFont="1" applyNumberFormat="1">
      <alignment readingOrder="0" vertical="top"/>
    </xf>
    <xf borderId="0" fillId="0" fontId="5" numFmtId="164" xfId="0" applyAlignment="1" applyFont="1" applyNumberFormat="1">
      <alignment readingOrder="0" vertical="top"/>
    </xf>
    <xf borderId="0" fillId="0" fontId="4" numFmtId="0" xfId="0" applyFont="1"/>
    <xf borderId="0" fillId="0" fontId="7" numFmtId="0" xfId="0" applyAlignment="1" applyFont="1">
      <alignment vertical="top"/>
    </xf>
    <xf borderId="0" fillId="0" fontId="4" numFmtId="0" xfId="0" applyAlignment="1" applyFont="1">
      <alignment readingOrder="0" vertical="bottom"/>
    </xf>
    <xf borderId="0" fillId="0" fontId="4" numFmtId="1" xfId="0" applyAlignment="1" applyFont="1" applyNumberFormat="1">
      <alignment horizontal="right" readingOrder="0" vertical="top"/>
    </xf>
    <xf borderId="0" fillId="0" fontId="7" numFmtId="0" xfId="0" applyAlignment="1" applyFont="1">
      <alignment horizontal="right" readingOrder="0" vertical="top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7" numFmtId="1" xfId="0" applyAlignment="1" applyFont="1" applyNumberFormat="1">
      <alignment horizontal="right" readingOrder="0" vertical="top"/>
    </xf>
    <xf borderId="0" fillId="0" fontId="7" numFmtId="0" xfId="0" applyAlignment="1" applyFont="1">
      <alignment readingOrder="0" vertical="top"/>
    </xf>
    <xf borderId="0" fillId="0" fontId="8" numFmtId="0" xfId="0" applyAlignment="1" applyFont="1">
      <alignment vertical="bottom"/>
    </xf>
    <xf borderId="0" fillId="0" fontId="9" numFmtId="1" xfId="0" applyAlignment="1" applyFont="1" applyNumberFormat="1">
      <alignment horizontal="right" vertical="top"/>
    </xf>
    <xf borderId="0" fillId="0" fontId="9" numFmtId="0" xfId="0" applyAlignment="1" applyFont="1">
      <alignment vertical="top"/>
    </xf>
    <xf borderId="0" fillId="0" fontId="5" numFmtId="20" xfId="0" applyAlignment="1" applyFont="1" applyNumberFormat="1">
      <alignment vertical="top"/>
    </xf>
    <xf borderId="0" fillId="0" fontId="5" numFmtId="164" xfId="0" applyAlignment="1" applyFont="1" applyNumberFormat="1">
      <alignment vertical="top"/>
    </xf>
    <xf borderId="0" fillId="0" fontId="5" numFmtId="1" xfId="0" applyAlignment="1" applyFont="1" applyNumberFormat="1">
      <alignment horizontal="right" vertical="top"/>
    </xf>
    <xf borderId="0" fillId="0" fontId="4" numFmtId="0" xfId="0" applyFont="1"/>
    <xf borderId="0" fillId="0" fontId="9" numFmtId="0" xfId="0" applyAlignment="1" applyFont="1">
      <alignment horizontal="right" vertical="top"/>
    </xf>
    <xf borderId="1" fillId="2" fontId="10" numFmtId="0" xfId="0" applyAlignment="1" applyBorder="1" applyFont="1">
      <alignment horizontal="center" readingOrder="0"/>
    </xf>
    <xf borderId="1" fillId="2" fontId="11" numFmtId="0" xfId="0" applyAlignment="1" applyBorder="1" applyFont="1">
      <alignment horizontal="center"/>
    </xf>
    <xf borderId="0" fillId="0" fontId="8" numFmtId="0" xfId="0" applyFont="1"/>
    <xf borderId="0" fillId="0" fontId="8" numFmtId="0" xfId="0" applyAlignment="1" applyFont="1">
      <alignment vertical="top"/>
    </xf>
    <xf borderId="0" fillId="0" fontId="12" numFmtId="0" xfId="0" applyAlignment="1" applyFont="1">
      <alignment vertical="top"/>
    </xf>
    <xf borderId="1" fillId="2" fontId="11" numFmtId="0" xfId="0" applyAlignment="1" applyBorder="1" applyFont="1">
      <alignment horizontal="center"/>
    </xf>
    <xf borderId="0" fillId="0" fontId="8" numFmtId="0" xfId="0" applyFont="1"/>
    <xf borderId="0" fillId="0" fontId="8" numFmtId="0" xfId="0" applyAlignment="1" applyFont="1">
      <alignment vertical="top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</dxfs>
  <tableStyles count="2">
    <tableStyle count="3" pivot="0" name="Excursion Cause-style">
      <tableStyleElement dxfId="1" type="headerRow"/>
      <tableStyleElement dxfId="2" type="firstRowStripe"/>
      <tableStyleElement dxfId="2" type="secondRowStripe"/>
    </tableStyle>
    <tableStyle count="3" pivot="0" name="Flow Location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34" displayName="Table_1" name="Table_1" id="1">
  <tableColumns count="2">
    <tableColumn name="Excursion_Cause" id="1"/>
    <tableColumn name="Corrected" id="2"/>
  </tableColumns>
  <tableStyleInfo name="Excursion Cause-style" showColumnStripes="0" showFirstColumn="1" showLastColumn="1" showRowStripes="1"/>
</table>
</file>

<file path=xl/tables/table2.xml><?xml version="1.0" encoding="utf-8"?>
<table xmlns="http://schemas.openxmlformats.org/spreadsheetml/2006/main" ref="A1:B21" displayName="Table_2" name="Table_2" id="2">
  <tableColumns count="2">
    <tableColumn name="Flow_Location" id="1"/>
    <tableColumn name="Corrected" id="2"/>
  </tableColumns>
  <tableStyleInfo name="Flow Loc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34.25"/>
    <col customWidth="1" min="4" max="4" width="20.38"/>
    <col customWidth="1" min="5" max="5" width="8.38"/>
    <col customWidth="1" min="6" max="6" width="7.38"/>
    <col customWidth="1" min="7" max="7" width="10.38"/>
    <col customWidth="1" min="8" max="9" width="55.38"/>
    <col customWidth="1" min="11" max="11" width="19.88"/>
    <col customWidth="1" min="12" max="12" width="25.38"/>
    <col customWidth="1" min="13" max="13" width="39.0"/>
    <col customWidth="1" min="14" max="14" width="34.75"/>
    <col customWidth="1" min="17" max="17" width="11.13"/>
    <col customWidth="1" min="20" max="20" width="31.38"/>
    <col customWidth="1" min="21" max="21" width="21.0"/>
    <col customWidth="1" min="22" max="22" width="20.38"/>
    <col customWidth="1" min="23" max="23" width="17.13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/>
      <c r="Z1" s="3"/>
      <c r="AA1" s="3"/>
      <c r="AB1" s="3"/>
      <c r="AC1" s="3"/>
      <c r="AD1" s="3"/>
      <c r="AE1" s="3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ht="15.75" customHeight="1">
      <c r="A2" s="5">
        <v>10424.0</v>
      </c>
      <c r="B2" s="6">
        <v>2021.0</v>
      </c>
      <c r="C2" s="6" t="str">
        <f t="shared" ref="C2:C759" si="1">CONCATENATE(D2,",",E2,",",F2)</f>
        <v>8515 HAMMERLY BLVD,Houston,Texas</v>
      </c>
      <c r="D2" s="6" t="s">
        <v>24</v>
      </c>
      <c r="E2" s="6" t="s">
        <v>25</v>
      </c>
      <c r="F2" s="6" t="s">
        <v>26</v>
      </c>
      <c r="G2" s="6" t="s">
        <v>27</v>
      </c>
      <c r="H2" s="6" t="s">
        <v>28</v>
      </c>
      <c r="I2" s="6" t="str">
        <f>VLOOKUP(H2,'Flow Location'!$A$1:$B$21,2,FALSE)</f>
        <v>Storm Sewer (not contained)</v>
      </c>
      <c r="J2" s="5">
        <v>157.0</v>
      </c>
      <c r="K2" s="6" t="s">
        <v>29</v>
      </c>
      <c r="L2" s="6" t="str">
        <f>VLOOKUP(K2,'Structure type'!$A$1:$B$15,2,FALSE)</f>
        <v>Manhole</v>
      </c>
      <c r="M2" s="6" t="s">
        <v>30</v>
      </c>
      <c r="N2" s="6" t="str">
        <f>VLOOKUP(M2,'Excursion Cause'!$A$1:$B$34,2,FALSE)</f>
        <v>Grease Blockage</v>
      </c>
      <c r="O2" s="7">
        <v>44287.0</v>
      </c>
      <c r="P2" s="6" t="s">
        <v>31</v>
      </c>
      <c r="Q2" s="7">
        <v>44287.0</v>
      </c>
      <c r="R2" s="6" t="s">
        <v>32</v>
      </c>
      <c r="S2" s="5">
        <v>1.0</v>
      </c>
      <c r="T2" s="6" t="s">
        <v>33</v>
      </c>
      <c r="U2" s="5">
        <v>2.0210401E7</v>
      </c>
      <c r="V2" s="5">
        <v>2.0210401E7</v>
      </c>
      <c r="W2" s="5">
        <v>29.810848427</v>
      </c>
      <c r="X2" s="5">
        <v>-95.4997507739999</v>
      </c>
    </row>
    <row r="3" ht="15.75" customHeight="1">
      <c r="A3" s="5">
        <v>10428.0</v>
      </c>
      <c r="B3" s="6">
        <v>2021.0</v>
      </c>
      <c r="C3" s="6" t="str">
        <f t="shared" si="1"/>
        <v>7206 LA PASEO ST,Houston,Texas</v>
      </c>
      <c r="D3" s="6" t="s">
        <v>34</v>
      </c>
      <c r="E3" s="6" t="s">
        <v>25</v>
      </c>
      <c r="F3" s="6" t="s">
        <v>26</v>
      </c>
      <c r="G3" s="6" t="s">
        <v>35</v>
      </c>
      <c r="H3" s="6" t="s">
        <v>28</v>
      </c>
      <c r="I3" s="6" t="str">
        <f>VLOOKUP(H3,'Flow Location'!$A$1:$B$21,2,FALSE)</f>
        <v>Storm Sewer (not contained)</v>
      </c>
      <c r="J3" s="5">
        <v>0.0</v>
      </c>
      <c r="K3" s="6" t="s">
        <v>29</v>
      </c>
      <c r="L3" s="6" t="str">
        <f>VLOOKUP(K3,'Structure type'!$A$1:$B$15,2,FALSE)</f>
        <v>Manhole</v>
      </c>
      <c r="M3" s="6" t="s">
        <v>30</v>
      </c>
      <c r="N3" s="6" t="str">
        <f>VLOOKUP(M3,'Excursion Cause'!$A$1:$B$34,2,FALSE)</f>
        <v>Grease Blockage</v>
      </c>
      <c r="O3" s="7">
        <v>44287.0</v>
      </c>
      <c r="P3" s="6" t="s">
        <v>36</v>
      </c>
      <c r="Q3" s="7">
        <v>44287.0</v>
      </c>
      <c r="R3" s="6" t="s">
        <v>36</v>
      </c>
      <c r="S3" s="5">
        <v>0.0</v>
      </c>
      <c r="T3" s="6" t="s">
        <v>37</v>
      </c>
      <c r="U3" s="5">
        <v>2.0210401E7</v>
      </c>
      <c r="V3" s="5">
        <v>2.0210401E7</v>
      </c>
      <c r="W3" s="5">
        <v>29.678629646</v>
      </c>
      <c r="X3" s="5">
        <v>-95.30013751</v>
      </c>
    </row>
    <row r="4" ht="15.75" customHeight="1">
      <c r="A4" s="5">
        <v>10430.0</v>
      </c>
      <c r="B4" s="6">
        <v>2021.0</v>
      </c>
      <c r="C4" s="6" t="str">
        <f t="shared" si="1"/>
        <v>3502 DARLINGHURST DR,Houston,Texas</v>
      </c>
      <c r="D4" s="6" t="s">
        <v>38</v>
      </c>
      <c r="E4" s="6" t="s">
        <v>25</v>
      </c>
      <c r="F4" s="6" t="s">
        <v>26</v>
      </c>
      <c r="G4" s="6" t="s">
        <v>39</v>
      </c>
      <c r="H4" s="6" t="s">
        <v>28</v>
      </c>
      <c r="I4" s="6" t="str">
        <f>VLOOKUP(H4,'Flow Location'!$A$1:$B$21,2,FALSE)</f>
        <v>Storm Sewer (not contained)</v>
      </c>
      <c r="J4" s="5">
        <v>166.0</v>
      </c>
      <c r="K4" s="6" t="s">
        <v>29</v>
      </c>
      <c r="L4" s="6" t="str">
        <f>VLOOKUP(K4,'Structure type'!$A$1:$B$15,2,FALSE)</f>
        <v>Manhole</v>
      </c>
      <c r="M4" s="6" t="s">
        <v>30</v>
      </c>
      <c r="N4" s="6" t="str">
        <f>VLOOKUP(M4,'Excursion Cause'!$A$1:$B$34,2,FALSE)</f>
        <v>Grease Blockage</v>
      </c>
      <c r="O4" s="7">
        <v>44287.0</v>
      </c>
      <c r="P4" s="6" t="s">
        <v>40</v>
      </c>
      <c r="Q4" s="7">
        <v>44287.0</v>
      </c>
      <c r="R4" s="6" t="s">
        <v>41</v>
      </c>
      <c r="S4" s="5">
        <v>2.0</v>
      </c>
      <c r="T4" s="6" t="s">
        <v>33</v>
      </c>
      <c r="U4" s="5">
        <v>2.0210401E7</v>
      </c>
      <c r="V4" s="5">
        <v>2.0210401E7</v>
      </c>
      <c r="W4" s="5">
        <v>29.6240110690001</v>
      </c>
      <c r="X4" s="5">
        <v>-95.428274011</v>
      </c>
    </row>
    <row r="5" ht="15.75" customHeight="1">
      <c r="A5" s="5">
        <v>10434.0</v>
      </c>
      <c r="B5" s="6">
        <v>2021.0</v>
      </c>
      <c r="C5" s="6" t="str">
        <f t="shared" si="1"/>
        <v>5411 PARDEE ST,Houston,Texas</v>
      </c>
      <c r="D5" s="6" t="s">
        <v>42</v>
      </c>
      <c r="E5" s="6" t="s">
        <v>25</v>
      </c>
      <c r="F5" s="6" t="s">
        <v>26</v>
      </c>
      <c r="G5" s="6" t="s">
        <v>43</v>
      </c>
      <c r="H5" s="6" t="s">
        <v>44</v>
      </c>
      <c r="I5" s="6" t="str">
        <f>VLOOKUP(H5,'Flow Location'!$A$1:$B$21,2,FALSE)</f>
        <v>Bayou/surface water/drainage ditch</v>
      </c>
      <c r="J5" s="5">
        <v>0.0</v>
      </c>
      <c r="K5" s="6" t="s">
        <v>45</v>
      </c>
      <c r="L5" s="6" t="str">
        <f>VLOOKUP(K5,'Structure type'!$A$1:$B$15,2,FALSE)</f>
        <v>City Cleanout</v>
      </c>
      <c r="M5" s="6" t="s">
        <v>30</v>
      </c>
      <c r="N5" s="6" t="str">
        <f>VLOOKUP(M5,'Excursion Cause'!$A$1:$B$34,2,FALSE)</f>
        <v>Grease Blockage</v>
      </c>
      <c r="O5" s="7">
        <v>44287.0</v>
      </c>
      <c r="P5" s="6" t="s">
        <v>46</v>
      </c>
      <c r="Q5" s="7">
        <v>44287.0</v>
      </c>
      <c r="R5" s="6" t="s">
        <v>46</v>
      </c>
      <c r="S5" s="5">
        <v>0.0</v>
      </c>
      <c r="T5" s="6" t="s">
        <v>47</v>
      </c>
      <c r="U5" s="5">
        <v>2.0210401E7</v>
      </c>
      <c r="V5" s="5">
        <v>2.0210401E7</v>
      </c>
      <c r="W5" s="5">
        <v>29.805975188</v>
      </c>
      <c r="X5" s="5">
        <v>-95.3166422319999</v>
      </c>
    </row>
    <row r="6" ht="15.75" customHeight="1">
      <c r="A6" s="5">
        <v>10436.0</v>
      </c>
      <c r="B6" s="6">
        <v>2021.0</v>
      </c>
      <c r="C6" s="6" t="str">
        <f t="shared" si="1"/>
        <v>12017 PALMCREST ST,Houston,Texas</v>
      </c>
      <c r="D6" s="6" t="s">
        <v>48</v>
      </c>
      <c r="E6" s="6" t="s">
        <v>25</v>
      </c>
      <c r="F6" s="6" t="s">
        <v>26</v>
      </c>
      <c r="G6" s="6" t="s">
        <v>49</v>
      </c>
      <c r="H6" s="6" t="s">
        <v>50</v>
      </c>
      <c r="I6" s="6" t="str">
        <f>VLOOKUP(H6,'Flow Location'!$A$1:$B$21,2,FALSE)</f>
        <v>Contained On Site, not within 5 ft. of Bayou/Surface Water/Drainage Ditch</v>
      </c>
      <c r="J6" s="5">
        <v>0.0</v>
      </c>
      <c r="K6" s="6" t="s">
        <v>51</v>
      </c>
      <c r="L6" s="6" t="str">
        <f>VLOOKUP(K6,'Structure type'!$A$1:$B$15,2,FALSE)</f>
        <v>Private Cleanout</v>
      </c>
      <c r="M6" s="6" t="s">
        <v>52</v>
      </c>
      <c r="N6" s="6" t="str">
        <f>VLOOKUP(M6,'Excursion Cause'!$A$1:$B$34,2,FALSE)</f>
        <v>Collection system structural blockage</v>
      </c>
      <c r="O6" s="7">
        <v>44287.0</v>
      </c>
      <c r="P6" s="6" t="s">
        <v>53</v>
      </c>
      <c r="Q6" s="7">
        <v>44287.0</v>
      </c>
      <c r="R6" s="6" t="s">
        <v>53</v>
      </c>
      <c r="S6" s="5">
        <v>0.0</v>
      </c>
      <c r="T6" s="6" t="s">
        <v>54</v>
      </c>
      <c r="U6" s="5">
        <v>2.0210401E7</v>
      </c>
      <c r="V6" s="5">
        <v>2.0210401E7</v>
      </c>
      <c r="W6" s="5">
        <v>29.6279923060001</v>
      </c>
      <c r="X6" s="5">
        <v>-95.210625238</v>
      </c>
    </row>
    <row r="7" ht="15.75" customHeight="1">
      <c r="A7" s="5">
        <v>10440.0</v>
      </c>
      <c r="B7" s="6">
        <v>2021.0</v>
      </c>
      <c r="C7" s="6" t="str">
        <f t="shared" si="1"/>
        <v>7523 KINGSLEY ST,Houston,Texas</v>
      </c>
      <c r="D7" s="6" t="s">
        <v>55</v>
      </c>
      <c r="E7" s="6" t="s">
        <v>25</v>
      </c>
      <c r="F7" s="6" t="s">
        <v>26</v>
      </c>
      <c r="G7" s="6" t="s">
        <v>35</v>
      </c>
      <c r="H7" s="6" t="s">
        <v>28</v>
      </c>
      <c r="I7" s="6" t="str">
        <f>VLOOKUP(H7,'Flow Location'!$A$1:$B$21,2,FALSE)</f>
        <v>Storm Sewer (not contained)</v>
      </c>
      <c r="J7" s="5">
        <v>1020.0</v>
      </c>
      <c r="K7" s="6" t="s">
        <v>29</v>
      </c>
      <c r="L7" s="6" t="str">
        <f>VLOOKUP(K7,'Structure type'!$A$1:$B$15,2,FALSE)</f>
        <v>Manhole</v>
      </c>
      <c r="M7" s="6" t="s">
        <v>56</v>
      </c>
      <c r="N7" s="6" t="str">
        <f>VLOOKUP(M7,'Excursion Cause'!$A$1:$B$34,2,FALSE)</f>
        <v>Rags/Wipes</v>
      </c>
      <c r="O7" s="7">
        <v>44288.0</v>
      </c>
      <c r="P7" s="6" t="s">
        <v>57</v>
      </c>
      <c r="Q7" s="7">
        <v>44288.0</v>
      </c>
      <c r="R7" s="6" t="s">
        <v>58</v>
      </c>
      <c r="S7" s="5">
        <v>2.0</v>
      </c>
      <c r="T7" s="6" t="s">
        <v>59</v>
      </c>
      <c r="U7" s="5">
        <v>2.0210402E7</v>
      </c>
      <c r="V7" s="5">
        <v>2.0210402E7</v>
      </c>
      <c r="W7" s="5">
        <v>29.68708049</v>
      </c>
      <c r="X7" s="5">
        <v>-95.291863231</v>
      </c>
    </row>
    <row r="8" ht="15.75" customHeight="1">
      <c r="A8" s="5">
        <v>10441.0</v>
      </c>
      <c r="B8" s="6">
        <v>2021.0</v>
      </c>
      <c r="C8" s="6" t="str">
        <f t="shared" si="1"/>
        <v>13655 ELLA BLVD,Houston,Texas</v>
      </c>
      <c r="D8" s="6" t="s">
        <v>60</v>
      </c>
      <c r="E8" s="6" t="s">
        <v>25</v>
      </c>
      <c r="F8" s="6" t="s">
        <v>26</v>
      </c>
      <c r="G8" s="6" t="s">
        <v>61</v>
      </c>
      <c r="H8" s="6" t="s">
        <v>28</v>
      </c>
      <c r="I8" s="6" t="str">
        <f>VLOOKUP(H8,'Flow Location'!$A$1:$B$21,2,FALSE)</f>
        <v>Storm Sewer (not contained)</v>
      </c>
      <c r="J8" s="5">
        <v>124.0</v>
      </c>
      <c r="K8" s="6" t="s">
        <v>29</v>
      </c>
      <c r="L8" s="6" t="str">
        <f>VLOOKUP(K8,'Structure type'!$A$1:$B$15,2,FALSE)</f>
        <v>Manhole</v>
      </c>
      <c r="M8" s="6" t="s">
        <v>30</v>
      </c>
      <c r="N8" s="6" t="str">
        <f>VLOOKUP(M8,'Excursion Cause'!$A$1:$B$34,2,FALSE)</f>
        <v>Grease Blockage</v>
      </c>
      <c r="O8" s="7">
        <v>44288.0</v>
      </c>
      <c r="P8" s="6" t="s">
        <v>62</v>
      </c>
      <c r="Q8" s="7">
        <v>44288.0</v>
      </c>
      <c r="R8" s="6" t="s">
        <v>63</v>
      </c>
      <c r="S8" s="5">
        <v>1.0</v>
      </c>
      <c r="T8" s="6" t="s">
        <v>33</v>
      </c>
      <c r="U8" s="5">
        <v>2.0210402E7</v>
      </c>
      <c r="V8" s="5">
        <v>2.0210402E7</v>
      </c>
      <c r="W8" s="5">
        <v>29.966839459</v>
      </c>
      <c r="X8" s="5">
        <v>-95.4303954709999</v>
      </c>
    </row>
    <row r="9" ht="15.75" customHeight="1">
      <c r="A9" s="5">
        <v>10447.0</v>
      </c>
      <c r="B9" s="6">
        <v>2021.0</v>
      </c>
      <c r="C9" s="6" t="str">
        <f t="shared" si="1"/>
        <v>9605 STELLA LINK RD,Houston,Texas</v>
      </c>
      <c r="D9" s="6" t="s">
        <v>64</v>
      </c>
      <c r="E9" s="6" t="s">
        <v>25</v>
      </c>
      <c r="F9" s="6" t="s">
        <v>26</v>
      </c>
      <c r="G9" s="6" t="s">
        <v>65</v>
      </c>
      <c r="H9" s="6" t="s">
        <v>28</v>
      </c>
      <c r="I9" s="6" t="str">
        <f>VLOOKUP(H9,'Flow Location'!$A$1:$B$21,2,FALSE)</f>
        <v>Storm Sewer (not contained)</v>
      </c>
      <c r="J9" s="5">
        <v>1036.0</v>
      </c>
      <c r="K9" s="6" t="s">
        <v>51</v>
      </c>
      <c r="L9" s="6" t="str">
        <f>VLOOKUP(K9,'Structure type'!$A$1:$B$15,2,FALSE)</f>
        <v>Private Cleanout</v>
      </c>
      <c r="M9" s="6" t="s">
        <v>56</v>
      </c>
      <c r="N9" s="6" t="str">
        <f>VLOOKUP(M9,'Excursion Cause'!$A$1:$B$34,2,FALSE)</f>
        <v>Rags/Wipes</v>
      </c>
      <c r="O9" s="7">
        <v>44289.0</v>
      </c>
      <c r="P9" s="6" t="s">
        <v>66</v>
      </c>
      <c r="Q9" s="7">
        <v>44289.0</v>
      </c>
      <c r="R9" s="6" t="s">
        <v>67</v>
      </c>
      <c r="S9" s="5">
        <v>2.0</v>
      </c>
      <c r="T9" s="6" t="s">
        <v>33</v>
      </c>
      <c r="U9" s="5">
        <v>2.0210403E7</v>
      </c>
      <c r="V9" s="5">
        <v>2.0210403E7</v>
      </c>
      <c r="W9" s="5">
        <v>29.678771007</v>
      </c>
      <c r="X9" s="5">
        <v>-95.439832488</v>
      </c>
    </row>
    <row r="10" ht="15.75" customHeight="1">
      <c r="A10" s="5">
        <v>10451.0</v>
      </c>
      <c r="B10" s="6">
        <v>2021.0</v>
      </c>
      <c r="C10" s="6" t="str">
        <f t="shared" si="1"/>
        <v>8950 CHIMNEY ROCK RD,Houston,Texas</v>
      </c>
      <c r="D10" s="6" t="s">
        <v>68</v>
      </c>
      <c r="E10" s="6" t="s">
        <v>25</v>
      </c>
      <c r="F10" s="6" t="s">
        <v>26</v>
      </c>
      <c r="G10" s="6" t="s">
        <v>69</v>
      </c>
      <c r="H10" s="6" t="s">
        <v>28</v>
      </c>
      <c r="I10" s="6" t="str">
        <f>VLOOKUP(H10,'Flow Location'!$A$1:$B$21,2,FALSE)</f>
        <v>Storm Sewer (not contained)</v>
      </c>
      <c r="J10" s="5">
        <v>765.0</v>
      </c>
      <c r="K10" s="6" t="s">
        <v>29</v>
      </c>
      <c r="L10" s="6" t="str">
        <f>VLOOKUP(K10,'Structure type'!$A$1:$B$15,2,FALSE)</f>
        <v>Manhole</v>
      </c>
      <c r="M10" s="6" t="s">
        <v>30</v>
      </c>
      <c r="N10" s="6" t="str">
        <f>VLOOKUP(M10,'Excursion Cause'!$A$1:$B$34,2,FALSE)</f>
        <v>Grease Blockage</v>
      </c>
      <c r="O10" s="7">
        <v>44289.0</v>
      </c>
      <c r="P10" s="6" t="s">
        <v>70</v>
      </c>
      <c r="Q10" s="7">
        <v>44289.0</v>
      </c>
      <c r="R10" s="6" t="s">
        <v>71</v>
      </c>
      <c r="S10" s="5">
        <v>3.0</v>
      </c>
      <c r="T10" s="6" t="s">
        <v>33</v>
      </c>
      <c r="U10" s="5">
        <v>2.0210403E7</v>
      </c>
      <c r="V10" s="5">
        <v>2.0210403E7</v>
      </c>
      <c r="W10" s="5">
        <v>29.6809631680001</v>
      </c>
      <c r="X10" s="5">
        <v>-95.477006983</v>
      </c>
    </row>
    <row r="11" ht="15.75" customHeight="1">
      <c r="A11" s="5">
        <v>10456.0</v>
      </c>
      <c r="B11" s="6">
        <v>2021.0</v>
      </c>
      <c r="C11" s="6" t="str">
        <f t="shared" si="1"/>
        <v>2074 ANTOINE DR,Houston,Texas</v>
      </c>
      <c r="D11" s="6" t="s">
        <v>72</v>
      </c>
      <c r="E11" s="6" t="s">
        <v>25</v>
      </c>
      <c r="F11" s="6" t="s">
        <v>26</v>
      </c>
      <c r="G11" s="6" t="s">
        <v>27</v>
      </c>
      <c r="H11" s="6" t="s">
        <v>50</v>
      </c>
      <c r="I11" s="6" t="str">
        <f>VLOOKUP(H11,'Flow Location'!$A$1:$B$21,2,FALSE)</f>
        <v>Contained On Site, not within 5 ft. of Bayou/Surface Water/Drainage Ditch</v>
      </c>
      <c r="J11" s="5">
        <v>0.0</v>
      </c>
      <c r="K11" s="6" t="s">
        <v>45</v>
      </c>
      <c r="L11" s="6" t="str">
        <f>VLOOKUP(K11,'Structure type'!$A$1:$B$15,2,FALSE)</f>
        <v>City Cleanout</v>
      </c>
      <c r="M11" s="6" t="s">
        <v>56</v>
      </c>
      <c r="N11" s="6" t="str">
        <f>VLOOKUP(M11,'Excursion Cause'!$A$1:$B$34,2,FALSE)</f>
        <v>Rags/Wipes</v>
      </c>
      <c r="O11" s="7">
        <v>44289.0</v>
      </c>
      <c r="P11" s="6" t="s">
        <v>73</v>
      </c>
      <c r="Q11" s="7">
        <v>44289.0</v>
      </c>
      <c r="R11" s="6" t="s">
        <v>73</v>
      </c>
      <c r="S11" s="5">
        <v>0.0</v>
      </c>
      <c r="T11" s="6" t="s">
        <v>74</v>
      </c>
      <c r="U11" s="5">
        <v>2.0210403E7</v>
      </c>
      <c r="V11" s="5">
        <v>2.0210403E7</v>
      </c>
      <c r="W11" s="5">
        <v>29.8092305100001</v>
      </c>
      <c r="X11" s="5">
        <v>-95.475104291</v>
      </c>
    </row>
    <row r="12" ht="15.75" customHeight="1">
      <c r="A12" s="5">
        <v>10459.0</v>
      </c>
      <c r="B12" s="6">
        <v>2021.0</v>
      </c>
      <c r="C12" s="6" t="str">
        <f t="shared" si="1"/>
        <v>4000 34TH ST,Houston,Texas</v>
      </c>
      <c r="D12" s="6" t="s">
        <v>75</v>
      </c>
      <c r="E12" s="6" t="s">
        <v>25</v>
      </c>
      <c r="F12" s="6" t="s">
        <v>26</v>
      </c>
      <c r="G12" s="6" t="s">
        <v>76</v>
      </c>
      <c r="H12" s="6" t="s">
        <v>28</v>
      </c>
      <c r="I12" s="6" t="str">
        <f>VLOOKUP(H12,'Flow Location'!$A$1:$B$21,2,FALSE)</f>
        <v>Storm Sewer (not contained)</v>
      </c>
      <c r="J12" s="5">
        <v>445.0</v>
      </c>
      <c r="K12" s="6" t="s">
        <v>29</v>
      </c>
      <c r="L12" s="6" t="str">
        <f>VLOOKUP(K12,'Structure type'!$A$1:$B$15,2,FALSE)</f>
        <v>Manhole</v>
      </c>
      <c r="M12" s="6" t="s">
        <v>30</v>
      </c>
      <c r="N12" s="6" t="str">
        <f>VLOOKUP(M12,'Excursion Cause'!$A$1:$B$34,2,FALSE)</f>
        <v>Grease Blockage</v>
      </c>
      <c r="O12" s="7">
        <v>44290.0</v>
      </c>
      <c r="P12" s="6" t="s">
        <v>77</v>
      </c>
      <c r="Q12" s="7">
        <v>44290.0</v>
      </c>
      <c r="R12" s="6" t="s">
        <v>78</v>
      </c>
      <c r="S12" s="5">
        <v>5.0</v>
      </c>
      <c r="T12" s="6" t="s">
        <v>59</v>
      </c>
      <c r="U12" s="5">
        <v>2.0210404E7</v>
      </c>
      <c r="V12" s="5">
        <v>2.0210404E7</v>
      </c>
      <c r="W12" s="5">
        <v>29.8173167</v>
      </c>
      <c r="X12" s="5">
        <v>-95.449853807</v>
      </c>
    </row>
    <row r="13" ht="15.75" customHeight="1">
      <c r="A13" s="5">
        <v>10461.0</v>
      </c>
      <c r="B13" s="6">
        <v>2021.0</v>
      </c>
      <c r="C13" s="6" t="str">
        <f t="shared" si="1"/>
        <v>1916 BALDWIN ST,Houston,Texas</v>
      </c>
      <c r="D13" s="6" t="s">
        <v>79</v>
      </c>
      <c r="E13" s="6" t="s">
        <v>25</v>
      </c>
      <c r="F13" s="6" t="s">
        <v>26</v>
      </c>
      <c r="G13" s="6" t="s">
        <v>80</v>
      </c>
      <c r="H13" s="6" t="s">
        <v>28</v>
      </c>
      <c r="I13" s="6" t="str">
        <f>VLOOKUP(H13,'Flow Location'!$A$1:$B$21,2,FALSE)</f>
        <v>Storm Sewer (not contained)</v>
      </c>
      <c r="J13" s="5">
        <v>456.0</v>
      </c>
      <c r="K13" s="6" t="s">
        <v>45</v>
      </c>
      <c r="L13" s="6" t="str">
        <f>VLOOKUP(K13,'Structure type'!$A$1:$B$15,2,FALSE)</f>
        <v>City Cleanout</v>
      </c>
      <c r="M13" s="6" t="s">
        <v>81</v>
      </c>
      <c r="N13" s="6" t="str">
        <f>VLOOKUP(M13,'Excursion Cause'!$A$1:$B$34,2,FALSE)</f>
        <v>Collection system structural failure</v>
      </c>
      <c r="O13" s="7">
        <v>44290.0</v>
      </c>
      <c r="P13" s="6" t="s">
        <v>82</v>
      </c>
      <c r="Q13" s="7">
        <v>44290.0</v>
      </c>
      <c r="R13" s="6" t="s">
        <v>83</v>
      </c>
      <c r="S13" s="5">
        <v>2.0</v>
      </c>
      <c r="T13" s="6" t="s">
        <v>84</v>
      </c>
      <c r="U13" s="5">
        <v>2.0210404E7</v>
      </c>
      <c r="V13" s="5">
        <v>2.0210404E7</v>
      </c>
      <c r="W13" s="5">
        <v>29.753243336</v>
      </c>
      <c r="X13" s="5">
        <v>-95.376751626</v>
      </c>
    </row>
    <row r="14" ht="15.75" customHeight="1">
      <c r="A14" s="5">
        <v>10465.0</v>
      </c>
      <c r="B14" s="6">
        <v>2021.0</v>
      </c>
      <c r="C14" s="6" t="str">
        <f t="shared" si="1"/>
        <v>5003 HERSHE ST,Houston,Texas</v>
      </c>
      <c r="D14" s="6" t="s">
        <v>85</v>
      </c>
      <c r="E14" s="6" t="s">
        <v>25</v>
      </c>
      <c r="F14" s="6" t="s">
        <v>26</v>
      </c>
      <c r="G14" s="6" t="s">
        <v>86</v>
      </c>
      <c r="H14" s="6" t="s">
        <v>87</v>
      </c>
      <c r="I14" s="6" t="str">
        <f>VLOOKUP(H14,'Flow Location'!$A$1:$B$21,2,FALSE)</f>
        <v>Within 5 ft. of Bayou/Surface Water/Drainage Ditch</v>
      </c>
      <c r="J14" s="5">
        <v>0.0</v>
      </c>
      <c r="K14" s="6" t="s">
        <v>45</v>
      </c>
      <c r="L14" s="6" t="str">
        <f>VLOOKUP(K14,'Structure type'!$A$1:$B$15,2,FALSE)</f>
        <v>City Cleanout</v>
      </c>
      <c r="M14" s="6" t="s">
        <v>81</v>
      </c>
      <c r="N14" s="6" t="str">
        <f>VLOOKUP(M14,'Excursion Cause'!$A$1:$B$34,2,FALSE)</f>
        <v>Collection system structural failure</v>
      </c>
      <c r="O14" s="7">
        <v>44291.0</v>
      </c>
      <c r="P14" s="6" t="s">
        <v>88</v>
      </c>
      <c r="Q14" s="7">
        <v>44291.0</v>
      </c>
      <c r="R14" s="6" t="s">
        <v>88</v>
      </c>
      <c r="S14" s="5">
        <v>0.0</v>
      </c>
      <c r="T14" s="6" t="s">
        <v>89</v>
      </c>
      <c r="U14" s="5">
        <v>2.0210405E7</v>
      </c>
      <c r="V14" s="5">
        <v>2.0210405E7</v>
      </c>
      <c r="W14" s="5">
        <v>29.778059344</v>
      </c>
      <c r="X14" s="5">
        <v>-95.319956856</v>
      </c>
    </row>
    <row r="15" ht="15.75" customHeight="1">
      <c r="A15" s="5">
        <v>10466.0</v>
      </c>
      <c r="B15" s="6">
        <v>2021.0</v>
      </c>
      <c r="C15" s="6" t="str">
        <f t="shared" si="1"/>
        <v>10902 HAZEN ST,Houston,Texas</v>
      </c>
      <c r="D15" s="6" t="s">
        <v>90</v>
      </c>
      <c r="E15" s="6" t="s">
        <v>25</v>
      </c>
      <c r="F15" s="6" t="s">
        <v>26</v>
      </c>
      <c r="G15" s="6" t="s">
        <v>91</v>
      </c>
      <c r="H15" s="6" t="s">
        <v>28</v>
      </c>
      <c r="I15" s="6" t="str">
        <f>VLOOKUP(H15,'Flow Location'!$A$1:$B$21,2,FALSE)</f>
        <v>Storm Sewer (not contained)</v>
      </c>
      <c r="J15" s="5">
        <v>528.0</v>
      </c>
      <c r="K15" s="6" t="s">
        <v>29</v>
      </c>
      <c r="L15" s="6" t="str">
        <f>VLOOKUP(K15,'Structure type'!$A$1:$B$15,2,FALSE)</f>
        <v>Manhole</v>
      </c>
      <c r="M15" s="6" t="s">
        <v>30</v>
      </c>
      <c r="N15" s="6" t="str">
        <f>VLOOKUP(M15,'Excursion Cause'!$A$1:$B$34,2,FALSE)</f>
        <v>Grease Blockage</v>
      </c>
      <c r="O15" s="7">
        <v>44291.0</v>
      </c>
      <c r="P15" s="6" t="s">
        <v>92</v>
      </c>
      <c r="Q15" s="7">
        <v>44291.0</v>
      </c>
      <c r="R15" s="6" t="s">
        <v>93</v>
      </c>
      <c r="S15" s="5">
        <v>2.0</v>
      </c>
      <c r="T15" s="6" t="s">
        <v>59</v>
      </c>
      <c r="U15" s="5">
        <v>2.0210405E7</v>
      </c>
      <c r="V15" s="5">
        <v>2.0210405E7</v>
      </c>
      <c r="W15" s="5">
        <v>29.6924644800001</v>
      </c>
      <c r="X15" s="5">
        <v>-95.5713575409999</v>
      </c>
    </row>
    <row r="16" ht="15.75" customHeight="1">
      <c r="A16" s="5">
        <v>10470.0</v>
      </c>
      <c r="B16" s="6">
        <v>2021.0</v>
      </c>
      <c r="C16" s="6" t="str">
        <f t="shared" si="1"/>
        <v>10707 FORBES SETTLEMENT DR,Houston,Texas</v>
      </c>
      <c r="D16" s="6" t="s">
        <v>94</v>
      </c>
      <c r="E16" s="6" t="s">
        <v>25</v>
      </c>
      <c r="F16" s="6" t="s">
        <v>26</v>
      </c>
      <c r="G16" s="6" t="s">
        <v>95</v>
      </c>
      <c r="H16" s="6" t="s">
        <v>28</v>
      </c>
      <c r="I16" s="6" t="str">
        <f>VLOOKUP(H16,'Flow Location'!$A$1:$B$21,2,FALSE)</f>
        <v>Storm Sewer (not contained)</v>
      </c>
      <c r="J16" s="5">
        <v>0.0</v>
      </c>
      <c r="K16" s="6" t="s">
        <v>29</v>
      </c>
      <c r="L16" s="6" t="str">
        <f>VLOOKUP(K16,'Structure type'!$A$1:$B$15,2,FALSE)</f>
        <v>Manhole</v>
      </c>
      <c r="M16" s="6" t="s">
        <v>96</v>
      </c>
      <c r="N16" s="6" t="str">
        <f>VLOOKUP(M16,'Excursion Cause'!$A$1:$B$34,2,FALSE)</f>
        <v>Collection system temporary blockage</v>
      </c>
      <c r="O16" s="7">
        <v>44291.0</v>
      </c>
      <c r="P16" s="6" t="s">
        <v>97</v>
      </c>
      <c r="Q16" s="7">
        <v>44291.0</v>
      </c>
      <c r="R16" s="6" t="s">
        <v>97</v>
      </c>
      <c r="S16" s="5">
        <v>0.0</v>
      </c>
      <c r="T16" s="6" t="s">
        <v>98</v>
      </c>
      <c r="U16" s="5">
        <v>2.0210405E7</v>
      </c>
      <c r="V16" s="5">
        <v>2.0210405E7</v>
      </c>
      <c r="W16" s="5">
        <v>29.6250265370001</v>
      </c>
      <c r="X16" s="5">
        <v>-95.294156184</v>
      </c>
    </row>
    <row r="17" ht="15.75" customHeight="1">
      <c r="A17" s="5">
        <v>10474.0</v>
      </c>
      <c r="B17" s="6">
        <v>2021.0</v>
      </c>
      <c r="C17" s="6" t="str">
        <f t="shared" si="1"/>
        <v>7650 MOONMIST DR,Houston,Texas</v>
      </c>
      <c r="D17" s="6" t="s">
        <v>99</v>
      </c>
      <c r="E17" s="6" t="s">
        <v>25</v>
      </c>
      <c r="F17" s="6" t="s">
        <v>26</v>
      </c>
      <c r="G17" s="6" t="s">
        <v>100</v>
      </c>
      <c r="H17" s="6" t="s">
        <v>44</v>
      </c>
      <c r="I17" s="6" t="str">
        <f>VLOOKUP(H17,'Flow Location'!$A$1:$B$21,2,FALSE)</f>
        <v>Bayou/surface water/drainage ditch</v>
      </c>
      <c r="J17" s="5">
        <v>0.0</v>
      </c>
      <c r="K17" s="6" t="s">
        <v>29</v>
      </c>
      <c r="L17" s="6" t="str">
        <f>VLOOKUP(K17,'Structure type'!$A$1:$B$15,2,FALSE)</f>
        <v>Manhole</v>
      </c>
      <c r="M17" s="6" t="s">
        <v>30</v>
      </c>
      <c r="N17" s="6" t="str">
        <f>VLOOKUP(M17,'Excursion Cause'!$A$1:$B$34,2,FALSE)</f>
        <v>Grease Blockage</v>
      </c>
      <c r="O17" s="7">
        <v>44291.0</v>
      </c>
      <c r="P17" s="6" t="s">
        <v>101</v>
      </c>
      <c r="Q17" s="7">
        <v>44291.0</v>
      </c>
      <c r="R17" s="6" t="s">
        <v>101</v>
      </c>
      <c r="S17" s="5">
        <v>0.0</v>
      </c>
      <c r="T17" s="6" t="s">
        <v>59</v>
      </c>
      <c r="U17" s="5">
        <v>2.0210405E7</v>
      </c>
      <c r="V17" s="5">
        <v>2.0210405E7</v>
      </c>
      <c r="W17" s="5">
        <v>29.7112792120001</v>
      </c>
      <c r="X17" s="5">
        <v>-95.520700587</v>
      </c>
    </row>
    <row r="18" ht="15.75" customHeight="1">
      <c r="A18" s="5">
        <v>10478.0</v>
      </c>
      <c r="B18" s="6">
        <v>2021.0</v>
      </c>
      <c r="C18" s="6" t="str">
        <f t="shared" si="1"/>
        <v>6000 W SUNFOREST DR,Houston,Texas</v>
      </c>
      <c r="D18" s="6" t="s">
        <v>102</v>
      </c>
      <c r="E18" s="6" t="s">
        <v>25</v>
      </c>
      <c r="F18" s="6" t="s">
        <v>26</v>
      </c>
      <c r="G18" s="6" t="s">
        <v>76</v>
      </c>
      <c r="H18" s="6" t="s">
        <v>50</v>
      </c>
      <c r="I18" s="6" t="str">
        <f>VLOOKUP(H18,'Flow Location'!$A$1:$B$21,2,FALSE)</f>
        <v>Contained On Site, not within 5 ft. of Bayou/Surface Water/Drainage Ditch</v>
      </c>
      <c r="J18" s="5">
        <v>0.0</v>
      </c>
      <c r="K18" s="6" t="s">
        <v>51</v>
      </c>
      <c r="L18" s="6" t="str">
        <f>VLOOKUP(K18,'Structure type'!$A$1:$B$15,2,FALSE)</f>
        <v>Private Cleanout</v>
      </c>
      <c r="M18" s="6" t="s">
        <v>30</v>
      </c>
      <c r="N18" s="6" t="str">
        <f>VLOOKUP(M18,'Excursion Cause'!$A$1:$B$34,2,FALSE)</f>
        <v>Grease Blockage</v>
      </c>
      <c r="O18" s="7">
        <v>44292.0</v>
      </c>
      <c r="P18" s="6" t="s">
        <v>103</v>
      </c>
      <c r="Q18" s="7">
        <v>44292.0</v>
      </c>
      <c r="R18" s="6" t="s">
        <v>103</v>
      </c>
      <c r="S18" s="5">
        <v>0.0</v>
      </c>
      <c r="T18" s="6" t="s">
        <v>33</v>
      </c>
      <c r="U18" s="5">
        <v>2.0210406E7</v>
      </c>
      <c r="V18" s="5">
        <v>2.0210406E7</v>
      </c>
      <c r="W18" s="5">
        <v>29.8484643130001</v>
      </c>
      <c r="X18" s="5">
        <v>-95.4789399329999</v>
      </c>
    </row>
    <row r="19" ht="15.75" customHeight="1">
      <c r="A19" s="5">
        <v>10480.0</v>
      </c>
      <c r="B19" s="6">
        <v>2021.0</v>
      </c>
      <c r="C19" s="6" t="str">
        <f t="shared" si="1"/>
        <v>9200 CULLEN BLVD,Houston,Texas</v>
      </c>
      <c r="D19" s="6" t="s">
        <v>104</v>
      </c>
      <c r="E19" s="6" t="s">
        <v>25</v>
      </c>
      <c r="F19" s="6" t="s">
        <v>26</v>
      </c>
      <c r="G19" s="6" t="s">
        <v>105</v>
      </c>
      <c r="H19" s="6" t="s">
        <v>28</v>
      </c>
      <c r="I19" s="6" t="str">
        <f>VLOOKUP(H19,'Flow Location'!$A$1:$B$21,2,FALSE)</f>
        <v>Storm Sewer (not contained)</v>
      </c>
      <c r="J19" s="5">
        <v>0.0</v>
      </c>
      <c r="K19" s="6" t="s">
        <v>29</v>
      </c>
      <c r="L19" s="6" t="str">
        <f>VLOOKUP(K19,'Structure type'!$A$1:$B$15,2,FALSE)</f>
        <v>Manhole</v>
      </c>
      <c r="M19" s="6" t="s">
        <v>30</v>
      </c>
      <c r="N19" s="6" t="str">
        <f>VLOOKUP(M19,'Excursion Cause'!$A$1:$B$34,2,FALSE)</f>
        <v>Grease Blockage</v>
      </c>
      <c r="O19" s="7">
        <v>44292.0</v>
      </c>
      <c r="P19" s="6" t="s">
        <v>106</v>
      </c>
      <c r="Q19" s="7">
        <v>44292.0</v>
      </c>
      <c r="R19" s="6" t="s">
        <v>106</v>
      </c>
      <c r="S19" s="5">
        <v>0.0</v>
      </c>
      <c r="T19" s="6" t="s">
        <v>107</v>
      </c>
      <c r="U19" s="5">
        <v>2.0210406E7</v>
      </c>
      <c r="V19" s="5">
        <v>2.0210406E7</v>
      </c>
      <c r="W19" s="5">
        <v>29.6579100000001</v>
      </c>
      <c r="X19" s="5">
        <v>-95.355497466</v>
      </c>
    </row>
    <row r="20" ht="15.75" customHeight="1">
      <c r="A20" s="5">
        <v>10482.0</v>
      </c>
      <c r="B20" s="6">
        <v>2021.0</v>
      </c>
      <c r="C20" s="6" t="str">
        <f t="shared" si="1"/>
        <v>10828 BENTLEY ST,Houston,Texas</v>
      </c>
      <c r="D20" s="6" t="s">
        <v>108</v>
      </c>
      <c r="E20" s="6" t="s">
        <v>25</v>
      </c>
      <c r="F20" s="6" t="s">
        <v>26</v>
      </c>
      <c r="G20" s="6" t="s">
        <v>109</v>
      </c>
      <c r="H20" s="6" t="s">
        <v>50</v>
      </c>
      <c r="I20" s="6" t="str">
        <f>VLOOKUP(H20,'Flow Location'!$A$1:$B$21,2,FALSE)</f>
        <v>Contained On Site, not within 5 ft. of Bayou/Surface Water/Drainage Ditch</v>
      </c>
      <c r="J20" s="5">
        <v>0.0</v>
      </c>
      <c r="K20" s="6" t="s">
        <v>29</v>
      </c>
      <c r="L20" s="6" t="str">
        <f>VLOOKUP(K20,'Structure type'!$A$1:$B$15,2,FALSE)</f>
        <v>Manhole</v>
      </c>
      <c r="M20" s="6" t="s">
        <v>30</v>
      </c>
      <c r="N20" s="6" t="str">
        <f>VLOOKUP(M20,'Excursion Cause'!$A$1:$B$34,2,FALSE)</f>
        <v>Grease Blockage</v>
      </c>
      <c r="O20" s="7">
        <v>44292.0</v>
      </c>
      <c r="P20" s="6" t="s">
        <v>110</v>
      </c>
      <c r="Q20" s="7">
        <v>44292.0</v>
      </c>
      <c r="R20" s="6" t="s">
        <v>110</v>
      </c>
      <c r="S20" s="5">
        <v>0.0</v>
      </c>
      <c r="T20" s="6" t="s">
        <v>33</v>
      </c>
      <c r="U20" s="5">
        <v>2.0210406E7</v>
      </c>
      <c r="V20" s="5">
        <v>2.0210406E7</v>
      </c>
      <c r="W20" s="5">
        <v>29.872813616</v>
      </c>
      <c r="X20" s="5">
        <v>-95.335351227</v>
      </c>
    </row>
    <row r="21" ht="15.75" customHeight="1">
      <c r="A21" s="5">
        <v>10486.0</v>
      </c>
      <c r="B21" s="6">
        <v>2021.0</v>
      </c>
      <c r="C21" s="6" t="str">
        <f t="shared" si="1"/>
        <v>2502 NORTH BLVD,Houston,Texas</v>
      </c>
      <c r="D21" s="6" t="s">
        <v>111</v>
      </c>
      <c r="E21" s="6" t="s">
        <v>25</v>
      </c>
      <c r="F21" s="6" t="s">
        <v>26</v>
      </c>
      <c r="G21" s="6" t="s">
        <v>112</v>
      </c>
      <c r="H21" s="6" t="s">
        <v>50</v>
      </c>
      <c r="I21" s="6" t="str">
        <f>VLOOKUP(H21,'Flow Location'!$A$1:$B$21,2,FALSE)</f>
        <v>Contained On Site, not within 5 ft. of Bayou/Surface Water/Drainage Ditch</v>
      </c>
      <c r="J21" s="5">
        <v>400.0</v>
      </c>
      <c r="K21" s="6" t="s">
        <v>45</v>
      </c>
      <c r="L21" s="6" t="str">
        <f>VLOOKUP(K21,'Structure type'!$A$1:$B$15,2,FALSE)</f>
        <v>City Cleanout</v>
      </c>
      <c r="M21" s="6" t="s">
        <v>56</v>
      </c>
      <c r="N21" s="6" t="str">
        <f>VLOOKUP(M21,'Excursion Cause'!$A$1:$B$34,2,FALSE)</f>
        <v>Rags/Wipes</v>
      </c>
      <c r="O21" s="7">
        <v>44292.0</v>
      </c>
      <c r="P21" s="6" t="s">
        <v>113</v>
      </c>
      <c r="Q21" s="7">
        <v>44293.0</v>
      </c>
      <c r="R21" s="6" t="s">
        <v>114</v>
      </c>
      <c r="S21" s="5">
        <v>0.0</v>
      </c>
      <c r="T21" s="6" t="s">
        <v>89</v>
      </c>
      <c r="U21" s="5">
        <v>2.0210406E7</v>
      </c>
      <c r="V21" s="5">
        <v>2.0210407E7</v>
      </c>
      <c r="W21" s="5">
        <v>29.727880703</v>
      </c>
      <c r="X21" s="5">
        <v>-95.4170606169999</v>
      </c>
    </row>
    <row r="22" ht="15.75" customHeight="1">
      <c r="A22" s="5">
        <v>10499.0</v>
      </c>
      <c r="B22" s="6">
        <v>2021.0</v>
      </c>
      <c r="C22" s="6" t="str">
        <f t="shared" si="1"/>
        <v>4034 COLGATE ST,Houston,Texas</v>
      </c>
      <c r="D22" s="6" t="s">
        <v>115</v>
      </c>
      <c r="E22" s="6" t="s">
        <v>25</v>
      </c>
      <c r="F22" s="6" t="s">
        <v>26</v>
      </c>
      <c r="G22" s="6" t="s">
        <v>35</v>
      </c>
      <c r="H22" s="6" t="s">
        <v>50</v>
      </c>
      <c r="I22" s="6" t="str">
        <f>VLOOKUP(H22,'Flow Location'!$A$1:$B$21,2,FALSE)</f>
        <v>Contained On Site, not within 5 ft. of Bayou/Surface Water/Drainage Ditch</v>
      </c>
      <c r="J22" s="5">
        <v>1761.0</v>
      </c>
      <c r="K22" s="6" t="s">
        <v>51</v>
      </c>
      <c r="L22" s="6" t="str">
        <f>VLOOKUP(K22,'Structure type'!$A$1:$B$15,2,FALSE)</f>
        <v>Private Cleanout</v>
      </c>
      <c r="M22" s="6" t="s">
        <v>52</v>
      </c>
      <c r="N22" s="6" t="str">
        <f>VLOOKUP(M22,'Excursion Cause'!$A$1:$B$34,2,FALSE)</f>
        <v>Collection system structural blockage</v>
      </c>
      <c r="O22" s="7">
        <v>44293.0</v>
      </c>
      <c r="P22" s="6" t="s">
        <v>116</v>
      </c>
      <c r="Q22" s="7">
        <v>44294.0</v>
      </c>
      <c r="R22" s="6" t="s">
        <v>117</v>
      </c>
      <c r="S22" s="5">
        <v>1.0</v>
      </c>
      <c r="T22" s="6" t="s">
        <v>118</v>
      </c>
      <c r="U22" s="5">
        <v>2.0210407E7</v>
      </c>
      <c r="V22" s="5">
        <v>2.0210408E7</v>
      </c>
      <c r="W22" s="5">
        <v>29.682225943</v>
      </c>
      <c r="X22" s="5">
        <v>-95.2816097319999</v>
      </c>
    </row>
    <row r="23" ht="15.75" customHeight="1">
      <c r="A23" s="5">
        <v>10501.0</v>
      </c>
      <c r="B23" s="6">
        <v>2021.0</v>
      </c>
      <c r="C23" s="6" t="str">
        <f t="shared" si="1"/>
        <v>5530 BATAAN RD,Houston,Texas</v>
      </c>
      <c r="D23" s="6" t="s">
        <v>119</v>
      </c>
      <c r="E23" s="6" t="s">
        <v>25</v>
      </c>
      <c r="F23" s="6" t="s">
        <v>26</v>
      </c>
      <c r="G23" s="6" t="s">
        <v>120</v>
      </c>
      <c r="H23" s="6" t="s">
        <v>50</v>
      </c>
      <c r="I23" s="6" t="str">
        <f>VLOOKUP(H23,'Flow Location'!$A$1:$B$21,2,FALSE)</f>
        <v>Contained On Site, not within 5 ft. of Bayou/Surface Water/Drainage Ditch</v>
      </c>
      <c r="J23" s="5">
        <v>0.0</v>
      </c>
      <c r="K23" s="6" t="s">
        <v>29</v>
      </c>
      <c r="L23" s="6" t="str">
        <f>VLOOKUP(K23,'Structure type'!$A$1:$B$15,2,FALSE)</f>
        <v>Manhole</v>
      </c>
      <c r="M23" s="6" t="s">
        <v>30</v>
      </c>
      <c r="N23" s="6" t="str">
        <f>VLOOKUP(M23,'Excursion Cause'!$A$1:$B$34,2,FALSE)</f>
        <v>Grease Blockage</v>
      </c>
      <c r="O23" s="7">
        <v>44293.0</v>
      </c>
      <c r="P23" s="6" t="s">
        <v>121</v>
      </c>
      <c r="Q23" s="7">
        <v>44293.0</v>
      </c>
      <c r="R23" s="6" t="s">
        <v>121</v>
      </c>
      <c r="S23" s="5">
        <v>0.0</v>
      </c>
      <c r="T23" s="6" t="s">
        <v>33</v>
      </c>
      <c r="U23" s="5">
        <v>2.0210407E7</v>
      </c>
      <c r="V23" s="5">
        <v>2.0210407E7</v>
      </c>
      <c r="W23" s="5">
        <v>29.6846562760001</v>
      </c>
      <c r="X23" s="5">
        <v>-95.335440494</v>
      </c>
    </row>
    <row r="24" ht="15.75" customHeight="1">
      <c r="A24" s="5">
        <v>10506.0</v>
      </c>
      <c r="B24" s="6">
        <v>2021.0</v>
      </c>
      <c r="C24" s="6" t="str">
        <f t="shared" si="1"/>
        <v>12633 MEMORIAL DR,Houston,Texas</v>
      </c>
      <c r="D24" s="6" t="s">
        <v>122</v>
      </c>
      <c r="E24" s="6" t="s">
        <v>25</v>
      </c>
      <c r="F24" s="6" t="s">
        <v>26</v>
      </c>
      <c r="G24" s="6" t="s">
        <v>123</v>
      </c>
      <c r="H24" s="6" t="s">
        <v>50</v>
      </c>
      <c r="I24" s="6" t="str">
        <f>VLOOKUP(H24,'Flow Location'!$A$1:$B$21,2,FALSE)</f>
        <v>Contained On Site, not within 5 ft. of Bayou/Surface Water/Drainage Ditch</v>
      </c>
      <c r="J24" s="5">
        <v>535.0</v>
      </c>
      <c r="K24" s="6" t="s">
        <v>29</v>
      </c>
      <c r="L24" s="6" t="str">
        <f>VLOOKUP(K24,'Structure type'!$A$1:$B$15,2,FALSE)</f>
        <v>Manhole</v>
      </c>
      <c r="M24" s="6" t="s">
        <v>30</v>
      </c>
      <c r="N24" s="6" t="str">
        <f>VLOOKUP(M24,'Excursion Cause'!$A$1:$B$34,2,FALSE)</f>
        <v>Grease Blockage</v>
      </c>
      <c r="O24" s="7">
        <v>44293.0</v>
      </c>
      <c r="P24" s="6" t="s">
        <v>124</v>
      </c>
      <c r="Q24" s="7">
        <v>44293.0</v>
      </c>
      <c r="R24" s="6" t="s">
        <v>125</v>
      </c>
      <c r="S24" s="5">
        <v>5.0</v>
      </c>
      <c r="T24" s="6" t="s">
        <v>33</v>
      </c>
      <c r="U24" s="5">
        <v>2.0210407E7</v>
      </c>
      <c r="V24" s="5">
        <v>2.0210407E7</v>
      </c>
      <c r="W24" s="5">
        <v>29.766197484</v>
      </c>
      <c r="X24" s="5">
        <v>-95.55629568</v>
      </c>
    </row>
    <row r="25" ht="15.75" customHeight="1">
      <c r="A25" s="5">
        <v>10508.0</v>
      </c>
      <c r="B25" s="6">
        <v>2021.0</v>
      </c>
      <c r="C25" s="6" t="str">
        <f t="shared" si="1"/>
        <v>10318 WILLOWISP DR,Houston,Texas</v>
      </c>
      <c r="D25" s="6" t="s">
        <v>126</v>
      </c>
      <c r="E25" s="6" t="s">
        <v>25</v>
      </c>
      <c r="F25" s="6" t="s">
        <v>26</v>
      </c>
      <c r="G25" s="6" t="s">
        <v>127</v>
      </c>
      <c r="H25" s="6" t="s">
        <v>50</v>
      </c>
      <c r="I25" s="6" t="str">
        <f>VLOOKUP(H25,'Flow Location'!$A$1:$B$21,2,FALSE)</f>
        <v>Contained On Site, not within 5 ft. of Bayou/Surface Water/Drainage Ditch</v>
      </c>
      <c r="J25" s="5">
        <v>212.0</v>
      </c>
      <c r="K25" s="6" t="s">
        <v>29</v>
      </c>
      <c r="L25" s="6" t="str">
        <f>VLOOKUP(K25,'Structure type'!$A$1:$B$15,2,FALSE)</f>
        <v>Manhole</v>
      </c>
      <c r="M25" s="6" t="s">
        <v>30</v>
      </c>
      <c r="N25" s="6" t="str">
        <f>VLOOKUP(M25,'Excursion Cause'!$A$1:$B$34,2,FALSE)</f>
        <v>Grease Blockage</v>
      </c>
      <c r="O25" s="7">
        <v>44293.0</v>
      </c>
      <c r="P25" s="6" t="s">
        <v>128</v>
      </c>
      <c r="Q25" s="7">
        <v>44293.0</v>
      </c>
      <c r="R25" s="6" t="s">
        <v>129</v>
      </c>
      <c r="S25" s="5">
        <v>1.0</v>
      </c>
      <c r="T25" s="6" t="s">
        <v>33</v>
      </c>
      <c r="U25" s="5">
        <v>2.0210407E7</v>
      </c>
      <c r="V25" s="5">
        <v>2.0210407E7</v>
      </c>
      <c r="W25" s="5">
        <v>29.6696020850001</v>
      </c>
      <c r="X25" s="5">
        <v>-95.4607635249999</v>
      </c>
    </row>
    <row r="26" ht="15.75" customHeight="1">
      <c r="A26" s="5">
        <v>10516.0</v>
      </c>
      <c r="B26" s="6">
        <v>2021.0</v>
      </c>
      <c r="C26" s="6" t="str">
        <f t="shared" si="1"/>
        <v>5525 CHENNAULT RD,Houston,Texas</v>
      </c>
      <c r="D26" s="6" t="s">
        <v>130</v>
      </c>
      <c r="E26" s="6" t="s">
        <v>25</v>
      </c>
      <c r="F26" s="6" t="s">
        <v>26</v>
      </c>
      <c r="G26" s="6" t="s">
        <v>120</v>
      </c>
      <c r="H26" s="6" t="s">
        <v>50</v>
      </c>
      <c r="I26" s="6" t="str">
        <f>VLOOKUP(H26,'Flow Location'!$A$1:$B$21,2,FALSE)</f>
        <v>Contained On Site, not within 5 ft. of Bayou/Surface Water/Drainage Ditch</v>
      </c>
      <c r="J26" s="5">
        <v>0.0</v>
      </c>
      <c r="K26" s="6" t="s">
        <v>51</v>
      </c>
      <c r="L26" s="6" t="str">
        <f>VLOOKUP(K26,'Structure type'!$A$1:$B$15,2,FALSE)</f>
        <v>Private Cleanout</v>
      </c>
      <c r="M26" s="6" t="s">
        <v>30</v>
      </c>
      <c r="N26" s="6" t="str">
        <f>VLOOKUP(M26,'Excursion Cause'!$A$1:$B$34,2,FALSE)</f>
        <v>Grease Blockage</v>
      </c>
      <c r="O26" s="7">
        <v>44293.0</v>
      </c>
      <c r="P26" s="6" t="s">
        <v>131</v>
      </c>
      <c r="Q26" s="7">
        <v>44293.0</v>
      </c>
      <c r="R26" s="6" t="s">
        <v>131</v>
      </c>
      <c r="S26" s="5">
        <v>0.0</v>
      </c>
      <c r="T26" s="6" t="s">
        <v>33</v>
      </c>
      <c r="U26" s="5">
        <v>2.0210407E7</v>
      </c>
      <c r="V26" s="5">
        <v>2.0210407E7</v>
      </c>
      <c r="W26" s="5">
        <v>29.683833425</v>
      </c>
      <c r="X26" s="5">
        <v>-95.335349466</v>
      </c>
    </row>
    <row r="27" ht="15.75" customHeight="1">
      <c r="A27" s="5">
        <v>10517.0</v>
      </c>
      <c r="B27" s="6">
        <v>2021.0</v>
      </c>
      <c r="C27" s="6" t="str">
        <f t="shared" si="1"/>
        <v>3801 EASTSIDE ST,Houston,Texas</v>
      </c>
      <c r="D27" s="6" t="s">
        <v>132</v>
      </c>
      <c r="E27" s="6" t="s">
        <v>25</v>
      </c>
      <c r="F27" s="6" t="s">
        <v>26</v>
      </c>
      <c r="G27" s="6" t="s">
        <v>112</v>
      </c>
      <c r="H27" s="6" t="s">
        <v>50</v>
      </c>
      <c r="I27" s="6" t="str">
        <f>VLOOKUP(H27,'Flow Location'!$A$1:$B$21,2,FALSE)</f>
        <v>Contained On Site, not within 5 ft. of Bayou/Surface Water/Drainage Ditch</v>
      </c>
      <c r="J27" s="5">
        <v>1407.0</v>
      </c>
      <c r="K27" s="6" t="s">
        <v>29</v>
      </c>
      <c r="L27" s="6" t="str">
        <f>VLOOKUP(K27,'Structure type'!$A$1:$B$15,2,FALSE)</f>
        <v>Manhole</v>
      </c>
      <c r="M27" s="6" t="s">
        <v>56</v>
      </c>
      <c r="N27" s="6" t="str">
        <f>VLOOKUP(M27,'Excursion Cause'!$A$1:$B$34,2,FALSE)</f>
        <v>Rags/Wipes</v>
      </c>
      <c r="O27" s="7">
        <v>44293.0</v>
      </c>
      <c r="P27" s="6" t="s">
        <v>133</v>
      </c>
      <c r="Q27" s="7">
        <v>44294.0</v>
      </c>
      <c r="R27" s="6" t="s">
        <v>58</v>
      </c>
      <c r="S27" s="5">
        <v>1.0</v>
      </c>
      <c r="T27" s="6" t="s">
        <v>33</v>
      </c>
      <c r="U27" s="5">
        <v>2.0210407E7</v>
      </c>
      <c r="V27" s="5">
        <v>2.0210408E7</v>
      </c>
      <c r="W27" s="5">
        <v>29.7326969870001</v>
      </c>
      <c r="X27" s="5">
        <v>-95.424442475</v>
      </c>
    </row>
    <row r="28" ht="15.75" customHeight="1">
      <c r="A28" s="5">
        <v>10520.0</v>
      </c>
      <c r="B28" s="6">
        <v>2021.0</v>
      </c>
      <c r="C28" s="6" t="str">
        <f t="shared" si="1"/>
        <v>2918 DALTON ST,Houston,Texas</v>
      </c>
      <c r="D28" s="6" t="s">
        <v>134</v>
      </c>
      <c r="E28" s="6" t="s">
        <v>25</v>
      </c>
      <c r="F28" s="6" t="s">
        <v>26</v>
      </c>
      <c r="G28" s="6" t="s">
        <v>135</v>
      </c>
      <c r="H28" s="6" t="s">
        <v>28</v>
      </c>
      <c r="I28" s="6" t="str">
        <f>VLOOKUP(H28,'Flow Location'!$A$1:$B$21,2,FALSE)</f>
        <v>Storm Sewer (not contained)</v>
      </c>
      <c r="J28" s="5">
        <v>0.0</v>
      </c>
      <c r="K28" s="6" t="s">
        <v>45</v>
      </c>
      <c r="L28" s="6" t="str">
        <f>VLOOKUP(K28,'Structure type'!$A$1:$B$15,2,FALSE)</f>
        <v>City Cleanout</v>
      </c>
      <c r="M28" s="6" t="s">
        <v>56</v>
      </c>
      <c r="N28" s="6" t="str">
        <f>VLOOKUP(M28,'Excursion Cause'!$A$1:$B$34,2,FALSE)</f>
        <v>Rags/Wipes</v>
      </c>
      <c r="O28" s="7">
        <v>44294.0</v>
      </c>
      <c r="P28" s="6" t="s">
        <v>136</v>
      </c>
      <c r="Q28" s="7">
        <v>44294.0</v>
      </c>
      <c r="R28" s="6" t="s">
        <v>136</v>
      </c>
      <c r="S28" s="5">
        <v>0.0</v>
      </c>
      <c r="T28" s="6" t="s">
        <v>118</v>
      </c>
      <c r="U28" s="5">
        <v>2.0210408E7</v>
      </c>
      <c r="V28" s="5">
        <v>2.0210408E7</v>
      </c>
      <c r="W28" s="5">
        <v>29.698150051</v>
      </c>
      <c r="X28" s="5">
        <v>-95.273136383</v>
      </c>
    </row>
    <row r="29" ht="15.75" customHeight="1">
      <c r="A29" s="5">
        <v>10522.0</v>
      </c>
      <c r="B29" s="6">
        <v>2021.0</v>
      </c>
      <c r="C29" s="6" t="str">
        <f t="shared" si="1"/>
        <v>501 TAFT ST,Houston,Texas</v>
      </c>
      <c r="D29" s="6" t="s">
        <v>137</v>
      </c>
      <c r="E29" s="6" t="s">
        <v>25</v>
      </c>
      <c r="F29" s="6" t="s">
        <v>26</v>
      </c>
      <c r="G29" s="6" t="s">
        <v>80</v>
      </c>
      <c r="H29" s="6" t="s">
        <v>50</v>
      </c>
      <c r="I29" s="6" t="str">
        <f>VLOOKUP(H29,'Flow Location'!$A$1:$B$21,2,FALSE)</f>
        <v>Contained On Site, not within 5 ft. of Bayou/Surface Water/Drainage Ditch</v>
      </c>
      <c r="J29" s="5">
        <v>354.0</v>
      </c>
      <c r="K29" s="6" t="s">
        <v>29</v>
      </c>
      <c r="L29" s="6" t="str">
        <f>VLOOKUP(K29,'Structure type'!$A$1:$B$15,2,FALSE)</f>
        <v>Manhole</v>
      </c>
      <c r="M29" s="6" t="s">
        <v>30</v>
      </c>
      <c r="N29" s="6" t="str">
        <f>VLOOKUP(M29,'Excursion Cause'!$A$1:$B$34,2,FALSE)</f>
        <v>Grease Blockage</v>
      </c>
      <c r="O29" s="7">
        <v>44294.0</v>
      </c>
      <c r="P29" s="6" t="s">
        <v>138</v>
      </c>
      <c r="Q29" s="7">
        <v>44294.0</v>
      </c>
      <c r="R29" s="6" t="s">
        <v>139</v>
      </c>
      <c r="S29" s="5">
        <v>2.0</v>
      </c>
      <c r="T29" s="6" t="s">
        <v>33</v>
      </c>
      <c r="U29" s="5">
        <v>2.0210408E7</v>
      </c>
      <c r="V29" s="5">
        <v>2.0210408E7</v>
      </c>
      <c r="W29" s="5">
        <v>29.760749498</v>
      </c>
      <c r="X29" s="5">
        <v>-95.385747336</v>
      </c>
    </row>
    <row r="30" ht="15.75" customHeight="1">
      <c r="A30" s="5">
        <v>10525.0</v>
      </c>
      <c r="B30" s="6">
        <v>2021.0</v>
      </c>
      <c r="C30" s="6" t="str">
        <f t="shared" si="1"/>
        <v>5746 HARRIET ST,Houston,Texas</v>
      </c>
      <c r="D30" s="6" t="s">
        <v>140</v>
      </c>
      <c r="E30" s="6" t="s">
        <v>25</v>
      </c>
      <c r="F30" s="6" t="s">
        <v>26</v>
      </c>
      <c r="G30" s="6" t="s">
        <v>141</v>
      </c>
      <c r="H30" s="6" t="s">
        <v>28</v>
      </c>
      <c r="I30" s="6" t="str">
        <f>VLOOKUP(H30,'Flow Location'!$A$1:$B$21,2,FALSE)</f>
        <v>Storm Sewer (not contained)</v>
      </c>
      <c r="J30" s="5">
        <v>0.0</v>
      </c>
      <c r="K30" s="6" t="s">
        <v>29</v>
      </c>
      <c r="L30" s="6" t="str">
        <f>VLOOKUP(K30,'Structure type'!$A$1:$B$15,2,FALSE)</f>
        <v>Manhole</v>
      </c>
      <c r="M30" s="6" t="s">
        <v>30</v>
      </c>
      <c r="N30" s="6" t="str">
        <f>VLOOKUP(M30,'Excursion Cause'!$A$1:$B$34,2,FALSE)</f>
        <v>Grease Blockage</v>
      </c>
      <c r="O30" s="7">
        <v>44294.0</v>
      </c>
      <c r="P30" s="6" t="s">
        <v>142</v>
      </c>
      <c r="Q30" s="7">
        <v>44294.0</v>
      </c>
      <c r="R30" s="6" t="s">
        <v>142</v>
      </c>
      <c r="S30" s="5">
        <v>0.0</v>
      </c>
      <c r="T30" s="6" t="s">
        <v>33</v>
      </c>
      <c r="U30" s="5">
        <v>2.0210408E7</v>
      </c>
      <c r="V30" s="5">
        <v>2.0210408E7</v>
      </c>
      <c r="W30" s="5">
        <v>29.717990141</v>
      </c>
      <c r="X30" s="5">
        <v>-95.3172298869999</v>
      </c>
    </row>
    <row r="31" ht="15.75" customHeight="1">
      <c r="A31" s="5">
        <v>10529.0</v>
      </c>
      <c r="B31" s="6">
        <v>2021.0</v>
      </c>
      <c r="C31" s="6" t="str">
        <f t="shared" si="1"/>
        <v>6600 HARBOR TOWN DR,Houston,Texas</v>
      </c>
      <c r="D31" s="6" t="s">
        <v>143</v>
      </c>
      <c r="E31" s="6" t="s">
        <v>25</v>
      </c>
      <c r="F31" s="6" t="s">
        <v>26</v>
      </c>
      <c r="G31" s="6" t="s">
        <v>100</v>
      </c>
      <c r="H31" s="6" t="s">
        <v>144</v>
      </c>
      <c r="I31" s="6" t="str">
        <f>VLOOKUP(H31,'Flow Location'!$A$1:$B$21,2,FALSE)</f>
        <v>Storm Sewer - contained</v>
      </c>
      <c r="J31" s="5">
        <v>118.0</v>
      </c>
      <c r="K31" s="6" t="s">
        <v>29</v>
      </c>
      <c r="L31" s="6" t="str">
        <f>VLOOKUP(K31,'Structure type'!$A$1:$B$15,2,FALSE)</f>
        <v>Manhole</v>
      </c>
      <c r="M31" s="6" t="s">
        <v>30</v>
      </c>
      <c r="N31" s="6" t="str">
        <f>VLOOKUP(M31,'Excursion Cause'!$A$1:$B$34,2,FALSE)</f>
        <v>Grease Blockage</v>
      </c>
      <c r="O31" s="7">
        <v>44294.0</v>
      </c>
      <c r="P31" s="6" t="s">
        <v>145</v>
      </c>
      <c r="Q31" s="7">
        <v>44294.0</v>
      </c>
      <c r="R31" s="6" t="s">
        <v>146</v>
      </c>
      <c r="S31" s="5">
        <v>1.0</v>
      </c>
      <c r="T31" s="6" t="s">
        <v>33</v>
      </c>
      <c r="U31" s="5">
        <v>2.0210408E7</v>
      </c>
      <c r="V31" s="5">
        <v>2.0210408E7</v>
      </c>
      <c r="W31" s="5">
        <v>29.713254995</v>
      </c>
      <c r="X31" s="5">
        <v>-95.5276910099999</v>
      </c>
    </row>
    <row r="32" ht="15.75" customHeight="1">
      <c r="A32" s="5">
        <v>10531.0</v>
      </c>
      <c r="B32" s="6">
        <v>2021.0</v>
      </c>
      <c r="C32" s="6" t="str">
        <f t="shared" si="1"/>
        <v>8303 TWIN HILLS DR,Houston,Texas</v>
      </c>
      <c r="D32" s="6" t="s">
        <v>147</v>
      </c>
      <c r="E32" s="6" t="s">
        <v>25</v>
      </c>
      <c r="F32" s="6" t="s">
        <v>26</v>
      </c>
      <c r="G32" s="6" t="s">
        <v>148</v>
      </c>
      <c r="H32" s="6" t="s">
        <v>28</v>
      </c>
      <c r="I32" s="6" t="str">
        <f>VLOOKUP(H32,'Flow Location'!$A$1:$B$21,2,FALSE)</f>
        <v>Storm Sewer (not contained)</v>
      </c>
      <c r="J32" s="5">
        <v>312.0</v>
      </c>
      <c r="K32" s="6" t="s">
        <v>29</v>
      </c>
      <c r="L32" s="6" t="str">
        <f>VLOOKUP(K32,'Structure type'!$A$1:$B$15,2,FALSE)</f>
        <v>Manhole</v>
      </c>
      <c r="M32" s="6" t="s">
        <v>30</v>
      </c>
      <c r="N32" s="6" t="str">
        <f>VLOOKUP(M32,'Excursion Cause'!$A$1:$B$34,2,FALSE)</f>
        <v>Grease Blockage</v>
      </c>
      <c r="O32" s="7">
        <v>44294.0</v>
      </c>
      <c r="P32" s="6" t="s">
        <v>149</v>
      </c>
      <c r="Q32" s="7">
        <v>44294.0</v>
      </c>
      <c r="R32" s="6" t="s">
        <v>150</v>
      </c>
      <c r="S32" s="5">
        <v>1.0</v>
      </c>
      <c r="T32" s="6" t="s">
        <v>33</v>
      </c>
      <c r="U32" s="5">
        <v>2.0210408E7</v>
      </c>
      <c r="V32" s="5">
        <v>2.0210408E7</v>
      </c>
      <c r="W32" s="5">
        <v>29.6673222910001</v>
      </c>
      <c r="X32" s="5">
        <v>-95.523238376</v>
      </c>
    </row>
    <row r="33" ht="15.75" customHeight="1">
      <c r="A33" s="5">
        <v>10541.0</v>
      </c>
      <c r="B33" s="6">
        <v>2021.0</v>
      </c>
      <c r="C33" s="6" t="str">
        <f t="shared" si="1"/>
        <v>9603 CEDARHURST DR,Houston,Texas</v>
      </c>
      <c r="D33" s="6" t="s">
        <v>151</v>
      </c>
      <c r="E33" s="6" t="s">
        <v>25</v>
      </c>
      <c r="F33" s="6" t="s">
        <v>26</v>
      </c>
      <c r="G33" s="6" t="s">
        <v>69</v>
      </c>
      <c r="H33" s="6" t="s">
        <v>50</v>
      </c>
      <c r="I33" s="6" t="str">
        <f>VLOOKUP(H33,'Flow Location'!$A$1:$B$21,2,FALSE)</f>
        <v>Contained On Site, not within 5 ft. of Bayou/Surface Water/Drainage Ditch</v>
      </c>
      <c r="J33" s="5">
        <v>90.0</v>
      </c>
      <c r="K33" s="6" t="s">
        <v>29</v>
      </c>
      <c r="L33" s="6" t="str">
        <f>VLOOKUP(K33,'Structure type'!$A$1:$B$15,2,FALSE)</f>
        <v>Manhole</v>
      </c>
      <c r="M33" s="6" t="s">
        <v>56</v>
      </c>
      <c r="N33" s="6" t="str">
        <f>VLOOKUP(M33,'Excursion Cause'!$A$1:$B$34,2,FALSE)</f>
        <v>Rags/Wipes</v>
      </c>
      <c r="O33" s="7">
        <v>44295.0</v>
      </c>
      <c r="P33" s="6" t="s">
        <v>152</v>
      </c>
      <c r="Q33" s="7">
        <v>44295.0</v>
      </c>
      <c r="R33" s="6" t="s">
        <v>125</v>
      </c>
      <c r="S33" s="5">
        <v>1.0</v>
      </c>
      <c r="T33" s="6" t="s">
        <v>33</v>
      </c>
      <c r="U33" s="5">
        <v>2.0210409E7</v>
      </c>
      <c r="V33" s="5">
        <v>2.0210409E7</v>
      </c>
      <c r="W33" s="5">
        <v>29.676791872</v>
      </c>
      <c r="X33" s="5">
        <v>-95.468607561</v>
      </c>
    </row>
    <row r="34" ht="15.75" customHeight="1">
      <c r="A34" s="5">
        <v>10546.0</v>
      </c>
      <c r="B34" s="6">
        <v>2021.0</v>
      </c>
      <c r="C34" s="6" t="str">
        <f t="shared" si="1"/>
        <v>12023 BISSONNET ST,Houston,Texas</v>
      </c>
      <c r="D34" s="6" t="s">
        <v>153</v>
      </c>
      <c r="E34" s="6" t="s">
        <v>25</v>
      </c>
      <c r="F34" s="6" t="s">
        <v>26</v>
      </c>
      <c r="G34" s="6" t="s">
        <v>154</v>
      </c>
      <c r="H34" s="6" t="s">
        <v>50</v>
      </c>
      <c r="I34" s="6" t="str">
        <f>VLOOKUP(H34,'Flow Location'!$A$1:$B$21,2,FALSE)</f>
        <v>Contained On Site, not within 5 ft. of Bayou/Surface Water/Drainage Ditch</v>
      </c>
      <c r="J34" s="5">
        <v>130.0</v>
      </c>
      <c r="K34" s="6" t="s">
        <v>29</v>
      </c>
      <c r="L34" s="6" t="str">
        <f>VLOOKUP(K34,'Structure type'!$A$1:$B$15,2,FALSE)</f>
        <v>Manhole</v>
      </c>
      <c r="M34" s="6" t="s">
        <v>30</v>
      </c>
      <c r="N34" s="6" t="str">
        <f>VLOOKUP(M34,'Excursion Cause'!$A$1:$B$34,2,FALSE)</f>
        <v>Grease Blockage</v>
      </c>
      <c r="O34" s="7">
        <v>44295.0</v>
      </c>
      <c r="P34" s="6" t="s">
        <v>155</v>
      </c>
      <c r="Q34" s="7">
        <v>44295.0</v>
      </c>
      <c r="R34" s="6" t="s">
        <v>156</v>
      </c>
      <c r="S34" s="5">
        <v>1.0</v>
      </c>
      <c r="T34" s="6" t="s">
        <v>33</v>
      </c>
      <c r="U34" s="5">
        <v>2.0210409E7</v>
      </c>
      <c r="V34" s="5">
        <v>2.0210409E7</v>
      </c>
      <c r="W34" s="5">
        <v>29.6753018630001</v>
      </c>
      <c r="X34" s="5">
        <v>-95.590534162</v>
      </c>
    </row>
    <row r="35" ht="15.75" customHeight="1">
      <c r="A35" s="5">
        <v>10550.0</v>
      </c>
      <c r="B35" s="6">
        <v>2021.0</v>
      </c>
      <c r="C35" s="6" t="str">
        <f t="shared" si="1"/>
        <v>206 TERRACE DR,Houston,Texas</v>
      </c>
      <c r="D35" s="6" t="s">
        <v>157</v>
      </c>
      <c r="E35" s="6" t="s">
        <v>25</v>
      </c>
      <c r="F35" s="6" t="s">
        <v>26</v>
      </c>
      <c r="G35" s="6" t="s">
        <v>158</v>
      </c>
      <c r="H35" s="6" t="s">
        <v>50</v>
      </c>
      <c r="I35" s="6" t="str">
        <f>VLOOKUP(H35,'Flow Location'!$A$1:$B$21,2,FALSE)</f>
        <v>Contained On Site, not within 5 ft. of Bayou/Surface Water/Drainage Ditch</v>
      </c>
      <c r="J35" s="5">
        <v>0.0</v>
      </c>
      <c r="K35" s="6" t="s">
        <v>51</v>
      </c>
      <c r="L35" s="6" t="str">
        <f>VLOOKUP(K35,'Structure type'!$A$1:$B$15,2,FALSE)</f>
        <v>Private Cleanout</v>
      </c>
      <c r="M35" s="6" t="s">
        <v>52</v>
      </c>
      <c r="N35" s="6" t="str">
        <f>VLOOKUP(M35,'Excursion Cause'!$A$1:$B$34,2,FALSE)</f>
        <v>Collection system structural blockage</v>
      </c>
      <c r="O35" s="7">
        <v>44295.0</v>
      </c>
      <c r="P35" s="6" t="s">
        <v>159</v>
      </c>
      <c r="Q35" s="7">
        <v>44295.0</v>
      </c>
      <c r="R35" s="6" t="s">
        <v>159</v>
      </c>
      <c r="S35" s="5">
        <v>0.0</v>
      </c>
      <c r="T35" s="6" t="s">
        <v>118</v>
      </c>
      <c r="U35" s="5">
        <v>2.0210409E7</v>
      </c>
      <c r="V35" s="5">
        <v>2.0210409E7</v>
      </c>
      <c r="W35" s="5">
        <v>29.763425924</v>
      </c>
      <c r="X35" s="5">
        <v>-95.424063446</v>
      </c>
    </row>
    <row r="36" ht="15.75" customHeight="1">
      <c r="A36" s="5">
        <v>10551.0</v>
      </c>
      <c r="B36" s="6">
        <v>2021.0</v>
      </c>
      <c r="C36" s="6" t="str">
        <f t="shared" si="1"/>
        <v>3602 ELYSIAN ST,Houston,Texas</v>
      </c>
      <c r="D36" s="6" t="s">
        <v>160</v>
      </c>
      <c r="E36" s="6" t="s">
        <v>25</v>
      </c>
      <c r="F36" s="6" t="s">
        <v>26</v>
      </c>
      <c r="G36" s="6" t="s">
        <v>161</v>
      </c>
      <c r="H36" s="6" t="s">
        <v>28</v>
      </c>
      <c r="I36" s="6" t="str">
        <f>VLOOKUP(H36,'Flow Location'!$A$1:$B$21,2,FALSE)</f>
        <v>Storm Sewer (not contained)</v>
      </c>
      <c r="J36" s="5">
        <v>728.0</v>
      </c>
      <c r="K36" s="6" t="s">
        <v>29</v>
      </c>
      <c r="L36" s="6" t="str">
        <f>VLOOKUP(K36,'Structure type'!$A$1:$B$15,2,FALSE)</f>
        <v>Manhole</v>
      </c>
      <c r="M36" s="6" t="s">
        <v>56</v>
      </c>
      <c r="N36" s="6" t="str">
        <f>VLOOKUP(M36,'Excursion Cause'!$A$1:$B$34,2,FALSE)</f>
        <v>Rags/Wipes</v>
      </c>
      <c r="O36" s="7">
        <v>44295.0</v>
      </c>
      <c r="P36" s="6" t="s">
        <v>162</v>
      </c>
      <c r="Q36" s="7">
        <v>44295.0</v>
      </c>
      <c r="R36" s="6" t="s">
        <v>163</v>
      </c>
      <c r="S36" s="5">
        <v>2.0</v>
      </c>
      <c r="T36" s="6" t="s">
        <v>33</v>
      </c>
      <c r="U36" s="5">
        <v>2.0210409E7</v>
      </c>
      <c r="V36" s="5">
        <v>2.0210409E7</v>
      </c>
      <c r="W36" s="5">
        <v>29.7933950280001</v>
      </c>
      <c r="X36" s="5">
        <v>-95.3511513619999</v>
      </c>
    </row>
    <row r="37" ht="15.75" customHeight="1">
      <c r="A37" s="5">
        <v>10566.0</v>
      </c>
      <c r="B37" s="6">
        <v>2021.0</v>
      </c>
      <c r="C37" s="6" t="str">
        <f t="shared" si="1"/>
        <v>8515 HAMMERLY BLVD,Houston,Texas</v>
      </c>
      <c r="D37" s="6" t="s">
        <v>24</v>
      </c>
      <c r="E37" s="6" t="s">
        <v>25</v>
      </c>
      <c r="F37" s="6" t="s">
        <v>26</v>
      </c>
      <c r="G37" s="6" t="s">
        <v>27</v>
      </c>
      <c r="H37" s="6" t="s">
        <v>50</v>
      </c>
      <c r="I37" s="6" t="str">
        <f>VLOOKUP(H37,'Flow Location'!$A$1:$B$21,2,FALSE)</f>
        <v>Contained On Site, not within 5 ft. of Bayou/Surface Water/Drainage Ditch</v>
      </c>
      <c r="J37" s="5">
        <v>0.0</v>
      </c>
      <c r="K37" s="6" t="s">
        <v>29</v>
      </c>
      <c r="L37" s="6" t="str">
        <f>VLOOKUP(K37,'Structure type'!$A$1:$B$15,2,FALSE)</f>
        <v>Manhole</v>
      </c>
      <c r="M37" s="6" t="s">
        <v>30</v>
      </c>
      <c r="N37" s="6" t="str">
        <f>VLOOKUP(M37,'Excursion Cause'!$A$1:$B$34,2,FALSE)</f>
        <v>Grease Blockage</v>
      </c>
      <c r="O37" s="7">
        <v>44297.0</v>
      </c>
      <c r="P37" s="6" t="s">
        <v>164</v>
      </c>
      <c r="Q37" s="7">
        <v>44297.0</v>
      </c>
      <c r="R37" s="6" t="s">
        <v>164</v>
      </c>
      <c r="S37" s="5">
        <v>0.0</v>
      </c>
      <c r="T37" s="6" t="s">
        <v>59</v>
      </c>
      <c r="U37" s="5">
        <v>2.0210411E7</v>
      </c>
      <c r="V37" s="5">
        <v>2.0210411E7</v>
      </c>
      <c r="W37" s="5">
        <v>29.810848427</v>
      </c>
      <c r="X37" s="5">
        <v>-95.4997507739999</v>
      </c>
    </row>
    <row r="38" ht="15.75" customHeight="1">
      <c r="A38" s="5">
        <v>10572.0</v>
      </c>
      <c r="B38" s="6">
        <v>2021.0</v>
      </c>
      <c r="C38" s="6" t="str">
        <f t="shared" si="1"/>
        <v>16511 QUIET QUAIL DR,Houston,Texas</v>
      </c>
      <c r="D38" s="6" t="s">
        <v>165</v>
      </c>
      <c r="E38" s="6" t="s">
        <v>25</v>
      </c>
      <c r="F38" s="6" t="s">
        <v>26</v>
      </c>
      <c r="G38" s="6" t="s">
        <v>166</v>
      </c>
      <c r="H38" s="6" t="s">
        <v>50</v>
      </c>
      <c r="I38" s="6" t="str">
        <f>VLOOKUP(H38,'Flow Location'!$A$1:$B$21,2,FALSE)</f>
        <v>Contained On Site, not within 5 ft. of Bayou/Surface Water/Drainage Ditch</v>
      </c>
      <c r="J38" s="5">
        <v>676.0</v>
      </c>
      <c r="K38" s="6" t="s">
        <v>29</v>
      </c>
      <c r="L38" s="6" t="str">
        <f>VLOOKUP(K38,'Structure type'!$A$1:$B$15,2,FALSE)</f>
        <v>Manhole</v>
      </c>
      <c r="M38" s="6" t="s">
        <v>30</v>
      </c>
      <c r="N38" s="6" t="str">
        <f>VLOOKUP(M38,'Excursion Cause'!$A$1:$B$34,2,FALSE)</f>
        <v>Grease Blockage</v>
      </c>
      <c r="O38" s="7">
        <v>44298.0</v>
      </c>
      <c r="P38" s="6" t="s">
        <v>124</v>
      </c>
      <c r="Q38" s="7">
        <v>44298.0</v>
      </c>
      <c r="R38" s="6" t="s">
        <v>167</v>
      </c>
      <c r="S38" s="5">
        <v>1.0</v>
      </c>
      <c r="T38" s="6" t="s">
        <v>59</v>
      </c>
      <c r="U38" s="5">
        <v>2.0210412E7</v>
      </c>
      <c r="V38" s="5">
        <v>2.0210412E7</v>
      </c>
      <c r="W38" s="5">
        <v>29.586824295</v>
      </c>
      <c r="X38" s="5">
        <v>-95.51314296</v>
      </c>
    </row>
    <row r="39" ht="15.75" customHeight="1">
      <c r="A39" s="5">
        <v>10573.0</v>
      </c>
      <c r="B39" s="6">
        <v>2021.0</v>
      </c>
      <c r="C39" s="6" t="str">
        <f t="shared" si="1"/>
        <v>4031 KNOXVILLE ST,Houston,Texas</v>
      </c>
      <c r="D39" s="6" t="s">
        <v>168</v>
      </c>
      <c r="E39" s="6" t="s">
        <v>25</v>
      </c>
      <c r="F39" s="6" t="s">
        <v>26</v>
      </c>
      <c r="G39" s="6" t="s">
        <v>105</v>
      </c>
      <c r="H39" s="6" t="s">
        <v>50</v>
      </c>
      <c r="I39" s="6" t="str">
        <f>VLOOKUP(H39,'Flow Location'!$A$1:$B$21,2,FALSE)</f>
        <v>Contained On Site, not within 5 ft. of Bayou/Surface Water/Drainage Ditch</v>
      </c>
      <c r="J39" s="5">
        <v>0.0</v>
      </c>
      <c r="K39" s="6" t="s">
        <v>45</v>
      </c>
      <c r="L39" s="6" t="str">
        <f>VLOOKUP(K39,'Structure type'!$A$1:$B$15,2,FALSE)</f>
        <v>City Cleanout</v>
      </c>
      <c r="M39" s="6" t="s">
        <v>56</v>
      </c>
      <c r="N39" s="6" t="str">
        <f>VLOOKUP(M39,'Excursion Cause'!$A$1:$B$34,2,FALSE)</f>
        <v>Rags/Wipes</v>
      </c>
      <c r="O39" s="7">
        <v>44298.0</v>
      </c>
      <c r="P39" s="6" t="s">
        <v>169</v>
      </c>
      <c r="Q39" s="7">
        <v>44298.0</v>
      </c>
      <c r="R39" s="6" t="s">
        <v>169</v>
      </c>
      <c r="S39" s="5">
        <v>0.0</v>
      </c>
      <c r="T39" s="6" t="s">
        <v>170</v>
      </c>
      <c r="U39" s="5">
        <v>2.0210412E7</v>
      </c>
      <c r="V39" s="5">
        <v>2.0210412E7</v>
      </c>
      <c r="W39" s="5">
        <v>29.6651503300001</v>
      </c>
      <c r="X39" s="5">
        <v>-95.3663430619999</v>
      </c>
    </row>
    <row r="40" ht="15.75" customHeight="1">
      <c r="A40" s="5">
        <v>10575.0</v>
      </c>
      <c r="B40" s="6">
        <v>2021.0</v>
      </c>
      <c r="C40" s="6" t="str">
        <f t="shared" si="1"/>
        <v>1414 C EMANCIPATION AVE,Houston,Texas</v>
      </c>
      <c r="D40" s="6" t="s">
        <v>171</v>
      </c>
      <c r="E40" s="6" t="s">
        <v>25</v>
      </c>
      <c r="F40" s="6" t="s">
        <v>26</v>
      </c>
      <c r="G40" s="6" t="s">
        <v>172</v>
      </c>
      <c r="H40" s="6" t="s">
        <v>50</v>
      </c>
      <c r="I40" s="6" t="str">
        <f>VLOOKUP(H40,'Flow Location'!$A$1:$B$21,2,FALSE)</f>
        <v>Contained On Site, not within 5 ft. of Bayou/Surface Water/Drainage Ditch</v>
      </c>
      <c r="J40" s="5">
        <v>0.0</v>
      </c>
      <c r="K40" s="6" t="s">
        <v>45</v>
      </c>
      <c r="L40" s="6" t="str">
        <f>VLOOKUP(K40,'Structure type'!$A$1:$B$15,2,FALSE)</f>
        <v>City Cleanout</v>
      </c>
      <c r="M40" s="6" t="s">
        <v>56</v>
      </c>
      <c r="N40" s="6" t="str">
        <f>VLOOKUP(M40,'Excursion Cause'!$A$1:$B$34,2,FALSE)</f>
        <v>Rags/Wipes</v>
      </c>
      <c r="O40" s="7">
        <v>44298.0</v>
      </c>
      <c r="P40" s="6" t="s">
        <v>173</v>
      </c>
      <c r="Q40" s="7">
        <v>44298.0</v>
      </c>
      <c r="R40" s="6" t="s">
        <v>173</v>
      </c>
      <c r="S40" s="5">
        <v>0.0</v>
      </c>
      <c r="T40" s="6" t="s">
        <v>74</v>
      </c>
      <c r="U40" s="5">
        <v>2.0210412E7</v>
      </c>
      <c r="V40" s="5">
        <v>2.0210412E7</v>
      </c>
      <c r="W40" s="5">
        <v>29.746154174</v>
      </c>
      <c r="X40" s="5">
        <v>-95.355774237</v>
      </c>
    </row>
    <row r="41" ht="15.75" customHeight="1">
      <c r="A41" s="5">
        <v>10576.0</v>
      </c>
      <c r="B41" s="6">
        <v>2021.0</v>
      </c>
      <c r="C41" s="6" t="str">
        <f t="shared" si="1"/>
        <v>4402 JEFFERSON ST,Houston,Texas</v>
      </c>
      <c r="D41" s="6" t="s">
        <v>174</v>
      </c>
      <c r="E41" s="6" t="s">
        <v>25</v>
      </c>
      <c r="F41" s="6" t="s">
        <v>26</v>
      </c>
      <c r="G41" s="6" t="s">
        <v>141</v>
      </c>
      <c r="H41" s="6" t="s">
        <v>28</v>
      </c>
      <c r="I41" s="6" t="str">
        <f>VLOOKUP(H41,'Flow Location'!$A$1:$B$21,2,FALSE)</f>
        <v>Storm Sewer (not contained)</v>
      </c>
      <c r="J41" s="5">
        <v>4725.0</v>
      </c>
      <c r="K41" s="6" t="s">
        <v>29</v>
      </c>
      <c r="L41" s="6" t="str">
        <f>VLOOKUP(K41,'Structure type'!$A$1:$B$15,2,FALSE)</f>
        <v>Manhole</v>
      </c>
      <c r="M41" s="6" t="s">
        <v>30</v>
      </c>
      <c r="N41" s="6" t="str">
        <f>VLOOKUP(M41,'Excursion Cause'!$A$1:$B$34,2,FALSE)</f>
        <v>Grease Blockage</v>
      </c>
      <c r="O41" s="7">
        <v>44298.0</v>
      </c>
      <c r="P41" s="6" t="s">
        <v>175</v>
      </c>
      <c r="Q41" s="7">
        <v>44298.0</v>
      </c>
      <c r="R41" s="6" t="s">
        <v>175</v>
      </c>
      <c r="S41" s="5">
        <v>0.0</v>
      </c>
      <c r="T41" s="6" t="s">
        <v>33</v>
      </c>
      <c r="U41" s="5">
        <v>2.0210412E7</v>
      </c>
      <c r="V41" s="5">
        <v>2.0210412E7</v>
      </c>
      <c r="W41" s="5">
        <v>29.7346521910001</v>
      </c>
      <c r="X41" s="5">
        <v>-95.336334591</v>
      </c>
    </row>
    <row r="42" ht="15.75" customHeight="1">
      <c r="A42" s="5">
        <v>10579.0</v>
      </c>
      <c r="B42" s="6">
        <v>2021.0</v>
      </c>
      <c r="C42" s="6" t="str">
        <f t="shared" si="1"/>
        <v>7960 RAND ST,Houston,Texas</v>
      </c>
      <c r="D42" s="6" t="s">
        <v>176</v>
      </c>
      <c r="E42" s="6" t="s">
        <v>25</v>
      </c>
      <c r="F42" s="6" t="s">
        <v>26</v>
      </c>
      <c r="G42" s="6" t="s">
        <v>177</v>
      </c>
      <c r="H42" s="6" t="s">
        <v>87</v>
      </c>
      <c r="I42" s="6" t="str">
        <f>VLOOKUP(H42,'Flow Location'!$A$1:$B$21,2,FALSE)</f>
        <v>Within 5 ft. of Bayou/Surface Water/Drainage Ditch</v>
      </c>
      <c r="J42" s="5">
        <v>0.0</v>
      </c>
      <c r="K42" s="6" t="s">
        <v>45</v>
      </c>
      <c r="L42" s="6" t="str">
        <f>VLOOKUP(K42,'Structure type'!$A$1:$B$15,2,FALSE)</f>
        <v>City Cleanout</v>
      </c>
      <c r="M42" s="6" t="s">
        <v>56</v>
      </c>
      <c r="N42" s="6" t="str">
        <f>VLOOKUP(M42,'Excursion Cause'!$A$1:$B$34,2,FALSE)</f>
        <v>Rags/Wipes</v>
      </c>
      <c r="O42" s="7">
        <v>44298.0</v>
      </c>
      <c r="P42" s="6" t="s">
        <v>178</v>
      </c>
      <c r="Q42" s="7">
        <v>44298.0</v>
      </c>
      <c r="R42" s="6" t="s">
        <v>178</v>
      </c>
      <c r="S42" s="5">
        <v>0.0</v>
      </c>
      <c r="T42" s="6" t="s">
        <v>89</v>
      </c>
      <c r="U42" s="5">
        <v>2.0210412E7</v>
      </c>
      <c r="V42" s="5">
        <v>2.0210412E7</v>
      </c>
      <c r="W42" s="5">
        <v>29.805207448</v>
      </c>
      <c r="X42" s="5">
        <v>-95.2816960659999</v>
      </c>
    </row>
    <row r="43" ht="15.75" customHeight="1">
      <c r="A43" s="5">
        <v>10581.0</v>
      </c>
      <c r="B43" s="6">
        <v>2021.0</v>
      </c>
      <c r="C43" s="6" t="str">
        <f t="shared" si="1"/>
        <v>8030 W AIRPORT BLVD,Houston,Texas</v>
      </c>
      <c r="D43" s="6" t="s">
        <v>179</v>
      </c>
      <c r="E43" s="6" t="s">
        <v>25</v>
      </c>
      <c r="F43" s="6" t="s">
        <v>26</v>
      </c>
      <c r="G43" s="6" t="s">
        <v>148</v>
      </c>
      <c r="H43" s="6" t="s">
        <v>28</v>
      </c>
      <c r="I43" s="6" t="str">
        <f>VLOOKUP(H43,'Flow Location'!$A$1:$B$21,2,FALSE)</f>
        <v>Storm Sewer (not contained)</v>
      </c>
      <c r="J43" s="5">
        <v>1064.0</v>
      </c>
      <c r="K43" s="6" t="s">
        <v>29</v>
      </c>
      <c r="L43" s="6" t="str">
        <f>VLOOKUP(K43,'Structure type'!$A$1:$B$15,2,FALSE)</f>
        <v>Manhole</v>
      </c>
      <c r="M43" s="6" t="s">
        <v>30</v>
      </c>
      <c r="N43" s="6" t="str">
        <f>VLOOKUP(M43,'Excursion Cause'!$A$1:$B$34,2,FALSE)</f>
        <v>Grease Blockage</v>
      </c>
      <c r="O43" s="7">
        <v>44298.0</v>
      </c>
      <c r="P43" s="6" t="s">
        <v>180</v>
      </c>
      <c r="Q43" s="7">
        <v>44298.0</v>
      </c>
      <c r="R43" s="6" t="s">
        <v>181</v>
      </c>
      <c r="S43" s="5">
        <v>2.0</v>
      </c>
      <c r="T43" s="6" t="s">
        <v>59</v>
      </c>
      <c r="U43" s="5">
        <v>2.0210412E7</v>
      </c>
      <c r="V43" s="5">
        <v>2.0210412E7</v>
      </c>
      <c r="W43" s="5">
        <v>29.641990419</v>
      </c>
      <c r="X43" s="5">
        <v>-95.51970314</v>
      </c>
    </row>
    <row r="44" ht="15.75" customHeight="1">
      <c r="A44" s="5">
        <v>10587.0</v>
      </c>
      <c r="B44" s="6">
        <v>2021.0</v>
      </c>
      <c r="C44" s="6" t="str">
        <f t="shared" si="1"/>
        <v>3130 MANGUM RD,Houston,Texas</v>
      </c>
      <c r="D44" s="6" t="s">
        <v>182</v>
      </c>
      <c r="E44" s="6" t="s">
        <v>25</v>
      </c>
      <c r="F44" s="6" t="s">
        <v>26</v>
      </c>
      <c r="G44" s="6" t="s">
        <v>76</v>
      </c>
      <c r="H44" s="6" t="s">
        <v>28</v>
      </c>
      <c r="I44" s="6" t="str">
        <f>VLOOKUP(H44,'Flow Location'!$A$1:$B$21,2,FALSE)</f>
        <v>Storm Sewer (not contained)</v>
      </c>
      <c r="J44" s="5">
        <v>360.0</v>
      </c>
      <c r="K44" s="6" t="s">
        <v>51</v>
      </c>
      <c r="L44" s="6" t="str">
        <f>VLOOKUP(K44,'Structure type'!$A$1:$B$15,2,FALSE)</f>
        <v>Private Cleanout</v>
      </c>
      <c r="M44" s="6" t="s">
        <v>30</v>
      </c>
      <c r="N44" s="6" t="str">
        <f>VLOOKUP(M44,'Excursion Cause'!$A$1:$B$34,2,FALSE)</f>
        <v>Grease Blockage</v>
      </c>
      <c r="O44" s="7">
        <v>44299.0</v>
      </c>
      <c r="P44" s="6" t="s">
        <v>183</v>
      </c>
      <c r="Q44" s="7">
        <v>44299.0</v>
      </c>
      <c r="R44" s="6" t="s">
        <v>184</v>
      </c>
      <c r="S44" s="5">
        <v>1.0</v>
      </c>
      <c r="T44" s="6" t="s">
        <v>33</v>
      </c>
      <c r="U44" s="5">
        <v>2.0210413E7</v>
      </c>
      <c r="V44" s="5">
        <v>2.0210413E7</v>
      </c>
      <c r="W44" s="5">
        <v>29.81683101</v>
      </c>
      <c r="X44" s="5">
        <v>-95.4592479089999</v>
      </c>
    </row>
    <row r="45" ht="15.75" customHeight="1">
      <c r="A45" s="5">
        <v>10594.0</v>
      </c>
      <c r="B45" s="6">
        <v>2021.0</v>
      </c>
      <c r="C45" s="6" t="str">
        <f t="shared" si="1"/>
        <v>4308 DOWNS LN,Houston,Texas</v>
      </c>
      <c r="D45" s="6" t="s">
        <v>185</v>
      </c>
      <c r="E45" s="6" t="s">
        <v>25</v>
      </c>
      <c r="F45" s="6" t="s">
        <v>26</v>
      </c>
      <c r="G45" s="6" t="s">
        <v>109</v>
      </c>
      <c r="H45" s="6" t="s">
        <v>87</v>
      </c>
      <c r="I45" s="6" t="str">
        <f>VLOOKUP(H45,'Flow Location'!$A$1:$B$21,2,FALSE)</f>
        <v>Within 5 ft. of Bayou/Surface Water/Drainage Ditch</v>
      </c>
      <c r="J45" s="5">
        <v>234.0</v>
      </c>
      <c r="K45" s="6" t="s">
        <v>45</v>
      </c>
      <c r="L45" s="6" t="str">
        <f>VLOOKUP(K45,'Structure type'!$A$1:$B$15,2,FALSE)</f>
        <v>City Cleanout</v>
      </c>
      <c r="M45" s="6" t="s">
        <v>56</v>
      </c>
      <c r="N45" s="6" t="str">
        <f>VLOOKUP(M45,'Excursion Cause'!$A$1:$B$34,2,FALSE)</f>
        <v>Rags/Wipes</v>
      </c>
      <c r="O45" s="7">
        <v>44299.0</v>
      </c>
      <c r="P45" s="6" t="s">
        <v>186</v>
      </c>
      <c r="Q45" s="7">
        <v>44299.0</v>
      </c>
      <c r="R45" s="6" t="s">
        <v>187</v>
      </c>
      <c r="S45" s="5">
        <v>2.0</v>
      </c>
      <c r="T45" s="6" t="s">
        <v>170</v>
      </c>
      <c r="U45" s="5">
        <v>2.0210413E7</v>
      </c>
      <c r="V45" s="5">
        <v>2.0210413E7</v>
      </c>
      <c r="W45" s="5">
        <v>29.857564084</v>
      </c>
      <c r="X45" s="5">
        <v>-95.326879553</v>
      </c>
    </row>
    <row r="46" ht="15.75" customHeight="1">
      <c r="A46" s="5">
        <v>10603.0</v>
      </c>
      <c r="B46" s="6">
        <v>2021.0</v>
      </c>
      <c r="C46" s="6" t="str">
        <f t="shared" si="1"/>
        <v>11753 W BELLFORT ST,Houston,Texas</v>
      </c>
      <c r="D46" s="6" t="s">
        <v>188</v>
      </c>
      <c r="E46" s="6" t="s">
        <v>25</v>
      </c>
      <c r="F46" s="6" t="s">
        <v>26</v>
      </c>
      <c r="G46" s="6" t="s">
        <v>189</v>
      </c>
      <c r="H46" s="6" t="s">
        <v>28</v>
      </c>
      <c r="I46" s="6" t="str">
        <f>VLOOKUP(H46,'Flow Location'!$A$1:$B$21,2,FALSE)</f>
        <v>Storm Sewer (not contained)</v>
      </c>
      <c r="J46" s="5">
        <v>660.0</v>
      </c>
      <c r="K46" s="6" t="s">
        <v>190</v>
      </c>
      <c r="L46" s="6" t="str">
        <f>VLOOKUP(K46,'Structure type'!$A$1:$B$15,2,FALSE)</f>
        <v>Force Main</v>
      </c>
      <c r="M46" s="6" t="s">
        <v>81</v>
      </c>
      <c r="N46" s="6" t="str">
        <f>VLOOKUP(M46,'Excursion Cause'!$A$1:$B$34,2,FALSE)</f>
        <v>Collection system structural failure</v>
      </c>
      <c r="O46" s="7">
        <v>44300.0</v>
      </c>
      <c r="P46" s="6" t="s">
        <v>191</v>
      </c>
      <c r="Q46" s="7">
        <v>44300.0</v>
      </c>
      <c r="R46" s="6" t="s">
        <v>192</v>
      </c>
      <c r="S46" s="5">
        <v>3.0</v>
      </c>
      <c r="T46" s="6" t="s">
        <v>193</v>
      </c>
      <c r="U46" s="5">
        <v>2.0210414E7</v>
      </c>
      <c r="V46" s="5">
        <v>2.0210414E7</v>
      </c>
      <c r="W46" s="5">
        <v>29.6572828240001</v>
      </c>
      <c r="X46" s="5">
        <v>-95.586166687</v>
      </c>
    </row>
    <row r="47" ht="15.75" customHeight="1">
      <c r="A47" s="5">
        <v>10612.0</v>
      </c>
      <c r="B47" s="6">
        <v>2021.0</v>
      </c>
      <c r="C47" s="6" t="str">
        <f t="shared" si="1"/>
        <v>5603 BARREMORE ST,Houston,Texas</v>
      </c>
      <c r="D47" s="6" t="s">
        <v>194</v>
      </c>
      <c r="E47" s="6" t="s">
        <v>25</v>
      </c>
      <c r="F47" s="6" t="s">
        <v>26</v>
      </c>
      <c r="G47" s="6" t="s">
        <v>141</v>
      </c>
      <c r="H47" s="6" t="s">
        <v>28</v>
      </c>
      <c r="I47" s="6" t="str">
        <f>VLOOKUP(H47,'Flow Location'!$A$1:$B$21,2,FALSE)</f>
        <v>Storm Sewer (not contained)</v>
      </c>
      <c r="J47" s="5">
        <v>790.0</v>
      </c>
      <c r="K47" s="6" t="s">
        <v>29</v>
      </c>
      <c r="L47" s="6" t="str">
        <f>VLOOKUP(K47,'Structure type'!$A$1:$B$15,2,FALSE)</f>
        <v>Manhole</v>
      </c>
      <c r="M47" s="6" t="s">
        <v>30</v>
      </c>
      <c r="N47" s="6" t="str">
        <f>VLOOKUP(M47,'Excursion Cause'!$A$1:$B$34,2,FALSE)</f>
        <v>Grease Blockage</v>
      </c>
      <c r="O47" s="7">
        <v>44301.0</v>
      </c>
      <c r="P47" s="6" t="s">
        <v>195</v>
      </c>
      <c r="Q47" s="7">
        <v>44301.0</v>
      </c>
      <c r="R47" s="6" t="s">
        <v>196</v>
      </c>
      <c r="S47" s="5">
        <v>2.0</v>
      </c>
      <c r="T47" s="6" t="s">
        <v>33</v>
      </c>
      <c r="U47" s="5">
        <v>2.0210415E7</v>
      </c>
      <c r="V47" s="5">
        <v>2.0210415E7</v>
      </c>
      <c r="W47" s="5">
        <v>29.722707686</v>
      </c>
      <c r="X47" s="5">
        <v>-95.3192228519999</v>
      </c>
    </row>
    <row r="48" ht="15.75" customHeight="1">
      <c r="A48" s="5">
        <v>10614.0</v>
      </c>
      <c r="B48" s="6">
        <v>2021.0</v>
      </c>
      <c r="C48" s="6" t="str">
        <f t="shared" si="1"/>
        <v>2106 GANO ST,Houston,Texas</v>
      </c>
      <c r="D48" s="6" t="s">
        <v>197</v>
      </c>
      <c r="E48" s="6" t="s">
        <v>25</v>
      </c>
      <c r="F48" s="6" t="s">
        <v>26</v>
      </c>
      <c r="G48" s="6" t="s">
        <v>161</v>
      </c>
      <c r="H48" s="6" t="s">
        <v>28</v>
      </c>
      <c r="I48" s="6" t="str">
        <f>VLOOKUP(H48,'Flow Location'!$A$1:$B$21,2,FALSE)</f>
        <v>Storm Sewer (not contained)</v>
      </c>
      <c r="J48" s="5">
        <v>317.0</v>
      </c>
      <c r="K48" s="6" t="s">
        <v>198</v>
      </c>
      <c r="L48" s="6" t="str">
        <f>VLOOKUP(K48,'Structure type'!$A$1:$B$15,2,FALSE)</f>
        <v>Service Lateral</v>
      </c>
      <c r="M48" s="6" t="s">
        <v>81</v>
      </c>
      <c r="N48" s="6" t="str">
        <f>VLOOKUP(M48,'Excursion Cause'!$A$1:$B$34,2,FALSE)</f>
        <v>Collection system structural failure</v>
      </c>
      <c r="O48" s="7">
        <v>44301.0</v>
      </c>
      <c r="P48" s="6" t="s">
        <v>199</v>
      </c>
      <c r="Q48" s="7">
        <v>44301.0</v>
      </c>
      <c r="R48" s="6" t="s">
        <v>200</v>
      </c>
      <c r="S48" s="5">
        <v>1.0</v>
      </c>
      <c r="T48" s="6" t="s">
        <v>89</v>
      </c>
      <c r="U48" s="5">
        <v>2.0210415E7</v>
      </c>
      <c r="V48" s="5">
        <v>2.0210415E7</v>
      </c>
      <c r="W48" s="5">
        <v>29.7807529940001</v>
      </c>
      <c r="X48" s="5">
        <v>-95.354632538</v>
      </c>
    </row>
    <row r="49" ht="15.75" customHeight="1">
      <c r="A49" s="5">
        <v>10616.0</v>
      </c>
      <c r="B49" s="6">
        <v>2021.0</v>
      </c>
      <c r="C49" s="6" t="str">
        <f t="shared" si="1"/>
        <v>206 TERRACE DR,Houston,Texas</v>
      </c>
      <c r="D49" s="6" t="s">
        <v>157</v>
      </c>
      <c r="E49" s="6" t="s">
        <v>25</v>
      </c>
      <c r="F49" s="6" t="s">
        <v>26</v>
      </c>
      <c r="G49" s="6" t="s">
        <v>158</v>
      </c>
      <c r="H49" s="6" t="s">
        <v>50</v>
      </c>
      <c r="I49" s="6" t="str">
        <f>VLOOKUP(H49,'Flow Location'!$A$1:$B$21,2,FALSE)</f>
        <v>Contained On Site, not within 5 ft. of Bayou/Surface Water/Drainage Ditch</v>
      </c>
      <c r="J49" s="5">
        <v>0.0</v>
      </c>
      <c r="K49" s="6" t="s">
        <v>29</v>
      </c>
      <c r="L49" s="6" t="str">
        <f>VLOOKUP(K49,'Structure type'!$A$1:$B$15,2,FALSE)</f>
        <v>Manhole</v>
      </c>
      <c r="M49" s="6" t="s">
        <v>52</v>
      </c>
      <c r="N49" s="6" t="str">
        <f>VLOOKUP(M49,'Excursion Cause'!$A$1:$B$34,2,FALSE)</f>
        <v>Collection system structural blockage</v>
      </c>
      <c r="O49" s="7">
        <v>44301.0</v>
      </c>
      <c r="P49" s="6" t="s">
        <v>201</v>
      </c>
      <c r="Q49" s="7">
        <v>44301.0</v>
      </c>
      <c r="R49" s="6" t="s">
        <v>201</v>
      </c>
      <c r="S49" s="5">
        <v>0.0</v>
      </c>
      <c r="T49" s="6" t="s">
        <v>118</v>
      </c>
      <c r="U49" s="5">
        <v>2.0210415E7</v>
      </c>
      <c r="V49" s="5">
        <v>2.0210415E7</v>
      </c>
      <c r="W49" s="5">
        <v>29.763425924</v>
      </c>
      <c r="X49" s="5">
        <v>-95.424063446</v>
      </c>
    </row>
    <row r="50" ht="15.75" customHeight="1">
      <c r="A50" s="5">
        <v>10617.0</v>
      </c>
      <c r="B50" s="6">
        <v>2021.0</v>
      </c>
      <c r="C50" s="6" t="str">
        <f t="shared" si="1"/>
        <v>4925 WEEPING WILLOW RD,Houston,Texas</v>
      </c>
      <c r="D50" s="6" t="s">
        <v>202</v>
      </c>
      <c r="E50" s="6" t="s">
        <v>25</v>
      </c>
      <c r="F50" s="6" t="s">
        <v>26</v>
      </c>
      <c r="G50" s="6" t="s">
        <v>76</v>
      </c>
      <c r="H50" s="6" t="s">
        <v>44</v>
      </c>
      <c r="I50" s="6" t="str">
        <f>VLOOKUP(H50,'Flow Location'!$A$1:$B$21,2,FALSE)</f>
        <v>Bayou/surface water/drainage ditch</v>
      </c>
      <c r="J50" s="5">
        <v>0.0</v>
      </c>
      <c r="K50" s="6" t="s">
        <v>198</v>
      </c>
      <c r="L50" s="6" t="str">
        <f>VLOOKUP(K50,'Structure type'!$A$1:$B$15,2,FALSE)</f>
        <v>Service Lateral</v>
      </c>
      <c r="M50" s="6" t="s">
        <v>81</v>
      </c>
      <c r="N50" s="6" t="str">
        <f>VLOOKUP(M50,'Excursion Cause'!$A$1:$B$34,2,FALSE)</f>
        <v>Collection system structural failure</v>
      </c>
      <c r="O50" s="7">
        <v>44300.0</v>
      </c>
      <c r="P50" s="6" t="s">
        <v>203</v>
      </c>
      <c r="Q50" s="7">
        <v>44300.0</v>
      </c>
      <c r="R50" s="6" t="s">
        <v>203</v>
      </c>
      <c r="S50" s="5">
        <v>0.0</v>
      </c>
      <c r="T50" s="6" t="s">
        <v>204</v>
      </c>
      <c r="U50" s="5">
        <v>2.0210414E7</v>
      </c>
      <c r="V50" s="5">
        <v>2.0210414E7</v>
      </c>
      <c r="W50" s="5">
        <v>29.8379724750001</v>
      </c>
      <c r="X50" s="5">
        <v>-95.464304963</v>
      </c>
    </row>
    <row r="51" ht="15.75" customHeight="1">
      <c r="A51" s="5">
        <v>10618.0</v>
      </c>
      <c r="B51" s="6">
        <v>2021.0</v>
      </c>
      <c r="C51" s="6" t="str">
        <f t="shared" si="1"/>
        <v>2134 SKINNER RD,Houston,Texas</v>
      </c>
      <c r="D51" s="6" t="s">
        <v>205</v>
      </c>
      <c r="E51" s="6" t="s">
        <v>25</v>
      </c>
      <c r="F51" s="6" t="s">
        <v>26</v>
      </c>
      <c r="G51" s="6" t="s">
        <v>109</v>
      </c>
      <c r="H51" s="6" t="s">
        <v>87</v>
      </c>
      <c r="I51" s="6" t="str">
        <f>VLOOKUP(H51,'Flow Location'!$A$1:$B$21,2,FALSE)</f>
        <v>Within 5 ft. of Bayou/Surface Water/Drainage Ditch</v>
      </c>
      <c r="J51" s="5">
        <v>0.0</v>
      </c>
      <c r="K51" s="6" t="s">
        <v>45</v>
      </c>
      <c r="L51" s="6" t="str">
        <f>VLOOKUP(K51,'Structure type'!$A$1:$B$15,2,FALSE)</f>
        <v>City Cleanout</v>
      </c>
      <c r="M51" s="6" t="s">
        <v>52</v>
      </c>
      <c r="N51" s="6" t="str">
        <f>VLOOKUP(M51,'Excursion Cause'!$A$1:$B$34,2,FALSE)</f>
        <v>Collection system structural blockage</v>
      </c>
      <c r="O51" s="7">
        <v>44301.0</v>
      </c>
      <c r="P51" s="6" t="s">
        <v>206</v>
      </c>
      <c r="Q51" s="7">
        <v>44301.0</v>
      </c>
      <c r="R51" s="6" t="s">
        <v>206</v>
      </c>
      <c r="S51" s="5">
        <v>0.0</v>
      </c>
      <c r="T51" s="6" t="s">
        <v>170</v>
      </c>
      <c r="U51" s="5">
        <v>2.0210415E7</v>
      </c>
      <c r="V51" s="5">
        <v>2.0210415E7</v>
      </c>
      <c r="W51" s="5">
        <v>29.8671608180001</v>
      </c>
      <c r="X51" s="5">
        <v>-95.35167339</v>
      </c>
    </row>
    <row r="52" ht="15.75" customHeight="1">
      <c r="A52" s="5">
        <v>10625.0</v>
      </c>
      <c r="B52" s="6">
        <v>2021.0</v>
      </c>
      <c r="C52" s="6" t="str">
        <f t="shared" si="1"/>
        <v>4011 BEGGS ST,Houston,Texas</v>
      </c>
      <c r="D52" s="6" t="s">
        <v>207</v>
      </c>
      <c r="E52" s="6" t="s">
        <v>25</v>
      </c>
      <c r="F52" s="6" t="s">
        <v>26</v>
      </c>
      <c r="G52" s="6" t="s">
        <v>161</v>
      </c>
      <c r="H52" s="6" t="s">
        <v>44</v>
      </c>
      <c r="I52" s="6" t="str">
        <f>VLOOKUP(H52,'Flow Location'!$A$1:$B$21,2,FALSE)</f>
        <v>Bayou/surface water/drainage ditch</v>
      </c>
      <c r="J52" s="5">
        <v>0.0</v>
      </c>
      <c r="K52" s="6" t="s">
        <v>198</v>
      </c>
      <c r="L52" s="6" t="str">
        <f>VLOOKUP(K52,'Structure type'!$A$1:$B$15,2,FALSE)</f>
        <v>Service Lateral</v>
      </c>
      <c r="M52" s="6" t="s">
        <v>81</v>
      </c>
      <c r="N52" s="6" t="str">
        <f>VLOOKUP(M52,'Excursion Cause'!$A$1:$B$34,2,FALSE)</f>
        <v>Collection system structural failure</v>
      </c>
      <c r="O52" s="7">
        <v>44302.0</v>
      </c>
      <c r="P52" s="6" t="s">
        <v>208</v>
      </c>
      <c r="Q52" s="7">
        <v>44303.0</v>
      </c>
      <c r="R52" s="6" t="s">
        <v>209</v>
      </c>
      <c r="S52" s="5">
        <v>0.0</v>
      </c>
      <c r="T52" s="6" t="s">
        <v>170</v>
      </c>
      <c r="U52" s="5">
        <v>2.0210416E7</v>
      </c>
      <c r="V52" s="5">
        <v>2.0210417E7</v>
      </c>
      <c r="W52" s="5">
        <v>29.796512439</v>
      </c>
      <c r="X52" s="5">
        <v>-95.3656577579999</v>
      </c>
    </row>
    <row r="53" ht="15.75" customHeight="1">
      <c r="A53" s="5">
        <v>10628.0</v>
      </c>
      <c r="B53" s="6">
        <v>2021.0</v>
      </c>
      <c r="C53" s="6" t="str">
        <f t="shared" si="1"/>
        <v>15001 MCCONN,Houston,Texas</v>
      </c>
      <c r="D53" s="6" t="s">
        <v>210</v>
      </c>
      <c r="E53" s="6" t="s">
        <v>25</v>
      </c>
      <c r="F53" s="6" t="s">
        <v>26</v>
      </c>
      <c r="G53" s="6" t="s">
        <v>211</v>
      </c>
      <c r="H53" s="6" t="s">
        <v>28</v>
      </c>
      <c r="I53" s="6" t="str">
        <f>VLOOKUP(H53,'Flow Location'!$A$1:$B$21,2,FALSE)</f>
        <v>Storm Sewer (not contained)</v>
      </c>
      <c r="J53" s="5">
        <v>0.0</v>
      </c>
      <c r="K53" s="6" t="s">
        <v>29</v>
      </c>
      <c r="L53" s="6" t="str">
        <f>VLOOKUP(K53,'Structure type'!$A$1:$B$15,2,FALSE)</f>
        <v>Manhole</v>
      </c>
      <c r="M53" s="6" t="s">
        <v>30</v>
      </c>
      <c r="N53" s="6" t="str">
        <f>VLOOKUP(M53,'Excursion Cause'!$A$1:$B$34,2,FALSE)</f>
        <v>Grease Blockage</v>
      </c>
      <c r="O53" s="7">
        <v>44302.0</v>
      </c>
      <c r="P53" s="6" t="s">
        <v>212</v>
      </c>
      <c r="Q53" s="7">
        <v>44302.0</v>
      </c>
      <c r="R53" s="6" t="s">
        <v>212</v>
      </c>
      <c r="S53" s="5">
        <v>0.0</v>
      </c>
      <c r="T53" s="6" t="s">
        <v>170</v>
      </c>
      <c r="U53" s="5">
        <v>2.0210416E7</v>
      </c>
      <c r="V53" s="5">
        <v>2.0210416E7</v>
      </c>
      <c r="W53" s="5">
        <v>29.5666012130001</v>
      </c>
      <c r="X53" s="5">
        <v>-95.1510456</v>
      </c>
    </row>
    <row r="54" ht="15.75" customHeight="1">
      <c r="A54" s="5">
        <v>10630.0</v>
      </c>
      <c r="B54" s="6">
        <v>2021.0</v>
      </c>
      <c r="C54" s="6" t="str">
        <f t="shared" si="1"/>
        <v>11511 SOUTHWEST FWY,Houston,Texas</v>
      </c>
      <c r="D54" s="6" t="s">
        <v>213</v>
      </c>
      <c r="E54" s="6" t="s">
        <v>25</v>
      </c>
      <c r="F54" s="6" t="s">
        <v>26</v>
      </c>
      <c r="G54" s="6" t="s">
        <v>214</v>
      </c>
      <c r="H54" s="6" t="s">
        <v>28</v>
      </c>
      <c r="I54" s="6" t="str">
        <f>VLOOKUP(H54,'Flow Location'!$A$1:$B$21,2,FALSE)</f>
        <v>Storm Sewer (not contained)</v>
      </c>
      <c r="J54" s="5">
        <v>524.0</v>
      </c>
      <c r="K54" s="6" t="s">
        <v>29</v>
      </c>
      <c r="L54" s="6" t="str">
        <f>VLOOKUP(K54,'Structure type'!$A$1:$B$15,2,FALSE)</f>
        <v>Manhole</v>
      </c>
      <c r="M54" s="6" t="s">
        <v>30</v>
      </c>
      <c r="N54" s="6" t="str">
        <f>VLOOKUP(M54,'Excursion Cause'!$A$1:$B$34,2,FALSE)</f>
        <v>Grease Blockage</v>
      </c>
      <c r="O54" s="7">
        <v>44302.0</v>
      </c>
      <c r="P54" s="6" t="s">
        <v>215</v>
      </c>
      <c r="Q54" s="7">
        <v>44302.0</v>
      </c>
      <c r="R54" s="6" t="s">
        <v>216</v>
      </c>
      <c r="S54" s="5">
        <v>2.0</v>
      </c>
      <c r="T54" s="6" t="s">
        <v>59</v>
      </c>
      <c r="U54" s="5">
        <v>2.0210416E7</v>
      </c>
      <c r="V54" s="5">
        <v>2.0210416E7</v>
      </c>
      <c r="W54" s="5">
        <v>29.653269136</v>
      </c>
      <c r="X54" s="5">
        <v>-95.565594672</v>
      </c>
    </row>
    <row r="55" ht="15.75" customHeight="1">
      <c r="A55" s="5">
        <v>10637.0</v>
      </c>
      <c r="B55" s="6">
        <v>2021.0</v>
      </c>
      <c r="C55" s="6" t="str">
        <f t="shared" si="1"/>
        <v>1002 ALTHEA DR,Houston,Texas</v>
      </c>
      <c r="D55" s="6" t="s">
        <v>217</v>
      </c>
      <c r="E55" s="6" t="s">
        <v>25</v>
      </c>
      <c r="F55" s="6" t="s">
        <v>26</v>
      </c>
      <c r="G55" s="6" t="s">
        <v>218</v>
      </c>
      <c r="H55" s="6" t="s">
        <v>50</v>
      </c>
      <c r="I55" s="6" t="str">
        <f>VLOOKUP(H55,'Flow Location'!$A$1:$B$21,2,FALSE)</f>
        <v>Contained On Site, not within 5 ft. of Bayou/Surface Water/Drainage Ditch</v>
      </c>
      <c r="J55" s="5">
        <v>246.0</v>
      </c>
      <c r="K55" s="6" t="s">
        <v>29</v>
      </c>
      <c r="L55" s="6" t="str">
        <f>VLOOKUP(K55,'Structure type'!$A$1:$B$15,2,FALSE)</f>
        <v>Manhole</v>
      </c>
      <c r="M55" s="6" t="s">
        <v>30</v>
      </c>
      <c r="N55" s="6" t="str">
        <f>VLOOKUP(M55,'Excursion Cause'!$A$1:$B$34,2,FALSE)</f>
        <v>Grease Blockage</v>
      </c>
      <c r="O55" s="7">
        <v>44303.0</v>
      </c>
      <c r="P55" s="6" t="s">
        <v>219</v>
      </c>
      <c r="Q55" s="7">
        <v>44303.0</v>
      </c>
      <c r="R55" s="6" t="s">
        <v>220</v>
      </c>
      <c r="S55" s="5">
        <v>2.0</v>
      </c>
      <c r="T55" s="6" t="s">
        <v>33</v>
      </c>
      <c r="U55" s="5">
        <v>2.0210417E7</v>
      </c>
      <c r="V55" s="5">
        <v>2.0210417E7</v>
      </c>
      <c r="W55" s="5">
        <v>29.8250017730001</v>
      </c>
      <c r="X55" s="5">
        <v>-95.424805831</v>
      </c>
    </row>
    <row r="56" ht="15.75" customHeight="1">
      <c r="A56" s="5">
        <v>10644.0</v>
      </c>
      <c r="B56" s="6">
        <v>2021.0</v>
      </c>
      <c r="C56" s="6" t="str">
        <f t="shared" si="1"/>
        <v>405 W TIDWELL RD,Houston,Texas</v>
      </c>
      <c r="D56" s="6" t="s">
        <v>221</v>
      </c>
      <c r="E56" s="6" t="s">
        <v>25</v>
      </c>
      <c r="F56" s="6" t="s">
        <v>26</v>
      </c>
      <c r="G56" s="6" t="s">
        <v>222</v>
      </c>
      <c r="H56" s="6" t="s">
        <v>50</v>
      </c>
      <c r="I56" s="6" t="str">
        <f>VLOOKUP(H56,'Flow Location'!$A$1:$B$21,2,FALSE)</f>
        <v>Contained On Site, not within 5 ft. of Bayou/Surface Water/Drainage Ditch</v>
      </c>
      <c r="J56" s="5">
        <v>0.0</v>
      </c>
      <c r="K56" s="6" t="s">
        <v>45</v>
      </c>
      <c r="L56" s="6" t="str">
        <f>VLOOKUP(K56,'Structure type'!$A$1:$B$15,2,FALSE)</f>
        <v>City Cleanout</v>
      </c>
      <c r="M56" s="6" t="s">
        <v>56</v>
      </c>
      <c r="N56" s="6" t="str">
        <f>VLOOKUP(M56,'Excursion Cause'!$A$1:$B$34,2,FALSE)</f>
        <v>Rags/Wipes</v>
      </c>
      <c r="O56" s="7">
        <v>44304.0</v>
      </c>
      <c r="P56" s="6" t="s">
        <v>223</v>
      </c>
      <c r="Q56" s="7">
        <v>44304.0</v>
      </c>
      <c r="R56" s="6" t="s">
        <v>223</v>
      </c>
      <c r="S56" s="5">
        <v>0.0</v>
      </c>
      <c r="T56" s="6" t="s">
        <v>74</v>
      </c>
      <c r="U56" s="5">
        <v>2.0210418E7</v>
      </c>
      <c r="V56" s="5">
        <v>2.0210418E7</v>
      </c>
      <c r="W56" s="5">
        <v>29.8470804610001</v>
      </c>
      <c r="X56" s="5">
        <v>-95.405667934</v>
      </c>
    </row>
    <row r="57" ht="15.75" customHeight="1">
      <c r="A57" s="5">
        <v>10645.0</v>
      </c>
      <c r="B57" s="6">
        <v>2021.0</v>
      </c>
      <c r="C57" s="6" t="str">
        <f t="shared" si="1"/>
        <v>5330 W BELLFORT AVE,Houston,Texas</v>
      </c>
      <c r="D57" s="6" t="s">
        <v>224</v>
      </c>
      <c r="E57" s="6" t="s">
        <v>25</v>
      </c>
      <c r="F57" s="6" t="s">
        <v>26</v>
      </c>
      <c r="G57" s="6" t="s">
        <v>127</v>
      </c>
      <c r="H57" s="6" t="s">
        <v>28</v>
      </c>
      <c r="I57" s="6" t="str">
        <f>VLOOKUP(H57,'Flow Location'!$A$1:$B$21,2,FALSE)</f>
        <v>Storm Sewer (not contained)</v>
      </c>
      <c r="J57" s="5">
        <v>75.0</v>
      </c>
      <c r="K57" s="6" t="s">
        <v>29</v>
      </c>
      <c r="L57" s="6" t="str">
        <f>VLOOKUP(K57,'Structure type'!$A$1:$B$15,2,FALSE)</f>
        <v>Manhole</v>
      </c>
      <c r="M57" s="6" t="s">
        <v>56</v>
      </c>
      <c r="N57" s="6" t="str">
        <f>VLOOKUP(M57,'Excursion Cause'!$A$1:$B$34,2,FALSE)</f>
        <v>Rags/Wipes</v>
      </c>
      <c r="O57" s="7">
        <v>44305.0</v>
      </c>
      <c r="P57" s="6" t="s">
        <v>62</v>
      </c>
      <c r="Q57" s="7">
        <v>44305.0</v>
      </c>
      <c r="R57" s="6" t="s">
        <v>225</v>
      </c>
      <c r="S57" s="5">
        <v>3.0</v>
      </c>
      <c r="T57" s="6" t="s">
        <v>33</v>
      </c>
      <c r="U57" s="5">
        <v>2.0210419E7</v>
      </c>
      <c r="V57" s="5">
        <v>2.0210419E7</v>
      </c>
      <c r="W57" s="5">
        <v>29.65918272</v>
      </c>
      <c r="X57" s="5">
        <v>-95.477213279</v>
      </c>
    </row>
    <row r="58" ht="15.75" customHeight="1">
      <c r="A58" s="5">
        <v>10660.0</v>
      </c>
      <c r="B58" s="6">
        <v>2021.0</v>
      </c>
      <c r="C58" s="6" t="str">
        <f t="shared" si="1"/>
        <v>7431 AVENUE L,Houston,Texas</v>
      </c>
      <c r="D58" s="6" t="s">
        <v>226</v>
      </c>
      <c r="E58" s="6" t="s">
        <v>25</v>
      </c>
      <c r="F58" s="6" t="s">
        <v>26</v>
      </c>
      <c r="G58" s="6" t="s">
        <v>227</v>
      </c>
      <c r="H58" s="6" t="s">
        <v>28</v>
      </c>
      <c r="I58" s="6" t="str">
        <f>VLOOKUP(H58,'Flow Location'!$A$1:$B$21,2,FALSE)</f>
        <v>Storm Sewer (not contained)</v>
      </c>
      <c r="J58" s="5">
        <v>0.0</v>
      </c>
      <c r="K58" s="6" t="s">
        <v>45</v>
      </c>
      <c r="L58" s="6" t="str">
        <f>VLOOKUP(K58,'Structure type'!$A$1:$B$15,2,FALSE)</f>
        <v>City Cleanout</v>
      </c>
      <c r="M58" s="6" t="s">
        <v>56</v>
      </c>
      <c r="N58" s="6" t="str">
        <f>VLOOKUP(M58,'Excursion Cause'!$A$1:$B$34,2,FALSE)</f>
        <v>Rags/Wipes</v>
      </c>
      <c r="O58" s="7">
        <v>44305.0</v>
      </c>
      <c r="P58" s="6" t="s">
        <v>228</v>
      </c>
      <c r="Q58" s="7">
        <v>44305.0</v>
      </c>
      <c r="R58" s="6" t="s">
        <v>228</v>
      </c>
      <c r="S58" s="5">
        <v>0.0</v>
      </c>
      <c r="T58" s="6" t="s">
        <v>33</v>
      </c>
      <c r="U58" s="5">
        <v>2.0210419E7</v>
      </c>
      <c r="V58" s="5">
        <v>2.0210419E7</v>
      </c>
      <c r="W58" s="5">
        <v>29.7402458120001</v>
      </c>
      <c r="X58" s="5">
        <v>-95.2898147769999</v>
      </c>
    </row>
    <row r="59" ht="15.75" customHeight="1">
      <c r="A59" s="5">
        <v>10678.0</v>
      </c>
      <c r="B59" s="6">
        <v>2021.0</v>
      </c>
      <c r="C59" s="6" t="str">
        <f t="shared" si="1"/>
        <v>5800 SOUTHMUND ST,Houston,Texas</v>
      </c>
      <c r="D59" s="6" t="s">
        <v>229</v>
      </c>
      <c r="E59" s="6" t="s">
        <v>25</v>
      </c>
      <c r="F59" s="6" t="s">
        <v>26</v>
      </c>
      <c r="G59" s="6" t="s">
        <v>120</v>
      </c>
      <c r="H59" s="6" t="s">
        <v>50</v>
      </c>
      <c r="I59" s="6" t="str">
        <f>VLOOKUP(H59,'Flow Location'!$A$1:$B$21,2,FALSE)</f>
        <v>Contained On Site, not within 5 ft. of Bayou/Surface Water/Drainage Ditch</v>
      </c>
      <c r="J59" s="5">
        <v>0.0</v>
      </c>
      <c r="K59" s="6" t="s">
        <v>29</v>
      </c>
      <c r="L59" s="6" t="str">
        <f>VLOOKUP(K59,'Structure type'!$A$1:$B$15,2,FALSE)</f>
        <v>Manhole</v>
      </c>
      <c r="M59" s="6" t="s">
        <v>56</v>
      </c>
      <c r="N59" s="6" t="str">
        <f>VLOOKUP(M59,'Excursion Cause'!$A$1:$B$34,2,FALSE)</f>
        <v>Rags/Wipes</v>
      </c>
      <c r="O59" s="7">
        <v>44306.0</v>
      </c>
      <c r="P59" s="6" t="s">
        <v>230</v>
      </c>
      <c r="Q59" s="7">
        <v>44306.0</v>
      </c>
      <c r="R59" s="6" t="s">
        <v>230</v>
      </c>
      <c r="S59" s="5">
        <v>0.0</v>
      </c>
      <c r="T59" s="6" t="s">
        <v>33</v>
      </c>
      <c r="U59" s="5">
        <v>2.021042E7</v>
      </c>
      <c r="V59" s="5">
        <v>2.021042E7</v>
      </c>
      <c r="W59" s="5">
        <v>29.6827633070001</v>
      </c>
      <c r="X59" s="5">
        <v>-95.3336585009999</v>
      </c>
    </row>
    <row r="60" ht="15.75" customHeight="1">
      <c r="A60" s="5">
        <v>10679.0</v>
      </c>
      <c r="B60" s="6">
        <v>2021.0</v>
      </c>
      <c r="C60" s="6" t="str">
        <f t="shared" si="1"/>
        <v>750 W 24TH ST,Houston,Texas</v>
      </c>
      <c r="D60" s="6" t="s">
        <v>231</v>
      </c>
      <c r="E60" s="6" t="s">
        <v>25</v>
      </c>
      <c r="F60" s="6" t="s">
        <v>26</v>
      </c>
      <c r="G60" s="6" t="s">
        <v>232</v>
      </c>
      <c r="H60" s="6" t="s">
        <v>50</v>
      </c>
      <c r="I60" s="6" t="str">
        <f>VLOOKUP(H60,'Flow Location'!$A$1:$B$21,2,FALSE)</f>
        <v>Contained On Site, not within 5 ft. of Bayou/Surface Water/Drainage Ditch</v>
      </c>
      <c r="J60" s="5">
        <v>0.0</v>
      </c>
      <c r="K60" s="6" t="s">
        <v>51</v>
      </c>
      <c r="L60" s="6" t="str">
        <f>VLOOKUP(K60,'Structure type'!$A$1:$B$15,2,FALSE)</f>
        <v>Private Cleanout</v>
      </c>
      <c r="M60" s="6" t="s">
        <v>30</v>
      </c>
      <c r="N60" s="6" t="str">
        <f>VLOOKUP(M60,'Excursion Cause'!$A$1:$B$34,2,FALSE)</f>
        <v>Grease Blockage</v>
      </c>
      <c r="O60" s="7">
        <v>44306.0</v>
      </c>
      <c r="P60" s="6" t="s">
        <v>233</v>
      </c>
      <c r="Q60" s="7">
        <v>44306.0</v>
      </c>
      <c r="R60" s="6" t="s">
        <v>233</v>
      </c>
      <c r="S60" s="5">
        <v>0.0</v>
      </c>
      <c r="T60" s="6" t="s">
        <v>33</v>
      </c>
      <c r="U60" s="5">
        <v>2.021042E7</v>
      </c>
      <c r="V60" s="5">
        <v>2.021042E7</v>
      </c>
      <c r="W60" s="5">
        <v>29.807795277</v>
      </c>
      <c r="X60" s="5">
        <v>-95.412020243</v>
      </c>
    </row>
    <row r="61" ht="15.75" customHeight="1">
      <c r="A61" s="5">
        <v>10680.0</v>
      </c>
      <c r="B61" s="6">
        <v>2021.0</v>
      </c>
      <c r="C61" s="6" t="str">
        <f t="shared" si="1"/>
        <v>2406 CANAL ST,Houston,Texas</v>
      </c>
      <c r="D61" s="6" t="s">
        <v>234</v>
      </c>
      <c r="E61" s="6" t="s">
        <v>25</v>
      </c>
      <c r="F61" s="6" t="s">
        <v>26</v>
      </c>
      <c r="G61" s="6" t="s">
        <v>172</v>
      </c>
      <c r="H61" s="6" t="s">
        <v>50</v>
      </c>
      <c r="I61" s="6" t="str">
        <f>VLOOKUP(H61,'Flow Location'!$A$1:$B$21,2,FALSE)</f>
        <v>Contained On Site, not within 5 ft. of Bayou/Surface Water/Drainage Ditch</v>
      </c>
      <c r="J61" s="5">
        <v>0.0</v>
      </c>
      <c r="K61" s="6" t="s">
        <v>29</v>
      </c>
      <c r="L61" s="6" t="str">
        <f>VLOOKUP(K61,'Structure type'!$A$1:$B$15,2,FALSE)</f>
        <v>Manhole</v>
      </c>
      <c r="M61" s="6" t="s">
        <v>56</v>
      </c>
      <c r="N61" s="6" t="str">
        <f>VLOOKUP(M61,'Excursion Cause'!$A$1:$B$34,2,FALSE)</f>
        <v>Rags/Wipes</v>
      </c>
      <c r="O61" s="7">
        <v>44306.0</v>
      </c>
      <c r="P61" s="6" t="s">
        <v>235</v>
      </c>
      <c r="Q61" s="7">
        <v>44307.0</v>
      </c>
      <c r="R61" s="6" t="s">
        <v>236</v>
      </c>
      <c r="S61" s="5">
        <v>0.0</v>
      </c>
      <c r="T61" s="6" t="s">
        <v>33</v>
      </c>
      <c r="U61" s="5">
        <v>2.021042E7</v>
      </c>
      <c r="V61" s="5">
        <v>2.0210421E7</v>
      </c>
      <c r="W61" s="5">
        <v>29.7576318490001</v>
      </c>
      <c r="X61" s="5">
        <v>-95.346007308</v>
      </c>
    </row>
    <row r="62" ht="15.75" customHeight="1">
      <c r="A62" s="5">
        <v>10681.0</v>
      </c>
      <c r="B62" s="6">
        <v>2021.0</v>
      </c>
      <c r="C62" s="6" t="str">
        <f t="shared" si="1"/>
        <v>3211 RALEIGH ST,Houston,Texas</v>
      </c>
      <c r="D62" s="6" t="s">
        <v>237</v>
      </c>
      <c r="E62" s="6" t="s">
        <v>25</v>
      </c>
      <c r="F62" s="6" t="s">
        <v>26</v>
      </c>
      <c r="G62" s="6" t="s">
        <v>238</v>
      </c>
      <c r="H62" s="6" t="s">
        <v>50</v>
      </c>
      <c r="I62" s="6" t="str">
        <f>VLOOKUP(H62,'Flow Location'!$A$1:$B$21,2,FALSE)</f>
        <v>Contained On Site, not within 5 ft. of Bayou/Surface Water/Drainage Ditch</v>
      </c>
      <c r="J62" s="5">
        <v>40.25</v>
      </c>
      <c r="K62" s="6" t="s">
        <v>29</v>
      </c>
      <c r="L62" s="6" t="str">
        <f>VLOOKUP(K62,'Structure type'!$A$1:$B$15,2,FALSE)</f>
        <v>Manhole</v>
      </c>
      <c r="M62" s="6" t="s">
        <v>30</v>
      </c>
      <c r="N62" s="6" t="str">
        <f>VLOOKUP(M62,'Excursion Cause'!$A$1:$B$34,2,FALSE)</f>
        <v>Grease Blockage</v>
      </c>
      <c r="O62" s="7">
        <v>44306.0</v>
      </c>
      <c r="P62" s="6" t="s">
        <v>239</v>
      </c>
      <c r="Q62" s="7">
        <v>44306.0</v>
      </c>
      <c r="R62" s="6" t="s">
        <v>240</v>
      </c>
      <c r="S62" s="5">
        <v>0.0</v>
      </c>
      <c r="T62" s="6" t="s">
        <v>33</v>
      </c>
      <c r="U62" s="5">
        <v>2.021042E7</v>
      </c>
      <c r="V62" s="5">
        <v>2.021042E7</v>
      </c>
      <c r="W62" s="5">
        <v>29.70215612</v>
      </c>
      <c r="X62" s="5">
        <v>-95.374056007</v>
      </c>
    </row>
    <row r="63" ht="15.75" customHeight="1">
      <c r="A63" s="5">
        <v>10682.0</v>
      </c>
      <c r="B63" s="6">
        <v>2021.0</v>
      </c>
      <c r="C63" s="6" t="str">
        <f t="shared" si="1"/>
        <v>3106 JOSEPHINE ST,Houston,Texas</v>
      </c>
      <c r="D63" s="6" t="s">
        <v>241</v>
      </c>
      <c r="E63" s="6" t="s">
        <v>25</v>
      </c>
      <c r="F63" s="6" t="s">
        <v>26</v>
      </c>
      <c r="G63" s="6" t="s">
        <v>43</v>
      </c>
      <c r="H63" s="6" t="s">
        <v>44</v>
      </c>
      <c r="I63" s="6" t="str">
        <f>VLOOKUP(H63,'Flow Location'!$A$1:$B$21,2,FALSE)</f>
        <v>Bayou/surface water/drainage ditch</v>
      </c>
      <c r="J63" s="5">
        <v>0.0</v>
      </c>
      <c r="K63" s="6" t="s">
        <v>51</v>
      </c>
      <c r="L63" s="6" t="str">
        <f>VLOOKUP(K63,'Structure type'!$A$1:$B$15,2,FALSE)</f>
        <v>Private Cleanout</v>
      </c>
      <c r="M63" s="6" t="s">
        <v>56</v>
      </c>
      <c r="N63" s="6" t="str">
        <f>VLOOKUP(M63,'Excursion Cause'!$A$1:$B$34,2,FALSE)</f>
        <v>Rags/Wipes</v>
      </c>
      <c r="O63" s="7">
        <v>44306.0</v>
      </c>
      <c r="P63" s="6" t="s">
        <v>242</v>
      </c>
      <c r="Q63" s="7">
        <v>44306.0</v>
      </c>
      <c r="R63" s="6" t="s">
        <v>242</v>
      </c>
      <c r="S63" s="5">
        <v>0.0</v>
      </c>
      <c r="T63" s="6" t="s">
        <v>170</v>
      </c>
      <c r="U63" s="5">
        <v>2.021042E7</v>
      </c>
      <c r="V63" s="5">
        <v>2.021042E7</v>
      </c>
      <c r="W63" s="5">
        <v>29.7893600350001</v>
      </c>
      <c r="X63" s="5">
        <v>-95.3379434979999</v>
      </c>
    </row>
    <row r="64" ht="15.75" customHeight="1">
      <c r="A64" s="5">
        <v>10683.0</v>
      </c>
      <c r="B64" s="6">
        <v>2021.0</v>
      </c>
      <c r="C64" s="6" t="str">
        <f t="shared" si="1"/>
        <v>8011 LANGDON LN,Houston,Texas</v>
      </c>
      <c r="D64" s="6" t="s">
        <v>243</v>
      </c>
      <c r="E64" s="6" t="s">
        <v>25</v>
      </c>
      <c r="F64" s="6" t="s">
        <v>26</v>
      </c>
      <c r="G64" s="6" t="s">
        <v>100</v>
      </c>
      <c r="H64" s="6" t="s">
        <v>50</v>
      </c>
      <c r="I64" s="6" t="str">
        <f>VLOOKUP(H64,'Flow Location'!$A$1:$B$21,2,FALSE)</f>
        <v>Contained On Site, not within 5 ft. of Bayou/Surface Water/Drainage Ditch</v>
      </c>
      <c r="J64" s="5">
        <v>174.0</v>
      </c>
      <c r="K64" s="6" t="s">
        <v>29</v>
      </c>
      <c r="L64" s="6" t="str">
        <f>VLOOKUP(K64,'Structure type'!$A$1:$B$15,2,FALSE)</f>
        <v>Manhole</v>
      </c>
      <c r="M64" s="6" t="s">
        <v>30</v>
      </c>
      <c r="N64" s="6" t="str">
        <f>VLOOKUP(M64,'Excursion Cause'!$A$1:$B$34,2,FALSE)</f>
        <v>Grease Blockage</v>
      </c>
      <c r="O64" s="7">
        <v>44306.0</v>
      </c>
      <c r="P64" s="6" t="s">
        <v>244</v>
      </c>
      <c r="Q64" s="7">
        <v>44306.0</v>
      </c>
      <c r="R64" s="6" t="s">
        <v>245</v>
      </c>
      <c r="S64" s="5">
        <v>2.0</v>
      </c>
      <c r="T64" s="6" t="s">
        <v>33</v>
      </c>
      <c r="U64" s="5">
        <v>2.021042E7</v>
      </c>
      <c r="V64" s="5">
        <v>2.021042E7</v>
      </c>
      <c r="W64" s="5">
        <v>29.694847371</v>
      </c>
      <c r="X64" s="5">
        <v>-95.527579531</v>
      </c>
    </row>
    <row r="65" ht="15.75" customHeight="1">
      <c r="A65" s="5">
        <v>10688.0</v>
      </c>
      <c r="B65" s="6">
        <v>2021.0</v>
      </c>
      <c r="C65" s="6" t="str">
        <f t="shared" si="1"/>
        <v>8004 MENDEZ ST,Houston,Texas</v>
      </c>
      <c r="D65" s="6" t="s">
        <v>246</v>
      </c>
      <c r="E65" s="6" t="s">
        <v>25</v>
      </c>
      <c r="F65" s="6" t="s">
        <v>26</v>
      </c>
      <c r="G65" s="6" t="s">
        <v>247</v>
      </c>
      <c r="H65" s="6" t="s">
        <v>50</v>
      </c>
      <c r="I65" s="6" t="str">
        <f>VLOOKUP(H65,'Flow Location'!$A$1:$B$21,2,FALSE)</f>
        <v>Contained On Site, not within 5 ft. of Bayou/Surface Water/Drainage Ditch</v>
      </c>
      <c r="J65" s="5">
        <v>0.0</v>
      </c>
      <c r="K65" s="6" t="s">
        <v>45</v>
      </c>
      <c r="L65" s="6" t="str">
        <f>VLOOKUP(K65,'Structure type'!$A$1:$B$15,2,FALSE)</f>
        <v>City Cleanout</v>
      </c>
      <c r="M65" s="6" t="s">
        <v>56</v>
      </c>
      <c r="N65" s="6" t="str">
        <f>VLOOKUP(M65,'Excursion Cause'!$A$1:$B$34,2,FALSE)</f>
        <v>Rags/Wipes</v>
      </c>
      <c r="O65" s="7">
        <v>44307.0</v>
      </c>
      <c r="P65" s="6" t="s">
        <v>248</v>
      </c>
      <c r="Q65" s="7">
        <v>44308.0</v>
      </c>
      <c r="R65" s="6" t="s">
        <v>249</v>
      </c>
      <c r="S65" s="5">
        <v>0.0</v>
      </c>
      <c r="T65" s="6" t="s">
        <v>170</v>
      </c>
      <c r="U65" s="5">
        <v>2.0210421E7</v>
      </c>
      <c r="V65" s="5">
        <v>2.0210422E7</v>
      </c>
      <c r="W65" s="5">
        <v>29.763172497</v>
      </c>
      <c r="X65" s="5">
        <v>-95.285003984</v>
      </c>
    </row>
    <row r="66" ht="15.75" customHeight="1">
      <c r="A66" s="5">
        <v>10689.0</v>
      </c>
      <c r="B66" s="6">
        <v>2021.0</v>
      </c>
      <c r="C66" s="6" t="str">
        <f t="shared" si="1"/>
        <v>544 YALE ST,Houston,Texas</v>
      </c>
      <c r="D66" s="6" t="s">
        <v>250</v>
      </c>
      <c r="E66" s="6" t="s">
        <v>25</v>
      </c>
      <c r="F66" s="6" t="s">
        <v>26</v>
      </c>
      <c r="G66" s="6" t="s">
        <v>158</v>
      </c>
      <c r="H66" s="6" t="s">
        <v>50</v>
      </c>
      <c r="I66" s="6" t="str">
        <f>VLOOKUP(H66,'Flow Location'!$A$1:$B$21,2,FALSE)</f>
        <v>Contained On Site, not within 5 ft. of Bayou/Surface Water/Drainage Ditch</v>
      </c>
      <c r="J66" s="5">
        <v>1468.0</v>
      </c>
      <c r="K66" s="6" t="s">
        <v>45</v>
      </c>
      <c r="L66" s="6" t="str">
        <f>VLOOKUP(K66,'Structure type'!$A$1:$B$15,2,FALSE)</f>
        <v>City Cleanout</v>
      </c>
      <c r="M66" s="6" t="s">
        <v>30</v>
      </c>
      <c r="N66" s="6" t="str">
        <f>VLOOKUP(M66,'Excursion Cause'!$A$1:$B$34,2,FALSE)</f>
        <v>Grease Blockage</v>
      </c>
      <c r="O66" s="7">
        <v>44307.0</v>
      </c>
      <c r="P66" s="6" t="s">
        <v>251</v>
      </c>
      <c r="Q66" s="7">
        <v>44308.0</v>
      </c>
      <c r="R66" s="6" t="s">
        <v>70</v>
      </c>
      <c r="S66" s="5">
        <v>1.0</v>
      </c>
      <c r="T66" s="6" t="s">
        <v>170</v>
      </c>
      <c r="U66" s="5">
        <v>2.0210421E7</v>
      </c>
      <c r="V66" s="5">
        <v>2.0210422E7</v>
      </c>
      <c r="W66" s="5">
        <v>29.7812674750001</v>
      </c>
      <c r="X66" s="5">
        <v>-95.398755379</v>
      </c>
    </row>
    <row r="67" ht="15.75" customHeight="1">
      <c r="A67" s="5">
        <v>10690.0</v>
      </c>
      <c r="B67" s="6">
        <v>2021.0</v>
      </c>
      <c r="C67" s="6" t="str">
        <f t="shared" si="1"/>
        <v>13484 NORTHWEST FWY,Houston,Texas</v>
      </c>
      <c r="D67" s="6" t="s">
        <v>252</v>
      </c>
      <c r="E67" s="6" t="s">
        <v>25</v>
      </c>
      <c r="F67" s="6" t="s">
        <v>26</v>
      </c>
      <c r="G67" s="6" t="s">
        <v>253</v>
      </c>
      <c r="H67" s="6" t="s">
        <v>44</v>
      </c>
      <c r="I67" s="6" t="str">
        <f>VLOOKUP(H67,'Flow Location'!$A$1:$B$21,2,FALSE)</f>
        <v>Bayou/surface water/drainage ditch</v>
      </c>
      <c r="J67" s="5">
        <v>5788.0</v>
      </c>
      <c r="K67" s="6" t="s">
        <v>29</v>
      </c>
      <c r="L67" s="6" t="str">
        <f>VLOOKUP(K67,'Structure type'!$A$1:$B$15,2,FALSE)</f>
        <v>Manhole</v>
      </c>
      <c r="M67" s="6" t="s">
        <v>30</v>
      </c>
      <c r="N67" s="6" t="str">
        <f>VLOOKUP(M67,'Excursion Cause'!$A$1:$B$34,2,FALSE)</f>
        <v>Grease Blockage</v>
      </c>
      <c r="O67" s="7">
        <v>44307.0</v>
      </c>
      <c r="P67" s="6" t="s">
        <v>254</v>
      </c>
      <c r="Q67" s="7">
        <v>44308.0</v>
      </c>
      <c r="R67" s="6" t="s">
        <v>255</v>
      </c>
      <c r="S67" s="5">
        <v>4.0</v>
      </c>
      <c r="T67" s="6" t="s">
        <v>33</v>
      </c>
      <c r="U67" s="5">
        <v>2.0210421E7</v>
      </c>
      <c r="V67" s="5">
        <v>2.0210422E7</v>
      </c>
      <c r="W67" s="5">
        <v>29.8538980070001</v>
      </c>
      <c r="X67" s="5">
        <v>-95.509104978</v>
      </c>
    </row>
    <row r="68" ht="15.75" customHeight="1">
      <c r="A68" s="5">
        <v>10691.0</v>
      </c>
      <c r="B68" s="6">
        <v>2021.0</v>
      </c>
      <c r="C68" s="6" t="str">
        <f t="shared" si="1"/>
        <v>9603 CEDARHURST DR,Houston,Texas</v>
      </c>
      <c r="D68" s="6" t="s">
        <v>151</v>
      </c>
      <c r="E68" s="6" t="s">
        <v>25</v>
      </c>
      <c r="F68" s="6" t="s">
        <v>26</v>
      </c>
      <c r="G68" s="6" t="s">
        <v>69</v>
      </c>
      <c r="H68" s="6" t="s">
        <v>50</v>
      </c>
      <c r="I68" s="6" t="str">
        <f>VLOOKUP(H68,'Flow Location'!$A$1:$B$21,2,FALSE)</f>
        <v>Contained On Site, not within 5 ft. of Bayou/Surface Water/Drainage Ditch</v>
      </c>
      <c r="J68" s="5">
        <v>188.0</v>
      </c>
      <c r="K68" s="6" t="s">
        <v>29</v>
      </c>
      <c r="L68" s="6" t="str">
        <f>VLOOKUP(K68,'Structure type'!$A$1:$B$15,2,FALSE)</f>
        <v>Manhole</v>
      </c>
      <c r="M68" s="6" t="s">
        <v>30</v>
      </c>
      <c r="N68" s="6" t="str">
        <f>VLOOKUP(M68,'Excursion Cause'!$A$1:$B$34,2,FALSE)</f>
        <v>Grease Blockage</v>
      </c>
      <c r="O68" s="7">
        <v>44307.0</v>
      </c>
      <c r="P68" s="6" t="s">
        <v>256</v>
      </c>
      <c r="Q68" s="7">
        <v>44307.0</v>
      </c>
      <c r="R68" s="6" t="s">
        <v>257</v>
      </c>
      <c r="S68" s="5">
        <v>2.0</v>
      </c>
      <c r="T68" s="6" t="s">
        <v>33</v>
      </c>
      <c r="U68" s="5">
        <v>2.0210421E7</v>
      </c>
      <c r="V68" s="5">
        <v>2.0210421E7</v>
      </c>
      <c r="W68" s="5">
        <v>29.676791872</v>
      </c>
      <c r="X68" s="5">
        <v>-95.468607561</v>
      </c>
    </row>
    <row r="69" ht="15.75" customHeight="1">
      <c r="A69" s="5">
        <v>10692.0</v>
      </c>
      <c r="B69" s="6">
        <v>2021.0</v>
      </c>
      <c r="C69" s="6" t="str">
        <f t="shared" si="1"/>
        <v>4004 IRVINGTON BLVD,Houston,Texas</v>
      </c>
      <c r="D69" s="6" t="s">
        <v>258</v>
      </c>
      <c r="E69" s="6" t="s">
        <v>25</v>
      </c>
      <c r="F69" s="6" t="s">
        <v>26</v>
      </c>
      <c r="G69" s="6" t="s">
        <v>161</v>
      </c>
      <c r="H69" s="6" t="s">
        <v>28</v>
      </c>
      <c r="I69" s="6" t="str">
        <f>VLOOKUP(H69,'Flow Location'!$A$1:$B$21,2,FALSE)</f>
        <v>Storm Sewer (not contained)</v>
      </c>
      <c r="J69" s="5">
        <v>152.0</v>
      </c>
      <c r="K69" s="6" t="s">
        <v>51</v>
      </c>
      <c r="L69" s="6" t="str">
        <f>VLOOKUP(K69,'Structure type'!$A$1:$B$15,2,FALSE)</f>
        <v>Private Cleanout</v>
      </c>
      <c r="M69" s="6" t="s">
        <v>30</v>
      </c>
      <c r="N69" s="6" t="str">
        <f>VLOOKUP(M69,'Excursion Cause'!$A$1:$B$34,2,FALSE)</f>
        <v>Grease Blockage</v>
      </c>
      <c r="O69" s="7">
        <v>44307.0</v>
      </c>
      <c r="P69" s="6" t="s">
        <v>259</v>
      </c>
      <c r="Q69" s="7">
        <v>44307.0</v>
      </c>
      <c r="R69" s="6" t="s">
        <v>260</v>
      </c>
      <c r="S69" s="5">
        <v>1.0</v>
      </c>
      <c r="T69" s="6" t="s">
        <v>33</v>
      </c>
      <c r="U69" s="5">
        <v>2.0210421E7</v>
      </c>
      <c r="V69" s="5">
        <v>2.0210421E7</v>
      </c>
      <c r="W69" s="5">
        <v>29.797653048</v>
      </c>
      <c r="X69" s="5">
        <v>-95.360849479</v>
      </c>
    </row>
    <row r="70" ht="15.75" customHeight="1">
      <c r="A70" s="5">
        <v>10696.0</v>
      </c>
      <c r="B70" s="6">
        <v>2021.0</v>
      </c>
      <c r="C70" s="6" t="str">
        <f t="shared" si="1"/>
        <v>4114 FULTON ST,Houston,Texas</v>
      </c>
      <c r="D70" s="6" t="s">
        <v>261</v>
      </c>
      <c r="E70" s="6" t="s">
        <v>25</v>
      </c>
      <c r="F70" s="6" t="s">
        <v>26</v>
      </c>
      <c r="G70" s="6" t="s">
        <v>161</v>
      </c>
      <c r="H70" s="6" t="s">
        <v>87</v>
      </c>
      <c r="I70" s="6" t="str">
        <f>VLOOKUP(H70,'Flow Location'!$A$1:$B$21,2,FALSE)</f>
        <v>Within 5 ft. of Bayou/Surface Water/Drainage Ditch</v>
      </c>
      <c r="J70" s="5">
        <v>0.0</v>
      </c>
      <c r="K70" s="6" t="s">
        <v>29</v>
      </c>
      <c r="L70" s="6" t="str">
        <f>VLOOKUP(K70,'Structure type'!$A$1:$B$15,2,FALSE)</f>
        <v>Manhole</v>
      </c>
      <c r="M70" s="6" t="s">
        <v>56</v>
      </c>
      <c r="N70" s="6" t="str">
        <f>VLOOKUP(M70,'Excursion Cause'!$A$1:$B$34,2,FALSE)</f>
        <v>Rags/Wipes</v>
      </c>
      <c r="O70" s="7">
        <v>44308.0</v>
      </c>
      <c r="P70" s="6" t="s">
        <v>262</v>
      </c>
      <c r="Q70" s="7">
        <v>44308.0</v>
      </c>
      <c r="R70" s="6" t="s">
        <v>262</v>
      </c>
      <c r="S70" s="5">
        <v>0.0</v>
      </c>
      <c r="T70" s="6" t="s">
        <v>33</v>
      </c>
      <c r="U70" s="5">
        <v>2.0210422E7</v>
      </c>
      <c r="V70" s="5">
        <v>2.0210422E7</v>
      </c>
      <c r="W70" s="5">
        <v>29.7975276970001</v>
      </c>
      <c r="X70" s="5">
        <v>-95.367803022</v>
      </c>
    </row>
    <row r="71" ht="15.75" customHeight="1">
      <c r="A71" s="5">
        <v>10701.0</v>
      </c>
      <c r="B71" s="6">
        <v>2021.0</v>
      </c>
      <c r="C71" s="6" t="str">
        <f t="shared" si="1"/>
        <v>15830 ROSEBRIAR DR,Houston,Texas</v>
      </c>
      <c r="D71" s="6" t="s">
        <v>263</v>
      </c>
      <c r="E71" s="6" t="s">
        <v>25</v>
      </c>
      <c r="F71" s="6" t="s">
        <v>26</v>
      </c>
      <c r="G71" s="6" t="s">
        <v>166</v>
      </c>
      <c r="H71" s="6" t="s">
        <v>28</v>
      </c>
      <c r="I71" s="6" t="str">
        <f>VLOOKUP(H71,'Flow Location'!$A$1:$B$21,2,FALSE)</f>
        <v>Storm Sewer (not contained)</v>
      </c>
      <c r="J71" s="5">
        <v>412.0</v>
      </c>
      <c r="K71" s="6" t="s">
        <v>29</v>
      </c>
      <c r="L71" s="6" t="str">
        <f>VLOOKUP(K71,'Structure type'!$A$1:$B$15,2,FALSE)</f>
        <v>Manhole</v>
      </c>
      <c r="M71" s="6" t="s">
        <v>30</v>
      </c>
      <c r="N71" s="6" t="str">
        <f>VLOOKUP(M71,'Excursion Cause'!$A$1:$B$34,2,FALSE)</f>
        <v>Grease Blockage</v>
      </c>
      <c r="O71" s="7">
        <v>44308.0</v>
      </c>
      <c r="P71" s="6" t="s">
        <v>264</v>
      </c>
      <c r="Q71" s="7">
        <v>44308.0</v>
      </c>
      <c r="R71" s="6" t="s">
        <v>265</v>
      </c>
      <c r="S71" s="5">
        <v>4.0</v>
      </c>
      <c r="T71" s="6" t="s">
        <v>33</v>
      </c>
      <c r="U71" s="5">
        <v>2.0210422E7</v>
      </c>
      <c r="V71" s="5">
        <v>2.0210422E7</v>
      </c>
      <c r="W71" s="5">
        <v>29.596065762</v>
      </c>
      <c r="X71" s="5">
        <v>-95.5015035979999</v>
      </c>
    </row>
    <row r="72" ht="15.75" customHeight="1">
      <c r="A72" s="5">
        <v>10704.0</v>
      </c>
      <c r="B72" s="6">
        <v>2021.0</v>
      </c>
      <c r="C72" s="6" t="str">
        <f t="shared" si="1"/>
        <v>7402 AVENUE L,Houston,Texas</v>
      </c>
      <c r="D72" s="6" t="s">
        <v>266</v>
      </c>
      <c r="E72" s="6" t="s">
        <v>25</v>
      </c>
      <c r="F72" s="6" t="s">
        <v>26</v>
      </c>
      <c r="G72" s="6" t="s">
        <v>227</v>
      </c>
      <c r="H72" s="6" t="s">
        <v>50</v>
      </c>
      <c r="I72" s="6" t="str">
        <f>VLOOKUP(H72,'Flow Location'!$A$1:$B$21,2,FALSE)</f>
        <v>Contained On Site, not within 5 ft. of Bayou/Surface Water/Drainage Ditch</v>
      </c>
      <c r="J72" s="5">
        <v>0.0</v>
      </c>
      <c r="K72" s="6" t="s">
        <v>45</v>
      </c>
      <c r="L72" s="6" t="str">
        <f>VLOOKUP(K72,'Structure type'!$A$1:$B$15,2,FALSE)</f>
        <v>City Cleanout</v>
      </c>
      <c r="M72" s="6" t="s">
        <v>30</v>
      </c>
      <c r="N72" s="6" t="str">
        <f>VLOOKUP(M72,'Excursion Cause'!$A$1:$B$34,2,FALSE)</f>
        <v>Grease Blockage</v>
      </c>
      <c r="O72" s="7">
        <v>44308.0</v>
      </c>
      <c r="P72" s="6" t="s">
        <v>267</v>
      </c>
      <c r="Q72" s="7">
        <v>44308.0</v>
      </c>
      <c r="R72" s="6" t="s">
        <v>267</v>
      </c>
      <c r="S72" s="5">
        <v>0.0</v>
      </c>
      <c r="T72" s="6" t="s">
        <v>170</v>
      </c>
      <c r="U72" s="5">
        <v>2.0210422E7</v>
      </c>
      <c r="V72" s="5">
        <v>2.0210422E7</v>
      </c>
      <c r="W72" s="5">
        <v>29.740415001</v>
      </c>
      <c r="X72" s="5">
        <v>-95.290994027</v>
      </c>
    </row>
    <row r="73" ht="15.75" customHeight="1">
      <c r="A73" s="5">
        <v>10709.0</v>
      </c>
      <c r="B73" s="6">
        <v>2021.0</v>
      </c>
      <c r="C73" s="6" t="str">
        <f t="shared" si="1"/>
        <v>910 MCINTOSH ST,Houston,Texas</v>
      </c>
      <c r="D73" s="6" t="s">
        <v>268</v>
      </c>
      <c r="E73" s="6" t="s">
        <v>25</v>
      </c>
      <c r="F73" s="6" t="s">
        <v>26</v>
      </c>
      <c r="G73" s="6" t="s">
        <v>161</v>
      </c>
      <c r="H73" s="6" t="s">
        <v>44</v>
      </c>
      <c r="I73" s="6" t="str">
        <f>VLOOKUP(H73,'Flow Location'!$A$1:$B$21,2,FALSE)</f>
        <v>Bayou/surface water/drainage ditch</v>
      </c>
      <c r="J73" s="5">
        <v>0.0</v>
      </c>
      <c r="K73" s="6" t="s">
        <v>45</v>
      </c>
      <c r="L73" s="6" t="str">
        <f>VLOOKUP(K73,'Structure type'!$A$1:$B$15,2,FALSE)</f>
        <v>City Cleanout</v>
      </c>
      <c r="M73" s="6" t="s">
        <v>56</v>
      </c>
      <c r="N73" s="6" t="str">
        <f>VLOOKUP(M73,'Excursion Cause'!$A$1:$B$34,2,FALSE)</f>
        <v>Rags/Wipes</v>
      </c>
      <c r="O73" s="7">
        <v>44309.0</v>
      </c>
      <c r="P73" s="6" t="s">
        <v>269</v>
      </c>
      <c r="Q73" s="7">
        <v>44309.0</v>
      </c>
      <c r="R73" s="6" t="s">
        <v>269</v>
      </c>
      <c r="S73" s="5">
        <v>0.0</v>
      </c>
      <c r="T73" s="6" t="s">
        <v>270</v>
      </c>
      <c r="U73" s="5">
        <v>2.0210423E7</v>
      </c>
      <c r="V73" s="5">
        <v>2.0210423E7</v>
      </c>
      <c r="W73" s="5">
        <v>29.784923829</v>
      </c>
      <c r="X73" s="5">
        <v>-95.362415638</v>
      </c>
    </row>
    <row r="74" ht="15.75" customHeight="1">
      <c r="A74" s="5">
        <v>10713.0</v>
      </c>
      <c r="B74" s="6">
        <v>2021.0</v>
      </c>
      <c r="C74" s="6" t="str">
        <f t="shared" si="1"/>
        <v>1526 TEANAWAY LN,Houston,Texas</v>
      </c>
      <c r="D74" s="6" t="s">
        <v>271</v>
      </c>
      <c r="E74" s="6" t="s">
        <v>25</v>
      </c>
      <c r="F74" s="6" t="s">
        <v>26</v>
      </c>
      <c r="G74" s="6" t="s">
        <v>247</v>
      </c>
      <c r="H74" s="6" t="s">
        <v>50</v>
      </c>
      <c r="I74" s="6" t="str">
        <f>VLOOKUP(H74,'Flow Location'!$A$1:$B$21,2,FALSE)</f>
        <v>Contained On Site, not within 5 ft. of Bayou/Surface Water/Drainage Ditch</v>
      </c>
      <c r="J74" s="5">
        <v>0.0</v>
      </c>
      <c r="K74" s="6" t="s">
        <v>45</v>
      </c>
      <c r="L74" s="6" t="str">
        <f>VLOOKUP(K74,'Structure type'!$A$1:$B$15,2,FALSE)</f>
        <v>City Cleanout</v>
      </c>
      <c r="M74" s="6" t="s">
        <v>52</v>
      </c>
      <c r="N74" s="6" t="str">
        <f>VLOOKUP(M74,'Excursion Cause'!$A$1:$B$34,2,FALSE)</f>
        <v>Collection system structural blockage</v>
      </c>
      <c r="O74" s="7">
        <v>44309.0</v>
      </c>
      <c r="P74" s="6" t="s">
        <v>272</v>
      </c>
      <c r="Q74" s="7">
        <v>44309.0</v>
      </c>
      <c r="R74" s="6" t="s">
        <v>272</v>
      </c>
      <c r="S74" s="5">
        <v>0.0</v>
      </c>
      <c r="T74" s="6" t="s">
        <v>107</v>
      </c>
      <c r="U74" s="5">
        <v>2.0210423E7</v>
      </c>
      <c r="V74" s="5">
        <v>2.0210423E7</v>
      </c>
      <c r="W74" s="5">
        <v>29.7635270100001</v>
      </c>
      <c r="X74" s="5">
        <v>-95.276823666</v>
      </c>
    </row>
    <row r="75" ht="15.75" customHeight="1">
      <c r="A75" s="5">
        <v>10714.0</v>
      </c>
      <c r="B75" s="6">
        <v>2021.0</v>
      </c>
      <c r="C75" s="6" t="str">
        <f t="shared" si="1"/>
        <v>791 DAVIDSON ST,Houston,Texas</v>
      </c>
      <c r="D75" s="6" t="s">
        <v>273</v>
      </c>
      <c r="E75" s="6" t="s">
        <v>25</v>
      </c>
      <c r="F75" s="6" t="s">
        <v>26</v>
      </c>
      <c r="G75" s="6" t="s">
        <v>222</v>
      </c>
      <c r="H75" s="6" t="s">
        <v>44</v>
      </c>
      <c r="I75" s="6" t="str">
        <f>VLOOKUP(H75,'Flow Location'!$A$1:$B$21,2,FALSE)</f>
        <v>Bayou/surface water/drainage ditch</v>
      </c>
      <c r="J75" s="5">
        <v>0.0</v>
      </c>
      <c r="K75" s="6" t="s">
        <v>198</v>
      </c>
      <c r="L75" s="6" t="str">
        <f>VLOOKUP(K75,'Structure type'!$A$1:$B$15,2,FALSE)</f>
        <v>Service Lateral</v>
      </c>
      <c r="M75" s="6" t="s">
        <v>81</v>
      </c>
      <c r="N75" s="6" t="str">
        <f>VLOOKUP(M75,'Excursion Cause'!$A$1:$B$34,2,FALSE)</f>
        <v>Collection system structural failure</v>
      </c>
      <c r="O75" s="7">
        <v>44309.0</v>
      </c>
      <c r="P75" s="6" t="s">
        <v>178</v>
      </c>
      <c r="Q75" s="7">
        <v>44309.0</v>
      </c>
      <c r="R75" s="6" t="s">
        <v>178</v>
      </c>
      <c r="S75" s="5">
        <v>0.0</v>
      </c>
      <c r="T75" s="6" t="s">
        <v>118</v>
      </c>
      <c r="U75" s="5">
        <v>2.0210423E7</v>
      </c>
      <c r="V75" s="5">
        <v>2.0210423E7</v>
      </c>
      <c r="W75" s="5">
        <v>29.84812757</v>
      </c>
      <c r="X75" s="5">
        <v>-95.417392121</v>
      </c>
    </row>
    <row r="76" ht="15.75" customHeight="1">
      <c r="A76" s="5">
        <v>10715.0</v>
      </c>
      <c r="B76" s="6">
        <v>2021.0</v>
      </c>
      <c r="C76" s="6" t="str">
        <f t="shared" si="1"/>
        <v>9501 BAUMAN RD,Houston,Texas</v>
      </c>
      <c r="D76" s="6" t="s">
        <v>274</v>
      </c>
      <c r="E76" s="6" t="s">
        <v>25</v>
      </c>
      <c r="F76" s="6" t="s">
        <v>26</v>
      </c>
      <c r="G76" s="6" t="s">
        <v>275</v>
      </c>
      <c r="H76" s="6" t="s">
        <v>50</v>
      </c>
      <c r="I76" s="6" t="str">
        <f>VLOOKUP(H76,'Flow Location'!$A$1:$B$21,2,FALSE)</f>
        <v>Contained On Site, not within 5 ft. of Bayou/Surface Water/Drainage Ditch</v>
      </c>
      <c r="J76" s="5">
        <v>0.0</v>
      </c>
      <c r="K76" s="6" t="s">
        <v>198</v>
      </c>
      <c r="L76" s="6" t="str">
        <f>VLOOKUP(K76,'Structure type'!$A$1:$B$15,2,FALSE)</f>
        <v>Service Lateral</v>
      </c>
      <c r="M76" s="6" t="s">
        <v>81</v>
      </c>
      <c r="N76" s="6" t="str">
        <f>VLOOKUP(M76,'Excursion Cause'!$A$1:$B$34,2,FALSE)</f>
        <v>Collection system structural failure</v>
      </c>
      <c r="O76" s="7">
        <v>44309.0</v>
      </c>
      <c r="P76" s="6" t="s">
        <v>276</v>
      </c>
      <c r="Q76" s="7">
        <v>44309.0</v>
      </c>
      <c r="R76" s="6" t="s">
        <v>276</v>
      </c>
      <c r="S76" s="5">
        <v>0.0</v>
      </c>
      <c r="T76" s="6" t="s">
        <v>118</v>
      </c>
      <c r="U76" s="5">
        <v>2.0210423E7</v>
      </c>
      <c r="V76" s="5">
        <v>2.0210423E7</v>
      </c>
      <c r="W76" s="5">
        <v>29.846786088</v>
      </c>
      <c r="X76" s="5">
        <v>-95.3718307779999</v>
      </c>
    </row>
    <row r="77" ht="15.75" customHeight="1">
      <c r="A77" s="5">
        <v>10718.0</v>
      </c>
      <c r="B77" s="6">
        <v>2021.0</v>
      </c>
      <c r="C77" s="6" t="str">
        <f t="shared" si="1"/>
        <v>5102 RIPPLEBROOK DR,Houston,Texas</v>
      </c>
      <c r="D77" s="6" t="s">
        <v>277</v>
      </c>
      <c r="E77" s="6" t="s">
        <v>25</v>
      </c>
      <c r="F77" s="6" t="s">
        <v>26</v>
      </c>
      <c r="G77" s="6" t="s">
        <v>39</v>
      </c>
      <c r="H77" s="6" t="s">
        <v>50</v>
      </c>
      <c r="I77" s="6" t="str">
        <f>VLOOKUP(H77,'Flow Location'!$A$1:$B$21,2,FALSE)</f>
        <v>Contained On Site, not within 5 ft. of Bayou/Surface Water/Drainage Ditch</v>
      </c>
      <c r="J77" s="5">
        <v>0.0</v>
      </c>
      <c r="K77" s="6" t="s">
        <v>198</v>
      </c>
      <c r="L77" s="6" t="str">
        <f>VLOOKUP(K77,'Structure type'!$A$1:$B$15,2,FALSE)</f>
        <v>Service Lateral</v>
      </c>
      <c r="M77" s="6" t="s">
        <v>81</v>
      </c>
      <c r="N77" s="6" t="str">
        <f>VLOOKUP(M77,'Excursion Cause'!$A$1:$B$34,2,FALSE)</f>
        <v>Collection system structural failure</v>
      </c>
      <c r="O77" s="7">
        <v>44309.0</v>
      </c>
      <c r="P77" s="6" t="s">
        <v>278</v>
      </c>
      <c r="Q77" s="7">
        <v>44309.0</v>
      </c>
      <c r="R77" s="6" t="s">
        <v>278</v>
      </c>
      <c r="S77" s="5">
        <v>0.0</v>
      </c>
      <c r="T77" s="6" t="s">
        <v>118</v>
      </c>
      <c r="U77" s="5">
        <v>2.0210423E7</v>
      </c>
      <c r="V77" s="5">
        <v>2.0210423E7</v>
      </c>
      <c r="W77" s="5">
        <v>29.625644744</v>
      </c>
      <c r="X77" s="5">
        <v>-95.45722829</v>
      </c>
    </row>
    <row r="78" ht="15.75" customHeight="1">
      <c r="A78" s="5">
        <v>10719.0</v>
      </c>
      <c r="B78" s="6">
        <v>2021.0</v>
      </c>
      <c r="C78" s="6" t="str">
        <f t="shared" si="1"/>
        <v>11914 S WILCREST DR,Houston,Texas</v>
      </c>
      <c r="D78" s="6" t="s">
        <v>279</v>
      </c>
      <c r="E78" s="6" t="s">
        <v>25</v>
      </c>
      <c r="F78" s="6" t="s">
        <v>26</v>
      </c>
      <c r="G78" s="6" t="s">
        <v>154</v>
      </c>
      <c r="H78" s="6" t="s">
        <v>50</v>
      </c>
      <c r="I78" s="6" t="str">
        <f>VLOOKUP(H78,'Flow Location'!$A$1:$B$21,2,FALSE)</f>
        <v>Contained On Site, not within 5 ft. of Bayou/Surface Water/Drainage Ditch</v>
      </c>
      <c r="J78" s="5">
        <v>0.0</v>
      </c>
      <c r="K78" s="6" t="s">
        <v>29</v>
      </c>
      <c r="L78" s="6" t="str">
        <f>VLOOKUP(K78,'Structure type'!$A$1:$B$15,2,FALSE)</f>
        <v>Manhole</v>
      </c>
      <c r="M78" s="6" t="s">
        <v>30</v>
      </c>
      <c r="N78" s="6" t="str">
        <f>VLOOKUP(M78,'Excursion Cause'!$A$1:$B$34,2,FALSE)</f>
        <v>Grease Blockage</v>
      </c>
      <c r="O78" s="7">
        <v>44310.0</v>
      </c>
      <c r="P78" s="6" t="s">
        <v>280</v>
      </c>
      <c r="Q78" s="7">
        <v>44310.0</v>
      </c>
      <c r="R78" s="6" t="s">
        <v>280</v>
      </c>
      <c r="S78" s="5">
        <v>0.0</v>
      </c>
      <c r="T78" s="6" t="s">
        <v>59</v>
      </c>
      <c r="U78" s="5">
        <v>2.0210424E7</v>
      </c>
      <c r="V78" s="5">
        <v>2.0210424E7</v>
      </c>
      <c r="W78" s="5">
        <v>29.6498036940001</v>
      </c>
      <c r="X78" s="5">
        <v>-95.566595362</v>
      </c>
    </row>
    <row r="79" ht="15.75" customHeight="1">
      <c r="A79" s="5">
        <v>10721.0</v>
      </c>
      <c r="B79" s="6">
        <v>2021.0</v>
      </c>
      <c r="C79" s="6" t="str">
        <f t="shared" si="1"/>
        <v>1530 TEANAWAY LN,Houston,Texas</v>
      </c>
      <c r="D79" s="6" t="s">
        <v>281</v>
      </c>
      <c r="E79" s="6" t="s">
        <v>25</v>
      </c>
      <c r="F79" s="6" t="s">
        <v>26</v>
      </c>
      <c r="G79" s="6" t="s">
        <v>247</v>
      </c>
      <c r="H79" s="6" t="s">
        <v>50</v>
      </c>
      <c r="I79" s="6" t="str">
        <f>VLOOKUP(H79,'Flow Location'!$A$1:$B$21,2,FALSE)</f>
        <v>Contained On Site, not within 5 ft. of Bayou/Surface Water/Drainage Ditch</v>
      </c>
      <c r="J79" s="5">
        <v>0.0</v>
      </c>
      <c r="K79" s="6" t="s">
        <v>45</v>
      </c>
      <c r="L79" s="6" t="str">
        <f>VLOOKUP(K79,'Structure type'!$A$1:$B$15,2,FALSE)</f>
        <v>City Cleanout</v>
      </c>
      <c r="M79" s="6" t="s">
        <v>81</v>
      </c>
      <c r="N79" s="6" t="str">
        <f>VLOOKUP(M79,'Excursion Cause'!$A$1:$B$34,2,FALSE)</f>
        <v>Collection system structural failure</v>
      </c>
      <c r="O79" s="7">
        <v>44310.0</v>
      </c>
      <c r="P79" s="6" t="s">
        <v>282</v>
      </c>
      <c r="Q79" s="7">
        <v>44310.0</v>
      </c>
      <c r="R79" s="6" t="s">
        <v>282</v>
      </c>
      <c r="S79" s="5">
        <v>0.0</v>
      </c>
      <c r="T79" s="6" t="s">
        <v>107</v>
      </c>
      <c r="U79" s="5">
        <v>2.0210424E7</v>
      </c>
      <c r="V79" s="5">
        <v>2.0210424E7</v>
      </c>
      <c r="W79" s="5">
        <v>29.7633818350001</v>
      </c>
      <c r="X79" s="5">
        <v>-95.276822408</v>
      </c>
    </row>
    <row r="80" ht="15.75" customHeight="1">
      <c r="A80" s="5">
        <v>10724.0</v>
      </c>
      <c r="B80" s="6">
        <v>2021.0</v>
      </c>
      <c r="C80" s="6" t="str">
        <f t="shared" si="1"/>
        <v>2074 ANTOINE DR,Houston,Texas</v>
      </c>
      <c r="D80" s="6" t="s">
        <v>72</v>
      </c>
      <c r="E80" s="6" t="s">
        <v>25</v>
      </c>
      <c r="F80" s="6" t="s">
        <v>26</v>
      </c>
      <c r="G80" s="6" t="s">
        <v>27</v>
      </c>
      <c r="H80" s="6" t="s">
        <v>50</v>
      </c>
      <c r="I80" s="6" t="str">
        <f>VLOOKUP(H80,'Flow Location'!$A$1:$B$21,2,FALSE)</f>
        <v>Contained On Site, not within 5 ft. of Bayou/Surface Water/Drainage Ditch</v>
      </c>
      <c r="J80" s="5">
        <v>180.0</v>
      </c>
      <c r="K80" s="6" t="s">
        <v>29</v>
      </c>
      <c r="L80" s="6" t="str">
        <f>VLOOKUP(K80,'Structure type'!$A$1:$B$15,2,FALSE)</f>
        <v>Manhole</v>
      </c>
      <c r="M80" s="6" t="s">
        <v>30</v>
      </c>
      <c r="N80" s="6" t="str">
        <f>VLOOKUP(M80,'Excursion Cause'!$A$1:$B$34,2,FALSE)</f>
        <v>Grease Blockage</v>
      </c>
      <c r="O80" s="7">
        <v>44311.0</v>
      </c>
      <c r="P80" s="6" t="s">
        <v>283</v>
      </c>
      <c r="Q80" s="7">
        <v>44311.0</v>
      </c>
      <c r="R80" s="6" t="s">
        <v>284</v>
      </c>
      <c r="S80" s="5">
        <v>2.0</v>
      </c>
      <c r="T80" s="6" t="s">
        <v>33</v>
      </c>
      <c r="U80" s="5">
        <v>2.0210425E7</v>
      </c>
      <c r="V80" s="5">
        <v>2.0210425E7</v>
      </c>
      <c r="W80" s="5">
        <v>29.8092305100001</v>
      </c>
      <c r="X80" s="5">
        <v>-95.475104291</v>
      </c>
    </row>
    <row r="81" ht="15.75" customHeight="1">
      <c r="A81" s="5">
        <v>10725.0</v>
      </c>
      <c r="B81" s="6">
        <v>2021.0</v>
      </c>
      <c r="C81" s="6" t="str">
        <f t="shared" si="1"/>
        <v>16511 QUIET QUAIL DR,Houston,Texas</v>
      </c>
      <c r="D81" s="6" t="s">
        <v>165</v>
      </c>
      <c r="E81" s="6" t="s">
        <v>25</v>
      </c>
      <c r="F81" s="6" t="s">
        <v>26</v>
      </c>
      <c r="G81" s="6" t="s">
        <v>166</v>
      </c>
      <c r="H81" s="6" t="s">
        <v>50</v>
      </c>
      <c r="I81" s="6" t="str">
        <f>VLOOKUP(H81,'Flow Location'!$A$1:$B$21,2,FALSE)</f>
        <v>Contained On Site, not within 5 ft. of Bayou/Surface Water/Drainage Ditch</v>
      </c>
      <c r="J81" s="5">
        <v>0.0</v>
      </c>
      <c r="K81" s="6" t="s">
        <v>29</v>
      </c>
      <c r="L81" s="6" t="str">
        <f>VLOOKUP(K81,'Structure type'!$A$1:$B$15,2,FALSE)</f>
        <v>Manhole</v>
      </c>
      <c r="M81" s="6" t="s">
        <v>30</v>
      </c>
      <c r="N81" s="6" t="str">
        <f>VLOOKUP(M81,'Excursion Cause'!$A$1:$B$34,2,FALSE)</f>
        <v>Grease Blockage</v>
      </c>
      <c r="O81" s="7">
        <v>44311.0</v>
      </c>
      <c r="P81" s="6" t="s">
        <v>285</v>
      </c>
      <c r="Q81" s="7">
        <v>44311.0</v>
      </c>
      <c r="R81" s="6" t="s">
        <v>285</v>
      </c>
      <c r="S81" s="5">
        <v>0.0</v>
      </c>
      <c r="T81" s="6" t="s">
        <v>33</v>
      </c>
      <c r="U81" s="5">
        <v>2.0210425E7</v>
      </c>
      <c r="V81" s="5">
        <v>2.0210425E7</v>
      </c>
      <c r="W81" s="5">
        <v>29.586824295</v>
      </c>
      <c r="X81" s="5">
        <v>-95.51314296</v>
      </c>
    </row>
    <row r="82" ht="15.75" customHeight="1">
      <c r="A82" s="5">
        <v>10736.0</v>
      </c>
      <c r="B82" s="6">
        <v>2021.0</v>
      </c>
      <c r="C82" s="6" t="str">
        <f t="shared" si="1"/>
        <v>6111 CHIMNEY ROCK RD,Houston,Texas</v>
      </c>
      <c r="D82" s="6" t="s">
        <v>286</v>
      </c>
      <c r="E82" s="6" t="s">
        <v>25</v>
      </c>
      <c r="F82" s="6" t="s">
        <v>26</v>
      </c>
      <c r="G82" s="6" t="s">
        <v>287</v>
      </c>
      <c r="H82" s="6" t="s">
        <v>44</v>
      </c>
      <c r="I82" s="6" t="str">
        <f>VLOOKUP(H82,'Flow Location'!$A$1:$B$21,2,FALSE)</f>
        <v>Bayou/surface water/drainage ditch</v>
      </c>
      <c r="J82" s="5">
        <v>745.0</v>
      </c>
      <c r="K82" s="6" t="s">
        <v>29</v>
      </c>
      <c r="L82" s="6" t="str">
        <f>VLOOKUP(K82,'Structure type'!$A$1:$B$15,2,FALSE)</f>
        <v>Manhole</v>
      </c>
      <c r="M82" s="6" t="s">
        <v>56</v>
      </c>
      <c r="N82" s="6" t="str">
        <f>VLOOKUP(M82,'Excursion Cause'!$A$1:$B$34,2,FALSE)</f>
        <v>Rags/Wipes</v>
      </c>
      <c r="O82" s="7">
        <v>44312.0</v>
      </c>
      <c r="P82" s="6" t="s">
        <v>288</v>
      </c>
      <c r="Q82" s="7">
        <v>44312.0</v>
      </c>
      <c r="R82" s="6" t="s">
        <v>289</v>
      </c>
      <c r="S82" s="5">
        <v>4.0</v>
      </c>
      <c r="T82" s="6" t="s">
        <v>33</v>
      </c>
      <c r="U82" s="5">
        <v>2.0210426E7</v>
      </c>
      <c r="V82" s="5">
        <v>2.0210426E7</v>
      </c>
      <c r="W82" s="5">
        <v>29.714070177</v>
      </c>
      <c r="X82" s="5">
        <v>-95.476313883</v>
      </c>
    </row>
    <row r="83" ht="15.75" customHeight="1">
      <c r="A83" s="5">
        <v>10740.0</v>
      </c>
      <c r="B83" s="6">
        <v>2021.0</v>
      </c>
      <c r="C83" s="6" t="str">
        <f t="shared" si="1"/>
        <v>206 TERRACE DR,Houston,Texas</v>
      </c>
      <c r="D83" s="6" t="s">
        <v>157</v>
      </c>
      <c r="E83" s="6" t="s">
        <v>25</v>
      </c>
      <c r="F83" s="6" t="s">
        <v>26</v>
      </c>
      <c r="G83" s="6" t="s">
        <v>158</v>
      </c>
      <c r="H83" s="6" t="s">
        <v>44</v>
      </c>
      <c r="I83" s="6" t="str">
        <f>VLOOKUP(H83,'Flow Location'!$A$1:$B$21,2,FALSE)</f>
        <v>Bayou/surface water/drainage ditch</v>
      </c>
      <c r="J83" s="5">
        <v>12634.75</v>
      </c>
      <c r="K83" s="6" t="s">
        <v>290</v>
      </c>
      <c r="L83" s="6" t="str">
        <f>VLOOKUP(K83,'Structure type'!$A$1:$B$15,2,FALSE)</f>
        <v>Gravity Main</v>
      </c>
      <c r="M83" s="6" t="s">
        <v>81</v>
      </c>
      <c r="N83" s="6" t="str">
        <f>VLOOKUP(M83,'Excursion Cause'!$A$1:$B$34,2,FALSE)</f>
        <v>Collection system structural failure</v>
      </c>
      <c r="O83" s="7">
        <v>44309.0</v>
      </c>
      <c r="P83" s="6" t="s">
        <v>291</v>
      </c>
      <c r="Q83" s="7">
        <v>44312.0</v>
      </c>
      <c r="R83" s="6" t="s">
        <v>82</v>
      </c>
      <c r="S83" s="5">
        <v>3.0</v>
      </c>
      <c r="T83" s="6" t="s">
        <v>292</v>
      </c>
      <c r="U83" s="5">
        <v>2.0210423E7</v>
      </c>
      <c r="V83" s="5">
        <v>2.0210426E7</v>
      </c>
      <c r="W83" s="5">
        <v>29.763425924</v>
      </c>
      <c r="X83" s="5">
        <v>-95.424063446</v>
      </c>
    </row>
    <row r="84" ht="15.75" customHeight="1">
      <c r="A84" s="5">
        <v>10743.0</v>
      </c>
      <c r="B84" s="6">
        <v>2021.0</v>
      </c>
      <c r="C84" s="6" t="str">
        <f t="shared" si="1"/>
        <v>1724 OAK TREE DR,Houston,Texas</v>
      </c>
      <c r="D84" s="6" t="s">
        <v>293</v>
      </c>
      <c r="E84" s="6" t="s">
        <v>25</v>
      </c>
      <c r="F84" s="6" t="s">
        <v>26</v>
      </c>
      <c r="G84" s="6" t="s">
        <v>294</v>
      </c>
      <c r="H84" s="6" t="s">
        <v>28</v>
      </c>
      <c r="I84" s="6" t="str">
        <f>VLOOKUP(H84,'Flow Location'!$A$1:$B$21,2,FALSE)</f>
        <v>Storm Sewer (not contained)</v>
      </c>
      <c r="J84" s="5">
        <v>8257.0</v>
      </c>
      <c r="K84" s="6" t="s">
        <v>45</v>
      </c>
      <c r="L84" s="6" t="str">
        <f>VLOOKUP(K84,'Structure type'!$A$1:$B$15,2,FALSE)</f>
        <v>City Cleanout</v>
      </c>
      <c r="M84" s="6" t="s">
        <v>30</v>
      </c>
      <c r="N84" s="6" t="str">
        <f>VLOOKUP(M84,'Excursion Cause'!$A$1:$B$34,2,FALSE)</f>
        <v>Grease Blockage</v>
      </c>
      <c r="O84" s="7">
        <v>44312.0</v>
      </c>
      <c r="P84" s="6" t="s">
        <v>295</v>
      </c>
      <c r="Q84" s="7">
        <v>44315.0</v>
      </c>
      <c r="R84" s="6" t="s">
        <v>296</v>
      </c>
      <c r="S84" s="5">
        <v>2.0</v>
      </c>
      <c r="T84" s="6" t="s">
        <v>59</v>
      </c>
      <c r="U84" s="5">
        <v>2.0210426E7</v>
      </c>
      <c r="V84" s="5">
        <v>2.0210429E7</v>
      </c>
      <c r="W84" s="5">
        <v>29.8049678090001</v>
      </c>
      <c r="X84" s="5">
        <v>-95.526766905</v>
      </c>
    </row>
    <row r="85" ht="15.75" customHeight="1">
      <c r="A85" s="5">
        <v>10748.0</v>
      </c>
      <c r="B85" s="6">
        <v>2021.0</v>
      </c>
      <c r="C85" s="6" t="str">
        <f t="shared" si="1"/>
        <v>1925 LYNNFIELD ST,Houston,Texas</v>
      </c>
      <c r="D85" s="6" t="s">
        <v>297</v>
      </c>
      <c r="E85" s="6" t="s">
        <v>25</v>
      </c>
      <c r="F85" s="6" t="s">
        <v>26</v>
      </c>
      <c r="G85" s="6" t="s">
        <v>109</v>
      </c>
      <c r="H85" s="6" t="s">
        <v>44</v>
      </c>
      <c r="I85" s="6" t="str">
        <f>VLOOKUP(H85,'Flow Location'!$A$1:$B$21,2,FALSE)</f>
        <v>Bayou/surface water/drainage ditch</v>
      </c>
      <c r="J85" s="5">
        <v>0.0</v>
      </c>
      <c r="K85" s="6" t="s">
        <v>29</v>
      </c>
      <c r="L85" s="6" t="str">
        <f>VLOOKUP(K85,'Structure type'!$A$1:$B$15,2,FALSE)</f>
        <v>Manhole</v>
      </c>
      <c r="M85" s="6" t="s">
        <v>30</v>
      </c>
      <c r="N85" s="6" t="str">
        <f>VLOOKUP(M85,'Excursion Cause'!$A$1:$B$34,2,FALSE)</f>
        <v>Grease Blockage</v>
      </c>
      <c r="O85" s="7">
        <v>44313.0</v>
      </c>
      <c r="P85" s="6" t="s">
        <v>272</v>
      </c>
      <c r="Q85" s="7">
        <v>44313.0</v>
      </c>
      <c r="R85" s="6" t="s">
        <v>272</v>
      </c>
      <c r="S85" s="5">
        <v>0.0</v>
      </c>
      <c r="T85" s="6" t="s">
        <v>33</v>
      </c>
      <c r="U85" s="5">
        <v>2.0210427E7</v>
      </c>
      <c r="V85" s="5">
        <v>2.0210427E7</v>
      </c>
      <c r="W85" s="5">
        <v>29.82027878</v>
      </c>
      <c r="X85" s="5">
        <v>-95.349474566</v>
      </c>
    </row>
    <row r="86" ht="15.75" customHeight="1">
      <c r="A86" s="5">
        <v>10749.0</v>
      </c>
      <c r="B86" s="6">
        <v>2021.0</v>
      </c>
      <c r="C86" s="6" t="str">
        <f t="shared" si="1"/>
        <v>9605 STELLA LINK RD,Houston,Texas</v>
      </c>
      <c r="D86" s="6" t="s">
        <v>64</v>
      </c>
      <c r="E86" s="6" t="s">
        <v>25</v>
      </c>
      <c r="F86" s="6" t="s">
        <v>26</v>
      </c>
      <c r="G86" s="6" t="s">
        <v>65</v>
      </c>
      <c r="H86" s="6" t="s">
        <v>50</v>
      </c>
      <c r="I86" s="6" t="str">
        <f>VLOOKUP(H86,'Flow Location'!$A$1:$B$21,2,FALSE)</f>
        <v>Contained On Site, not within 5 ft. of Bayou/Surface Water/Drainage Ditch</v>
      </c>
      <c r="J86" s="5">
        <v>190.0</v>
      </c>
      <c r="K86" s="6" t="s">
        <v>51</v>
      </c>
      <c r="L86" s="6" t="str">
        <f>VLOOKUP(K86,'Structure type'!$A$1:$B$15,2,FALSE)</f>
        <v>Private Cleanout</v>
      </c>
      <c r="M86" s="6" t="s">
        <v>30</v>
      </c>
      <c r="N86" s="6" t="str">
        <f>VLOOKUP(M86,'Excursion Cause'!$A$1:$B$34,2,FALSE)</f>
        <v>Grease Blockage</v>
      </c>
      <c r="O86" s="7">
        <v>44313.0</v>
      </c>
      <c r="P86" s="6" t="s">
        <v>298</v>
      </c>
      <c r="Q86" s="7">
        <v>44313.0</v>
      </c>
      <c r="R86" s="6" t="s">
        <v>299</v>
      </c>
      <c r="S86" s="5">
        <v>1.0</v>
      </c>
      <c r="T86" s="6" t="s">
        <v>33</v>
      </c>
      <c r="U86" s="5">
        <v>2.0210427E7</v>
      </c>
      <c r="V86" s="5">
        <v>2.0210427E7</v>
      </c>
      <c r="W86" s="5">
        <v>29.678771007</v>
      </c>
      <c r="X86" s="5">
        <v>-95.439832488</v>
      </c>
    </row>
    <row r="87" ht="15.75" customHeight="1">
      <c r="A87" s="5">
        <v>10753.0</v>
      </c>
      <c r="B87" s="6">
        <v>2021.0</v>
      </c>
      <c r="C87" s="6" t="str">
        <f t="shared" si="1"/>
        <v>10903 PANAY DR,Houston,Texas</v>
      </c>
      <c r="D87" s="6" t="s">
        <v>300</v>
      </c>
      <c r="E87" s="6" t="s">
        <v>25</v>
      </c>
      <c r="F87" s="6" t="s">
        <v>26</v>
      </c>
      <c r="G87" s="6" t="s">
        <v>301</v>
      </c>
      <c r="H87" s="6" t="s">
        <v>44</v>
      </c>
      <c r="I87" s="6" t="str">
        <f>VLOOKUP(H87,'Flow Location'!$A$1:$B$21,2,FALSE)</f>
        <v>Bayou/surface water/drainage ditch</v>
      </c>
      <c r="J87" s="5">
        <v>328.0</v>
      </c>
      <c r="K87" s="6" t="s">
        <v>29</v>
      </c>
      <c r="L87" s="6" t="str">
        <f>VLOOKUP(K87,'Structure type'!$A$1:$B$15,2,FALSE)</f>
        <v>Manhole</v>
      </c>
      <c r="M87" s="6" t="s">
        <v>30</v>
      </c>
      <c r="N87" s="6" t="str">
        <f>VLOOKUP(M87,'Excursion Cause'!$A$1:$B$34,2,FALSE)</f>
        <v>Grease Blockage</v>
      </c>
      <c r="O87" s="7">
        <v>44313.0</v>
      </c>
      <c r="P87" s="6" t="s">
        <v>255</v>
      </c>
      <c r="Q87" s="7">
        <v>44313.0</v>
      </c>
      <c r="R87" s="6" t="s">
        <v>302</v>
      </c>
      <c r="S87" s="5">
        <v>1.0</v>
      </c>
      <c r="T87" s="6" t="s">
        <v>33</v>
      </c>
      <c r="U87" s="5">
        <v>2.0210427E7</v>
      </c>
      <c r="V87" s="5">
        <v>2.0210427E7</v>
      </c>
      <c r="W87" s="5">
        <v>29.640454603</v>
      </c>
      <c r="X87" s="5">
        <v>-95.347247662</v>
      </c>
    </row>
    <row r="88" ht="15.75" customHeight="1">
      <c r="A88" s="5">
        <v>10755.0</v>
      </c>
      <c r="B88" s="6">
        <v>2021.0</v>
      </c>
      <c r="C88" s="6" t="str">
        <f t="shared" si="1"/>
        <v>6802 TIERWESTER ST,Houston,Texas</v>
      </c>
      <c r="D88" s="6" t="s">
        <v>303</v>
      </c>
      <c r="E88" s="6" t="s">
        <v>25</v>
      </c>
      <c r="F88" s="6" t="s">
        <v>26</v>
      </c>
      <c r="G88" s="6" t="s">
        <v>238</v>
      </c>
      <c r="H88" s="6" t="s">
        <v>28</v>
      </c>
      <c r="I88" s="6" t="str">
        <f>VLOOKUP(H88,'Flow Location'!$A$1:$B$21,2,FALSE)</f>
        <v>Storm Sewer (not contained)</v>
      </c>
      <c r="J88" s="5">
        <v>470.0</v>
      </c>
      <c r="K88" s="6" t="s">
        <v>29</v>
      </c>
      <c r="L88" s="6" t="str">
        <f>VLOOKUP(K88,'Structure type'!$A$1:$B$15,2,FALSE)</f>
        <v>Manhole</v>
      </c>
      <c r="M88" s="6" t="s">
        <v>30</v>
      </c>
      <c r="N88" s="6" t="str">
        <f>VLOOKUP(M88,'Excursion Cause'!$A$1:$B$34,2,FALSE)</f>
        <v>Grease Blockage</v>
      </c>
      <c r="O88" s="7">
        <v>44313.0</v>
      </c>
      <c r="P88" s="6" t="s">
        <v>304</v>
      </c>
      <c r="Q88" s="7">
        <v>44313.0</v>
      </c>
      <c r="R88" s="6" t="s">
        <v>305</v>
      </c>
      <c r="S88" s="5">
        <v>2.0</v>
      </c>
      <c r="T88" s="6" t="s">
        <v>33</v>
      </c>
      <c r="U88" s="5">
        <v>2.0210427E7</v>
      </c>
      <c r="V88" s="5">
        <v>2.0210427E7</v>
      </c>
      <c r="W88" s="5">
        <v>29.6965281110001</v>
      </c>
      <c r="X88" s="5">
        <v>-95.366613378</v>
      </c>
    </row>
    <row r="89" ht="15.75" customHeight="1">
      <c r="A89" s="5">
        <v>10756.0</v>
      </c>
      <c r="B89" s="6">
        <v>2021.0</v>
      </c>
      <c r="C89" s="6" t="str">
        <f t="shared" si="1"/>
        <v>714 WILDER ST,Houston,Texas</v>
      </c>
      <c r="D89" s="6" t="s">
        <v>306</v>
      </c>
      <c r="E89" s="6" t="s">
        <v>25</v>
      </c>
      <c r="F89" s="6" t="s">
        <v>26</v>
      </c>
      <c r="G89" s="6" t="s">
        <v>232</v>
      </c>
      <c r="H89" s="6" t="s">
        <v>44</v>
      </c>
      <c r="I89" s="6" t="str">
        <f>VLOOKUP(H89,'Flow Location'!$A$1:$B$21,2,FALSE)</f>
        <v>Bayou/surface water/drainage ditch</v>
      </c>
      <c r="J89" s="5">
        <v>0.0</v>
      </c>
      <c r="K89" s="6" t="s">
        <v>29</v>
      </c>
      <c r="L89" s="6" t="str">
        <f>VLOOKUP(K89,'Structure type'!$A$1:$B$15,2,FALSE)</f>
        <v>Manhole</v>
      </c>
      <c r="M89" s="6" t="s">
        <v>30</v>
      </c>
      <c r="N89" s="6" t="str">
        <f>VLOOKUP(M89,'Excursion Cause'!$A$1:$B$34,2,FALSE)</f>
        <v>Grease Blockage</v>
      </c>
      <c r="O89" s="7">
        <v>44313.0</v>
      </c>
      <c r="P89" s="6" t="s">
        <v>276</v>
      </c>
      <c r="Q89" s="7">
        <v>44313.0</v>
      </c>
      <c r="R89" s="6" t="s">
        <v>276</v>
      </c>
      <c r="S89" s="5">
        <v>0.0</v>
      </c>
      <c r="T89" s="6" t="s">
        <v>33</v>
      </c>
      <c r="U89" s="5">
        <v>2.0210427E7</v>
      </c>
      <c r="V89" s="5">
        <v>2.0210427E7</v>
      </c>
      <c r="W89" s="5">
        <v>29.804742504</v>
      </c>
      <c r="X89" s="5">
        <v>-95.389653973</v>
      </c>
    </row>
    <row r="90" ht="15.75" customHeight="1">
      <c r="A90" s="5">
        <v>10757.0</v>
      </c>
      <c r="B90" s="6">
        <v>2021.0</v>
      </c>
      <c r="C90" s="6" t="str">
        <f t="shared" si="1"/>
        <v>4720 CRAWFORD ST,Houston,Texas</v>
      </c>
      <c r="D90" s="6" t="s">
        <v>307</v>
      </c>
      <c r="E90" s="6" t="s">
        <v>25</v>
      </c>
      <c r="F90" s="6" t="s">
        <v>26</v>
      </c>
      <c r="G90" s="6" t="s">
        <v>308</v>
      </c>
      <c r="H90" s="6" t="s">
        <v>50</v>
      </c>
      <c r="I90" s="6" t="str">
        <f>VLOOKUP(H90,'Flow Location'!$A$1:$B$21,2,FALSE)</f>
        <v>Contained On Site, not within 5 ft. of Bayou/Surface Water/Drainage Ditch</v>
      </c>
      <c r="J90" s="5">
        <v>0.0</v>
      </c>
      <c r="K90" s="6" t="s">
        <v>45</v>
      </c>
      <c r="L90" s="6" t="str">
        <f>VLOOKUP(K90,'Structure type'!$A$1:$B$15,2,FALSE)</f>
        <v>City Cleanout</v>
      </c>
      <c r="M90" s="6" t="s">
        <v>30</v>
      </c>
      <c r="N90" s="6" t="str">
        <f>VLOOKUP(M90,'Excursion Cause'!$A$1:$B$34,2,FALSE)</f>
        <v>Grease Blockage</v>
      </c>
      <c r="O90" s="7">
        <v>44313.0</v>
      </c>
      <c r="P90" s="6" t="s">
        <v>309</v>
      </c>
      <c r="Q90" s="7">
        <v>44313.0</v>
      </c>
      <c r="R90" s="6" t="s">
        <v>309</v>
      </c>
      <c r="S90" s="5">
        <v>0.0</v>
      </c>
      <c r="T90" s="6" t="s">
        <v>270</v>
      </c>
      <c r="U90" s="5">
        <v>2.0210427E7</v>
      </c>
      <c r="V90" s="5">
        <v>2.0210427E7</v>
      </c>
      <c r="W90" s="5">
        <v>29.728598907</v>
      </c>
      <c r="X90" s="5">
        <v>-95.3798724599999</v>
      </c>
    </row>
    <row r="91" ht="15.75" customHeight="1">
      <c r="A91" s="5">
        <v>10759.0</v>
      </c>
      <c r="B91" s="6">
        <v>2021.0</v>
      </c>
      <c r="C91" s="6" t="str">
        <f t="shared" si="1"/>
        <v>5423 HEATHERBROOK DR,Houston,Texas</v>
      </c>
      <c r="D91" s="6" t="s">
        <v>310</v>
      </c>
      <c r="E91" s="6" t="s">
        <v>25</v>
      </c>
      <c r="F91" s="6" t="s">
        <v>26</v>
      </c>
      <c r="G91" s="6" t="s">
        <v>39</v>
      </c>
      <c r="H91" s="6" t="s">
        <v>50</v>
      </c>
      <c r="I91" s="6" t="str">
        <f>VLOOKUP(H91,'Flow Location'!$A$1:$B$21,2,FALSE)</f>
        <v>Contained On Site, not within 5 ft. of Bayou/Surface Water/Drainage Ditch</v>
      </c>
      <c r="J91" s="5">
        <v>0.0</v>
      </c>
      <c r="K91" s="6" t="s">
        <v>198</v>
      </c>
      <c r="L91" s="6" t="str">
        <f>VLOOKUP(K91,'Structure type'!$A$1:$B$15,2,FALSE)</f>
        <v>Service Lateral</v>
      </c>
      <c r="M91" s="6" t="s">
        <v>52</v>
      </c>
      <c r="N91" s="6" t="str">
        <f>VLOOKUP(M91,'Excursion Cause'!$A$1:$B$34,2,FALSE)</f>
        <v>Collection system structural blockage</v>
      </c>
      <c r="O91" s="7">
        <v>44313.0</v>
      </c>
      <c r="P91" s="6" t="s">
        <v>311</v>
      </c>
      <c r="Q91" s="7">
        <v>44313.0</v>
      </c>
      <c r="R91" s="6" t="s">
        <v>311</v>
      </c>
      <c r="S91" s="5">
        <v>0.0</v>
      </c>
      <c r="T91" s="6" t="s">
        <v>54</v>
      </c>
      <c r="U91" s="5">
        <v>2.0210427E7</v>
      </c>
      <c r="V91" s="5">
        <v>2.0210427E7</v>
      </c>
      <c r="W91" s="5">
        <v>29.6216778830001</v>
      </c>
      <c r="X91" s="5">
        <v>-95.463748991</v>
      </c>
    </row>
    <row r="92" ht="15.75" customHeight="1">
      <c r="A92" s="5">
        <v>10764.0</v>
      </c>
      <c r="B92" s="6">
        <v>2021.0</v>
      </c>
      <c r="C92" s="6" t="str">
        <f t="shared" si="1"/>
        <v>2909 HAYES RD,Houston,Texas</v>
      </c>
      <c r="D92" s="6" t="s">
        <v>312</v>
      </c>
      <c r="E92" s="6" t="s">
        <v>25</v>
      </c>
      <c r="F92" s="6" t="s">
        <v>26</v>
      </c>
      <c r="G92" s="6" t="s">
        <v>313</v>
      </c>
      <c r="H92" s="6" t="s">
        <v>50</v>
      </c>
      <c r="I92" s="6" t="str">
        <f>VLOOKUP(H92,'Flow Location'!$A$1:$B$21,2,FALSE)</f>
        <v>Contained On Site, not within 5 ft. of Bayou/Surface Water/Drainage Ditch</v>
      </c>
      <c r="J92" s="5">
        <v>129.0</v>
      </c>
      <c r="K92" s="6" t="s">
        <v>29</v>
      </c>
      <c r="L92" s="6" t="str">
        <f>VLOOKUP(K92,'Structure type'!$A$1:$B$15,2,FALSE)</f>
        <v>Manhole</v>
      </c>
      <c r="M92" s="6" t="s">
        <v>30</v>
      </c>
      <c r="N92" s="6" t="str">
        <f>VLOOKUP(M92,'Excursion Cause'!$A$1:$B$34,2,FALSE)</f>
        <v>Grease Blockage</v>
      </c>
      <c r="O92" s="7">
        <v>44314.0</v>
      </c>
      <c r="P92" s="6" t="s">
        <v>314</v>
      </c>
      <c r="Q92" s="7">
        <v>44314.0</v>
      </c>
      <c r="R92" s="6" t="s">
        <v>315</v>
      </c>
      <c r="S92" s="5">
        <v>1.0</v>
      </c>
      <c r="T92" s="6" t="s">
        <v>33</v>
      </c>
      <c r="U92" s="5">
        <v>2.0210428E7</v>
      </c>
      <c r="V92" s="5">
        <v>2.0210428E7</v>
      </c>
      <c r="W92" s="5">
        <v>29.732200275</v>
      </c>
      <c r="X92" s="5">
        <v>-95.5756379269999</v>
      </c>
    </row>
    <row r="93" ht="15.75" customHeight="1">
      <c r="A93" s="5">
        <v>10771.0</v>
      </c>
      <c r="B93" s="6">
        <v>2021.0</v>
      </c>
      <c r="C93" s="6" t="str">
        <f t="shared" si="1"/>
        <v>8603 FRIENDSHIP RD,Houston,Texas</v>
      </c>
      <c r="D93" s="6" t="s">
        <v>316</v>
      </c>
      <c r="E93" s="6" t="s">
        <v>25</v>
      </c>
      <c r="F93" s="6" t="s">
        <v>26</v>
      </c>
      <c r="G93" s="6" t="s">
        <v>294</v>
      </c>
      <c r="H93" s="6" t="s">
        <v>50</v>
      </c>
      <c r="I93" s="6" t="str">
        <f>VLOOKUP(H93,'Flow Location'!$A$1:$B$21,2,FALSE)</f>
        <v>Contained On Site, not within 5 ft. of Bayou/Surface Water/Drainage Ditch</v>
      </c>
      <c r="J93" s="5">
        <v>0.0</v>
      </c>
      <c r="K93" s="6" t="s">
        <v>51</v>
      </c>
      <c r="L93" s="6" t="str">
        <f>VLOOKUP(K93,'Structure type'!$A$1:$B$15,2,FALSE)</f>
        <v>Private Cleanout</v>
      </c>
      <c r="M93" s="6" t="s">
        <v>30</v>
      </c>
      <c r="N93" s="6" t="str">
        <f>VLOOKUP(M93,'Excursion Cause'!$A$1:$B$34,2,FALSE)</f>
        <v>Grease Blockage</v>
      </c>
      <c r="O93" s="7">
        <v>44314.0</v>
      </c>
      <c r="P93" s="6" t="s">
        <v>317</v>
      </c>
      <c r="Q93" s="7">
        <v>44314.0</v>
      </c>
      <c r="R93" s="6" t="s">
        <v>317</v>
      </c>
      <c r="S93" s="5">
        <v>0.0</v>
      </c>
      <c r="T93" s="6" t="s">
        <v>33</v>
      </c>
      <c r="U93" s="5">
        <v>2.0210428E7</v>
      </c>
      <c r="V93" s="5">
        <v>2.0210428E7</v>
      </c>
      <c r="W93" s="5">
        <v>29.819210088</v>
      </c>
      <c r="X93" s="5">
        <v>-95.503072941</v>
      </c>
    </row>
    <row r="94" ht="15.75" customHeight="1">
      <c r="A94" s="5">
        <v>10774.0</v>
      </c>
      <c r="B94" s="6">
        <v>2021.0</v>
      </c>
      <c r="C94" s="6" t="str">
        <f t="shared" si="1"/>
        <v>544 YALE ST,Houston,Texas</v>
      </c>
      <c r="D94" s="6" t="s">
        <v>250</v>
      </c>
      <c r="E94" s="6" t="s">
        <v>25</v>
      </c>
      <c r="F94" s="6" t="s">
        <v>26</v>
      </c>
      <c r="G94" s="6" t="s">
        <v>158</v>
      </c>
      <c r="H94" s="6" t="s">
        <v>28</v>
      </c>
      <c r="I94" s="6" t="str">
        <f>VLOOKUP(H94,'Flow Location'!$A$1:$B$21,2,FALSE)</f>
        <v>Storm Sewer (not contained)</v>
      </c>
      <c r="J94" s="5">
        <v>0.0</v>
      </c>
      <c r="K94" s="6" t="s">
        <v>198</v>
      </c>
      <c r="L94" s="6" t="str">
        <f>VLOOKUP(K94,'Structure type'!$A$1:$B$15,2,FALSE)</f>
        <v>Service Lateral</v>
      </c>
      <c r="M94" s="6" t="s">
        <v>56</v>
      </c>
      <c r="N94" s="6" t="str">
        <f>VLOOKUP(M94,'Excursion Cause'!$A$1:$B$34,2,FALSE)</f>
        <v>Rags/Wipes</v>
      </c>
      <c r="O94" s="7">
        <v>44315.0</v>
      </c>
      <c r="P94" s="6" t="s">
        <v>318</v>
      </c>
      <c r="Q94" s="7">
        <v>44315.0</v>
      </c>
      <c r="R94" s="6" t="s">
        <v>318</v>
      </c>
      <c r="S94" s="5">
        <v>0.0</v>
      </c>
      <c r="T94" s="6" t="s">
        <v>270</v>
      </c>
      <c r="U94" s="5">
        <v>2.0210429E7</v>
      </c>
      <c r="V94" s="5">
        <v>2.0210429E7</v>
      </c>
      <c r="W94" s="5">
        <v>29.7812674750001</v>
      </c>
      <c r="X94" s="5">
        <v>-95.398755379</v>
      </c>
    </row>
    <row r="95" ht="15.75" customHeight="1">
      <c r="A95" s="5">
        <v>10777.0</v>
      </c>
      <c r="B95" s="6">
        <v>2021.0</v>
      </c>
      <c r="C95" s="6" t="str">
        <f t="shared" si="1"/>
        <v>516 E FRIAR TUCK LN,Houston,Texas</v>
      </c>
      <c r="D95" s="6" t="s">
        <v>319</v>
      </c>
      <c r="E95" s="6" t="s">
        <v>25</v>
      </c>
      <c r="F95" s="6" t="s">
        <v>26</v>
      </c>
      <c r="G95" s="6" t="s">
        <v>123</v>
      </c>
      <c r="H95" s="6" t="s">
        <v>28</v>
      </c>
      <c r="I95" s="6" t="str">
        <f>VLOOKUP(H95,'Flow Location'!$A$1:$B$21,2,FALSE)</f>
        <v>Storm Sewer (not contained)</v>
      </c>
      <c r="J95" s="5">
        <v>0.0</v>
      </c>
      <c r="K95" s="6" t="s">
        <v>198</v>
      </c>
      <c r="L95" s="6" t="str">
        <f>VLOOKUP(K95,'Structure type'!$A$1:$B$15,2,FALSE)</f>
        <v>Service Lateral</v>
      </c>
      <c r="M95" s="6" t="s">
        <v>81</v>
      </c>
      <c r="N95" s="6" t="str">
        <f>VLOOKUP(M95,'Excursion Cause'!$A$1:$B$34,2,FALSE)</f>
        <v>Collection system structural failure</v>
      </c>
      <c r="O95" s="7">
        <v>44315.0</v>
      </c>
      <c r="P95" s="6" t="s">
        <v>320</v>
      </c>
      <c r="Q95" s="7">
        <v>44316.0</v>
      </c>
      <c r="R95" s="6" t="s">
        <v>321</v>
      </c>
      <c r="S95" s="5">
        <v>0.0</v>
      </c>
      <c r="T95" s="6" t="s">
        <v>118</v>
      </c>
      <c r="U95" s="5">
        <v>2.0210429E7</v>
      </c>
      <c r="V95" s="5">
        <v>2.021043E7</v>
      </c>
      <c r="W95" s="5">
        <v>29.776685005</v>
      </c>
      <c r="X95" s="5">
        <v>-95.469012575</v>
      </c>
    </row>
    <row r="96" ht="15.75" customHeight="1">
      <c r="A96" s="5">
        <v>10781.0</v>
      </c>
      <c r="B96" s="6">
        <v>2021.0</v>
      </c>
      <c r="C96" s="6" t="str">
        <f t="shared" si="1"/>
        <v>2909 HAYES RD,Houston,Texas</v>
      </c>
      <c r="D96" s="6" t="s">
        <v>312</v>
      </c>
      <c r="E96" s="6" t="s">
        <v>25</v>
      </c>
      <c r="F96" s="6" t="s">
        <v>26</v>
      </c>
      <c r="G96" s="6" t="s">
        <v>313</v>
      </c>
      <c r="H96" s="6" t="s">
        <v>28</v>
      </c>
      <c r="I96" s="6" t="str">
        <f>VLOOKUP(H96,'Flow Location'!$A$1:$B$21,2,FALSE)</f>
        <v>Storm Sewer (not contained)</v>
      </c>
      <c r="J96" s="5">
        <v>129.0</v>
      </c>
      <c r="K96" s="6" t="s">
        <v>29</v>
      </c>
      <c r="L96" s="6" t="str">
        <f>VLOOKUP(K96,'Structure type'!$A$1:$B$15,2,FALSE)</f>
        <v>Manhole</v>
      </c>
      <c r="M96" s="6" t="s">
        <v>30</v>
      </c>
      <c r="N96" s="6" t="str">
        <f>VLOOKUP(M96,'Excursion Cause'!$A$1:$B$34,2,FALSE)</f>
        <v>Grease Blockage</v>
      </c>
      <c r="O96" s="7">
        <v>44314.0</v>
      </c>
      <c r="P96" s="6" t="s">
        <v>314</v>
      </c>
      <c r="Q96" s="7">
        <v>44314.0</v>
      </c>
      <c r="R96" s="6" t="s">
        <v>315</v>
      </c>
      <c r="S96" s="5">
        <v>1.0</v>
      </c>
      <c r="T96" s="6" t="s">
        <v>33</v>
      </c>
      <c r="U96" s="5">
        <v>2.0210428E7</v>
      </c>
      <c r="V96" s="5">
        <v>2.0210428E7</v>
      </c>
      <c r="W96" s="5">
        <v>29.732200275</v>
      </c>
      <c r="X96" s="5">
        <v>-95.5756379269999</v>
      </c>
    </row>
    <row r="97" ht="15.75" customHeight="1">
      <c r="A97" s="5">
        <v>10788.0</v>
      </c>
      <c r="B97" s="6">
        <v>2021.0</v>
      </c>
      <c r="C97" s="6" t="str">
        <f t="shared" si="1"/>
        <v>8039 DOCKAL RD,Houston,Texas</v>
      </c>
      <c r="D97" s="6" t="s">
        <v>322</v>
      </c>
      <c r="E97" s="6" t="s">
        <v>25</v>
      </c>
      <c r="F97" s="6" t="s">
        <v>26</v>
      </c>
      <c r="G97" s="6" t="s">
        <v>177</v>
      </c>
      <c r="H97" s="6" t="s">
        <v>87</v>
      </c>
      <c r="I97" s="6" t="str">
        <f>VLOOKUP(H97,'Flow Location'!$A$1:$B$21,2,FALSE)</f>
        <v>Within 5 ft. of Bayou/Surface Water/Drainage Ditch</v>
      </c>
      <c r="J97" s="5">
        <v>0.0</v>
      </c>
      <c r="K97" s="6" t="s">
        <v>29</v>
      </c>
      <c r="L97" s="6" t="str">
        <f>VLOOKUP(K97,'Structure type'!$A$1:$B$15,2,FALSE)</f>
        <v>Manhole</v>
      </c>
      <c r="M97" s="6" t="s">
        <v>30</v>
      </c>
      <c r="N97" s="6" t="str">
        <f>VLOOKUP(M97,'Excursion Cause'!$A$1:$B$34,2,FALSE)</f>
        <v>Grease Blockage</v>
      </c>
      <c r="O97" s="7">
        <v>44316.0</v>
      </c>
      <c r="P97" s="6" t="s">
        <v>323</v>
      </c>
      <c r="Q97" s="7">
        <v>44317.0</v>
      </c>
      <c r="R97" s="6" t="s">
        <v>324</v>
      </c>
      <c r="S97" s="5">
        <v>0.0</v>
      </c>
      <c r="T97" s="6" t="s">
        <v>33</v>
      </c>
      <c r="U97" s="5">
        <v>2.021043E7</v>
      </c>
      <c r="V97" s="5">
        <v>2.0210501E7</v>
      </c>
      <c r="W97" s="5">
        <v>29.8287033060001</v>
      </c>
      <c r="X97" s="5">
        <v>-95.277558507</v>
      </c>
    </row>
    <row r="98" ht="15.75" customHeight="1">
      <c r="A98" s="5">
        <v>10790.0</v>
      </c>
      <c r="B98" s="6">
        <v>2021.0</v>
      </c>
      <c r="C98" s="6" t="str">
        <f t="shared" si="1"/>
        <v>8630 BERTWOOD ST,Houston,Texas</v>
      </c>
      <c r="D98" s="6" t="s">
        <v>325</v>
      </c>
      <c r="E98" s="6" t="s">
        <v>25</v>
      </c>
      <c r="F98" s="6" t="s">
        <v>26</v>
      </c>
      <c r="G98" s="6" t="s">
        <v>326</v>
      </c>
      <c r="H98" s="6" t="s">
        <v>50</v>
      </c>
      <c r="I98" s="6" t="str">
        <f>VLOOKUP(H98,'Flow Location'!$A$1:$B$21,2,FALSE)</f>
        <v>Contained On Site, not within 5 ft. of Bayou/Surface Water/Drainage Ditch</v>
      </c>
      <c r="J98" s="5">
        <v>0.0</v>
      </c>
      <c r="K98" s="6" t="s">
        <v>45</v>
      </c>
      <c r="L98" s="6" t="str">
        <f>VLOOKUP(K98,'Structure type'!$A$1:$B$15,2,FALSE)</f>
        <v>City Cleanout</v>
      </c>
      <c r="M98" s="6" t="s">
        <v>56</v>
      </c>
      <c r="N98" s="6" t="str">
        <f>VLOOKUP(M98,'Excursion Cause'!$A$1:$B$34,2,FALSE)</f>
        <v>Rags/Wipes</v>
      </c>
      <c r="O98" s="7">
        <v>44317.0</v>
      </c>
      <c r="P98" s="6" t="s">
        <v>124</v>
      </c>
      <c r="Q98" s="7">
        <v>44317.0</v>
      </c>
      <c r="R98" s="6" t="s">
        <v>124</v>
      </c>
      <c r="S98" s="5">
        <v>0.0</v>
      </c>
      <c r="T98" s="6" t="s">
        <v>89</v>
      </c>
      <c r="U98" s="5">
        <v>2.0210501E7</v>
      </c>
      <c r="V98" s="5">
        <v>2.0210501E7</v>
      </c>
      <c r="W98" s="5">
        <v>29.839342162</v>
      </c>
      <c r="X98" s="5">
        <v>-95.309614341</v>
      </c>
    </row>
    <row r="99" ht="15.75" customHeight="1">
      <c r="A99" s="5">
        <v>10792.0</v>
      </c>
      <c r="B99" s="6">
        <v>2021.0</v>
      </c>
      <c r="C99" s="6" t="str">
        <f t="shared" si="1"/>
        <v>3510 MOUNT PLEASANT ST,Houston,Texas</v>
      </c>
      <c r="D99" s="6" t="s">
        <v>327</v>
      </c>
      <c r="E99" s="6" t="s">
        <v>25</v>
      </c>
      <c r="F99" s="6" t="s">
        <v>26</v>
      </c>
      <c r="G99" s="6" t="s">
        <v>238</v>
      </c>
      <c r="H99" s="6" t="s">
        <v>50</v>
      </c>
      <c r="I99" s="6" t="str">
        <f>VLOOKUP(H99,'Flow Location'!$A$1:$B$21,2,FALSE)</f>
        <v>Contained On Site, not within 5 ft. of Bayou/Surface Water/Drainage Ditch</v>
      </c>
      <c r="J99" s="5">
        <v>0.0</v>
      </c>
      <c r="K99" s="6" t="s">
        <v>45</v>
      </c>
      <c r="L99" s="6" t="str">
        <f>VLOOKUP(K99,'Structure type'!$A$1:$B$15,2,FALSE)</f>
        <v>City Cleanout</v>
      </c>
      <c r="M99" s="6" t="s">
        <v>30</v>
      </c>
      <c r="N99" s="6" t="str">
        <f>VLOOKUP(M99,'Excursion Cause'!$A$1:$B$34,2,FALSE)</f>
        <v>Grease Blockage</v>
      </c>
      <c r="O99" s="7">
        <v>44318.0</v>
      </c>
      <c r="P99" s="6" t="s">
        <v>124</v>
      </c>
      <c r="Q99" s="7">
        <v>44318.0</v>
      </c>
      <c r="R99" s="6" t="s">
        <v>124</v>
      </c>
      <c r="S99" s="5">
        <v>0.0</v>
      </c>
      <c r="T99" s="6" t="s">
        <v>270</v>
      </c>
      <c r="U99" s="5">
        <v>2.0210502E7</v>
      </c>
      <c r="V99" s="5">
        <v>2.0210502E7</v>
      </c>
      <c r="W99" s="5">
        <v>29.6877556110001</v>
      </c>
      <c r="X99" s="5">
        <v>-95.373466422</v>
      </c>
    </row>
    <row r="100" ht="15.75" customHeight="1">
      <c r="A100" s="5">
        <v>10793.0</v>
      </c>
      <c r="B100" s="6">
        <v>2021.0</v>
      </c>
      <c r="C100" s="6" t="str">
        <f t="shared" si="1"/>
        <v>10610 TENNECO DR,Houston,Texas</v>
      </c>
      <c r="D100" s="6" t="s">
        <v>328</v>
      </c>
      <c r="E100" s="6" t="s">
        <v>25</v>
      </c>
      <c r="F100" s="6" t="s">
        <v>26</v>
      </c>
      <c r="G100" s="6" t="s">
        <v>154</v>
      </c>
      <c r="H100" s="6" t="s">
        <v>50</v>
      </c>
      <c r="I100" s="6" t="str">
        <f>VLOOKUP(H100,'Flow Location'!$A$1:$B$21,2,FALSE)</f>
        <v>Contained On Site, not within 5 ft. of Bayou/Surface Water/Drainage Ditch</v>
      </c>
      <c r="J100" s="5">
        <v>52.5</v>
      </c>
      <c r="K100" s="6" t="s">
        <v>29</v>
      </c>
      <c r="L100" s="6" t="str">
        <f>VLOOKUP(K100,'Structure type'!$A$1:$B$15,2,FALSE)</f>
        <v>Manhole</v>
      </c>
      <c r="M100" s="6" t="s">
        <v>30</v>
      </c>
      <c r="N100" s="6" t="str">
        <f>VLOOKUP(M100,'Excursion Cause'!$A$1:$B$34,2,FALSE)</f>
        <v>Grease Blockage</v>
      </c>
      <c r="O100" s="7">
        <v>44318.0</v>
      </c>
      <c r="P100" s="6" t="s">
        <v>329</v>
      </c>
      <c r="Q100" s="7">
        <v>44318.0</v>
      </c>
      <c r="R100" s="6" t="s">
        <v>299</v>
      </c>
      <c r="S100" s="5">
        <v>0.0</v>
      </c>
      <c r="T100" s="6" t="s">
        <v>33</v>
      </c>
      <c r="U100" s="5">
        <v>2.0210502E7</v>
      </c>
      <c r="V100" s="5">
        <v>2.0210502E7</v>
      </c>
      <c r="W100" s="5">
        <v>29.6663764350001</v>
      </c>
      <c r="X100" s="5">
        <v>-95.6132150889999</v>
      </c>
    </row>
    <row r="101" ht="15.75" customHeight="1">
      <c r="A101" s="5">
        <v>10803.0</v>
      </c>
      <c r="B101" s="6">
        <v>2021.0</v>
      </c>
      <c r="C101" s="6" t="str">
        <f t="shared" si="1"/>
        <v>6002 W 43RD ST,Houston,Texas</v>
      </c>
      <c r="D101" s="6" t="s">
        <v>330</v>
      </c>
      <c r="E101" s="6" t="s">
        <v>25</v>
      </c>
      <c r="F101" s="6" t="s">
        <v>26</v>
      </c>
      <c r="G101" s="6" t="s">
        <v>76</v>
      </c>
      <c r="H101" s="6" t="s">
        <v>50</v>
      </c>
      <c r="I101" s="6" t="str">
        <f>VLOOKUP(H101,'Flow Location'!$A$1:$B$21,2,FALSE)</f>
        <v>Contained On Site, not within 5 ft. of Bayou/Surface Water/Drainage Ditch</v>
      </c>
      <c r="J101" s="5">
        <v>142.0</v>
      </c>
      <c r="K101" s="6" t="s">
        <v>29</v>
      </c>
      <c r="L101" s="6" t="str">
        <f>VLOOKUP(K101,'Structure type'!$A$1:$B$15,2,FALSE)</f>
        <v>Manhole</v>
      </c>
      <c r="M101" s="6" t="s">
        <v>30</v>
      </c>
      <c r="N101" s="6" t="str">
        <f>VLOOKUP(M101,'Excursion Cause'!$A$1:$B$34,2,FALSE)</f>
        <v>Grease Blockage</v>
      </c>
      <c r="O101" s="7">
        <v>44319.0</v>
      </c>
      <c r="P101" s="6" t="s">
        <v>331</v>
      </c>
      <c r="Q101" s="7">
        <v>44319.0</v>
      </c>
      <c r="R101" s="6" t="s">
        <v>155</v>
      </c>
      <c r="S101" s="5">
        <v>1.0</v>
      </c>
      <c r="T101" s="6" t="s">
        <v>33</v>
      </c>
      <c r="U101" s="5">
        <v>2.0210503E7</v>
      </c>
      <c r="V101" s="5">
        <v>2.0210503E7</v>
      </c>
      <c r="W101" s="5">
        <v>29.833077486</v>
      </c>
      <c r="X101" s="5">
        <v>-95.4788270289999</v>
      </c>
    </row>
    <row r="102" ht="15.75" customHeight="1">
      <c r="A102" s="5">
        <v>10807.0</v>
      </c>
      <c r="B102" s="6">
        <v>2021.0</v>
      </c>
      <c r="C102" s="6" t="str">
        <f t="shared" si="1"/>
        <v>5709 BRADY ST,Houston,Texas</v>
      </c>
      <c r="D102" s="6" t="s">
        <v>332</v>
      </c>
      <c r="E102" s="6" t="s">
        <v>25</v>
      </c>
      <c r="F102" s="6" t="s">
        <v>26</v>
      </c>
      <c r="G102" s="6" t="s">
        <v>227</v>
      </c>
      <c r="H102" s="6" t="s">
        <v>44</v>
      </c>
      <c r="I102" s="6" t="str">
        <f>VLOOKUP(H102,'Flow Location'!$A$1:$B$21,2,FALSE)</f>
        <v>Bayou/surface water/drainage ditch</v>
      </c>
      <c r="J102" s="5">
        <v>0.0</v>
      </c>
      <c r="K102" s="6" t="s">
        <v>45</v>
      </c>
      <c r="L102" s="6" t="str">
        <f>VLOOKUP(K102,'Structure type'!$A$1:$B$15,2,FALSE)</f>
        <v>City Cleanout</v>
      </c>
      <c r="M102" s="6" t="s">
        <v>56</v>
      </c>
      <c r="N102" s="6" t="str">
        <f>VLOOKUP(M102,'Excursion Cause'!$A$1:$B$34,2,FALSE)</f>
        <v>Rags/Wipes</v>
      </c>
      <c r="O102" s="7">
        <v>44319.0</v>
      </c>
      <c r="P102" s="6" t="s">
        <v>333</v>
      </c>
      <c r="Q102" s="7">
        <v>44319.0</v>
      </c>
      <c r="R102" s="6" t="s">
        <v>333</v>
      </c>
      <c r="S102" s="5">
        <v>0.0</v>
      </c>
      <c r="T102" s="6" t="s">
        <v>33</v>
      </c>
      <c r="U102" s="5">
        <v>2.0210503E7</v>
      </c>
      <c r="V102" s="5">
        <v>2.0210503E7</v>
      </c>
      <c r="W102" s="5">
        <v>29.7437987340001</v>
      </c>
      <c r="X102" s="5">
        <v>-95.3168640169999</v>
      </c>
    </row>
    <row r="103" ht="15.75" customHeight="1">
      <c r="A103" s="5">
        <v>10812.0</v>
      </c>
      <c r="B103" s="6">
        <v>2021.0</v>
      </c>
      <c r="C103" s="6" t="str">
        <f t="shared" si="1"/>
        <v>633 A 21ST ST,Houston,Texas</v>
      </c>
      <c r="D103" s="6" t="s">
        <v>334</v>
      </c>
      <c r="E103" s="6" t="s">
        <v>25</v>
      </c>
      <c r="F103" s="6" t="s">
        <v>26</v>
      </c>
      <c r="G103" s="6" t="s">
        <v>232</v>
      </c>
      <c r="H103" s="6" t="s">
        <v>50</v>
      </c>
      <c r="I103" s="6" t="str">
        <f>VLOOKUP(H103,'Flow Location'!$A$1:$B$21,2,FALSE)</f>
        <v>Contained On Site, not within 5 ft. of Bayou/Surface Water/Drainage Ditch</v>
      </c>
      <c r="J103" s="5">
        <v>0.0</v>
      </c>
      <c r="K103" s="6" t="s">
        <v>198</v>
      </c>
      <c r="L103" s="6" t="str">
        <f>VLOOKUP(K103,'Structure type'!$A$1:$B$15,2,FALSE)</f>
        <v>Service Lateral</v>
      </c>
      <c r="M103" s="6" t="s">
        <v>52</v>
      </c>
      <c r="N103" s="6" t="str">
        <f>VLOOKUP(M103,'Excursion Cause'!$A$1:$B$34,2,FALSE)</f>
        <v>Collection system structural blockage</v>
      </c>
      <c r="O103" s="7">
        <v>44319.0</v>
      </c>
      <c r="P103" s="6" t="s">
        <v>335</v>
      </c>
      <c r="Q103" s="7">
        <v>44319.0</v>
      </c>
      <c r="R103" s="6" t="s">
        <v>335</v>
      </c>
      <c r="S103" s="5">
        <v>0.0</v>
      </c>
      <c r="T103" s="6" t="s">
        <v>118</v>
      </c>
      <c r="U103" s="5">
        <v>2.0210503E7</v>
      </c>
      <c r="V103" s="5">
        <v>2.0210503E7</v>
      </c>
      <c r="W103" s="5">
        <v>29.804857084</v>
      </c>
      <c r="X103" s="5">
        <v>-95.409322779</v>
      </c>
    </row>
    <row r="104" ht="15.75" customHeight="1">
      <c r="A104" s="5">
        <v>10816.0</v>
      </c>
      <c r="B104" s="6">
        <v>2021.0</v>
      </c>
      <c r="C104" s="6" t="str">
        <f t="shared" si="1"/>
        <v>4202 WALKER ST,Houston,Texas</v>
      </c>
      <c r="D104" s="6" t="s">
        <v>336</v>
      </c>
      <c r="E104" s="6" t="s">
        <v>25</v>
      </c>
      <c r="F104" s="6" t="s">
        <v>26</v>
      </c>
      <c r="G104" s="6" t="s">
        <v>141</v>
      </c>
      <c r="H104" s="6" t="s">
        <v>50</v>
      </c>
      <c r="I104" s="6" t="str">
        <f>VLOOKUP(H104,'Flow Location'!$A$1:$B$21,2,FALSE)</f>
        <v>Contained On Site, not within 5 ft. of Bayou/Surface Water/Drainage Ditch</v>
      </c>
      <c r="J104" s="5">
        <v>0.0</v>
      </c>
      <c r="K104" s="6" t="s">
        <v>198</v>
      </c>
      <c r="L104" s="6" t="str">
        <f>VLOOKUP(K104,'Structure type'!$A$1:$B$15,2,FALSE)</f>
        <v>Service Lateral</v>
      </c>
      <c r="M104" s="6" t="s">
        <v>81</v>
      </c>
      <c r="N104" s="6" t="str">
        <f>VLOOKUP(M104,'Excursion Cause'!$A$1:$B$34,2,FALSE)</f>
        <v>Collection system structural failure</v>
      </c>
      <c r="O104" s="7">
        <v>44319.0</v>
      </c>
      <c r="P104" s="6" t="s">
        <v>337</v>
      </c>
      <c r="Q104" s="7">
        <v>44319.0</v>
      </c>
      <c r="R104" s="6" t="s">
        <v>337</v>
      </c>
      <c r="S104" s="5">
        <v>0.0</v>
      </c>
      <c r="T104" s="6" t="s">
        <v>118</v>
      </c>
      <c r="U104" s="5">
        <v>2.0210503E7</v>
      </c>
      <c r="V104" s="5">
        <v>2.0210503E7</v>
      </c>
      <c r="W104" s="5">
        <v>29.742594631</v>
      </c>
      <c r="X104" s="5">
        <v>-95.336168462</v>
      </c>
    </row>
    <row r="105" ht="15.75" customHeight="1">
      <c r="A105" s="5">
        <v>10818.0</v>
      </c>
      <c r="B105" s="6">
        <v>2021.0</v>
      </c>
      <c r="C105" s="6" t="str">
        <f t="shared" si="1"/>
        <v>715 ROUSE ST,Houston,Texas</v>
      </c>
      <c r="D105" s="6" t="s">
        <v>338</v>
      </c>
      <c r="E105" s="6" t="s">
        <v>25</v>
      </c>
      <c r="F105" s="6" t="s">
        <v>26</v>
      </c>
      <c r="G105" s="6" t="s">
        <v>86</v>
      </c>
      <c r="H105" s="6" t="s">
        <v>50</v>
      </c>
      <c r="I105" s="6" t="str">
        <f>VLOOKUP(H105,'Flow Location'!$A$1:$B$21,2,FALSE)</f>
        <v>Contained On Site, not within 5 ft. of Bayou/Surface Water/Drainage Ditch</v>
      </c>
      <c r="J105" s="5">
        <v>0.0</v>
      </c>
      <c r="K105" s="6" t="s">
        <v>198</v>
      </c>
      <c r="L105" s="6" t="str">
        <f>VLOOKUP(K105,'Structure type'!$A$1:$B$15,2,FALSE)</f>
        <v>Service Lateral</v>
      </c>
      <c r="M105" s="6" t="s">
        <v>81</v>
      </c>
      <c r="N105" s="6" t="str">
        <f>VLOOKUP(M105,'Excursion Cause'!$A$1:$B$34,2,FALSE)</f>
        <v>Collection system structural failure</v>
      </c>
      <c r="O105" s="7">
        <v>44319.0</v>
      </c>
      <c r="P105" s="6" t="s">
        <v>339</v>
      </c>
      <c r="Q105" s="7">
        <v>44319.0</v>
      </c>
      <c r="R105" s="6" t="s">
        <v>339</v>
      </c>
      <c r="S105" s="5">
        <v>0.0</v>
      </c>
      <c r="T105" s="6" t="s">
        <v>170</v>
      </c>
      <c r="U105" s="5">
        <v>2.0210503E7</v>
      </c>
      <c r="V105" s="5">
        <v>2.0210503E7</v>
      </c>
      <c r="W105" s="5">
        <v>29.7759434160001</v>
      </c>
      <c r="X105" s="5">
        <v>-95.305243933</v>
      </c>
    </row>
    <row r="106" ht="15.75" customHeight="1">
      <c r="A106" s="5">
        <v>10821.0</v>
      </c>
      <c r="B106" s="6">
        <v>2021.0</v>
      </c>
      <c r="C106" s="6" t="str">
        <f t="shared" si="1"/>
        <v>4839 SCENIC DR,Houston,Texas</v>
      </c>
      <c r="D106" s="6" t="s">
        <v>340</v>
      </c>
      <c r="E106" s="6" t="s">
        <v>25</v>
      </c>
      <c r="F106" s="6" t="s">
        <v>26</v>
      </c>
      <c r="G106" s="6" t="s">
        <v>301</v>
      </c>
      <c r="H106" s="6" t="s">
        <v>28</v>
      </c>
      <c r="I106" s="6" t="str">
        <f>VLOOKUP(H106,'Flow Location'!$A$1:$B$21,2,FALSE)</f>
        <v>Storm Sewer (not contained)</v>
      </c>
      <c r="J106" s="5">
        <v>900.0</v>
      </c>
      <c r="K106" s="6" t="s">
        <v>29</v>
      </c>
      <c r="L106" s="6" t="str">
        <f>VLOOKUP(K106,'Structure type'!$A$1:$B$15,2,FALSE)</f>
        <v>Manhole</v>
      </c>
      <c r="M106" s="6" t="s">
        <v>30</v>
      </c>
      <c r="N106" s="6" t="str">
        <f>VLOOKUP(M106,'Excursion Cause'!$A$1:$B$34,2,FALSE)</f>
        <v>Grease Blockage</v>
      </c>
      <c r="O106" s="7">
        <v>44320.0</v>
      </c>
      <c r="P106" s="6" t="s">
        <v>341</v>
      </c>
      <c r="Q106" s="7">
        <v>44320.0</v>
      </c>
      <c r="R106" s="6" t="s">
        <v>342</v>
      </c>
      <c r="S106" s="5">
        <v>6.0</v>
      </c>
      <c r="T106" s="6" t="s">
        <v>33</v>
      </c>
      <c r="U106" s="5">
        <v>2.0210504E7</v>
      </c>
      <c r="V106" s="5">
        <v>2.0210504E7</v>
      </c>
      <c r="W106" s="5">
        <v>29.647956784</v>
      </c>
      <c r="X106" s="5">
        <v>-95.3525826589999</v>
      </c>
    </row>
    <row r="107" ht="15.75" customHeight="1">
      <c r="A107" s="5">
        <v>10826.0</v>
      </c>
      <c r="B107" s="6">
        <v>2021.0</v>
      </c>
      <c r="C107" s="6" t="str">
        <f t="shared" si="1"/>
        <v>4406 TALINA WAY,Houston,Texas</v>
      </c>
      <c r="D107" s="6" t="s">
        <v>343</v>
      </c>
      <c r="E107" s="6" t="s">
        <v>25</v>
      </c>
      <c r="F107" s="6" t="s">
        <v>26</v>
      </c>
      <c r="G107" s="6" t="s">
        <v>344</v>
      </c>
      <c r="H107" s="6" t="s">
        <v>28</v>
      </c>
      <c r="I107" s="6" t="str">
        <f>VLOOKUP(H107,'Flow Location'!$A$1:$B$21,2,FALSE)</f>
        <v>Storm Sewer (not contained)</v>
      </c>
      <c r="J107" s="5">
        <v>0.0</v>
      </c>
      <c r="K107" s="6" t="s">
        <v>29</v>
      </c>
      <c r="L107" s="6" t="str">
        <f>VLOOKUP(K107,'Structure type'!$A$1:$B$15,2,FALSE)</f>
        <v>Manhole</v>
      </c>
      <c r="M107" s="6" t="s">
        <v>30</v>
      </c>
      <c r="N107" s="6" t="str">
        <f>VLOOKUP(M107,'Excursion Cause'!$A$1:$B$34,2,FALSE)</f>
        <v>Grease Blockage</v>
      </c>
      <c r="O107" s="7">
        <v>44320.0</v>
      </c>
      <c r="P107" s="6" t="s">
        <v>345</v>
      </c>
      <c r="Q107" s="7">
        <v>44320.0</v>
      </c>
      <c r="R107" s="6" t="s">
        <v>345</v>
      </c>
      <c r="S107" s="5">
        <v>0.0</v>
      </c>
      <c r="T107" s="6" t="s">
        <v>33</v>
      </c>
      <c r="U107" s="5">
        <v>2.0210504E7</v>
      </c>
      <c r="V107" s="5">
        <v>2.0210504E7</v>
      </c>
      <c r="W107" s="5">
        <v>29.834337998</v>
      </c>
      <c r="X107" s="5">
        <v>-95.543912507</v>
      </c>
    </row>
    <row r="108" ht="15.75" customHeight="1">
      <c r="A108" s="5">
        <v>10831.0</v>
      </c>
      <c r="B108" s="6">
        <v>2021.0</v>
      </c>
      <c r="C108" s="6" t="str">
        <f t="shared" si="1"/>
        <v>931 ENCLAVE LAKE DR,Houston,Texas</v>
      </c>
      <c r="D108" s="6" t="s">
        <v>346</v>
      </c>
      <c r="E108" s="6" t="s">
        <v>25</v>
      </c>
      <c r="F108" s="6" t="s">
        <v>26</v>
      </c>
      <c r="G108" s="6" t="s">
        <v>347</v>
      </c>
      <c r="H108" s="6" t="s">
        <v>50</v>
      </c>
      <c r="I108" s="6" t="str">
        <f>VLOOKUP(H108,'Flow Location'!$A$1:$B$21,2,FALSE)</f>
        <v>Contained On Site, not within 5 ft. of Bayou/Surface Water/Drainage Ditch</v>
      </c>
      <c r="J108" s="5">
        <v>0.0</v>
      </c>
      <c r="K108" s="6" t="s">
        <v>51</v>
      </c>
      <c r="L108" s="6" t="str">
        <f>VLOOKUP(K108,'Structure type'!$A$1:$B$15,2,FALSE)</f>
        <v>Private Cleanout</v>
      </c>
      <c r="M108" s="6" t="s">
        <v>52</v>
      </c>
      <c r="N108" s="6" t="str">
        <f>VLOOKUP(M108,'Excursion Cause'!$A$1:$B$34,2,FALSE)</f>
        <v>Collection system structural blockage</v>
      </c>
      <c r="O108" s="7">
        <v>44320.0</v>
      </c>
      <c r="P108" s="6" t="s">
        <v>348</v>
      </c>
      <c r="Q108" s="7">
        <v>44320.0</v>
      </c>
      <c r="R108" s="6" t="s">
        <v>348</v>
      </c>
      <c r="S108" s="5">
        <v>0.0</v>
      </c>
      <c r="T108" s="6" t="s">
        <v>33</v>
      </c>
      <c r="U108" s="5">
        <v>2.0210504E7</v>
      </c>
      <c r="V108" s="5">
        <v>2.0210504E7</v>
      </c>
      <c r="W108" s="5">
        <v>29.7710510250001</v>
      </c>
      <c r="X108" s="5">
        <v>-95.6264704819999</v>
      </c>
    </row>
    <row r="109" ht="15.75" customHeight="1">
      <c r="A109" s="5">
        <v>10836.0</v>
      </c>
      <c r="B109" s="6">
        <v>2021.0</v>
      </c>
      <c r="C109" s="6" t="str">
        <f t="shared" si="1"/>
        <v>9701 FORUM PARK DR,Houston,Texas</v>
      </c>
      <c r="D109" s="6" t="s">
        <v>349</v>
      </c>
      <c r="E109" s="6" t="s">
        <v>25</v>
      </c>
      <c r="F109" s="6" t="s">
        <v>26</v>
      </c>
      <c r="G109" s="6" t="s">
        <v>100</v>
      </c>
      <c r="H109" s="6" t="s">
        <v>28</v>
      </c>
      <c r="I109" s="6" t="str">
        <f>VLOOKUP(H109,'Flow Location'!$A$1:$B$21,2,FALSE)</f>
        <v>Storm Sewer (not contained)</v>
      </c>
      <c r="J109" s="5">
        <v>410.0</v>
      </c>
      <c r="K109" s="6" t="s">
        <v>51</v>
      </c>
      <c r="L109" s="6" t="str">
        <f>VLOOKUP(K109,'Structure type'!$A$1:$B$15,2,FALSE)</f>
        <v>Private Cleanout</v>
      </c>
      <c r="M109" s="6" t="s">
        <v>30</v>
      </c>
      <c r="N109" s="6" t="str">
        <f>VLOOKUP(M109,'Excursion Cause'!$A$1:$B$34,2,FALSE)</f>
        <v>Grease Blockage</v>
      </c>
      <c r="O109" s="7">
        <v>44321.0</v>
      </c>
      <c r="P109" s="6" t="s">
        <v>350</v>
      </c>
      <c r="Q109" s="7">
        <v>44321.0</v>
      </c>
      <c r="R109" s="6" t="s">
        <v>164</v>
      </c>
      <c r="S109" s="5">
        <v>2.0</v>
      </c>
      <c r="T109" s="6" t="s">
        <v>170</v>
      </c>
      <c r="U109" s="5">
        <v>2.0210505E7</v>
      </c>
      <c r="V109" s="5">
        <v>2.0210505E7</v>
      </c>
      <c r="W109" s="5">
        <v>29.673914364</v>
      </c>
      <c r="X109" s="5">
        <v>-95.554966226</v>
      </c>
    </row>
    <row r="110" ht="15.75" customHeight="1">
      <c r="A110" s="5">
        <v>10837.0</v>
      </c>
      <c r="B110" s="6">
        <v>2021.0</v>
      </c>
      <c r="C110" s="6" t="str">
        <f t="shared" si="1"/>
        <v>709 HARVEST MOON LN,Houston,Texas</v>
      </c>
      <c r="D110" s="6" t="s">
        <v>351</v>
      </c>
      <c r="E110" s="6" t="s">
        <v>25</v>
      </c>
      <c r="F110" s="6" t="s">
        <v>26</v>
      </c>
      <c r="G110" s="6" t="s">
        <v>347</v>
      </c>
      <c r="H110" s="6" t="s">
        <v>50</v>
      </c>
      <c r="I110" s="6" t="str">
        <f>VLOOKUP(H110,'Flow Location'!$A$1:$B$21,2,FALSE)</f>
        <v>Contained On Site, not within 5 ft. of Bayou/Surface Water/Drainage Ditch</v>
      </c>
      <c r="J110" s="5">
        <v>2289.0</v>
      </c>
      <c r="K110" s="6" t="s">
        <v>190</v>
      </c>
      <c r="L110" s="6" t="str">
        <f>VLOOKUP(K110,'Structure type'!$A$1:$B$15,2,FALSE)</f>
        <v>Force Main</v>
      </c>
      <c r="M110" s="6" t="s">
        <v>81</v>
      </c>
      <c r="N110" s="6" t="str">
        <f>VLOOKUP(M110,'Excursion Cause'!$A$1:$B$34,2,FALSE)</f>
        <v>Collection system structural failure</v>
      </c>
      <c r="O110" s="7">
        <v>44321.0</v>
      </c>
      <c r="P110" s="6" t="s">
        <v>352</v>
      </c>
      <c r="Q110" s="7">
        <v>44323.0</v>
      </c>
      <c r="R110" s="6" t="s">
        <v>353</v>
      </c>
      <c r="S110" s="5">
        <v>1.0</v>
      </c>
      <c r="T110" s="6" t="s">
        <v>354</v>
      </c>
      <c r="U110" s="5">
        <v>2.0210505E7</v>
      </c>
      <c r="V110" s="5">
        <v>2.0210507E7</v>
      </c>
      <c r="W110" s="5">
        <v>29.760096758</v>
      </c>
      <c r="X110" s="5">
        <v>-95.60003199</v>
      </c>
    </row>
    <row r="111" ht="15.75" customHeight="1">
      <c r="A111" s="5">
        <v>10843.0</v>
      </c>
      <c r="B111" s="6">
        <v>2021.0</v>
      </c>
      <c r="C111" s="6" t="str">
        <f t="shared" si="1"/>
        <v>9762 TANNER RD,Houston,Texas</v>
      </c>
      <c r="D111" s="6" t="s">
        <v>355</v>
      </c>
      <c r="E111" s="6" t="s">
        <v>25</v>
      </c>
      <c r="F111" s="6" t="s">
        <v>26</v>
      </c>
      <c r="G111" s="6" t="s">
        <v>344</v>
      </c>
      <c r="H111" s="6" t="s">
        <v>50</v>
      </c>
      <c r="I111" s="6" t="str">
        <f>VLOOKUP(H111,'Flow Location'!$A$1:$B$21,2,FALSE)</f>
        <v>Contained On Site, not within 5 ft. of Bayou/Surface Water/Drainage Ditch</v>
      </c>
      <c r="J111" s="5">
        <v>0.0</v>
      </c>
      <c r="K111" s="6" t="s">
        <v>198</v>
      </c>
      <c r="L111" s="6" t="str">
        <f>VLOOKUP(K111,'Structure type'!$A$1:$B$15,2,FALSE)</f>
        <v>Service Lateral</v>
      </c>
      <c r="M111" s="6" t="s">
        <v>52</v>
      </c>
      <c r="N111" s="6" t="str">
        <f>VLOOKUP(M111,'Excursion Cause'!$A$1:$B$34,2,FALSE)</f>
        <v>Collection system structural blockage</v>
      </c>
      <c r="O111" s="7">
        <v>44321.0</v>
      </c>
      <c r="P111" s="6" t="s">
        <v>356</v>
      </c>
      <c r="Q111" s="7">
        <v>44321.0</v>
      </c>
      <c r="R111" s="6" t="s">
        <v>356</v>
      </c>
      <c r="S111" s="5">
        <v>0.0</v>
      </c>
      <c r="T111" s="6" t="s">
        <v>107</v>
      </c>
      <c r="U111" s="5">
        <v>2.0210505E7</v>
      </c>
      <c r="V111" s="5">
        <v>2.0210505E7</v>
      </c>
      <c r="W111" s="5">
        <v>29.8500574610001</v>
      </c>
      <c r="X111" s="5">
        <v>-95.534379015</v>
      </c>
    </row>
    <row r="112" ht="15.75" customHeight="1">
      <c r="A112" s="5">
        <v>10850.0</v>
      </c>
      <c r="B112" s="6">
        <v>2021.0</v>
      </c>
      <c r="C112" s="6" t="str">
        <f t="shared" si="1"/>
        <v>7228 CORPUS CHRISTI ST,Houston,Texas</v>
      </c>
      <c r="D112" s="6" t="s">
        <v>357</v>
      </c>
      <c r="E112" s="6" t="s">
        <v>25</v>
      </c>
      <c r="F112" s="6" t="s">
        <v>26</v>
      </c>
      <c r="G112" s="6" t="s">
        <v>86</v>
      </c>
      <c r="H112" s="6" t="s">
        <v>44</v>
      </c>
      <c r="I112" s="6" t="str">
        <f>VLOOKUP(H112,'Flow Location'!$A$1:$B$21,2,FALSE)</f>
        <v>Bayou/surface water/drainage ditch</v>
      </c>
      <c r="J112" s="5">
        <v>0.0</v>
      </c>
      <c r="K112" s="6" t="s">
        <v>29</v>
      </c>
      <c r="L112" s="6" t="str">
        <f>VLOOKUP(K112,'Structure type'!$A$1:$B$15,2,FALSE)</f>
        <v>Manhole</v>
      </c>
      <c r="M112" s="6" t="s">
        <v>30</v>
      </c>
      <c r="N112" s="6" t="str">
        <f>VLOOKUP(M112,'Excursion Cause'!$A$1:$B$34,2,FALSE)</f>
        <v>Grease Blockage</v>
      </c>
      <c r="O112" s="7">
        <v>44322.0</v>
      </c>
      <c r="P112" s="6" t="s">
        <v>358</v>
      </c>
      <c r="Q112" s="7">
        <v>44322.0</v>
      </c>
      <c r="R112" s="6" t="s">
        <v>358</v>
      </c>
      <c r="S112" s="5">
        <v>0.0</v>
      </c>
      <c r="T112" s="6" t="s">
        <v>33</v>
      </c>
      <c r="U112" s="5">
        <v>2.0210506E7</v>
      </c>
      <c r="V112" s="5">
        <v>2.0210506E7</v>
      </c>
      <c r="W112" s="5">
        <v>29.7821104430001</v>
      </c>
      <c r="X112" s="5">
        <v>-95.2965925519999</v>
      </c>
    </row>
    <row r="113" ht="15.75" customHeight="1">
      <c r="A113" s="5">
        <v>10853.0</v>
      </c>
      <c r="B113" s="6">
        <v>2021.0</v>
      </c>
      <c r="C113" s="6" t="str">
        <f t="shared" si="1"/>
        <v>4007 TELEPHONE RD,Houston,Texas</v>
      </c>
      <c r="D113" s="6" t="s">
        <v>359</v>
      </c>
      <c r="E113" s="6" t="s">
        <v>25</v>
      </c>
      <c r="F113" s="6" t="s">
        <v>26</v>
      </c>
      <c r="G113" s="6" t="s">
        <v>35</v>
      </c>
      <c r="H113" s="6" t="s">
        <v>28</v>
      </c>
      <c r="I113" s="6" t="str">
        <f>VLOOKUP(H113,'Flow Location'!$A$1:$B$21,2,FALSE)</f>
        <v>Storm Sewer (not contained)</v>
      </c>
      <c r="J113" s="5">
        <v>238.0</v>
      </c>
      <c r="K113" s="6" t="s">
        <v>45</v>
      </c>
      <c r="L113" s="6" t="str">
        <f>VLOOKUP(K113,'Structure type'!$A$1:$B$15,2,FALSE)</f>
        <v>City Cleanout</v>
      </c>
      <c r="M113" s="6" t="s">
        <v>56</v>
      </c>
      <c r="N113" s="6" t="str">
        <f>VLOOKUP(M113,'Excursion Cause'!$A$1:$B$34,2,FALSE)</f>
        <v>Rags/Wipes</v>
      </c>
      <c r="O113" s="7">
        <v>44322.0</v>
      </c>
      <c r="P113" s="6" t="s">
        <v>360</v>
      </c>
      <c r="Q113" s="7">
        <v>44322.0</v>
      </c>
      <c r="R113" s="6" t="s">
        <v>361</v>
      </c>
      <c r="S113" s="5">
        <v>2.0</v>
      </c>
      <c r="T113" s="6" t="s">
        <v>170</v>
      </c>
      <c r="U113" s="5">
        <v>2.0210506E7</v>
      </c>
      <c r="V113" s="5">
        <v>2.0210506E7</v>
      </c>
      <c r="W113" s="5">
        <v>29.7056628760001</v>
      </c>
      <c r="X113" s="5">
        <v>-95.3078547279999</v>
      </c>
    </row>
    <row r="114" ht="15.75" customHeight="1">
      <c r="A114" s="5">
        <v>10859.0</v>
      </c>
      <c r="B114" s="6">
        <v>2021.0</v>
      </c>
      <c r="C114" s="6" t="str">
        <f t="shared" si="1"/>
        <v>8117 HOMEWOOD LN,Houston,Texas</v>
      </c>
      <c r="D114" s="6" t="s">
        <v>362</v>
      </c>
      <c r="E114" s="6" t="s">
        <v>25</v>
      </c>
      <c r="F114" s="6" t="s">
        <v>26</v>
      </c>
      <c r="G114" s="6" t="s">
        <v>177</v>
      </c>
      <c r="H114" s="6" t="s">
        <v>87</v>
      </c>
      <c r="I114" s="6" t="str">
        <f>VLOOKUP(H114,'Flow Location'!$A$1:$B$21,2,FALSE)</f>
        <v>Within 5 ft. of Bayou/Surface Water/Drainage Ditch</v>
      </c>
      <c r="J114" s="5">
        <v>0.0</v>
      </c>
      <c r="K114" s="6" t="s">
        <v>45</v>
      </c>
      <c r="L114" s="6" t="str">
        <f>VLOOKUP(K114,'Structure type'!$A$1:$B$15,2,FALSE)</f>
        <v>City Cleanout</v>
      </c>
      <c r="M114" s="6" t="s">
        <v>52</v>
      </c>
      <c r="N114" s="6" t="str">
        <f>VLOOKUP(M114,'Excursion Cause'!$A$1:$B$34,2,FALSE)</f>
        <v>Collection system structural blockage</v>
      </c>
      <c r="O114" s="7">
        <v>44323.0</v>
      </c>
      <c r="P114" s="6" t="s">
        <v>363</v>
      </c>
      <c r="Q114" s="7">
        <v>44323.0</v>
      </c>
      <c r="R114" s="6" t="s">
        <v>363</v>
      </c>
      <c r="S114" s="5">
        <v>0.0</v>
      </c>
      <c r="T114" s="6" t="s">
        <v>118</v>
      </c>
      <c r="U114" s="5">
        <v>2.0210507E7</v>
      </c>
      <c r="V114" s="5">
        <v>2.0210507E7</v>
      </c>
      <c r="W114" s="5">
        <v>29.8423979100001</v>
      </c>
      <c r="X114" s="5">
        <v>-95.279515179</v>
      </c>
    </row>
    <row r="115" ht="15.75" customHeight="1">
      <c r="A115" s="5">
        <v>10860.0</v>
      </c>
      <c r="B115" s="6">
        <v>2021.0</v>
      </c>
      <c r="C115" s="6" t="str">
        <f t="shared" si="1"/>
        <v>7920 BRUMBLAY ST,Houston,Texas</v>
      </c>
      <c r="D115" s="6" t="s">
        <v>364</v>
      </c>
      <c r="E115" s="6" t="s">
        <v>25</v>
      </c>
      <c r="F115" s="6" t="s">
        <v>26</v>
      </c>
      <c r="G115" s="6" t="s">
        <v>365</v>
      </c>
      <c r="H115" s="6" t="s">
        <v>28</v>
      </c>
      <c r="I115" s="6" t="str">
        <f>VLOOKUP(H115,'Flow Location'!$A$1:$B$21,2,FALSE)</f>
        <v>Storm Sewer (not contained)</v>
      </c>
      <c r="J115" s="5">
        <v>0.0</v>
      </c>
      <c r="K115" s="6" t="s">
        <v>45</v>
      </c>
      <c r="L115" s="6" t="str">
        <f>VLOOKUP(K115,'Structure type'!$A$1:$B$15,2,FALSE)</f>
        <v>City Cleanout</v>
      </c>
      <c r="M115" s="6" t="s">
        <v>366</v>
      </c>
      <c r="N115" s="6" t="str">
        <f>VLOOKUP(M115,'Excursion Cause'!$A$1:$B$34,2,FALSE)</f>
        <v>Collection system structural blockage</v>
      </c>
      <c r="O115" s="7">
        <v>44323.0</v>
      </c>
      <c r="P115" s="6" t="s">
        <v>367</v>
      </c>
      <c r="Q115" s="7">
        <v>44323.0</v>
      </c>
      <c r="R115" s="6" t="s">
        <v>367</v>
      </c>
      <c r="S115" s="5">
        <v>0.0</v>
      </c>
      <c r="T115" s="6" t="s">
        <v>107</v>
      </c>
      <c r="U115" s="5">
        <v>2.0210507E7</v>
      </c>
      <c r="V115" s="5">
        <v>2.0210507E7</v>
      </c>
      <c r="W115" s="5">
        <v>29.7080330270001</v>
      </c>
      <c r="X115" s="5">
        <v>-95.280062265</v>
      </c>
    </row>
    <row r="116" ht="15.75" customHeight="1">
      <c r="A116" s="5">
        <v>10862.0</v>
      </c>
      <c r="B116" s="6">
        <v>2021.0</v>
      </c>
      <c r="C116" s="6" t="str">
        <f t="shared" si="1"/>
        <v>12023 BISSONNET ST,Houston,Texas</v>
      </c>
      <c r="D116" s="6" t="s">
        <v>153</v>
      </c>
      <c r="E116" s="6" t="s">
        <v>25</v>
      </c>
      <c r="F116" s="6" t="s">
        <v>26</v>
      </c>
      <c r="G116" s="6" t="s">
        <v>154</v>
      </c>
      <c r="H116" s="6" t="s">
        <v>28</v>
      </c>
      <c r="I116" s="6" t="str">
        <f>VLOOKUP(H116,'Flow Location'!$A$1:$B$21,2,FALSE)</f>
        <v>Storm Sewer (not contained)</v>
      </c>
      <c r="J116" s="5">
        <v>363.0</v>
      </c>
      <c r="K116" s="6" t="s">
        <v>29</v>
      </c>
      <c r="L116" s="6" t="str">
        <f>VLOOKUP(K116,'Structure type'!$A$1:$B$15,2,FALSE)</f>
        <v>Manhole</v>
      </c>
      <c r="M116" s="6" t="s">
        <v>30</v>
      </c>
      <c r="N116" s="6" t="str">
        <f>VLOOKUP(M116,'Excursion Cause'!$A$1:$B$34,2,FALSE)</f>
        <v>Grease Blockage</v>
      </c>
      <c r="O116" s="7">
        <v>44324.0</v>
      </c>
      <c r="P116" s="6" t="s">
        <v>368</v>
      </c>
      <c r="Q116" s="7">
        <v>44324.0</v>
      </c>
      <c r="R116" s="6" t="s">
        <v>369</v>
      </c>
      <c r="S116" s="5">
        <v>2.0</v>
      </c>
      <c r="T116" s="6" t="s">
        <v>59</v>
      </c>
      <c r="U116" s="5">
        <v>2.0210508E7</v>
      </c>
      <c r="V116" s="5">
        <v>2.0210508E7</v>
      </c>
      <c r="W116" s="5">
        <v>29.6753018630001</v>
      </c>
      <c r="X116" s="5">
        <v>-95.590534162</v>
      </c>
    </row>
    <row r="117" ht="15.75" customHeight="1">
      <c r="A117" s="5">
        <v>10874.0</v>
      </c>
      <c r="B117" s="6">
        <v>2021.0</v>
      </c>
      <c r="C117" s="6" t="str">
        <f t="shared" si="1"/>
        <v>1622 CRANWAY DR,Houston,Texas</v>
      </c>
      <c r="D117" s="6" t="s">
        <v>370</v>
      </c>
      <c r="E117" s="6" t="s">
        <v>25</v>
      </c>
      <c r="F117" s="6" t="s">
        <v>26</v>
      </c>
      <c r="G117" s="6" t="s">
        <v>27</v>
      </c>
      <c r="H117" s="6" t="s">
        <v>50</v>
      </c>
      <c r="I117" s="6" t="str">
        <f>VLOOKUP(H117,'Flow Location'!$A$1:$B$21,2,FALSE)</f>
        <v>Contained On Site, not within 5 ft. of Bayou/Surface Water/Drainage Ditch</v>
      </c>
      <c r="J117" s="5">
        <v>0.0</v>
      </c>
      <c r="K117" s="6" t="s">
        <v>45</v>
      </c>
      <c r="L117" s="6" t="str">
        <f>VLOOKUP(K117,'Structure type'!$A$1:$B$15,2,FALSE)</f>
        <v>City Cleanout</v>
      </c>
      <c r="M117" s="6" t="s">
        <v>56</v>
      </c>
      <c r="N117" s="6" t="str">
        <f>VLOOKUP(M117,'Excursion Cause'!$A$1:$B$34,2,FALSE)</f>
        <v>Rags/Wipes</v>
      </c>
      <c r="O117" s="7">
        <v>44325.0</v>
      </c>
      <c r="P117" s="6" t="s">
        <v>371</v>
      </c>
      <c r="Q117" s="7">
        <v>44325.0</v>
      </c>
      <c r="R117" s="6" t="s">
        <v>371</v>
      </c>
      <c r="S117" s="5">
        <v>0.0</v>
      </c>
      <c r="T117" s="6" t="s">
        <v>74</v>
      </c>
      <c r="U117" s="5">
        <v>2.0210509E7</v>
      </c>
      <c r="V117" s="5">
        <v>2.0210509E7</v>
      </c>
      <c r="W117" s="5">
        <v>29.799548155</v>
      </c>
      <c r="X117" s="5">
        <v>-95.507322231</v>
      </c>
    </row>
    <row r="118" ht="15.75" customHeight="1">
      <c r="A118" s="5">
        <v>10884.0</v>
      </c>
      <c r="B118" s="6">
        <v>2021.0</v>
      </c>
      <c r="C118" s="6" t="str">
        <f t="shared" si="1"/>
        <v>2613 LORRAINE ST,Houston,Texas</v>
      </c>
      <c r="D118" s="6" t="s">
        <v>372</v>
      </c>
      <c r="E118" s="6" t="s">
        <v>25</v>
      </c>
      <c r="F118" s="6" t="s">
        <v>26</v>
      </c>
      <c r="G118" s="6" t="s">
        <v>43</v>
      </c>
      <c r="H118" s="6" t="s">
        <v>50</v>
      </c>
      <c r="I118" s="6" t="str">
        <f>VLOOKUP(H118,'Flow Location'!$A$1:$B$21,2,FALSE)</f>
        <v>Contained On Site, not within 5 ft. of Bayou/Surface Water/Drainage Ditch</v>
      </c>
      <c r="J118" s="5">
        <v>334.0</v>
      </c>
      <c r="K118" s="6" t="s">
        <v>198</v>
      </c>
      <c r="L118" s="6" t="str">
        <f>VLOOKUP(K118,'Structure type'!$A$1:$B$15,2,FALSE)</f>
        <v>Service Lateral</v>
      </c>
      <c r="M118" s="6" t="s">
        <v>81</v>
      </c>
      <c r="N118" s="6" t="str">
        <f>VLOOKUP(M118,'Excursion Cause'!$A$1:$B$34,2,FALSE)</f>
        <v>Collection system structural failure</v>
      </c>
      <c r="O118" s="7">
        <v>44327.0</v>
      </c>
      <c r="P118" s="6" t="s">
        <v>373</v>
      </c>
      <c r="Q118" s="7">
        <v>44327.0</v>
      </c>
      <c r="R118" s="6" t="s">
        <v>374</v>
      </c>
      <c r="S118" s="5">
        <v>2.0</v>
      </c>
      <c r="T118" s="6" t="s">
        <v>107</v>
      </c>
      <c r="U118" s="5">
        <v>2.0210511E7</v>
      </c>
      <c r="V118" s="5">
        <v>2.0210511E7</v>
      </c>
      <c r="W118" s="5">
        <v>29.778593019</v>
      </c>
      <c r="X118" s="5">
        <v>-95.343333313</v>
      </c>
    </row>
    <row r="119" ht="15.75" customHeight="1">
      <c r="A119" s="5">
        <v>10889.0</v>
      </c>
      <c r="B119" s="6">
        <v>2021.0</v>
      </c>
      <c r="C119" s="6" t="str">
        <f t="shared" si="1"/>
        <v>2406 CANAL ST,Houston,Texas</v>
      </c>
      <c r="D119" s="6" t="s">
        <v>234</v>
      </c>
      <c r="E119" s="6" t="s">
        <v>25</v>
      </c>
      <c r="F119" s="6" t="s">
        <v>26</v>
      </c>
      <c r="G119" s="6" t="s">
        <v>172</v>
      </c>
      <c r="H119" s="6" t="s">
        <v>28</v>
      </c>
      <c r="I119" s="6" t="str">
        <f>VLOOKUP(H119,'Flow Location'!$A$1:$B$21,2,FALSE)</f>
        <v>Storm Sewer (not contained)</v>
      </c>
      <c r="J119" s="5">
        <v>879.0</v>
      </c>
      <c r="K119" s="6" t="s">
        <v>29</v>
      </c>
      <c r="L119" s="6" t="str">
        <f>VLOOKUP(K119,'Structure type'!$A$1:$B$15,2,FALSE)</f>
        <v>Manhole</v>
      </c>
      <c r="M119" s="6" t="s">
        <v>96</v>
      </c>
      <c r="N119" s="6" t="str">
        <f>VLOOKUP(M119,'Excursion Cause'!$A$1:$B$34,2,FALSE)</f>
        <v>Collection system temporary blockage</v>
      </c>
      <c r="O119" s="7">
        <v>44327.0</v>
      </c>
      <c r="P119" s="6" t="s">
        <v>375</v>
      </c>
      <c r="Q119" s="7">
        <v>44328.0</v>
      </c>
      <c r="R119" s="6" t="s">
        <v>376</v>
      </c>
      <c r="S119" s="5">
        <v>1.0</v>
      </c>
      <c r="T119" s="6" t="s">
        <v>377</v>
      </c>
      <c r="U119" s="5">
        <v>2.0210511E7</v>
      </c>
      <c r="V119" s="5">
        <v>2.0210512E7</v>
      </c>
      <c r="W119" s="5">
        <v>29.7576318490001</v>
      </c>
      <c r="X119" s="5">
        <v>-95.346007308</v>
      </c>
    </row>
    <row r="120" ht="15.75" customHeight="1">
      <c r="A120" s="5">
        <v>10891.0</v>
      </c>
      <c r="B120" s="6">
        <v>2021.0</v>
      </c>
      <c r="C120" s="6" t="str">
        <f t="shared" si="1"/>
        <v>6302 BRIAR GLADE DR,Houston,Texas</v>
      </c>
      <c r="D120" s="6" t="s">
        <v>378</v>
      </c>
      <c r="E120" s="6" t="s">
        <v>25</v>
      </c>
      <c r="F120" s="6" t="s">
        <v>26</v>
      </c>
      <c r="G120" s="6" t="s">
        <v>91</v>
      </c>
      <c r="H120" s="6" t="s">
        <v>28</v>
      </c>
      <c r="I120" s="6" t="str">
        <f>VLOOKUP(H120,'Flow Location'!$A$1:$B$21,2,FALSE)</f>
        <v>Storm Sewer (not contained)</v>
      </c>
      <c r="J120" s="5">
        <v>2484.0</v>
      </c>
      <c r="K120" s="6" t="s">
        <v>29</v>
      </c>
      <c r="L120" s="6" t="str">
        <f>VLOOKUP(K120,'Structure type'!$A$1:$B$15,2,FALSE)</f>
        <v>Manhole</v>
      </c>
      <c r="M120" s="6" t="s">
        <v>30</v>
      </c>
      <c r="N120" s="6" t="str">
        <f>VLOOKUP(M120,'Excursion Cause'!$A$1:$B$34,2,FALSE)</f>
        <v>Grease Blockage</v>
      </c>
      <c r="O120" s="7">
        <v>44327.0</v>
      </c>
      <c r="P120" s="6" t="s">
        <v>276</v>
      </c>
      <c r="Q120" s="7">
        <v>44328.0</v>
      </c>
      <c r="R120" s="6" t="s">
        <v>374</v>
      </c>
      <c r="S120" s="5">
        <v>2.0</v>
      </c>
      <c r="T120" s="6" t="s">
        <v>33</v>
      </c>
      <c r="U120" s="5">
        <v>2.0210511E7</v>
      </c>
      <c r="V120" s="5">
        <v>2.0210512E7</v>
      </c>
      <c r="W120" s="5">
        <v>29.7115453380001</v>
      </c>
      <c r="X120" s="5">
        <v>-95.57035473</v>
      </c>
    </row>
    <row r="121" ht="15.75" customHeight="1">
      <c r="A121" s="5">
        <v>10893.0</v>
      </c>
      <c r="B121" s="6">
        <v>2021.0</v>
      </c>
      <c r="C121" s="6" t="str">
        <f t="shared" si="1"/>
        <v>385 N POST OAK LN,Houston,Texas</v>
      </c>
      <c r="D121" s="6" t="s">
        <v>379</v>
      </c>
      <c r="E121" s="6" t="s">
        <v>25</v>
      </c>
      <c r="F121" s="6" t="s">
        <v>26</v>
      </c>
      <c r="G121" s="6" t="s">
        <v>123</v>
      </c>
      <c r="H121" s="6" t="s">
        <v>28</v>
      </c>
      <c r="I121" s="6" t="str">
        <f>VLOOKUP(H121,'Flow Location'!$A$1:$B$21,2,FALSE)</f>
        <v>Storm Sewer (not contained)</v>
      </c>
      <c r="J121" s="5">
        <v>0.0</v>
      </c>
      <c r="K121" s="6" t="s">
        <v>29</v>
      </c>
      <c r="L121" s="6" t="str">
        <f>VLOOKUP(K121,'Structure type'!$A$1:$B$15,2,FALSE)</f>
        <v>Manhole</v>
      </c>
      <c r="M121" s="6" t="s">
        <v>81</v>
      </c>
      <c r="N121" s="6" t="str">
        <f>VLOOKUP(M121,'Excursion Cause'!$A$1:$B$34,2,FALSE)</f>
        <v>Collection system structural failure</v>
      </c>
      <c r="O121" s="7">
        <v>44327.0</v>
      </c>
      <c r="P121" s="6" t="s">
        <v>380</v>
      </c>
      <c r="Q121" s="7">
        <v>44327.0</v>
      </c>
      <c r="R121" s="6" t="s">
        <v>380</v>
      </c>
      <c r="S121" s="5">
        <v>0.0</v>
      </c>
      <c r="T121" s="6" t="s">
        <v>118</v>
      </c>
      <c r="U121" s="5">
        <v>2.0210511E7</v>
      </c>
      <c r="V121" s="5">
        <v>2.0210511E7</v>
      </c>
      <c r="W121" s="5">
        <v>29.7761754690001</v>
      </c>
      <c r="X121" s="5">
        <v>-95.457824411</v>
      </c>
    </row>
    <row r="122" ht="15.75" customHeight="1">
      <c r="A122" s="5">
        <v>10894.0</v>
      </c>
      <c r="B122" s="6">
        <v>2021.0</v>
      </c>
      <c r="C122" s="6" t="str">
        <f t="shared" si="1"/>
        <v>4506 TONAWANDA DR,Houston,Texas</v>
      </c>
      <c r="D122" s="6" t="s">
        <v>381</v>
      </c>
      <c r="E122" s="6" t="s">
        <v>25</v>
      </c>
      <c r="F122" s="6" t="s">
        <v>26</v>
      </c>
      <c r="G122" s="6" t="s">
        <v>127</v>
      </c>
      <c r="H122" s="6" t="s">
        <v>50</v>
      </c>
      <c r="I122" s="6" t="str">
        <f>VLOOKUP(H122,'Flow Location'!$A$1:$B$21,2,FALSE)</f>
        <v>Contained On Site, not within 5 ft. of Bayou/Surface Water/Drainage Ditch</v>
      </c>
      <c r="J122" s="5">
        <v>0.0</v>
      </c>
      <c r="K122" s="6" t="s">
        <v>45</v>
      </c>
      <c r="L122" s="6" t="str">
        <f>VLOOKUP(K122,'Structure type'!$A$1:$B$15,2,FALSE)</f>
        <v>City Cleanout</v>
      </c>
      <c r="M122" s="6" t="s">
        <v>30</v>
      </c>
      <c r="N122" s="6" t="str">
        <f>VLOOKUP(M122,'Excursion Cause'!$A$1:$B$34,2,FALSE)</f>
        <v>Grease Blockage</v>
      </c>
      <c r="O122" s="7">
        <v>44327.0</v>
      </c>
      <c r="P122" s="6" t="s">
        <v>382</v>
      </c>
      <c r="Q122" s="7">
        <v>44327.0</v>
      </c>
      <c r="R122" s="6" t="s">
        <v>382</v>
      </c>
      <c r="S122" s="5">
        <v>0.0</v>
      </c>
      <c r="T122" s="6" t="s">
        <v>270</v>
      </c>
      <c r="U122" s="5">
        <v>2.0210511E7</v>
      </c>
      <c r="V122" s="5">
        <v>2.0210511E7</v>
      </c>
      <c r="W122" s="5">
        <v>29.66617045</v>
      </c>
      <c r="X122" s="5">
        <v>-95.453154266</v>
      </c>
    </row>
    <row r="123" ht="15.75" customHeight="1">
      <c r="A123" s="5">
        <v>10895.0</v>
      </c>
      <c r="B123" s="6">
        <v>2021.0</v>
      </c>
      <c r="C123" s="6" t="str">
        <f t="shared" si="1"/>
        <v>12336 ORMANDY ST,Houston,Texas</v>
      </c>
      <c r="D123" s="6" t="s">
        <v>383</v>
      </c>
      <c r="E123" s="6" t="s">
        <v>25</v>
      </c>
      <c r="F123" s="6" t="s">
        <v>26</v>
      </c>
      <c r="G123" s="6" t="s">
        <v>384</v>
      </c>
      <c r="H123" s="6" t="s">
        <v>50</v>
      </c>
      <c r="I123" s="6" t="str">
        <f>VLOOKUP(H123,'Flow Location'!$A$1:$B$21,2,FALSE)</f>
        <v>Contained On Site, not within 5 ft. of Bayou/Surface Water/Drainage Ditch</v>
      </c>
      <c r="J123" s="5">
        <v>0.0</v>
      </c>
      <c r="K123" s="6" t="s">
        <v>29</v>
      </c>
      <c r="L123" s="6" t="str">
        <f>VLOOKUP(K123,'Structure type'!$A$1:$B$15,2,FALSE)</f>
        <v>Manhole</v>
      </c>
      <c r="M123" s="6" t="s">
        <v>30</v>
      </c>
      <c r="N123" s="6" t="str">
        <f>VLOOKUP(M123,'Excursion Cause'!$A$1:$B$34,2,FALSE)</f>
        <v>Grease Blockage</v>
      </c>
      <c r="O123" s="7">
        <v>44327.0</v>
      </c>
      <c r="P123" s="6" t="s">
        <v>385</v>
      </c>
      <c r="Q123" s="7">
        <v>44327.0</v>
      </c>
      <c r="R123" s="6" t="s">
        <v>385</v>
      </c>
      <c r="S123" s="5">
        <v>0.0</v>
      </c>
      <c r="T123" s="6" t="s">
        <v>33</v>
      </c>
      <c r="U123" s="5">
        <v>2.0210511E7</v>
      </c>
      <c r="V123" s="5">
        <v>2.0210511E7</v>
      </c>
      <c r="W123" s="5">
        <v>29.6286662110001</v>
      </c>
      <c r="X123" s="5">
        <v>-95.50596453</v>
      </c>
    </row>
    <row r="124" ht="15.75" customHeight="1">
      <c r="A124" s="5">
        <v>10896.0</v>
      </c>
      <c r="B124" s="6">
        <v>2021.0</v>
      </c>
      <c r="C124" s="6" t="str">
        <f t="shared" si="1"/>
        <v>9102 LAKE PARK DR,Houston,Texas</v>
      </c>
      <c r="D124" s="6" t="s">
        <v>386</v>
      </c>
      <c r="E124" s="6" t="s">
        <v>25</v>
      </c>
      <c r="F124" s="6" t="s">
        <v>26</v>
      </c>
      <c r="G124" s="6" t="s">
        <v>387</v>
      </c>
      <c r="H124" s="6" t="s">
        <v>50</v>
      </c>
      <c r="I124" s="6" t="str">
        <f>VLOOKUP(H124,'Flow Location'!$A$1:$B$21,2,FALSE)</f>
        <v>Contained On Site, not within 5 ft. of Bayou/Surface Water/Drainage Ditch</v>
      </c>
      <c r="J124" s="5">
        <v>0.0</v>
      </c>
      <c r="K124" s="6" t="s">
        <v>190</v>
      </c>
      <c r="L124" s="6" t="str">
        <f>VLOOKUP(K124,'Structure type'!$A$1:$B$15,2,FALSE)</f>
        <v>Force Main</v>
      </c>
      <c r="M124" s="6" t="s">
        <v>81</v>
      </c>
      <c r="N124" s="6" t="str">
        <f>VLOOKUP(M124,'Excursion Cause'!$A$1:$B$34,2,FALSE)</f>
        <v>Collection system structural failure</v>
      </c>
      <c r="O124" s="7">
        <v>44327.0</v>
      </c>
      <c r="P124" s="6" t="s">
        <v>388</v>
      </c>
      <c r="Q124" s="7">
        <v>44327.0</v>
      </c>
      <c r="R124" s="6" t="s">
        <v>388</v>
      </c>
      <c r="S124" s="5">
        <v>0.0</v>
      </c>
      <c r="T124" s="6" t="s">
        <v>389</v>
      </c>
      <c r="U124" s="5">
        <v>2.0210511E7</v>
      </c>
      <c r="V124" s="5">
        <v>2.0210511E7</v>
      </c>
      <c r="W124" s="5">
        <v>29.843590455</v>
      </c>
      <c r="X124" s="5">
        <v>-95.261927734</v>
      </c>
    </row>
    <row r="125" ht="15.75" customHeight="1">
      <c r="A125" s="5">
        <v>10897.0</v>
      </c>
      <c r="B125" s="6">
        <v>2021.0</v>
      </c>
      <c r="C125" s="6" t="str">
        <f t="shared" si="1"/>
        <v>1221 THERESA ST,Houston,Texas</v>
      </c>
      <c r="D125" s="6" t="s">
        <v>390</v>
      </c>
      <c r="E125" s="6" t="s">
        <v>25</v>
      </c>
      <c r="F125" s="6" t="s">
        <v>26</v>
      </c>
      <c r="G125" s="6" t="s">
        <v>105</v>
      </c>
      <c r="H125" s="6" t="s">
        <v>28</v>
      </c>
      <c r="I125" s="6" t="str">
        <f>VLOOKUP(H125,'Flow Location'!$A$1:$B$21,2,FALSE)</f>
        <v>Storm Sewer (not contained)</v>
      </c>
      <c r="J125" s="5">
        <v>0.0</v>
      </c>
      <c r="K125" s="6" t="s">
        <v>45</v>
      </c>
      <c r="L125" s="6" t="str">
        <f>VLOOKUP(K125,'Structure type'!$A$1:$B$15,2,FALSE)</f>
        <v>City Cleanout</v>
      </c>
      <c r="M125" s="6" t="s">
        <v>56</v>
      </c>
      <c r="N125" s="6" t="str">
        <f>VLOOKUP(M125,'Excursion Cause'!$A$1:$B$34,2,FALSE)</f>
        <v>Rags/Wipes</v>
      </c>
      <c r="O125" s="7">
        <v>44328.0</v>
      </c>
      <c r="P125" s="6" t="s">
        <v>391</v>
      </c>
      <c r="Q125" s="7">
        <v>44328.0</v>
      </c>
      <c r="R125" s="6" t="s">
        <v>391</v>
      </c>
      <c r="S125" s="5">
        <v>0.0</v>
      </c>
      <c r="T125" s="6" t="s">
        <v>170</v>
      </c>
      <c r="U125" s="5">
        <v>2.0210512E7</v>
      </c>
      <c r="V125" s="5">
        <v>2.0210512E7</v>
      </c>
      <c r="W125" s="5">
        <v>29.6733099030001</v>
      </c>
      <c r="X125" s="5">
        <v>-95.364911601</v>
      </c>
    </row>
    <row r="126" ht="15.75" customHeight="1">
      <c r="A126" s="5">
        <v>10899.0</v>
      </c>
      <c r="B126" s="6">
        <v>2021.0</v>
      </c>
      <c r="C126" s="6" t="str">
        <f t="shared" si="1"/>
        <v>838 GREENS RD,Houston,Texas</v>
      </c>
      <c r="D126" s="6" t="s">
        <v>392</v>
      </c>
      <c r="E126" s="6" t="s">
        <v>25</v>
      </c>
      <c r="F126" s="6" t="s">
        <v>26</v>
      </c>
      <c r="G126" s="6" t="s">
        <v>393</v>
      </c>
      <c r="H126" s="6" t="s">
        <v>28</v>
      </c>
      <c r="I126" s="6" t="str">
        <f>VLOOKUP(H126,'Flow Location'!$A$1:$B$21,2,FALSE)</f>
        <v>Storm Sewer (not contained)</v>
      </c>
      <c r="J126" s="5">
        <v>2000.0</v>
      </c>
      <c r="K126" s="6" t="s">
        <v>51</v>
      </c>
      <c r="L126" s="6" t="str">
        <f>VLOOKUP(K126,'Structure type'!$A$1:$B$15,2,FALSE)</f>
        <v>Private Cleanout</v>
      </c>
      <c r="M126" s="6" t="s">
        <v>394</v>
      </c>
      <c r="N126" s="6" t="str">
        <f>VLOOKUP(M126,'Excursion Cause'!$A$1:$B$34,2,FALSE)</f>
        <v>WWTP Mechanical
Failure</v>
      </c>
      <c r="O126" s="7">
        <v>44328.0</v>
      </c>
      <c r="P126" s="6" t="s">
        <v>395</v>
      </c>
      <c r="Q126" s="7">
        <v>44329.0</v>
      </c>
      <c r="R126" s="6" t="s">
        <v>396</v>
      </c>
      <c r="S126" s="5">
        <v>4.0</v>
      </c>
      <c r="T126" s="6" t="s">
        <v>37</v>
      </c>
      <c r="U126" s="5">
        <v>2.0210512E7</v>
      </c>
      <c r="V126" s="5">
        <v>2.0210513E7</v>
      </c>
      <c r="W126" s="5">
        <v>29.950543027</v>
      </c>
      <c r="X126" s="5">
        <v>-95.3950856979999</v>
      </c>
    </row>
    <row r="127" ht="15.75" customHeight="1">
      <c r="A127" s="5">
        <v>10908.0</v>
      </c>
      <c r="B127" s="6">
        <v>2021.0</v>
      </c>
      <c r="C127" s="6" t="str">
        <f t="shared" si="1"/>
        <v>8343 GLENCREST ST,Houston,Texas</v>
      </c>
      <c r="D127" s="6" t="s">
        <v>397</v>
      </c>
      <c r="E127" s="6" t="s">
        <v>25</v>
      </c>
      <c r="F127" s="6" t="s">
        <v>26</v>
      </c>
      <c r="G127" s="6" t="s">
        <v>398</v>
      </c>
      <c r="H127" s="6" t="s">
        <v>28</v>
      </c>
      <c r="I127" s="6" t="str">
        <f>VLOOKUP(H127,'Flow Location'!$A$1:$B$21,2,FALSE)</f>
        <v>Storm Sewer (not contained)</v>
      </c>
      <c r="J127" s="5">
        <v>0.0</v>
      </c>
      <c r="K127" s="6" t="s">
        <v>29</v>
      </c>
      <c r="L127" s="6" t="str">
        <f>VLOOKUP(K127,'Structure type'!$A$1:$B$15,2,FALSE)</f>
        <v>Manhole</v>
      </c>
      <c r="M127" s="6" t="s">
        <v>30</v>
      </c>
      <c r="N127" s="6" t="str">
        <f>VLOOKUP(M127,'Excursion Cause'!$A$1:$B$34,2,FALSE)</f>
        <v>Grease Blockage</v>
      </c>
      <c r="O127" s="7">
        <v>44329.0</v>
      </c>
      <c r="P127" s="6" t="s">
        <v>399</v>
      </c>
      <c r="Q127" s="7">
        <v>44329.0</v>
      </c>
      <c r="R127" s="6" t="s">
        <v>399</v>
      </c>
      <c r="S127" s="5">
        <v>0.0</v>
      </c>
      <c r="T127" s="6" t="s">
        <v>33</v>
      </c>
      <c r="U127" s="5">
        <v>2.0210513E7</v>
      </c>
      <c r="V127" s="5">
        <v>2.0210513E7</v>
      </c>
      <c r="W127" s="5">
        <v>29.670486585</v>
      </c>
      <c r="X127" s="5">
        <v>-95.271922767</v>
      </c>
    </row>
    <row r="128" ht="15.75" customHeight="1">
      <c r="A128" s="5">
        <v>10909.0</v>
      </c>
      <c r="B128" s="6">
        <v>2021.0</v>
      </c>
      <c r="C128" s="6" t="str">
        <f t="shared" si="1"/>
        <v>9855 PAGEWOOD LN,Houston,Texas</v>
      </c>
      <c r="D128" s="6" t="s">
        <v>400</v>
      </c>
      <c r="E128" s="6" t="s">
        <v>25</v>
      </c>
      <c r="F128" s="6" t="s">
        <v>26</v>
      </c>
      <c r="G128" s="6" t="s">
        <v>401</v>
      </c>
      <c r="H128" s="6" t="s">
        <v>28</v>
      </c>
      <c r="I128" s="6" t="str">
        <f>VLOOKUP(H128,'Flow Location'!$A$1:$B$21,2,FALSE)</f>
        <v>Storm Sewer (not contained)</v>
      </c>
      <c r="J128" s="5">
        <v>672.0</v>
      </c>
      <c r="K128" s="6" t="s">
        <v>29</v>
      </c>
      <c r="L128" s="6" t="str">
        <f>VLOOKUP(K128,'Structure type'!$A$1:$B$15,2,FALSE)</f>
        <v>Manhole</v>
      </c>
      <c r="M128" s="6" t="s">
        <v>30</v>
      </c>
      <c r="N128" s="6" t="str">
        <f>VLOOKUP(M128,'Excursion Cause'!$A$1:$B$34,2,FALSE)</f>
        <v>Grease Blockage</v>
      </c>
      <c r="O128" s="7">
        <v>44329.0</v>
      </c>
      <c r="P128" s="6" t="s">
        <v>402</v>
      </c>
      <c r="Q128" s="7">
        <v>44329.0</v>
      </c>
      <c r="R128" s="6" t="s">
        <v>403</v>
      </c>
      <c r="S128" s="5">
        <v>3.0</v>
      </c>
      <c r="T128" s="6" t="s">
        <v>33</v>
      </c>
      <c r="U128" s="5">
        <v>2.0210513E7</v>
      </c>
      <c r="V128" s="5">
        <v>2.0210513E7</v>
      </c>
      <c r="W128" s="5">
        <v>29.7253225040001</v>
      </c>
      <c r="X128" s="5">
        <v>-95.543961542</v>
      </c>
    </row>
    <row r="129" ht="15.75" customHeight="1">
      <c r="A129" s="5">
        <v>10919.0</v>
      </c>
      <c r="B129" s="6">
        <v>2021.0</v>
      </c>
      <c r="C129" s="6" t="str">
        <f t="shared" si="1"/>
        <v>6303 BRIAR GLADE DR,Houston,Texas</v>
      </c>
      <c r="D129" s="6" t="s">
        <v>404</v>
      </c>
      <c r="E129" s="6" t="s">
        <v>25</v>
      </c>
      <c r="F129" s="6" t="s">
        <v>26</v>
      </c>
      <c r="G129" s="6" t="s">
        <v>91</v>
      </c>
      <c r="H129" s="6" t="s">
        <v>28</v>
      </c>
      <c r="I129" s="6" t="str">
        <f>VLOOKUP(H129,'Flow Location'!$A$1:$B$21,2,FALSE)</f>
        <v>Storm Sewer (not contained)</v>
      </c>
      <c r="J129" s="5">
        <v>2484.0</v>
      </c>
      <c r="K129" s="6" t="s">
        <v>29</v>
      </c>
      <c r="L129" s="6" t="str">
        <f>VLOOKUP(K129,'Structure type'!$A$1:$B$15,2,FALSE)</f>
        <v>Manhole</v>
      </c>
      <c r="M129" s="6" t="s">
        <v>30</v>
      </c>
      <c r="N129" s="6" t="str">
        <f>VLOOKUP(M129,'Excursion Cause'!$A$1:$B$34,2,FALSE)</f>
        <v>Grease Blockage</v>
      </c>
      <c r="O129" s="7">
        <v>44327.0</v>
      </c>
      <c r="P129" s="6" t="s">
        <v>276</v>
      </c>
      <c r="Q129" s="7">
        <v>44328.0</v>
      </c>
      <c r="R129" s="6" t="s">
        <v>374</v>
      </c>
      <c r="S129" s="5">
        <v>2.0</v>
      </c>
      <c r="T129" s="6" t="s">
        <v>33</v>
      </c>
      <c r="U129" s="5">
        <v>2.0210511E7</v>
      </c>
      <c r="V129" s="5">
        <v>2.0210512E7</v>
      </c>
      <c r="W129" s="5">
        <v>29.711572663</v>
      </c>
      <c r="X129" s="5">
        <v>-95.570300164</v>
      </c>
    </row>
    <row r="130" ht="15.75" customHeight="1">
      <c r="A130" s="5">
        <v>10920.0</v>
      </c>
      <c r="B130" s="6">
        <v>2021.0</v>
      </c>
      <c r="C130" s="6" t="str">
        <f t="shared" si="1"/>
        <v>5201 GULFTON ST,Houston,Texas</v>
      </c>
      <c r="D130" s="6" t="s">
        <v>405</v>
      </c>
      <c r="E130" s="6" t="s">
        <v>25</v>
      </c>
      <c r="F130" s="6" t="s">
        <v>26</v>
      </c>
      <c r="G130" s="6" t="s">
        <v>287</v>
      </c>
      <c r="H130" s="6" t="s">
        <v>50</v>
      </c>
      <c r="I130" s="6" t="str">
        <f>VLOOKUP(H130,'Flow Location'!$A$1:$B$21,2,FALSE)</f>
        <v>Contained On Site, not within 5 ft. of Bayou/Surface Water/Drainage Ditch</v>
      </c>
      <c r="J130" s="5">
        <v>0.0</v>
      </c>
      <c r="K130" s="6" t="s">
        <v>45</v>
      </c>
      <c r="L130" s="6" t="str">
        <f>VLOOKUP(K130,'Structure type'!$A$1:$B$15,2,FALSE)</f>
        <v>City Cleanout</v>
      </c>
      <c r="M130" s="6" t="s">
        <v>56</v>
      </c>
      <c r="N130" s="6" t="str">
        <f>VLOOKUP(M130,'Excursion Cause'!$A$1:$B$34,2,FALSE)</f>
        <v>Rags/Wipes</v>
      </c>
      <c r="O130" s="7">
        <v>44329.0</v>
      </c>
      <c r="P130" s="6" t="s">
        <v>406</v>
      </c>
      <c r="Q130" s="7">
        <v>44329.0</v>
      </c>
      <c r="R130" s="6" t="s">
        <v>406</v>
      </c>
      <c r="S130" s="5">
        <v>0.0</v>
      </c>
      <c r="T130" s="6" t="s">
        <v>270</v>
      </c>
      <c r="U130" s="5">
        <v>2.0210513E7</v>
      </c>
      <c r="V130" s="5">
        <v>2.0210513E7</v>
      </c>
      <c r="W130" s="5">
        <v>29.7164755310001</v>
      </c>
      <c r="X130" s="5">
        <v>-95.470646543</v>
      </c>
    </row>
    <row r="131" ht="15.75" customHeight="1">
      <c r="A131" s="5">
        <v>10924.0</v>
      </c>
      <c r="B131" s="6">
        <v>2021.0</v>
      </c>
      <c r="C131" s="6" t="str">
        <f t="shared" si="1"/>
        <v>6767 TELEPHONE RD,Houston,Texas</v>
      </c>
      <c r="D131" s="6" t="s">
        <v>407</v>
      </c>
      <c r="E131" s="6" t="s">
        <v>25</v>
      </c>
      <c r="F131" s="6" t="s">
        <v>26</v>
      </c>
      <c r="G131" s="6" t="s">
        <v>398</v>
      </c>
      <c r="H131" s="6" t="s">
        <v>50</v>
      </c>
      <c r="I131" s="6" t="str">
        <f>VLOOKUP(H131,'Flow Location'!$A$1:$B$21,2,FALSE)</f>
        <v>Contained On Site, not within 5 ft. of Bayou/Surface Water/Drainage Ditch</v>
      </c>
      <c r="J131" s="5">
        <v>2314.0</v>
      </c>
      <c r="K131" s="6" t="s">
        <v>29</v>
      </c>
      <c r="L131" s="6" t="str">
        <f>VLOOKUP(K131,'Structure type'!$A$1:$B$15,2,FALSE)</f>
        <v>Manhole</v>
      </c>
      <c r="M131" s="6" t="s">
        <v>30</v>
      </c>
      <c r="N131" s="6" t="str">
        <f>VLOOKUP(M131,'Excursion Cause'!$A$1:$B$34,2,FALSE)</f>
        <v>Grease Blockage</v>
      </c>
      <c r="O131" s="7">
        <v>44330.0</v>
      </c>
      <c r="P131" s="6" t="s">
        <v>408</v>
      </c>
      <c r="Q131" s="7">
        <v>44331.0</v>
      </c>
      <c r="R131" s="6" t="s">
        <v>409</v>
      </c>
      <c r="S131" s="5">
        <v>2.0</v>
      </c>
      <c r="T131" s="6" t="s">
        <v>33</v>
      </c>
      <c r="U131" s="5">
        <v>2.0210514E7</v>
      </c>
      <c r="V131" s="5">
        <v>2.0210515E7</v>
      </c>
      <c r="W131" s="5">
        <v>29.663352999</v>
      </c>
      <c r="X131" s="5">
        <v>-95.288882458</v>
      </c>
    </row>
    <row r="132" ht="15.75" customHeight="1">
      <c r="A132" s="5">
        <v>10927.0</v>
      </c>
      <c r="B132" s="6">
        <v>2021.0</v>
      </c>
      <c r="C132" s="6" t="str">
        <f t="shared" si="1"/>
        <v>4117 VAUGHN ST,Houston,Texas</v>
      </c>
      <c r="D132" s="6" t="s">
        <v>410</v>
      </c>
      <c r="E132" s="6" t="s">
        <v>25</v>
      </c>
      <c r="F132" s="6" t="s">
        <v>26</v>
      </c>
      <c r="G132" s="6" t="s">
        <v>326</v>
      </c>
      <c r="H132" s="6" t="s">
        <v>50</v>
      </c>
      <c r="I132" s="6" t="str">
        <f>VLOOKUP(H132,'Flow Location'!$A$1:$B$21,2,FALSE)</f>
        <v>Contained On Site, not within 5 ft. of Bayou/Surface Water/Drainage Ditch</v>
      </c>
      <c r="J132" s="5">
        <v>1253.0</v>
      </c>
      <c r="K132" s="6" t="s">
        <v>29</v>
      </c>
      <c r="L132" s="6" t="str">
        <f>VLOOKUP(K132,'Structure type'!$A$1:$B$15,2,FALSE)</f>
        <v>Manhole</v>
      </c>
      <c r="M132" s="6" t="s">
        <v>30</v>
      </c>
      <c r="N132" s="6" t="str">
        <f>VLOOKUP(M132,'Excursion Cause'!$A$1:$B$34,2,FALSE)</f>
        <v>Grease Blockage</v>
      </c>
      <c r="O132" s="7">
        <v>44331.0</v>
      </c>
      <c r="P132" s="6" t="s">
        <v>411</v>
      </c>
      <c r="Q132" s="7">
        <v>44332.0</v>
      </c>
      <c r="R132" s="6" t="s">
        <v>412</v>
      </c>
      <c r="S132" s="5">
        <v>1.0</v>
      </c>
      <c r="T132" s="6" t="s">
        <v>33</v>
      </c>
      <c r="U132" s="5">
        <v>2.0210515E7</v>
      </c>
      <c r="V132" s="5">
        <v>2.0210516E7</v>
      </c>
      <c r="W132" s="5">
        <v>29.8261810230001</v>
      </c>
      <c r="X132" s="5">
        <v>-95.32970174</v>
      </c>
    </row>
    <row r="133" ht="15.75" customHeight="1">
      <c r="A133" s="5">
        <v>10928.0</v>
      </c>
      <c r="B133" s="6">
        <v>2021.0</v>
      </c>
      <c r="C133" s="6" t="str">
        <f t="shared" si="1"/>
        <v>1210 NORTHWOOD ST,Houston,Texas</v>
      </c>
      <c r="D133" s="6" t="s">
        <v>413</v>
      </c>
      <c r="E133" s="6" t="s">
        <v>25</v>
      </c>
      <c r="F133" s="6" t="s">
        <v>26</v>
      </c>
      <c r="G133" s="6" t="s">
        <v>161</v>
      </c>
      <c r="H133" s="6" t="s">
        <v>44</v>
      </c>
      <c r="I133" s="6" t="str">
        <f>VLOOKUP(H133,'Flow Location'!$A$1:$B$21,2,FALSE)</f>
        <v>Bayou/surface water/drainage ditch</v>
      </c>
      <c r="J133" s="5">
        <v>1697.0</v>
      </c>
      <c r="K133" s="6" t="s">
        <v>198</v>
      </c>
      <c r="L133" s="6" t="str">
        <f>VLOOKUP(K133,'Structure type'!$A$1:$B$15,2,FALSE)</f>
        <v>Service Lateral</v>
      </c>
      <c r="M133" s="6" t="s">
        <v>366</v>
      </c>
      <c r="N133" s="6" t="str">
        <f>VLOOKUP(M133,'Excursion Cause'!$A$1:$B$34,2,FALSE)</f>
        <v>Collection system structural blockage</v>
      </c>
      <c r="O133" s="7">
        <v>44330.0</v>
      </c>
      <c r="P133" s="6" t="s">
        <v>414</v>
      </c>
      <c r="Q133" s="7">
        <v>44331.0</v>
      </c>
      <c r="R133" s="6" t="s">
        <v>415</v>
      </c>
      <c r="S133" s="5">
        <v>1.0</v>
      </c>
      <c r="T133" s="6" t="s">
        <v>107</v>
      </c>
      <c r="U133" s="5">
        <v>2.0210514E7</v>
      </c>
      <c r="V133" s="5">
        <v>2.0210515E7</v>
      </c>
      <c r="W133" s="5">
        <v>29.80258408</v>
      </c>
      <c r="X133" s="5">
        <v>-95.37806574</v>
      </c>
    </row>
    <row r="134" ht="15.75" customHeight="1">
      <c r="A134" s="5">
        <v>10929.0</v>
      </c>
      <c r="B134" s="6">
        <v>2021.0</v>
      </c>
      <c r="C134" s="6" t="str">
        <f t="shared" si="1"/>
        <v>9310 COOK RD,Houston,Texas</v>
      </c>
      <c r="D134" s="6" t="s">
        <v>416</v>
      </c>
      <c r="E134" s="6" t="s">
        <v>25</v>
      </c>
      <c r="F134" s="6" t="s">
        <v>26</v>
      </c>
      <c r="G134" s="6" t="s">
        <v>154</v>
      </c>
      <c r="H134" s="6" t="s">
        <v>50</v>
      </c>
      <c r="I134" s="6" t="str">
        <f>VLOOKUP(H134,'Flow Location'!$A$1:$B$21,2,FALSE)</f>
        <v>Contained On Site, not within 5 ft. of Bayou/Surface Water/Drainage Ditch</v>
      </c>
      <c r="J134" s="5">
        <v>0.0</v>
      </c>
      <c r="K134" s="6" t="s">
        <v>190</v>
      </c>
      <c r="L134" s="6" t="str">
        <f>VLOOKUP(K134,'Structure type'!$A$1:$B$15,2,FALSE)</f>
        <v>Force Main</v>
      </c>
      <c r="M134" s="6" t="s">
        <v>81</v>
      </c>
      <c r="N134" s="6" t="str">
        <f>VLOOKUP(M134,'Excursion Cause'!$A$1:$B$34,2,FALSE)</f>
        <v>Collection system structural failure</v>
      </c>
      <c r="O134" s="7">
        <v>44332.0</v>
      </c>
      <c r="P134" s="6" t="s">
        <v>77</v>
      </c>
      <c r="Q134" s="7">
        <v>44332.0</v>
      </c>
      <c r="R134" s="6" t="s">
        <v>77</v>
      </c>
      <c r="S134" s="5">
        <v>0.0</v>
      </c>
      <c r="T134" s="6" t="s">
        <v>417</v>
      </c>
      <c r="U134" s="5">
        <v>2.0210516E7</v>
      </c>
      <c r="V134" s="5">
        <v>2.0210516E7</v>
      </c>
      <c r="W134" s="5">
        <v>29.6778313580001</v>
      </c>
      <c r="X134" s="5">
        <v>-95.5958486759999</v>
      </c>
    </row>
    <row r="135" ht="15.75" customHeight="1">
      <c r="A135" s="5">
        <v>10936.0</v>
      </c>
      <c r="B135" s="6">
        <v>2021.0</v>
      </c>
      <c r="C135" s="6" t="str">
        <f t="shared" si="1"/>
        <v>10702 RUBIN ST,Houston,Texas</v>
      </c>
      <c r="D135" s="6" t="s">
        <v>418</v>
      </c>
      <c r="E135" s="6" t="s">
        <v>25</v>
      </c>
      <c r="F135" s="6" t="s">
        <v>26</v>
      </c>
      <c r="G135" s="6" t="s">
        <v>419</v>
      </c>
      <c r="H135" s="6" t="s">
        <v>28</v>
      </c>
      <c r="I135" s="6" t="str">
        <f>VLOOKUP(H135,'Flow Location'!$A$1:$B$21,2,FALSE)</f>
        <v>Storm Sewer (not contained)</v>
      </c>
      <c r="J135" s="5">
        <v>0.0</v>
      </c>
      <c r="K135" s="6" t="s">
        <v>29</v>
      </c>
      <c r="L135" s="6" t="str">
        <f>VLOOKUP(K135,'Structure type'!$A$1:$B$15,2,FALSE)</f>
        <v>Manhole</v>
      </c>
      <c r="M135" s="6" t="s">
        <v>366</v>
      </c>
      <c r="N135" s="6" t="str">
        <f>VLOOKUP(M135,'Excursion Cause'!$A$1:$B$34,2,FALSE)</f>
        <v>Collection system structural blockage</v>
      </c>
      <c r="O135" s="7">
        <v>44333.0</v>
      </c>
      <c r="P135" s="6" t="s">
        <v>420</v>
      </c>
      <c r="Q135" s="7">
        <v>44333.0</v>
      </c>
      <c r="R135" s="6" t="s">
        <v>420</v>
      </c>
      <c r="S135" s="5">
        <v>0.0</v>
      </c>
      <c r="T135" s="6" t="s">
        <v>59</v>
      </c>
      <c r="U135" s="5">
        <v>2.0210517E7</v>
      </c>
      <c r="V135" s="5">
        <v>2.0210517E7</v>
      </c>
      <c r="W135" s="5">
        <v>29.643479171</v>
      </c>
      <c r="X135" s="5">
        <v>-95.359672157</v>
      </c>
    </row>
    <row r="136" ht="15.75" customHeight="1">
      <c r="A136" s="5">
        <v>10938.0</v>
      </c>
      <c r="B136" s="6">
        <v>2021.0</v>
      </c>
      <c r="C136" s="6" t="str">
        <f t="shared" si="1"/>
        <v>206 FIR RIDGE DR,Houston,Texas</v>
      </c>
      <c r="D136" s="6" t="s">
        <v>421</v>
      </c>
      <c r="E136" s="6" t="s">
        <v>25</v>
      </c>
      <c r="F136" s="6" t="s">
        <v>26</v>
      </c>
      <c r="G136" s="6" t="s">
        <v>422</v>
      </c>
      <c r="H136" s="6" t="s">
        <v>50</v>
      </c>
      <c r="I136" s="6" t="str">
        <f>VLOOKUP(H136,'Flow Location'!$A$1:$B$21,2,FALSE)</f>
        <v>Contained On Site, not within 5 ft. of Bayou/Surface Water/Drainage Ditch</v>
      </c>
      <c r="J136" s="5">
        <v>7.2</v>
      </c>
      <c r="K136" s="6" t="s">
        <v>51</v>
      </c>
      <c r="L136" s="6" t="str">
        <f>VLOOKUP(K136,'Structure type'!$A$1:$B$15,2,FALSE)</f>
        <v>Private Cleanout</v>
      </c>
      <c r="M136" s="6" t="s">
        <v>423</v>
      </c>
      <c r="N136" s="6" t="str">
        <f>VLOOKUP(M136,'Excursion Cause'!$A$1:$B$34,2,FALSE)</f>
        <v>Collection system ‐ wet weather</v>
      </c>
      <c r="O136" s="7">
        <v>44334.0</v>
      </c>
      <c r="P136" s="6" t="s">
        <v>191</v>
      </c>
      <c r="Q136" s="7">
        <v>44334.0</v>
      </c>
      <c r="R136" s="6" t="s">
        <v>424</v>
      </c>
      <c r="S136" s="5">
        <v>0.0</v>
      </c>
      <c r="T136" s="6" t="s">
        <v>118</v>
      </c>
      <c r="U136" s="5">
        <v>2.0210518E7</v>
      </c>
      <c r="V136" s="5">
        <v>2.0210518E7</v>
      </c>
      <c r="W136" s="5">
        <v>30.0285852100001</v>
      </c>
      <c r="X136" s="5">
        <v>-95.120653051</v>
      </c>
    </row>
    <row r="137" ht="15.75" customHeight="1">
      <c r="A137" s="5">
        <v>10940.0</v>
      </c>
      <c r="B137" s="6">
        <v>2021.0</v>
      </c>
      <c r="C137" s="6" t="str">
        <f t="shared" si="1"/>
        <v>8410 W BARTELL DR,Houston,Texas</v>
      </c>
      <c r="D137" s="6" t="s">
        <v>425</v>
      </c>
      <c r="E137" s="6" t="s">
        <v>25</v>
      </c>
      <c r="F137" s="6" t="s">
        <v>26</v>
      </c>
      <c r="G137" s="6" t="s">
        <v>426</v>
      </c>
      <c r="H137" s="6" t="s">
        <v>28</v>
      </c>
      <c r="I137" s="6" t="str">
        <f>VLOOKUP(H137,'Flow Location'!$A$1:$B$21,2,FALSE)</f>
        <v>Storm Sewer (not contained)</v>
      </c>
      <c r="J137" s="5">
        <v>528.0</v>
      </c>
      <c r="K137" s="6" t="s">
        <v>29</v>
      </c>
      <c r="L137" s="6" t="str">
        <f>VLOOKUP(K137,'Structure type'!$A$1:$B$15,2,FALSE)</f>
        <v>Manhole</v>
      </c>
      <c r="M137" s="6" t="s">
        <v>30</v>
      </c>
      <c r="N137" s="6" t="str">
        <f>VLOOKUP(M137,'Excursion Cause'!$A$1:$B$34,2,FALSE)</f>
        <v>Grease Blockage</v>
      </c>
      <c r="O137" s="7">
        <v>44334.0</v>
      </c>
      <c r="P137" s="6" t="s">
        <v>427</v>
      </c>
      <c r="Q137" s="7">
        <v>44334.0</v>
      </c>
      <c r="R137" s="6" t="s">
        <v>428</v>
      </c>
      <c r="S137" s="5">
        <v>4.0</v>
      </c>
      <c r="T137" s="6" t="s">
        <v>33</v>
      </c>
      <c r="U137" s="5">
        <v>2.0210518E7</v>
      </c>
      <c r="V137" s="5">
        <v>2.0210518E7</v>
      </c>
      <c r="W137" s="5">
        <v>29.68115306</v>
      </c>
      <c r="X137" s="5">
        <v>-95.421653481</v>
      </c>
    </row>
    <row r="138" ht="15.75" customHeight="1">
      <c r="A138" s="5">
        <v>10948.0</v>
      </c>
      <c r="B138" s="6">
        <v>2021.0</v>
      </c>
      <c r="C138" s="6" t="str">
        <f t="shared" si="1"/>
        <v>15122 CAROL CHASE CIR,Houston,Texas</v>
      </c>
      <c r="D138" s="6" t="s">
        <v>429</v>
      </c>
      <c r="E138" s="6" t="s">
        <v>25</v>
      </c>
      <c r="F138" s="6" t="s">
        <v>26</v>
      </c>
      <c r="G138" s="6" t="s">
        <v>166</v>
      </c>
      <c r="H138" s="6" t="s">
        <v>50</v>
      </c>
      <c r="I138" s="6" t="str">
        <f>VLOOKUP(H138,'Flow Location'!$A$1:$B$21,2,FALSE)</f>
        <v>Contained On Site, not within 5 ft. of Bayou/Surface Water/Drainage Ditch</v>
      </c>
      <c r="J138" s="5">
        <v>0.0</v>
      </c>
      <c r="K138" s="6" t="s">
        <v>51</v>
      </c>
      <c r="L138" s="6" t="str">
        <f>VLOOKUP(K138,'Structure type'!$A$1:$B$15,2,FALSE)</f>
        <v>Private Cleanout</v>
      </c>
      <c r="M138" s="6" t="s">
        <v>423</v>
      </c>
      <c r="N138" s="6" t="str">
        <f>VLOOKUP(M138,'Excursion Cause'!$A$1:$B$34,2,FALSE)</f>
        <v>Collection system ‐ wet weather</v>
      </c>
      <c r="O138" s="7">
        <v>44334.0</v>
      </c>
      <c r="P138" s="6" t="s">
        <v>430</v>
      </c>
      <c r="Q138" s="7">
        <v>44334.0</v>
      </c>
      <c r="R138" s="6" t="s">
        <v>430</v>
      </c>
      <c r="S138" s="5">
        <v>0.0</v>
      </c>
      <c r="T138" s="6" t="s">
        <v>118</v>
      </c>
      <c r="U138" s="5">
        <v>2.0210518E7</v>
      </c>
      <c r="V138" s="5">
        <v>2.0210518E7</v>
      </c>
      <c r="W138" s="5">
        <v>29.6065055060001</v>
      </c>
      <c r="X138" s="5">
        <v>-95.502501547</v>
      </c>
    </row>
    <row r="139" ht="15.75" customHeight="1">
      <c r="A139" s="5">
        <v>10949.0</v>
      </c>
      <c r="B139" s="6">
        <v>2021.0</v>
      </c>
      <c r="C139" s="6" t="str">
        <f t="shared" si="1"/>
        <v>5038 CHENNAULT RD,Houston,Texas</v>
      </c>
      <c r="D139" s="6" t="s">
        <v>431</v>
      </c>
      <c r="E139" s="6" t="s">
        <v>25</v>
      </c>
      <c r="F139" s="6" t="s">
        <v>26</v>
      </c>
      <c r="G139" s="6" t="s">
        <v>120</v>
      </c>
      <c r="H139" s="6" t="s">
        <v>44</v>
      </c>
      <c r="I139" s="6" t="str">
        <f>VLOOKUP(H139,'Flow Location'!$A$1:$B$21,2,FALSE)</f>
        <v>Bayou/surface water/drainage ditch</v>
      </c>
      <c r="J139" s="5">
        <v>0.0</v>
      </c>
      <c r="K139" s="6" t="s">
        <v>29</v>
      </c>
      <c r="L139" s="6" t="str">
        <f>VLOOKUP(K139,'Structure type'!$A$1:$B$15,2,FALSE)</f>
        <v>Manhole</v>
      </c>
      <c r="M139" s="6" t="s">
        <v>423</v>
      </c>
      <c r="N139" s="6" t="str">
        <f>VLOOKUP(M139,'Excursion Cause'!$A$1:$B$34,2,FALSE)</f>
        <v>Collection system ‐ wet weather</v>
      </c>
      <c r="O139" s="7">
        <v>44334.0</v>
      </c>
      <c r="P139" s="6" t="s">
        <v>267</v>
      </c>
      <c r="Q139" s="7">
        <v>44334.0</v>
      </c>
      <c r="R139" s="6" t="s">
        <v>267</v>
      </c>
      <c r="S139" s="5">
        <v>0.0</v>
      </c>
      <c r="T139" s="6" t="s">
        <v>118</v>
      </c>
      <c r="U139" s="5">
        <v>2.0210518E7</v>
      </c>
      <c r="V139" s="5">
        <v>2.0210518E7</v>
      </c>
      <c r="W139" s="5">
        <v>29.6823517980001</v>
      </c>
      <c r="X139" s="5">
        <v>-95.343220409</v>
      </c>
    </row>
    <row r="140" ht="15.75" customHeight="1">
      <c r="A140" s="5">
        <v>10950.0</v>
      </c>
      <c r="B140" s="6">
        <v>2021.0</v>
      </c>
      <c r="C140" s="6" t="str">
        <f t="shared" si="1"/>
        <v>15111 WELLMAN LN,Houston,Texas</v>
      </c>
      <c r="D140" s="6" t="s">
        <v>432</v>
      </c>
      <c r="E140" s="6" t="s">
        <v>25</v>
      </c>
      <c r="F140" s="6" t="s">
        <v>26</v>
      </c>
      <c r="G140" s="6" t="s">
        <v>393</v>
      </c>
      <c r="H140" s="6" t="s">
        <v>50</v>
      </c>
      <c r="I140" s="6" t="str">
        <f>VLOOKUP(H140,'Flow Location'!$A$1:$B$21,2,FALSE)</f>
        <v>Contained On Site, not within 5 ft. of Bayou/Surface Water/Drainage Ditch</v>
      </c>
      <c r="J140" s="5">
        <v>0.0</v>
      </c>
      <c r="K140" s="6" t="s">
        <v>51</v>
      </c>
      <c r="L140" s="6" t="str">
        <f>VLOOKUP(K140,'Structure type'!$A$1:$B$15,2,FALSE)</f>
        <v>Private Cleanout</v>
      </c>
      <c r="M140" s="6" t="s">
        <v>30</v>
      </c>
      <c r="N140" s="6" t="str">
        <f>VLOOKUP(M140,'Excursion Cause'!$A$1:$B$34,2,FALSE)</f>
        <v>Grease Blockage</v>
      </c>
      <c r="O140" s="7">
        <v>44334.0</v>
      </c>
      <c r="P140" s="6" t="s">
        <v>433</v>
      </c>
      <c r="Q140" s="7">
        <v>44334.0</v>
      </c>
      <c r="R140" s="6" t="s">
        <v>433</v>
      </c>
      <c r="S140" s="5">
        <v>0.0</v>
      </c>
      <c r="T140" s="6" t="s">
        <v>33</v>
      </c>
      <c r="U140" s="5">
        <v>2.0210518E7</v>
      </c>
      <c r="V140" s="5">
        <v>2.0210518E7</v>
      </c>
      <c r="W140" s="5">
        <v>29.9185949000001</v>
      </c>
      <c r="X140" s="5">
        <v>-95.40437687</v>
      </c>
    </row>
    <row r="141" ht="15.75" customHeight="1">
      <c r="A141" s="5">
        <v>10951.0</v>
      </c>
      <c r="B141" s="6">
        <v>2021.0</v>
      </c>
      <c r="C141" s="6" t="str">
        <f t="shared" si="1"/>
        <v>12062 WHITE CAP LN,Houston,Texas</v>
      </c>
      <c r="D141" s="6" t="s">
        <v>434</v>
      </c>
      <c r="E141" s="6" t="s">
        <v>25</v>
      </c>
      <c r="F141" s="6" t="s">
        <v>26</v>
      </c>
      <c r="G141" s="6" t="s">
        <v>91</v>
      </c>
      <c r="H141" s="6" t="s">
        <v>28</v>
      </c>
      <c r="I141" s="6" t="str">
        <f>VLOOKUP(H141,'Flow Location'!$A$1:$B$21,2,FALSE)</f>
        <v>Storm Sewer (not contained)</v>
      </c>
      <c r="J141" s="5">
        <v>18652.0</v>
      </c>
      <c r="K141" s="6" t="s">
        <v>29</v>
      </c>
      <c r="L141" s="6" t="str">
        <f>VLOOKUP(K141,'Structure type'!$A$1:$B$15,2,FALSE)</f>
        <v>Manhole</v>
      </c>
      <c r="M141" s="6" t="s">
        <v>30</v>
      </c>
      <c r="N141" s="6" t="str">
        <f>VLOOKUP(M141,'Excursion Cause'!$A$1:$B$34,2,FALSE)</f>
        <v>Grease Blockage</v>
      </c>
      <c r="O141" s="7">
        <v>44334.0</v>
      </c>
      <c r="P141" s="6" t="s">
        <v>360</v>
      </c>
      <c r="Q141" s="7">
        <v>44336.0</v>
      </c>
      <c r="R141" s="6" t="s">
        <v>435</v>
      </c>
      <c r="S141" s="5">
        <v>6.0</v>
      </c>
      <c r="T141" s="6" t="s">
        <v>33</v>
      </c>
      <c r="U141" s="5">
        <v>2.0210518E7</v>
      </c>
      <c r="V141" s="5">
        <v>2.021052E7</v>
      </c>
      <c r="W141" s="5">
        <v>29.6903903780001</v>
      </c>
      <c r="X141" s="5">
        <v>-95.591055432</v>
      </c>
    </row>
    <row r="142" ht="15.75" customHeight="1">
      <c r="A142" s="5">
        <v>10955.0</v>
      </c>
      <c r="B142" s="6">
        <v>2021.0</v>
      </c>
      <c r="C142" s="6" t="str">
        <f t="shared" si="1"/>
        <v>3601 TELEPHONE RD,Houston,Texas</v>
      </c>
      <c r="D142" s="6" t="s">
        <v>436</v>
      </c>
      <c r="E142" s="6" t="s">
        <v>25</v>
      </c>
      <c r="F142" s="6" t="s">
        <v>26</v>
      </c>
      <c r="G142" s="6" t="s">
        <v>141</v>
      </c>
      <c r="H142" s="6" t="s">
        <v>28</v>
      </c>
      <c r="I142" s="6" t="str">
        <f>VLOOKUP(H142,'Flow Location'!$A$1:$B$21,2,FALSE)</f>
        <v>Storm Sewer (not contained)</v>
      </c>
      <c r="J142" s="5">
        <v>9140.0</v>
      </c>
      <c r="K142" s="6" t="s">
        <v>29</v>
      </c>
      <c r="L142" s="6" t="str">
        <f>VLOOKUP(K142,'Structure type'!$A$1:$B$15,2,FALSE)</f>
        <v>Manhole</v>
      </c>
      <c r="M142" s="6" t="s">
        <v>423</v>
      </c>
      <c r="N142" s="6" t="str">
        <f>VLOOKUP(M142,'Excursion Cause'!$A$1:$B$34,2,FALSE)</f>
        <v>Collection system ‐ wet weather</v>
      </c>
      <c r="O142" s="7">
        <v>44335.0</v>
      </c>
      <c r="P142" s="6" t="s">
        <v>437</v>
      </c>
      <c r="Q142" s="7">
        <v>44335.0</v>
      </c>
      <c r="R142" s="6" t="s">
        <v>438</v>
      </c>
      <c r="S142" s="5">
        <v>44.0</v>
      </c>
      <c r="T142" s="6" t="s">
        <v>439</v>
      </c>
      <c r="U142" s="5">
        <v>2.0210519E7</v>
      </c>
      <c r="V142" s="5">
        <v>2.0210519E7</v>
      </c>
      <c r="W142" s="5">
        <v>29.7094564840001</v>
      </c>
      <c r="X142" s="5">
        <v>-95.3137312809999</v>
      </c>
    </row>
    <row r="143" ht="15.75" customHeight="1">
      <c r="A143" s="5">
        <v>10956.0</v>
      </c>
      <c r="B143" s="6">
        <v>2021.0</v>
      </c>
      <c r="C143" s="6" t="str">
        <f t="shared" si="1"/>
        <v>5602 LAWSON ST,Houston,Texas</v>
      </c>
      <c r="D143" s="6" t="s">
        <v>440</v>
      </c>
      <c r="E143" s="6" t="s">
        <v>25</v>
      </c>
      <c r="F143" s="6" t="s">
        <v>26</v>
      </c>
      <c r="G143" s="6" t="s">
        <v>141</v>
      </c>
      <c r="H143" s="6" t="s">
        <v>28</v>
      </c>
      <c r="I143" s="6" t="str">
        <f>VLOOKUP(H143,'Flow Location'!$A$1:$B$21,2,FALSE)</f>
        <v>Storm Sewer (not contained)</v>
      </c>
      <c r="J143" s="5">
        <v>378.0</v>
      </c>
      <c r="K143" s="6" t="s">
        <v>29</v>
      </c>
      <c r="L143" s="6" t="str">
        <f>VLOOKUP(K143,'Structure type'!$A$1:$B$15,2,FALSE)</f>
        <v>Manhole</v>
      </c>
      <c r="M143" s="6" t="s">
        <v>423</v>
      </c>
      <c r="N143" s="6" t="str">
        <f>VLOOKUP(M143,'Excursion Cause'!$A$1:$B$34,2,FALSE)</f>
        <v>Collection system ‐ wet weather</v>
      </c>
      <c r="O143" s="7">
        <v>44335.0</v>
      </c>
      <c r="P143" s="6" t="s">
        <v>441</v>
      </c>
      <c r="Q143" s="7">
        <v>44335.0</v>
      </c>
      <c r="R143" s="6" t="s">
        <v>442</v>
      </c>
      <c r="S143" s="5">
        <v>2.0</v>
      </c>
      <c r="T143" s="6" t="s">
        <v>443</v>
      </c>
      <c r="U143" s="5">
        <v>2.0210519E7</v>
      </c>
      <c r="V143" s="5">
        <v>2.0210519E7</v>
      </c>
      <c r="W143" s="5">
        <v>29.723957721</v>
      </c>
      <c r="X143" s="5">
        <v>-95.318735193</v>
      </c>
    </row>
    <row r="144" ht="15.75" customHeight="1">
      <c r="A144" s="5">
        <v>10957.0</v>
      </c>
      <c r="B144" s="6">
        <v>2021.0</v>
      </c>
      <c r="C144" s="6" t="str">
        <f t="shared" si="1"/>
        <v>5645 TRUETT ST,Houston,Texas</v>
      </c>
      <c r="D144" s="6" t="s">
        <v>444</v>
      </c>
      <c r="E144" s="6" t="s">
        <v>25</v>
      </c>
      <c r="F144" s="6" t="s">
        <v>26</v>
      </c>
      <c r="G144" s="6" t="s">
        <v>141</v>
      </c>
      <c r="H144" s="6" t="s">
        <v>28</v>
      </c>
      <c r="I144" s="6" t="str">
        <f>VLOOKUP(H144,'Flow Location'!$A$1:$B$21,2,FALSE)</f>
        <v>Storm Sewer (not contained)</v>
      </c>
      <c r="J144" s="5">
        <v>182.0</v>
      </c>
      <c r="K144" s="6" t="s">
        <v>29</v>
      </c>
      <c r="L144" s="6" t="str">
        <f>VLOOKUP(K144,'Structure type'!$A$1:$B$15,2,FALSE)</f>
        <v>Manhole</v>
      </c>
      <c r="M144" s="6" t="s">
        <v>423</v>
      </c>
      <c r="N144" s="6" t="str">
        <f>VLOOKUP(M144,'Excursion Cause'!$A$1:$B$34,2,FALSE)</f>
        <v>Collection system ‐ wet weather</v>
      </c>
      <c r="O144" s="7">
        <v>44335.0</v>
      </c>
      <c r="P144" s="6" t="s">
        <v>445</v>
      </c>
      <c r="Q144" s="7">
        <v>44335.0</v>
      </c>
      <c r="R144" s="6" t="s">
        <v>402</v>
      </c>
      <c r="S144" s="5">
        <v>2.0</v>
      </c>
      <c r="T144" s="6" t="s">
        <v>443</v>
      </c>
      <c r="U144" s="5">
        <v>2.0210519E7</v>
      </c>
      <c r="V144" s="5">
        <v>2.0210519E7</v>
      </c>
      <c r="W144" s="5">
        <v>29.724066728</v>
      </c>
      <c r="X144" s="5">
        <v>-95.316487167</v>
      </c>
    </row>
    <row r="145" ht="15.75" customHeight="1">
      <c r="A145" s="5">
        <v>10958.0</v>
      </c>
      <c r="B145" s="6">
        <v>2021.0</v>
      </c>
      <c r="C145" s="6" t="str">
        <f t="shared" si="1"/>
        <v>5603 BARREMORE ST,Houston,Texas</v>
      </c>
      <c r="D145" s="6" t="s">
        <v>194</v>
      </c>
      <c r="E145" s="6" t="s">
        <v>25</v>
      </c>
      <c r="F145" s="6" t="s">
        <v>26</v>
      </c>
      <c r="G145" s="6" t="s">
        <v>141</v>
      </c>
      <c r="H145" s="6" t="s">
        <v>28</v>
      </c>
      <c r="I145" s="6" t="str">
        <f>VLOOKUP(H145,'Flow Location'!$A$1:$B$21,2,FALSE)</f>
        <v>Storm Sewer (not contained)</v>
      </c>
      <c r="J145" s="5">
        <v>724.0</v>
      </c>
      <c r="K145" s="6" t="s">
        <v>29</v>
      </c>
      <c r="L145" s="6" t="str">
        <f>VLOOKUP(K145,'Structure type'!$A$1:$B$15,2,FALSE)</f>
        <v>Manhole</v>
      </c>
      <c r="M145" s="6" t="s">
        <v>423</v>
      </c>
      <c r="N145" s="6" t="str">
        <f>VLOOKUP(M145,'Excursion Cause'!$A$1:$B$34,2,FALSE)</f>
        <v>Collection system ‐ wet weather</v>
      </c>
      <c r="O145" s="7">
        <v>44335.0</v>
      </c>
      <c r="P145" s="6" t="s">
        <v>446</v>
      </c>
      <c r="Q145" s="7">
        <v>44335.0</v>
      </c>
      <c r="R145" s="6" t="s">
        <v>195</v>
      </c>
      <c r="S145" s="5">
        <v>4.0</v>
      </c>
      <c r="T145" s="6" t="s">
        <v>443</v>
      </c>
      <c r="U145" s="5">
        <v>2.0210519E7</v>
      </c>
      <c r="V145" s="5">
        <v>2.0210519E7</v>
      </c>
      <c r="W145" s="5">
        <v>29.722707686</v>
      </c>
      <c r="X145" s="5">
        <v>-95.3192228519999</v>
      </c>
    </row>
    <row r="146" ht="15.75" customHeight="1">
      <c r="A146" s="5">
        <v>10959.0</v>
      </c>
      <c r="B146" s="6">
        <v>2021.0</v>
      </c>
      <c r="C146" s="6" t="str">
        <f t="shared" si="1"/>
        <v>5649 BARREMORE ST,Houston,Texas</v>
      </c>
      <c r="D146" s="6" t="s">
        <v>447</v>
      </c>
      <c r="E146" s="6" t="s">
        <v>25</v>
      </c>
      <c r="F146" s="6" t="s">
        <v>26</v>
      </c>
      <c r="G146" s="6" t="s">
        <v>141</v>
      </c>
      <c r="H146" s="6" t="s">
        <v>28</v>
      </c>
      <c r="I146" s="6" t="str">
        <f>VLOOKUP(H146,'Flow Location'!$A$1:$B$21,2,FALSE)</f>
        <v>Storm Sewer (not contained)</v>
      </c>
      <c r="J146" s="5">
        <v>266.0</v>
      </c>
      <c r="K146" s="6" t="s">
        <v>29</v>
      </c>
      <c r="L146" s="6" t="str">
        <f>VLOOKUP(K146,'Structure type'!$A$1:$B$15,2,FALSE)</f>
        <v>Manhole</v>
      </c>
      <c r="M146" s="6" t="s">
        <v>423</v>
      </c>
      <c r="N146" s="6" t="str">
        <f>VLOOKUP(M146,'Excursion Cause'!$A$1:$B$34,2,FALSE)</f>
        <v>Collection system ‐ wet weather</v>
      </c>
      <c r="O146" s="7">
        <v>44335.0</v>
      </c>
      <c r="P146" s="6" t="s">
        <v>448</v>
      </c>
      <c r="Q146" s="7">
        <v>44335.0</v>
      </c>
      <c r="R146" s="6" t="s">
        <v>199</v>
      </c>
      <c r="S146" s="5">
        <v>2.0</v>
      </c>
      <c r="T146" s="6" t="s">
        <v>443</v>
      </c>
      <c r="U146" s="5">
        <v>2.0210519E7</v>
      </c>
      <c r="V146" s="5">
        <v>2.0210519E7</v>
      </c>
      <c r="W146" s="5">
        <v>29.7220756070001</v>
      </c>
      <c r="X146" s="5">
        <v>-95.317101644</v>
      </c>
    </row>
    <row r="147" ht="15.75" customHeight="1">
      <c r="A147" s="5">
        <v>10960.0</v>
      </c>
      <c r="B147" s="6">
        <v>2021.0</v>
      </c>
      <c r="C147" s="6" t="str">
        <f t="shared" si="1"/>
        <v>3426 PARKER RD,Houston,Texas</v>
      </c>
      <c r="D147" s="6" t="s">
        <v>449</v>
      </c>
      <c r="E147" s="6" t="s">
        <v>25</v>
      </c>
      <c r="F147" s="6" t="s">
        <v>26</v>
      </c>
      <c r="G147" s="6" t="s">
        <v>109</v>
      </c>
      <c r="H147" s="6" t="s">
        <v>28</v>
      </c>
      <c r="I147" s="6" t="str">
        <f>VLOOKUP(H147,'Flow Location'!$A$1:$B$21,2,FALSE)</f>
        <v>Storm Sewer (not contained)</v>
      </c>
      <c r="J147" s="5">
        <v>26525.0</v>
      </c>
      <c r="K147" s="6" t="s">
        <v>29</v>
      </c>
      <c r="L147" s="6" t="str">
        <f>VLOOKUP(K147,'Structure type'!$A$1:$B$15,2,FALSE)</f>
        <v>Manhole</v>
      </c>
      <c r="M147" s="6" t="s">
        <v>423</v>
      </c>
      <c r="N147" s="6" t="str">
        <f>VLOOKUP(M147,'Excursion Cause'!$A$1:$B$34,2,FALSE)</f>
        <v>Collection system ‐ wet weather</v>
      </c>
      <c r="O147" s="7">
        <v>44335.0</v>
      </c>
      <c r="P147" s="6" t="s">
        <v>450</v>
      </c>
      <c r="Q147" s="7">
        <v>44335.0</v>
      </c>
      <c r="R147" s="6" t="s">
        <v>451</v>
      </c>
      <c r="S147" s="5">
        <v>49.0</v>
      </c>
      <c r="T147" s="6" t="s">
        <v>443</v>
      </c>
      <c r="U147" s="5">
        <v>2.0210519E7</v>
      </c>
      <c r="V147" s="5">
        <v>2.0210519E7</v>
      </c>
      <c r="W147" s="5">
        <v>29.859225806</v>
      </c>
      <c r="X147" s="5">
        <v>-95.335071637</v>
      </c>
    </row>
    <row r="148" ht="15.75" customHeight="1">
      <c r="A148" s="5">
        <v>10961.0</v>
      </c>
      <c r="B148" s="6">
        <v>2021.0</v>
      </c>
      <c r="C148" s="6" t="str">
        <f t="shared" si="1"/>
        <v>10330 EASTEX FWY,Houston,Texas</v>
      </c>
      <c r="D148" s="6" t="s">
        <v>452</v>
      </c>
      <c r="E148" s="6" t="s">
        <v>25</v>
      </c>
      <c r="F148" s="6" t="s">
        <v>26</v>
      </c>
      <c r="G148" s="6" t="s">
        <v>109</v>
      </c>
      <c r="H148" s="6" t="s">
        <v>28</v>
      </c>
      <c r="I148" s="6" t="str">
        <f>VLOOKUP(H148,'Flow Location'!$A$1:$B$21,2,FALSE)</f>
        <v>Storm Sewer (not contained)</v>
      </c>
      <c r="J148" s="5">
        <v>36335.0</v>
      </c>
      <c r="K148" s="6" t="s">
        <v>29</v>
      </c>
      <c r="L148" s="6" t="str">
        <f>VLOOKUP(K148,'Structure type'!$A$1:$B$15,2,FALSE)</f>
        <v>Manhole</v>
      </c>
      <c r="M148" s="6" t="s">
        <v>423</v>
      </c>
      <c r="N148" s="6" t="str">
        <f>VLOOKUP(M148,'Excursion Cause'!$A$1:$B$34,2,FALSE)</f>
        <v>Collection system ‐ wet weather</v>
      </c>
      <c r="O148" s="7">
        <v>44335.0</v>
      </c>
      <c r="P148" s="6" t="s">
        <v>373</v>
      </c>
      <c r="Q148" s="7">
        <v>44335.0</v>
      </c>
      <c r="R148" s="6" t="s">
        <v>356</v>
      </c>
      <c r="S148" s="5">
        <v>66.0</v>
      </c>
      <c r="T148" s="6" t="s">
        <v>443</v>
      </c>
      <c r="U148" s="5">
        <v>2.0210519E7</v>
      </c>
      <c r="V148" s="5">
        <v>2.0210519E7</v>
      </c>
      <c r="W148" s="5">
        <v>29.861749671</v>
      </c>
      <c r="X148" s="5">
        <v>-95.332866495</v>
      </c>
    </row>
    <row r="149" ht="15.75" customHeight="1">
      <c r="A149" s="5">
        <v>10962.0</v>
      </c>
      <c r="B149" s="6">
        <v>2021.0</v>
      </c>
      <c r="C149" s="6" t="str">
        <f t="shared" si="1"/>
        <v>1222 WRIGHTWOOD ST,Houston,Texas</v>
      </c>
      <c r="D149" s="6" t="s">
        <v>453</v>
      </c>
      <c r="E149" s="6" t="s">
        <v>25</v>
      </c>
      <c r="F149" s="6" t="s">
        <v>26</v>
      </c>
      <c r="G149" s="6" t="s">
        <v>161</v>
      </c>
      <c r="H149" s="6" t="s">
        <v>28</v>
      </c>
      <c r="I149" s="6" t="str">
        <f>VLOOKUP(H149,'Flow Location'!$A$1:$B$21,2,FALSE)</f>
        <v>Storm Sewer (not contained)</v>
      </c>
      <c r="J149" s="5">
        <v>8250.0</v>
      </c>
      <c r="K149" s="6" t="s">
        <v>29</v>
      </c>
      <c r="L149" s="6" t="str">
        <f>VLOOKUP(K149,'Structure type'!$A$1:$B$15,2,FALSE)</f>
        <v>Manhole</v>
      </c>
      <c r="M149" s="6" t="s">
        <v>423</v>
      </c>
      <c r="N149" s="6" t="str">
        <f>VLOOKUP(M149,'Excursion Cause'!$A$1:$B$34,2,FALSE)</f>
        <v>Collection system ‐ wet weather</v>
      </c>
      <c r="O149" s="7">
        <v>44335.0</v>
      </c>
      <c r="P149" s="6" t="s">
        <v>454</v>
      </c>
      <c r="Q149" s="7">
        <v>44335.0</v>
      </c>
      <c r="R149" s="6" t="s">
        <v>455</v>
      </c>
      <c r="S149" s="5">
        <v>50.0</v>
      </c>
      <c r="T149" s="6" t="s">
        <v>443</v>
      </c>
      <c r="U149" s="5">
        <v>2.0210519E7</v>
      </c>
      <c r="V149" s="5">
        <v>2.0210519E7</v>
      </c>
      <c r="W149" s="5">
        <v>29.781040143</v>
      </c>
      <c r="X149" s="5">
        <v>-95.369872539</v>
      </c>
    </row>
    <row r="150" ht="15.75" customHeight="1">
      <c r="A150" s="5">
        <v>10963.0</v>
      </c>
      <c r="B150" s="6">
        <v>2021.0</v>
      </c>
      <c r="C150" s="6" t="str">
        <f t="shared" si="1"/>
        <v>1424 WRIGHTWOOD ST,Houston,Texas</v>
      </c>
      <c r="D150" s="6" t="s">
        <v>456</v>
      </c>
      <c r="E150" s="6" t="s">
        <v>25</v>
      </c>
      <c r="F150" s="6" t="s">
        <v>26</v>
      </c>
      <c r="G150" s="6" t="s">
        <v>161</v>
      </c>
      <c r="H150" s="6" t="s">
        <v>28</v>
      </c>
      <c r="I150" s="6" t="str">
        <f>VLOOKUP(H150,'Flow Location'!$A$1:$B$21,2,FALSE)</f>
        <v>Storm Sewer (not contained)</v>
      </c>
      <c r="J150" s="5">
        <v>4125.0</v>
      </c>
      <c r="K150" s="6" t="s">
        <v>29</v>
      </c>
      <c r="L150" s="6" t="str">
        <f>VLOOKUP(K150,'Structure type'!$A$1:$B$15,2,FALSE)</f>
        <v>Manhole</v>
      </c>
      <c r="M150" s="6" t="s">
        <v>423</v>
      </c>
      <c r="N150" s="6" t="str">
        <f>VLOOKUP(M150,'Excursion Cause'!$A$1:$B$34,2,FALSE)</f>
        <v>Collection system ‐ wet weather</v>
      </c>
      <c r="O150" s="7">
        <v>44335.0</v>
      </c>
      <c r="P150" s="6" t="s">
        <v>457</v>
      </c>
      <c r="Q150" s="7">
        <v>44335.0</v>
      </c>
      <c r="R150" s="6" t="s">
        <v>458</v>
      </c>
      <c r="S150" s="5">
        <v>25.0</v>
      </c>
      <c r="T150" s="6" t="s">
        <v>443</v>
      </c>
      <c r="U150" s="5">
        <v>2.0210519E7</v>
      </c>
      <c r="V150" s="5">
        <v>2.0210519E7</v>
      </c>
      <c r="W150" s="5">
        <v>29.781034656</v>
      </c>
      <c r="X150" s="5">
        <v>-95.3713121389999</v>
      </c>
    </row>
    <row r="151" ht="15.75" customHeight="1">
      <c r="A151" s="5">
        <v>10964.0</v>
      </c>
      <c r="B151" s="6">
        <v>2021.0</v>
      </c>
      <c r="C151" s="6" t="str">
        <f t="shared" si="1"/>
        <v>1301 WAYSIDE DR,Houston,Texas</v>
      </c>
      <c r="D151" s="6" t="s">
        <v>459</v>
      </c>
      <c r="E151" s="6" t="s">
        <v>25</v>
      </c>
      <c r="F151" s="6" t="s">
        <v>26</v>
      </c>
      <c r="G151" s="6" t="s">
        <v>227</v>
      </c>
      <c r="H151" s="6" t="s">
        <v>28</v>
      </c>
      <c r="I151" s="6" t="str">
        <f>VLOOKUP(H151,'Flow Location'!$A$1:$B$21,2,FALSE)</f>
        <v>Storm Sewer (not contained)</v>
      </c>
      <c r="J151" s="5">
        <v>1210.0</v>
      </c>
      <c r="K151" s="6" t="s">
        <v>29</v>
      </c>
      <c r="L151" s="6" t="str">
        <f>VLOOKUP(K151,'Structure type'!$A$1:$B$15,2,FALSE)</f>
        <v>Manhole</v>
      </c>
      <c r="M151" s="6" t="s">
        <v>423</v>
      </c>
      <c r="N151" s="6" t="str">
        <f>VLOOKUP(M151,'Excursion Cause'!$A$1:$B$34,2,FALSE)</f>
        <v>Collection system ‐ wet weather</v>
      </c>
      <c r="O151" s="7">
        <v>44335.0</v>
      </c>
      <c r="P151" s="6" t="s">
        <v>460</v>
      </c>
      <c r="Q151" s="7">
        <v>44335.0</v>
      </c>
      <c r="R151" s="6" t="s">
        <v>220</v>
      </c>
      <c r="S151" s="5">
        <v>5.0</v>
      </c>
      <c r="T151" s="6" t="s">
        <v>443</v>
      </c>
      <c r="U151" s="5">
        <v>2.0210519E7</v>
      </c>
      <c r="V151" s="5">
        <v>2.0210519E7</v>
      </c>
      <c r="W151" s="5">
        <v>29.745163593</v>
      </c>
      <c r="X151" s="5">
        <v>-95.3029391109999</v>
      </c>
    </row>
    <row r="152" ht="15.75" customHeight="1">
      <c r="A152" s="5">
        <v>10965.0</v>
      </c>
      <c r="B152" s="6">
        <v>2021.0</v>
      </c>
      <c r="C152" s="6" t="str">
        <f t="shared" si="1"/>
        <v>6820 LYONS AVE,Houston,Texas</v>
      </c>
      <c r="D152" s="6" t="s">
        <v>461</v>
      </c>
      <c r="E152" s="6" t="s">
        <v>25</v>
      </c>
      <c r="F152" s="6" t="s">
        <v>26</v>
      </c>
      <c r="G152" s="6" t="s">
        <v>86</v>
      </c>
      <c r="H152" s="6" t="s">
        <v>28</v>
      </c>
      <c r="I152" s="6" t="str">
        <f>VLOOKUP(H152,'Flow Location'!$A$1:$B$21,2,FALSE)</f>
        <v>Storm Sewer (not contained)</v>
      </c>
      <c r="J152" s="5">
        <v>737.0</v>
      </c>
      <c r="K152" s="6" t="s">
        <v>29</v>
      </c>
      <c r="L152" s="6" t="str">
        <f>VLOOKUP(K152,'Structure type'!$A$1:$B$15,2,FALSE)</f>
        <v>Manhole</v>
      </c>
      <c r="M152" s="6" t="s">
        <v>423</v>
      </c>
      <c r="N152" s="6" t="str">
        <f>VLOOKUP(M152,'Excursion Cause'!$A$1:$B$34,2,FALSE)</f>
        <v>Collection system ‐ wet weather</v>
      </c>
      <c r="O152" s="7">
        <v>44335.0</v>
      </c>
      <c r="P152" s="6" t="s">
        <v>62</v>
      </c>
      <c r="Q152" s="7">
        <v>44335.0</v>
      </c>
      <c r="R152" s="6" t="s">
        <v>220</v>
      </c>
      <c r="S152" s="5">
        <v>3.0</v>
      </c>
      <c r="T152" s="6" t="s">
        <v>443</v>
      </c>
      <c r="U152" s="5">
        <v>2.0210519E7</v>
      </c>
      <c r="V152" s="5">
        <v>2.0210519E7</v>
      </c>
      <c r="W152" s="5">
        <v>29.7764670340001</v>
      </c>
      <c r="X152" s="5">
        <v>-95.3014849849999</v>
      </c>
    </row>
    <row r="153" ht="15.75" customHeight="1">
      <c r="A153" s="5">
        <v>10966.0</v>
      </c>
      <c r="B153" s="6">
        <v>2021.0</v>
      </c>
      <c r="C153" s="6" t="str">
        <f t="shared" si="1"/>
        <v>308 WASHINGTON AVE,Houston,Texas</v>
      </c>
      <c r="D153" s="6" t="s">
        <v>462</v>
      </c>
      <c r="E153" s="6" t="s">
        <v>25</v>
      </c>
      <c r="F153" s="6" t="s">
        <v>26</v>
      </c>
      <c r="G153" s="6" t="s">
        <v>463</v>
      </c>
      <c r="H153" s="6" t="s">
        <v>44</v>
      </c>
      <c r="I153" s="6" t="str">
        <f>VLOOKUP(H153,'Flow Location'!$A$1:$B$21,2,FALSE)</f>
        <v>Bayou/surface water/drainage ditch</v>
      </c>
      <c r="J153" s="5">
        <v>24050.0</v>
      </c>
      <c r="K153" s="6" t="s">
        <v>29</v>
      </c>
      <c r="L153" s="6" t="str">
        <f>VLOOKUP(K153,'Structure type'!$A$1:$B$15,2,FALSE)</f>
        <v>Manhole</v>
      </c>
      <c r="M153" s="6" t="s">
        <v>423</v>
      </c>
      <c r="N153" s="6" t="str">
        <f>VLOOKUP(M153,'Excursion Cause'!$A$1:$B$34,2,FALSE)</f>
        <v>Collection system ‐ wet weather</v>
      </c>
      <c r="O153" s="7">
        <v>44335.0</v>
      </c>
      <c r="P153" s="6" t="s">
        <v>183</v>
      </c>
      <c r="Q153" s="7">
        <v>44335.0</v>
      </c>
      <c r="R153" s="6" t="s">
        <v>156</v>
      </c>
      <c r="S153" s="5">
        <v>82.0</v>
      </c>
      <c r="T153" s="6" t="s">
        <v>443</v>
      </c>
      <c r="U153" s="5">
        <v>2.0210519E7</v>
      </c>
      <c r="V153" s="5">
        <v>2.0210519E7</v>
      </c>
      <c r="W153" s="5">
        <v>29.765427318</v>
      </c>
      <c r="X153" s="5">
        <v>-95.361434913</v>
      </c>
    </row>
    <row r="154" ht="15.75" customHeight="1">
      <c r="A154" s="5">
        <v>10968.0</v>
      </c>
      <c r="B154" s="6">
        <v>2021.0</v>
      </c>
      <c r="C154" s="6" t="str">
        <f t="shared" si="1"/>
        <v>1 N MAIN ST,Houston,Texas</v>
      </c>
      <c r="D154" s="6" t="s">
        <v>464</v>
      </c>
      <c r="E154" s="6" t="s">
        <v>25</v>
      </c>
      <c r="F154" s="6" t="s">
        <v>26</v>
      </c>
      <c r="G154" s="6" t="s">
        <v>463</v>
      </c>
      <c r="H154" s="6" t="s">
        <v>28</v>
      </c>
      <c r="I154" s="6" t="str">
        <f>VLOOKUP(H154,'Flow Location'!$A$1:$B$21,2,FALSE)</f>
        <v>Storm Sewer (not contained)</v>
      </c>
      <c r="J154" s="5">
        <v>5300.0</v>
      </c>
      <c r="K154" s="6" t="s">
        <v>29</v>
      </c>
      <c r="L154" s="6" t="str">
        <f>VLOOKUP(K154,'Structure type'!$A$1:$B$15,2,FALSE)</f>
        <v>Manhole</v>
      </c>
      <c r="M154" s="6" t="s">
        <v>423</v>
      </c>
      <c r="N154" s="6" t="str">
        <f>VLOOKUP(M154,'Excursion Cause'!$A$1:$B$34,2,FALSE)</f>
        <v>Collection system ‐ wet weather</v>
      </c>
      <c r="O154" s="7">
        <v>44335.0</v>
      </c>
      <c r="P154" s="6" t="s">
        <v>225</v>
      </c>
      <c r="Q154" s="7">
        <v>44335.0</v>
      </c>
      <c r="R154" s="6" t="s">
        <v>139</v>
      </c>
      <c r="S154" s="5">
        <v>41.0</v>
      </c>
      <c r="T154" s="6" t="s">
        <v>439</v>
      </c>
      <c r="U154" s="5">
        <v>2.0210519E7</v>
      </c>
      <c r="V154" s="5">
        <v>2.0210519E7</v>
      </c>
      <c r="W154" s="5">
        <v>30.0482373780001</v>
      </c>
      <c r="X154" s="5">
        <v>-95.185461424</v>
      </c>
    </row>
    <row r="155" ht="15.75" customHeight="1">
      <c r="A155" s="5">
        <v>10970.0</v>
      </c>
      <c r="B155" s="6">
        <v>2021.0</v>
      </c>
      <c r="C155" s="6" t="str">
        <f t="shared" si="1"/>
        <v>24119 GLENGYLE CT,Houston,Texas</v>
      </c>
      <c r="D155" s="6" t="s">
        <v>465</v>
      </c>
      <c r="E155" s="6" t="s">
        <v>25</v>
      </c>
      <c r="F155" s="6" t="s">
        <v>26</v>
      </c>
      <c r="G155" s="6" t="s">
        <v>422</v>
      </c>
      <c r="H155" s="6" t="s">
        <v>50</v>
      </c>
      <c r="I155" s="6" t="str">
        <f>VLOOKUP(H155,'Flow Location'!$A$1:$B$21,2,FALSE)</f>
        <v>Contained On Site, not within 5 ft. of Bayou/Surface Water/Drainage Ditch</v>
      </c>
      <c r="J155" s="5">
        <v>0.0</v>
      </c>
      <c r="K155" s="6" t="s">
        <v>51</v>
      </c>
      <c r="L155" s="6" t="str">
        <f>VLOOKUP(K155,'Structure type'!$A$1:$B$15,2,FALSE)</f>
        <v>Private Cleanout</v>
      </c>
      <c r="M155" s="6" t="s">
        <v>423</v>
      </c>
      <c r="N155" s="6" t="str">
        <f>VLOOKUP(M155,'Excursion Cause'!$A$1:$B$34,2,FALSE)</f>
        <v>Collection system ‐ wet weather</v>
      </c>
      <c r="O155" s="7">
        <v>44335.0</v>
      </c>
      <c r="P155" s="6" t="s">
        <v>466</v>
      </c>
      <c r="Q155" s="7">
        <v>44335.0</v>
      </c>
      <c r="R155" s="6" t="s">
        <v>466</v>
      </c>
      <c r="S155" s="5">
        <v>0.0</v>
      </c>
      <c r="T155" s="6" t="s">
        <v>118</v>
      </c>
      <c r="U155" s="5">
        <v>2.0210519E7</v>
      </c>
      <c r="V155" s="5">
        <v>2.0210519E7</v>
      </c>
      <c r="W155" s="5">
        <v>30.021331091</v>
      </c>
      <c r="X155" s="5">
        <v>-95.1192674389999</v>
      </c>
    </row>
    <row r="156" ht="15.75" customHeight="1">
      <c r="A156" s="5">
        <v>10972.0</v>
      </c>
      <c r="B156" s="6">
        <v>2021.0</v>
      </c>
      <c r="C156" s="6" t="str">
        <f t="shared" si="1"/>
        <v>24115 GLENGYLE CT,Houston,Texas</v>
      </c>
      <c r="D156" s="6" t="s">
        <v>467</v>
      </c>
      <c r="E156" s="6" t="s">
        <v>25</v>
      </c>
      <c r="F156" s="6" t="s">
        <v>26</v>
      </c>
      <c r="G156" s="6" t="s">
        <v>422</v>
      </c>
      <c r="H156" s="6" t="s">
        <v>50</v>
      </c>
      <c r="I156" s="6" t="str">
        <f>VLOOKUP(H156,'Flow Location'!$A$1:$B$21,2,FALSE)</f>
        <v>Contained On Site, not within 5 ft. of Bayou/Surface Water/Drainage Ditch</v>
      </c>
      <c r="J156" s="5">
        <v>0.0</v>
      </c>
      <c r="K156" s="6" t="s">
        <v>51</v>
      </c>
      <c r="L156" s="6" t="str">
        <f>VLOOKUP(K156,'Structure type'!$A$1:$B$15,2,FALSE)</f>
        <v>Private Cleanout</v>
      </c>
      <c r="M156" s="6" t="s">
        <v>423</v>
      </c>
      <c r="N156" s="6" t="str">
        <f>VLOOKUP(M156,'Excursion Cause'!$A$1:$B$34,2,FALSE)</f>
        <v>Collection system ‐ wet weather</v>
      </c>
      <c r="O156" s="7">
        <v>44335.0</v>
      </c>
      <c r="P156" s="6" t="s">
        <v>468</v>
      </c>
      <c r="Q156" s="7">
        <v>44335.0</v>
      </c>
      <c r="R156" s="6" t="s">
        <v>468</v>
      </c>
      <c r="S156" s="5">
        <v>0.0</v>
      </c>
      <c r="T156" s="6" t="s">
        <v>118</v>
      </c>
      <c r="U156" s="5">
        <v>2.0210519E7</v>
      </c>
      <c r="V156" s="5">
        <v>2.0210519E7</v>
      </c>
      <c r="W156" s="5">
        <v>30.021163244</v>
      </c>
      <c r="X156" s="5">
        <v>-95.11920491</v>
      </c>
    </row>
    <row r="157" ht="15.75" customHeight="1">
      <c r="A157" s="5">
        <v>10973.0</v>
      </c>
      <c r="B157" s="6">
        <v>2021.0</v>
      </c>
      <c r="C157" s="6" t="str">
        <f t="shared" si="1"/>
        <v>24007 GLENGYLE CT,Houston,Texas</v>
      </c>
      <c r="D157" s="6" t="s">
        <v>469</v>
      </c>
      <c r="E157" s="6" t="s">
        <v>25</v>
      </c>
      <c r="F157" s="6" t="s">
        <v>26</v>
      </c>
      <c r="G157" s="6" t="s">
        <v>422</v>
      </c>
      <c r="H157" s="6" t="s">
        <v>50</v>
      </c>
      <c r="I157" s="6" t="str">
        <f>VLOOKUP(H157,'Flow Location'!$A$1:$B$21,2,FALSE)</f>
        <v>Contained On Site, not within 5 ft. of Bayou/Surface Water/Drainage Ditch</v>
      </c>
      <c r="J157" s="5">
        <v>0.0</v>
      </c>
      <c r="K157" s="6" t="s">
        <v>51</v>
      </c>
      <c r="L157" s="6" t="str">
        <f>VLOOKUP(K157,'Structure type'!$A$1:$B$15,2,FALSE)</f>
        <v>Private Cleanout</v>
      </c>
      <c r="M157" s="6" t="s">
        <v>423</v>
      </c>
      <c r="N157" s="6" t="str">
        <f>VLOOKUP(M157,'Excursion Cause'!$A$1:$B$34,2,FALSE)</f>
        <v>Collection system ‐ wet weather</v>
      </c>
      <c r="O157" s="7">
        <v>44335.0</v>
      </c>
      <c r="P157" s="6" t="s">
        <v>93</v>
      </c>
      <c r="Q157" s="7">
        <v>44335.0</v>
      </c>
      <c r="R157" s="6" t="s">
        <v>93</v>
      </c>
      <c r="S157" s="5">
        <v>0.0</v>
      </c>
      <c r="T157" s="6" t="s">
        <v>118</v>
      </c>
      <c r="U157" s="5">
        <v>2.0210519E7</v>
      </c>
      <c r="V157" s="5">
        <v>2.0210519E7</v>
      </c>
      <c r="W157" s="5">
        <v>30.020771599</v>
      </c>
      <c r="X157" s="5">
        <v>-95.1190588969999</v>
      </c>
    </row>
    <row r="158" ht="15.75" customHeight="1">
      <c r="A158" s="5">
        <v>10974.0</v>
      </c>
      <c r="B158" s="6">
        <v>2021.0</v>
      </c>
      <c r="C158" s="6" t="str">
        <f t="shared" si="1"/>
        <v>7546 JASON ST,Houston,Texas</v>
      </c>
      <c r="D158" s="6" t="s">
        <v>470</v>
      </c>
      <c r="E158" s="6" t="s">
        <v>25</v>
      </c>
      <c r="F158" s="6" t="s">
        <v>26</v>
      </c>
      <c r="G158" s="6" t="s">
        <v>471</v>
      </c>
      <c r="H158" s="6" t="s">
        <v>28</v>
      </c>
      <c r="I158" s="6" t="str">
        <f>VLOOKUP(H158,'Flow Location'!$A$1:$B$21,2,FALSE)</f>
        <v>Storm Sewer (not contained)</v>
      </c>
      <c r="J158" s="5">
        <v>1164.0</v>
      </c>
      <c r="K158" s="6" t="s">
        <v>29</v>
      </c>
      <c r="L158" s="6" t="str">
        <f>VLOOKUP(K158,'Structure type'!$A$1:$B$15,2,FALSE)</f>
        <v>Manhole</v>
      </c>
      <c r="M158" s="6" t="s">
        <v>81</v>
      </c>
      <c r="N158" s="6" t="str">
        <f>VLOOKUP(M158,'Excursion Cause'!$A$1:$B$34,2,FALSE)</f>
        <v>Collection system structural failure</v>
      </c>
      <c r="O158" s="7">
        <v>44335.0</v>
      </c>
      <c r="P158" s="6" t="s">
        <v>472</v>
      </c>
      <c r="Q158" s="7">
        <v>44335.0</v>
      </c>
      <c r="R158" s="6" t="s">
        <v>473</v>
      </c>
      <c r="S158" s="5">
        <v>2.0</v>
      </c>
      <c r="T158" s="6" t="s">
        <v>474</v>
      </c>
      <c r="U158" s="5">
        <v>2.0210519E7</v>
      </c>
      <c r="V158" s="5">
        <v>2.0210519E7</v>
      </c>
      <c r="W158" s="5">
        <v>29.684519777</v>
      </c>
      <c r="X158" s="5">
        <v>-95.5201359819999</v>
      </c>
    </row>
    <row r="159" ht="15.75" customHeight="1">
      <c r="A159" s="5">
        <v>10976.0</v>
      </c>
      <c r="B159" s="6">
        <v>2021.0</v>
      </c>
      <c r="C159" s="6" t="str">
        <f t="shared" si="1"/>
        <v>203 FIR RIDGE DR,Houston,Texas</v>
      </c>
      <c r="D159" s="6" t="s">
        <v>475</v>
      </c>
      <c r="E159" s="6" t="s">
        <v>25</v>
      </c>
      <c r="F159" s="6" t="s">
        <v>26</v>
      </c>
      <c r="G159" s="6" t="s">
        <v>422</v>
      </c>
      <c r="H159" s="6" t="s">
        <v>50</v>
      </c>
      <c r="I159" s="6" t="str">
        <f>VLOOKUP(H159,'Flow Location'!$A$1:$B$21,2,FALSE)</f>
        <v>Contained On Site, not within 5 ft. of Bayou/Surface Water/Drainage Ditch</v>
      </c>
      <c r="J159" s="5">
        <v>0.0</v>
      </c>
      <c r="K159" s="6" t="s">
        <v>51</v>
      </c>
      <c r="L159" s="6" t="str">
        <f>VLOOKUP(K159,'Structure type'!$A$1:$B$15,2,FALSE)</f>
        <v>Private Cleanout</v>
      </c>
      <c r="M159" s="6" t="s">
        <v>423</v>
      </c>
      <c r="N159" s="6" t="str">
        <f>VLOOKUP(M159,'Excursion Cause'!$A$1:$B$34,2,FALSE)</f>
        <v>Collection system ‐ wet weather</v>
      </c>
      <c r="O159" s="7">
        <v>44335.0</v>
      </c>
      <c r="P159" s="6" t="s">
        <v>295</v>
      </c>
      <c r="Q159" s="7">
        <v>44335.0</v>
      </c>
      <c r="R159" s="6" t="s">
        <v>295</v>
      </c>
      <c r="S159" s="5">
        <v>0.0</v>
      </c>
      <c r="T159" s="6" t="s">
        <v>118</v>
      </c>
      <c r="U159" s="5">
        <v>2.0210519E7</v>
      </c>
      <c r="V159" s="5">
        <v>2.0210519E7</v>
      </c>
      <c r="W159" s="5">
        <v>30.0286586350001</v>
      </c>
      <c r="X159" s="5">
        <v>-95.120716083</v>
      </c>
    </row>
    <row r="160" ht="15.75" customHeight="1">
      <c r="A160" s="5">
        <v>10982.0</v>
      </c>
      <c r="B160" s="6">
        <v>2021.0</v>
      </c>
      <c r="C160" s="6" t="str">
        <f t="shared" si="1"/>
        <v>11911 KIRKNOLL DR,Houston,Texas</v>
      </c>
      <c r="D160" s="6" t="s">
        <v>476</v>
      </c>
      <c r="E160" s="6" t="s">
        <v>25</v>
      </c>
      <c r="F160" s="6" t="s">
        <v>26</v>
      </c>
      <c r="G160" s="6" t="s">
        <v>477</v>
      </c>
      <c r="H160" s="6" t="s">
        <v>28</v>
      </c>
      <c r="I160" s="6" t="str">
        <f>VLOOKUP(H160,'Flow Location'!$A$1:$B$21,2,FALSE)</f>
        <v>Storm Sewer (not contained)</v>
      </c>
      <c r="J160" s="5">
        <v>203.0</v>
      </c>
      <c r="K160" s="6" t="s">
        <v>51</v>
      </c>
      <c r="L160" s="6" t="str">
        <f>VLOOKUP(K160,'Structure type'!$A$1:$B$15,2,FALSE)</f>
        <v>Private Cleanout</v>
      </c>
      <c r="M160" s="6" t="s">
        <v>30</v>
      </c>
      <c r="N160" s="6" t="str">
        <f>VLOOKUP(M160,'Excursion Cause'!$A$1:$B$34,2,FALSE)</f>
        <v>Grease Blockage</v>
      </c>
      <c r="O160" s="7">
        <v>44336.0</v>
      </c>
      <c r="P160" s="6" t="s">
        <v>402</v>
      </c>
      <c r="Q160" s="7">
        <v>44336.0</v>
      </c>
      <c r="R160" s="6" t="s">
        <v>478</v>
      </c>
      <c r="S160" s="5">
        <v>1.0</v>
      </c>
      <c r="T160" s="6" t="s">
        <v>33</v>
      </c>
      <c r="U160" s="5">
        <v>2.021052E7</v>
      </c>
      <c r="V160" s="5">
        <v>2.021052E7</v>
      </c>
      <c r="W160" s="5">
        <v>29.603231032</v>
      </c>
      <c r="X160" s="5">
        <v>-95.221588432</v>
      </c>
    </row>
    <row r="161" ht="15.75" customHeight="1">
      <c r="A161" s="5">
        <v>10983.0</v>
      </c>
      <c r="B161" s="6">
        <v>2021.0</v>
      </c>
      <c r="C161" s="6" t="str">
        <f t="shared" si="1"/>
        <v>14919 WELLMAN LN,Houston,Texas</v>
      </c>
      <c r="D161" s="6" t="s">
        <v>479</v>
      </c>
      <c r="E161" s="6" t="s">
        <v>25</v>
      </c>
      <c r="F161" s="6" t="s">
        <v>26</v>
      </c>
      <c r="G161" s="6" t="s">
        <v>393</v>
      </c>
      <c r="H161" s="6" t="s">
        <v>28</v>
      </c>
      <c r="I161" s="6" t="str">
        <f>VLOOKUP(H161,'Flow Location'!$A$1:$B$21,2,FALSE)</f>
        <v>Storm Sewer (not contained)</v>
      </c>
      <c r="J161" s="5">
        <v>2110.0</v>
      </c>
      <c r="K161" s="6" t="s">
        <v>29</v>
      </c>
      <c r="L161" s="6" t="str">
        <f>VLOOKUP(K161,'Structure type'!$A$1:$B$15,2,FALSE)</f>
        <v>Manhole</v>
      </c>
      <c r="M161" s="6" t="s">
        <v>30</v>
      </c>
      <c r="N161" s="6" t="str">
        <f>VLOOKUP(M161,'Excursion Cause'!$A$1:$B$34,2,FALSE)</f>
        <v>Grease Blockage</v>
      </c>
      <c r="O161" s="7">
        <v>44336.0</v>
      </c>
      <c r="P161" s="6" t="s">
        <v>62</v>
      </c>
      <c r="Q161" s="7">
        <v>44336.0</v>
      </c>
      <c r="R161" s="6" t="s">
        <v>480</v>
      </c>
      <c r="S161" s="5">
        <v>5.0</v>
      </c>
      <c r="T161" s="6" t="s">
        <v>33</v>
      </c>
      <c r="U161" s="5">
        <v>2.021052E7</v>
      </c>
      <c r="V161" s="5">
        <v>2.021052E7</v>
      </c>
      <c r="W161" s="5">
        <v>29.9166795940001</v>
      </c>
      <c r="X161" s="5">
        <v>-95.403705228</v>
      </c>
    </row>
    <row r="162" ht="15.75" customHeight="1">
      <c r="A162" s="5">
        <v>10984.0</v>
      </c>
      <c r="B162" s="6">
        <v>2021.0</v>
      </c>
      <c r="C162" s="6" t="str">
        <f t="shared" si="1"/>
        <v>3033 BUTTERCUP ST,Houston,Texas</v>
      </c>
      <c r="D162" s="6" t="s">
        <v>481</v>
      </c>
      <c r="E162" s="6" t="s">
        <v>25</v>
      </c>
      <c r="F162" s="6" t="s">
        <v>26</v>
      </c>
      <c r="G162" s="6" t="s">
        <v>482</v>
      </c>
      <c r="H162" s="6" t="s">
        <v>50</v>
      </c>
      <c r="I162" s="6" t="str">
        <f>VLOOKUP(H162,'Flow Location'!$A$1:$B$21,2,FALSE)</f>
        <v>Contained On Site, not within 5 ft. of Bayou/Surface Water/Drainage Ditch</v>
      </c>
      <c r="J162" s="5">
        <v>0.0</v>
      </c>
      <c r="K162" s="6" t="s">
        <v>51</v>
      </c>
      <c r="L162" s="6" t="str">
        <f>VLOOKUP(K162,'Structure type'!$A$1:$B$15,2,FALSE)</f>
        <v>Private Cleanout</v>
      </c>
      <c r="M162" s="6" t="s">
        <v>30</v>
      </c>
      <c r="N162" s="6" t="str">
        <f>VLOOKUP(M162,'Excursion Cause'!$A$1:$B$34,2,FALSE)</f>
        <v>Grease Blockage</v>
      </c>
      <c r="O162" s="7">
        <v>44336.0</v>
      </c>
      <c r="P162" s="6" t="s">
        <v>483</v>
      </c>
      <c r="Q162" s="7">
        <v>44336.0</v>
      </c>
      <c r="R162" s="6" t="s">
        <v>483</v>
      </c>
      <c r="S162" s="5">
        <v>0.0</v>
      </c>
      <c r="T162" s="6" t="s">
        <v>33</v>
      </c>
      <c r="U162" s="5">
        <v>2.021052E7</v>
      </c>
      <c r="V162" s="5">
        <v>2.021052E7</v>
      </c>
      <c r="W162" s="5">
        <v>29.732102877</v>
      </c>
      <c r="X162" s="5">
        <v>-95.516860166</v>
      </c>
    </row>
    <row r="163" ht="15.75" customHeight="1">
      <c r="A163" s="5">
        <v>10985.0</v>
      </c>
      <c r="B163" s="6">
        <v>2021.0</v>
      </c>
      <c r="C163" s="6" t="str">
        <f t="shared" si="1"/>
        <v>9911 ALGIERS RD,Houston,Texas</v>
      </c>
      <c r="D163" s="6" t="s">
        <v>484</v>
      </c>
      <c r="E163" s="6" t="s">
        <v>25</v>
      </c>
      <c r="F163" s="6" t="s">
        <v>26</v>
      </c>
      <c r="G163" s="6" t="s">
        <v>344</v>
      </c>
      <c r="H163" s="6" t="s">
        <v>28</v>
      </c>
      <c r="I163" s="6" t="str">
        <f>VLOOKUP(H163,'Flow Location'!$A$1:$B$21,2,FALSE)</f>
        <v>Storm Sewer (not contained)</v>
      </c>
      <c r="J163" s="5">
        <v>194.0</v>
      </c>
      <c r="K163" s="6" t="s">
        <v>29</v>
      </c>
      <c r="L163" s="6" t="str">
        <f>VLOOKUP(K163,'Structure type'!$A$1:$B$15,2,FALSE)</f>
        <v>Manhole</v>
      </c>
      <c r="M163" s="6" t="s">
        <v>30</v>
      </c>
      <c r="N163" s="6" t="str">
        <f>VLOOKUP(M163,'Excursion Cause'!$A$1:$B$34,2,FALSE)</f>
        <v>Grease Blockage</v>
      </c>
      <c r="O163" s="7">
        <v>44336.0</v>
      </c>
      <c r="P163" s="6" t="s">
        <v>485</v>
      </c>
      <c r="Q163" s="7">
        <v>44336.0</v>
      </c>
      <c r="R163" s="6" t="s">
        <v>486</v>
      </c>
      <c r="S163" s="5">
        <v>1.0</v>
      </c>
      <c r="T163" s="6" t="s">
        <v>33</v>
      </c>
      <c r="U163" s="5">
        <v>2.021052E7</v>
      </c>
      <c r="V163" s="5">
        <v>2.021052E7</v>
      </c>
      <c r="W163" s="5">
        <v>29.845360075</v>
      </c>
      <c r="X163" s="5">
        <v>-95.537967726</v>
      </c>
    </row>
    <row r="164" ht="15.75" customHeight="1">
      <c r="A164" s="5">
        <v>10986.0</v>
      </c>
      <c r="B164" s="6">
        <v>2021.0</v>
      </c>
      <c r="C164" s="6" t="str">
        <f t="shared" si="1"/>
        <v>6429 INNSBRUCK MEADOWS LN,Houston,Texas</v>
      </c>
      <c r="D164" s="6" t="s">
        <v>487</v>
      </c>
      <c r="E164" s="6" t="s">
        <v>25</v>
      </c>
      <c r="F164" s="6" t="s">
        <v>26</v>
      </c>
      <c r="G164" s="6" t="s">
        <v>301</v>
      </c>
      <c r="H164" s="6" t="s">
        <v>28</v>
      </c>
      <c r="I164" s="6" t="str">
        <f>VLOOKUP(H164,'Flow Location'!$A$1:$B$21,2,FALSE)</f>
        <v>Storm Sewer (not contained)</v>
      </c>
      <c r="J164" s="5">
        <v>645.0</v>
      </c>
      <c r="K164" s="6" t="s">
        <v>29</v>
      </c>
      <c r="L164" s="6" t="str">
        <f>VLOOKUP(K164,'Structure type'!$A$1:$B$15,2,FALSE)</f>
        <v>Manhole</v>
      </c>
      <c r="M164" s="6" t="s">
        <v>423</v>
      </c>
      <c r="N164" s="6" t="str">
        <f>VLOOKUP(M164,'Excursion Cause'!$A$1:$B$34,2,FALSE)</f>
        <v>Collection system ‐ wet weather</v>
      </c>
      <c r="O164" s="7">
        <v>44336.0</v>
      </c>
      <c r="P164" s="6" t="s">
        <v>125</v>
      </c>
      <c r="Q164" s="7">
        <v>44336.0</v>
      </c>
      <c r="R164" s="6" t="s">
        <v>488</v>
      </c>
      <c r="S164" s="5">
        <v>3.0</v>
      </c>
      <c r="T164" s="6" t="s">
        <v>443</v>
      </c>
      <c r="U164" s="5">
        <v>2.021052E7</v>
      </c>
      <c r="V164" s="5">
        <v>2.021052E7</v>
      </c>
      <c r="W164" s="5">
        <v>29.613379212</v>
      </c>
      <c r="X164" s="5">
        <v>-95.3061993859999</v>
      </c>
    </row>
    <row r="165" ht="15.75" customHeight="1">
      <c r="A165" s="5">
        <v>10987.0</v>
      </c>
      <c r="B165" s="6">
        <v>2021.0</v>
      </c>
      <c r="C165" s="6" t="str">
        <f t="shared" si="1"/>
        <v>8410 W BARTELL DR,Houston,Texas</v>
      </c>
      <c r="D165" s="6" t="s">
        <v>425</v>
      </c>
      <c r="E165" s="6" t="s">
        <v>25</v>
      </c>
      <c r="F165" s="6" t="s">
        <v>26</v>
      </c>
      <c r="G165" s="6" t="s">
        <v>426</v>
      </c>
      <c r="H165" s="6" t="s">
        <v>28</v>
      </c>
      <c r="I165" s="6" t="str">
        <f>VLOOKUP(H165,'Flow Location'!$A$1:$B$21,2,FALSE)</f>
        <v>Storm Sewer (not contained)</v>
      </c>
      <c r="J165" s="5">
        <v>528.0</v>
      </c>
      <c r="K165" s="6" t="s">
        <v>29</v>
      </c>
      <c r="L165" s="6" t="str">
        <f>VLOOKUP(K165,'Structure type'!$A$1:$B$15,2,FALSE)</f>
        <v>Manhole</v>
      </c>
      <c r="M165" s="6" t="s">
        <v>30</v>
      </c>
      <c r="N165" s="6" t="str">
        <f>VLOOKUP(M165,'Excursion Cause'!$A$1:$B$34,2,FALSE)</f>
        <v>Grease Blockage</v>
      </c>
      <c r="O165" s="7">
        <v>44334.0</v>
      </c>
      <c r="P165" s="6" t="s">
        <v>427</v>
      </c>
      <c r="Q165" s="7">
        <v>44334.0</v>
      </c>
      <c r="R165" s="6" t="s">
        <v>428</v>
      </c>
      <c r="S165" s="5">
        <v>4.0</v>
      </c>
      <c r="T165" s="6" t="s">
        <v>33</v>
      </c>
      <c r="U165" s="5">
        <v>2.0210518E7</v>
      </c>
      <c r="V165" s="5">
        <v>2.0210518E7</v>
      </c>
      <c r="W165" s="5">
        <v>29.68115306</v>
      </c>
      <c r="X165" s="5">
        <v>-95.421653481</v>
      </c>
    </row>
    <row r="166" ht="15.75" customHeight="1">
      <c r="A166" s="5">
        <v>10989.0</v>
      </c>
      <c r="B166" s="6">
        <v>2021.0</v>
      </c>
      <c r="C166" s="6" t="str">
        <f t="shared" si="1"/>
        <v>7711 BELLFORT ST,Houston,Texas</v>
      </c>
      <c r="D166" s="6" t="s">
        <v>489</v>
      </c>
      <c r="E166" s="6" t="s">
        <v>25</v>
      </c>
      <c r="F166" s="6" t="s">
        <v>26</v>
      </c>
      <c r="G166" s="6" t="s">
        <v>398</v>
      </c>
      <c r="H166" s="6" t="s">
        <v>28</v>
      </c>
      <c r="I166" s="6" t="str">
        <f>VLOOKUP(H166,'Flow Location'!$A$1:$B$21,2,FALSE)</f>
        <v>Storm Sewer (not contained)</v>
      </c>
      <c r="J166" s="5">
        <v>145.0</v>
      </c>
      <c r="K166" s="6" t="s">
        <v>45</v>
      </c>
      <c r="L166" s="6" t="str">
        <f>VLOOKUP(K166,'Structure type'!$A$1:$B$15,2,FALSE)</f>
        <v>City Cleanout</v>
      </c>
      <c r="M166" s="6" t="s">
        <v>30</v>
      </c>
      <c r="N166" s="6" t="str">
        <f>VLOOKUP(M166,'Excursion Cause'!$A$1:$B$34,2,FALSE)</f>
        <v>Grease Blockage</v>
      </c>
      <c r="O166" s="7">
        <v>44336.0</v>
      </c>
      <c r="P166" s="6" t="s">
        <v>490</v>
      </c>
      <c r="Q166" s="7">
        <v>44336.0</v>
      </c>
      <c r="R166" s="6" t="s">
        <v>149</v>
      </c>
      <c r="S166" s="5">
        <v>1.0</v>
      </c>
      <c r="T166" s="6" t="s">
        <v>270</v>
      </c>
      <c r="U166" s="5">
        <v>2.021052E7</v>
      </c>
      <c r="V166" s="5">
        <v>2.021052E7</v>
      </c>
      <c r="W166" s="5">
        <v>29.6724375150001</v>
      </c>
      <c r="X166" s="5">
        <v>-95.280520504</v>
      </c>
    </row>
    <row r="167" ht="15.75" customHeight="1">
      <c r="A167" s="5">
        <v>10991.0</v>
      </c>
      <c r="B167" s="6">
        <v>2021.0</v>
      </c>
      <c r="C167" s="6" t="str">
        <f t="shared" si="1"/>
        <v>7546 JASON ST,Houston,Texas</v>
      </c>
      <c r="D167" s="6" t="s">
        <v>470</v>
      </c>
      <c r="E167" s="6" t="s">
        <v>25</v>
      </c>
      <c r="F167" s="6" t="s">
        <v>26</v>
      </c>
      <c r="G167" s="6" t="s">
        <v>471</v>
      </c>
      <c r="H167" s="6" t="s">
        <v>28</v>
      </c>
      <c r="I167" s="6" t="str">
        <f>VLOOKUP(H167,'Flow Location'!$A$1:$B$21,2,FALSE)</f>
        <v>Storm Sewer (not contained)</v>
      </c>
      <c r="J167" s="5">
        <v>136.0</v>
      </c>
      <c r="K167" s="6" t="s">
        <v>29</v>
      </c>
      <c r="L167" s="6" t="str">
        <f>VLOOKUP(K167,'Structure type'!$A$1:$B$15,2,FALSE)</f>
        <v>Manhole</v>
      </c>
      <c r="M167" s="6" t="s">
        <v>81</v>
      </c>
      <c r="N167" s="6" t="str">
        <f>VLOOKUP(M167,'Excursion Cause'!$A$1:$B$34,2,FALSE)</f>
        <v>Collection system structural failure</v>
      </c>
      <c r="O167" s="7">
        <v>44336.0</v>
      </c>
      <c r="P167" s="6" t="s">
        <v>491</v>
      </c>
      <c r="Q167" s="7">
        <v>44336.0</v>
      </c>
      <c r="R167" s="6" t="s">
        <v>492</v>
      </c>
      <c r="S167" s="5">
        <v>2.0</v>
      </c>
      <c r="T167" s="6" t="s">
        <v>377</v>
      </c>
      <c r="U167" s="5">
        <v>2.021052E7</v>
      </c>
      <c r="V167" s="5">
        <v>2.021052E7</v>
      </c>
      <c r="W167" s="5">
        <v>29.684519777</v>
      </c>
      <c r="X167" s="5">
        <v>-95.5201359819999</v>
      </c>
    </row>
    <row r="168" ht="15.75" customHeight="1">
      <c r="A168" s="5">
        <v>10993.0</v>
      </c>
      <c r="B168" s="6">
        <v>2021.0</v>
      </c>
      <c r="C168" s="6" t="str">
        <f t="shared" si="1"/>
        <v>24203 SUNNY GLEN DR,Houston,Texas</v>
      </c>
      <c r="D168" s="6" t="s">
        <v>493</v>
      </c>
      <c r="E168" s="6" t="s">
        <v>25</v>
      </c>
      <c r="F168" s="6" t="s">
        <v>26</v>
      </c>
      <c r="G168" s="6" t="s">
        <v>422</v>
      </c>
      <c r="H168" s="6" t="s">
        <v>87</v>
      </c>
      <c r="I168" s="6" t="str">
        <f>VLOOKUP(H168,'Flow Location'!$A$1:$B$21,2,FALSE)</f>
        <v>Within 5 ft. of Bayou/Surface Water/Drainage Ditch</v>
      </c>
      <c r="J168" s="5">
        <v>0.0</v>
      </c>
      <c r="K168" s="6" t="s">
        <v>29</v>
      </c>
      <c r="L168" s="6" t="str">
        <f>VLOOKUP(K168,'Structure type'!$A$1:$B$15,2,FALSE)</f>
        <v>Manhole</v>
      </c>
      <c r="M168" s="6" t="s">
        <v>423</v>
      </c>
      <c r="N168" s="6" t="str">
        <f>VLOOKUP(M168,'Excursion Cause'!$A$1:$B$34,2,FALSE)</f>
        <v>Collection system ‐ wet weather</v>
      </c>
      <c r="O168" s="7">
        <v>44336.0</v>
      </c>
      <c r="P168" s="6" t="s">
        <v>494</v>
      </c>
      <c r="Q168" s="7">
        <v>44336.0</v>
      </c>
      <c r="R168" s="6" t="s">
        <v>494</v>
      </c>
      <c r="S168" s="5">
        <v>0.0</v>
      </c>
      <c r="T168" s="6" t="s">
        <v>118</v>
      </c>
      <c r="U168" s="5">
        <v>2.021052E7</v>
      </c>
      <c r="V168" s="5">
        <v>2.021052E7</v>
      </c>
      <c r="W168" s="5">
        <v>30.0220599400001</v>
      </c>
      <c r="X168" s="5">
        <v>-95.117250586</v>
      </c>
    </row>
    <row r="169" ht="15.75" customHeight="1">
      <c r="A169" s="5">
        <v>10995.0</v>
      </c>
      <c r="B169" s="6">
        <v>2021.0</v>
      </c>
      <c r="C169" s="6" t="str">
        <f t="shared" si="1"/>
        <v>8015 COLGATE ST,Houston,Texas</v>
      </c>
      <c r="D169" s="6" t="s">
        <v>495</v>
      </c>
      <c r="E169" s="6" t="s">
        <v>25</v>
      </c>
      <c r="F169" s="6" t="s">
        <v>26</v>
      </c>
      <c r="G169" s="6" t="s">
        <v>398</v>
      </c>
      <c r="H169" s="6" t="s">
        <v>50</v>
      </c>
      <c r="I169" s="6" t="str">
        <f>VLOOKUP(H169,'Flow Location'!$A$1:$B$21,2,FALSE)</f>
        <v>Contained On Site, not within 5 ft. of Bayou/Surface Water/Drainage Ditch</v>
      </c>
      <c r="J169" s="5">
        <v>0.0</v>
      </c>
      <c r="K169" s="6" t="s">
        <v>51</v>
      </c>
      <c r="L169" s="6" t="str">
        <f>VLOOKUP(K169,'Structure type'!$A$1:$B$15,2,FALSE)</f>
        <v>Private Cleanout</v>
      </c>
      <c r="M169" s="6" t="s">
        <v>30</v>
      </c>
      <c r="N169" s="6" t="str">
        <f>VLOOKUP(M169,'Excursion Cause'!$A$1:$B$34,2,FALSE)</f>
        <v>Grease Blockage</v>
      </c>
      <c r="O169" s="7">
        <v>44336.0</v>
      </c>
      <c r="P169" s="6" t="s">
        <v>496</v>
      </c>
      <c r="Q169" s="7">
        <v>44336.0</v>
      </c>
      <c r="R169" s="6" t="s">
        <v>496</v>
      </c>
      <c r="S169" s="5">
        <v>0.0</v>
      </c>
      <c r="T169" s="6" t="s">
        <v>37</v>
      </c>
      <c r="U169" s="5">
        <v>2.021052E7</v>
      </c>
      <c r="V169" s="5">
        <v>2.021052E7</v>
      </c>
      <c r="W169" s="5">
        <v>29.677582369</v>
      </c>
      <c r="X169" s="5">
        <v>-95.280319757</v>
      </c>
    </row>
    <row r="170" ht="15.75" customHeight="1">
      <c r="A170" s="5">
        <v>10997.0</v>
      </c>
      <c r="B170" s="6">
        <v>2021.0</v>
      </c>
      <c r="C170" s="6" t="str">
        <f t="shared" si="1"/>
        <v>4102 MOWERY RD,Houston,Texas</v>
      </c>
      <c r="D170" s="6" t="s">
        <v>497</v>
      </c>
      <c r="E170" s="6" t="s">
        <v>25</v>
      </c>
      <c r="F170" s="6" t="s">
        <v>26</v>
      </c>
      <c r="G170" s="6" t="s">
        <v>419</v>
      </c>
      <c r="H170" s="6" t="s">
        <v>50</v>
      </c>
      <c r="I170" s="6" t="str">
        <f>VLOOKUP(H170,'Flow Location'!$A$1:$B$21,2,FALSE)</f>
        <v>Contained On Site, not within 5 ft. of Bayou/Surface Water/Drainage Ditch</v>
      </c>
      <c r="J170" s="5">
        <v>0.0</v>
      </c>
      <c r="K170" s="6" t="s">
        <v>51</v>
      </c>
      <c r="L170" s="6" t="str">
        <f>VLOOKUP(K170,'Structure type'!$A$1:$B$15,2,FALSE)</f>
        <v>Private Cleanout</v>
      </c>
      <c r="M170" s="6" t="s">
        <v>56</v>
      </c>
      <c r="N170" s="6" t="str">
        <f>VLOOKUP(M170,'Excursion Cause'!$A$1:$B$34,2,FALSE)</f>
        <v>Rags/Wipes</v>
      </c>
      <c r="O170" s="7">
        <v>44336.0</v>
      </c>
      <c r="P170" s="6" t="s">
        <v>498</v>
      </c>
      <c r="Q170" s="7">
        <v>44336.0</v>
      </c>
      <c r="R170" s="6" t="s">
        <v>498</v>
      </c>
      <c r="S170" s="5">
        <v>0.0</v>
      </c>
      <c r="T170" s="6" t="s">
        <v>170</v>
      </c>
      <c r="U170" s="5">
        <v>2.021052E7</v>
      </c>
      <c r="V170" s="5">
        <v>2.021052E7</v>
      </c>
      <c r="W170" s="5">
        <v>29.6359918680001</v>
      </c>
      <c r="X170" s="5">
        <v>-95.363022487</v>
      </c>
    </row>
    <row r="171" ht="15.75" customHeight="1">
      <c r="A171" s="5">
        <v>10999.0</v>
      </c>
      <c r="B171" s="6">
        <v>2021.0</v>
      </c>
      <c r="C171" s="6" t="str">
        <f t="shared" si="1"/>
        <v>6614 WESTON ST,Houston,Texas</v>
      </c>
      <c r="D171" s="6" t="s">
        <v>499</v>
      </c>
      <c r="E171" s="6" t="s">
        <v>25</v>
      </c>
      <c r="F171" s="6" t="s">
        <v>26</v>
      </c>
      <c r="G171" s="6" t="s">
        <v>238</v>
      </c>
      <c r="H171" s="6" t="s">
        <v>50</v>
      </c>
      <c r="I171" s="6" t="str">
        <f>VLOOKUP(H171,'Flow Location'!$A$1:$B$21,2,FALSE)</f>
        <v>Contained On Site, not within 5 ft. of Bayou/Surface Water/Drainage Ditch</v>
      </c>
      <c r="J171" s="5">
        <v>0.0</v>
      </c>
      <c r="K171" s="6" t="s">
        <v>45</v>
      </c>
      <c r="L171" s="6" t="str">
        <f>VLOOKUP(K171,'Structure type'!$A$1:$B$15,2,FALSE)</f>
        <v>City Cleanout</v>
      </c>
      <c r="M171" s="6" t="s">
        <v>56</v>
      </c>
      <c r="N171" s="6" t="str">
        <f>VLOOKUP(M171,'Excursion Cause'!$A$1:$B$34,2,FALSE)</f>
        <v>Rags/Wipes</v>
      </c>
      <c r="O171" s="7">
        <v>44336.0</v>
      </c>
      <c r="P171" s="6" t="s">
        <v>500</v>
      </c>
      <c r="Q171" s="7">
        <v>44336.0</v>
      </c>
      <c r="R171" s="6" t="s">
        <v>500</v>
      </c>
      <c r="S171" s="5">
        <v>0.0</v>
      </c>
      <c r="T171" s="6" t="s">
        <v>170</v>
      </c>
      <c r="U171" s="5">
        <v>2.021052E7</v>
      </c>
      <c r="V171" s="5">
        <v>2.021052E7</v>
      </c>
      <c r="W171" s="5">
        <v>29.690545695</v>
      </c>
      <c r="X171" s="5">
        <v>-95.346422463</v>
      </c>
    </row>
    <row r="172" ht="15.75" customHeight="1">
      <c r="A172" s="5">
        <v>11001.0</v>
      </c>
      <c r="B172" s="6">
        <v>2021.0</v>
      </c>
      <c r="C172" s="6" t="str">
        <f t="shared" si="1"/>
        <v>6923 OAK BOUGH DR,Houston,Texas</v>
      </c>
      <c r="D172" s="6" t="s">
        <v>501</v>
      </c>
      <c r="E172" s="6" t="s">
        <v>25</v>
      </c>
      <c r="F172" s="6" t="s">
        <v>26</v>
      </c>
      <c r="G172" s="6" t="s">
        <v>502</v>
      </c>
      <c r="H172" s="6" t="s">
        <v>28</v>
      </c>
      <c r="I172" s="6" t="str">
        <f>VLOOKUP(H172,'Flow Location'!$A$1:$B$21,2,FALSE)</f>
        <v>Storm Sewer (not contained)</v>
      </c>
      <c r="J172" s="5">
        <v>242.0</v>
      </c>
      <c r="K172" s="6" t="s">
        <v>29</v>
      </c>
      <c r="L172" s="6" t="str">
        <f>VLOOKUP(K172,'Structure type'!$A$1:$B$15,2,FALSE)</f>
        <v>Manhole</v>
      </c>
      <c r="M172" s="6" t="s">
        <v>56</v>
      </c>
      <c r="N172" s="6" t="str">
        <f>VLOOKUP(M172,'Excursion Cause'!$A$1:$B$34,2,FALSE)</f>
        <v>Rags/Wipes</v>
      </c>
      <c r="O172" s="7">
        <v>44337.0</v>
      </c>
      <c r="P172" s="6" t="s">
        <v>350</v>
      </c>
      <c r="Q172" s="7">
        <v>44337.0</v>
      </c>
      <c r="R172" s="6" t="s">
        <v>503</v>
      </c>
      <c r="S172" s="5">
        <v>2.0</v>
      </c>
      <c r="T172" s="6" t="s">
        <v>33</v>
      </c>
      <c r="U172" s="5">
        <v>2.0210521E7</v>
      </c>
      <c r="V172" s="5">
        <v>2.0210521E7</v>
      </c>
      <c r="W172" s="5">
        <v>29.8704740590001</v>
      </c>
      <c r="X172" s="5">
        <v>-95.48364436</v>
      </c>
    </row>
    <row r="173" ht="15.75" customHeight="1">
      <c r="A173" s="5">
        <v>11003.0</v>
      </c>
      <c r="B173" s="6">
        <v>2021.0</v>
      </c>
      <c r="C173" s="6" t="str">
        <f t="shared" si="1"/>
        <v>16010 LOGAN ROCK RD,Houston,Texas</v>
      </c>
      <c r="D173" s="6" t="s">
        <v>504</v>
      </c>
      <c r="E173" s="6" t="s">
        <v>25</v>
      </c>
      <c r="F173" s="6" t="s">
        <v>26</v>
      </c>
      <c r="G173" s="6" t="s">
        <v>166</v>
      </c>
      <c r="H173" s="6" t="s">
        <v>50</v>
      </c>
      <c r="I173" s="6" t="str">
        <f>VLOOKUP(H173,'Flow Location'!$A$1:$B$21,2,FALSE)</f>
        <v>Contained On Site, not within 5 ft. of Bayou/Surface Water/Drainage Ditch</v>
      </c>
      <c r="J173" s="5">
        <v>187.0</v>
      </c>
      <c r="K173" s="6" t="s">
        <v>29</v>
      </c>
      <c r="L173" s="6" t="str">
        <f>VLOOKUP(K173,'Structure type'!$A$1:$B$15,2,FALSE)</f>
        <v>Manhole</v>
      </c>
      <c r="M173" s="6" t="s">
        <v>30</v>
      </c>
      <c r="N173" s="6" t="str">
        <f>VLOOKUP(M173,'Excursion Cause'!$A$1:$B$34,2,FALSE)</f>
        <v>Grease Blockage</v>
      </c>
      <c r="O173" s="7">
        <v>44337.0</v>
      </c>
      <c r="P173" s="6" t="s">
        <v>128</v>
      </c>
      <c r="Q173" s="7">
        <v>44337.0</v>
      </c>
      <c r="R173" s="6" t="s">
        <v>93</v>
      </c>
      <c r="S173" s="5">
        <v>1.0</v>
      </c>
      <c r="T173" s="6" t="s">
        <v>59</v>
      </c>
      <c r="U173" s="5">
        <v>2.0210521E7</v>
      </c>
      <c r="V173" s="5">
        <v>2.0210521E7</v>
      </c>
      <c r="W173" s="5">
        <v>29.5934111720001</v>
      </c>
      <c r="X173" s="5">
        <v>-95.4895018019999</v>
      </c>
    </row>
    <row r="174" ht="15.75" customHeight="1">
      <c r="A174" s="5">
        <v>11006.0</v>
      </c>
      <c r="B174" s="6">
        <v>2021.0</v>
      </c>
      <c r="C174" s="6" t="str">
        <f t="shared" si="1"/>
        <v>10147 VALLEY WIND DR,Houston,Texas</v>
      </c>
      <c r="D174" s="6" t="s">
        <v>505</v>
      </c>
      <c r="E174" s="6" t="s">
        <v>25</v>
      </c>
      <c r="F174" s="6" t="s">
        <v>26</v>
      </c>
      <c r="G174" s="6" t="s">
        <v>387</v>
      </c>
      <c r="H174" s="6" t="s">
        <v>50</v>
      </c>
      <c r="I174" s="6" t="str">
        <f>VLOOKUP(H174,'Flow Location'!$A$1:$B$21,2,FALSE)</f>
        <v>Contained On Site, not within 5 ft. of Bayou/Surface Water/Drainage Ditch</v>
      </c>
      <c r="J174" s="5">
        <v>0.0</v>
      </c>
      <c r="K174" s="6" t="s">
        <v>45</v>
      </c>
      <c r="L174" s="6" t="str">
        <f>VLOOKUP(K174,'Structure type'!$A$1:$B$15,2,FALSE)</f>
        <v>City Cleanout</v>
      </c>
      <c r="M174" s="6" t="s">
        <v>30</v>
      </c>
      <c r="N174" s="6" t="str">
        <f>VLOOKUP(M174,'Excursion Cause'!$A$1:$B$34,2,FALSE)</f>
        <v>Grease Blockage</v>
      </c>
      <c r="O174" s="7">
        <v>44337.0</v>
      </c>
      <c r="P174" s="6" t="s">
        <v>506</v>
      </c>
      <c r="Q174" s="7">
        <v>44337.0</v>
      </c>
      <c r="R174" s="6" t="s">
        <v>506</v>
      </c>
      <c r="S174" s="5">
        <v>0.0</v>
      </c>
      <c r="T174" s="6" t="s">
        <v>33</v>
      </c>
      <c r="U174" s="5">
        <v>2.0210521E7</v>
      </c>
      <c r="V174" s="5">
        <v>2.0210521E7</v>
      </c>
      <c r="W174" s="5">
        <v>29.8476680740001</v>
      </c>
      <c r="X174" s="5">
        <v>-95.236028356</v>
      </c>
    </row>
    <row r="175" ht="15.75" customHeight="1">
      <c r="A175" s="5">
        <v>11010.0</v>
      </c>
      <c r="B175" s="6">
        <v>2021.0</v>
      </c>
      <c r="C175" s="6" t="str">
        <f t="shared" si="1"/>
        <v>2905 #5 BAER ST,Houston,Texas</v>
      </c>
      <c r="D175" s="6" t="s">
        <v>507</v>
      </c>
      <c r="E175" s="6" t="s">
        <v>25</v>
      </c>
      <c r="F175" s="6" t="s">
        <v>26</v>
      </c>
      <c r="G175" s="6" t="s">
        <v>86</v>
      </c>
      <c r="H175" s="6" t="s">
        <v>50</v>
      </c>
      <c r="I175" s="6" t="str">
        <f>VLOOKUP(H175,'Flow Location'!$A$1:$B$21,2,FALSE)</f>
        <v>Contained On Site, not within 5 ft. of Bayou/Surface Water/Drainage Ditch</v>
      </c>
      <c r="J175" s="5">
        <v>0.0</v>
      </c>
      <c r="K175" s="6" t="s">
        <v>45</v>
      </c>
      <c r="L175" s="6" t="str">
        <f>VLOOKUP(K175,'Structure type'!$A$1:$B$15,2,FALSE)</f>
        <v>City Cleanout</v>
      </c>
      <c r="M175" s="6" t="s">
        <v>56</v>
      </c>
      <c r="N175" s="6" t="str">
        <f>VLOOKUP(M175,'Excursion Cause'!$A$1:$B$34,2,FALSE)</f>
        <v>Rags/Wipes</v>
      </c>
      <c r="O175" s="7">
        <v>44337.0</v>
      </c>
      <c r="P175" s="6" t="s">
        <v>304</v>
      </c>
      <c r="Q175" s="7">
        <v>44337.0</v>
      </c>
      <c r="R175" s="6" t="s">
        <v>304</v>
      </c>
      <c r="S175" s="5">
        <v>0.0</v>
      </c>
      <c r="T175" s="6" t="s">
        <v>270</v>
      </c>
      <c r="U175" s="5">
        <v>2.0210521E7</v>
      </c>
      <c r="V175" s="5">
        <v>2.0210521E7</v>
      </c>
      <c r="W175" s="5">
        <v>29.7679869780001</v>
      </c>
      <c r="X175" s="5">
        <v>-95.34021491</v>
      </c>
    </row>
    <row r="176" ht="15.75" customHeight="1">
      <c r="A176" s="5">
        <v>11011.0</v>
      </c>
      <c r="B176" s="6">
        <v>2021.0</v>
      </c>
      <c r="C176" s="6" t="str">
        <f t="shared" si="1"/>
        <v>90 NORTHPOINT DR,Houston,Texas</v>
      </c>
      <c r="D176" s="6" t="s">
        <v>508</v>
      </c>
      <c r="E176" s="6" t="s">
        <v>25</v>
      </c>
      <c r="F176" s="6" t="s">
        <v>26</v>
      </c>
      <c r="G176" s="6" t="s">
        <v>393</v>
      </c>
      <c r="H176" s="6" t="s">
        <v>28</v>
      </c>
      <c r="I176" s="6" t="str">
        <f>VLOOKUP(H176,'Flow Location'!$A$1:$B$21,2,FALSE)</f>
        <v>Storm Sewer (not contained)</v>
      </c>
      <c r="J176" s="5">
        <v>0.0</v>
      </c>
      <c r="K176" s="6" t="s">
        <v>29</v>
      </c>
      <c r="L176" s="6" t="str">
        <f>VLOOKUP(K176,'Structure type'!$A$1:$B$15,2,FALSE)</f>
        <v>Manhole</v>
      </c>
      <c r="M176" s="6" t="s">
        <v>30</v>
      </c>
      <c r="N176" s="6" t="str">
        <f>VLOOKUP(M176,'Excursion Cause'!$A$1:$B$34,2,FALSE)</f>
        <v>Grease Blockage</v>
      </c>
      <c r="O176" s="7">
        <v>44337.0</v>
      </c>
      <c r="P176" s="6" t="s">
        <v>304</v>
      </c>
      <c r="Q176" s="7">
        <v>44337.0</v>
      </c>
      <c r="R176" s="6" t="s">
        <v>304</v>
      </c>
      <c r="S176" s="5">
        <v>0.0</v>
      </c>
      <c r="T176" s="6" t="s">
        <v>33</v>
      </c>
      <c r="U176" s="5">
        <v>2.0210521E7</v>
      </c>
      <c r="V176" s="5">
        <v>2.0210521E7</v>
      </c>
      <c r="W176" s="5">
        <v>29.937975118</v>
      </c>
      <c r="X176" s="5">
        <v>-95.4091130639999</v>
      </c>
    </row>
    <row r="177" ht="15.75" customHeight="1">
      <c r="A177" s="5">
        <v>11013.0</v>
      </c>
      <c r="B177" s="6">
        <v>2021.0</v>
      </c>
      <c r="C177" s="6" t="str">
        <f t="shared" si="1"/>
        <v>912 ST EMANUEL ST,Houston,Texas</v>
      </c>
      <c r="D177" s="6" t="s">
        <v>509</v>
      </c>
      <c r="E177" s="6" t="s">
        <v>25</v>
      </c>
      <c r="F177" s="6" t="s">
        <v>26</v>
      </c>
      <c r="G177" s="6" t="s">
        <v>172</v>
      </c>
      <c r="H177" s="6" t="s">
        <v>50</v>
      </c>
      <c r="I177" s="6" t="str">
        <f>VLOOKUP(H177,'Flow Location'!$A$1:$B$21,2,FALSE)</f>
        <v>Contained On Site, not within 5 ft. of Bayou/Surface Water/Drainage Ditch</v>
      </c>
      <c r="J177" s="5">
        <v>0.0</v>
      </c>
      <c r="K177" s="6" t="s">
        <v>29</v>
      </c>
      <c r="L177" s="6" t="str">
        <f>VLOOKUP(K177,'Structure type'!$A$1:$B$15,2,FALSE)</f>
        <v>Manhole</v>
      </c>
      <c r="M177" s="6" t="s">
        <v>30</v>
      </c>
      <c r="N177" s="6" t="str">
        <f>VLOOKUP(M177,'Excursion Cause'!$A$1:$B$34,2,FALSE)</f>
        <v>Grease Blockage</v>
      </c>
      <c r="O177" s="7">
        <v>44337.0</v>
      </c>
      <c r="P177" s="6" t="s">
        <v>510</v>
      </c>
      <c r="Q177" s="7">
        <v>44337.0</v>
      </c>
      <c r="R177" s="6" t="s">
        <v>510</v>
      </c>
      <c r="S177" s="5">
        <v>0.0</v>
      </c>
      <c r="T177" s="6" t="s">
        <v>59</v>
      </c>
      <c r="U177" s="5">
        <v>2.0210521E7</v>
      </c>
      <c r="V177" s="5">
        <v>2.0210521E7</v>
      </c>
      <c r="W177" s="5">
        <v>29.751616493</v>
      </c>
      <c r="X177" s="5">
        <v>-95.355221953</v>
      </c>
    </row>
    <row r="178" ht="15.75" customHeight="1">
      <c r="A178" s="5">
        <v>11017.0</v>
      </c>
      <c r="B178" s="6">
        <v>2021.0</v>
      </c>
      <c r="C178" s="6" t="str">
        <f t="shared" si="1"/>
        <v>1615 BRAESWOOD BLVD,Houston,Texas</v>
      </c>
      <c r="D178" s="6" t="s">
        <v>511</v>
      </c>
      <c r="E178" s="6" t="s">
        <v>25</v>
      </c>
      <c r="F178" s="6" t="s">
        <v>26</v>
      </c>
      <c r="G178" s="6" t="s">
        <v>512</v>
      </c>
      <c r="H178" s="6" t="s">
        <v>50</v>
      </c>
      <c r="I178" s="6" t="str">
        <f>VLOOKUP(H178,'Flow Location'!$A$1:$B$21,2,FALSE)</f>
        <v>Contained On Site, not within 5 ft. of Bayou/Surface Water/Drainage Ditch</v>
      </c>
      <c r="J178" s="5">
        <v>0.0</v>
      </c>
      <c r="K178" s="6" t="s">
        <v>29</v>
      </c>
      <c r="L178" s="6" t="str">
        <f>VLOOKUP(K178,'Structure type'!$A$1:$B$15,2,FALSE)</f>
        <v>Manhole</v>
      </c>
      <c r="M178" s="6" t="s">
        <v>423</v>
      </c>
      <c r="N178" s="6" t="str">
        <f>VLOOKUP(M178,'Excursion Cause'!$A$1:$B$34,2,FALSE)</f>
        <v>Collection system ‐ wet weather</v>
      </c>
      <c r="O178" s="7">
        <v>44337.0</v>
      </c>
      <c r="P178" s="6" t="s">
        <v>513</v>
      </c>
      <c r="Q178" s="7">
        <v>44337.0</v>
      </c>
      <c r="R178" s="6" t="s">
        <v>513</v>
      </c>
      <c r="S178" s="5">
        <v>0.0</v>
      </c>
      <c r="T178" s="6" t="s">
        <v>118</v>
      </c>
      <c r="U178" s="5">
        <v>2.0210521E7</v>
      </c>
      <c r="V178" s="5">
        <v>2.0210521E7</v>
      </c>
      <c r="W178" s="5">
        <v>29.703269424</v>
      </c>
      <c r="X178" s="5">
        <v>-95.3965298159999</v>
      </c>
    </row>
    <row r="179" ht="15.75" customHeight="1">
      <c r="A179" s="5">
        <v>11020.0</v>
      </c>
      <c r="B179" s="6">
        <v>2021.0</v>
      </c>
      <c r="C179" s="6" t="str">
        <f t="shared" si="1"/>
        <v>6429 INNSBRUCK MEADOWS LN,Houston,Texas</v>
      </c>
      <c r="D179" s="6" t="s">
        <v>487</v>
      </c>
      <c r="E179" s="6" t="s">
        <v>25</v>
      </c>
      <c r="F179" s="6" t="s">
        <v>26</v>
      </c>
      <c r="G179" s="6" t="s">
        <v>301</v>
      </c>
      <c r="H179" s="6" t="s">
        <v>50</v>
      </c>
      <c r="I179" s="6" t="str">
        <f>VLOOKUP(H179,'Flow Location'!$A$1:$B$21,2,FALSE)</f>
        <v>Contained On Site, not within 5 ft. of Bayou/Surface Water/Drainage Ditch</v>
      </c>
      <c r="J179" s="5">
        <v>351.0</v>
      </c>
      <c r="K179" s="6" t="s">
        <v>29</v>
      </c>
      <c r="L179" s="6" t="str">
        <f>VLOOKUP(K179,'Structure type'!$A$1:$B$15,2,FALSE)</f>
        <v>Manhole</v>
      </c>
      <c r="M179" s="6" t="s">
        <v>30</v>
      </c>
      <c r="N179" s="6" t="str">
        <f>VLOOKUP(M179,'Excursion Cause'!$A$1:$B$34,2,FALSE)</f>
        <v>Grease Blockage</v>
      </c>
      <c r="O179" s="7">
        <v>44338.0</v>
      </c>
      <c r="P179" s="6" t="s">
        <v>514</v>
      </c>
      <c r="Q179" s="7">
        <v>44338.0</v>
      </c>
      <c r="R179" s="6" t="s">
        <v>515</v>
      </c>
      <c r="S179" s="5">
        <v>3.0</v>
      </c>
      <c r="T179" s="6" t="s">
        <v>33</v>
      </c>
      <c r="U179" s="5">
        <v>2.0210522E7</v>
      </c>
      <c r="V179" s="5">
        <v>2.0210522E7</v>
      </c>
      <c r="W179" s="5">
        <v>29.613379212</v>
      </c>
      <c r="X179" s="5">
        <v>-95.3061993859999</v>
      </c>
    </row>
    <row r="180" ht="15.75" customHeight="1">
      <c r="A180" s="5">
        <v>11021.0</v>
      </c>
      <c r="B180" s="6">
        <v>2021.0</v>
      </c>
      <c r="C180" s="6" t="str">
        <f t="shared" si="1"/>
        <v>5422 DANFIELD DR,Houston,Texas</v>
      </c>
      <c r="D180" s="6" t="s">
        <v>516</v>
      </c>
      <c r="E180" s="6" t="s">
        <v>25</v>
      </c>
      <c r="F180" s="6" t="s">
        <v>26</v>
      </c>
      <c r="G180" s="6" t="s">
        <v>517</v>
      </c>
      <c r="H180" s="6" t="s">
        <v>50</v>
      </c>
      <c r="I180" s="6" t="str">
        <f>VLOOKUP(H180,'Flow Location'!$A$1:$B$21,2,FALSE)</f>
        <v>Contained On Site, not within 5 ft. of Bayou/Surface Water/Drainage Ditch</v>
      </c>
      <c r="J180" s="5">
        <v>0.0</v>
      </c>
      <c r="K180" s="6" t="s">
        <v>29</v>
      </c>
      <c r="L180" s="6" t="str">
        <f>VLOOKUP(K180,'Structure type'!$A$1:$B$15,2,FALSE)</f>
        <v>Manhole</v>
      </c>
      <c r="M180" s="6" t="s">
        <v>30</v>
      </c>
      <c r="N180" s="6" t="str">
        <f>VLOOKUP(M180,'Excursion Cause'!$A$1:$B$34,2,FALSE)</f>
        <v>Grease Blockage</v>
      </c>
      <c r="O180" s="7">
        <v>44338.0</v>
      </c>
      <c r="P180" s="6" t="s">
        <v>518</v>
      </c>
      <c r="Q180" s="7">
        <v>44338.0</v>
      </c>
      <c r="R180" s="6" t="s">
        <v>518</v>
      </c>
      <c r="S180" s="5">
        <v>0.0</v>
      </c>
      <c r="T180" s="6" t="s">
        <v>33</v>
      </c>
      <c r="U180" s="5">
        <v>2.0210522E7</v>
      </c>
      <c r="V180" s="5">
        <v>2.0210522E7</v>
      </c>
      <c r="W180" s="5">
        <v>29.600941054</v>
      </c>
      <c r="X180" s="5">
        <v>-95.463394437</v>
      </c>
    </row>
    <row r="181" ht="15.75" customHeight="1">
      <c r="A181" s="5">
        <v>11022.0</v>
      </c>
      <c r="B181" s="6">
        <v>2021.0</v>
      </c>
      <c r="C181" s="6" t="str">
        <f t="shared" si="1"/>
        <v>14362 CHADBOURNE DR,Houston,Texas</v>
      </c>
      <c r="D181" s="6" t="s">
        <v>519</v>
      </c>
      <c r="E181" s="6" t="s">
        <v>25</v>
      </c>
      <c r="F181" s="6" t="s">
        <v>26</v>
      </c>
      <c r="G181" s="6" t="s">
        <v>520</v>
      </c>
      <c r="H181" s="6" t="s">
        <v>28</v>
      </c>
      <c r="I181" s="6" t="str">
        <f>VLOOKUP(H181,'Flow Location'!$A$1:$B$21,2,FALSE)</f>
        <v>Storm Sewer (not contained)</v>
      </c>
      <c r="J181" s="5">
        <v>174.0</v>
      </c>
      <c r="K181" s="6" t="s">
        <v>29</v>
      </c>
      <c r="L181" s="6" t="str">
        <f>VLOOKUP(K181,'Structure type'!$A$1:$B$15,2,FALSE)</f>
        <v>Manhole</v>
      </c>
      <c r="M181" s="6" t="s">
        <v>30</v>
      </c>
      <c r="N181" s="6" t="str">
        <f>VLOOKUP(M181,'Excursion Cause'!$A$1:$B$34,2,FALSE)</f>
        <v>Grease Blockage</v>
      </c>
      <c r="O181" s="7">
        <v>44338.0</v>
      </c>
      <c r="P181" s="6" t="s">
        <v>521</v>
      </c>
      <c r="Q181" s="7">
        <v>44338.0</v>
      </c>
      <c r="R181" s="6" t="s">
        <v>522</v>
      </c>
      <c r="S181" s="5">
        <v>2.0</v>
      </c>
      <c r="T181" s="6" t="s">
        <v>33</v>
      </c>
      <c r="U181" s="5">
        <v>2.0210522E7</v>
      </c>
      <c r="V181" s="5">
        <v>2.0210522E7</v>
      </c>
      <c r="W181" s="5">
        <v>29.7687716080001</v>
      </c>
      <c r="X181" s="5">
        <v>-95.599775042</v>
      </c>
    </row>
    <row r="182" ht="15.75" customHeight="1">
      <c r="A182" s="5">
        <v>11025.0</v>
      </c>
      <c r="B182" s="6">
        <v>2021.0</v>
      </c>
      <c r="C182" s="6" t="str">
        <f t="shared" si="1"/>
        <v>11003 HAZEN ST,Houston,Texas</v>
      </c>
      <c r="D182" s="6" t="s">
        <v>523</v>
      </c>
      <c r="E182" s="6" t="s">
        <v>25</v>
      </c>
      <c r="F182" s="6" t="s">
        <v>26</v>
      </c>
      <c r="G182" s="6" t="s">
        <v>91</v>
      </c>
      <c r="H182" s="6" t="s">
        <v>28</v>
      </c>
      <c r="I182" s="6" t="str">
        <f>VLOOKUP(H182,'Flow Location'!$A$1:$B$21,2,FALSE)</f>
        <v>Storm Sewer (not contained)</v>
      </c>
      <c r="J182" s="5">
        <v>6384.0</v>
      </c>
      <c r="K182" s="6" t="s">
        <v>29</v>
      </c>
      <c r="L182" s="6" t="str">
        <f>VLOOKUP(K182,'Structure type'!$A$1:$B$15,2,FALSE)</f>
        <v>Manhole</v>
      </c>
      <c r="M182" s="6" t="s">
        <v>30</v>
      </c>
      <c r="N182" s="6" t="str">
        <f>VLOOKUP(M182,'Excursion Cause'!$A$1:$B$34,2,FALSE)</f>
        <v>Grease Blockage</v>
      </c>
      <c r="O182" s="7">
        <v>44339.0</v>
      </c>
      <c r="P182" s="6" t="s">
        <v>524</v>
      </c>
      <c r="Q182" s="7">
        <v>44341.0</v>
      </c>
      <c r="R182" s="6" t="s">
        <v>411</v>
      </c>
      <c r="S182" s="5">
        <v>2.0</v>
      </c>
      <c r="T182" s="6" t="s">
        <v>33</v>
      </c>
      <c r="U182" s="5">
        <v>2.0210523E7</v>
      </c>
      <c r="V182" s="5">
        <v>2.0210525E7</v>
      </c>
      <c r="W182" s="5">
        <v>29.692388791</v>
      </c>
      <c r="X182" s="5">
        <v>-95.572856225</v>
      </c>
    </row>
    <row r="183" ht="15.75" customHeight="1">
      <c r="A183" s="5">
        <v>11026.0</v>
      </c>
      <c r="B183" s="6">
        <v>2021.0</v>
      </c>
      <c r="C183" s="6" t="str">
        <f t="shared" si="1"/>
        <v>5520 CAVALCADE ST,Houston,Texas</v>
      </c>
      <c r="D183" s="6" t="s">
        <v>525</v>
      </c>
      <c r="E183" s="6" t="s">
        <v>25</v>
      </c>
      <c r="F183" s="6" t="s">
        <v>26</v>
      </c>
      <c r="G183" s="6" t="s">
        <v>43</v>
      </c>
      <c r="H183" s="6" t="s">
        <v>28</v>
      </c>
      <c r="I183" s="6" t="str">
        <f>VLOOKUP(H183,'Flow Location'!$A$1:$B$21,2,FALSE)</f>
        <v>Storm Sewer (not contained)</v>
      </c>
      <c r="J183" s="5">
        <v>28800.0</v>
      </c>
      <c r="K183" s="6" t="s">
        <v>29</v>
      </c>
      <c r="L183" s="6" t="str">
        <f>VLOOKUP(K183,'Structure type'!$A$1:$B$15,2,FALSE)</f>
        <v>Manhole</v>
      </c>
      <c r="M183" s="6" t="s">
        <v>366</v>
      </c>
      <c r="N183" s="6" t="str">
        <f>VLOOKUP(M183,'Excursion Cause'!$A$1:$B$34,2,FALSE)</f>
        <v>Collection system structural blockage</v>
      </c>
      <c r="O183" s="7">
        <v>44339.0</v>
      </c>
      <c r="P183" s="6" t="s">
        <v>526</v>
      </c>
      <c r="Q183" s="7">
        <v>44343.0</v>
      </c>
      <c r="R183" s="6" t="s">
        <v>527</v>
      </c>
      <c r="S183" s="5">
        <v>7.0</v>
      </c>
      <c r="T183" s="6" t="s">
        <v>474</v>
      </c>
      <c r="U183" s="5">
        <v>2.0210523E7</v>
      </c>
      <c r="V183" s="5">
        <v>2.0210527E7</v>
      </c>
      <c r="W183" s="5">
        <v>29.800329683</v>
      </c>
      <c r="X183" s="5">
        <v>-95.31373698</v>
      </c>
    </row>
    <row r="184" ht="15.75" customHeight="1">
      <c r="A184" s="5">
        <v>11029.0</v>
      </c>
      <c r="B184" s="6">
        <v>2021.0</v>
      </c>
      <c r="C184" s="6" t="str">
        <f t="shared" si="1"/>
        <v>10903 DUANE ST,Houston,Texas</v>
      </c>
      <c r="D184" s="6" t="s">
        <v>528</v>
      </c>
      <c r="E184" s="6" t="s">
        <v>25</v>
      </c>
      <c r="F184" s="6" t="s">
        <v>26</v>
      </c>
      <c r="G184" s="6" t="s">
        <v>419</v>
      </c>
      <c r="H184" s="6" t="s">
        <v>50</v>
      </c>
      <c r="I184" s="6" t="str">
        <f>VLOOKUP(H184,'Flow Location'!$A$1:$B$21,2,FALSE)</f>
        <v>Contained On Site, not within 5 ft. of Bayou/Surface Water/Drainage Ditch</v>
      </c>
      <c r="J184" s="5">
        <v>60.0</v>
      </c>
      <c r="K184" s="6" t="s">
        <v>51</v>
      </c>
      <c r="L184" s="6" t="str">
        <f>VLOOKUP(K184,'Structure type'!$A$1:$B$15,2,FALSE)</f>
        <v>Private Cleanout</v>
      </c>
      <c r="M184" s="6" t="s">
        <v>81</v>
      </c>
      <c r="N184" s="6" t="str">
        <f>VLOOKUP(M184,'Excursion Cause'!$A$1:$B$34,2,FALSE)</f>
        <v>Collection system structural failure</v>
      </c>
      <c r="O184" s="7">
        <v>44339.0</v>
      </c>
      <c r="P184" s="6" t="s">
        <v>125</v>
      </c>
      <c r="Q184" s="7">
        <v>44339.0</v>
      </c>
      <c r="R184" s="6" t="s">
        <v>529</v>
      </c>
      <c r="S184" s="5">
        <v>2.0</v>
      </c>
      <c r="T184" s="6" t="s">
        <v>107</v>
      </c>
      <c r="U184" s="5">
        <v>2.0210523E7</v>
      </c>
      <c r="V184" s="5">
        <v>2.0210523E7</v>
      </c>
      <c r="W184" s="5">
        <v>29.6411991260001</v>
      </c>
      <c r="X184" s="5">
        <v>-95.357137134</v>
      </c>
    </row>
    <row r="185" ht="15.75" customHeight="1">
      <c r="A185" s="5">
        <v>11031.0</v>
      </c>
      <c r="B185" s="6">
        <v>2021.0</v>
      </c>
      <c r="C185" s="6" t="str">
        <f t="shared" si="1"/>
        <v>11911 KIRKNOLL DR,Houston,Texas</v>
      </c>
      <c r="D185" s="6" t="s">
        <v>476</v>
      </c>
      <c r="E185" s="6" t="s">
        <v>25</v>
      </c>
      <c r="F185" s="6" t="s">
        <v>26</v>
      </c>
      <c r="G185" s="6" t="s">
        <v>477</v>
      </c>
      <c r="H185" s="6" t="s">
        <v>50</v>
      </c>
      <c r="I185" s="6" t="str">
        <f>VLOOKUP(H185,'Flow Location'!$A$1:$B$21,2,FALSE)</f>
        <v>Contained On Site, not within 5 ft. of Bayou/Surface Water/Drainage Ditch</v>
      </c>
      <c r="J185" s="5">
        <v>0.0</v>
      </c>
      <c r="K185" s="6" t="s">
        <v>51</v>
      </c>
      <c r="L185" s="6" t="str">
        <f>VLOOKUP(K185,'Structure type'!$A$1:$B$15,2,FALSE)</f>
        <v>Private Cleanout</v>
      </c>
      <c r="M185" s="6" t="s">
        <v>30</v>
      </c>
      <c r="N185" s="6" t="str">
        <f>VLOOKUP(M185,'Excursion Cause'!$A$1:$B$34,2,FALSE)</f>
        <v>Grease Blockage</v>
      </c>
      <c r="O185" s="7">
        <v>44340.0</v>
      </c>
      <c r="P185" s="6" t="s">
        <v>530</v>
      </c>
      <c r="Q185" s="7">
        <v>44340.0</v>
      </c>
      <c r="R185" s="6" t="s">
        <v>530</v>
      </c>
      <c r="S185" s="5">
        <v>0.0</v>
      </c>
      <c r="T185" s="6" t="s">
        <v>33</v>
      </c>
      <c r="U185" s="5">
        <v>2.0210524E7</v>
      </c>
      <c r="V185" s="5">
        <v>2.0210524E7</v>
      </c>
      <c r="W185" s="5">
        <v>29.603231032</v>
      </c>
      <c r="X185" s="5">
        <v>-95.221588432</v>
      </c>
    </row>
    <row r="186" ht="15.75" customHeight="1">
      <c r="A186" s="5">
        <v>11033.0</v>
      </c>
      <c r="B186" s="6">
        <v>2021.0</v>
      </c>
      <c r="C186" s="6" t="str">
        <f t="shared" si="1"/>
        <v>4851 BENNING DR,Houston,Texas</v>
      </c>
      <c r="D186" s="6" t="s">
        <v>531</v>
      </c>
      <c r="E186" s="6" t="s">
        <v>25</v>
      </c>
      <c r="F186" s="6" t="s">
        <v>26</v>
      </c>
      <c r="G186" s="6" t="s">
        <v>127</v>
      </c>
      <c r="H186" s="6" t="s">
        <v>50</v>
      </c>
      <c r="I186" s="6" t="str">
        <f>VLOOKUP(H186,'Flow Location'!$A$1:$B$21,2,FALSE)</f>
        <v>Contained On Site, not within 5 ft. of Bayou/Surface Water/Drainage Ditch</v>
      </c>
      <c r="J186" s="5">
        <v>368.0</v>
      </c>
      <c r="K186" s="6" t="s">
        <v>29</v>
      </c>
      <c r="L186" s="6" t="str">
        <f>VLOOKUP(K186,'Structure type'!$A$1:$B$15,2,FALSE)</f>
        <v>Manhole</v>
      </c>
      <c r="M186" s="6" t="s">
        <v>30</v>
      </c>
      <c r="N186" s="6" t="str">
        <f>VLOOKUP(M186,'Excursion Cause'!$A$1:$B$34,2,FALSE)</f>
        <v>Grease Blockage</v>
      </c>
      <c r="O186" s="7">
        <v>44337.0</v>
      </c>
      <c r="P186" s="6" t="s">
        <v>283</v>
      </c>
      <c r="Q186" s="7">
        <v>44337.0</v>
      </c>
      <c r="R186" s="6" t="s">
        <v>532</v>
      </c>
      <c r="S186" s="5">
        <v>2.0</v>
      </c>
      <c r="T186" s="6" t="s">
        <v>33</v>
      </c>
      <c r="U186" s="5">
        <v>2.0210521E7</v>
      </c>
      <c r="V186" s="5">
        <v>2.0210521E7</v>
      </c>
      <c r="W186" s="5">
        <v>29.656852498</v>
      </c>
      <c r="X186" s="5">
        <v>-95.462947011</v>
      </c>
    </row>
    <row r="187" ht="15.75" customHeight="1">
      <c r="A187" s="5">
        <v>11037.0</v>
      </c>
      <c r="B187" s="6">
        <v>2021.0</v>
      </c>
      <c r="C187" s="6" t="str">
        <f t="shared" si="1"/>
        <v>5202 KNOTTY OAKS TRL,Houston,Texas</v>
      </c>
      <c r="D187" s="6" t="s">
        <v>533</v>
      </c>
      <c r="E187" s="6" t="s">
        <v>25</v>
      </c>
      <c r="F187" s="6" t="s">
        <v>26</v>
      </c>
      <c r="G187" s="6" t="s">
        <v>39</v>
      </c>
      <c r="H187" s="6" t="s">
        <v>50</v>
      </c>
      <c r="I187" s="6" t="str">
        <f>VLOOKUP(H187,'Flow Location'!$A$1:$B$21,2,FALSE)</f>
        <v>Contained On Site, not within 5 ft. of Bayou/Surface Water/Drainage Ditch</v>
      </c>
      <c r="J187" s="5">
        <v>1342.0</v>
      </c>
      <c r="K187" s="6" t="s">
        <v>29</v>
      </c>
      <c r="L187" s="6" t="str">
        <f>VLOOKUP(K187,'Structure type'!$A$1:$B$15,2,FALSE)</f>
        <v>Manhole</v>
      </c>
      <c r="M187" s="6" t="s">
        <v>423</v>
      </c>
      <c r="N187" s="6" t="str">
        <f>VLOOKUP(M187,'Excursion Cause'!$A$1:$B$34,2,FALSE)</f>
        <v>Collection system ‐ wet weather</v>
      </c>
      <c r="O187" s="7">
        <v>44340.0</v>
      </c>
      <c r="P187" s="6" t="s">
        <v>534</v>
      </c>
      <c r="Q187" s="7">
        <v>44341.0</v>
      </c>
      <c r="R187" s="6" t="s">
        <v>331</v>
      </c>
      <c r="S187" s="5">
        <v>1.0</v>
      </c>
      <c r="T187" s="6" t="s">
        <v>118</v>
      </c>
      <c r="U187" s="5">
        <v>2.0210524E7</v>
      </c>
      <c r="V187" s="5">
        <v>2.0210525E7</v>
      </c>
      <c r="W187" s="5">
        <v>29.6329794960001</v>
      </c>
      <c r="X187" s="5">
        <v>-95.458809117</v>
      </c>
    </row>
    <row r="188" ht="15.75" customHeight="1">
      <c r="A188" s="5">
        <v>11039.0</v>
      </c>
      <c r="B188" s="6">
        <v>2021.0</v>
      </c>
      <c r="C188" s="6" t="str">
        <f t="shared" si="1"/>
        <v>4026 BOLIN RD,Houston,Texas</v>
      </c>
      <c r="D188" s="6" t="s">
        <v>535</v>
      </c>
      <c r="E188" s="6" t="s">
        <v>25</v>
      </c>
      <c r="F188" s="6" t="s">
        <v>26</v>
      </c>
      <c r="G188" s="6" t="s">
        <v>76</v>
      </c>
      <c r="H188" s="6" t="s">
        <v>28</v>
      </c>
      <c r="I188" s="6" t="str">
        <f>VLOOKUP(H188,'Flow Location'!$A$1:$B$21,2,FALSE)</f>
        <v>Storm Sewer (not contained)</v>
      </c>
      <c r="J188" s="5">
        <v>6575.0</v>
      </c>
      <c r="K188" s="6" t="s">
        <v>29</v>
      </c>
      <c r="L188" s="6" t="str">
        <f>VLOOKUP(K188,'Structure type'!$A$1:$B$15,2,FALSE)</f>
        <v>Manhole</v>
      </c>
      <c r="M188" s="6" t="s">
        <v>423</v>
      </c>
      <c r="N188" s="6" t="str">
        <f>VLOOKUP(M188,'Excursion Cause'!$A$1:$B$34,2,FALSE)</f>
        <v>Collection system ‐ wet weather</v>
      </c>
      <c r="O188" s="7">
        <v>44340.0</v>
      </c>
      <c r="P188" s="6" t="s">
        <v>536</v>
      </c>
      <c r="Q188" s="7">
        <v>44340.0</v>
      </c>
      <c r="R188" s="6" t="s">
        <v>537</v>
      </c>
      <c r="S188" s="5">
        <v>46.0</v>
      </c>
      <c r="T188" s="6" t="s">
        <v>443</v>
      </c>
      <c r="U188" s="5">
        <v>2.0210524E7</v>
      </c>
      <c r="V188" s="5">
        <v>2.0210524E7</v>
      </c>
      <c r="W188" s="5">
        <v>29.8263967730001</v>
      </c>
      <c r="X188" s="5">
        <v>-95.481662208</v>
      </c>
    </row>
    <row r="189" ht="15.75" customHeight="1">
      <c r="A189" s="5">
        <v>11040.0</v>
      </c>
      <c r="B189" s="6">
        <v>2021.0</v>
      </c>
      <c r="C189" s="6" t="str">
        <f t="shared" si="1"/>
        <v>5701 GULF FWY,Houston,Texas</v>
      </c>
      <c r="D189" s="6" t="s">
        <v>538</v>
      </c>
      <c r="E189" s="6" t="s">
        <v>25</v>
      </c>
      <c r="F189" s="6" t="s">
        <v>26</v>
      </c>
      <c r="G189" s="6" t="s">
        <v>141</v>
      </c>
      <c r="H189" s="6" t="s">
        <v>28</v>
      </c>
      <c r="I189" s="6" t="str">
        <f>VLOOKUP(H189,'Flow Location'!$A$1:$B$21,2,FALSE)</f>
        <v>Storm Sewer (not contained)</v>
      </c>
      <c r="J189" s="5">
        <v>3150.0</v>
      </c>
      <c r="K189" s="6" t="s">
        <v>29</v>
      </c>
      <c r="L189" s="6" t="str">
        <f>VLOOKUP(K189,'Structure type'!$A$1:$B$15,2,FALSE)</f>
        <v>Manhole</v>
      </c>
      <c r="M189" s="6" t="s">
        <v>423</v>
      </c>
      <c r="N189" s="6" t="str">
        <f>VLOOKUP(M189,'Excursion Cause'!$A$1:$B$34,2,FALSE)</f>
        <v>Collection system ‐ wet weather</v>
      </c>
      <c r="O189" s="7">
        <v>44340.0</v>
      </c>
      <c r="P189" s="6" t="s">
        <v>46</v>
      </c>
      <c r="Q189" s="7">
        <v>44340.0</v>
      </c>
      <c r="R189" s="6" t="s">
        <v>539</v>
      </c>
      <c r="S189" s="5">
        <v>9.0</v>
      </c>
      <c r="T189" s="6" t="s">
        <v>443</v>
      </c>
      <c r="U189" s="5">
        <v>2.0210524E7</v>
      </c>
      <c r="V189" s="5">
        <v>2.0210524E7</v>
      </c>
      <c r="W189" s="5">
        <v>29.718046653</v>
      </c>
      <c r="X189" s="5">
        <v>-95.319258605</v>
      </c>
    </row>
    <row r="190" ht="15.75" customHeight="1">
      <c r="A190" s="5">
        <v>11041.0</v>
      </c>
      <c r="B190" s="6">
        <v>2021.0</v>
      </c>
      <c r="C190" s="6" t="str">
        <f t="shared" si="1"/>
        <v>5649 BARREMORE ST,Houston,Texas</v>
      </c>
      <c r="D190" s="6" t="s">
        <v>447</v>
      </c>
      <c r="E190" s="6" t="s">
        <v>25</v>
      </c>
      <c r="F190" s="6" t="s">
        <v>26</v>
      </c>
      <c r="G190" s="6" t="s">
        <v>141</v>
      </c>
      <c r="H190" s="6" t="s">
        <v>28</v>
      </c>
      <c r="I190" s="6" t="str">
        <f>VLOOKUP(H190,'Flow Location'!$A$1:$B$21,2,FALSE)</f>
        <v>Storm Sewer (not contained)</v>
      </c>
      <c r="J190" s="5">
        <v>887.0</v>
      </c>
      <c r="K190" s="6" t="s">
        <v>29</v>
      </c>
      <c r="L190" s="6" t="str">
        <f>VLOOKUP(K190,'Structure type'!$A$1:$B$15,2,FALSE)</f>
        <v>Manhole</v>
      </c>
      <c r="M190" s="6" t="s">
        <v>423</v>
      </c>
      <c r="N190" s="6" t="str">
        <f>VLOOKUP(M190,'Excursion Cause'!$A$1:$B$34,2,FALSE)</f>
        <v>Collection system ‐ wet weather</v>
      </c>
      <c r="O190" s="7">
        <v>44340.0</v>
      </c>
      <c r="P190" s="6" t="s">
        <v>93</v>
      </c>
      <c r="Q190" s="7">
        <v>44340.0</v>
      </c>
      <c r="R190" s="6" t="s">
        <v>540</v>
      </c>
      <c r="S190" s="5">
        <v>3.0</v>
      </c>
      <c r="T190" s="6" t="s">
        <v>443</v>
      </c>
      <c r="U190" s="5">
        <v>2.0210524E7</v>
      </c>
      <c r="V190" s="5">
        <v>2.0210524E7</v>
      </c>
      <c r="W190" s="5">
        <v>29.7220756070001</v>
      </c>
      <c r="X190" s="5">
        <v>-95.317101644</v>
      </c>
    </row>
    <row r="191" ht="15.75" customHeight="1">
      <c r="A191" s="5">
        <v>11042.0</v>
      </c>
      <c r="B191" s="6">
        <v>2021.0</v>
      </c>
      <c r="C191" s="6" t="str">
        <f t="shared" si="1"/>
        <v>5603 BARREMORE ST,Houston,Texas</v>
      </c>
      <c r="D191" s="6" t="s">
        <v>194</v>
      </c>
      <c r="E191" s="6" t="s">
        <v>25</v>
      </c>
      <c r="F191" s="6" t="s">
        <v>26</v>
      </c>
      <c r="G191" s="6" t="s">
        <v>141</v>
      </c>
      <c r="H191" s="6" t="s">
        <v>28</v>
      </c>
      <c r="I191" s="6" t="str">
        <f>VLOOKUP(H191,'Flow Location'!$A$1:$B$21,2,FALSE)</f>
        <v>Storm Sewer (not contained)</v>
      </c>
      <c r="J191" s="5">
        <v>2550.0</v>
      </c>
      <c r="K191" s="6" t="s">
        <v>29</v>
      </c>
      <c r="L191" s="6" t="str">
        <f>VLOOKUP(K191,'Structure type'!$A$1:$B$15,2,FALSE)</f>
        <v>Manhole</v>
      </c>
      <c r="M191" s="6" t="s">
        <v>423</v>
      </c>
      <c r="N191" s="6" t="str">
        <f>VLOOKUP(M191,'Excursion Cause'!$A$1:$B$34,2,FALSE)</f>
        <v>Collection system ‐ wet weather</v>
      </c>
      <c r="O191" s="7">
        <v>44340.0</v>
      </c>
      <c r="P191" s="6" t="s">
        <v>239</v>
      </c>
      <c r="Q191" s="7">
        <v>44340.0</v>
      </c>
      <c r="R191" s="6" t="s">
        <v>541</v>
      </c>
      <c r="S191" s="5">
        <v>8.0</v>
      </c>
      <c r="T191" s="6" t="s">
        <v>443</v>
      </c>
      <c r="U191" s="5">
        <v>2.0210524E7</v>
      </c>
      <c r="V191" s="5">
        <v>2.0210524E7</v>
      </c>
      <c r="W191" s="5">
        <v>29.722707686</v>
      </c>
      <c r="X191" s="5">
        <v>-95.3192228519999</v>
      </c>
    </row>
    <row r="192" ht="15.75" customHeight="1">
      <c r="A192" s="5">
        <v>11043.0</v>
      </c>
      <c r="B192" s="6">
        <v>2021.0</v>
      </c>
      <c r="C192" s="6" t="str">
        <f t="shared" si="1"/>
        <v>5602 LAWSON ST,Houston,Texas</v>
      </c>
      <c r="D192" s="6" t="s">
        <v>440</v>
      </c>
      <c r="E192" s="6" t="s">
        <v>25</v>
      </c>
      <c r="F192" s="6" t="s">
        <v>26</v>
      </c>
      <c r="G192" s="6" t="s">
        <v>141</v>
      </c>
      <c r="H192" s="6" t="s">
        <v>28</v>
      </c>
      <c r="I192" s="6" t="str">
        <f>VLOOKUP(H192,'Flow Location'!$A$1:$B$21,2,FALSE)</f>
        <v>Storm Sewer (not contained)</v>
      </c>
      <c r="J192" s="5">
        <v>1884.0</v>
      </c>
      <c r="K192" s="6" t="s">
        <v>29</v>
      </c>
      <c r="L192" s="6" t="str">
        <f>VLOOKUP(K192,'Structure type'!$A$1:$B$15,2,FALSE)</f>
        <v>Manhole</v>
      </c>
      <c r="M192" s="6" t="s">
        <v>423</v>
      </c>
      <c r="N192" s="6" t="str">
        <f>VLOOKUP(M192,'Excursion Cause'!$A$1:$B$34,2,FALSE)</f>
        <v>Collection system ‐ wet weather</v>
      </c>
      <c r="O192" s="7">
        <v>44340.0</v>
      </c>
      <c r="P192" s="6" t="s">
        <v>414</v>
      </c>
      <c r="Q192" s="7">
        <v>44340.0</v>
      </c>
      <c r="R192" s="6" t="s">
        <v>542</v>
      </c>
      <c r="S192" s="5">
        <v>7.0</v>
      </c>
      <c r="T192" s="6" t="s">
        <v>443</v>
      </c>
      <c r="U192" s="5">
        <v>2.0210524E7</v>
      </c>
      <c r="V192" s="5">
        <v>2.0210524E7</v>
      </c>
      <c r="W192" s="5">
        <v>29.723957721</v>
      </c>
      <c r="X192" s="5">
        <v>-95.318735193</v>
      </c>
    </row>
    <row r="193" ht="15.75" customHeight="1">
      <c r="A193" s="5">
        <v>11044.0</v>
      </c>
      <c r="B193" s="6">
        <v>2021.0</v>
      </c>
      <c r="C193" s="6" t="str">
        <f t="shared" si="1"/>
        <v>5645 TRUETT ST,Houston,Texas</v>
      </c>
      <c r="D193" s="6" t="s">
        <v>444</v>
      </c>
      <c r="E193" s="6" t="s">
        <v>25</v>
      </c>
      <c r="F193" s="6" t="s">
        <v>26</v>
      </c>
      <c r="G193" s="6" t="s">
        <v>141</v>
      </c>
      <c r="H193" s="6" t="s">
        <v>28</v>
      </c>
      <c r="I193" s="6" t="str">
        <f>VLOOKUP(H193,'Flow Location'!$A$1:$B$21,2,FALSE)</f>
        <v>Storm Sewer (not contained)</v>
      </c>
      <c r="J193" s="5">
        <v>781.0</v>
      </c>
      <c r="K193" s="6" t="s">
        <v>29</v>
      </c>
      <c r="L193" s="6" t="str">
        <f>VLOOKUP(K193,'Structure type'!$A$1:$B$15,2,FALSE)</f>
        <v>Manhole</v>
      </c>
      <c r="M193" s="6" t="s">
        <v>423</v>
      </c>
      <c r="N193" s="6" t="str">
        <f>VLOOKUP(M193,'Excursion Cause'!$A$1:$B$34,2,FALSE)</f>
        <v>Collection system ‐ wet weather</v>
      </c>
      <c r="O193" s="7">
        <v>44340.0</v>
      </c>
      <c r="P193" s="6" t="s">
        <v>543</v>
      </c>
      <c r="Q193" s="7">
        <v>44340.0</v>
      </c>
      <c r="R193" s="6" t="s">
        <v>544</v>
      </c>
      <c r="S193" s="5">
        <v>4.0</v>
      </c>
      <c r="T193" s="6" t="s">
        <v>443</v>
      </c>
      <c r="U193" s="5">
        <v>2.0210524E7</v>
      </c>
      <c r="V193" s="5">
        <v>2.0210524E7</v>
      </c>
      <c r="W193" s="5">
        <v>29.724066728</v>
      </c>
      <c r="X193" s="5">
        <v>-95.316487167</v>
      </c>
    </row>
    <row r="194" ht="15.75" customHeight="1">
      <c r="A194" s="5">
        <v>11045.0</v>
      </c>
      <c r="B194" s="6">
        <v>2021.0</v>
      </c>
      <c r="C194" s="6" t="str">
        <f t="shared" si="1"/>
        <v>3601 TELEPHONE RD,Houston,Texas</v>
      </c>
      <c r="D194" s="6" t="s">
        <v>436</v>
      </c>
      <c r="E194" s="6" t="s">
        <v>25</v>
      </c>
      <c r="F194" s="6" t="s">
        <v>26</v>
      </c>
      <c r="G194" s="6" t="s">
        <v>141</v>
      </c>
      <c r="H194" s="6" t="s">
        <v>28</v>
      </c>
      <c r="I194" s="6" t="str">
        <f>VLOOKUP(H194,'Flow Location'!$A$1:$B$21,2,FALSE)</f>
        <v>Storm Sewer (not contained)</v>
      </c>
      <c r="J194" s="5">
        <v>2284.0</v>
      </c>
      <c r="K194" s="6" t="s">
        <v>29</v>
      </c>
      <c r="L194" s="6" t="str">
        <f>VLOOKUP(K194,'Structure type'!$A$1:$B$15,2,FALSE)</f>
        <v>Manhole</v>
      </c>
      <c r="M194" s="6" t="s">
        <v>423</v>
      </c>
      <c r="N194" s="6" t="str">
        <f>VLOOKUP(M194,'Excursion Cause'!$A$1:$B$34,2,FALSE)</f>
        <v>Collection system ‐ wet weather</v>
      </c>
      <c r="O194" s="7">
        <v>44340.0</v>
      </c>
      <c r="P194" s="6" t="s">
        <v>260</v>
      </c>
      <c r="Q194" s="7">
        <v>44340.0</v>
      </c>
      <c r="R194" s="6" t="s">
        <v>545</v>
      </c>
      <c r="S194" s="5">
        <v>17.0</v>
      </c>
      <c r="T194" s="6" t="s">
        <v>443</v>
      </c>
      <c r="U194" s="5">
        <v>2.0210524E7</v>
      </c>
      <c r="V194" s="5">
        <v>2.0210524E7</v>
      </c>
      <c r="W194" s="5">
        <v>29.7094564840001</v>
      </c>
      <c r="X194" s="5">
        <v>-95.3137312809999</v>
      </c>
    </row>
    <row r="195" ht="15.75" customHeight="1">
      <c r="A195" s="5">
        <v>11046.0</v>
      </c>
      <c r="B195" s="6">
        <v>2021.0</v>
      </c>
      <c r="C195" s="6" t="str">
        <f t="shared" si="1"/>
        <v>3426 PARKER RD,Houston,Texas</v>
      </c>
      <c r="D195" s="6" t="s">
        <v>449</v>
      </c>
      <c r="E195" s="6" t="s">
        <v>25</v>
      </c>
      <c r="F195" s="6" t="s">
        <v>26</v>
      </c>
      <c r="G195" s="6" t="s">
        <v>109</v>
      </c>
      <c r="H195" s="6" t="s">
        <v>28</v>
      </c>
      <c r="I195" s="6" t="str">
        <f>VLOOKUP(H195,'Flow Location'!$A$1:$B$21,2,FALSE)</f>
        <v>Storm Sewer (not contained)</v>
      </c>
      <c r="J195" s="5">
        <v>20065.0</v>
      </c>
      <c r="K195" s="6" t="s">
        <v>29</v>
      </c>
      <c r="L195" s="6" t="str">
        <f>VLOOKUP(K195,'Structure type'!$A$1:$B$15,2,FALSE)</f>
        <v>Manhole</v>
      </c>
      <c r="M195" s="6" t="s">
        <v>423</v>
      </c>
      <c r="N195" s="6" t="str">
        <f>VLOOKUP(M195,'Excursion Cause'!$A$1:$B$34,2,FALSE)</f>
        <v>Collection system ‐ wet weather</v>
      </c>
      <c r="O195" s="7">
        <v>44340.0</v>
      </c>
      <c r="P195" s="6" t="s">
        <v>187</v>
      </c>
      <c r="Q195" s="7">
        <v>44341.0</v>
      </c>
      <c r="R195" s="6" t="s">
        <v>546</v>
      </c>
      <c r="S195" s="5">
        <v>34.0</v>
      </c>
      <c r="T195" s="6" t="s">
        <v>443</v>
      </c>
      <c r="U195" s="5">
        <v>2.0210524E7</v>
      </c>
      <c r="V195" s="5">
        <v>2.0210525E7</v>
      </c>
      <c r="W195" s="5">
        <v>29.859225806</v>
      </c>
      <c r="X195" s="5">
        <v>-95.335071637</v>
      </c>
    </row>
    <row r="196" ht="15.75" customHeight="1">
      <c r="A196" s="5">
        <v>11047.0</v>
      </c>
      <c r="B196" s="6">
        <v>2021.0</v>
      </c>
      <c r="C196" s="6" t="str">
        <f t="shared" si="1"/>
        <v>10330 EASTEX FWY,Houston,Texas</v>
      </c>
      <c r="D196" s="6" t="s">
        <v>452</v>
      </c>
      <c r="E196" s="6" t="s">
        <v>25</v>
      </c>
      <c r="F196" s="6" t="s">
        <v>26</v>
      </c>
      <c r="G196" s="6" t="s">
        <v>109</v>
      </c>
      <c r="H196" s="6" t="s">
        <v>28</v>
      </c>
      <c r="I196" s="6" t="str">
        <f>VLOOKUP(H196,'Flow Location'!$A$1:$B$21,2,FALSE)</f>
        <v>Storm Sewer (not contained)</v>
      </c>
      <c r="J196" s="5">
        <v>40255.0</v>
      </c>
      <c r="K196" s="6" t="s">
        <v>29</v>
      </c>
      <c r="L196" s="6" t="str">
        <f>VLOOKUP(K196,'Structure type'!$A$1:$B$15,2,FALSE)</f>
        <v>Manhole</v>
      </c>
      <c r="M196" s="6" t="s">
        <v>423</v>
      </c>
      <c r="N196" s="6" t="str">
        <f>VLOOKUP(M196,'Excursion Cause'!$A$1:$B$34,2,FALSE)</f>
        <v>Collection system ‐ wet weather</v>
      </c>
      <c r="O196" s="7">
        <v>44340.0</v>
      </c>
      <c r="P196" s="6" t="s">
        <v>240</v>
      </c>
      <c r="Q196" s="7">
        <v>44341.0</v>
      </c>
      <c r="R196" s="6" t="s">
        <v>546</v>
      </c>
      <c r="S196" s="5">
        <v>70.0</v>
      </c>
      <c r="T196" s="6" t="s">
        <v>439</v>
      </c>
      <c r="U196" s="5">
        <v>2.0210524E7</v>
      </c>
      <c r="V196" s="5">
        <v>2.0210525E7</v>
      </c>
      <c r="W196" s="5">
        <v>29.861749671</v>
      </c>
      <c r="X196" s="5">
        <v>-95.332866495</v>
      </c>
    </row>
    <row r="197" ht="15.75" customHeight="1">
      <c r="A197" s="5">
        <v>11048.0</v>
      </c>
      <c r="B197" s="6">
        <v>2021.0</v>
      </c>
      <c r="C197" s="6" t="str">
        <f t="shared" si="1"/>
        <v>1301 WAYSIDE DR,Houston,Texas</v>
      </c>
      <c r="D197" s="6" t="s">
        <v>459</v>
      </c>
      <c r="E197" s="6" t="s">
        <v>25</v>
      </c>
      <c r="F197" s="6" t="s">
        <v>26</v>
      </c>
      <c r="G197" s="6" t="s">
        <v>227</v>
      </c>
      <c r="H197" s="6" t="s">
        <v>28</v>
      </c>
      <c r="I197" s="6" t="str">
        <f>VLOOKUP(H197,'Flow Location'!$A$1:$B$21,2,FALSE)</f>
        <v>Storm Sewer (not contained)</v>
      </c>
      <c r="J197" s="5">
        <v>5377.0</v>
      </c>
      <c r="K197" s="6" t="s">
        <v>29</v>
      </c>
      <c r="L197" s="6" t="str">
        <f>VLOOKUP(K197,'Structure type'!$A$1:$B$15,2,FALSE)</f>
        <v>Manhole</v>
      </c>
      <c r="M197" s="6" t="s">
        <v>423</v>
      </c>
      <c r="N197" s="6" t="str">
        <f>VLOOKUP(M197,'Excursion Cause'!$A$1:$B$34,2,FALSE)</f>
        <v>Collection system ‐ wet weather</v>
      </c>
      <c r="O197" s="7">
        <v>44340.0</v>
      </c>
      <c r="P197" s="6" t="s">
        <v>547</v>
      </c>
      <c r="Q197" s="7">
        <v>44340.0</v>
      </c>
      <c r="R197" s="6" t="s">
        <v>548</v>
      </c>
      <c r="S197" s="5">
        <v>14.0</v>
      </c>
      <c r="T197" s="6" t="s">
        <v>443</v>
      </c>
      <c r="U197" s="5">
        <v>2.0210524E7</v>
      </c>
      <c r="V197" s="5">
        <v>2.0210524E7</v>
      </c>
      <c r="W197" s="5">
        <v>29.745163593</v>
      </c>
      <c r="X197" s="5">
        <v>-95.3029391109999</v>
      </c>
    </row>
    <row r="198" ht="15.75" customHeight="1">
      <c r="A198" s="5">
        <v>11049.0</v>
      </c>
      <c r="B198" s="6">
        <v>2021.0</v>
      </c>
      <c r="C198" s="6" t="str">
        <f t="shared" si="1"/>
        <v>24115 GLENGYLE CT,Houston,Texas</v>
      </c>
      <c r="D198" s="6" t="s">
        <v>467</v>
      </c>
      <c r="E198" s="6" t="s">
        <v>25</v>
      </c>
      <c r="F198" s="6" t="s">
        <v>26</v>
      </c>
      <c r="G198" s="6" t="s">
        <v>422</v>
      </c>
      <c r="H198" s="6" t="s">
        <v>50</v>
      </c>
      <c r="I198" s="6" t="str">
        <f>VLOOKUP(H198,'Flow Location'!$A$1:$B$21,2,FALSE)</f>
        <v>Contained On Site, not within 5 ft. of Bayou/Surface Water/Drainage Ditch</v>
      </c>
      <c r="J198" s="5">
        <v>26.0</v>
      </c>
      <c r="K198" s="6" t="s">
        <v>51</v>
      </c>
      <c r="L198" s="6" t="str">
        <f>VLOOKUP(K198,'Structure type'!$A$1:$B$15,2,FALSE)</f>
        <v>Private Cleanout</v>
      </c>
      <c r="M198" s="6" t="s">
        <v>423</v>
      </c>
      <c r="N198" s="6" t="str">
        <f>VLOOKUP(M198,'Excursion Cause'!$A$1:$B$34,2,FALSE)</f>
        <v>Collection system ‐ wet weather</v>
      </c>
      <c r="O198" s="7">
        <v>44340.0</v>
      </c>
      <c r="P198" s="6" t="s">
        <v>549</v>
      </c>
      <c r="Q198" s="7">
        <v>44340.0</v>
      </c>
      <c r="R198" s="6" t="s">
        <v>550</v>
      </c>
      <c r="S198" s="5">
        <v>0.0</v>
      </c>
      <c r="T198" s="6" t="s">
        <v>118</v>
      </c>
      <c r="U198" s="5">
        <v>2.0210524E7</v>
      </c>
      <c r="V198" s="5">
        <v>2.0210524E7</v>
      </c>
      <c r="W198" s="5">
        <v>30.021163244</v>
      </c>
      <c r="X198" s="5">
        <v>-95.11920491</v>
      </c>
    </row>
    <row r="199" ht="15.75" customHeight="1">
      <c r="A199" s="5">
        <v>11050.0</v>
      </c>
      <c r="B199" s="6">
        <v>2021.0</v>
      </c>
      <c r="C199" s="6" t="str">
        <f t="shared" si="1"/>
        <v>6820 LYONS AVE,Houston,Texas</v>
      </c>
      <c r="D199" s="6" t="s">
        <v>461</v>
      </c>
      <c r="E199" s="6" t="s">
        <v>25</v>
      </c>
      <c r="F199" s="6" t="s">
        <v>26</v>
      </c>
      <c r="G199" s="6" t="s">
        <v>86</v>
      </c>
      <c r="H199" s="6" t="s">
        <v>28</v>
      </c>
      <c r="I199" s="6" t="str">
        <f>VLOOKUP(H199,'Flow Location'!$A$1:$B$21,2,FALSE)</f>
        <v>Storm Sewer (not contained)</v>
      </c>
      <c r="J199" s="5">
        <v>4427.0</v>
      </c>
      <c r="K199" s="6" t="s">
        <v>29</v>
      </c>
      <c r="L199" s="6" t="str">
        <f>VLOOKUP(K199,'Structure type'!$A$1:$B$15,2,FALSE)</f>
        <v>Manhole</v>
      </c>
      <c r="M199" s="6" t="s">
        <v>423</v>
      </c>
      <c r="N199" s="6" t="str">
        <f>VLOOKUP(M199,'Excursion Cause'!$A$1:$B$34,2,FALSE)</f>
        <v>Collection system ‐ wet weather</v>
      </c>
      <c r="O199" s="7">
        <v>44340.0</v>
      </c>
      <c r="P199" s="6" t="s">
        <v>133</v>
      </c>
      <c r="Q199" s="7">
        <v>44340.0</v>
      </c>
      <c r="R199" s="6" t="s">
        <v>551</v>
      </c>
      <c r="S199" s="5">
        <v>12.0</v>
      </c>
      <c r="T199" s="6" t="s">
        <v>443</v>
      </c>
      <c r="U199" s="5">
        <v>2.0210524E7</v>
      </c>
      <c r="V199" s="5">
        <v>2.0210524E7</v>
      </c>
      <c r="W199" s="5">
        <v>29.7764670340001</v>
      </c>
      <c r="X199" s="5">
        <v>-95.3014849849999</v>
      </c>
    </row>
    <row r="200" ht="15.75" customHeight="1">
      <c r="A200" s="5">
        <v>11053.0</v>
      </c>
      <c r="B200" s="6">
        <v>2021.0</v>
      </c>
      <c r="C200" s="6" t="str">
        <f t="shared" si="1"/>
        <v>308 WASHINGTON AVE,Houston,Texas</v>
      </c>
      <c r="D200" s="6" t="s">
        <v>462</v>
      </c>
      <c r="E200" s="6" t="s">
        <v>25</v>
      </c>
      <c r="F200" s="6" t="s">
        <v>26</v>
      </c>
      <c r="G200" s="6" t="s">
        <v>463</v>
      </c>
      <c r="H200" s="6" t="s">
        <v>44</v>
      </c>
      <c r="I200" s="6" t="str">
        <f>VLOOKUP(H200,'Flow Location'!$A$1:$B$21,2,FALSE)</f>
        <v>Bayou/surface water/drainage ditch</v>
      </c>
      <c r="J200" s="5">
        <v>5850.0</v>
      </c>
      <c r="K200" s="6" t="s">
        <v>29</v>
      </c>
      <c r="L200" s="6" t="str">
        <f>VLOOKUP(K200,'Structure type'!$A$1:$B$15,2,FALSE)</f>
        <v>Manhole</v>
      </c>
      <c r="M200" s="6" t="s">
        <v>423</v>
      </c>
      <c r="N200" s="6" t="str">
        <f>VLOOKUP(M200,'Excursion Cause'!$A$1:$B$34,2,FALSE)</f>
        <v>Collection system ‐ wet weather</v>
      </c>
      <c r="O200" s="7">
        <v>44340.0</v>
      </c>
      <c r="P200" s="6" t="s">
        <v>552</v>
      </c>
      <c r="Q200" s="7">
        <v>44340.0</v>
      </c>
      <c r="R200" s="6" t="s">
        <v>553</v>
      </c>
      <c r="S200" s="5">
        <v>75.0</v>
      </c>
      <c r="T200" s="6" t="s">
        <v>443</v>
      </c>
      <c r="U200" s="5">
        <v>2.0210524E7</v>
      </c>
      <c r="V200" s="5">
        <v>2.0210524E7</v>
      </c>
      <c r="W200" s="5">
        <v>29.765427318</v>
      </c>
      <c r="X200" s="5">
        <v>-95.361434913</v>
      </c>
    </row>
    <row r="201" ht="15.75" customHeight="1">
      <c r="A201" s="5">
        <v>11054.0</v>
      </c>
      <c r="B201" s="6">
        <v>2021.0</v>
      </c>
      <c r="C201" s="6" t="str">
        <f t="shared" si="1"/>
        <v>4027 QUIET GLADE CT,Houston,Texas</v>
      </c>
      <c r="D201" s="6" t="s">
        <v>554</v>
      </c>
      <c r="E201" s="6" t="s">
        <v>25</v>
      </c>
      <c r="F201" s="6" t="s">
        <v>26</v>
      </c>
      <c r="G201" s="6" t="s">
        <v>555</v>
      </c>
      <c r="H201" s="6" t="s">
        <v>28</v>
      </c>
      <c r="I201" s="6" t="str">
        <f>VLOOKUP(H201,'Flow Location'!$A$1:$B$21,2,FALSE)</f>
        <v>Storm Sewer (not contained)</v>
      </c>
      <c r="J201" s="5">
        <v>11250.0</v>
      </c>
      <c r="K201" s="6" t="s">
        <v>29</v>
      </c>
      <c r="L201" s="6" t="str">
        <f>VLOOKUP(K201,'Structure type'!$A$1:$B$15,2,FALSE)</f>
        <v>Manhole</v>
      </c>
      <c r="M201" s="6" t="s">
        <v>423</v>
      </c>
      <c r="N201" s="6" t="str">
        <f>VLOOKUP(M201,'Excursion Cause'!$A$1:$B$34,2,FALSE)</f>
        <v>Collection system ‐ wet weather</v>
      </c>
      <c r="O201" s="7">
        <v>44340.0</v>
      </c>
      <c r="P201" s="6" t="s">
        <v>556</v>
      </c>
      <c r="Q201" s="7">
        <v>44340.0</v>
      </c>
      <c r="R201" s="6" t="s">
        <v>557</v>
      </c>
      <c r="S201" s="5">
        <v>30.0</v>
      </c>
      <c r="T201" s="6" t="s">
        <v>558</v>
      </c>
      <c r="U201" s="5">
        <v>2.0210524E7</v>
      </c>
      <c r="V201" s="5">
        <v>2.0210524E7</v>
      </c>
      <c r="W201" s="5">
        <v>30.070735035</v>
      </c>
      <c r="X201" s="5">
        <v>-95.179196454</v>
      </c>
    </row>
    <row r="202" ht="15.75" customHeight="1">
      <c r="A202" s="5">
        <v>11055.0</v>
      </c>
      <c r="B202" s="6">
        <v>2021.0</v>
      </c>
      <c r="C202" s="6" t="str">
        <f t="shared" si="1"/>
        <v>4803 SCENIC WOODS TRL,Houston,Texas</v>
      </c>
      <c r="D202" s="6" t="s">
        <v>559</v>
      </c>
      <c r="E202" s="6" t="s">
        <v>25</v>
      </c>
      <c r="F202" s="6" t="s">
        <v>26</v>
      </c>
      <c r="G202" s="6" t="s">
        <v>555</v>
      </c>
      <c r="H202" s="6" t="s">
        <v>50</v>
      </c>
      <c r="I202" s="6" t="str">
        <f>VLOOKUP(H202,'Flow Location'!$A$1:$B$21,2,FALSE)</f>
        <v>Contained On Site, not within 5 ft. of Bayou/Surface Water/Drainage Ditch</v>
      </c>
      <c r="J202" s="5">
        <v>0.0</v>
      </c>
      <c r="K202" s="6" t="s">
        <v>29</v>
      </c>
      <c r="L202" s="6" t="str">
        <f>VLOOKUP(K202,'Structure type'!$A$1:$B$15,2,FALSE)</f>
        <v>Manhole</v>
      </c>
      <c r="M202" s="6" t="s">
        <v>423</v>
      </c>
      <c r="N202" s="6" t="str">
        <f>VLOOKUP(M202,'Excursion Cause'!$A$1:$B$34,2,FALSE)</f>
        <v>Collection system ‐ wet weather</v>
      </c>
      <c r="O202" s="7">
        <v>44341.0</v>
      </c>
      <c r="P202" s="6" t="s">
        <v>560</v>
      </c>
      <c r="Q202" s="7">
        <v>44341.0</v>
      </c>
      <c r="R202" s="6" t="s">
        <v>560</v>
      </c>
      <c r="S202" s="5">
        <v>0.0</v>
      </c>
      <c r="T202" s="6" t="s">
        <v>118</v>
      </c>
      <c r="U202" s="5">
        <v>2.0210525E7</v>
      </c>
      <c r="V202" s="5">
        <v>2.0210525E7</v>
      </c>
      <c r="W202" s="5">
        <v>30.078709913</v>
      </c>
      <c r="X202" s="5">
        <v>-95.169270856</v>
      </c>
    </row>
    <row r="203" ht="15.75" customHeight="1">
      <c r="A203" s="5">
        <v>11057.0</v>
      </c>
      <c r="B203" s="6">
        <v>2021.0</v>
      </c>
      <c r="C203" s="6" t="str">
        <f t="shared" si="1"/>
        <v>2351 BROOKMERE DR,Houston,Texas</v>
      </c>
      <c r="D203" s="6" t="s">
        <v>561</v>
      </c>
      <c r="E203" s="6" t="s">
        <v>25</v>
      </c>
      <c r="F203" s="6" t="s">
        <v>26</v>
      </c>
      <c r="G203" s="6" t="s">
        <v>232</v>
      </c>
      <c r="H203" s="6" t="s">
        <v>28</v>
      </c>
      <c r="I203" s="6" t="str">
        <f>VLOOKUP(H203,'Flow Location'!$A$1:$B$21,2,FALSE)</f>
        <v>Storm Sewer (not contained)</v>
      </c>
      <c r="J203" s="5">
        <v>3106.5</v>
      </c>
      <c r="K203" s="6" t="s">
        <v>51</v>
      </c>
      <c r="L203" s="6" t="str">
        <f>VLOOKUP(K203,'Structure type'!$A$1:$B$15,2,FALSE)</f>
        <v>Private Cleanout</v>
      </c>
      <c r="M203" s="6" t="s">
        <v>30</v>
      </c>
      <c r="N203" s="6" t="str">
        <f>VLOOKUP(M203,'Excursion Cause'!$A$1:$B$34,2,FALSE)</f>
        <v>Grease Blockage</v>
      </c>
      <c r="O203" s="7">
        <v>44341.0</v>
      </c>
      <c r="P203" s="6" t="s">
        <v>514</v>
      </c>
      <c r="Q203" s="7">
        <v>44342.0</v>
      </c>
      <c r="R203" s="6" t="s">
        <v>562</v>
      </c>
      <c r="S203" s="5">
        <v>2.0</v>
      </c>
      <c r="T203" s="6" t="s">
        <v>33</v>
      </c>
      <c r="U203" s="5">
        <v>2.0210525E7</v>
      </c>
      <c r="V203" s="5">
        <v>2.0210526E7</v>
      </c>
      <c r="W203" s="5">
        <v>29.806761662</v>
      </c>
      <c r="X203" s="5">
        <v>-95.442165674</v>
      </c>
    </row>
    <row r="204" ht="15.75" customHeight="1">
      <c r="A204" s="5">
        <v>11058.0</v>
      </c>
      <c r="B204" s="6">
        <v>2021.0</v>
      </c>
      <c r="C204" s="6" t="str">
        <f t="shared" si="1"/>
        <v>11814 KIRKHOLM DR,Houston,Texas</v>
      </c>
      <c r="D204" s="6" t="s">
        <v>563</v>
      </c>
      <c r="E204" s="6" t="s">
        <v>25</v>
      </c>
      <c r="F204" s="6" t="s">
        <v>26</v>
      </c>
      <c r="G204" s="6" t="s">
        <v>477</v>
      </c>
      <c r="H204" s="6" t="s">
        <v>50</v>
      </c>
      <c r="I204" s="6" t="str">
        <f>VLOOKUP(H204,'Flow Location'!$A$1:$B$21,2,FALSE)</f>
        <v>Contained On Site, not within 5 ft. of Bayou/Surface Water/Drainage Ditch</v>
      </c>
      <c r="J204" s="5">
        <v>0.0</v>
      </c>
      <c r="K204" s="6" t="s">
        <v>29</v>
      </c>
      <c r="L204" s="6" t="str">
        <f>VLOOKUP(K204,'Structure type'!$A$1:$B$15,2,FALSE)</f>
        <v>Manhole</v>
      </c>
      <c r="M204" s="6" t="s">
        <v>30</v>
      </c>
      <c r="N204" s="6" t="str">
        <f>VLOOKUP(M204,'Excursion Cause'!$A$1:$B$34,2,FALSE)</f>
        <v>Grease Blockage</v>
      </c>
      <c r="O204" s="7">
        <v>44341.0</v>
      </c>
      <c r="P204" s="6" t="s">
        <v>564</v>
      </c>
      <c r="Q204" s="7">
        <v>44341.0</v>
      </c>
      <c r="R204" s="6" t="s">
        <v>564</v>
      </c>
      <c r="S204" s="5">
        <v>0.0</v>
      </c>
      <c r="T204" s="6" t="s">
        <v>33</v>
      </c>
      <c r="U204" s="5">
        <v>2.0210525E7</v>
      </c>
      <c r="V204" s="5">
        <v>2.0210525E7</v>
      </c>
      <c r="W204" s="5">
        <v>29.60530526</v>
      </c>
      <c r="X204" s="5">
        <v>-95.2212639689999</v>
      </c>
    </row>
    <row r="205" ht="15.75" customHeight="1">
      <c r="A205" s="5">
        <v>11059.0</v>
      </c>
      <c r="B205" s="6">
        <v>2021.0</v>
      </c>
      <c r="C205" s="6" t="str">
        <f t="shared" si="1"/>
        <v>2905 #5 BAER ST,Houston,Texas</v>
      </c>
      <c r="D205" s="6" t="s">
        <v>507</v>
      </c>
      <c r="E205" s="6" t="s">
        <v>25</v>
      </c>
      <c r="F205" s="6" t="s">
        <v>26</v>
      </c>
      <c r="G205" s="6" t="s">
        <v>86</v>
      </c>
      <c r="H205" s="6" t="s">
        <v>50</v>
      </c>
      <c r="I205" s="6" t="str">
        <f>VLOOKUP(H205,'Flow Location'!$A$1:$B$21,2,FALSE)</f>
        <v>Contained On Site, not within 5 ft. of Bayou/Surface Water/Drainage Ditch</v>
      </c>
      <c r="J205" s="5">
        <v>0.0</v>
      </c>
      <c r="K205" s="6" t="s">
        <v>45</v>
      </c>
      <c r="L205" s="6" t="str">
        <f>VLOOKUP(K205,'Structure type'!$A$1:$B$15,2,FALSE)</f>
        <v>City Cleanout</v>
      </c>
      <c r="M205" s="6" t="s">
        <v>56</v>
      </c>
      <c r="N205" s="6" t="str">
        <f>VLOOKUP(M205,'Excursion Cause'!$A$1:$B$34,2,FALSE)</f>
        <v>Rags/Wipes</v>
      </c>
      <c r="O205" s="7">
        <v>44341.0</v>
      </c>
      <c r="P205" s="6" t="s">
        <v>565</v>
      </c>
      <c r="Q205" s="7">
        <v>44341.0</v>
      </c>
      <c r="R205" s="6" t="s">
        <v>565</v>
      </c>
      <c r="S205" s="5">
        <v>0.0</v>
      </c>
      <c r="T205" s="6" t="s">
        <v>270</v>
      </c>
      <c r="U205" s="5">
        <v>2.0210525E7</v>
      </c>
      <c r="V205" s="5">
        <v>2.0210525E7</v>
      </c>
      <c r="W205" s="5">
        <v>29.7679869780001</v>
      </c>
      <c r="X205" s="5">
        <v>-95.34021491</v>
      </c>
    </row>
    <row r="206" ht="15.75" customHeight="1">
      <c r="A206" s="5">
        <v>11061.0</v>
      </c>
      <c r="B206" s="6">
        <v>2021.0</v>
      </c>
      <c r="C206" s="6" t="str">
        <f t="shared" si="1"/>
        <v>11826 RHINEBECK DR,Houston,Texas</v>
      </c>
      <c r="D206" s="6" t="s">
        <v>566</v>
      </c>
      <c r="E206" s="6" t="s">
        <v>25</v>
      </c>
      <c r="F206" s="6" t="s">
        <v>26</v>
      </c>
      <c r="G206" s="6" t="s">
        <v>477</v>
      </c>
      <c r="H206" s="6" t="s">
        <v>144</v>
      </c>
      <c r="I206" s="6" t="str">
        <f>VLOOKUP(H206,'Flow Location'!$A$1:$B$21,2,FALSE)</f>
        <v>Storm Sewer - contained</v>
      </c>
      <c r="J206" s="5">
        <v>0.0</v>
      </c>
      <c r="K206" s="6" t="s">
        <v>45</v>
      </c>
      <c r="L206" s="6" t="str">
        <f>VLOOKUP(K206,'Structure type'!$A$1:$B$15,2,FALSE)</f>
        <v>City Cleanout</v>
      </c>
      <c r="M206" s="6" t="s">
        <v>56</v>
      </c>
      <c r="N206" s="6" t="str">
        <f>VLOOKUP(M206,'Excursion Cause'!$A$1:$B$34,2,FALSE)</f>
        <v>Rags/Wipes</v>
      </c>
      <c r="O206" s="7">
        <v>44342.0</v>
      </c>
      <c r="P206" s="6" t="s">
        <v>269</v>
      </c>
      <c r="Q206" s="7">
        <v>44342.0</v>
      </c>
      <c r="R206" s="6" t="s">
        <v>269</v>
      </c>
      <c r="S206" s="5">
        <v>0.0</v>
      </c>
      <c r="T206" s="6" t="s">
        <v>270</v>
      </c>
      <c r="U206" s="5">
        <v>2.0210526E7</v>
      </c>
      <c r="V206" s="5">
        <v>2.0210526E7</v>
      </c>
      <c r="W206" s="5">
        <v>29.588533575</v>
      </c>
      <c r="X206" s="5">
        <v>-95.202661257</v>
      </c>
    </row>
    <row r="207" ht="15.75" customHeight="1">
      <c r="A207" s="5">
        <v>11062.0</v>
      </c>
      <c r="B207" s="6">
        <v>2021.0</v>
      </c>
      <c r="C207" s="6" t="str">
        <f t="shared" si="1"/>
        <v>11403 BEXLEY DR,Houston,Texas</v>
      </c>
      <c r="D207" s="6" t="s">
        <v>567</v>
      </c>
      <c r="E207" s="6" t="s">
        <v>25</v>
      </c>
      <c r="F207" s="6" t="s">
        <v>26</v>
      </c>
      <c r="G207" s="6" t="s">
        <v>154</v>
      </c>
      <c r="H207" s="6" t="s">
        <v>28</v>
      </c>
      <c r="I207" s="6" t="str">
        <f>VLOOKUP(H207,'Flow Location'!$A$1:$B$21,2,FALSE)</f>
        <v>Storm Sewer (not contained)</v>
      </c>
      <c r="J207" s="5">
        <v>260.0</v>
      </c>
      <c r="K207" s="6" t="s">
        <v>29</v>
      </c>
      <c r="L207" s="6" t="str">
        <f>VLOOKUP(K207,'Structure type'!$A$1:$B$15,2,FALSE)</f>
        <v>Manhole</v>
      </c>
      <c r="M207" s="6" t="s">
        <v>30</v>
      </c>
      <c r="N207" s="6" t="str">
        <f>VLOOKUP(M207,'Excursion Cause'!$A$1:$B$34,2,FALSE)</f>
        <v>Grease Blockage</v>
      </c>
      <c r="O207" s="7">
        <v>44342.0</v>
      </c>
      <c r="P207" s="6" t="s">
        <v>63</v>
      </c>
      <c r="Q207" s="7">
        <v>44342.0</v>
      </c>
      <c r="R207" s="6" t="s">
        <v>568</v>
      </c>
      <c r="S207" s="5">
        <v>2.0</v>
      </c>
      <c r="T207" s="6" t="s">
        <v>33</v>
      </c>
      <c r="U207" s="5">
        <v>2.0210526E7</v>
      </c>
      <c r="V207" s="5">
        <v>2.0210526E7</v>
      </c>
      <c r="W207" s="5">
        <v>29.6830240260001</v>
      </c>
      <c r="X207" s="5">
        <v>-95.5784689989999</v>
      </c>
    </row>
    <row r="208" ht="15.75" customHeight="1">
      <c r="A208" s="5">
        <v>11070.0</v>
      </c>
      <c r="B208" s="6">
        <v>2021.0</v>
      </c>
      <c r="C208" s="6" t="str">
        <f t="shared" si="1"/>
        <v>1207 MITCHELL RD,Houston,Texas</v>
      </c>
      <c r="D208" s="6" t="s">
        <v>569</v>
      </c>
      <c r="E208" s="6" t="s">
        <v>25</v>
      </c>
      <c r="F208" s="6" t="s">
        <v>26</v>
      </c>
      <c r="G208" s="6" t="s">
        <v>570</v>
      </c>
      <c r="H208" s="6" t="s">
        <v>28</v>
      </c>
      <c r="I208" s="6" t="str">
        <f>VLOOKUP(H208,'Flow Location'!$A$1:$B$21,2,FALSE)</f>
        <v>Storm Sewer (not contained)</v>
      </c>
      <c r="J208" s="5">
        <v>0.0</v>
      </c>
      <c r="K208" s="6" t="s">
        <v>29</v>
      </c>
      <c r="L208" s="6" t="str">
        <f>VLOOKUP(K208,'Structure type'!$A$1:$B$15,2,FALSE)</f>
        <v>Manhole</v>
      </c>
      <c r="M208" s="6" t="s">
        <v>423</v>
      </c>
      <c r="N208" s="6" t="str">
        <f>VLOOKUP(M208,'Excursion Cause'!$A$1:$B$34,2,FALSE)</f>
        <v>Collection system ‐ wet weather</v>
      </c>
      <c r="O208" s="7">
        <v>44342.0</v>
      </c>
      <c r="P208" s="6" t="s">
        <v>571</v>
      </c>
      <c r="Q208" s="7">
        <v>44342.0</v>
      </c>
      <c r="R208" s="6" t="s">
        <v>571</v>
      </c>
      <c r="S208" s="5">
        <v>0.0</v>
      </c>
      <c r="T208" s="6" t="s">
        <v>118</v>
      </c>
      <c r="U208" s="5">
        <v>2.0210526E7</v>
      </c>
      <c r="V208" s="5">
        <v>2.0210526E7</v>
      </c>
      <c r="W208" s="5">
        <v>29.8833074230001</v>
      </c>
      <c r="X208" s="5">
        <v>-95.372889077</v>
      </c>
    </row>
    <row r="209" ht="15.75" customHeight="1">
      <c r="A209" s="5">
        <v>11071.0</v>
      </c>
      <c r="B209" s="6">
        <v>2021.0</v>
      </c>
      <c r="C209" s="6" t="str">
        <f t="shared" si="1"/>
        <v>12431 S RYLANDER CIR,Houston,Texas</v>
      </c>
      <c r="D209" s="6" t="s">
        <v>572</v>
      </c>
      <c r="E209" s="6" t="s">
        <v>25</v>
      </c>
      <c r="F209" s="6" t="s">
        <v>26</v>
      </c>
      <c r="G209" s="6" t="s">
        <v>148</v>
      </c>
      <c r="H209" s="6" t="s">
        <v>50</v>
      </c>
      <c r="I209" s="6" t="str">
        <f>VLOOKUP(H209,'Flow Location'!$A$1:$B$21,2,FALSE)</f>
        <v>Contained On Site, not within 5 ft. of Bayou/Surface Water/Drainage Ditch</v>
      </c>
      <c r="J209" s="5">
        <v>0.0</v>
      </c>
      <c r="K209" s="6" t="s">
        <v>45</v>
      </c>
      <c r="L209" s="6" t="str">
        <f>VLOOKUP(K209,'Structure type'!$A$1:$B$15,2,FALSE)</f>
        <v>City Cleanout</v>
      </c>
      <c r="M209" s="6" t="s">
        <v>56</v>
      </c>
      <c r="N209" s="6" t="str">
        <f>VLOOKUP(M209,'Excursion Cause'!$A$1:$B$34,2,FALSE)</f>
        <v>Rags/Wipes</v>
      </c>
      <c r="O209" s="7">
        <v>44343.0</v>
      </c>
      <c r="P209" s="6" t="s">
        <v>573</v>
      </c>
      <c r="Q209" s="7">
        <v>44343.0</v>
      </c>
      <c r="R209" s="6" t="s">
        <v>573</v>
      </c>
      <c r="S209" s="5">
        <v>0.0</v>
      </c>
      <c r="T209" s="6" t="s">
        <v>270</v>
      </c>
      <c r="U209" s="5">
        <v>2.0210527E7</v>
      </c>
      <c r="V209" s="5">
        <v>2.0210527E7</v>
      </c>
      <c r="W209" s="5">
        <v>29.640573626</v>
      </c>
      <c r="X209" s="5">
        <v>-95.5313108189999</v>
      </c>
    </row>
    <row r="210" ht="15.75" customHeight="1">
      <c r="A210" s="5">
        <v>11073.0</v>
      </c>
      <c r="B210" s="6">
        <v>2021.0</v>
      </c>
      <c r="C210" s="6" t="str">
        <f t="shared" si="1"/>
        <v>12929 WESTPARK DR,Houston,Texas</v>
      </c>
      <c r="D210" s="6" t="s">
        <v>574</v>
      </c>
      <c r="E210" s="6" t="s">
        <v>25</v>
      </c>
      <c r="F210" s="6" t="s">
        <v>26</v>
      </c>
      <c r="G210" s="6" t="s">
        <v>313</v>
      </c>
      <c r="H210" s="6" t="s">
        <v>50</v>
      </c>
      <c r="I210" s="6" t="str">
        <f>VLOOKUP(H210,'Flow Location'!$A$1:$B$21,2,FALSE)</f>
        <v>Contained On Site, not within 5 ft. of Bayou/Surface Water/Drainage Ditch</v>
      </c>
      <c r="J210" s="5">
        <v>0.0</v>
      </c>
      <c r="K210" s="6" t="s">
        <v>29</v>
      </c>
      <c r="L210" s="6" t="str">
        <f>VLOOKUP(K210,'Structure type'!$A$1:$B$15,2,FALSE)</f>
        <v>Manhole</v>
      </c>
      <c r="M210" s="6" t="s">
        <v>30</v>
      </c>
      <c r="N210" s="6" t="str">
        <f>VLOOKUP(M210,'Excursion Cause'!$A$1:$B$34,2,FALSE)</f>
        <v>Grease Blockage</v>
      </c>
      <c r="O210" s="7">
        <v>44343.0</v>
      </c>
      <c r="P210" s="6" t="s">
        <v>264</v>
      </c>
      <c r="Q210" s="7">
        <v>44343.0</v>
      </c>
      <c r="R210" s="6" t="s">
        <v>264</v>
      </c>
      <c r="S210" s="5">
        <v>0.0</v>
      </c>
      <c r="T210" s="6" t="s">
        <v>33</v>
      </c>
      <c r="U210" s="5">
        <v>2.0210527E7</v>
      </c>
      <c r="V210" s="5">
        <v>2.0210527E7</v>
      </c>
      <c r="W210" s="5">
        <v>29.722089353</v>
      </c>
      <c r="X210" s="5">
        <v>-95.615738796</v>
      </c>
    </row>
    <row r="211" ht="15.75" customHeight="1">
      <c r="A211" s="5">
        <v>11074.0</v>
      </c>
      <c r="B211" s="6">
        <v>2021.0</v>
      </c>
      <c r="C211" s="6" t="str">
        <f t="shared" si="1"/>
        <v>7629 AVENUE K,Houston,Texas</v>
      </c>
      <c r="D211" s="6" t="s">
        <v>575</v>
      </c>
      <c r="E211" s="6" t="s">
        <v>25</v>
      </c>
      <c r="F211" s="6" t="s">
        <v>26</v>
      </c>
      <c r="G211" s="6" t="s">
        <v>365</v>
      </c>
      <c r="H211" s="6" t="s">
        <v>50</v>
      </c>
      <c r="I211" s="6" t="str">
        <f>VLOOKUP(H211,'Flow Location'!$A$1:$B$21,2,FALSE)</f>
        <v>Contained On Site, not within 5 ft. of Bayou/Surface Water/Drainage Ditch</v>
      </c>
      <c r="J211" s="5">
        <v>3184.0</v>
      </c>
      <c r="K211" s="6" t="s">
        <v>45</v>
      </c>
      <c r="L211" s="6" t="str">
        <f>VLOOKUP(K211,'Structure type'!$A$1:$B$15,2,FALSE)</f>
        <v>City Cleanout</v>
      </c>
      <c r="M211" s="6" t="s">
        <v>56</v>
      </c>
      <c r="N211" s="6" t="str">
        <f>VLOOKUP(M211,'Excursion Cause'!$A$1:$B$34,2,FALSE)</f>
        <v>Rags/Wipes</v>
      </c>
      <c r="O211" s="7">
        <v>44343.0</v>
      </c>
      <c r="P211" s="6" t="s">
        <v>369</v>
      </c>
      <c r="Q211" s="7">
        <v>44344.0</v>
      </c>
      <c r="R211" s="6" t="s">
        <v>257</v>
      </c>
      <c r="S211" s="5">
        <v>2.0</v>
      </c>
      <c r="T211" s="6" t="s">
        <v>270</v>
      </c>
      <c r="U211" s="5">
        <v>2.0210527E7</v>
      </c>
      <c r="V211" s="5">
        <v>2.0210528E7</v>
      </c>
      <c r="W211" s="5">
        <v>29.7383699430001</v>
      </c>
      <c r="X211" s="5">
        <v>-95.286140738</v>
      </c>
    </row>
    <row r="212" ht="15.75" customHeight="1">
      <c r="A212" s="5">
        <v>11076.0</v>
      </c>
      <c r="B212" s="6">
        <v>2021.0</v>
      </c>
      <c r="C212" s="6" t="str">
        <f t="shared" si="1"/>
        <v>1740 PASADENA ST,Houston,Texas</v>
      </c>
      <c r="D212" s="6" t="s">
        <v>576</v>
      </c>
      <c r="E212" s="6" t="s">
        <v>25</v>
      </c>
      <c r="F212" s="6" t="s">
        <v>26</v>
      </c>
      <c r="G212" s="6" t="s">
        <v>141</v>
      </c>
      <c r="H212" s="6" t="s">
        <v>50</v>
      </c>
      <c r="I212" s="6" t="str">
        <f>VLOOKUP(H212,'Flow Location'!$A$1:$B$21,2,FALSE)</f>
        <v>Contained On Site, not within 5 ft. of Bayou/Surface Water/Drainage Ditch</v>
      </c>
      <c r="J212" s="5">
        <v>0.0</v>
      </c>
      <c r="K212" s="6" t="s">
        <v>198</v>
      </c>
      <c r="L212" s="6" t="str">
        <f>VLOOKUP(K212,'Structure type'!$A$1:$B$15,2,FALSE)</f>
        <v>Service Lateral</v>
      </c>
      <c r="M212" s="6" t="s">
        <v>81</v>
      </c>
      <c r="N212" s="6" t="str">
        <f>VLOOKUP(M212,'Excursion Cause'!$A$1:$B$34,2,FALSE)</f>
        <v>Collection system structural failure</v>
      </c>
      <c r="O212" s="7">
        <v>44343.0</v>
      </c>
      <c r="P212" s="6" t="s">
        <v>577</v>
      </c>
      <c r="Q212" s="7">
        <v>44343.0</v>
      </c>
      <c r="R212" s="6" t="s">
        <v>577</v>
      </c>
      <c r="S212" s="5">
        <v>0.0</v>
      </c>
      <c r="T212" s="6" t="s">
        <v>578</v>
      </c>
      <c r="U212" s="5">
        <v>2.0210527E7</v>
      </c>
      <c r="V212" s="5">
        <v>2.0210527E7</v>
      </c>
      <c r="W212" s="5">
        <v>29.7264284550001</v>
      </c>
      <c r="X212" s="5">
        <v>-95.2987350499999</v>
      </c>
    </row>
    <row r="213" ht="15.75" customHeight="1">
      <c r="A213" s="5">
        <v>11078.0</v>
      </c>
      <c r="B213" s="6">
        <v>2021.0</v>
      </c>
      <c r="C213" s="6" t="str">
        <f t="shared" si="1"/>
        <v>6420 MAYBELL ST,Houston,Texas</v>
      </c>
      <c r="D213" s="6" t="s">
        <v>579</v>
      </c>
      <c r="E213" s="6" t="s">
        <v>25</v>
      </c>
      <c r="F213" s="6" t="s">
        <v>26</v>
      </c>
      <c r="G213" s="6" t="s">
        <v>222</v>
      </c>
      <c r="H213" s="6" t="s">
        <v>28</v>
      </c>
      <c r="I213" s="6" t="str">
        <f>VLOOKUP(H213,'Flow Location'!$A$1:$B$21,2,FALSE)</f>
        <v>Storm Sewer (not contained)</v>
      </c>
      <c r="J213" s="5">
        <v>1671.0</v>
      </c>
      <c r="K213" s="6" t="s">
        <v>198</v>
      </c>
      <c r="L213" s="6" t="str">
        <f>VLOOKUP(K213,'Structure type'!$A$1:$B$15,2,FALSE)</f>
        <v>Service Lateral</v>
      </c>
      <c r="M213" s="6" t="s">
        <v>366</v>
      </c>
      <c r="N213" s="6" t="str">
        <f>VLOOKUP(M213,'Excursion Cause'!$A$1:$B$34,2,FALSE)</f>
        <v>Collection system structural blockage</v>
      </c>
      <c r="O213" s="7">
        <v>44343.0</v>
      </c>
      <c r="P213" s="6" t="s">
        <v>121</v>
      </c>
      <c r="Q213" s="7">
        <v>44345.0</v>
      </c>
      <c r="R213" s="6" t="s">
        <v>580</v>
      </c>
      <c r="S213" s="5">
        <v>1.0</v>
      </c>
      <c r="T213" s="6" t="s">
        <v>581</v>
      </c>
      <c r="U213" s="5">
        <v>2.0210527E7</v>
      </c>
      <c r="V213" s="5">
        <v>2.0210529E7</v>
      </c>
      <c r="W213" s="5">
        <v>29.8549568930001</v>
      </c>
      <c r="X213" s="5">
        <v>-95.42015069</v>
      </c>
    </row>
    <row r="214" ht="15.75" customHeight="1">
      <c r="A214" s="5">
        <v>11080.0</v>
      </c>
      <c r="B214" s="6">
        <v>2021.0</v>
      </c>
      <c r="C214" s="6" t="str">
        <f t="shared" si="1"/>
        <v>2510 PARK ST,Houston,Texas</v>
      </c>
      <c r="D214" s="6" t="s">
        <v>582</v>
      </c>
      <c r="E214" s="6" t="s">
        <v>25</v>
      </c>
      <c r="F214" s="6" t="s">
        <v>26</v>
      </c>
      <c r="G214" s="6" t="s">
        <v>80</v>
      </c>
      <c r="H214" s="6" t="s">
        <v>50</v>
      </c>
      <c r="I214" s="6" t="str">
        <f>VLOOKUP(H214,'Flow Location'!$A$1:$B$21,2,FALSE)</f>
        <v>Contained On Site, not within 5 ft. of Bayou/Surface Water/Drainage Ditch</v>
      </c>
      <c r="J214" s="5">
        <v>0.0</v>
      </c>
      <c r="K214" s="6" t="s">
        <v>51</v>
      </c>
      <c r="L214" s="6" t="str">
        <f>VLOOKUP(K214,'Structure type'!$A$1:$B$15,2,FALSE)</f>
        <v>Private Cleanout</v>
      </c>
      <c r="M214" s="6" t="s">
        <v>52</v>
      </c>
      <c r="N214" s="6" t="str">
        <f>VLOOKUP(M214,'Excursion Cause'!$A$1:$B$34,2,FALSE)</f>
        <v>Collection system structural blockage</v>
      </c>
      <c r="O214" s="7">
        <v>44343.0</v>
      </c>
      <c r="P214" s="6" t="s">
        <v>583</v>
      </c>
      <c r="Q214" s="7">
        <v>44343.0</v>
      </c>
      <c r="R214" s="6" t="s">
        <v>583</v>
      </c>
      <c r="S214" s="5">
        <v>0.0</v>
      </c>
      <c r="T214" s="6" t="s">
        <v>54</v>
      </c>
      <c r="U214" s="5">
        <v>2.0210527E7</v>
      </c>
      <c r="V214" s="5">
        <v>2.0210527E7</v>
      </c>
      <c r="W214" s="5">
        <v>29.74327872</v>
      </c>
      <c r="X214" s="5">
        <v>-95.4029123</v>
      </c>
    </row>
    <row r="215" ht="15.75" customHeight="1">
      <c r="A215" s="5">
        <v>11082.0</v>
      </c>
      <c r="B215" s="6">
        <v>2021.0</v>
      </c>
      <c r="C215" s="6" t="str">
        <f t="shared" si="1"/>
        <v>6011 DASHWOOD DR,Houston,Texas</v>
      </c>
      <c r="D215" s="6" t="s">
        <v>584</v>
      </c>
      <c r="E215" s="6" t="s">
        <v>25</v>
      </c>
      <c r="F215" s="6" t="s">
        <v>26</v>
      </c>
      <c r="G215" s="6" t="s">
        <v>287</v>
      </c>
      <c r="H215" s="6" t="s">
        <v>50</v>
      </c>
      <c r="I215" s="6" t="str">
        <f>VLOOKUP(H215,'Flow Location'!$A$1:$B$21,2,FALSE)</f>
        <v>Contained On Site, not within 5 ft. of Bayou/Surface Water/Drainage Ditch</v>
      </c>
      <c r="J215" s="5">
        <v>0.0</v>
      </c>
      <c r="K215" s="6" t="s">
        <v>29</v>
      </c>
      <c r="L215" s="6" t="str">
        <f>VLOOKUP(K215,'Structure type'!$A$1:$B$15,2,FALSE)</f>
        <v>Manhole</v>
      </c>
      <c r="M215" s="6" t="s">
        <v>30</v>
      </c>
      <c r="N215" s="6" t="str">
        <f>VLOOKUP(M215,'Excursion Cause'!$A$1:$B$34,2,FALSE)</f>
        <v>Grease Blockage</v>
      </c>
      <c r="O215" s="7">
        <v>44343.0</v>
      </c>
      <c r="P215" s="6" t="s">
        <v>585</v>
      </c>
      <c r="Q215" s="7">
        <v>44343.0</v>
      </c>
      <c r="R215" s="6" t="s">
        <v>585</v>
      </c>
      <c r="S215" s="5">
        <v>0.0</v>
      </c>
      <c r="T215" s="6" t="s">
        <v>33</v>
      </c>
      <c r="U215" s="5">
        <v>2.0210527E7</v>
      </c>
      <c r="V215" s="5">
        <v>2.0210527E7</v>
      </c>
      <c r="W215" s="5">
        <v>29.707309836</v>
      </c>
      <c r="X215" s="5">
        <v>-95.487816201</v>
      </c>
    </row>
    <row r="216" ht="15.75" customHeight="1">
      <c r="A216" s="5">
        <v>11084.0</v>
      </c>
      <c r="B216" s="6">
        <v>2021.0</v>
      </c>
      <c r="C216" s="6" t="str">
        <f t="shared" si="1"/>
        <v>2545 MUNGER ST,Houston,Texas</v>
      </c>
      <c r="D216" s="6" t="s">
        <v>586</v>
      </c>
      <c r="E216" s="6" t="s">
        <v>25</v>
      </c>
      <c r="F216" s="6" t="s">
        <v>26</v>
      </c>
      <c r="G216" s="6" t="s">
        <v>141</v>
      </c>
      <c r="H216" s="6" t="s">
        <v>50</v>
      </c>
      <c r="I216" s="6" t="str">
        <f>VLOOKUP(H216,'Flow Location'!$A$1:$B$21,2,FALSE)</f>
        <v>Contained On Site, not within 5 ft. of Bayou/Surface Water/Drainage Ditch</v>
      </c>
      <c r="J216" s="5">
        <v>0.0</v>
      </c>
      <c r="K216" s="6" t="s">
        <v>29</v>
      </c>
      <c r="L216" s="6" t="str">
        <f>VLOOKUP(K216,'Structure type'!$A$1:$B$15,2,FALSE)</f>
        <v>Manhole</v>
      </c>
      <c r="M216" s="6" t="s">
        <v>30</v>
      </c>
      <c r="N216" s="6" t="str">
        <f>VLOOKUP(M216,'Excursion Cause'!$A$1:$B$34,2,FALSE)</f>
        <v>Grease Blockage</v>
      </c>
      <c r="O216" s="7">
        <v>44343.0</v>
      </c>
      <c r="P216" s="6" t="s">
        <v>587</v>
      </c>
      <c r="Q216" s="7">
        <v>44343.0</v>
      </c>
      <c r="R216" s="6" t="s">
        <v>587</v>
      </c>
      <c r="S216" s="5">
        <v>0.0</v>
      </c>
      <c r="T216" s="6" t="s">
        <v>33</v>
      </c>
      <c r="U216" s="5">
        <v>2.0210527E7</v>
      </c>
      <c r="V216" s="5">
        <v>2.0210527E7</v>
      </c>
      <c r="W216" s="5">
        <v>29.713875004</v>
      </c>
      <c r="X216" s="5">
        <v>-95.3260328969999</v>
      </c>
    </row>
    <row r="217" ht="15.75" customHeight="1">
      <c r="A217" s="5">
        <v>11087.0</v>
      </c>
      <c r="B217" s="6">
        <v>2021.0</v>
      </c>
      <c r="C217" s="6" t="str">
        <f t="shared" si="1"/>
        <v>5422 DANFIELD DR,Houston,Texas</v>
      </c>
      <c r="D217" s="6" t="s">
        <v>516</v>
      </c>
      <c r="E217" s="6" t="s">
        <v>25</v>
      </c>
      <c r="F217" s="6" t="s">
        <v>26</v>
      </c>
      <c r="G217" s="6" t="s">
        <v>517</v>
      </c>
      <c r="H217" s="6" t="s">
        <v>50</v>
      </c>
      <c r="I217" s="6" t="str">
        <f>VLOOKUP(H217,'Flow Location'!$A$1:$B$21,2,FALSE)</f>
        <v>Contained On Site, not within 5 ft. of Bayou/Surface Water/Drainage Ditch</v>
      </c>
      <c r="J217" s="5">
        <v>0.0</v>
      </c>
      <c r="K217" s="6" t="s">
        <v>29</v>
      </c>
      <c r="L217" s="6" t="str">
        <f>VLOOKUP(K217,'Structure type'!$A$1:$B$15,2,FALSE)</f>
        <v>Manhole</v>
      </c>
      <c r="M217" s="6" t="s">
        <v>30</v>
      </c>
      <c r="N217" s="6" t="str">
        <f>VLOOKUP(M217,'Excursion Cause'!$A$1:$B$34,2,FALSE)</f>
        <v>Grease Blockage</v>
      </c>
      <c r="O217" s="7">
        <v>44344.0</v>
      </c>
      <c r="P217" s="6" t="s">
        <v>588</v>
      </c>
      <c r="Q217" s="7">
        <v>44344.0</v>
      </c>
      <c r="R217" s="6" t="s">
        <v>588</v>
      </c>
      <c r="S217" s="5">
        <v>0.0</v>
      </c>
      <c r="T217" s="6" t="s">
        <v>59</v>
      </c>
      <c r="U217" s="5">
        <v>2.0210528E7</v>
      </c>
      <c r="V217" s="5">
        <v>2.0210528E7</v>
      </c>
      <c r="W217" s="5">
        <v>29.600941054</v>
      </c>
      <c r="X217" s="5">
        <v>-95.463394437</v>
      </c>
    </row>
    <row r="218" ht="15.75" customHeight="1">
      <c r="A218" s="5">
        <v>11089.0</v>
      </c>
      <c r="B218" s="6">
        <v>2021.0</v>
      </c>
      <c r="C218" s="6" t="str">
        <f t="shared" si="1"/>
        <v>7162 AVENUE L,Houston,Texas</v>
      </c>
      <c r="D218" s="6" t="s">
        <v>589</v>
      </c>
      <c r="E218" s="6" t="s">
        <v>25</v>
      </c>
      <c r="F218" s="6" t="s">
        <v>26</v>
      </c>
      <c r="G218" s="6" t="s">
        <v>227</v>
      </c>
      <c r="H218" s="6" t="s">
        <v>50</v>
      </c>
      <c r="I218" s="6" t="str">
        <f>VLOOKUP(H218,'Flow Location'!$A$1:$B$21,2,FALSE)</f>
        <v>Contained On Site, not within 5 ft. of Bayou/Surface Water/Drainage Ditch</v>
      </c>
      <c r="J218" s="5">
        <v>0.0</v>
      </c>
      <c r="K218" s="6" t="s">
        <v>45</v>
      </c>
      <c r="L218" s="6" t="str">
        <f>VLOOKUP(K218,'Structure type'!$A$1:$B$15,2,FALSE)</f>
        <v>City Cleanout</v>
      </c>
      <c r="M218" s="6" t="s">
        <v>30</v>
      </c>
      <c r="N218" s="6" t="str">
        <f>VLOOKUP(M218,'Excursion Cause'!$A$1:$B$34,2,FALSE)</f>
        <v>Grease Blockage</v>
      </c>
      <c r="O218" s="7">
        <v>44344.0</v>
      </c>
      <c r="P218" s="6" t="s">
        <v>289</v>
      </c>
      <c r="Q218" s="7">
        <v>44344.0</v>
      </c>
      <c r="R218" s="6" t="s">
        <v>289</v>
      </c>
      <c r="S218" s="5">
        <v>0.0</v>
      </c>
      <c r="T218" s="6" t="s">
        <v>270</v>
      </c>
      <c r="U218" s="5">
        <v>2.0210528E7</v>
      </c>
      <c r="V218" s="5">
        <v>2.0210528E7</v>
      </c>
      <c r="W218" s="5">
        <v>29.741699318</v>
      </c>
      <c r="X218" s="5">
        <v>-95.2947466049999</v>
      </c>
    </row>
    <row r="219" ht="15.75" customHeight="1">
      <c r="A219" s="5">
        <v>11092.0</v>
      </c>
      <c r="B219" s="6">
        <v>2021.0</v>
      </c>
      <c r="C219" s="6" t="str">
        <f t="shared" si="1"/>
        <v>7226 LOG VIEW DR,Houston,Texas</v>
      </c>
      <c r="D219" s="6" t="s">
        <v>590</v>
      </c>
      <c r="E219" s="6" t="s">
        <v>25</v>
      </c>
      <c r="F219" s="6" t="s">
        <v>26</v>
      </c>
      <c r="G219" s="6" t="s">
        <v>253</v>
      </c>
      <c r="H219" s="6" t="s">
        <v>50</v>
      </c>
      <c r="I219" s="6" t="str">
        <f>VLOOKUP(H219,'Flow Location'!$A$1:$B$21,2,FALSE)</f>
        <v>Contained On Site, not within 5 ft. of Bayou/Surface Water/Drainage Ditch</v>
      </c>
      <c r="J219" s="5">
        <v>0.0</v>
      </c>
      <c r="K219" s="6" t="s">
        <v>198</v>
      </c>
      <c r="L219" s="6" t="str">
        <f>VLOOKUP(K219,'Structure type'!$A$1:$B$15,2,FALSE)</f>
        <v>Service Lateral</v>
      </c>
      <c r="M219" s="6" t="s">
        <v>81</v>
      </c>
      <c r="N219" s="6" t="str">
        <f>VLOOKUP(M219,'Excursion Cause'!$A$1:$B$34,2,FALSE)</f>
        <v>Collection system structural failure</v>
      </c>
      <c r="O219" s="7">
        <v>44344.0</v>
      </c>
      <c r="P219" s="6" t="s">
        <v>591</v>
      </c>
      <c r="Q219" s="7">
        <v>44344.0</v>
      </c>
      <c r="R219" s="6" t="s">
        <v>591</v>
      </c>
      <c r="S219" s="5">
        <v>0.0</v>
      </c>
      <c r="T219" s="6" t="s">
        <v>592</v>
      </c>
      <c r="U219" s="5">
        <v>2.0210528E7</v>
      </c>
      <c r="V219" s="5">
        <v>2.0210528E7</v>
      </c>
      <c r="W219" s="5">
        <v>29.889853648</v>
      </c>
      <c r="X219" s="5">
        <v>-95.499803161</v>
      </c>
    </row>
    <row r="220" ht="15.75" customHeight="1">
      <c r="A220" s="5">
        <v>11093.0</v>
      </c>
      <c r="B220" s="6">
        <v>2021.0</v>
      </c>
      <c r="C220" s="6" t="str">
        <f t="shared" si="1"/>
        <v>6012 MURPHY ST,Houston,Texas</v>
      </c>
      <c r="D220" s="6" t="s">
        <v>593</v>
      </c>
      <c r="E220" s="6" t="s">
        <v>25</v>
      </c>
      <c r="F220" s="6" t="s">
        <v>26</v>
      </c>
      <c r="G220" s="6" t="s">
        <v>120</v>
      </c>
      <c r="H220" s="6" t="s">
        <v>50</v>
      </c>
      <c r="I220" s="6" t="str">
        <f>VLOOKUP(H220,'Flow Location'!$A$1:$B$21,2,FALSE)</f>
        <v>Contained On Site, not within 5 ft. of Bayou/Surface Water/Drainage Ditch</v>
      </c>
      <c r="J220" s="5">
        <v>0.0</v>
      </c>
      <c r="K220" s="6" t="s">
        <v>45</v>
      </c>
      <c r="L220" s="6" t="str">
        <f>VLOOKUP(K220,'Structure type'!$A$1:$B$15,2,FALSE)</f>
        <v>City Cleanout</v>
      </c>
      <c r="M220" s="6" t="s">
        <v>56</v>
      </c>
      <c r="N220" s="6" t="str">
        <f>VLOOKUP(M220,'Excursion Cause'!$A$1:$B$34,2,FALSE)</f>
        <v>Rags/Wipes</v>
      </c>
      <c r="O220" s="7">
        <v>44345.0</v>
      </c>
      <c r="P220" s="6" t="s">
        <v>594</v>
      </c>
      <c r="Q220" s="7">
        <v>44345.0</v>
      </c>
      <c r="R220" s="6" t="s">
        <v>594</v>
      </c>
      <c r="S220" s="5">
        <v>0.0</v>
      </c>
      <c r="T220" s="6" t="s">
        <v>59</v>
      </c>
      <c r="U220" s="5">
        <v>2.0210529E7</v>
      </c>
      <c r="V220" s="5">
        <v>2.0210529E7</v>
      </c>
      <c r="W220" s="5">
        <v>29.6836852750001</v>
      </c>
      <c r="X220" s="5">
        <v>-95.327189432</v>
      </c>
    </row>
    <row r="221" ht="15.75" customHeight="1">
      <c r="A221" s="5">
        <v>11094.0</v>
      </c>
      <c r="B221" s="6">
        <v>2021.0</v>
      </c>
      <c r="C221" s="6" t="str">
        <f t="shared" si="1"/>
        <v>268 PARKER RD,Houston,Texas</v>
      </c>
      <c r="D221" s="6" t="s">
        <v>595</v>
      </c>
      <c r="E221" s="6" t="s">
        <v>25</v>
      </c>
      <c r="F221" s="6" t="s">
        <v>26</v>
      </c>
      <c r="G221" s="6" t="s">
        <v>275</v>
      </c>
      <c r="H221" s="6" t="s">
        <v>28</v>
      </c>
      <c r="I221" s="6" t="str">
        <f>VLOOKUP(H221,'Flow Location'!$A$1:$B$21,2,FALSE)</f>
        <v>Storm Sewer (not contained)</v>
      </c>
      <c r="J221" s="5">
        <v>107.0</v>
      </c>
      <c r="K221" s="6" t="s">
        <v>45</v>
      </c>
      <c r="L221" s="6" t="str">
        <f>VLOOKUP(K221,'Structure type'!$A$1:$B$15,2,FALSE)</f>
        <v>City Cleanout</v>
      </c>
      <c r="M221" s="6" t="s">
        <v>30</v>
      </c>
      <c r="N221" s="6" t="str">
        <f>VLOOKUP(M221,'Excursion Cause'!$A$1:$B$34,2,FALSE)</f>
        <v>Grease Blockage</v>
      </c>
      <c r="O221" s="7">
        <v>44345.0</v>
      </c>
      <c r="P221" s="6" t="s">
        <v>594</v>
      </c>
      <c r="Q221" s="7">
        <v>44345.0</v>
      </c>
      <c r="R221" s="6" t="s">
        <v>503</v>
      </c>
      <c r="S221" s="5">
        <v>1.0</v>
      </c>
      <c r="T221" s="6" t="s">
        <v>270</v>
      </c>
      <c r="U221" s="5">
        <v>2.0210529E7</v>
      </c>
      <c r="V221" s="5">
        <v>2.0210529E7</v>
      </c>
      <c r="W221" s="5">
        <v>29.8592306160001</v>
      </c>
      <c r="X221" s="5">
        <v>-95.37309435</v>
      </c>
    </row>
    <row r="222" ht="15.75" customHeight="1">
      <c r="A222" s="5">
        <v>11105.0</v>
      </c>
      <c r="B222" s="6">
        <v>2021.0</v>
      </c>
      <c r="C222" s="6" t="str">
        <f t="shared" si="1"/>
        <v>13173 CLAREWOOD DR,Houston,Texas</v>
      </c>
      <c r="D222" s="6" t="s">
        <v>596</v>
      </c>
      <c r="E222" s="6" t="s">
        <v>25</v>
      </c>
      <c r="F222" s="6" t="s">
        <v>26</v>
      </c>
      <c r="G222" s="6" t="s">
        <v>91</v>
      </c>
      <c r="H222" s="6" t="s">
        <v>50</v>
      </c>
      <c r="I222" s="6" t="str">
        <f>VLOOKUP(H222,'Flow Location'!$A$1:$B$21,2,FALSE)</f>
        <v>Contained On Site, not within 5 ft. of Bayou/Surface Water/Drainage Ditch</v>
      </c>
      <c r="J222" s="5">
        <v>1366.0</v>
      </c>
      <c r="K222" s="6" t="s">
        <v>29</v>
      </c>
      <c r="L222" s="6" t="str">
        <f>VLOOKUP(K222,'Structure type'!$A$1:$B$15,2,FALSE)</f>
        <v>Manhole</v>
      </c>
      <c r="M222" s="6" t="s">
        <v>56</v>
      </c>
      <c r="N222" s="6" t="str">
        <f>VLOOKUP(M222,'Excursion Cause'!$A$1:$B$34,2,FALSE)</f>
        <v>Rags/Wipes</v>
      </c>
      <c r="O222" s="7">
        <v>44347.0</v>
      </c>
      <c r="P222" s="6" t="s">
        <v>518</v>
      </c>
      <c r="Q222" s="7">
        <v>44348.0</v>
      </c>
      <c r="R222" s="6" t="s">
        <v>597</v>
      </c>
      <c r="S222" s="5">
        <v>1.0</v>
      </c>
      <c r="T222" s="6" t="s">
        <v>33</v>
      </c>
      <c r="U222" s="5">
        <v>2.0210531E7</v>
      </c>
      <c r="V222" s="5">
        <v>2.0210601E7</v>
      </c>
      <c r="W222" s="5">
        <v>29.707038095</v>
      </c>
      <c r="X222" s="5">
        <v>-95.613663604</v>
      </c>
    </row>
    <row r="223" ht="15.75" customHeight="1">
      <c r="A223" s="5">
        <v>11106.0</v>
      </c>
      <c r="B223" s="6">
        <v>2021.0</v>
      </c>
      <c r="C223" s="6" t="str">
        <f t="shared" si="1"/>
        <v>4853 BENNING DR,Houston,Texas</v>
      </c>
      <c r="D223" s="6" t="s">
        <v>598</v>
      </c>
      <c r="E223" s="6" t="s">
        <v>25</v>
      </c>
      <c r="F223" s="6" t="s">
        <v>26</v>
      </c>
      <c r="G223" s="6" t="s">
        <v>127</v>
      </c>
      <c r="H223" s="6" t="s">
        <v>50</v>
      </c>
      <c r="I223" s="6" t="str">
        <f>VLOOKUP(H223,'Flow Location'!$A$1:$B$21,2,FALSE)</f>
        <v>Contained On Site, not within 5 ft. of Bayou/Surface Water/Drainage Ditch</v>
      </c>
      <c r="J223" s="5">
        <v>0.0</v>
      </c>
      <c r="K223" s="6" t="s">
        <v>29</v>
      </c>
      <c r="L223" s="6" t="str">
        <f>VLOOKUP(K223,'Structure type'!$A$1:$B$15,2,FALSE)</f>
        <v>Manhole</v>
      </c>
      <c r="M223" s="6" t="s">
        <v>30</v>
      </c>
      <c r="N223" s="6" t="str">
        <f>VLOOKUP(M223,'Excursion Cause'!$A$1:$B$34,2,FALSE)</f>
        <v>Grease Blockage</v>
      </c>
      <c r="O223" s="7">
        <v>44347.0</v>
      </c>
      <c r="P223" s="6" t="s">
        <v>599</v>
      </c>
      <c r="Q223" s="7">
        <v>44347.0</v>
      </c>
      <c r="R223" s="6" t="s">
        <v>599</v>
      </c>
      <c r="S223" s="5">
        <v>0.0</v>
      </c>
      <c r="T223" s="6" t="s">
        <v>33</v>
      </c>
      <c r="U223" s="5">
        <v>2.0210531E7</v>
      </c>
      <c r="V223" s="5">
        <v>2.0210531E7</v>
      </c>
      <c r="W223" s="5">
        <v>29.656852498</v>
      </c>
      <c r="X223" s="5">
        <v>-95.4629449989999</v>
      </c>
    </row>
    <row r="224" ht="15.75" customHeight="1">
      <c r="A224" s="5">
        <v>11107.0</v>
      </c>
      <c r="B224" s="6">
        <v>2021.0</v>
      </c>
      <c r="C224" s="6" t="str">
        <f t="shared" si="1"/>
        <v>5501 SCOTT ST,Houston,Texas</v>
      </c>
      <c r="D224" s="6" t="s">
        <v>600</v>
      </c>
      <c r="E224" s="6" t="s">
        <v>25</v>
      </c>
      <c r="F224" s="6" t="s">
        <v>26</v>
      </c>
      <c r="G224" s="6" t="s">
        <v>238</v>
      </c>
      <c r="H224" s="6" t="s">
        <v>50</v>
      </c>
      <c r="I224" s="6" t="str">
        <f>VLOOKUP(H224,'Flow Location'!$A$1:$B$21,2,FALSE)</f>
        <v>Contained On Site, not within 5 ft. of Bayou/Surface Water/Drainage Ditch</v>
      </c>
      <c r="J224" s="5">
        <v>0.0</v>
      </c>
      <c r="K224" s="6" t="s">
        <v>198</v>
      </c>
      <c r="L224" s="6" t="str">
        <f>VLOOKUP(K224,'Structure type'!$A$1:$B$15,2,FALSE)</f>
        <v>Service Lateral</v>
      </c>
      <c r="M224" s="6" t="s">
        <v>81</v>
      </c>
      <c r="N224" s="6" t="str">
        <f>VLOOKUP(M224,'Excursion Cause'!$A$1:$B$34,2,FALSE)</f>
        <v>Collection system structural failure</v>
      </c>
      <c r="O224" s="7">
        <v>44348.0</v>
      </c>
      <c r="P224" s="6" t="s">
        <v>195</v>
      </c>
      <c r="Q224" s="7">
        <v>44348.0</v>
      </c>
      <c r="R224" s="6" t="s">
        <v>195</v>
      </c>
      <c r="S224" s="5">
        <v>0.0</v>
      </c>
      <c r="T224" s="6" t="s">
        <v>54</v>
      </c>
      <c r="U224" s="5">
        <v>2.0210601E7</v>
      </c>
      <c r="V224" s="5">
        <v>2.0210601E7</v>
      </c>
      <c r="W224" s="5">
        <v>29.707481623</v>
      </c>
      <c r="X224" s="5">
        <v>-95.35734467</v>
      </c>
    </row>
    <row r="225" ht="15.75" customHeight="1">
      <c r="A225" s="5">
        <v>11108.0</v>
      </c>
      <c r="B225" s="6">
        <v>2021.0</v>
      </c>
      <c r="C225" s="6" t="str">
        <f t="shared" si="1"/>
        <v>5505 PINE ST,Houston,Texas</v>
      </c>
      <c r="D225" s="6" t="s">
        <v>601</v>
      </c>
      <c r="E225" s="6" t="s">
        <v>25</v>
      </c>
      <c r="F225" s="6" t="s">
        <v>26</v>
      </c>
      <c r="G225" s="6" t="s">
        <v>287</v>
      </c>
      <c r="H225" s="6" t="s">
        <v>28</v>
      </c>
      <c r="I225" s="6" t="str">
        <f>VLOOKUP(H225,'Flow Location'!$A$1:$B$21,2,FALSE)</f>
        <v>Storm Sewer (not contained)</v>
      </c>
      <c r="J225" s="5">
        <v>0.0</v>
      </c>
      <c r="K225" s="6" t="s">
        <v>29</v>
      </c>
      <c r="L225" s="6" t="str">
        <f>VLOOKUP(K225,'Structure type'!$A$1:$B$15,2,FALSE)</f>
        <v>Manhole</v>
      </c>
      <c r="M225" s="6" t="s">
        <v>56</v>
      </c>
      <c r="N225" s="6" t="str">
        <f>VLOOKUP(M225,'Excursion Cause'!$A$1:$B$34,2,FALSE)</f>
        <v>Rags/Wipes</v>
      </c>
      <c r="O225" s="7">
        <v>44348.0</v>
      </c>
      <c r="P225" s="6" t="s">
        <v>602</v>
      </c>
      <c r="Q225" s="7">
        <v>44348.0</v>
      </c>
      <c r="R225" s="6" t="s">
        <v>602</v>
      </c>
      <c r="S225" s="5">
        <v>0.0</v>
      </c>
      <c r="T225" s="6" t="s">
        <v>33</v>
      </c>
      <c r="U225" s="5">
        <v>2.0210601E7</v>
      </c>
      <c r="V225" s="5">
        <v>2.0210601E7</v>
      </c>
      <c r="W225" s="5">
        <v>29.6945825450001</v>
      </c>
      <c r="X225" s="5">
        <v>-95.485079007</v>
      </c>
    </row>
    <row r="226" ht="15.75" customHeight="1">
      <c r="A226" s="5">
        <v>11111.0</v>
      </c>
      <c r="B226" s="6">
        <v>2021.0</v>
      </c>
      <c r="C226" s="6" t="str">
        <f t="shared" si="1"/>
        <v>1808 ANTOINE DR,Houston,Texas</v>
      </c>
      <c r="D226" s="6" t="s">
        <v>603</v>
      </c>
      <c r="E226" s="6" t="s">
        <v>25</v>
      </c>
      <c r="F226" s="6" t="s">
        <v>26</v>
      </c>
      <c r="G226" s="6" t="s">
        <v>27</v>
      </c>
      <c r="H226" s="6" t="s">
        <v>28</v>
      </c>
      <c r="I226" s="6" t="str">
        <f>VLOOKUP(H226,'Flow Location'!$A$1:$B$21,2,FALSE)</f>
        <v>Storm Sewer (not contained)</v>
      </c>
      <c r="J226" s="5">
        <v>0.0</v>
      </c>
      <c r="K226" s="6" t="s">
        <v>198</v>
      </c>
      <c r="L226" s="6" t="str">
        <f>VLOOKUP(K226,'Structure type'!$A$1:$B$15,2,FALSE)</f>
        <v>Service Lateral</v>
      </c>
      <c r="M226" s="6" t="s">
        <v>52</v>
      </c>
      <c r="N226" s="6" t="str">
        <f>VLOOKUP(M226,'Excursion Cause'!$A$1:$B$34,2,FALSE)</f>
        <v>Collection system structural blockage</v>
      </c>
      <c r="O226" s="7">
        <v>44348.0</v>
      </c>
      <c r="P226" s="6" t="s">
        <v>604</v>
      </c>
      <c r="Q226" s="7">
        <v>44348.0</v>
      </c>
      <c r="R226" s="6" t="s">
        <v>604</v>
      </c>
      <c r="S226" s="5">
        <v>0.0</v>
      </c>
      <c r="T226" s="6" t="s">
        <v>270</v>
      </c>
      <c r="U226" s="5">
        <v>2.0210601E7</v>
      </c>
      <c r="V226" s="5">
        <v>2.0210601E7</v>
      </c>
      <c r="W226" s="5">
        <v>29.803608642</v>
      </c>
      <c r="X226" s="5">
        <v>-95.4754025189999</v>
      </c>
    </row>
    <row r="227" ht="15.75" customHeight="1">
      <c r="A227" s="5">
        <v>11112.0</v>
      </c>
      <c r="B227" s="6">
        <v>2021.0</v>
      </c>
      <c r="C227" s="6" t="str">
        <f t="shared" si="1"/>
        <v>7927 CAROLWOOD DR,Houston,Texas</v>
      </c>
      <c r="D227" s="6" t="s">
        <v>605</v>
      </c>
      <c r="E227" s="6" t="s">
        <v>25</v>
      </c>
      <c r="F227" s="6" t="s">
        <v>26</v>
      </c>
      <c r="G227" s="6" t="s">
        <v>177</v>
      </c>
      <c r="H227" s="6" t="s">
        <v>50</v>
      </c>
      <c r="I227" s="6" t="str">
        <f>VLOOKUP(H227,'Flow Location'!$A$1:$B$21,2,FALSE)</f>
        <v>Contained On Site, not within 5 ft. of Bayou/Surface Water/Drainage Ditch</v>
      </c>
      <c r="J227" s="5">
        <v>0.0</v>
      </c>
      <c r="K227" s="6" t="s">
        <v>51</v>
      </c>
      <c r="L227" s="6" t="str">
        <f>VLOOKUP(K227,'Structure type'!$A$1:$B$15,2,FALSE)</f>
        <v>Private Cleanout</v>
      </c>
      <c r="M227" s="6" t="s">
        <v>30</v>
      </c>
      <c r="N227" s="6" t="str">
        <f>VLOOKUP(M227,'Excursion Cause'!$A$1:$B$34,2,FALSE)</f>
        <v>Grease Blockage</v>
      </c>
      <c r="O227" s="7">
        <v>44348.0</v>
      </c>
      <c r="P227" s="6" t="s">
        <v>606</v>
      </c>
      <c r="Q227" s="7">
        <v>44348.0</v>
      </c>
      <c r="R227" s="6" t="s">
        <v>606</v>
      </c>
      <c r="S227" s="5">
        <v>0.0</v>
      </c>
      <c r="T227" s="6" t="s">
        <v>33</v>
      </c>
      <c r="U227" s="5">
        <v>2.0210601E7</v>
      </c>
      <c r="V227" s="5">
        <v>2.0210601E7</v>
      </c>
      <c r="W227" s="5">
        <v>29.8362474790001</v>
      </c>
      <c r="X227" s="5">
        <v>-95.282895013</v>
      </c>
    </row>
    <row r="228" ht="15.75" customHeight="1">
      <c r="A228" s="5">
        <v>11116.0</v>
      </c>
      <c r="B228" s="6">
        <v>2021.0</v>
      </c>
      <c r="C228" s="6" t="str">
        <f t="shared" si="1"/>
        <v>2905 #5 BAER ST,Houston,Texas</v>
      </c>
      <c r="D228" s="6" t="s">
        <v>507</v>
      </c>
      <c r="E228" s="6" t="s">
        <v>25</v>
      </c>
      <c r="F228" s="6" t="s">
        <v>26</v>
      </c>
      <c r="G228" s="6" t="s">
        <v>86</v>
      </c>
      <c r="H228" s="6" t="s">
        <v>50</v>
      </c>
      <c r="I228" s="6" t="str">
        <f>VLOOKUP(H228,'Flow Location'!$A$1:$B$21,2,FALSE)</f>
        <v>Contained On Site, not within 5 ft. of Bayou/Surface Water/Drainage Ditch</v>
      </c>
      <c r="J228" s="5">
        <v>312.0</v>
      </c>
      <c r="K228" s="6" t="s">
        <v>45</v>
      </c>
      <c r="L228" s="6" t="str">
        <f>VLOOKUP(K228,'Structure type'!$A$1:$B$15,2,FALSE)</f>
        <v>City Cleanout</v>
      </c>
      <c r="M228" s="6" t="s">
        <v>56</v>
      </c>
      <c r="N228" s="6" t="str">
        <f>VLOOKUP(M228,'Excursion Cause'!$A$1:$B$34,2,FALSE)</f>
        <v>Rags/Wipes</v>
      </c>
      <c r="O228" s="7">
        <v>44349.0</v>
      </c>
      <c r="P228" s="6" t="s">
        <v>607</v>
      </c>
      <c r="Q228" s="7">
        <v>44349.0</v>
      </c>
      <c r="R228" s="6" t="s">
        <v>78</v>
      </c>
      <c r="S228" s="5">
        <v>1.0</v>
      </c>
      <c r="T228" s="6" t="s">
        <v>270</v>
      </c>
      <c r="U228" s="5">
        <v>2.0210602E7</v>
      </c>
      <c r="V228" s="5">
        <v>2.0210602E7</v>
      </c>
      <c r="W228" s="5">
        <v>29.7679869780001</v>
      </c>
      <c r="X228" s="5">
        <v>-95.34021491</v>
      </c>
    </row>
    <row r="229" ht="15.75" customHeight="1">
      <c r="A229" s="5">
        <v>11118.0</v>
      </c>
      <c r="B229" s="6">
        <v>2021.0</v>
      </c>
      <c r="C229" s="6" t="str">
        <f t="shared" si="1"/>
        <v>6303 N SOUTHWOOD CT,Houston,Texas</v>
      </c>
      <c r="D229" s="6" t="s">
        <v>608</v>
      </c>
      <c r="E229" s="6" t="s">
        <v>25</v>
      </c>
      <c r="F229" s="6" t="s">
        <v>26</v>
      </c>
      <c r="G229" s="6" t="s">
        <v>127</v>
      </c>
      <c r="H229" s="6" t="s">
        <v>50</v>
      </c>
      <c r="I229" s="6" t="str">
        <f>VLOOKUP(H229,'Flow Location'!$A$1:$B$21,2,FALSE)</f>
        <v>Contained On Site, not within 5 ft. of Bayou/Surface Water/Drainage Ditch</v>
      </c>
      <c r="J229" s="5">
        <v>111.0</v>
      </c>
      <c r="K229" s="6" t="s">
        <v>29</v>
      </c>
      <c r="L229" s="6" t="str">
        <f>VLOOKUP(K229,'Structure type'!$A$1:$B$15,2,FALSE)</f>
        <v>Manhole</v>
      </c>
      <c r="M229" s="6" t="s">
        <v>30</v>
      </c>
      <c r="N229" s="6" t="str">
        <f>VLOOKUP(M229,'Excursion Cause'!$A$1:$B$34,2,FALSE)</f>
        <v>Grease Blockage</v>
      </c>
      <c r="O229" s="7">
        <v>44349.0</v>
      </c>
      <c r="P229" s="6" t="s">
        <v>121</v>
      </c>
      <c r="Q229" s="7">
        <v>44349.0</v>
      </c>
      <c r="R229" s="6" t="s">
        <v>169</v>
      </c>
      <c r="S229" s="5">
        <v>1.0</v>
      </c>
      <c r="T229" s="6" t="s">
        <v>33</v>
      </c>
      <c r="U229" s="5">
        <v>2.0210602E7</v>
      </c>
      <c r="V229" s="5">
        <v>2.0210602E7</v>
      </c>
      <c r="W229" s="5">
        <v>29.6481873280001</v>
      </c>
      <c r="X229" s="5">
        <v>-95.5006933189999</v>
      </c>
    </row>
    <row r="230" ht="15.75" customHeight="1">
      <c r="A230" s="5">
        <v>11119.0</v>
      </c>
      <c r="B230" s="6">
        <v>2021.0</v>
      </c>
      <c r="C230" s="6" t="str">
        <f t="shared" si="1"/>
        <v>8159 NILES ST,Houston,Texas</v>
      </c>
      <c r="D230" s="6" t="s">
        <v>609</v>
      </c>
      <c r="E230" s="6" t="s">
        <v>25</v>
      </c>
      <c r="F230" s="6" t="s">
        <v>26</v>
      </c>
      <c r="G230" s="6" t="s">
        <v>135</v>
      </c>
      <c r="H230" s="6" t="s">
        <v>50</v>
      </c>
      <c r="I230" s="6" t="str">
        <f>VLOOKUP(H230,'Flow Location'!$A$1:$B$21,2,FALSE)</f>
        <v>Contained On Site, not within 5 ft. of Bayou/Surface Water/Drainage Ditch</v>
      </c>
      <c r="J230" s="5">
        <v>0.0</v>
      </c>
      <c r="K230" s="6" t="s">
        <v>51</v>
      </c>
      <c r="L230" s="6" t="str">
        <f>VLOOKUP(K230,'Structure type'!$A$1:$B$15,2,FALSE)</f>
        <v>Private Cleanout</v>
      </c>
      <c r="M230" s="6" t="s">
        <v>52</v>
      </c>
      <c r="N230" s="6" t="str">
        <f>VLOOKUP(M230,'Excursion Cause'!$A$1:$B$34,2,FALSE)</f>
        <v>Collection system structural blockage</v>
      </c>
      <c r="O230" s="7">
        <v>44349.0</v>
      </c>
      <c r="P230" s="6" t="s">
        <v>610</v>
      </c>
      <c r="Q230" s="7">
        <v>44349.0</v>
      </c>
      <c r="R230" s="6" t="s">
        <v>610</v>
      </c>
      <c r="S230" s="5">
        <v>0.0</v>
      </c>
      <c r="T230" s="6" t="s">
        <v>118</v>
      </c>
      <c r="U230" s="5">
        <v>2.0210602E7</v>
      </c>
      <c r="V230" s="5">
        <v>2.0210602E7</v>
      </c>
      <c r="W230" s="5">
        <v>29.684958109</v>
      </c>
      <c r="X230" s="5">
        <v>-95.271888904</v>
      </c>
    </row>
    <row r="231" ht="15.75" customHeight="1">
      <c r="A231" s="5">
        <v>11121.0</v>
      </c>
      <c r="B231" s="6">
        <v>2021.0</v>
      </c>
      <c r="C231" s="6" t="str">
        <f t="shared" si="1"/>
        <v>5551 ROYALTON ST,Houston,Texas</v>
      </c>
      <c r="D231" s="6" t="s">
        <v>611</v>
      </c>
      <c r="E231" s="6" t="s">
        <v>25</v>
      </c>
      <c r="F231" s="6" t="s">
        <v>26</v>
      </c>
      <c r="G231" s="6" t="s">
        <v>287</v>
      </c>
      <c r="H231" s="6" t="s">
        <v>28</v>
      </c>
      <c r="I231" s="6" t="str">
        <f>VLOOKUP(H231,'Flow Location'!$A$1:$B$21,2,FALSE)</f>
        <v>Storm Sewer (not contained)</v>
      </c>
      <c r="J231" s="5">
        <v>2794.0</v>
      </c>
      <c r="K231" s="6" t="s">
        <v>29</v>
      </c>
      <c r="L231" s="6" t="str">
        <f>VLOOKUP(K231,'Structure type'!$A$1:$B$15,2,FALSE)</f>
        <v>Manhole</v>
      </c>
      <c r="M231" s="6" t="s">
        <v>56</v>
      </c>
      <c r="N231" s="6" t="str">
        <f>VLOOKUP(M231,'Excursion Cause'!$A$1:$B$34,2,FALSE)</f>
        <v>Rags/Wipes</v>
      </c>
      <c r="O231" s="7">
        <v>44349.0</v>
      </c>
      <c r="P231" s="6" t="s">
        <v>63</v>
      </c>
      <c r="Q231" s="7">
        <v>44351.0</v>
      </c>
      <c r="R231" s="6" t="s">
        <v>88</v>
      </c>
      <c r="S231" s="5">
        <v>1.0</v>
      </c>
      <c r="T231" s="6" t="s">
        <v>33</v>
      </c>
      <c r="U231" s="5">
        <v>2.0210602E7</v>
      </c>
      <c r="V231" s="5">
        <v>2.0210604E7</v>
      </c>
      <c r="W231" s="5">
        <v>29.721895031</v>
      </c>
      <c r="X231" s="5">
        <v>-95.4722613609999</v>
      </c>
    </row>
    <row r="232" ht="15.75" customHeight="1">
      <c r="A232" s="5">
        <v>11124.0</v>
      </c>
      <c r="B232" s="6">
        <v>2021.0</v>
      </c>
      <c r="C232" s="6" t="str">
        <f t="shared" si="1"/>
        <v>10610 CHEEVES DR,Houston,Texas</v>
      </c>
      <c r="D232" s="6" t="s">
        <v>612</v>
      </c>
      <c r="E232" s="6" t="s">
        <v>25</v>
      </c>
      <c r="F232" s="6" t="s">
        <v>26</v>
      </c>
      <c r="G232" s="6" t="s">
        <v>326</v>
      </c>
      <c r="H232" s="6" t="s">
        <v>50</v>
      </c>
      <c r="I232" s="6" t="str">
        <f>VLOOKUP(H232,'Flow Location'!$A$1:$B$21,2,FALSE)</f>
        <v>Contained On Site, not within 5 ft. of Bayou/Surface Water/Drainage Ditch</v>
      </c>
      <c r="J232" s="5">
        <v>880.0</v>
      </c>
      <c r="K232" s="6" t="s">
        <v>29</v>
      </c>
      <c r="L232" s="6" t="str">
        <f>VLOOKUP(K232,'Structure type'!$A$1:$B$15,2,FALSE)</f>
        <v>Manhole</v>
      </c>
      <c r="M232" s="6" t="s">
        <v>30</v>
      </c>
      <c r="N232" s="6" t="str">
        <f>VLOOKUP(M232,'Excursion Cause'!$A$1:$B$34,2,FALSE)</f>
        <v>Grease Blockage</v>
      </c>
      <c r="O232" s="7">
        <v>44349.0</v>
      </c>
      <c r="P232" s="6" t="s">
        <v>588</v>
      </c>
      <c r="Q232" s="7">
        <v>44349.0</v>
      </c>
      <c r="R232" s="6" t="s">
        <v>367</v>
      </c>
      <c r="S232" s="5">
        <v>5.0</v>
      </c>
      <c r="T232" s="6" t="s">
        <v>474</v>
      </c>
      <c r="U232" s="5">
        <v>2.0210602E7</v>
      </c>
      <c r="V232" s="5">
        <v>2.0210602E7</v>
      </c>
      <c r="W232" s="5">
        <v>29.8674498680001</v>
      </c>
      <c r="X232" s="5">
        <v>-95.292911891</v>
      </c>
    </row>
    <row r="233" ht="15.75" customHeight="1">
      <c r="A233" s="5">
        <v>11125.0</v>
      </c>
      <c r="B233" s="6">
        <v>2021.0</v>
      </c>
      <c r="C233" s="6" t="str">
        <f t="shared" si="1"/>
        <v>12207 CARRSWOLD DR,Houston,Texas</v>
      </c>
      <c r="D233" s="6" t="s">
        <v>613</v>
      </c>
      <c r="E233" s="6" t="s">
        <v>25</v>
      </c>
      <c r="F233" s="6" t="s">
        <v>26</v>
      </c>
      <c r="G233" s="6" t="s">
        <v>148</v>
      </c>
      <c r="H233" s="6" t="s">
        <v>50</v>
      </c>
      <c r="I233" s="6" t="str">
        <f>VLOOKUP(H233,'Flow Location'!$A$1:$B$21,2,FALSE)</f>
        <v>Contained On Site, not within 5 ft. of Bayou/Surface Water/Drainage Ditch</v>
      </c>
      <c r="J233" s="5">
        <v>1690.0</v>
      </c>
      <c r="K233" s="6" t="s">
        <v>29</v>
      </c>
      <c r="L233" s="6" t="str">
        <f>VLOOKUP(K233,'Structure type'!$A$1:$B$15,2,FALSE)</f>
        <v>Manhole</v>
      </c>
      <c r="M233" s="6" t="s">
        <v>30</v>
      </c>
      <c r="N233" s="6" t="str">
        <f>VLOOKUP(M233,'Excursion Cause'!$A$1:$B$34,2,FALSE)</f>
        <v>Grease Blockage</v>
      </c>
      <c r="O233" s="7">
        <v>44349.0</v>
      </c>
      <c r="P233" s="6" t="s">
        <v>614</v>
      </c>
      <c r="Q233" s="7">
        <v>44350.0</v>
      </c>
      <c r="R233" s="6" t="s">
        <v>615</v>
      </c>
      <c r="S233" s="5">
        <v>1.0</v>
      </c>
      <c r="T233" s="6" t="s">
        <v>33</v>
      </c>
      <c r="U233" s="5">
        <v>2.0210602E7</v>
      </c>
      <c r="V233" s="5">
        <v>2.0210603E7</v>
      </c>
      <c r="W233" s="5">
        <v>29.6447570340001</v>
      </c>
      <c r="X233" s="5">
        <v>-95.525154395</v>
      </c>
    </row>
    <row r="234" ht="15.75" customHeight="1">
      <c r="A234" s="5">
        <v>11134.0</v>
      </c>
      <c r="B234" s="6">
        <v>2021.0</v>
      </c>
      <c r="C234" s="6" t="str">
        <f t="shared" si="1"/>
        <v>3604 QUITMAN ST,Houston,Texas</v>
      </c>
      <c r="D234" s="6" t="s">
        <v>616</v>
      </c>
      <c r="E234" s="6" t="s">
        <v>25</v>
      </c>
      <c r="F234" s="6" t="s">
        <v>26</v>
      </c>
      <c r="G234" s="6" t="s">
        <v>43</v>
      </c>
      <c r="H234" s="6" t="s">
        <v>50</v>
      </c>
      <c r="I234" s="6" t="str">
        <f>VLOOKUP(H234,'Flow Location'!$A$1:$B$21,2,FALSE)</f>
        <v>Contained On Site, not within 5 ft. of Bayou/Surface Water/Drainage Ditch</v>
      </c>
      <c r="J234" s="5">
        <v>237.0</v>
      </c>
      <c r="K234" s="6" t="s">
        <v>45</v>
      </c>
      <c r="L234" s="6" t="str">
        <f>VLOOKUP(K234,'Structure type'!$A$1:$B$15,2,FALSE)</f>
        <v>City Cleanout</v>
      </c>
      <c r="M234" s="6" t="s">
        <v>52</v>
      </c>
      <c r="N234" s="6" t="str">
        <f>VLOOKUP(M234,'Excursion Cause'!$A$1:$B$34,2,FALSE)</f>
        <v>Collection system structural blockage</v>
      </c>
      <c r="O234" s="7">
        <v>44350.0</v>
      </c>
      <c r="P234" s="6" t="s">
        <v>617</v>
      </c>
      <c r="Q234" s="7">
        <v>44350.0</v>
      </c>
      <c r="R234" s="6" t="s">
        <v>304</v>
      </c>
      <c r="S234" s="5">
        <v>1.0</v>
      </c>
      <c r="T234" s="6" t="s">
        <v>618</v>
      </c>
      <c r="U234" s="5">
        <v>2.0210603E7</v>
      </c>
      <c r="V234" s="5">
        <v>2.0210603E7</v>
      </c>
      <c r="W234" s="5">
        <v>29.783810587</v>
      </c>
      <c r="X234" s="5">
        <v>-95.333915742</v>
      </c>
    </row>
    <row r="235" ht="15.75" customHeight="1">
      <c r="A235" s="5">
        <v>11136.0</v>
      </c>
      <c r="B235" s="6">
        <v>2021.0</v>
      </c>
      <c r="C235" s="6" t="str">
        <f t="shared" si="1"/>
        <v>414 W CANINO RD,Houston,Texas</v>
      </c>
      <c r="D235" s="6" t="s">
        <v>619</v>
      </c>
      <c r="E235" s="6" t="s">
        <v>25</v>
      </c>
      <c r="F235" s="6" t="s">
        <v>26</v>
      </c>
      <c r="G235" s="6" t="s">
        <v>570</v>
      </c>
      <c r="H235" s="6" t="s">
        <v>28</v>
      </c>
      <c r="I235" s="6" t="str">
        <f>VLOOKUP(H235,'Flow Location'!$A$1:$B$21,2,FALSE)</f>
        <v>Storm Sewer (not contained)</v>
      </c>
      <c r="J235" s="5">
        <v>2475.0</v>
      </c>
      <c r="K235" s="6" t="s">
        <v>190</v>
      </c>
      <c r="L235" s="6" t="str">
        <f>VLOOKUP(K235,'Structure type'!$A$1:$B$15,2,FALSE)</f>
        <v>Force Main</v>
      </c>
      <c r="M235" s="6" t="s">
        <v>620</v>
      </c>
      <c r="N235" s="6" t="str">
        <f>VLOOKUP(M235,'Excursion Cause'!$A$1:$B$34,2,FALSE)</f>
        <v>Air Relief Valve (ARV) Failure</v>
      </c>
      <c r="O235" s="7">
        <v>44350.0</v>
      </c>
      <c r="P235" s="6" t="s">
        <v>288</v>
      </c>
      <c r="Q235" s="7">
        <v>44350.0</v>
      </c>
      <c r="R235" s="6" t="s">
        <v>621</v>
      </c>
      <c r="S235" s="5">
        <v>5.0</v>
      </c>
      <c r="T235" s="6" t="s">
        <v>118</v>
      </c>
      <c r="U235" s="5">
        <v>2.0210603E7</v>
      </c>
      <c r="V235" s="5">
        <v>2.0210603E7</v>
      </c>
      <c r="W235" s="5">
        <v>29.875427512</v>
      </c>
      <c r="X235" s="5">
        <v>-95.406138997</v>
      </c>
    </row>
    <row r="236" ht="15.75" customHeight="1">
      <c r="A236" s="5">
        <v>11138.0</v>
      </c>
      <c r="B236" s="6">
        <v>2021.0</v>
      </c>
      <c r="C236" s="6" t="str">
        <f t="shared" si="1"/>
        <v>12861 MCNAIR ST,Houston,Texas</v>
      </c>
      <c r="D236" s="6" t="s">
        <v>622</v>
      </c>
      <c r="E236" s="6" t="s">
        <v>25</v>
      </c>
      <c r="F236" s="6" t="s">
        <v>26</v>
      </c>
      <c r="G236" s="6" t="s">
        <v>623</v>
      </c>
      <c r="H236" s="6" t="s">
        <v>28</v>
      </c>
      <c r="I236" s="6" t="str">
        <f>VLOOKUP(H236,'Flow Location'!$A$1:$B$21,2,FALSE)</f>
        <v>Storm Sewer (not contained)</v>
      </c>
      <c r="J236" s="5">
        <v>606.0</v>
      </c>
      <c r="K236" s="6" t="s">
        <v>51</v>
      </c>
      <c r="L236" s="6" t="str">
        <f>VLOOKUP(K236,'Structure type'!$A$1:$B$15,2,FALSE)</f>
        <v>Private Cleanout</v>
      </c>
      <c r="M236" s="6" t="s">
        <v>423</v>
      </c>
      <c r="N236" s="6" t="str">
        <f>VLOOKUP(M236,'Excursion Cause'!$A$1:$B$34,2,FALSE)</f>
        <v>Collection system ‐ wet weather</v>
      </c>
      <c r="O236" s="7">
        <v>44350.0</v>
      </c>
      <c r="P236" s="6" t="s">
        <v>624</v>
      </c>
      <c r="Q236" s="7">
        <v>44350.0</v>
      </c>
      <c r="R236" s="6" t="s">
        <v>625</v>
      </c>
      <c r="S236" s="5">
        <v>3.0</v>
      </c>
      <c r="T236" s="6" t="s">
        <v>118</v>
      </c>
      <c r="U236" s="5">
        <v>2.0210603E7</v>
      </c>
      <c r="V236" s="5">
        <v>2.0210603E7</v>
      </c>
      <c r="W236" s="5">
        <v>29.7727235080001</v>
      </c>
      <c r="X236" s="5">
        <v>-95.2038355619999</v>
      </c>
    </row>
    <row r="237" ht="15.75" customHeight="1">
      <c r="A237" s="5">
        <v>11139.0</v>
      </c>
      <c r="B237" s="6">
        <v>2021.0</v>
      </c>
      <c r="C237" s="6" t="str">
        <f t="shared" si="1"/>
        <v>426 WYCLIFFE DR,Houston,Texas</v>
      </c>
      <c r="D237" s="6" t="s">
        <v>626</v>
      </c>
      <c r="E237" s="6" t="s">
        <v>25</v>
      </c>
      <c r="F237" s="6" t="s">
        <v>26</v>
      </c>
      <c r="G237" s="6" t="s">
        <v>520</v>
      </c>
      <c r="H237" s="6" t="s">
        <v>28</v>
      </c>
      <c r="I237" s="6" t="str">
        <f>VLOOKUP(H237,'Flow Location'!$A$1:$B$21,2,FALSE)</f>
        <v>Storm Sewer (not contained)</v>
      </c>
      <c r="J237" s="5">
        <v>1427.0</v>
      </c>
      <c r="K237" s="6" t="s">
        <v>29</v>
      </c>
      <c r="L237" s="6" t="str">
        <f>VLOOKUP(K237,'Structure type'!$A$1:$B$15,2,FALSE)</f>
        <v>Manhole</v>
      </c>
      <c r="M237" s="6" t="s">
        <v>30</v>
      </c>
      <c r="N237" s="6" t="str">
        <f>VLOOKUP(M237,'Excursion Cause'!$A$1:$B$34,2,FALSE)</f>
        <v>Grease Blockage</v>
      </c>
      <c r="O237" s="7">
        <v>44350.0</v>
      </c>
      <c r="P237" s="6" t="s">
        <v>627</v>
      </c>
      <c r="Q237" s="7">
        <v>44351.0</v>
      </c>
      <c r="R237" s="6" t="s">
        <v>97</v>
      </c>
      <c r="S237" s="5">
        <v>1.0</v>
      </c>
      <c r="T237" s="6" t="s">
        <v>33</v>
      </c>
      <c r="U237" s="5">
        <v>2.0210603E7</v>
      </c>
      <c r="V237" s="5">
        <v>2.0210604E7</v>
      </c>
      <c r="W237" s="5">
        <v>29.771062005</v>
      </c>
      <c r="X237" s="5">
        <v>-95.574432526</v>
      </c>
    </row>
    <row r="238" ht="15.75" customHeight="1">
      <c r="A238" s="5">
        <v>11140.0</v>
      </c>
      <c r="B238" s="6">
        <v>2021.0</v>
      </c>
      <c r="C238" s="6" t="str">
        <f t="shared" si="1"/>
        <v>10330 EASTEX FWY,Houston,Texas</v>
      </c>
      <c r="D238" s="6" t="s">
        <v>452</v>
      </c>
      <c r="E238" s="6" t="s">
        <v>25</v>
      </c>
      <c r="F238" s="6" t="s">
        <v>26</v>
      </c>
      <c r="G238" s="6" t="s">
        <v>109</v>
      </c>
      <c r="H238" s="6" t="s">
        <v>28</v>
      </c>
      <c r="I238" s="6" t="str">
        <f>VLOOKUP(H238,'Flow Location'!$A$1:$B$21,2,FALSE)</f>
        <v>Storm Sewer (not contained)</v>
      </c>
      <c r="J238" s="5">
        <v>39300.0</v>
      </c>
      <c r="K238" s="6" t="s">
        <v>29</v>
      </c>
      <c r="L238" s="6" t="str">
        <f>VLOOKUP(K238,'Structure type'!$A$1:$B$15,2,FALSE)</f>
        <v>Manhole</v>
      </c>
      <c r="M238" s="6" t="s">
        <v>423</v>
      </c>
      <c r="N238" s="6" t="str">
        <f>VLOOKUP(M238,'Excursion Cause'!$A$1:$B$34,2,FALSE)</f>
        <v>Collection system ‐ wet weather</v>
      </c>
      <c r="O238" s="7">
        <v>44350.0</v>
      </c>
      <c r="P238" s="6" t="s">
        <v>323</v>
      </c>
      <c r="Q238" s="7">
        <v>44351.0</v>
      </c>
      <c r="R238" s="6" t="s">
        <v>628</v>
      </c>
      <c r="S238" s="5">
        <v>55.0</v>
      </c>
      <c r="T238" s="6" t="s">
        <v>439</v>
      </c>
      <c r="U238" s="5">
        <v>2.0210603E7</v>
      </c>
      <c r="V238" s="5">
        <v>2.0210604E7</v>
      </c>
      <c r="W238" s="5">
        <v>29.861749671</v>
      </c>
      <c r="X238" s="5">
        <v>-95.332866495</v>
      </c>
    </row>
    <row r="239" ht="15.75" customHeight="1">
      <c r="A239" s="5">
        <v>11141.0</v>
      </c>
      <c r="B239" s="6">
        <v>2021.0</v>
      </c>
      <c r="C239" s="6" t="str">
        <f t="shared" si="1"/>
        <v>3426 PARKER RD,Houston,Texas</v>
      </c>
      <c r="D239" s="6" t="s">
        <v>449</v>
      </c>
      <c r="E239" s="6" t="s">
        <v>25</v>
      </c>
      <c r="F239" s="6" t="s">
        <v>26</v>
      </c>
      <c r="G239" s="6" t="s">
        <v>109</v>
      </c>
      <c r="H239" s="6" t="s">
        <v>28</v>
      </c>
      <c r="I239" s="6" t="str">
        <f>VLOOKUP(H239,'Flow Location'!$A$1:$B$21,2,FALSE)</f>
        <v>Storm Sewer (not contained)</v>
      </c>
      <c r="J239" s="5">
        <v>28290.0</v>
      </c>
      <c r="K239" s="6" t="s">
        <v>29</v>
      </c>
      <c r="L239" s="6" t="str">
        <f>VLOOKUP(K239,'Structure type'!$A$1:$B$15,2,FALSE)</f>
        <v>Manhole</v>
      </c>
      <c r="M239" s="6" t="s">
        <v>423</v>
      </c>
      <c r="N239" s="6" t="str">
        <f>VLOOKUP(M239,'Excursion Cause'!$A$1:$B$34,2,FALSE)</f>
        <v>Collection system ‐ wet weather</v>
      </c>
      <c r="O239" s="7">
        <v>44350.0</v>
      </c>
      <c r="P239" s="6" t="s">
        <v>629</v>
      </c>
      <c r="Q239" s="7">
        <v>44351.0</v>
      </c>
      <c r="R239" s="6" t="s">
        <v>628</v>
      </c>
      <c r="S239" s="5">
        <v>40.0</v>
      </c>
      <c r="T239" s="6" t="s">
        <v>439</v>
      </c>
      <c r="U239" s="5">
        <v>2.0210603E7</v>
      </c>
      <c r="V239" s="5">
        <v>2.0210604E7</v>
      </c>
      <c r="W239" s="5">
        <v>29.859225806</v>
      </c>
      <c r="X239" s="5">
        <v>-95.335071637</v>
      </c>
    </row>
    <row r="240" ht="15.75" customHeight="1">
      <c r="A240" s="5">
        <v>11142.0</v>
      </c>
      <c r="B240" s="6">
        <v>2021.0</v>
      </c>
      <c r="C240" s="6" t="str">
        <f t="shared" si="1"/>
        <v>3200 PARKER RD,Houston,Texas</v>
      </c>
      <c r="D240" s="6" t="s">
        <v>630</v>
      </c>
      <c r="E240" s="6" t="s">
        <v>25</v>
      </c>
      <c r="F240" s="6" t="s">
        <v>26</v>
      </c>
      <c r="G240" s="6" t="s">
        <v>109</v>
      </c>
      <c r="H240" s="6" t="s">
        <v>28</v>
      </c>
      <c r="I240" s="6" t="str">
        <f>VLOOKUP(H240,'Flow Location'!$A$1:$B$21,2,FALSE)</f>
        <v>Storm Sewer (not contained)</v>
      </c>
      <c r="J240" s="5">
        <v>14760.0</v>
      </c>
      <c r="K240" s="6" t="s">
        <v>29</v>
      </c>
      <c r="L240" s="6" t="str">
        <f>VLOOKUP(K240,'Structure type'!$A$1:$B$15,2,FALSE)</f>
        <v>Manhole</v>
      </c>
      <c r="M240" s="6" t="s">
        <v>423</v>
      </c>
      <c r="N240" s="6" t="str">
        <f>VLOOKUP(M240,'Excursion Cause'!$A$1:$B$34,2,FALSE)</f>
        <v>Collection system ‐ wet weather</v>
      </c>
      <c r="O240" s="7">
        <v>44350.0</v>
      </c>
      <c r="P240" s="6" t="s">
        <v>631</v>
      </c>
      <c r="Q240" s="7">
        <v>44351.0</v>
      </c>
      <c r="R240" s="6" t="s">
        <v>321</v>
      </c>
      <c r="S240" s="5">
        <v>26.0</v>
      </c>
      <c r="T240" s="6" t="s">
        <v>443</v>
      </c>
      <c r="U240" s="5">
        <v>2.0210603E7</v>
      </c>
      <c r="V240" s="5">
        <v>2.0210604E7</v>
      </c>
      <c r="W240" s="5">
        <v>29.8594960290001</v>
      </c>
      <c r="X240" s="5">
        <v>-95.337609395</v>
      </c>
    </row>
    <row r="241" ht="15.75" customHeight="1">
      <c r="A241" s="5">
        <v>11145.0</v>
      </c>
      <c r="B241" s="6">
        <v>2021.0</v>
      </c>
      <c r="C241" s="6" t="str">
        <f t="shared" si="1"/>
        <v>13226 FARADAY DR,Houston,Texas</v>
      </c>
      <c r="D241" s="6" t="s">
        <v>632</v>
      </c>
      <c r="E241" s="6" t="s">
        <v>25</v>
      </c>
      <c r="F241" s="6" t="s">
        <v>26</v>
      </c>
      <c r="G241" s="6" t="s">
        <v>419</v>
      </c>
      <c r="H241" s="6" t="s">
        <v>50</v>
      </c>
      <c r="I241" s="6" t="str">
        <f>VLOOKUP(H241,'Flow Location'!$A$1:$B$21,2,FALSE)</f>
        <v>Contained On Site, not within 5 ft. of Bayou/Surface Water/Drainage Ditch</v>
      </c>
      <c r="J241" s="5">
        <v>0.0</v>
      </c>
      <c r="K241" s="6" t="s">
        <v>51</v>
      </c>
      <c r="L241" s="6" t="str">
        <f>VLOOKUP(K241,'Structure type'!$A$1:$B$15,2,FALSE)</f>
        <v>Private Cleanout</v>
      </c>
      <c r="M241" s="6" t="s">
        <v>30</v>
      </c>
      <c r="N241" s="6" t="str">
        <f>VLOOKUP(M241,'Excursion Cause'!$A$1:$B$34,2,FALSE)</f>
        <v>Grease Blockage</v>
      </c>
      <c r="O241" s="7">
        <v>44350.0</v>
      </c>
      <c r="P241" s="6" t="s">
        <v>633</v>
      </c>
      <c r="Q241" s="7">
        <v>44350.0</v>
      </c>
      <c r="R241" s="6" t="s">
        <v>633</v>
      </c>
      <c r="S241" s="5">
        <v>0.0</v>
      </c>
      <c r="T241" s="6" t="s">
        <v>33</v>
      </c>
      <c r="U241" s="5">
        <v>2.0210603E7</v>
      </c>
      <c r="V241" s="5">
        <v>2.0210603E7</v>
      </c>
      <c r="W241" s="5">
        <v>29.615653013</v>
      </c>
      <c r="X241" s="5">
        <v>-95.402507454</v>
      </c>
    </row>
    <row r="242" ht="15.75" customHeight="1">
      <c r="A242" s="5">
        <v>11147.0</v>
      </c>
      <c r="B242" s="6">
        <v>2021.0</v>
      </c>
      <c r="C242" s="6" t="str">
        <f t="shared" si="1"/>
        <v>14750 PIPING ROCK LN,Houston,Texas</v>
      </c>
      <c r="D242" s="6" t="s">
        <v>634</v>
      </c>
      <c r="E242" s="6" t="s">
        <v>25</v>
      </c>
      <c r="F242" s="6" t="s">
        <v>26</v>
      </c>
      <c r="G242" s="6" t="s">
        <v>347</v>
      </c>
      <c r="H242" s="6" t="s">
        <v>50</v>
      </c>
      <c r="I242" s="6" t="str">
        <f>VLOOKUP(H242,'Flow Location'!$A$1:$B$21,2,FALSE)</f>
        <v>Contained On Site, not within 5 ft. of Bayou/Surface Water/Drainage Ditch</v>
      </c>
      <c r="J242" s="5">
        <v>482.0</v>
      </c>
      <c r="K242" s="6" t="s">
        <v>29</v>
      </c>
      <c r="L242" s="6" t="str">
        <f>VLOOKUP(K242,'Structure type'!$A$1:$B$15,2,FALSE)</f>
        <v>Manhole</v>
      </c>
      <c r="M242" s="6" t="s">
        <v>30</v>
      </c>
      <c r="N242" s="6" t="str">
        <f>VLOOKUP(M242,'Excursion Cause'!$A$1:$B$34,2,FALSE)</f>
        <v>Grease Blockage</v>
      </c>
      <c r="O242" s="7">
        <v>44351.0</v>
      </c>
      <c r="P242" s="6" t="s">
        <v>635</v>
      </c>
      <c r="Q242" s="7">
        <v>44351.0</v>
      </c>
      <c r="R242" s="6" t="s">
        <v>542</v>
      </c>
      <c r="S242" s="5">
        <v>2.0</v>
      </c>
      <c r="T242" s="6" t="s">
        <v>33</v>
      </c>
      <c r="U242" s="5">
        <v>2.0210604E7</v>
      </c>
      <c r="V242" s="5">
        <v>2.0210604E7</v>
      </c>
      <c r="W242" s="5">
        <v>29.7408074420001</v>
      </c>
      <c r="X242" s="5">
        <v>-95.645951031</v>
      </c>
    </row>
    <row r="243" ht="15.75" customHeight="1">
      <c r="A243" s="5">
        <v>11148.0</v>
      </c>
      <c r="B243" s="6">
        <v>2021.0</v>
      </c>
      <c r="C243" s="6" t="str">
        <f t="shared" si="1"/>
        <v>926 RUELL ST,Houston,Texas</v>
      </c>
      <c r="D243" s="6" t="s">
        <v>636</v>
      </c>
      <c r="E243" s="6" t="s">
        <v>25</v>
      </c>
      <c r="F243" s="6" t="s">
        <v>26</v>
      </c>
      <c r="G243" s="6" t="s">
        <v>135</v>
      </c>
      <c r="H243" s="6" t="s">
        <v>28</v>
      </c>
      <c r="I243" s="6" t="str">
        <f>VLOOKUP(H243,'Flow Location'!$A$1:$B$21,2,FALSE)</f>
        <v>Storm Sewer (not contained)</v>
      </c>
      <c r="J243" s="5">
        <v>640.0</v>
      </c>
      <c r="K243" s="6" t="s">
        <v>29</v>
      </c>
      <c r="L243" s="6" t="str">
        <f>VLOOKUP(K243,'Structure type'!$A$1:$B$15,2,FALSE)</f>
        <v>Manhole</v>
      </c>
      <c r="M243" s="6" t="s">
        <v>30</v>
      </c>
      <c r="N243" s="6" t="str">
        <f>VLOOKUP(M243,'Excursion Cause'!$A$1:$B$34,2,FALSE)</f>
        <v>Grease Blockage</v>
      </c>
      <c r="O243" s="7">
        <v>44351.0</v>
      </c>
      <c r="P243" s="6" t="s">
        <v>348</v>
      </c>
      <c r="Q243" s="7">
        <v>44351.0</v>
      </c>
      <c r="R243" s="6" t="s">
        <v>637</v>
      </c>
      <c r="S243" s="5">
        <v>5.0</v>
      </c>
      <c r="T243" s="6" t="s">
        <v>33</v>
      </c>
      <c r="U243" s="5">
        <v>2.0210604E7</v>
      </c>
      <c r="V243" s="5">
        <v>2.0210604E7</v>
      </c>
      <c r="W243" s="5">
        <v>29.696111069</v>
      </c>
      <c r="X243" s="5">
        <v>-95.247979609</v>
      </c>
    </row>
    <row r="244" ht="15.75" customHeight="1">
      <c r="A244" s="5">
        <v>11157.0</v>
      </c>
      <c r="B244" s="6">
        <v>2021.0</v>
      </c>
      <c r="C244" s="6" t="str">
        <f t="shared" si="1"/>
        <v>15407 NICKEL DR,Houston,Texas</v>
      </c>
      <c r="D244" s="6" t="s">
        <v>638</v>
      </c>
      <c r="E244" s="6" t="s">
        <v>25</v>
      </c>
      <c r="F244" s="6" t="s">
        <v>26</v>
      </c>
      <c r="G244" s="6" t="s">
        <v>166</v>
      </c>
      <c r="H244" s="6" t="s">
        <v>28</v>
      </c>
      <c r="I244" s="6" t="str">
        <f>VLOOKUP(H244,'Flow Location'!$A$1:$B$21,2,FALSE)</f>
        <v>Storm Sewer (not contained)</v>
      </c>
      <c r="J244" s="5">
        <v>352.0</v>
      </c>
      <c r="K244" s="6" t="s">
        <v>29</v>
      </c>
      <c r="L244" s="6" t="str">
        <f>VLOOKUP(K244,'Structure type'!$A$1:$B$15,2,FALSE)</f>
        <v>Manhole</v>
      </c>
      <c r="M244" s="6" t="s">
        <v>30</v>
      </c>
      <c r="N244" s="6" t="str">
        <f>VLOOKUP(M244,'Excursion Cause'!$A$1:$B$34,2,FALSE)</f>
        <v>Grease Blockage</v>
      </c>
      <c r="O244" s="7">
        <v>44352.0</v>
      </c>
      <c r="P244" s="6" t="s">
        <v>639</v>
      </c>
      <c r="Q244" s="7">
        <v>44352.0</v>
      </c>
      <c r="R244" s="6" t="s">
        <v>640</v>
      </c>
      <c r="S244" s="5">
        <v>4.0</v>
      </c>
      <c r="T244" s="6" t="s">
        <v>59</v>
      </c>
      <c r="U244" s="5">
        <v>2.0210605E7</v>
      </c>
      <c r="V244" s="5">
        <v>2.0210605E7</v>
      </c>
      <c r="W244" s="5">
        <v>29.603373483</v>
      </c>
      <c r="X244" s="5">
        <v>-95.504612781</v>
      </c>
    </row>
    <row r="245" ht="15.75" customHeight="1">
      <c r="A245" s="5">
        <v>11158.0</v>
      </c>
      <c r="B245" s="6">
        <v>2021.0</v>
      </c>
      <c r="C245" s="6" t="str">
        <f t="shared" si="1"/>
        <v>7111 AUGUSTINE DR,Houston,Texas</v>
      </c>
      <c r="D245" s="6" t="s">
        <v>641</v>
      </c>
      <c r="E245" s="6" t="s">
        <v>25</v>
      </c>
      <c r="F245" s="6" t="s">
        <v>26</v>
      </c>
      <c r="G245" s="6" t="s">
        <v>100</v>
      </c>
      <c r="H245" s="6" t="s">
        <v>50</v>
      </c>
      <c r="I245" s="6" t="str">
        <f>VLOOKUP(H245,'Flow Location'!$A$1:$B$21,2,FALSE)</f>
        <v>Contained On Site, not within 5 ft. of Bayou/Surface Water/Drainage Ditch</v>
      </c>
      <c r="J245" s="5">
        <v>522.0</v>
      </c>
      <c r="K245" s="6" t="s">
        <v>51</v>
      </c>
      <c r="L245" s="6" t="str">
        <f>VLOOKUP(K245,'Structure type'!$A$1:$B$15,2,FALSE)</f>
        <v>Private Cleanout</v>
      </c>
      <c r="M245" s="6" t="s">
        <v>30</v>
      </c>
      <c r="N245" s="6" t="str">
        <f>VLOOKUP(M245,'Excursion Cause'!$A$1:$B$34,2,FALSE)</f>
        <v>Grease Blockage</v>
      </c>
      <c r="O245" s="7">
        <v>44352.0</v>
      </c>
      <c r="P245" s="6" t="s">
        <v>614</v>
      </c>
      <c r="Q245" s="7">
        <v>44352.0</v>
      </c>
      <c r="R245" s="6" t="s">
        <v>356</v>
      </c>
      <c r="S245" s="5">
        <v>2.0</v>
      </c>
      <c r="T245" s="6" t="s">
        <v>33</v>
      </c>
      <c r="U245" s="5">
        <v>2.0210605E7</v>
      </c>
      <c r="V245" s="5">
        <v>2.0210605E7</v>
      </c>
      <c r="W245" s="5">
        <v>29.702561656</v>
      </c>
      <c r="X245" s="5">
        <v>-95.53896643</v>
      </c>
    </row>
    <row r="246" ht="15.75" customHeight="1">
      <c r="A246" s="5">
        <v>11162.0</v>
      </c>
      <c r="B246" s="6">
        <v>2021.0</v>
      </c>
      <c r="C246" s="6" t="str">
        <f t="shared" si="1"/>
        <v>4601 DEWBERRY ST,Houston,Texas</v>
      </c>
      <c r="D246" s="6" t="s">
        <v>642</v>
      </c>
      <c r="E246" s="6" t="s">
        <v>25</v>
      </c>
      <c r="F246" s="6" t="s">
        <v>26</v>
      </c>
      <c r="G246" s="6" t="s">
        <v>238</v>
      </c>
      <c r="H246" s="6" t="s">
        <v>44</v>
      </c>
      <c r="I246" s="6" t="str">
        <f>VLOOKUP(H246,'Flow Location'!$A$1:$B$21,2,FALSE)</f>
        <v>Bayou/surface water/drainage ditch</v>
      </c>
      <c r="J246" s="5">
        <v>327.0</v>
      </c>
      <c r="K246" s="6" t="s">
        <v>29</v>
      </c>
      <c r="L246" s="6" t="str">
        <f>VLOOKUP(K246,'Structure type'!$A$1:$B$15,2,FALSE)</f>
        <v>Manhole</v>
      </c>
      <c r="M246" s="6" t="s">
        <v>30</v>
      </c>
      <c r="N246" s="6" t="str">
        <f>VLOOKUP(M246,'Excursion Cause'!$A$1:$B$34,2,FALSE)</f>
        <v>Grease Blockage</v>
      </c>
      <c r="O246" s="7">
        <v>44353.0</v>
      </c>
      <c r="P246" s="6" t="s">
        <v>136</v>
      </c>
      <c r="Q246" s="7">
        <v>44353.0</v>
      </c>
      <c r="R246" s="6" t="s">
        <v>643</v>
      </c>
      <c r="S246" s="5">
        <v>2.0</v>
      </c>
      <c r="T246" s="6" t="s">
        <v>59</v>
      </c>
      <c r="U246" s="5">
        <v>2.0210606E7</v>
      </c>
      <c r="V246" s="5">
        <v>2.0210606E7</v>
      </c>
      <c r="W246" s="5">
        <v>29.695917195</v>
      </c>
      <c r="X246" s="5">
        <v>-95.347361153</v>
      </c>
    </row>
    <row r="247" ht="15.75" customHeight="1">
      <c r="A247" s="5">
        <v>11163.0</v>
      </c>
      <c r="B247" s="6">
        <v>2021.0</v>
      </c>
      <c r="C247" s="6" t="str">
        <f t="shared" si="1"/>
        <v>4851 BENNING DR,Houston,Texas</v>
      </c>
      <c r="D247" s="6" t="s">
        <v>531</v>
      </c>
      <c r="E247" s="6" t="s">
        <v>25</v>
      </c>
      <c r="F247" s="6" t="s">
        <v>26</v>
      </c>
      <c r="G247" s="6" t="s">
        <v>127</v>
      </c>
      <c r="H247" s="6" t="s">
        <v>50</v>
      </c>
      <c r="I247" s="6" t="str">
        <f>VLOOKUP(H247,'Flow Location'!$A$1:$B$21,2,FALSE)</f>
        <v>Contained On Site, not within 5 ft. of Bayou/Surface Water/Drainage Ditch</v>
      </c>
      <c r="J247" s="5">
        <v>314.0</v>
      </c>
      <c r="K247" s="6" t="s">
        <v>29</v>
      </c>
      <c r="L247" s="6" t="str">
        <f>VLOOKUP(K247,'Structure type'!$A$1:$B$15,2,FALSE)</f>
        <v>Manhole</v>
      </c>
      <c r="M247" s="6" t="s">
        <v>30</v>
      </c>
      <c r="N247" s="6" t="str">
        <f>VLOOKUP(M247,'Excursion Cause'!$A$1:$B$34,2,FALSE)</f>
        <v>Grease Blockage</v>
      </c>
      <c r="O247" s="7">
        <v>44353.0</v>
      </c>
      <c r="P247" s="6" t="s">
        <v>644</v>
      </c>
      <c r="Q247" s="7">
        <v>44353.0</v>
      </c>
      <c r="R247" s="6" t="s">
        <v>645</v>
      </c>
      <c r="S247" s="5">
        <v>1.0</v>
      </c>
      <c r="T247" s="6" t="s">
        <v>59</v>
      </c>
      <c r="U247" s="5">
        <v>2.0210606E7</v>
      </c>
      <c r="V247" s="5">
        <v>2.0210606E7</v>
      </c>
      <c r="W247" s="5">
        <v>29.656852498</v>
      </c>
      <c r="X247" s="5">
        <v>-95.462947011</v>
      </c>
    </row>
    <row r="248" ht="15.75" customHeight="1">
      <c r="A248" s="5">
        <v>11169.0</v>
      </c>
      <c r="B248" s="6">
        <v>2021.0</v>
      </c>
      <c r="C248" s="6" t="str">
        <f t="shared" si="1"/>
        <v>301 ENGLISH ST,Houston,Texas</v>
      </c>
      <c r="D248" s="6" t="s">
        <v>646</v>
      </c>
      <c r="E248" s="6" t="s">
        <v>25</v>
      </c>
      <c r="F248" s="6" t="s">
        <v>26</v>
      </c>
      <c r="G248" s="6" t="s">
        <v>161</v>
      </c>
      <c r="H248" s="6" t="s">
        <v>50</v>
      </c>
      <c r="I248" s="6" t="str">
        <f>VLOOKUP(H248,'Flow Location'!$A$1:$B$21,2,FALSE)</f>
        <v>Contained On Site, not within 5 ft. of Bayou/Surface Water/Drainage Ditch</v>
      </c>
      <c r="J248" s="5">
        <v>0.0</v>
      </c>
      <c r="K248" s="6" t="s">
        <v>45</v>
      </c>
      <c r="L248" s="6" t="str">
        <f>VLOOKUP(K248,'Structure type'!$A$1:$B$15,2,FALSE)</f>
        <v>City Cleanout</v>
      </c>
      <c r="M248" s="6" t="s">
        <v>56</v>
      </c>
      <c r="N248" s="6" t="str">
        <f>VLOOKUP(M248,'Excursion Cause'!$A$1:$B$34,2,FALSE)</f>
        <v>Rags/Wipes</v>
      </c>
      <c r="O248" s="7">
        <v>44354.0</v>
      </c>
      <c r="P248" s="6" t="s">
        <v>314</v>
      </c>
      <c r="Q248" s="7">
        <v>44354.0</v>
      </c>
      <c r="R248" s="6" t="s">
        <v>314</v>
      </c>
      <c r="S248" s="5">
        <v>0.0</v>
      </c>
      <c r="T248" s="6" t="s">
        <v>270</v>
      </c>
      <c r="U248" s="5">
        <v>2.0210607E7</v>
      </c>
      <c r="V248" s="5">
        <v>2.0210607E7</v>
      </c>
      <c r="W248" s="5">
        <v>29.8078509330001</v>
      </c>
      <c r="X248" s="5">
        <v>-95.367962194</v>
      </c>
    </row>
    <row r="249" ht="15.75" customHeight="1">
      <c r="A249" s="5">
        <v>11172.0</v>
      </c>
      <c r="B249" s="6">
        <v>2021.0</v>
      </c>
      <c r="C249" s="6" t="str">
        <f t="shared" si="1"/>
        <v>7000 CAPITOL ST,Houston,Texas</v>
      </c>
      <c r="D249" s="6" t="s">
        <v>647</v>
      </c>
      <c r="E249" s="6" t="s">
        <v>25</v>
      </c>
      <c r="F249" s="6" t="s">
        <v>26</v>
      </c>
      <c r="G249" s="6" t="s">
        <v>227</v>
      </c>
      <c r="H249" s="6" t="s">
        <v>50</v>
      </c>
      <c r="I249" s="6" t="str">
        <f>VLOOKUP(H249,'Flow Location'!$A$1:$B$21,2,FALSE)</f>
        <v>Contained On Site, not within 5 ft. of Bayou/Surface Water/Drainage Ditch</v>
      </c>
      <c r="J249" s="5">
        <v>0.0</v>
      </c>
      <c r="K249" s="6" t="s">
        <v>29</v>
      </c>
      <c r="L249" s="6" t="str">
        <f>VLOOKUP(K249,'Structure type'!$A$1:$B$15,2,FALSE)</f>
        <v>Manhole</v>
      </c>
      <c r="M249" s="6" t="s">
        <v>423</v>
      </c>
      <c r="N249" s="6" t="str">
        <f>VLOOKUP(M249,'Excursion Cause'!$A$1:$B$34,2,FALSE)</f>
        <v>Collection system ‐ wet weather</v>
      </c>
      <c r="O249" s="7">
        <v>44354.0</v>
      </c>
      <c r="P249" s="6" t="s">
        <v>648</v>
      </c>
      <c r="Q249" s="7">
        <v>44354.0</v>
      </c>
      <c r="R249" s="6" t="s">
        <v>648</v>
      </c>
      <c r="S249" s="5">
        <v>0.0</v>
      </c>
      <c r="T249" s="6" t="s">
        <v>118</v>
      </c>
      <c r="U249" s="5">
        <v>2.0210607E7</v>
      </c>
      <c r="V249" s="5">
        <v>2.0210607E7</v>
      </c>
      <c r="W249" s="5">
        <v>29.73439449</v>
      </c>
      <c r="X249" s="5">
        <v>-95.302750066</v>
      </c>
    </row>
    <row r="250" ht="15.75" customHeight="1">
      <c r="A250" s="5">
        <v>11174.0</v>
      </c>
      <c r="B250" s="6">
        <v>2021.0</v>
      </c>
      <c r="C250" s="6" t="str">
        <f t="shared" si="1"/>
        <v>12861 MCNAIR ST,Houston,Texas</v>
      </c>
      <c r="D250" s="6" t="s">
        <v>622</v>
      </c>
      <c r="E250" s="6" t="s">
        <v>25</v>
      </c>
      <c r="F250" s="6" t="s">
        <v>26</v>
      </c>
      <c r="G250" s="6" t="s">
        <v>623</v>
      </c>
      <c r="H250" s="6" t="s">
        <v>28</v>
      </c>
      <c r="I250" s="6" t="str">
        <f>VLOOKUP(H250,'Flow Location'!$A$1:$B$21,2,FALSE)</f>
        <v>Storm Sewer (not contained)</v>
      </c>
      <c r="J250" s="5">
        <v>21261.0</v>
      </c>
      <c r="K250" s="6" t="s">
        <v>29</v>
      </c>
      <c r="L250" s="6" t="str">
        <f>VLOOKUP(K250,'Structure type'!$A$1:$B$15,2,FALSE)</f>
        <v>Manhole</v>
      </c>
      <c r="M250" s="6" t="s">
        <v>30</v>
      </c>
      <c r="N250" s="6" t="str">
        <f>VLOOKUP(M250,'Excursion Cause'!$A$1:$B$34,2,FALSE)</f>
        <v>Grease Blockage</v>
      </c>
      <c r="O250" s="7">
        <v>44351.0</v>
      </c>
      <c r="P250" s="6" t="s">
        <v>649</v>
      </c>
      <c r="Q250" s="7">
        <v>44356.0</v>
      </c>
      <c r="R250" s="6" t="s">
        <v>428</v>
      </c>
      <c r="S250" s="5">
        <v>3.0</v>
      </c>
      <c r="T250" s="6" t="s">
        <v>474</v>
      </c>
      <c r="U250" s="5">
        <v>2.0210604E7</v>
      </c>
      <c r="V250" s="5">
        <v>2.0210609E7</v>
      </c>
      <c r="W250" s="5">
        <v>29.7727235080001</v>
      </c>
      <c r="X250" s="5">
        <v>-95.2038355619999</v>
      </c>
    </row>
    <row r="251" ht="15.75" customHeight="1">
      <c r="A251" s="5">
        <v>11185.0</v>
      </c>
      <c r="B251" s="6">
        <v>2021.0</v>
      </c>
      <c r="C251" s="6" t="str">
        <f t="shared" si="1"/>
        <v>3260 TRUXILLO ST,Houston,Texas</v>
      </c>
      <c r="D251" s="6" t="s">
        <v>650</v>
      </c>
      <c r="E251" s="6" t="s">
        <v>25</v>
      </c>
      <c r="F251" s="6" t="s">
        <v>26</v>
      </c>
      <c r="G251" s="6" t="s">
        <v>308</v>
      </c>
      <c r="H251" s="6" t="s">
        <v>50</v>
      </c>
      <c r="I251" s="6" t="str">
        <f>VLOOKUP(H251,'Flow Location'!$A$1:$B$21,2,FALSE)</f>
        <v>Contained On Site, not within 5 ft. of Bayou/Surface Water/Drainage Ditch</v>
      </c>
      <c r="J251" s="5">
        <v>651.0</v>
      </c>
      <c r="K251" s="6" t="s">
        <v>29</v>
      </c>
      <c r="L251" s="6" t="str">
        <f>VLOOKUP(K251,'Structure type'!$A$1:$B$15,2,FALSE)</f>
        <v>Manhole</v>
      </c>
      <c r="M251" s="6" t="s">
        <v>30</v>
      </c>
      <c r="N251" s="6" t="str">
        <f>VLOOKUP(M251,'Excursion Cause'!$A$1:$B$34,2,FALSE)</f>
        <v>Grease Blockage</v>
      </c>
      <c r="O251" s="7">
        <v>44355.0</v>
      </c>
      <c r="P251" s="6" t="s">
        <v>651</v>
      </c>
      <c r="Q251" s="7">
        <v>44355.0</v>
      </c>
      <c r="R251" s="6" t="s">
        <v>215</v>
      </c>
      <c r="S251" s="5">
        <v>3.0</v>
      </c>
      <c r="T251" s="6" t="s">
        <v>59</v>
      </c>
      <c r="U251" s="5">
        <v>2.0210608E7</v>
      </c>
      <c r="V251" s="5">
        <v>2.0210608E7</v>
      </c>
      <c r="W251" s="5">
        <v>29.7249744040001</v>
      </c>
      <c r="X251" s="5">
        <v>-95.359397314</v>
      </c>
    </row>
    <row r="252" ht="15.75" customHeight="1">
      <c r="A252" s="5">
        <v>11188.0</v>
      </c>
      <c r="B252" s="6">
        <v>2021.0</v>
      </c>
      <c r="C252" s="6" t="str">
        <f t="shared" si="1"/>
        <v>8307 ROSWELL ST,Houston,Texas</v>
      </c>
      <c r="D252" s="6" t="s">
        <v>652</v>
      </c>
      <c r="E252" s="6" t="s">
        <v>25</v>
      </c>
      <c r="F252" s="6" t="s">
        <v>26</v>
      </c>
      <c r="G252" s="6" t="s">
        <v>653</v>
      </c>
      <c r="H252" s="6" t="s">
        <v>50</v>
      </c>
      <c r="I252" s="6" t="str">
        <f>VLOOKUP(H252,'Flow Location'!$A$1:$B$21,2,FALSE)</f>
        <v>Contained On Site, not within 5 ft. of Bayou/Surface Water/Drainage Ditch</v>
      </c>
      <c r="J252" s="5">
        <v>0.0</v>
      </c>
      <c r="K252" s="6" t="s">
        <v>45</v>
      </c>
      <c r="L252" s="6" t="str">
        <f>VLOOKUP(K252,'Structure type'!$A$1:$B$15,2,FALSE)</f>
        <v>City Cleanout</v>
      </c>
      <c r="M252" s="6" t="s">
        <v>30</v>
      </c>
      <c r="N252" s="6" t="str">
        <f>VLOOKUP(M252,'Excursion Cause'!$A$1:$B$34,2,FALSE)</f>
        <v>Grease Blockage</v>
      </c>
      <c r="O252" s="7">
        <v>44355.0</v>
      </c>
      <c r="P252" s="6" t="s">
        <v>654</v>
      </c>
      <c r="Q252" s="7">
        <v>44355.0</v>
      </c>
      <c r="R252" s="6" t="s">
        <v>654</v>
      </c>
      <c r="S252" s="5">
        <v>0.0</v>
      </c>
      <c r="T252" s="6" t="s">
        <v>170</v>
      </c>
      <c r="U252" s="5">
        <v>2.0210608E7</v>
      </c>
      <c r="V252" s="5">
        <v>2.0210608E7</v>
      </c>
      <c r="W252" s="5">
        <v>29.83597511</v>
      </c>
      <c r="X252" s="5">
        <v>-95.369325343</v>
      </c>
    </row>
    <row r="253" ht="15.75" customHeight="1">
      <c r="A253" s="5">
        <v>11191.0</v>
      </c>
      <c r="B253" s="6">
        <v>2021.0</v>
      </c>
      <c r="C253" s="6" t="str">
        <f t="shared" si="1"/>
        <v>10342 DUNCUM DR,Houston,Texas</v>
      </c>
      <c r="D253" s="6" t="s">
        <v>655</v>
      </c>
      <c r="E253" s="6" t="s">
        <v>25</v>
      </c>
      <c r="F253" s="6" t="s">
        <v>26</v>
      </c>
      <c r="G253" s="6" t="s">
        <v>656</v>
      </c>
      <c r="H253" s="6" t="s">
        <v>44</v>
      </c>
      <c r="I253" s="6" t="str">
        <f>VLOOKUP(H253,'Flow Location'!$A$1:$B$21,2,FALSE)</f>
        <v>Bayou/surface water/drainage ditch</v>
      </c>
      <c r="J253" s="5">
        <v>176.0</v>
      </c>
      <c r="K253" s="6" t="s">
        <v>29</v>
      </c>
      <c r="L253" s="6" t="str">
        <f>VLOOKUP(K253,'Structure type'!$A$1:$B$15,2,FALSE)</f>
        <v>Manhole</v>
      </c>
      <c r="M253" s="6" t="s">
        <v>30</v>
      </c>
      <c r="N253" s="6" t="str">
        <f>VLOOKUP(M253,'Excursion Cause'!$A$1:$B$34,2,FALSE)</f>
        <v>Grease Blockage</v>
      </c>
      <c r="O253" s="7">
        <v>44355.0</v>
      </c>
      <c r="P253" s="6" t="s">
        <v>657</v>
      </c>
      <c r="Q253" s="7">
        <v>44355.0</v>
      </c>
      <c r="R253" s="6" t="s">
        <v>658</v>
      </c>
      <c r="S253" s="5">
        <v>2.0</v>
      </c>
      <c r="T253" s="6" t="s">
        <v>33</v>
      </c>
      <c r="U253" s="5">
        <v>2.0210608E7</v>
      </c>
      <c r="V253" s="5">
        <v>2.0210608E7</v>
      </c>
      <c r="W253" s="5">
        <v>29.775030417</v>
      </c>
      <c r="X253" s="5">
        <v>-95.245329335</v>
      </c>
    </row>
    <row r="254" ht="15.75" customHeight="1">
      <c r="A254" s="5">
        <v>11195.0</v>
      </c>
      <c r="B254" s="6">
        <v>2021.0</v>
      </c>
      <c r="C254" s="6" t="str">
        <f t="shared" si="1"/>
        <v>1912 CHASE ST,Houston,Texas</v>
      </c>
      <c r="D254" s="6" t="s">
        <v>659</v>
      </c>
      <c r="E254" s="6" t="s">
        <v>25</v>
      </c>
      <c r="F254" s="6" t="s">
        <v>26</v>
      </c>
      <c r="G254" s="6" t="s">
        <v>43</v>
      </c>
      <c r="H254" s="6" t="s">
        <v>50</v>
      </c>
      <c r="I254" s="6" t="str">
        <f>VLOOKUP(H254,'Flow Location'!$A$1:$B$21,2,FALSE)</f>
        <v>Contained On Site, not within 5 ft. of Bayou/Surface Water/Drainage Ditch</v>
      </c>
      <c r="J254" s="5">
        <v>0.0</v>
      </c>
      <c r="K254" s="6" t="s">
        <v>51</v>
      </c>
      <c r="L254" s="6" t="str">
        <f>VLOOKUP(K254,'Structure type'!$A$1:$B$15,2,FALSE)</f>
        <v>Private Cleanout</v>
      </c>
      <c r="M254" s="6" t="s">
        <v>52</v>
      </c>
      <c r="N254" s="6" t="str">
        <f>VLOOKUP(M254,'Excursion Cause'!$A$1:$B$34,2,FALSE)</f>
        <v>Collection system structural blockage</v>
      </c>
      <c r="O254" s="7">
        <v>44356.0</v>
      </c>
      <c r="P254" s="6" t="s">
        <v>660</v>
      </c>
      <c r="Q254" s="7">
        <v>44356.0</v>
      </c>
      <c r="R254" s="6" t="s">
        <v>660</v>
      </c>
      <c r="S254" s="5">
        <v>0.0</v>
      </c>
      <c r="T254" s="6" t="s">
        <v>54</v>
      </c>
      <c r="U254" s="5">
        <v>2.0210609E7</v>
      </c>
      <c r="V254" s="5">
        <v>2.0210609E7</v>
      </c>
      <c r="W254" s="5">
        <v>29.779112656</v>
      </c>
      <c r="X254" s="5">
        <v>-95.347478332</v>
      </c>
    </row>
    <row r="255" ht="15.75" customHeight="1">
      <c r="A255" s="5">
        <v>11196.0</v>
      </c>
      <c r="B255" s="6">
        <v>2021.0</v>
      </c>
      <c r="C255" s="6" t="str">
        <f t="shared" si="1"/>
        <v>10170 MEMORIAL DR,Houston,Texas</v>
      </c>
      <c r="D255" s="6" t="s">
        <v>661</v>
      </c>
      <c r="E255" s="6" t="s">
        <v>25</v>
      </c>
      <c r="F255" s="6" t="s">
        <v>26</v>
      </c>
      <c r="G255" s="6" t="s">
        <v>123</v>
      </c>
      <c r="H255" s="6" t="s">
        <v>87</v>
      </c>
      <c r="I255" s="6" t="str">
        <f>VLOOKUP(H255,'Flow Location'!$A$1:$B$21,2,FALSE)</f>
        <v>Within 5 ft. of Bayou/Surface Water/Drainage Ditch</v>
      </c>
      <c r="J255" s="5">
        <v>298.0</v>
      </c>
      <c r="K255" s="6" t="s">
        <v>29</v>
      </c>
      <c r="L255" s="6" t="str">
        <f>VLOOKUP(K255,'Structure type'!$A$1:$B$15,2,FALSE)</f>
        <v>Manhole</v>
      </c>
      <c r="M255" s="6" t="s">
        <v>52</v>
      </c>
      <c r="N255" s="6" t="str">
        <f>VLOOKUP(M255,'Excursion Cause'!$A$1:$B$34,2,FALSE)</f>
        <v>Collection system structural blockage</v>
      </c>
      <c r="O255" s="7">
        <v>44356.0</v>
      </c>
      <c r="P255" s="6" t="s">
        <v>662</v>
      </c>
      <c r="Q255" s="7">
        <v>44356.0</v>
      </c>
      <c r="R255" s="6" t="s">
        <v>149</v>
      </c>
      <c r="S255" s="5">
        <v>1.0</v>
      </c>
      <c r="T255" s="6" t="s">
        <v>33</v>
      </c>
      <c r="U255" s="5">
        <v>2.0210609E7</v>
      </c>
      <c r="V255" s="5">
        <v>2.0210609E7</v>
      </c>
      <c r="W255" s="5">
        <v>29.7775425570001</v>
      </c>
      <c r="X255" s="5">
        <v>-95.4841222969999</v>
      </c>
    </row>
    <row r="256" ht="15.75" customHeight="1">
      <c r="A256" s="5">
        <v>11203.0</v>
      </c>
      <c r="B256" s="6">
        <v>2021.0</v>
      </c>
      <c r="C256" s="6" t="str">
        <f t="shared" si="1"/>
        <v>7310 BRACE ST,Houston,Texas</v>
      </c>
      <c r="D256" s="6" t="s">
        <v>663</v>
      </c>
      <c r="E256" s="6" t="s">
        <v>25</v>
      </c>
      <c r="F256" s="6" t="s">
        <v>26</v>
      </c>
      <c r="G256" s="6" t="s">
        <v>398</v>
      </c>
      <c r="H256" s="6" t="s">
        <v>50</v>
      </c>
      <c r="I256" s="6" t="str">
        <f>VLOOKUP(H256,'Flow Location'!$A$1:$B$21,2,FALSE)</f>
        <v>Contained On Site, not within 5 ft. of Bayou/Surface Water/Drainage Ditch</v>
      </c>
      <c r="J256" s="5">
        <v>0.0</v>
      </c>
      <c r="K256" s="6" t="s">
        <v>45</v>
      </c>
      <c r="L256" s="6" t="str">
        <f>VLOOKUP(K256,'Structure type'!$A$1:$B$15,2,FALSE)</f>
        <v>City Cleanout</v>
      </c>
      <c r="M256" s="6" t="s">
        <v>56</v>
      </c>
      <c r="N256" s="6" t="str">
        <f>VLOOKUP(M256,'Excursion Cause'!$A$1:$B$34,2,FALSE)</f>
        <v>Rags/Wipes</v>
      </c>
      <c r="O256" s="7">
        <v>44356.0</v>
      </c>
      <c r="P256" s="6" t="s">
        <v>664</v>
      </c>
      <c r="Q256" s="7">
        <v>44356.0</v>
      </c>
      <c r="R256" s="6" t="s">
        <v>664</v>
      </c>
      <c r="S256" s="5">
        <v>0.0</v>
      </c>
      <c r="T256" s="6" t="s">
        <v>270</v>
      </c>
      <c r="U256" s="5">
        <v>2.0210609E7</v>
      </c>
      <c r="V256" s="5">
        <v>2.0210609E7</v>
      </c>
      <c r="W256" s="5">
        <v>29.6602879880001</v>
      </c>
      <c r="X256" s="5">
        <v>-95.298562718</v>
      </c>
    </row>
    <row r="257" ht="15.75" customHeight="1">
      <c r="A257" s="5">
        <v>11208.0</v>
      </c>
      <c r="B257" s="6">
        <v>2021.0</v>
      </c>
      <c r="C257" s="6" t="str">
        <f t="shared" si="1"/>
        <v>10014 BRIAR DR,Houston,Texas</v>
      </c>
      <c r="D257" s="6" t="s">
        <v>665</v>
      </c>
      <c r="E257" s="6" t="s">
        <v>25</v>
      </c>
      <c r="F257" s="6" t="s">
        <v>26</v>
      </c>
      <c r="G257" s="6" t="s">
        <v>401</v>
      </c>
      <c r="H257" s="6" t="s">
        <v>50</v>
      </c>
      <c r="I257" s="6" t="str">
        <f>VLOOKUP(H257,'Flow Location'!$A$1:$B$21,2,FALSE)</f>
        <v>Contained On Site, not within 5 ft. of Bayou/Surface Water/Drainage Ditch</v>
      </c>
      <c r="J257" s="5">
        <v>17.0</v>
      </c>
      <c r="K257" s="6" t="s">
        <v>29</v>
      </c>
      <c r="L257" s="6" t="str">
        <f>VLOOKUP(K257,'Structure type'!$A$1:$B$15,2,FALSE)</f>
        <v>Manhole</v>
      </c>
      <c r="M257" s="6" t="s">
        <v>30</v>
      </c>
      <c r="N257" s="6" t="str">
        <f>VLOOKUP(M257,'Excursion Cause'!$A$1:$B$34,2,FALSE)</f>
        <v>Grease Blockage</v>
      </c>
      <c r="O257" s="7">
        <v>44357.0</v>
      </c>
      <c r="P257" s="6" t="s">
        <v>183</v>
      </c>
      <c r="Q257" s="7">
        <v>44357.0</v>
      </c>
      <c r="R257" s="6" t="s">
        <v>666</v>
      </c>
      <c r="S257" s="5">
        <v>1.0</v>
      </c>
      <c r="T257" s="6" t="s">
        <v>33</v>
      </c>
      <c r="U257" s="5">
        <v>2.021061E7</v>
      </c>
      <c r="V257" s="5">
        <v>2.021061E7</v>
      </c>
      <c r="W257" s="5">
        <v>29.758516936</v>
      </c>
      <c r="X257" s="5">
        <v>-95.549757879</v>
      </c>
    </row>
    <row r="258" ht="15.75" customHeight="1">
      <c r="A258" s="5">
        <v>11213.0</v>
      </c>
      <c r="B258" s="6">
        <v>2021.0</v>
      </c>
      <c r="C258" s="6" t="str">
        <f t="shared" si="1"/>
        <v>12911 LEAF GLEN LN,Houston,Texas</v>
      </c>
      <c r="D258" s="6" t="s">
        <v>667</v>
      </c>
      <c r="E258" s="6" t="s">
        <v>25</v>
      </c>
      <c r="F258" s="6" t="s">
        <v>26</v>
      </c>
      <c r="G258" s="6" t="s">
        <v>91</v>
      </c>
      <c r="H258" s="6" t="s">
        <v>28</v>
      </c>
      <c r="I258" s="6" t="str">
        <f>VLOOKUP(H258,'Flow Location'!$A$1:$B$21,2,FALSE)</f>
        <v>Storm Sewer (not contained)</v>
      </c>
      <c r="J258" s="5">
        <v>2088.0</v>
      </c>
      <c r="K258" s="6" t="s">
        <v>29</v>
      </c>
      <c r="L258" s="6" t="str">
        <f>VLOOKUP(K258,'Structure type'!$A$1:$B$15,2,FALSE)</f>
        <v>Manhole</v>
      </c>
      <c r="M258" s="6" t="s">
        <v>30</v>
      </c>
      <c r="N258" s="6" t="str">
        <f>VLOOKUP(M258,'Excursion Cause'!$A$1:$B$34,2,FALSE)</f>
        <v>Grease Blockage</v>
      </c>
      <c r="O258" s="7">
        <v>44357.0</v>
      </c>
      <c r="P258" s="6" t="s">
        <v>668</v>
      </c>
      <c r="Q258" s="7">
        <v>44358.0</v>
      </c>
      <c r="R258" s="6" t="s">
        <v>442</v>
      </c>
      <c r="S258" s="5">
        <v>2.0</v>
      </c>
      <c r="T258" s="6" t="s">
        <v>33</v>
      </c>
      <c r="U258" s="5">
        <v>2.021061E7</v>
      </c>
      <c r="V258" s="5">
        <v>2.0210611E7</v>
      </c>
      <c r="W258" s="5">
        <v>29.692663215</v>
      </c>
      <c r="X258" s="5">
        <v>-95.6091563199999</v>
      </c>
    </row>
    <row r="259" ht="15.75" customHeight="1">
      <c r="A259" s="5">
        <v>11216.0</v>
      </c>
      <c r="B259" s="6">
        <v>2021.0</v>
      </c>
      <c r="C259" s="6" t="str">
        <f t="shared" si="1"/>
        <v>1714 COLLINGSWORTH ST,Houston,Texas</v>
      </c>
      <c r="D259" s="6" t="s">
        <v>669</v>
      </c>
      <c r="E259" s="6" t="s">
        <v>25</v>
      </c>
      <c r="F259" s="6" t="s">
        <v>26</v>
      </c>
      <c r="G259" s="6" t="s">
        <v>161</v>
      </c>
      <c r="H259" s="6" t="s">
        <v>50</v>
      </c>
      <c r="I259" s="6" t="str">
        <f>VLOOKUP(H259,'Flow Location'!$A$1:$B$21,2,FALSE)</f>
        <v>Contained On Site, not within 5 ft. of Bayou/Surface Water/Drainage Ditch</v>
      </c>
      <c r="J259" s="5">
        <v>0.0</v>
      </c>
      <c r="K259" s="6" t="s">
        <v>29</v>
      </c>
      <c r="L259" s="6" t="str">
        <f>VLOOKUP(K259,'Structure type'!$A$1:$B$15,2,FALSE)</f>
        <v>Manhole</v>
      </c>
      <c r="M259" s="6" t="s">
        <v>56</v>
      </c>
      <c r="N259" s="6" t="str">
        <f>VLOOKUP(M259,'Excursion Cause'!$A$1:$B$34,2,FALSE)</f>
        <v>Rags/Wipes</v>
      </c>
      <c r="O259" s="7">
        <v>44357.0</v>
      </c>
      <c r="P259" s="6" t="s">
        <v>670</v>
      </c>
      <c r="Q259" s="7">
        <v>44357.0</v>
      </c>
      <c r="R259" s="6" t="s">
        <v>670</v>
      </c>
      <c r="S259" s="5">
        <v>0.0</v>
      </c>
      <c r="T259" s="6" t="s">
        <v>33</v>
      </c>
      <c r="U259" s="5">
        <v>2.021061E7</v>
      </c>
      <c r="V259" s="5">
        <v>2.021061E7</v>
      </c>
      <c r="W259" s="5">
        <v>29.793221913</v>
      </c>
      <c r="X259" s="5">
        <v>-95.350715507</v>
      </c>
    </row>
    <row r="260" ht="15.75" customHeight="1">
      <c r="A260" s="5">
        <v>11218.0</v>
      </c>
      <c r="B260" s="6">
        <v>2021.0</v>
      </c>
      <c r="C260" s="6" t="str">
        <f t="shared" si="1"/>
        <v>12911 LEAF GLEN LN,Houston,Texas</v>
      </c>
      <c r="D260" s="6" t="s">
        <v>667</v>
      </c>
      <c r="E260" s="6" t="s">
        <v>25</v>
      </c>
      <c r="F260" s="6" t="s">
        <v>26</v>
      </c>
      <c r="G260" s="6" t="s">
        <v>91</v>
      </c>
      <c r="H260" s="6" t="s">
        <v>28</v>
      </c>
      <c r="I260" s="6" t="str">
        <f>VLOOKUP(H260,'Flow Location'!$A$1:$B$21,2,FALSE)</f>
        <v>Storm Sewer (not contained)</v>
      </c>
      <c r="J260" s="5">
        <v>373.0</v>
      </c>
      <c r="K260" s="6" t="s">
        <v>29</v>
      </c>
      <c r="L260" s="6" t="str">
        <f>VLOOKUP(K260,'Structure type'!$A$1:$B$15,2,FALSE)</f>
        <v>Manhole</v>
      </c>
      <c r="M260" s="6" t="s">
        <v>30</v>
      </c>
      <c r="N260" s="6" t="str">
        <f>VLOOKUP(M260,'Excursion Cause'!$A$1:$B$34,2,FALSE)</f>
        <v>Grease Blockage</v>
      </c>
      <c r="O260" s="7">
        <v>44358.0</v>
      </c>
      <c r="P260" s="6" t="s">
        <v>396</v>
      </c>
      <c r="Q260" s="7">
        <v>44358.0</v>
      </c>
      <c r="R260" s="6" t="s">
        <v>503</v>
      </c>
      <c r="S260" s="5">
        <v>2.0</v>
      </c>
      <c r="T260" s="6" t="s">
        <v>33</v>
      </c>
      <c r="U260" s="5">
        <v>2.0210611E7</v>
      </c>
      <c r="V260" s="5">
        <v>2.0210611E7</v>
      </c>
      <c r="W260" s="5">
        <v>29.692663215</v>
      </c>
      <c r="X260" s="5">
        <v>-95.6091563199999</v>
      </c>
    </row>
    <row r="261" ht="15.75" customHeight="1">
      <c r="A261" s="5">
        <v>11219.0</v>
      </c>
      <c r="B261" s="6">
        <v>2021.0</v>
      </c>
      <c r="C261" s="6" t="str">
        <f t="shared" si="1"/>
        <v>2612 MILLS ST,Houston,Texas</v>
      </c>
      <c r="D261" s="6" t="s">
        <v>671</v>
      </c>
      <c r="E261" s="6" t="s">
        <v>25</v>
      </c>
      <c r="F261" s="6" t="s">
        <v>26</v>
      </c>
      <c r="G261" s="6" t="s">
        <v>43</v>
      </c>
      <c r="H261" s="6" t="s">
        <v>44</v>
      </c>
      <c r="I261" s="6" t="str">
        <f>VLOOKUP(H261,'Flow Location'!$A$1:$B$21,2,FALSE)</f>
        <v>Bayou/surface water/drainage ditch</v>
      </c>
      <c r="J261" s="5">
        <v>0.0</v>
      </c>
      <c r="K261" s="6" t="s">
        <v>51</v>
      </c>
      <c r="L261" s="6" t="str">
        <f>VLOOKUP(K261,'Structure type'!$A$1:$B$15,2,FALSE)</f>
        <v>Private Cleanout</v>
      </c>
      <c r="M261" s="6" t="s">
        <v>52</v>
      </c>
      <c r="N261" s="6" t="str">
        <f>VLOOKUP(M261,'Excursion Cause'!$A$1:$B$34,2,FALSE)</f>
        <v>Collection system structural blockage</v>
      </c>
      <c r="O261" s="7">
        <v>44358.0</v>
      </c>
      <c r="P261" s="6" t="s">
        <v>672</v>
      </c>
      <c r="Q261" s="7">
        <v>44358.0</v>
      </c>
      <c r="R261" s="6" t="s">
        <v>672</v>
      </c>
      <c r="S261" s="5">
        <v>0.0</v>
      </c>
      <c r="T261" s="6" t="s">
        <v>54</v>
      </c>
      <c r="U261" s="5">
        <v>2.0210611E7</v>
      </c>
      <c r="V261" s="5">
        <v>2.0210611E7</v>
      </c>
      <c r="W261" s="5">
        <v>29.777542516</v>
      </c>
      <c r="X261" s="5">
        <v>-95.343333983</v>
      </c>
    </row>
    <row r="262" ht="15.75" customHeight="1">
      <c r="A262" s="5">
        <v>11222.0</v>
      </c>
      <c r="B262" s="6">
        <v>2021.0</v>
      </c>
      <c r="C262" s="6" t="str">
        <f t="shared" si="1"/>
        <v>7117 LA PASEO ST,Houston,Texas</v>
      </c>
      <c r="D262" s="6" t="s">
        <v>673</v>
      </c>
      <c r="E262" s="6" t="s">
        <v>25</v>
      </c>
      <c r="F262" s="6" t="s">
        <v>26</v>
      </c>
      <c r="G262" s="6" t="s">
        <v>35</v>
      </c>
      <c r="H262" s="6" t="s">
        <v>28</v>
      </c>
      <c r="I262" s="6" t="str">
        <f>VLOOKUP(H262,'Flow Location'!$A$1:$B$21,2,FALSE)</f>
        <v>Storm Sewer (not contained)</v>
      </c>
      <c r="J262" s="5">
        <v>0.0</v>
      </c>
      <c r="K262" s="6" t="s">
        <v>51</v>
      </c>
      <c r="L262" s="6" t="str">
        <f>VLOOKUP(K262,'Structure type'!$A$1:$B$15,2,FALSE)</f>
        <v>Private Cleanout</v>
      </c>
      <c r="M262" s="6" t="s">
        <v>30</v>
      </c>
      <c r="N262" s="6" t="str">
        <f>VLOOKUP(M262,'Excursion Cause'!$A$1:$B$34,2,FALSE)</f>
        <v>Grease Blockage</v>
      </c>
      <c r="O262" s="7">
        <v>44358.0</v>
      </c>
      <c r="P262" s="6" t="s">
        <v>674</v>
      </c>
      <c r="Q262" s="7">
        <v>44358.0</v>
      </c>
      <c r="R262" s="6" t="s">
        <v>674</v>
      </c>
      <c r="S262" s="5">
        <v>0.0</v>
      </c>
      <c r="T262" s="6" t="s">
        <v>33</v>
      </c>
      <c r="U262" s="5">
        <v>2.0210611E7</v>
      </c>
      <c r="V262" s="5">
        <v>2.0210611E7</v>
      </c>
      <c r="W262" s="5">
        <v>29.678232134</v>
      </c>
      <c r="X262" s="5">
        <v>-95.302239272</v>
      </c>
    </row>
    <row r="263" ht="15.75" customHeight="1">
      <c r="A263" s="5">
        <v>11228.0</v>
      </c>
      <c r="B263" s="6">
        <v>2021.0</v>
      </c>
      <c r="C263" s="6" t="str">
        <f t="shared" si="1"/>
        <v>5050 SPRING FOREST DR,Houston,Texas</v>
      </c>
      <c r="D263" s="6" t="s">
        <v>675</v>
      </c>
      <c r="E263" s="6" t="s">
        <v>25</v>
      </c>
      <c r="F263" s="6" t="s">
        <v>26</v>
      </c>
      <c r="G263" s="6" t="s">
        <v>222</v>
      </c>
      <c r="H263" s="6" t="s">
        <v>50</v>
      </c>
      <c r="I263" s="6" t="str">
        <f>VLOOKUP(H263,'Flow Location'!$A$1:$B$21,2,FALSE)</f>
        <v>Contained On Site, not within 5 ft. of Bayou/Surface Water/Drainage Ditch</v>
      </c>
      <c r="J263" s="5">
        <v>2168.0</v>
      </c>
      <c r="K263" s="6" t="s">
        <v>29</v>
      </c>
      <c r="L263" s="6" t="str">
        <f>VLOOKUP(K263,'Structure type'!$A$1:$B$15,2,FALSE)</f>
        <v>Manhole</v>
      </c>
      <c r="M263" s="6" t="s">
        <v>52</v>
      </c>
      <c r="N263" s="6" t="str">
        <f>VLOOKUP(M263,'Excursion Cause'!$A$1:$B$34,2,FALSE)</f>
        <v>Collection system structural blockage</v>
      </c>
      <c r="O263" s="7">
        <v>44359.0</v>
      </c>
      <c r="P263" s="6" t="s">
        <v>617</v>
      </c>
      <c r="Q263" s="7">
        <v>44359.0</v>
      </c>
      <c r="R263" s="6" t="s">
        <v>676</v>
      </c>
      <c r="S263" s="5">
        <v>4.0</v>
      </c>
      <c r="T263" s="6" t="s">
        <v>377</v>
      </c>
      <c r="U263" s="5">
        <v>2.0210612E7</v>
      </c>
      <c r="V263" s="5">
        <v>2.0210612E7</v>
      </c>
      <c r="W263" s="5">
        <v>29.8455784660001</v>
      </c>
      <c r="X263" s="5">
        <v>-95.467732155</v>
      </c>
    </row>
    <row r="264" ht="15.75" customHeight="1">
      <c r="A264" s="5">
        <v>11230.0</v>
      </c>
      <c r="B264" s="6">
        <v>2021.0</v>
      </c>
      <c r="C264" s="6" t="str">
        <f t="shared" si="1"/>
        <v>13631 BROKEN BRIDGE DR,Houston,Texas</v>
      </c>
      <c r="D264" s="6" t="s">
        <v>677</v>
      </c>
      <c r="E264" s="6" t="s">
        <v>25</v>
      </c>
      <c r="F264" s="6" t="s">
        <v>26</v>
      </c>
      <c r="G264" s="6" t="s">
        <v>384</v>
      </c>
      <c r="H264" s="6" t="s">
        <v>50</v>
      </c>
      <c r="I264" s="6" t="str">
        <f>VLOOKUP(H264,'Flow Location'!$A$1:$B$21,2,FALSE)</f>
        <v>Contained On Site, not within 5 ft. of Bayou/Surface Water/Drainage Ditch</v>
      </c>
      <c r="J264" s="5">
        <v>148.0</v>
      </c>
      <c r="K264" s="6" t="s">
        <v>29</v>
      </c>
      <c r="L264" s="6" t="str">
        <f>VLOOKUP(K264,'Structure type'!$A$1:$B$15,2,FALSE)</f>
        <v>Manhole</v>
      </c>
      <c r="M264" s="6" t="s">
        <v>30</v>
      </c>
      <c r="N264" s="6" t="str">
        <f>VLOOKUP(M264,'Excursion Cause'!$A$1:$B$34,2,FALSE)</f>
        <v>Grease Blockage</v>
      </c>
      <c r="O264" s="7">
        <v>44359.0</v>
      </c>
      <c r="P264" s="6" t="s">
        <v>678</v>
      </c>
      <c r="Q264" s="7">
        <v>44359.0</v>
      </c>
      <c r="R264" s="6" t="s">
        <v>679</v>
      </c>
      <c r="S264" s="5">
        <v>1.0</v>
      </c>
      <c r="T264" s="6" t="s">
        <v>33</v>
      </c>
      <c r="U264" s="5">
        <v>2.0210612E7</v>
      </c>
      <c r="V264" s="5">
        <v>2.0210612E7</v>
      </c>
      <c r="W264" s="5">
        <v>29.628875507</v>
      </c>
      <c r="X264" s="5">
        <v>-95.487130059</v>
      </c>
    </row>
    <row r="265" ht="15.75" customHeight="1">
      <c r="A265" s="5">
        <v>11231.0</v>
      </c>
      <c r="B265" s="6">
        <v>2021.0</v>
      </c>
      <c r="C265" s="6" t="str">
        <f t="shared" si="1"/>
        <v>8311 FURLONG LN,Houston,Texas</v>
      </c>
      <c r="D265" s="6" t="s">
        <v>680</v>
      </c>
      <c r="E265" s="6" t="s">
        <v>25</v>
      </c>
      <c r="F265" s="6" t="s">
        <v>26</v>
      </c>
      <c r="G265" s="6" t="s">
        <v>148</v>
      </c>
      <c r="H265" s="6" t="s">
        <v>50</v>
      </c>
      <c r="I265" s="6" t="str">
        <f>VLOOKUP(H265,'Flow Location'!$A$1:$B$21,2,FALSE)</f>
        <v>Contained On Site, not within 5 ft. of Bayou/Surface Water/Drainage Ditch</v>
      </c>
      <c r="J265" s="5">
        <v>158.0</v>
      </c>
      <c r="K265" s="6" t="s">
        <v>29</v>
      </c>
      <c r="L265" s="6" t="str">
        <f>VLOOKUP(K265,'Structure type'!$A$1:$B$15,2,FALSE)</f>
        <v>Manhole</v>
      </c>
      <c r="M265" s="6" t="s">
        <v>30</v>
      </c>
      <c r="N265" s="6" t="str">
        <f>VLOOKUP(M265,'Excursion Cause'!$A$1:$B$34,2,FALSE)</f>
        <v>Grease Blockage</v>
      </c>
      <c r="O265" s="7">
        <v>44359.0</v>
      </c>
      <c r="P265" s="6" t="s">
        <v>254</v>
      </c>
      <c r="Q265" s="7">
        <v>44359.0</v>
      </c>
      <c r="R265" s="6" t="s">
        <v>681</v>
      </c>
      <c r="S265" s="5">
        <v>1.0</v>
      </c>
      <c r="T265" s="6" t="s">
        <v>59</v>
      </c>
      <c r="U265" s="5">
        <v>2.0210612E7</v>
      </c>
      <c r="V265" s="5">
        <v>2.0210612E7</v>
      </c>
      <c r="W265" s="5">
        <v>29.642812265</v>
      </c>
      <c r="X265" s="5">
        <v>-95.524338333</v>
      </c>
    </row>
    <row r="266" ht="15.75" customHeight="1">
      <c r="A266" s="5">
        <v>11235.0</v>
      </c>
      <c r="B266" s="6">
        <v>2021.0</v>
      </c>
      <c r="C266" s="6" t="str">
        <f t="shared" si="1"/>
        <v>3031 SUMPTER ST,Houston,Texas</v>
      </c>
      <c r="D266" s="6" t="s">
        <v>682</v>
      </c>
      <c r="E266" s="6" t="s">
        <v>25</v>
      </c>
      <c r="F266" s="6" t="s">
        <v>26</v>
      </c>
      <c r="G266" s="6" t="s">
        <v>43</v>
      </c>
      <c r="H266" s="6" t="s">
        <v>50</v>
      </c>
      <c r="I266" s="6" t="str">
        <f>VLOOKUP(H266,'Flow Location'!$A$1:$B$21,2,FALSE)</f>
        <v>Contained On Site, not within 5 ft. of Bayou/Surface Water/Drainage Ditch</v>
      </c>
      <c r="J266" s="5">
        <v>0.0</v>
      </c>
      <c r="K266" s="6" t="s">
        <v>29</v>
      </c>
      <c r="L266" s="6" t="str">
        <f>VLOOKUP(K266,'Structure type'!$A$1:$B$15,2,FALSE)</f>
        <v>Manhole</v>
      </c>
      <c r="M266" s="6" t="s">
        <v>30</v>
      </c>
      <c r="N266" s="6" t="str">
        <f>VLOOKUP(M266,'Excursion Cause'!$A$1:$B$34,2,FALSE)</f>
        <v>Grease Blockage</v>
      </c>
      <c r="O266" s="7">
        <v>44360.0</v>
      </c>
      <c r="P266" s="6" t="s">
        <v>637</v>
      </c>
      <c r="Q266" s="7">
        <v>44360.0</v>
      </c>
      <c r="R266" s="6" t="s">
        <v>637</v>
      </c>
      <c r="S266" s="5">
        <v>0.0</v>
      </c>
      <c r="T266" s="6" t="s">
        <v>33</v>
      </c>
      <c r="U266" s="5">
        <v>2.0210613E7</v>
      </c>
      <c r="V266" s="5">
        <v>2.0210613E7</v>
      </c>
      <c r="W266" s="5">
        <v>29.7797728140001</v>
      </c>
      <c r="X266" s="5">
        <v>-95.338766014</v>
      </c>
    </row>
    <row r="267" ht="15.75" customHeight="1">
      <c r="A267" s="5">
        <v>11236.0</v>
      </c>
      <c r="B267" s="6">
        <v>2021.0</v>
      </c>
      <c r="C267" s="6" t="str">
        <f t="shared" si="1"/>
        <v>4709 DOOLITTLE BLVD,Houston,Texas</v>
      </c>
      <c r="D267" s="6" t="s">
        <v>683</v>
      </c>
      <c r="E267" s="6" t="s">
        <v>25</v>
      </c>
      <c r="F267" s="6" t="s">
        <v>26</v>
      </c>
      <c r="G267" s="6" t="s">
        <v>120</v>
      </c>
      <c r="H267" s="6" t="s">
        <v>28</v>
      </c>
      <c r="I267" s="6" t="str">
        <f>VLOOKUP(H267,'Flow Location'!$A$1:$B$21,2,FALSE)</f>
        <v>Storm Sewer (not contained)</v>
      </c>
      <c r="J267" s="5">
        <v>194.0</v>
      </c>
      <c r="K267" s="6" t="s">
        <v>29</v>
      </c>
      <c r="L267" s="6" t="str">
        <f>VLOOKUP(K267,'Structure type'!$A$1:$B$15,2,FALSE)</f>
        <v>Manhole</v>
      </c>
      <c r="M267" s="6" t="s">
        <v>30</v>
      </c>
      <c r="N267" s="6" t="str">
        <f>VLOOKUP(M267,'Excursion Cause'!$A$1:$B$34,2,FALSE)</f>
        <v>Grease Blockage</v>
      </c>
      <c r="O267" s="7">
        <v>44361.0</v>
      </c>
      <c r="P267" s="6" t="s">
        <v>684</v>
      </c>
      <c r="Q267" s="7">
        <v>44361.0</v>
      </c>
      <c r="R267" s="6" t="s">
        <v>428</v>
      </c>
      <c r="S267" s="5">
        <v>1.0</v>
      </c>
      <c r="T267" s="6" t="s">
        <v>59</v>
      </c>
      <c r="U267" s="5">
        <v>2.0210614E7</v>
      </c>
      <c r="V267" s="5">
        <v>2.0210614E7</v>
      </c>
      <c r="W267" s="5">
        <v>29.681679569</v>
      </c>
      <c r="X267" s="5">
        <v>-95.351026056</v>
      </c>
    </row>
    <row r="268" ht="15.75" customHeight="1">
      <c r="A268" s="5">
        <v>11241.0</v>
      </c>
      <c r="B268" s="6">
        <v>2021.0</v>
      </c>
      <c r="C268" s="6" t="str">
        <f t="shared" si="1"/>
        <v>7220 ANTOINE DR,Houston,Texas</v>
      </c>
      <c r="D268" s="6" t="s">
        <v>685</v>
      </c>
      <c r="E268" s="6" t="s">
        <v>25</v>
      </c>
      <c r="F268" s="6" t="s">
        <v>26</v>
      </c>
      <c r="G268" s="6" t="s">
        <v>502</v>
      </c>
      <c r="H268" s="6" t="s">
        <v>87</v>
      </c>
      <c r="I268" s="6" t="str">
        <f>VLOOKUP(H268,'Flow Location'!$A$1:$B$21,2,FALSE)</f>
        <v>Within 5 ft. of Bayou/Surface Water/Drainage Ditch</v>
      </c>
      <c r="J268" s="5">
        <v>0.0</v>
      </c>
      <c r="K268" s="6" t="s">
        <v>190</v>
      </c>
      <c r="L268" s="6" t="str">
        <f>VLOOKUP(K268,'Structure type'!$A$1:$B$15,2,FALSE)</f>
        <v>Force Main</v>
      </c>
      <c r="M268" s="6" t="s">
        <v>81</v>
      </c>
      <c r="N268" s="6" t="str">
        <f>VLOOKUP(M268,'Excursion Cause'!$A$1:$B$34,2,FALSE)</f>
        <v>Collection system structural failure</v>
      </c>
      <c r="O268" s="7">
        <v>44358.0</v>
      </c>
      <c r="P268" s="6" t="s">
        <v>686</v>
      </c>
      <c r="Q268" s="7">
        <v>44358.0</v>
      </c>
      <c r="R268" s="6" t="s">
        <v>686</v>
      </c>
      <c r="S268" s="5">
        <v>0.0</v>
      </c>
      <c r="T268" s="6" t="s">
        <v>687</v>
      </c>
      <c r="U268" s="5">
        <v>2.0210611E7</v>
      </c>
      <c r="V268" s="5">
        <v>2.0210611E7</v>
      </c>
      <c r="W268" s="5">
        <v>29.8658649340001</v>
      </c>
      <c r="X268" s="5">
        <v>-95.472780911</v>
      </c>
    </row>
    <row r="269" ht="15.75" customHeight="1">
      <c r="A269" s="5">
        <v>11249.0</v>
      </c>
      <c r="B269" s="6">
        <v>2021.0</v>
      </c>
      <c r="C269" s="6" t="str">
        <f t="shared" si="1"/>
        <v>823 BRIAR RIDGE DR,Houston,Texas</v>
      </c>
      <c r="D269" s="6" t="s">
        <v>688</v>
      </c>
      <c r="E269" s="6" t="s">
        <v>25</v>
      </c>
      <c r="F269" s="6" t="s">
        <v>26</v>
      </c>
      <c r="G269" s="6" t="s">
        <v>689</v>
      </c>
      <c r="H269" s="6" t="s">
        <v>50</v>
      </c>
      <c r="I269" s="6" t="str">
        <f>VLOOKUP(H269,'Flow Location'!$A$1:$B$21,2,FALSE)</f>
        <v>Contained On Site, not within 5 ft. of Bayou/Surface Water/Drainage Ditch</v>
      </c>
      <c r="J269" s="5">
        <v>158.0</v>
      </c>
      <c r="K269" s="6" t="s">
        <v>29</v>
      </c>
      <c r="L269" s="6" t="str">
        <f>VLOOKUP(K269,'Structure type'!$A$1:$B$15,2,FALSE)</f>
        <v>Manhole</v>
      </c>
      <c r="M269" s="6" t="s">
        <v>30</v>
      </c>
      <c r="N269" s="6" t="str">
        <f>VLOOKUP(M269,'Excursion Cause'!$A$1:$B$34,2,FALSE)</f>
        <v>Grease Blockage</v>
      </c>
      <c r="O269" s="7">
        <v>44362.0</v>
      </c>
      <c r="P269" s="6" t="s">
        <v>690</v>
      </c>
      <c r="Q269" s="7">
        <v>44362.0</v>
      </c>
      <c r="R269" s="6" t="s">
        <v>125</v>
      </c>
      <c r="S269" s="5">
        <v>1.0</v>
      </c>
      <c r="T269" s="6" t="s">
        <v>33</v>
      </c>
      <c r="U269" s="5">
        <v>2.0210615E7</v>
      </c>
      <c r="V269" s="5">
        <v>2.0210615E7</v>
      </c>
      <c r="W269" s="5">
        <v>29.7598270280001</v>
      </c>
      <c r="X269" s="5">
        <v>-95.493446158</v>
      </c>
    </row>
    <row r="270" ht="15.75" customHeight="1">
      <c r="A270" s="5">
        <v>11251.0</v>
      </c>
      <c r="B270" s="6">
        <v>2021.0</v>
      </c>
      <c r="C270" s="6" t="str">
        <f t="shared" si="1"/>
        <v>6203 KIRKWOOD ST,Houston,Texas</v>
      </c>
      <c r="D270" s="6" t="s">
        <v>691</v>
      </c>
      <c r="E270" s="6" t="s">
        <v>25</v>
      </c>
      <c r="F270" s="6" t="s">
        <v>26</v>
      </c>
      <c r="G270" s="6" t="s">
        <v>653</v>
      </c>
      <c r="H270" s="6" t="s">
        <v>50</v>
      </c>
      <c r="I270" s="6" t="str">
        <f>VLOOKUP(H270,'Flow Location'!$A$1:$B$21,2,FALSE)</f>
        <v>Contained On Site, not within 5 ft. of Bayou/Surface Water/Drainage Ditch</v>
      </c>
      <c r="J270" s="5">
        <v>0.0</v>
      </c>
      <c r="K270" s="6" t="s">
        <v>45</v>
      </c>
      <c r="L270" s="6" t="str">
        <f>VLOOKUP(K270,'Structure type'!$A$1:$B$15,2,FALSE)</f>
        <v>City Cleanout</v>
      </c>
      <c r="M270" s="6" t="s">
        <v>56</v>
      </c>
      <c r="N270" s="6" t="str">
        <f>VLOOKUP(M270,'Excursion Cause'!$A$1:$B$34,2,FALSE)</f>
        <v>Rags/Wipes</v>
      </c>
      <c r="O270" s="7">
        <v>44362.0</v>
      </c>
      <c r="P270" s="6" t="s">
        <v>284</v>
      </c>
      <c r="Q270" s="7">
        <v>44362.0</v>
      </c>
      <c r="R270" s="6" t="s">
        <v>284</v>
      </c>
      <c r="S270" s="5">
        <v>0.0</v>
      </c>
      <c r="T270" s="6" t="s">
        <v>270</v>
      </c>
      <c r="U270" s="5">
        <v>2.0210615E7</v>
      </c>
      <c r="V270" s="5">
        <v>2.0210615E7</v>
      </c>
      <c r="W270" s="5">
        <v>29.8149872010001</v>
      </c>
      <c r="X270" s="5">
        <v>-95.373011285</v>
      </c>
    </row>
    <row r="271" ht="15.75" customHeight="1">
      <c r="A271" s="5">
        <v>11255.0</v>
      </c>
      <c r="B271" s="6">
        <v>2021.0</v>
      </c>
      <c r="C271" s="6" t="str">
        <f t="shared" si="1"/>
        <v>7826 PEREIDA ST,Houston,Texas</v>
      </c>
      <c r="D271" s="6" t="s">
        <v>692</v>
      </c>
      <c r="E271" s="6" t="s">
        <v>25</v>
      </c>
      <c r="F271" s="6" t="s">
        <v>26</v>
      </c>
      <c r="G271" s="6" t="s">
        <v>177</v>
      </c>
      <c r="H271" s="6" t="s">
        <v>50</v>
      </c>
      <c r="I271" s="6" t="str">
        <f>VLOOKUP(H271,'Flow Location'!$A$1:$B$21,2,FALSE)</f>
        <v>Contained On Site, not within 5 ft. of Bayou/Surface Water/Drainage Ditch</v>
      </c>
      <c r="J271" s="5">
        <v>0.0</v>
      </c>
      <c r="K271" s="6" t="s">
        <v>45</v>
      </c>
      <c r="L271" s="6" t="str">
        <f>VLOOKUP(K271,'Structure type'!$A$1:$B$15,2,FALSE)</f>
        <v>City Cleanout</v>
      </c>
      <c r="M271" s="6" t="s">
        <v>56</v>
      </c>
      <c r="N271" s="6" t="str">
        <f>VLOOKUP(M271,'Excursion Cause'!$A$1:$B$34,2,FALSE)</f>
        <v>Rags/Wipes</v>
      </c>
      <c r="O271" s="7">
        <v>44362.0</v>
      </c>
      <c r="P271" s="6" t="s">
        <v>521</v>
      </c>
      <c r="Q271" s="7">
        <v>44362.0</v>
      </c>
      <c r="R271" s="6" t="s">
        <v>521</v>
      </c>
      <c r="S271" s="5">
        <v>0.0</v>
      </c>
      <c r="T271" s="6" t="s">
        <v>270</v>
      </c>
      <c r="U271" s="5">
        <v>2.0210615E7</v>
      </c>
      <c r="V271" s="5">
        <v>2.0210615E7</v>
      </c>
      <c r="W271" s="5">
        <v>29.849262061</v>
      </c>
      <c r="X271" s="5">
        <v>-95.285929095</v>
      </c>
    </row>
    <row r="272" ht="15.75" customHeight="1">
      <c r="A272" s="5">
        <v>11261.0</v>
      </c>
      <c r="B272" s="6">
        <v>2021.0</v>
      </c>
      <c r="C272" s="6" t="str">
        <f t="shared" si="1"/>
        <v>931 JUDIWAY ST,Houston,Texas</v>
      </c>
      <c r="D272" s="6" t="s">
        <v>693</v>
      </c>
      <c r="E272" s="6" t="s">
        <v>25</v>
      </c>
      <c r="F272" s="6" t="s">
        <v>26</v>
      </c>
      <c r="G272" s="6" t="s">
        <v>218</v>
      </c>
      <c r="H272" s="6" t="s">
        <v>44</v>
      </c>
      <c r="I272" s="6" t="str">
        <f>VLOOKUP(H272,'Flow Location'!$A$1:$B$21,2,FALSE)</f>
        <v>Bayou/surface water/drainage ditch</v>
      </c>
      <c r="J272" s="5">
        <v>0.0</v>
      </c>
      <c r="K272" s="6" t="s">
        <v>29</v>
      </c>
      <c r="L272" s="6" t="str">
        <f>VLOOKUP(K272,'Structure type'!$A$1:$B$15,2,FALSE)</f>
        <v>Manhole</v>
      </c>
      <c r="M272" s="6" t="s">
        <v>30</v>
      </c>
      <c r="N272" s="6" t="str">
        <f>VLOOKUP(M272,'Excursion Cause'!$A$1:$B$34,2,FALSE)</f>
        <v>Grease Blockage</v>
      </c>
      <c r="O272" s="7">
        <v>44362.0</v>
      </c>
      <c r="P272" s="6" t="s">
        <v>694</v>
      </c>
      <c r="Q272" s="7">
        <v>44362.0</v>
      </c>
      <c r="R272" s="6" t="s">
        <v>694</v>
      </c>
      <c r="S272" s="5">
        <v>0.0</v>
      </c>
      <c r="T272" s="6" t="s">
        <v>59</v>
      </c>
      <c r="U272" s="5">
        <v>2.0210615E7</v>
      </c>
      <c r="V272" s="5">
        <v>2.0210615E7</v>
      </c>
      <c r="W272" s="5">
        <v>29.820765685</v>
      </c>
      <c r="X272" s="5">
        <v>-95.4221853129999</v>
      </c>
    </row>
    <row r="273" ht="15.75" customHeight="1">
      <c r="A273" s="5">
        <v>11264.0</v>
      </c>
      <c r="B273" s="6">
        <v>2021.0</v>
      </c>
      <c r="C273" s="6" t="str">
        <f t="shared" si="1"/>
        <v>3130 MANGUM RD,Houston,Texas</v>
      </c>
      <c r="D273" s="6" t="s">
        <v>182</v>
      </c>
      <c r="E273" s="6" t="s">
        <v>25</v>
      </c>
      <c r="F273" s="6" t="s">
        <v>26</v>
      </c>
      <c r="G273" s="6" t="s">
        <v>76</v>
      </c>
      <c r="H273" s="6" t="s">
        <v>28</v>
      </c>
      <c r="I273" s="6" t="str">
        <f>VLOOKUP(H273,'Flow Location'!$A$1:$B$21,2,FALSE)</f>
        <v>Storm Sewer (not contained)</v>
      </c>
      <c r="J273" s="5">
        <v>1338.0</v>
      </c>
      <c r="K273" s="6" t="s">
        <v>45</v>
      </c>
      <c r="L273" s="6" t="str">
        <f>VLOOKUP(K273,'Structure type'!$A$1:$B$15,2,FALSE)</f>
        <v>City Cleanout</v>
      </c>
      <c r="M273" s="6" t="s">
        <v>30</v>
      </c>
      <c r="N273" s="6" t="str">
        <f>VLOOKUP(M273,'Excursion Cause'!$A$1:$B$34,2,FALSE)</f>
        <v>Grease Blockage</v>
      </c>
      <c r="O273" s="7">
        <v>44363.0</v>
      </c>
      <c r="P273" s="6" t="s">
        <v>77</v>
      </c>
      <c r="Q273" s="7">
        <v>44364.0</v>
      </c>
      <c r="R273" s="6" t="s">
        <v>515</v>
      </c>
      <c r="S273" s="5">
        <v>1.0</v>
      </c>
      <c r="T273" s="6" t="s">
        <v>170</v>
      </c>
      <c r="U273" s="5">
        <v>2.0210616E7</v>
      </c>
      <c r="V273" s="5">
        <v>2.0210617E7</v>
      </c>
      <c r="W273" s="5">
        <v>29.81683101</v>
      </c>
      <c r="X273" s="5">
        <v>-95.4592479089999</v>
      </c>
    </row>
    <row r="274" ht="15.75" customHeight="1">
      <c r="A274" s="5">
        <v>11268.0</v>
      </c>
      <c r="B274" s="6">
        <v>2021.0</v>
      </c>
      <c r="C274" s="6" t="str">
        <f t="shared" si="1"/>
        <v>5013 TALINA WAY,Houston,Texas</v>
      </c>
      <c r="D274" s="6" t="s">
        <v>695</v>
      </c>
      <c r="E274" s="6" t="s">
        <v>25</v>
      </c>
      <c r="F274" s="6" t="s">
        <v>26</v>
      </c>
      <c r="G274" s="6" t="s">
        <v>344</v>
      </c>
      <c r="H274" s="6" t="s">
        <v>44</v>
      </c>
      <c r="I274" s="6" t="str">
        <f>VLOOKUP(H274,'Flow Location'!$A$1:$B$21,2,FALSE)</f>
        <v>Bayou/surface water/drainage ditch</v>
      </c>
      <c r="J274" s="5">
        <v>0.0</v>
      </c>
      <c r="K274" s="6" t="s">
        <v>29</v>
      </c>
      <c r="L274" s="6" t="str">
        <f>VLOOKUP(K274,'Structure type'!$A$1:$B$15,2,FALSE)</f>
        <v>Manhole</v>
      </c>
      <c r="M274" s="6" t="s">
        <v>30</v>
      </c>
      <c r="N274" s="6" t="str">
        <f>VLOOKUP(M274,'Excursion Cause'!$A$1:$B$34,2,FALSE)</f>
        <v>Grease Blockage</v>
      </c>
      <c r="O274" s="7">
        <v>44364.0</v>
      </c>
      <c r="P274" s="6" t="s">
        <v>128</v>
      </c>
      <c r="Q274" s="7">
        <v>44364.0</v>
      </c>
      <c r="R274" s="6" t="s">
        <v>128</v>
      </c>
      <c r="S274" s="5">
        <v>0.0</v>
      </c>
      <c r="T274" s="6" t="s">
        <v>33</v>
      </c>
      <c r="U274" s="5">
        <v>2.0210617E7</v>
      </c>
      <c r="V274" s="5">
        <v>2.0210617E7</v>
      </c>
      <c r="W274" s="5">
        <v>29.843573011</v>
      </c>
      <c r="X274" s="5">
        <v>-95.543987525</v>
      </c>
    </row>
    <row r="275" ht="15.75" customHeight="1">
      <c r="A275" s="5">
        <v>11272.0</v>
      </c>
      <c r="B275" s="6">
        <v>2021.0</v>
      </c>
      <c r="C275" s="6" t="str">
        <f t="shared" si="1"/>
        <v>6206 LONESOME BAYOU LN,Houston,Texas</v>
      </c>
      <c r="D275" s="6" t="s">
        <v>696</v>
      </c>
      <c r="E275" s="6" t="s">
        <v>25</v>
      </c>
      <c r="F275" s="6" t="s">
        <v>26</v>
      </c>
      <c r="G275" s="6" t="s">
        <v>502</v>
      </c>
      <c r="H275" s="6" t="s">
        <v>50</v>
      </c>
      <c r="I275" s="6" t="str">
        <f>VLOOKUP(H275,'Flow Location'!$A$1:$B$21,2,FALSE)</f>
        <v>Contained On Site, not within 5 ft. of Bayou/Surface Water/Drainage Ditch</v>
      </c>
      <c r="J275" s="5">
        <v>3244.0</v>
      </c>
      <c r="K275" s="6" t="s">
        <v>290</v>
      </c>
      <c r="L275" s="6" t="str">
        <f>VLOOKUP(K275,'Structure type'!$A$1:$B$15,2,FALSE)</f>
        <v>Gravity Main</v>
      </c>
      <c r="M275" s="6" t="s">
        <v>81</v>
      </c>
      <c r="N275" s="6" t="str">
        <f>VLOOKUP(M275,'Excursion Cause'!$A$1:$B$34,2,FALSE)</f>
        <v>Collection system structural failure</v>
      </c>
      <c r="O275" s="7">
        <v>44364.0</v>
      </c>
      <c r="P275" s="6" t="s">
        <v>155</v>
      </c>
      <c r="Q275" s="7">
        <v>44365.0</v>
      </c>
      <c r="R275" s="6" t="s">
        <v>697</v>
      </c>
      <c r="S275" s="5">
        <v>2.0</v>
      </c>
      <c r="T275" s="6" t="s">
        <v>107</v>
      </c>
      <c r="U275" s="5">
        <v>2.0210617E7</v>
      </c>
      <c r="V275" s="5">
        <v>2.0210618E7</v>
      </c>
      <c r="W275" s="5">
        <v>29.871653141</v>
      </c>
      <c r="X275" s="5">
        <v>-95.483206238</v>
      </c>
    </row>
    <row r="276" ht="15.75" customHeight="1">
      <c r="A276" s="5">
        <v>11277.0</v>
      </c>
      <c r="B276" s="6">
        <v>2021.0</v>
      </c>
      <c r="C276" s="6" t="str">
        <f t="shared" si="1"/>
        <v>1229 WISTERWOOD DR,Houston,Texas</v>
      </c>
      <c r="D276" s="6" t="s">
        <v>698</v>
      </c>
      <c r="E276" s="6" t="s">
        <v>25</v>
      </c>
      <c r="F276" s="6" t="s">
        <v>26</v>
      </c>
      <c r="G276" s="6" t="s">
        <v>699</v>
      </c>
      <c r="H276" s="6" t="s">
        <v>50</v>
      </c>
      <c r="I276" s="6" t="str">
        <f>VLOOKUP(H276,'Flow Location'!$A$1:$B$21,2,FALSE)</f>
        <v>Contained On Site, not within 5 ft. of Bayou/Surface Water/Drainage Ditch</v>
      </c>
      <c r="J276" s="5">
        <v>180.0</v>
      </c>
      <c r="K276" s="6" t="s">
        <v>29</v>
      </c>
      <c r="L276" s="6" t="str">
        <f>VLOOKUP(K276,'Structure type'!$A$1:$B$15,2,FALSE)</f>
        <v>Manhole</v>
      </c>
      <c r="M276" s="6" t="s">
        <v>30</v>
      </c>
      <c r="N276" s="6" t="str">
        <f>VLOOKUP(M276,'Excursion Cause'!$A$1:$B$34,2,FALSE)</f>
        <v>Grease Blockage</v>
      </c>
      <c r="O276" s="7">
        <v>44365.0</v>
      </c>
      <c r="P276" s="6" t="s">
        <v>152</v>
      </c>
      <c r="Q276" s="7">
        <v>44365.0</v>
      </c>
      <c r="R276" s="6" t="s">
        <v>315</v>
      </c>
      <c r="S276" s="5">
        <v>1.0</v>
      </c>
      <c r="T276" s="6" t="s">
        <v>33</v>
      </c>
      <c r="U276" s="5">
        <v>2.0210618E7</v>
      </c>
      <c r="V276" s="5">
        <v>2.0210618E7</v>
      </c>
      <c r="W276" s="5">
        <v>29.792433972</v>
      </c>
      <c r="X276" s="5">
        <v>-95.5523664949999</v>
      </c>
    </row>
    <row r="277" ht="15.75" customHeight="1">
      <c r="A277" s="5">
        <v>11278.0</v>
      </c>
      <c r="B277" s="6">
        <v>2021.0</v>
      </c>
      <c r="C277" s="6" t="str">
        <f t="shared" si="1"/>
        <v>14839 ESTRELLITA DR,Houston,Texas</v>
      </c>
      <c r="D277" s="6" t="s">
        <v>700</v>
      </c>
      <c r="E277" s="6" t="s">
        <v>25</v>
      </c>
      <c r="F277" s="6" t="s">
        <v>26</v>
      </c>
      <c r="G277" s="6" t="s">
        <v>393</v>
      </c>
      <c r="H277" s="6" t="s">
        <v>50</v>
      </c>
      <c r="I277" s="6" t="str">
        <f>VLOOKUP(H277,'Flow Location'!$A$1:$B$21,2,FALSE)</f>
        <v>Contained On Site, not within 5 ft. of Bayou/Surface Water/Drainage Ditch</v>
      </c>
      <c r="J277" s="5">
        <v>0.0</v>
      </c>
      <c r="K277" s="6" t="s">
        <v>29</v>
      </c>
      <c r="L277" s="6" t="str">
        <f>VLOOKUP(K277,'Structure type'!$A$1:$B$15,2,FALSE)</f>
        <v>Manhole</v>
      </c>
      <c r="M277" s="6" t="s">
        <v>56</v>
      </c>
      <c r="N277" s="6" t="str">
        <f>VLOOKUP(M277,'Excursion Cause'!$A$1:$B$34,2,FALSE)</f>
        <v>Rags/Wipes</v>
      </c>
      <c r="O277" s="7">
        <v>44365.0</v>
      </c>
      <c r="P277" s="6" t="s">
        <v>686</v>
      </c>
      <c r="Q277" s="7">
        <v>44365.0</v>
      </c>
      <c r="R277" s="6" t="s">
        <v>686</v>
      </c>
      <c r="S277" s="5">
        <v>0.0</v>
      </c>
      <c r="T277" s="6" t="s">
        <v>33</v>
      </c>
      <c r="U277" s="5">
        <v>2.0210618E7</v>
      </c>
      <c r="V277" s="5">
        <v>2.0210618E7</v>
      </c>
      <c r="W277" s="5">
        <v>29.917383757</v>
      </c>
      <c r="X277" s="5">
        <v>-95.3935294299999</v>
      </c>
    </row>
    <row r="278" ht="15.75" customHeight="1">
      <c r="A278" s="5">
        <v>11280.0</v>
      </c>
      <c r="B278" s="6">
        <v>2021.0</v>
      </c>
      <c r="C278" s="6" t="str">
        <f t="shared" si="1"/>
        <v>5922 DARNELL ST,Houston,Texas</v>
      </c>
      <c r="D278" s="6" t="s">
        <v>701</v>
      </c>
      <c r="E278" s="6" t="s">
        <v>25</v>
      </c>
      <c r="F278" s="6" t="s">
        <v>26</v>
      </c>
      <c r="G278" s="6" t="s">
        <v>471</v>
      </c>
      <c r="H278" s="6" t="s">
        <v>50</v>
      </c>
      <c r="I278" s="6" t="str">
        <f>VLOOKUP(H278,'Flow Location'!$A$1:$B$21,2,FALSE)</f>
        <v>Contained On Site, not within 5 ft. of Bayou/Surface Water/Drainage Ditch</v>
      </c>
      <c r="J278" s="5">
        <v>0.0</v>
      </c>
      <c r="K278" s="6" t="s">
        <v>45</v>
      </c>
      <c r="L278" s="6" t="str">
        <f>VLOOKUP(K278,'Structure type'!$A$1:$B$15,2,FALSE)</f>
        <v>City Cleanout</v>
      </c>
      <c r="M278" s="6" t="s">
        <v>56</v>
      </c>
      <c r="N278" s="6" t="str">
        <f>VLOOKUP(M278,'Excursion Cause'!$A$1:$B$34,2,FALSE)</f>
        <v>Rags/Wipes</v>
      </c>
      <c r="O278" s="7">
        <v>44366.0</v>
      </c>
      <c r="P278" s="6" t="s">
        <v>702</v>
      </c>
      <c r="Q278" s="7">
        <v>44366.0</v>
      </c>
      <c r="R278" s="6" t="s">
        <v>702</v>
      </c>
      <c r="S278" s="5">
        <v>0.0</v>
      </c>
      <c r="T278" s="6" t="s">
        <v>170</v>
      </c>
      <c r="U278" s="5">
        <v>2.0210619E7</v>
      </c>
      <c r="V278" s="5">
        <v>2.0210619E7</v>
      </c>
      <c r="W278" s="5">
        <v>29.6867945000001</v>
      </c>
      <c r="X278" s="5">
        <v>-95.496882235</v>
      </c>
    </row>
    <row r="279" ht="15.75" customHeight="1">
      <c r="A279" s="5">
        <v>11283.0</v>
      </c>
      <c r="B279" s="6">
        <v>2021.0</v>
      </c>
      <c r="C279" s="6" t="str">
        <f t="shared" si="1"/>
        <v>4632 IRVINGTON BLVD,Houston,Texas</v>
      </c>
      <c r="D279" s="6" t="s">
        <v>703</v>
      </c>
      <c r="E279" s="6" t="s">
        <v>25</v>
      </c>
      <c r="F279" s="6" t="s">
        <v>26</v>
      </c>
      <c r="G279" s="6" t="s">
        <v>161</v>
      </c>
      <c r="H279" s="6" t="s">
        <v>50</v>
      </c>
      <c r="I279" s="6" t="str">
        <f>VLOOKUP(H279,'Flow Location'!$A$1:$B$21,2,FALSE)</f>
        <v>Contained On Site, not within 5 ft. of Bayou/Surface Water/Drainage Ditch</v>
      </c>
      <c r="J279" s="5">
        <v>585.0</v>
      </c>
      <c r="K279" s="6" t="s">
        <v>29</v>
      </c>
      <c r="L279" s="6" t="str">
        <f>VLOOKUP(K279,'Structure type'!$A$1:$B$15,2,FALSE)</f>
        <v>Manhole</v>
      </c>
      <c r="M279" s="6" t="s">
        <v>30</v>
      </c>
      <c r="N279" s="6" t="str">
        <f>VLOOKUP(M279,'Excursion Cause'!$A$1:$B$34,2,FALSE)</f>
        <v>Grease Blockage</v>
      </c>
      <c r="O279" s="7">
        <v>44366.0</v>
      </c>
      <c r="P279" s="6" t="s">
        <v>291</v>
      </c>
      <c r="Q279" s="7">
        <v>44366.0</v>
      </c>
      <c r="R279" s="6" t="s">
        <v>704</v>
      </c>
      <c r="S279" s="5">
        <v>4.0</v>
      </c>
      <c r="T279" s="6" t="s">
        <v>59</v>
      </c>
      <c r="U279" s="5">
        <v>2.0210619E7</v>
      </c>
      <c r="V279" s="5">
        <v>2.0210619E7</v>
      </c>
      <c r="W279" s="5">
        <v>29.8028542710001</v>
      </c>
      <c r="X279" s="5">
        <v>-95.360941596</v>
      </c>
    </row>
    <row r="280" ht="15.75" customHeight="1">
      <c r="A280" s="5">
        <v>11285.0</v>
      </c>
      <c r="B280" s="6">
        <v>2021.0</v>
      </c>
      <c r="C280" s="6" t="str">
        <f t="shared" si="1"/>
        <v>1701 SPRING ST,Houston,Texas</v>
      </c>
      <c r="D280" s="6" t="s">
        <v>705</v>
      </c>
      <c r="E280" s="6" t="s">
        <v>25</v>
      </c>
      <c r="F280" s="6" t="s">
        <v>26</v>
      </c>
      <c r="G280" s="6" t="s">
        <v>158</v>
      </c>
      <c r="H280" s="6" t="s">
        <v>44</v>
      </c>
      <c r="I280" s="6" t="str">
        <f>VLOOKUP(H280,'Flow Location'!$A$1:$B$21,2,FALSE)</f>
        <v>Bayou/surface water/drainage ditch</v>
      </c>
      <c r="J280" s="5">
        <v>0.0</v>
      </c>
      <c r="K280" s="6" t="s">
        <v>198</v>
      </c>
      <c r="L280" s="6" t="str">
        <f>VLOOKUP(K280,'Structure type'!$A$1:$B$15,2,FALSE)</f>
        <v>Service Lateral</v>
      </c>
      <c r="M280" s="6" t="s">
        <v>81</v>
      </c>
      <c r="N280" s="6" t="str">
        <f>VLOOKUP(M280,'Excursion Cause'!$A$1:$B$34,2,FALSE)</f>
        <v>Collection system structural failure</v>
      </c>
      <c r="O280" s="7">
        <v>44367.0</v>
      </c>
      <c r="P280" s="6" t="s">
        <v>706</v>
      </c>
      <c r="Q280" s="7">
        <v>44367.0</v>
      </c>
      <c r="R280" s="6" t="s">
        <v>706</v>
      </c>
      <c r="S280" s="5">
        <v>0.0</v>
      </c>
      <c r="T280" s="6" t="s">
        <v>118</v>
      </c>
      <c r="U280" s="5">
        <v>2.021062E7</v>
      </c>
      <c r="V280" s="5">
        <v>2.021062E7</v>
      </c>
      <c r="W280" s="5">
        <v>29.775139047</v>
      </c>
      <c r="X280" s="5">
        <v>-95.374960329</v>
      </c>
    </row>
    <row r="281" ht="15.75" customHeight="1">
      <c r="A281" s="5">
        <v>11288.0</v>
      </c>
      <c r="B281" s="6">
        <v>2021.0</v>
      </c>
      <c r="C281" s="6" t="str">
        <f t="shared" si="1"/>
        <v>6160 GLENMONT DR,Houston,Texas</v>
      </c>
      <c r="D281" s="6" t="s">
        <v>707</v>
      </c>
      <c r="E281" s="6" t="s">
        <v>25</v>
      </c>
      <c r="F281" s="6" t="s">
        <v>26</v>
      </c>
      <c r="G281" s="6" t="s">
        <v>287</v>
      </c>
      <c r="H281" s="6" t="s">
        <v>28</v>
      </c>
      <c r="I281" s="6" t="str">
        <f>VLOOKUP(H281,'Flow Location'!$A$1:$B$21,2,FALSE)</f>
        <v>Storm Sewer (not contained)</v>
      </c>
      <c r="J281" s="5">
        <v>512.0</v>
      </c>
      <c r="K281" s="6" t="s">
        <v>29</v>
      </c>
      <c r="L281" s="6" t="str">
        <f>VLOOKUP(K281,'Structure type'!$A$1:$B$15,2,FALSE)</f>
        <v>Manhole</v>
      </c>
      <c r="M281" s="6" t="s">
        <v>30</v>
      </c>
      <c r="N281" s="6" t="str">
        <f>VLOOKUP(M281,'Excursion Cause'!$A$1:$B$34,2,FALSE)</f>
        <v>Grease Blockage</v>
      </c>
      <c r="O281" s="7">
        <v>44368.0</v>
      </c>
      <c r="P281" s="6" t="s">
        <v>564</v>
      </c>
      <c r="Q281" s="7">
        <v>44368.0</v>
      </c>
      <c r="R281" s="6" t="s">
        <v>192</v>
      </c>
      <c r="S281" s="5">
        <v>4.0</v>
      </c>
      <c r="T281" s="6" t="s">
        <v>33</v>
      </c>
      <c r="U281" s="5">
        <v>2.0210621E7</v>
      </c>
      <c r="V281" s="5">
        <v>2.0210621E7</v>
      </c>
      <c r="W281" s="5">
        <v>29.7200190230001</v>
      </c>
      <c r="X281" s="5">
        <v>-95.491096794</v>
      </c>
    </row>
    <row r="282" ht="15.75" customHeight="1">
      <c r="A282" s="5">
        <v>11289.0</v>
      </c>
      <c r="B282" s="6">
        <v>2021.0</v>
      </c>
      <c r="C282" s="6" t="str">
        <f t="shared" si="1"/>
        <v>6202 LONESOME BAYOU LN,Houston,Texas</v>
      </c>
      <c r="D282" s="6" t="s">
        <v>708</v>
      </c>
      <c r="E282" s="6" t="s">
        <v>25</v>
      </c>
      <c r="F282" s="6" t="s">
        <v>26</v>
      </c>
      <c r="G282" s="6" t="s">
        <v>502</v>
      </c>
      <c r="H282" s="6" t="s">
        <v>50</v>
      </c>
      <c r="I282" s="6" t="str">
        <f>VLOOKUP(H282,'Flow Location'!$A$1:$B$21,2,FALSE)</f>
        <v>Contained On Site, not within 5 ft. of Bayou/Surface Water/Drainage Ditch</v>
      </c>
      <c r="J282" s="5">
        <v>2942.0</v>
      </c>
      <c r="K282" s="6" t="s">
        <v>29</v>
      </c>
      <c r="L282" s="6" t="str">
        <f>VLOOKUP(K282,'Structure type'!$A$1:$B$15,2,FALSE)</f>
        <v>Manhole</v>
      </c>
      <c r="M282" s="6" t="s">
        <v>52</v>
      </c>
      <c r="N282" s="6" t="str">
        <f>VLOOKUP(M282,'Excursion Cause'!$A$1:$B$34,2,FALSE)</f>
        <v>Collection system structural blockage</v>
      </c>
      <c r="O282" s="7">
        <v>44368.0</v>
      </c>
      <c r="P282" s="6" t="s">
        <v>492</v>
      </c>
      <c r="Q282" s="7">
        <v>44369.0</v>
      </c>
      <c r="R282" s="6" t="s">
        <v>522</v>
      </c>
      <c r="S282" s="5">
        <v>2.0</v>
      </c>
      <c r="T282" s="6" t="s">
        <v>107</v>
      </c>
      <c r="U282" s="5">
        <v>2.0210621E7</v>
      </c>
      <c r="V282" s="5">
        <v>2.0210622E7</v>
      </c>
      <c r="W282" s="5">
        <v>29.871637509</v>
      </c>
      <c r="X282" s="5">
        <v>-95.482962996</v>
      </c>
    </row>
    <row r="283" ht="15.75" customHeight="1">
      <c r="A283" s="5">
        <v>11295.0</v>
      </c>
      <c r="B283" s="6">
        <v>2021.0</v>
      </c>
      <c r="C283" s="6" t="str">
        <f t="shared" si="1"/>
        <v>3426 PARKER RD,Houston,Texas</v>
      </c>
      <c r="D283" s="6" t="s">
        <v>449</v>
      </c>
      <c r="E283" s="6" t="s">
        <v>25</v>
      </c>
      <c r="F283" s="6" t="s">
        <v>26</v>
      </c>
      <c r="G283" s="6" t="s">
        <v>109</v>
      </c>
      <c r="H283" s="6" t="s">
        <v>28</v>
      </c>
      <c r="I283" s="6" t="str">
        <f>VLOOKUP(H283,'Flow Location'!$A$1:$B$21,2,FALSE)</f>
        <v>Storm Sewer (not contained)</v>
      </c>
      <c r="J283" s="5">
        <v>5010.0</v>
      </c>
      <c r="K283" s="6" t="s">
        <v>29</v>
      </c>
      <c r="L283" s="6" t="str">
        <f>VLOOKUP(K283,'Structure type'!$A$1:$B$15,2,FALSE)</f>
        <v>Manhole</v>
      </c>
      <c r="M283" s="6" t="s">
        <v>423</v>
      </c>
      <c r="N283" s="6" t="str">
        <f>VLOOKUP(M283,'Excursion Cause'!$A$1:$B$34,2,FALSE)</f>
        <v>Collection system ‐ wet weather</v>
      </c>
      <c r="O283" s="7">
        <v>44369.0</v>
      </c>
      <c r="P283" s="6" t="s">
        <v>709</v>
      </c>
      <c r="Q283" s="7">
        <v>44369.0</v>
      </c>
      <c r="R283" s="6" t="s">
        <v>710</v>
      </c>
      <c r="S283" s="5">
        <v>20.0</v>
      </c>
      <c r="T283" s="6" t="s">
        <v>443</v>
      </c>
      <c r="U283" s="5">
        <v>2.0210622E7</v>
      </c>
      <c r="V283" s="5">
        <v>2.0210622E7</v>
      </c>
      <c r="W283" s="5">
        <v>29.859225806</v>
      </c>
      <c r="X283" s="5">
        <v>-95.335071637</v>
      </c>
    </row>
    <row r="284" ht="15.75" customHeight="1">
      <c r="A284" s="5">
        <v>11296.0</v>
      </c>
      <c r="B284" s="6">
        <v>2021.0</v>
      </c>
      <c r="C284" s="6" t="str">
        <f t="shared" si="1"/>
        <v>10330 EASTEX FWY,Houston,Texas</v>
      </c>
      <c r="D284" s="6" t="s">
        <v>452</v>
      </c>
      <c r="E284" s="6" t="s">
        <v>25</v>
      </c>
      <c r="F284" s="6" t="s">
        <v>26</v>
      </c>
      <c r="G284" s="6" t="s">
        <v>109</v>
      </c>
      <c r="H284" s="6" t="s">
        <v>28</v>
      </c>
      <c r="I284" s="6" t="str">
        <f>VLOOKUP(H284,'Flow Location'!$A$1:$B$21,2,FALSE)</f>
        <v>Storm Sewer (not contained)</v>
      </c>
      <c r="J284" s="5">
        <v>5355.0</v>
      </c>
      <c r="K284" s="6" t="s">
        <v>29</v>
      </c>
      <c r="L284" s="6" t="str">
        <f>VLOOKUP(K284,'Structure type'!$A$1:$B$15,2,FALSE)</f>
        <v>Manhole</v>
      </c>
      <c r="M284" s="6" t="s">
        <v>423</v>
      </c>
      <c r="N284" s="6" t="str">
        <f>VLOOKUP(M284,'Excursion Cause'!$A$1:$B$34,2,FALSE)</f>
        <v>Collection system ‐ wet weather</v>
      </c>
      <c r="O284" s="7">
        <v>44369.0</v>
      </c>
      <c r="P284" s="6" t="s">
        <v>711</v>
      </c>
      <c r="Q284" s="7">
        <v>44369.0</v>
      </c>
      <c r="R284" s="6" t="s">
        <v>712</v>
      </c>
      <c r="S284" s="5">
        <v>22.0</v>
      </c>
      <c r="T284" s="6" t="s">
        <v>443</v>
      </c>
      <c r="U284" s="5">
        <v>2.0210622E7</v>
      </c>
      <c r="V284" s="5">
        <v>2.0210622E7</v>
      </c>
      <c r="W284" s="5">
        <v>29.861749671</v>
      </c>
      <c r="X284" s="5">
        <v>-95.332866495</v>
      </c>
    </row>
    <row r="285" ht="15.75" customHeight="1">
      <c r="A285" s="5">
        <v>11297.0</v>
      </c>
      <c r="B285" s="6">
        <v>2021.0</v>
      </c>
      <c r="C285" s="6" t="str">
        <f t="shared" si="1"/>
        <v>407 AVENUE OF OAKS ST,Houston,Texas</v>
      </c>
      <c r="D285" s="6" t="s">
        <v>713</v>
      </c>
      <c r="E285" s="6" t="s">
        <v>25</v>
      </c>
      <c r="F285" s="6" t="s">
        <v>26</v>
      </c>
      <c r="G285" s="6" t="s">
        <v>161</v>
      </c>
      <c r="H285" s="6" t="s">
        <v>50</v>
      </c>
      <c r="I285" s="6" t="str">
        <f>VLOOKUP(H285,'Flow Location'!$A$1:$B$21,2,FALSE)</f>
        <v>Contained On Site, not within 5 ft. of Bayou/Surface Water/Drainage Ditch</v>
      </c>
      <c r="J285" s="5">
        <v>0.0</v>
      </c>
      <c r="K285" s="6" t="s">
        <v>45</v>
      </c>
      <c r="L285" s="6" t="str">
        <f>VLOOKUP(K285,'Structure type'!$A$1:$B$15,2,FALSE)</f>
        <v>City Cleanout</v>
      </c>
      <c r="M285" s="6" t="s">
        <v>56</v>
      </c>
      <c r="N285" s="6" t="str">
        <f>VLOOKUP(M285,'Excursion Cause'!$A$1:$B$34,2,FALSE)</f>
        <v>Rags/Wipes</v>
      </c>
      <c r="O285" s="7">
        <v>44369.0</v>
      </c>
      <c r="P285" s="6" t="s">
        <v>714</v>
      </c>
      <c r="Q285" s="7">
        <v>44369.0</v>
      </c>
      <c r="R285" s="6" t="s">
        <v>714</v>
      </c>
      <c r="S285" s="5">
        <v>0.0</v>
      </c>
      <c r="T285" s="6" t="s">
        <v>270</v>
      </c>
      <c r="U285" s="5">
        <v>2.0210622E7</v>
      </c>
      <c r="V285" s="5">
        <v>2.0210622E7</v>
      </c>
      <c r="W285" s="5">
        <v>29.811613569</v>
      </c>
      <c r="X285" s="5">
        <v>-95.366437526</v>
      </c>
    </row>
    <row r="286" ht="15.75" customHeight="1">
      <c r="A286" s="5">
        <v>11298.0</v>
      </c>
      <c r="B286" s="6">
        <v>2021.0</v>
      </c>
      <c r="C286" s="6" t="str">
        <f t="shared" si="1"/>
        <v>23811 FAIRLAKE LN,Houston,Texas</v>
      </c>
      <c r="D286" s="6" t="s">
        <v>715</v>
      </c>
      <c r="E286" s="6" t="s">
        <v>25</v>
      </c>
      <c r="F286" s="6" t="s">
        <v>26</v>
      </c>
      <c r="G286" s="6" t="s">
        <v>422</v>
      </c>
      <c r="H286" s="6" t="s">
        <v>28</v>
      </c>
      <c r="I286" s="6" t="str">
        <f>VLOOKUP(H286,'Flow Location'!$A$1:$B$21,2,FALSE)</f>
        <v>Storm Sewer (not contained)</v>
      </c>
      <c r="J286" s="5">
        <v>6400.0</v>
      </c>
      <c r="K286" s="6" t="s">
        <v>29</v>
      </c>
      <c r="L286" s="6" t="str">
        <f>VLOOKUP(K286,'Structure type'!$A$1:$B$15,2,FALSE)</f>
        <v>Manhole</v>
      </c>
      <c r="M286" s="6" t="s">
        <v>96</v>
      </c>
      <c r="N286" s="6" t="str">
        <f>VLOOKUP(M286,'Excursion Cause'!$A$1:$B$34,2,FALSE)</f>
        <v>Collection system temporary blockage</v>
      </c>
      <c r="O286" s="7">
        <v>44369.0</v>
      </c>
      <c r="P286" s="6" t="s">
        <v>716</v>
      </c>
      <c r="Q286" s="7">
        <v>44369.0</v>
      </c>
      <c r="R286" s="6" t="s">
        <v>352</v>
      </c>
      <c r="S286" s="5">
        <v>80.0</v>
      </c>
      <c r="T286" s="6" t="s">
        <v>717</v>
      </c>
      <c r="U286" s="5">
        <v>2.0210622E7</v>
      </c>
      <c r="V286" s="5">
        <v>2.0210622E7</v>
      </c>
      <c r="W286" s="5">
        <v>30.0167291230001</v>
      </c>
      <c r="X286" s="5">
        <v>-95.112671298</v>
      </c>
    </row>
    <row r="287" ht="15.75" customHeight="1">
      <c r="A287" s="5">
        <v>11300.0</v>
      </c>
      <c r="B287" s="6">
        <v>2021.0</v>
      </c>
      <c r="C287" s="6" t="str">
        <f t="shared" si="1"/>
        <v>7017 JAY ST,Houston,Texas</v>
      </c>
      <c r="D287" s="6" t="s">
        <v>718</v>
      </c>
      <c r="E287" s="6" t="s">
        <v>25</v>
      </c>
      <c r="F287" s="6" t="s">
        <v>26</v>
      </c>
      <c r="G287" s="6" t="s">
        <v>177</v>
      </c>
      <c r="H287" s="6" t="s">
        <v>28</v>
      </c>
      <c r="I287" s="6" t="str">
        <f>VLOOKUP(H287,'Flow Location'!$A$1:$B$21,2,FALSE)</f>
        <v>Storm Sewer (not contained)</v>
      </c>
      <c r="J287" s="5">
        <v>6670.0</v>
      </c>
      <c r="K287" s="6" t="s">
        <v>29</v>
      </c>
      <c r="L287" s="6" t="str">
        <f>VLOOKUP(K287,'Structure type'!$A$1:$B$15,2,FALSE)</f>
        <v>Manhole</v>
      </c>
      <c r="M287" s="6" t="s">
        <v>30</v>
      </c>
      <c r="N287" s="6" t="str">
        <f>VLOOKUP(M287,'Excursion Cause'!$A$1:$B$34,2,FALSE)</f>
        <v>Grease Blockage</v>
      </c>
      <c r="O287" s="7">
        <v>44369.0</v>
      </c>
      <c r="P287" s="6" t="s">
        <v>438</v>
      </c>
      <c r="Q287" s="7">
        <v>44371.0</v>
      </c>
      <c r="R287" s="6" t="s">
        <v>435</v>
      </c>
      <c r="S287" s="5">
        <v>2.0</v>
      </c>
      <c r="T287" s="6" t="s">
        <v>118</v>
      </c>
      <c r="U287" s="5">
        <v>2.0210622E7</v>
      </c>
      <c r="V287" s="5">
        <v>2.0210624E7</v>
      </c>
      <c r="W287" s="5">
        <v>29.820431122</v>
      </c>
      <c r="X287" s="5">
        <v>-95.304544463</v>
      </c>
    </row>
    <row r="288" ht="15.75" customHeight="1">
      <c r="A288" s="5">
        <v>11308.0</v>
      </c>
      <c r="B288" s="6">
        <v>2021.0</v>
      </c>
      <c r="C288" s="6" t="str">
        <f t="shared" si="1"/>
        <v>4621 CARMEN ST,Houston,Texas</v>
      </c>
      <c r="D288" s="6" t="s">
        <v>719</v>
      </c>
      <c r="E288" s="6" t="s">
        <v>25</v>
      </c>
      <c r="F288" s="6" t="s">
        <v>26</v>
      </c>
      <c r="G288" s="6" t="s">
        <v>105</v>
      </c>
      <c r="H288" s="6" t="s">
        <v>50</v>
      </c>
      <c r="I288" s="6" t="str">
        <f>VLOOKUP(H288,'Flow Location'!$A$1:$B$21,2,FALSE)</f>
        <v>Contained On Site, not within 5 ft. of Bayou/Surface Water/Drainage Ditch</v>
      </c>
      <c r="J288" s="5">
        <v>0.0</v>
      </c>
      <c r="K288" s="6" t="s">
        <v>45</v>
      </c>
      <c r="L288" s="6" t="str">
        <f>VLOOKUP(K288,'Structure type'!$A$1:$B$15,2,FALSE)</f>
        <v>City Cleanout</v>
      </c>
      <c r="M288" s="6" t="s">
        <v>56</v>
      </c>
      <c r="N288" s="6" t="str">
        <f>VLOOKUP(M288,'Excursion Cause'!$A$1:$B$34,2,FALSE)</f>
        <v>Rags/Wipes</v>
      </c>
      <c r="O288" s="7">
        <v>44369.0</v>
      </c>
      <c r="P288" s="6" t="s">
        <v>720</v>
      </c>
      <c r="Q288" s="7">
        <v>44369.0</v>
      </c>
      <c r="R288" s="6" t="s">
        <v>720</v>
      </c>
      <c r="S288" s="5">
        <v>0.0</v>
      </c>
      <c r="T288" s="6" t="s">
        <v>270</v>
      </c>
      <c r="U288" s="5">
        <v>2.0210622E7</v>
      </c>
      <c r="V288" s="5">
        <v>2.0210622E7</v>
      </c>
      <c r="W288" s="5">
        <v>29.6571802300001</v>
      </c>
      <c r="X288" s="5">
        <v>-95.35745682</v>
      </c>
    </row>
    <row r="289" ht="15.75" customHeight="1">
      <c r="A289" s="5">
        <v>11315.0</v>
      </c>
      <c r="B289" s="6">
        <v>2021.0</v>
      </c>
      <c r="C289" s="6" t="str">
        <f t="shared" si="1"/>
        <v>11047 LAFFERTY OAKS ST,Houston,Texas</v>
      </c>
      <c r="D289" s="6" t="s">
        <v>721</v>
      </c>
      <c r="E289" s="6" t="s">
        <v>25</v>
      </c>
      <c r="F289" s="6" t="s">
        <v>26</v>
      </c>
      <c r="G289" s="6" t="s">
        <v>656</v>
      </c>
      <c r="H289" s="6" t="s">
        <v>50</v>
      </c>
      <c r="I289" s="6" t="str">
        <f>VLOOKUP(H289,'Flow Location'!$A$1:$B$21,2,FALSE)</f>
        <v>Contained On Site, not within 5 ft. of Bayou/Surface Water/Drainage Ditch</v>
      </c>
      <c r="J289" s="5">
        <v>0.0</v>
      </c>
      <c r="K289" s="6" t="s">
        <v>198</v>
      </c>
      <c r="L289" s="6" t="str">
        <f>VLOOKUP(K289,'Structure type'!$A$1:$B$15,2,FALSE)</f>
        <v>Service Lateral</v>
      </c>
      <c r="M289" s="6" t="s">
        <v>81</v>
      </c>
      <c r="N289" s="6" t="str">
        <f>VLOOKUP(M289,'Excursion Cause'!$A$1:$B$34,2,FALSE)</f>
        <v>Collection system structural failure</v>
      </c>
      <c r="O289" s="7">
        <v>44370.0</v>
      </c>
      <c r="P289" s="6" t="s">
        <v>53</v>
      </c>
      <c r="Q289" s="7">
        <v>44370.0</v>
      </c>
      <c r="R289" s="6" t="s">
        <v>53</v>
      </c>
      <c r="S289" s="5">
        <v>0.0</v>
      </c>
      <c r="T289" s="6" t="s">
        <v>107</v>
      </c>
      <c r="U289" s="5">
        <v>2.0210623E7</v>
      </c>
      <c r="V289" s="5">
        <v>2.0210623E7</v>
      </c>
      <c r="W289" s="5">
        <v>29.7779262810001</v>
      </c>
      <c r="X289" s="5">
        <v>-95.233900023</v>
      </c>
    </row>
    <row r="290" ht="15.75" customHeight="1">
      <c r="A290" s="5">
        <v>11316.0</v>
      </c>
      <c r="B290" s="6">
        <v>2021.0</v>
      </c>
      <c r="C290" s="6" t="str">
        <f t="shared" si="1"/>
        <v>722 HURLEY ST,Houston,Texas</v>
      </c>
      <c r="D290" s="6" t="s">
        <v>722</v>
      </c>
      <c r="E290" s="6" t="s">
        <v>25</v>
      </c>
      <c r="F290" s="6" t="s">
        <v>26</v>
      </c>
      <c r="G290" s="6" t="s">
        <v>653</v>
      </c>
      <c r="H290" s="6" t="s">
        <v>50</v>
      </c>
      <c r="I290" s="6" t="str">
        <f>VLOOKUP(H290,'Flow Location'!$A$1:$B$21,2,FALSE)</f>
        <v>Contained On Site, not within 5 ft. of Bayou/Surface Water/Drainage Ditch</v>
      </c>
      <c r="J290" s="5">
        <v>0.0</v>
      </c>
      <c r="K290" s="6" t="s">
        <v>29</v>
      </c>
      <c r="L290" s="6" t="str">
        <f>VLOOKUP(K290,'Structure type'!$A$1:$B$15,2,FALSE)</f>
        <v>Manhole</v>
      </c>
      <c r="M290" s="6" t="s">
        <v>30</v>
      </c>
      <c r="N290" s="6" t="str">
        <f>VLOOKUP(M290,'Excursion Cause'!$A$1:$B$34,2,FALSE)</f>
        <v>Grease Blockage</v>
      </c>
      <c r="O290" s="7">
        <v>44370.0</v>
      </c>
      <c r="P290" s="6" t="s">
        <v>146</v>
      </c>
      <c r="Q290" s="7">
        <v>44370.0</v>
      </c>
      <c r="R290" s="6" t="s">
        <v>146</v>
      </c>
      <c r="S290" s="5">
        <v>0.0</v>
      </c>
      <c r="T290" s="6" t="s">
        <v>33</v>
      </c>
      <c r="U290" s="5">
        <v>2.0210623E7</v>
      </c>
      <c r="V290" s="5">
        <v>2.0210623E7</v>
      </c>
      <c r="W290" s="5">
        <v>29.845077647</v>
      </c>
      <c r="X290" s="5">
        <v>-95.3651603759999</v>
      </c>
    </row>
    <row r="291" ht="15.75" customHeight="1">
      <c r="A291" s="5">
        <v>11317.0</v>
      </c>
      <c r="B291" s="6">
        <v>2021.0</v>
      </c>
      <c r="C291" s="6" t="str">
        <f t="shared" si="1"/>
        <v>5525 BINGLE RD,Houston,Texas</v>
      </c>
      <c r="D291" s="6" t="s">
        <v>723</v>
      </c>
      <c r="E291" s="6" t="s">
        <v>25</v>
      </c>
      <c r="F291" s="6" t="s">
        <v>26</v>
      </c>
      <c r="G291" s="6" t="s">
        <v>76</v>
      </c>
      <c r="H291" s="6" t="s">
        <v>50</v>
      </c>
      <c r="I291" s="6" t="str">
        <f>VLOOKUP(H291,'Flow Location'!$A$1:$B$21,2,FALSE)</f>
        <v>Contained On Site, not within 5 ft. of Bayou/Surface Water/Drainage Ditch</v>
      </c>
      <c r="J291" s="5">
        <v>0.0</v>
      </c>
      <c r="K291" s="6" t="s">
        <v>45</v>
      </c>
      <c r="L291" s="6" t="str">
        <f>VLOOKUP(K291,'Structure type'!$A$1:$B$15,2,FALSE)</f>
        <v>City Cleanout</v>
      </c>
      <c r="M291" s="6" t="s">
        <v>56</v>
      </c>
      <c r="N291" s="6" t="str">
        <f>VLOOKUP(M291,'Excursion Cause'!$A$1:$B$34,2,FALSE)</f>
        <v>Rags/Wipes</v>
      </c>
      <c r="O291" s="7">
        <v>44370.0</v>
      </c>
      <c r="P291" s="6" t="s">
        <v>724</v>
      </c>
      <c r="Q291" s="7">
        <v>44371.0</v>
      </c>
      <c r="R291" s="6" t="s">
        <v>345</v>
      </c>
      <c r="S291" s="5">
        <v>0.0</v>
      </c>
      <c r="T291" s="6" t="s">
        <v>270</v>
      </c>
      <c r="U291" s="5">
        <v>2.0210623E7</v>
      </c>
      <c r="V291" s="5">
        <v>2.0210624E7</v>
      </c>
      <c r="W291" s="5">
        <v>29.8460382970001</v>
      </c>
      <c r="X291" s="5">
        <v>-95.48896536</v>
      </c>
    </row>
    <row r="292" ht="15.75" customHeight="1">
      <c r="A292" s="5">
        <v>11320.0</v>
      </c>
      <c r="B292" s="6">
        <v>2021.0</v>
      </c>
      <c r="C292" s="6" t="str">
        <f t="shared" si="1"/>
        <v>6700 MAIN ST,Houston,Texas</v>
      </c>
      <c r="D292" s="6" t="s">
        <v>725</v>
      </c>
      <c r="E292" s="6" t="s">
        <v>25</v>
      </c>
      <c r="F292" s="6" t="s">
        <v>26</v>
      </c>
      <c r="G292" s="6" t="s">
        <v>512</v>
      </c>
      <c r="H292" s="6" t="s">
        <v>28</v>
      </c>
      <c r="I292" s="6" t="str">
        <f>VLOOKUP(H292,'Flow Location'!$A$1:$B$21,2,FALSE)</f>
        <v>Storm Sewer (not contained)</v>
      </c>
      <c r="J292" s="5">
        <v>6884.0</v>
      </c>
      <c r="K292" s="6" t="s">
        <v>45</v>
      </c>
      <c r="L292" s="6" t="str">
        <f>VLOOKUP(K292,'Structure type'!$A$1:$B$15,2,FALSE)</f>
        <v>City Cleanout</v>
      </c>
      <c r="M292" s="6" t="s">
        <v>56</v>
      </c>
      <c r="N292" s="6" t="str">
        <f>VLOOKUP(M292,'Excursion Cause'!$A$1:$B$34,2,FALSE)</f>
        <v>Rags/Wipes</v>
      </c>
      <c r="O292" s="7">
        <v>44371.0</v>
      </c>
      <c r="P292" s="6" t="s">
        <v>672</v>
      </c>
      <c r="Q292" s="7">
        <v>44372.0</v>
      </c>
      <c r="R292" s="6" t="s">
        <v>726</v>
      </c>
      <c r="S292" s="5">
        <v>4.0</v>
      </c>
      <c r="T292" s="6" t="s">
        <v>270</v>
      </c>
      <c r="U292" s="5">
        <v>2.0210624E7</v>
      </c>
      <c r="V292" s="5">
        <v>2.0210625E7</v>
      </c>
      <c r="W292" s="5">
        <v>29.7079167700001</v>
      </c>
      <c r="X292" s="5">
        <v>-95.403808912</v>
      </c>
    </row>
    <row r="293" ht="15.75" customHeight="1">
      <c r="A293" s="5">
        <v>11324.0</v>
      </c>
      <c r="B293" s="6">
        <v>2021.0</v>
      </c>
      <c r="C293" s="6" t="str">
        <f t="shared" si="1"/>
        <v>4513 EDFIELD ST,Houston,Texas</v>
      </c>
      <c r="D293" s="6" t="s">
        <v>727</v>
      </c>
      <c r="E293" s="6" t="s">
        <v>25</v>
      </c>
      <c r="F293" s="6" t="s">
        <v>26</v>
      </c>
      <c r="G293" s="6" t="s">
        <v>105</v>
      </c>
      <c r="H293" s="6" t="s">
        <v>28</v>
      </c>
      <c r="I293" s="6" t="str">
        <f>VLOOKUP(H293,'Flow Location'!$A$1:$B$21,2,FALSE)</f>
        <v>Storm Sewer (not contained)</v>
      </c>
      <c r="J293" s="5">
        <v>0.0</v>
      </c>
      <c r="K293" s="6" t="s">
        <v>29</v>
      </c>
      <c r="L293" s="6" t="str">
        <f>VLOOKUP(K293,'Structure type'!$A$1:$B$15,2,FALSE)</f>
        <v>Manhole</v>
      </c>
      <c r="M293" s="6" t="s">
        <v>30</v>
      </c>
      <c r="N293" s="6" t="str">
        <f>VLOOKUP(M293,'Excursion Cause'!$A$1:$B$34,2,FALSE)</f>
        <v>Grease Blockage</v>
      </c>
      <c r="O293" s="7">
        <v>44371.0</v>
      </c>
      <c r="P293" s="6" t="s">
        <v>728</v>
      </c>
      <c r="Q293" s="7">
        <v>44371.0</v>
      </c>
      <c r="R293" s="6" t="s">
        <v>728</v>
      </c>
      <c r="S293" s="5">
        <v>0.0</v>
      </c>
      <c r="T293" s="6" t="s">
        <v>59</v>
      </c>
      <c r="U293" s="5">
        <v>2.0210624E7</v>
      </c>
      <c r="V293" s="5">
        <v>2.0210624E7</v>
      </c>
      <c r="W293" s="5">
        <v>29.676227015</v>
      </c>
      <c r="X293" s="5">
        <v>-95.357955459</v>
      </c>
    </row>
    <row r="294" ht="15.75" customHeight="1">
      <c r="A294" s="5">
        <v>11326.0</v>
      </c>
      <c r="B294" s="6">
        <v>2021.0</v>
      </c>
      <c r="C294" s="6" t="str">
        <f t="shared" si="1"/>
        <v>4115 LINN ST,Houston,Texas</v>
      </c>
      <c r="D294" s="6" t="s">
        <v>729</v>
      </c>
      <c r="E294" s="6" t="s">
        <v>25</v>
      </c>
      <c r="F294" s="6" t="s">
        <v>26</v>
      </c>
      <c r="G294" s="6" t="s">
        <v>43</v>
      </c>
      <c r="H294" s="6" t="s">
        <v>50</v>
      </c>
      <c r="I294" s="6" t="str">
        <f>VLOOKUP(H294,'Flow Location'!$A$1:$B$21,2,FALSE)</f>
        <v>Contained On Site, not within 5 ft. of Bayou/Surface Water/Drainage Ditch</v>
      </c>
      <c r="J294" s="5">
        <v>0.0</v>
      </c>
      <c r="K294" s="6" t="s">
        <v>29</v>
      </c>
      <c r="L294" s="6" t="str">
        <f>VLOOKUP(K294,'Structure type'!$A$1:$B$15,2,FALSE)</f>
        <v>Manhole</v>
      </c>
      <c r="M294" s="6" t="s">
        <v>30</v>
      </c>
      <c r="N294" s="6" t="str">
        <f>VLOOKUP(M294,'Excursion Cause'!$A$1:$B$34,2,FALSE)</f>
        <v>Grease Blockage</v>
      </c>
      <c r="O294" s="7">
        <v>44371.0</v>
      </c>
      <c r="P294" s="6" t="s">
        <v>730</v>
      </c>
      <c r="Q294" s="7">
        <v>44371.0</v>
      </c>
      <c r="R294" s="6" t="s">
        <v>730</v>
      </c>
      <c r="S294" s="5">
        <v>0.0</v>
      </c>
      <c r="T294" s="6" t="s">
        <v>33</v>
      </c>
      <c r="U294" s="5">
        <v>2.0210624E7</v>
      </c>
      <c r="V294" s="5">
        <v>2.0210624E7</v>
      </c>
      <c r="W294" s="5">
        <v>29.798123273</v>
      </c>
      <c r="X294" s="5">
        <v>-95.336185896</v>
      </c>
    </row>
    <row r="295" ht="15.75" customHeight="1">
      <c r="A295" s="5">
        <v>11335.0</v>
      </c>
      <c r="B295" s="6">
        <v>2021.0</v>
      </c>
      <c r="C295" s="6" t="str">
        <f t="shared" si="1"/>
        <v>10102 DEL MONTE DR,Houston,Texas</v>
      </c>
      <c r="D295" s="6" t="s">
        <v>731</v>
      </c>
      <c r="E295" s="6" t="s">
        <v>25</v>
      </c>
      <c r="F295" s="6" t="s">
        <v>26</v>
      </c>
      <c r="G295" s="6" t="s">
        <v>401</v>
      </c>
      <c r="H295" s="6" t="s">
        <v>50</v>
      </c>
      <c r="I295" s="6" t="str">
        <f>VLOOKUP(H295,'Flow Location'!$A$1:$B$21,2,FALSE)</f>
        <v>Contained On Site, not within 5 ft. of Bayou/Surface Water/Drainage Ditch</v>
      </c>
      <c r="J295" s="5">
        <v>0.0</v>
      </c>
      <c r="K295" s="6" t="s">
        <v>51</v>
      </c>
      <c r="L295" s="6" t="str">
        <f>VLOOKUP(K295,'Structure type'!$A$1:$B$15,2,FALSE)</f>
        <v>Private Cleanout</v>
      </c>
      <c r="M295" s="6" t="s">
        <v>30</v>
      </c>
      <c r="N295" s="6" t="str">
        <f>VLOOKUP(M295,'Excursion Cause'!$A$1:$B$34,2,FALSE)</f>
        <v>Grease Blockage</v>
      </c>
      <c r="O295" s="7">
        <v>44372.0</v>
      </c>
      <c r="P295" s="6" t="s">
        <v>732</v>
      </c>
      <c r="Q295" s="7">
        <v>44372.0</v>
      </c>
      <c r="R295" s="6" t="s">
        <v>732</v>
      </c>
      <c r="S295" s="5">
        <v>0.0</v>
      </c>
      <c r="T295" s="6" t="s">
        <v>33</v>
      </c>
      <c r="U295" s="5">
        <v>2.0210625E7</v>
      </c>
      <c r="V295" s="5">
        <v>2.0210625E7</v>
      </c>
      <c r="W295" s="5">
        <v>29.7450411410001</v>
      </c>
      <c r="X295" s="5">
        <v>-95.551856959</v>
      </c>
    </row>
    <row r="296" ht="15.75" customHeight="1">
      <c r="A296" s="5">
        <v>11338.0</v>
      </c>
      <c r="B296" s="6">
        <v>2021.0</v>
      </c>
      <c r="C296" s="6" t="str">
        <f t="shared" si="1"/>
        <v>807 REID ST,Houston,Texas</v>
      </c>
      <c r="D296" s="6" t="s">
        <v>733</v>
      </c>
      <c r="E296" s="6" t="s">
        <v>25</v>
      </c>
      <c r="F296" s="6" t="s">
        <v>26</v>
      </c>
      <c r="G296" s="6" t="s">
        <v>653</v>
      </c>
      <c r="H296" s="6" t="s">
        <v>50</v>
      </c>
      <c r="I296" s="6" t="str">
        <f>VLOOKUP(H296,'Flow Location'!$A$1:$B$21,2,FALSE)</f>
        <v>Contained On Site, not within 5 ft. of Bayou/Surface Water/Drainage Ditch</v>
      </c>
      <c r="J296" s="5">
        <v>0.0</v>
      </c>
      <c r="K296" s="6" t="s">
        <v>45</v>
      </c>
      <c r="L296" s="6" t="str">
        <f>VLOOKUP(K296,'Structure type'!$A$1:$B$15,2,FALSE)</f>
        <v>City Cleanout</v>
      </c>
      <c r="M296" s="6" t="s">
        <v>56</v>
      </c>
      <c r="N296" s="6" t="str">
        <f>VLOOKUP(M296,'Excursion Cause'!$A$1:$B$34,2,FALSE)</f>
        <v>Rags/Wipes</v>
      </c>
      <c r="O296" s="7">
        <v>44372.0</v>
      </c>
      <c r="P296" s="6" t="s">
        <v>320</v>
      </c>
      <c r="Q296" s="7">
        <v>44372.0</v>
      </c>
      <c r="R296" s="6" t="s">
        <v>320</v>
      </c>
      <c r="S296" s="5">
        <v>0.0</v>
      </c>
      <c r="T296" s="6" t="s">
        <v>74</v>
      </c>
      <c r="U296" s="5">
        <v>2.0210625E7</v>
      </c>
      <c r="V296" s="5">
        <v>2.0210625E7</v>
      </c>
      <c r="W296" s="5">
        <v>29.8148190600001</v>
      </c>
      <c r="X296" s="5">
        <v>-95.3600708</v>
      </c>
    </row>
    <row r="297" ht="15.75" customHeight="1">
      <c r="A297" s="5">
        <v>11343.0</v>
      </c>
      <c r="B297" s="6">
        <v>2021.0</v>
      </c>
      <c r="C297" s="6" t="str">
        <f t="shared" si="1"/>
        <v>12621 COULSON ST,Houston,Texas</v>
      </c>
      <c r="D297" s="6" t="s">
        <v>734</v>
      </c>
      <c r="E297" s="6" t="s">
        <v>25</v>
      </c>
      <c r="F297" s="6" t="s">
        <v>26</v>
      </c>
      <c r="G297" s="6" t="s">
        <v>623</v>
      </c>
      <c r="H297" s="6" t="s">
        <v>50</v>
      </c>
      <c r="I297" s="6" t="str">
        <f>VLOOKUP(H297,'Flow Location'!$A$1:$B$21,2,FALSE)</f>
        <v>Contained On Site, not within 5 ft. of Bayou/Surface Water/Drainage Ditch</v>
      </c>
      <c r="J297" s="5">
        <v>0.0</v>
      </c>
      <c r="K297" s="6" t="s">
        <v>198</v>
      </c>
      <c r="L297" s="6" t="str">
        <f>VLOOKUP(K297,'Structure type'!$A$1:$B$15,2,FALSE)</f>
        <v>Service Lateral</v>
      </c>
      <c r="M297" s="6" t="s">
        <v>81</v>
      </c>
      <c r="N297" s="6" t="str">
        <f>VLOOKUP(M297,'Excursion Cause'!$A$1:$B$34,2,FALSE)</f>
        <v>Collection system structural failure</v>
      </c>
      <c r="O297" s="7">
        <v>44374.0</v>
      </c>
      <c r="P297" s="6" t="s">
        <v>376</v>
      </c>
      <c r="Q297" s="7">
        <v>44374.0</v>
      </c>
      <c r="R297" s="6" t="s">
        <v>376</v>
      </c>
      <c r="S297" s="5">
        <v>0.0</v>
      </c>
      <c r="T297" s="6" t="s">
        <v>118</v>
      </c>
      <c r="U297" s="5">
        <v>2.0210627E7</v>
      </c>
      <c r="V297" s="5">
        <v>2.0210627E7</v>
      </c>
      <c r="W297" s="5">
        <v>29.763445663</v>
      </c>
      <c r="X297" s="5">
        <v>-95.211900545</v>
      </c>
    </row>
    <row r="298" ht="15.75" customHeight="1">
      <c r="A298" s="5">
        <v>11344.0</v>
      </c>
      <c r="B298" s="6">
        <v>2021.0</v>
      </c>
      <c r="C298" s="6" t="str">
        <f t="shared" si="1"/>
        <v>351 N ST CHARLES,Houston,Texas</v>
      </c>
      <c r="D298" s="6" t="s">
        <v>735</v>
      </c>
      <c r="E298" s="6" t="s">
        <v>25</v>
      </c>
      <c r="F298" s="6" t="s">
        <v>26</v>
      </c>
      <c r="G298" s="6" t="s">
        <v>172</v>
      </c>
      <c r="H298" s="6" t="s">
        <v>28</v>
      </c>
      <c r="I298" s="6" t="str">
        <f>VLOOKUP(H298,'Flow Location'!$A$1:$B$21,2,FALSE)</f>
        <v>Storm Sewer (not contained)</v>
      </c>
      <c r="J298" s="5">
        <v>2820.0</v>
      </c>
      <c r="K298" s="6" t="s">
        <v>29</v>
      </c>
      <c r="L298" s="6" t="str">
        <f>VLOOKUP(K298,'Structure type'!$A$1:$B$15,2,FALSE)</f>
        <v>Manhole</v>
      </c>
      <c r="M298" s="6" t="s">
        <v>423</v>
      </c>
      <c r="N298" s="6" t="str">
        <f>VLOOKUP(M298,'Excursion Cause'!$A$1:$B$34,2,FALSE)</f>
        <v>Collection system ‐ wet weather</v>
      </c>
      <c r="O298" s="7">
        <v>44375.0</v>
      </c>
      <c r="P298" s="6" t="s">
        <v>288</v>
      </c>
      <c r="Q298" s="7">
        <v>44375.0</v>
      </c>
      <c r="R298" s="6" t="s">
        <v>736</v>
      </c>
      <c r="S298" s="5">
        <v>26.0</v>
      </c>
      <c r="T298" s="6" t="s">
        <v>737</v>
      </c>
      <c r="U298" s="5">
        <v>2.0210628E7</v>
      </c>
      <c r="V298" s="5">
        <v>2.0210628E7</v>
      </c>
      <c r="W298" s="5">
        <v>29.75958934</v>
      </c>
      <c r="X298" s="5">
        <v>-95.343279402</v>
      </c>
    </row>
    <row r="299" ht="15.75" customHeight="1">
      <c r="A299" s="5">
        <v>11345.0</v>
      </c>
      <c r="B299" s="6">
        <v>2021.0</v>
      </c>
      <c r="C299" s="6" t="str">
        <f t="shared" si="1"/>
        <v>3601 TELEPHONE RD,Houston,Texas</v>
      </c>
      <c r="D299" s="6" t="s">
        <v>436</v>
      </c>
      <c r="E299" s="6" t="s">
        <v>25</v>
      </c>
      <c r="F299" s="6" t="s">
        <v>26</v>
      </c>
      <c r="G299" s="6" t="s">
        <v>141</v>
      </c>
      <c r="H299" s="6" t="s">
        <v>28</v>
      </c>
      <c r="I299" s="6" t="str">
        <f>VLOOKUP(H299,'Flow Location'!$A$1:$B$21,2,FALSE)</f>
        <v>Storm Sewer (not contained)</v>
      </c>
      <c r="J299" s="5">
        <v>1220.0</v>
      </c>
      <c r="K299" s="6" t="s">
        <v>29</v>
      </c>
      <c r="L299" s="6" t="str">
        <f>VLOOKUP(K299,'Structure type'!$A$1:$B$15,2,FALSE)</f>
        <v>Manhole</v>
      </c>
      <c r="M299" s="6" t="s">
        <v>423</v>
      </c>
      <c r="N299" s="6" t="str">
        <f>VLOOKUP(M299,'Excursion Cause'!$A$1:$B$34,2,FALSE)</f>
        <v>Collection system ‐ wet weather</v>
      </c>
      <c r="O299" s="7">
        <v>44375.0</v>
      </c>
      <c r="P299" s="6" t="s">
        <v>369</v>
      </c>
      <c r="Q299" s="7">
        <v>44375.0</v>
      </c>
      <c r="R299" s="6" t="s">
        <v>490</v>
      </c>
      <c r="S299" s="5">
        <v>10.0</v>
      </c>
      <c r="T299" s="6" t="s">
        <v>737</v>
      </c>
      <c r="U299" s="5">
        <v>2.0210628E7</v>
      </c>
      <c r="V299" s="5">
        <v>2.0210628E7</v>
      </c>
      <c r="W299" s="5">
        <v>29.7094564840001</v>
      </c>
      <c r="X299" s="5">
        <v>-95.3137312809999</v>
      </c>
    </row>
    <row r="300" ht="15.75" customHeight="1">
      <c r="A300" s="5">
        <v>11347.0</v>
      </c>
      <c r="B300" s="6">
        <v>2021.0</v>
      </c>
      <c r="C300" s="6" t="str">
        <f t="shared" si="1"/>
        <v>4701 PEASE ST,Houston,Texas</v>
      </c>
      <c r="D300" s="6" t="s">
        <v>738</v>
      </c>
      <c r="E300" s="6" t="s">
        <v>25</v>
      </c>
      <c r="F300" s="6" t="s">
        <v>26</v>
      </c>
      <c r="G300" s="6" t="s">
        <v>141</v>
      </c>
      <c r="H300" s="6" t="s">
        <v>28</v>
      </c>
      <c r="I300" s="6" t="str">
        <f>VLOOKUP(H300,'Flow Location'!$A$1:$B$21,2,FALSE)</f>
        <v>Storm Sewer (not contained)</v>
      </c>
      <c r="J300" s="5">
        <v>2490.0</v>
      </c>
      <c r="K300" s="6" t="s">
        <v>29</v>
      </c>
      <c r="L300" s="6" t="str">
        <f>VLOOKUP(K300,'Structure type'!$A$1:$B$15,2,FALSE)</f>
        <v>Manhole</v>
      </c>
      <c r="M300" s="6" t="s">
        <v>423</v>
      </c>
      <c r="N300" s="6" t="str">
        <f>VLOOKUP(M300,'Excursion Cause'!$A$1:$B$34,2,FALSE)</f>
        <v>Collection system ‐ wet weather</v>
      </c>
      <c r="O300" s="7">
        <v>44375.0</v>
      </c>
      <c r="P300" s="6" t="s">
        <v>353</v>
      </c>
      <c r="Q300" s="7">
        <v>44375.0</v>
      </c>
      <c r="R300" s="6" t="s">
        <v>739</v>
      </c>
      <c r="S300" s="5">
        <v>5.0</v>
      </c>
      <c r="T300" s="6" t="s">
        <v>443</v>
      </c>
      <c r="U300" s="5">
        <v>2.0210628E7</v>
      </c>
      <c r="V300" s="5">
        <v>2.0210628E7</v>
      </c>
      <c r="W300" s="5">
        <v>29.7338318540001</v>
      </c>
      <c r="X300" s="5">
        <v>-95.332061916</v>
      </c>
    </row>
    <row r="301" ht="15.75" customHeight="1">
      <c r="A301" s="5">
        <v>11348.0</v>
      </c>
      <c r="B301" s="6">
        <v>2021.0</v>
      </c>
      <c r="C301" s="6" t="str">
        <f t="shared" si="1"/>
        <v>9101 CLINTON DR,Houston,Texas</v>
      </c>
      <c r="D301" s="6" t="s">
        <v>740</v>
      </c>
      <c r="E301" s="6" t="s">
        <v>25</v>
      </c>
      <c r="F301" s="6" t="s">
        <v>26</v>
      </c>
      <c r="G301" s="6" t="s">
        <v>247</v>
      </c>
      <c r="H301" s="6" t="s">
        <v>28</v>
      </c>
      <c r="I301" s="6" t="str">
        <f>VLOOKUP(H301,'Flow Location'!$A$1:$B$21,2,FALSE)</f>
        <v>Storm Sewer (not contained)</v>
      </c>
      <c r="J301" s="5">
        <v>32920.0</v>
      </c>
      <c r="K301" s="6" t="s">
        <v>29</v>
      </c>
      <c r="L301" s="6" t="str">
        <f>VLOOKUP(K301,'Structure type'!$A$1:$B$15,2,FALSE)</f>
        <v>Manhole</v>
      </c>
      <c r="M301" s="6" t="s">
        <v>30</v>
      </c>
      <c r="N301" s="6" t="str">
        <f>VLOOKUP(M301,'Excursion Cause'!$A$1:$B$34,2,FALSE)</f>
        <v>Grease Blockage</v>
      </c>
      <c r="O301" s="7">
        <v>44375.0</v>
      </c>
      <c r="P301" s="6" t="s">
        <v>741</v>
      </c>
      <c r="Q301" s="7">
        <v>44377.0</v>
      </c>
      <c r="R301" s="6" t="s">
        <v>742</v>
      </c>
      <c r="S301" s="5">
        <v>10.0</v>
      </c>
      <c r="T301" s="6" t="s">
        <v>743</v>
      </c>
      <c r="U301" s="5">
        <v>2.0210628E7</v>
      </c>
      <c r="V301" s="5">
        <v>2.021063E7</v>
      </c>
      <c r="W301" s="5">
        <v>29.7372700270001</v>
      </c>
      <c r="X301" s="5">
        <v>-95.2638033849999</v>
      </c>
    </row>
    <row r="302" ht="15.75" customHeight="1">
      <c r="A302" s="5">
        <v>11351.0</v>
      </c>
      <c r="B302" s="6">
        <v>2021.0</v>
      </c>
      <c r="C302" s="6" t="str">
        <f t="shared" si="1"/>
        <v>3430 NATHANIEL BROWN ST,Houston,Texas</v>
      </c>
      <c r="D302" s="6" t="s">
        <v>744</v>
      </c>
      <c r="E302" s="6" t="s">
        <v>25</v>
      </c>
      <c r="F302" s="6" t="s">
        <v>26</v>
      </c>
      <c r="G302" s="6" t="s">
        <v>238</v>
      </c>
      <c r="H302" s="6" t="s">
        <v>50</v>
      </c>
      <c r="I302" s="6" t="str">
        <f>VLOOKUP(H302,'Flow Location'!$A$1:$B$21,2,FALSE)</f>
        <v>Contained On Site, not within 5 ft. of Bayou/Surface Water/Drainage Ditch</v>
      </c>
      <c r="J302" s="5">
        <v>0.0</v>
      </c>
      <c r="K302" s="6" t="s">
        <v>51</v>
      </c>
      <c r="L302" s="6" t="str">
        <f>VLOOKUP(K302,'Structure type'!$A$1:$B$15,2,FALSE)</f>
        <v>Private Cleanout</v>
      </c>
      <c r="M302" s="6" t="s">
        <v>81</v>
      </c>
      <c r="N302" s="6" t="str">
        <f>VLOOKUP(M302,'Excursion Cause'!$A$1:$B$34,2,FALSE)</f>
        <v>Collection system structural failure</v>
      </c>
      <c r="O302" s="7">
        <v>44375.0</v>
      </c>
      <c r="P302" s="6" t="s">
        <v>745</v>
      </c>
      <c r="Q302" s="7">
        <v>44375.0</v>
      </c>
      <c r="R302" s="6" t="s">
        <v>745</v>
      </c>
      <c r="S302" s="5">
        <v>0.0</v>
      </c>
      <c r="T302" s="6" t="s">
        <v>118</v>
      </c>
      <c r="U302" s="5">
        <v>2.0210628E7</v>
      </c>
      <c r="V302" s="5">
        <v>2.0210628E7</v>
      </c>
      <c r="W302" s="5">
        <v>29.689014656</v>
      </c>
      <c r="X302" s="5">
        <v>-95.375041466</v>
      </c>
    </row>
    <row r="303" ht="15.75" customHeight="1">
      <c r="A303" s="5">
        <v>11357.0</v>
      </c>
      <c r="B303" s="6">
        <v>2021.0</v>
      </c>
      <c r="C303" s="6" t="str">
        <f t="shared" si="1"/>
        <v>8922 TALTON ST,Houston,Texas</v>
      </c>
      <c r="D303" s="6" t="s">
        <v>746</v>
      </c>
      <c r="E303" s="6" t="s">
        <v>25</v>
      </c>
      <c r="F303" s="6" t="s">
        <v>26</v>
      </c>
      <c r="G303" s="6" t="s">
        <v>387</v>
      </c>
      <c r="H303" s="6" t="s">
        <v>28</v>
      </c>
      <c r="I303" s="6" t="str">
        <f>VLOOKUP(H303,'Flow Location'!$A$1:$B$21,2,FALSE)</f>
        <v>Storm Sewer (not contained)</v>
      </c>
      <c r="J303" s="5">
        <v>35310.0</v>
      </c>
      <c r="K303" s="6" t="s">
        <v>190</v>
      </c>
      <c r="L303" s="6" t="str">
        <f>VLOOKUP(K303,'Structure type'!$A$1:$B$15,2,FALSE)</f>
        <v>Force Main</v>
      </c>
      <c r="M303" s="6" t="s">
        <v>81</v>
      </c>
      <c r="N303" s="6" t="str">
        <f>VLOOKUP(M303,'Excursion Cause'!$A$1:$B$34,2,FALSE)</f>
        <v>Collection system structural failure</v>
      </c>
      <c r="O303" s="7">
        <v>44376.0</v>
      </c>
      <c r="P303" s="6" t="s">
        <v>296</v>
      </c>
      <c r="Q303" s="7">
        <v>44377.0</v>
      </c>
      <c r="R303" s="6" t="s">
        <v>714</v>
      </c>
      <c r="S303" s="5">
        <v>28.0</v>
      </c>
      <c r="T303" s="6" t="s">
        <v>417</v>
      </c>
      <c r="U303" s="5">
        <v>2.0210629E7</v>
      </c>
      <c r="V303" s="5">
        <v>2.021063E7</v>
      </c>
      <c r="W303" s="5">
        <v>29.843912478</v>
      </c>
      <c r="X303" s="5">
        <v>-95.2590339979999</v>
      </c>
    </row>
    <row r="304" ht="15.75" customHeight="1">
      <c r="A304" s="5">
        <v>11358.0</v>
      </c>
      <c r="B304" s="6">
        <v>2021.0</v>
      </c>
      <c r="C304" s="6" t="str">
        <f t="shared" si="1"/>
        <v>8150 GULF FWY,Houston,Texas</v>
      </c>
      <c r="D304" s="6" t="s">
        <v>747</v>
      </c>
      <c r="E304" s="6" t="s">
        <v>25</v>
      </c>
      <c r="F304" s="6" t="s">
        <v>26</v>
      </c>
      <c r="G304" s="6" t="s">
        <v>35</v>
      </c>
      <c r="H304" s="6" t="s">
        <v>44</v>
      </c>
      <c r="I304" s="6" t="str">
        <f>VLOOKUP(H304,'Flow Location'!$A$1:$B$21,2,FALSE)</f>
        <v>Bayou/surface water/drainage ditch</v>
      </c>
      <c r="J304" s="5">
        <v>984.0</v>
      </c>
      <c r="K304" s="6" t="s">
        <v>29</v>
      </c>
      <c r="L304" s="6" t="str">
        <f>VLOOKUP(K304,'Structure type'!$A$1:$B$15,2,FALSE)</f>
        <v>Manhole</v>
      </c>
      <c r="M304" s="6" t="s">
        <v>30</v>
      </c>
      <c r="N304" s="6" t="str">
        <f>VLOOKUP(M304,'Excursion Cause'!$A$1:$B$34,2,FALSE)</f>
        <v>Grease Blockage</v>
      </c>
      <c r="O304" s="7">
        <v>44376.0</v>
      </c>
      <c r="P304" s="6" t="s">
        <v>164</v>
      </c>
      <c r="Q304" s="7">
        <v>44376.0</v>
      </c>
      <c r="R304" s="6" t="s">
        <v>748</v>
      </c>
      <c r="S304" s="5">
        <v>3.0</v>
      </c>
      <c r="T304" s="6" t="s">
        <v>33</v>
      </c>
      <c r="U304" s="5">
        <v>2.0210629E7</v>
      </c>
      <c r="V304" s="5">
        <v>2.0210629E7</v>
      </c>
      <c r="W304" s="5">
        <v>29.679352669</v>
      </c>
      <c r="X304" s="5">
        <v>-95.2720738089999</v>
      </c>
    </row>
    <row r="305" ht="15.75" customHeight="1">
      <c r="A305" s="5">
        <v>11359.0</v>
      </c>
      <c r="B305" s="6">
        <v>2021.0</v>
      </c>
      <c r="C305" s="6" t="str">
        <f t="shared" si="1"/>
        <v>351 N ST CHARLES,Houston,Texas</v>
      </c>
      <c r="D305" s="6" t="s">
        <v>735</v>
      </c>
      <c r="E305" s="6" t="s">
        <v>25</v>
      </c>
      <c r="F305" s="6" t="s">
        <v>26</v>
      </c>
      <c r="G305" s="6" t="s">
        <v>172</v>
      </c>
      <c r="H305" s="6" t="s">
        <v>28</v>
      </c>
      <c r="I305" s="6" t="str">
        <f>VLOOKUP(H305,'Flow Location'!$A$1:$B$21,2,FALSE)</f>
        <v>Storm Sewer (not contained)</v>
      </c>
      <c r="J305" s="5">
        <v>360.0</v>
      </c>
      <c r="K305" s="6" t="s">
        <v>29</v>
      </c>
      <c r="L305" s="6" t="str">
        <f>VLOOKUP(K305,'Structure type'!$A$1:$B$15,2,FALSE)</f>
        <v>Manhole</v>
      </c>
      <c r="M305" s="6" t="s">
        <v>423</v>
      </c>
      <c r="N305" s="6" t="str">
        <f>VLOOKUP(M305,'Excursion Cause'!$A$1:$B$34,2,FALSE)</f>
        <v>Collection system ‐ wet weather</v>
      </c>
      <c r="O305" s="7">
        <v>44376.0</v>
      </c>
      <c r="P305" s="6" t="s">
        <v>749</v>
      </c>
      <c r="Q305" s="7">
        <v>44376.0</v>
      </c>
      <c r="R305" s="6" t="s">
        <v>215</v>
      </c>
      <c r="S305" s="5">
        <v>20.0</v>
      </c>
      <c r="T305" s="6" t="s">
        <v>737</v>
      </c>
      <c r="U305" s="5">
        <v>2.0210629E7</v>
      </c>
      <c r="V305" s="5">
        <v>2.0210629E7</v>
      </c>
      <c r="W305" s="5">
        <v>29.75958934</v>
      </c>
      <c r="X305" s="5">
        <v>-95.343279402</v>
      </c>
    </row>
    <row r="306" ht="15.75" customHeight="1">
      <c r="A306" s="5">
        <v>11360.0</v>
      </c>
      <c r="B306" s="6">
        <v>2021.0</v>
      </c>
      <c r="C306" s="6" t="str">
        <f t="shared" si="1"/>
        <v>10330 EASTEX FWY,Houston,Texas</v>
      </c>
      <c r="D306" s="6" t="s">
        <v>452</v>
      </c>
      <c r="E306" s="6" t="s">
        <v>25</v>
      </c>
      <c r="F306" s="6" t="s">
        <v>26</v>
      </c>
      <c r="G306" s="6" t="s">
        <v>109</v>
      </c>
      <c r="H306" s="6" t="s">
        <v>28</v>
      </c>
      <c r="I306" s="6" t="str">
        <f>VLOOKUP(H306,'Flow Location'!$A$1:$B$21,2,FALSE)</f>
        <v>Storm Sewer (not contained)</v>
      </c>
      <c r="J306" s="5">
        <v>14790.0</v>
      </c>
      <c r="K306" s="6" t="s">
        <v>29</v>
      </c>
      <c r="L306" s="6" t="str">
        <f>VLOOKUP(K306,'Structure type'!$A$1:$B$15,2,FALSE)</f>
        <v>Manhole</v>
      </c>
      <c r="M306" s="6" t="s">
        <v>423</v>
      </c>
      <c r="N306" s="6" t="str">
        <f>VLOOKUP(M306,'Excursion Cause'!$A$1:$B$34,2,FALSE)</f>
        <v>Collection system ‐ wet weather</v>
      </c>
      <c r="O306" s="7">
        <v>44376.0</v>
      </c>
      <c r="P306" s="6" t="s">
        <v>750</v>
      </c>
      <c r="Q306" s="7">
        <v>44376.0</v>
      </c>
      <c r="R306" s="6" t="s">
        <v>339</v>
      </c>
      <c r="S306" s="5">
        <v>37.0</v>
      </c>
      <c r="T306" s="6" t="s">
        <v>737</v>
      </c>
      <c r="U306" s="5">
        <v>2.0210629E7</v>
      </c>
      <c r="V306" s="5">
        <v>2.0210629E7</v>
      </c>
      <c r="W306" s="5">
        <v>29.861749671</v>
      </c>
      <c r="X306" s="5">
        <v>-95.332866495</v>
      </c>
    </row>
    <row r="307" ht="15.75" customHeight="1">
      <c r="A307" s="5">
        <v>11361.0</v>
      </c>
      <c r="B307" s="6">
        <v>2021.0</v>
      </c>
      <c r="C307" s="6" t="str">
        <f t="shared" si="1"/>
        <v>3426 PARKER RD,Houston,Texas</v>
      </c>
      <c r="D307" s="6" t="s">
        <v>449</v>
      </c>
      <c r="E307" s="6" t="s">
        <v>25</v>
      </c>
      <c r="F307" s="6" t="s">
        <v>26</v>
      </c>
      <c r="G307" s="6" t="s">
        <v>109</v>
      </c>
      <c r="H307" s="6" t="s">
        <v>28</v>
      </c>
      <c r="I307" s="6" t="str">
        <f>VLOOKUP(H307,'Flow Location'!$A$1:$B$21,2,FALSE)</f>
        <v>Storm Sewer (not contained)</v>
      </c>
      <c r="J307" s="5">
        <v>7550.0</v>
      </c>
      <c r="K307" s="6" t="s">
        <v>29</v>
      </c>
      <c r="L307" s="6" t="str">
        <f>VLOOKUP(K307,'Structure type'!$A$1:$B$15,2,FALSE)</f>
        <v>Manhole</v>
      </c>
      <c r="M307" s="6" t="s">
        <v>423</v>
      </c>
      <c r="N307" s="6" t="str">
        <f>VLOOKUP(M307,'Excursion Cause'!$A$1:$B$34,2,FALSE)</f>
        <v>Collection system ‐ wet weather</v>
      </c>
      <c r="O307" s="7">
        <v>44376.0</v>
      </c>
      <c r="P307" s="6" t="s">
        <v>751</v>
      </c>
      <c r="Q307" s="7">
        <v>44376.0</v>
      </c>
      <c r="R307" s="6" t="s">
        <v>752</v>
      </c>
      <c r="S307" s="5">
        <v>20.0</v>
      </c>
      <c r="T307" s="6" t="s">
        <v>737</v>
      </c>
      <c r="U307" s="5">
        <v>2.0210629E7</v>
      </c>
      <c r="V307" s="5">
        <v>2.0210629E7</v>
      </c>
      <c r="W307" s="5">
        <v>29.859225806</v>
      </c>
      <c r="X307" s="5">
        <v>-95.335071637</v>
      </c>
    </row>
    <row r="308" ht="15.75" customHeight="1">
      <c r="A308" s="5">
        <v>11362.0</v>
      </c>
      <c r="B308" s="6">
        <v>2021.0</v>
      </c>
      <c r="C308" s="6" t="str">
        <f t="shared" si="1"/>
        <v>3200 PARKER RD,Houston,Texas</v>
      </c>
      <c r="D308" s="6" t="s">
        <v>630</v>
      </c>
      <c r="E308" s="6" t="s">
        <v>25</v>
      </c>
      <c r="F308" s="6" t="s">
        <v>26</v>
      </c>
      <c r="G308" s="6" t="s">
        <v>109</v>
      </c>
      <c r="H308" s="6" t="s">
        <v>28</v>
      </c>
      <c r="I308" s="6" t="str">
        <f>VLOOKUP(H308,'Flow Location'!$A$1:$B$21,2,FALSE)</f>
        <v>Storm Sewer (not contained)</v>
      </c>
      <c r="J308" s="5">
        <v>5565.0</v>
      </c>
      <c r="K308" s="6" t="s">
        <v>29</v>
      </c>
      <c r="L308" s="6" t="str">
        <f>VLOOKUP(K308,'Structure type'!$A$1:$B$15,2,FALSE)</f>
        <v>Manhole</v>
      </c>
      <c r="M308" s="6" t="s">
        <v>423</v>
      </c>
      <c r="N308" s="6" t="str">
        <f>VLOOKUP(M308,'Excursion Cause'!$A$1:$B$34,2,FALSE)</f>
        <v>Collection system ‐ wet weather</v>
      </c>
      <c r="O308" s="7">
        <v>44376.0</v>
      </c>
      <c r="P308" s="6" t="s">
        <v>537</v>
      </c>
      <c r="Q308" s="7">
        <v>44376.0</v>
      </c>
      <c r="R308" s="6" t="s">
        <v>752</v>
      </c>
      <c r="S308" s="5">
        <v>15.0</v>
      </c>
      <c r="T308" s="6" t="s">
        <v>439</v>
      </c>
      <c r="U308" s="5">
        <v>2.0210629E7</v>
      </c>
      <c r="V308" s="5">
        <v>2.0210629E7</v>
      </c>
      <c r="W308" s="5">
        <v>29.8594960290001</v>
      </c>
      <c r="X308" s="5">
        <v>-95.337609395</v>
      </c>
    </row>
    <row r="309" ht="15.75" customHeight="1">
      <c r="A309" s="5">
        <v>11363.0</v>
      </c>
      <c r="B309" s="6">
        <v>2021.0</v>
      </c>
      <c r="C309" s="6" t="str">
        <f t="shared" si="1"/>
        <v>4701 PEASE ST,Houston,Texas</v>
      </c>
      <c r="D309" s="6" t="s">
        <v>738</v>
      </c>
      <c r="E309" s="6" t="s">
        <v>25</v>
      </c>
      <c r="F309" s="6" t="s">
        <v>26</v>
      </c>
      <c r="G309" s="6" t="s">
        <v>141</v>
      </c>
      <c r="H309" s="6" t="s">
        <v>28</v>
      </c>
      <c r="I309" s="6" t="str">
        <f>VLOOKUP(H309,'Flow Location'!$A$1:$B$21,2,FALSE)</f>
        <v>Storm Sewer (not contained)</v>
      </c>
      <c r="J309" s="5">
        <v>1560.0</v>
      </c>
      <c r="K309" s="6" t="s">
        <v>29</v>
      </c>
      <c r="L309" s="6" t="str">
        <f>VLOOKUP(K309,'Structure type'!$A$1:$B$15,2,FALSE)</f>
        <v>Manhole</v>
      </c>
      <c r="M309" s="6" t="s">
        <v>423</v>
      </c>
      <c r="N309" s="6" t="str">
        <f>VLOOKUP(M309,'Excursion Cause'!$A$1:$B$34,2,FALSE)</f>
        <v>Collection system ‐ wet weather</v>
      </c>
      <c r="O309" s="7">
        <v>44376.0</v>
      </c>
      <c r="P309" s="6" t="s">
        <v>753</v>
      </c>
      <c r="Q309" s="7">
        <v>44376.0</v>
      </c>
      <c r="R309" s="6" t="s">
        <v>754</v>
      </c>
      <c r="S309" s="5">
        <v>12.0</v>
      </c>
      <c r="T309" s="6" t="s">
        <v>439</v>
      </c>
      <c r="U309" s="5">
        <v>2.0210629E7</v>
      </c>
      <c r="V309" s="5">
        <v>2.0210629E7</v>
      </c>
      <c r="W309" s="5">
        <v>29.7338318540001</v>
      </c>
      <c r="X309" s="5">
        <v>-95.332061916</v>
      </c>
    </row>
    <row r="310" ht="15.75" customHeight="1">
      <c r="A310" s="5">
        <v>11364.0</v>
      </c>
      <c r="B310" s="6">
        <v>2021.0</v>
      </c>
      <c r="C310" s="6" t="str">
        <f t="shared" si="1"/>
        <v>5701 GULF FWY,Houston,Texas</v>
      </c>
      <c r="D310" s="6" t="s">
        <v>538</v>
      </c>
      <c r="E310" s="6" t="s">
        <v>25</v>
      </c>
      <c r="F310" s="6" t="s">
        <v>26</v>
      </c>
      <c r="G310" s="6" t="s">
        <v>141</v>
      </c>
      <c r="H310" s="6" t="s">
        <v>28</v>
      </c>
      <c r="I310" s="6" t="str">
        <f>VLOOKUP(H310,'Flow Location'!$A$1:$B$21,2,FALSE)</f>
        <v>Storm Sewer (not contained)</v>
      </c>
      <c r="J310" s="5">
        <v>186.0</v>
      </c>
      <c r="K310" s="6" t="s">
        <v>29</v>
      </c>
      <c r="L310" s="6" t="str">
        <f>VLOOKUP(K310,'Structure type'!$A$1:$B$15,2,FALSE)</f>
        <v>Manhole</v>
      </c>
      <c r="M310" s="6" t="s">
        <v>423</v>
      </c>
      <c r="N310" s="6" t="str">
        <f>VLOOKUP(M310,'Excursion Cause'!$A$1:$B$34,2,FALSE)</f>
        <v>Collection system ‐ wet weather</v>
      </c>
      <c r="O310" s="7">
        <v>44376.0</v>
      </c>
      <c r="P310" s="6" t="s">
        <v>496</v>
      </c>
      <c r="Q310" s="7">
        <v>44376.0</v>
      </c>
      <c r="R310" s="6" t="s">
        <v>755</v>
      </c>
      <c r="S310" s="5">
        <v>3.0</v>
      </c>
      <c r="T310" s="6" t="s">
        <v>737</v>
      </c>
      <c r="U310" s="5">
        <v>2.0210629E7</v>
      </c>
      <c r="V310" s="5">
        <v>2.0210629E7</v>
      </c>
      <c r="W310" s="5">
        <v>29.718046653</v>
      </c>
      <c r="X310" s="5">
        <v>-95.319258605</v>
      </c>
    </row>
    <row r="311" ht="15.75" customHeight="1">
      <c r="A311" s="5">
        <v>11365.0</v>
      </c>
      <c r="B311" s="6">
        <v>2021.0</v>
      </c>
      <c r="C311" s="6" t="str">
        <f t="shared" si="1"/>
        <v>116 DORCHESTER ST,Houston,Texas</v>
      </c>
      <c r="D311" s="6" t="s">
        <v>756</v>
      </c>
      <c r="E311" s="6" t="s">
        <v>25</v>
      </c>
      <c r="F311" s="6" t="s">
        <v>26</v>
      </c>
      <c r="G311" s="6" t="s">
        <v>653</v>
      </c>
      <c r="H311" s="6" t="s">
        <v>28</v>
      </c>
      <c r="I311" s="6" t="str">
        <f>VLOOKUP(H311,'Flow Location'!$A$1:$B$21,2,FALSE)</f>
        <v>Storm Sewer (not contained)</v>
      </c>
      <c r="J311" s="5">
        <v>0.0</v>
      </c>
      <c r="K311" s="6" t="s">
        <v>198</v>
      </c>
      <c r="L311" s="6" t="str">
        <f>VLOOKUP(K311,'Structure type'!$A$1:$B$15,2,FALSE)</f>
        <v>Service Lateral</v>
      </c>
      <c r="M311" s="6" t="s">
        <v>56</v>
      </c>
      <c r="N311" s="6" t="str">
        <f>VLOOKUP(M311,'Excursion Cause'!$A$1:$B$34,2,FALSE)</f>
        <v>Rags/Wipes</v>
      </c>
      <c r="O311" s="7">
        <v>44377.0</v>
      </c>
      <c r="P311" s="6" t="s">
        <v>757</v>
      </c>
      <c r="Q311" s="7">
        <v>44377.0</v>
      </c>
      <c r="R311" s="6" t="s">
        <v>757</v>
      </c>
      <c r="S311" s="5">
        <v>0.0</v>
      </c>
      <c r="T311" s="6" t="s">
        <v>89</v>
      </c>
      <c r="U311" s="5">
        <v>2.021063E7</v>
      </c>
      <c r="V311" s="5">
        <v>2.021063E7</v>
      </c>
      <c r="W311" s="5">
        <v>29.8223524630001</v>
      </c>
      <c r="X311" s="5">
        <v>-95.374412991</v>
      </c>
    </row>
    <row r="312" ht="15.75" customHeight="1">
      <c r="A312" s="5">
        <v>11367.0</v>
      </c>
      <c r="B312" s="6">
        <v>2021.0</v>
      </c>
      <c r="C312" s="6" t="str">
        <f t="shared" si="1"/>
        <v>2818 ARBOR ST,Houston,Texas</v>
      </c>
      <c r="D312" s="6" t="s">
        <v>758</v>
      </c>
      <c r="E312" s="6" t="s">
        <v>25</v>
      </c>
      <c r="F312" s="6" t="s">
        <v>26</v>
      </c>
      <c r="G312" s="6" t="s">
        <v>308</v>
      </c>
      <c r="H312" s="6" t="s">
        <v>28</v>
      </c>
      <c r="I312" s="6" t="str">
        <f>VLOOKUP(H312,'Flow Location'!$A$1:$B$21,2,FALSE)</f>
        <v>Storm Sewer (not contained)</v>
      </c>
      <c r="J312" s="5">
        <v>2900.0</v>
      </c>
      <c r="K312" s="6" t="s">
        <v>290</v>
      </c>
      <c r="L312" s="6" t="str">
        <f>VLOOKUP(K312,'Structure type'!$A$1:$B$15,2,FALSE)</f>
        <v>Gravity Main</v>
      </c>
      <c r="M312" s="6" t="s">
        <v>759</v>
      </c>
      <c r="N312" s="6" t="str">
        <f>VLOOKUP(M312,'Excursion Cause'!$A$1:$B$34,2,FALSE)</f>
        <v>Roots</v>
      </c>
      <c r="O312" s="7">
        <v>44377.0</v>
      </c>
      <c r="P312" s="6" t="s">
        <v>710</v>
      </c>
      <c r="Q312" s="7">
        <v>44378.0</v>
      </c>
      <c r="R312" s="6" t="s">
        <v>428</v>
      </c>
      <c r="S312" s="5">
        <v>2.0</v>
      </c>
      <c r="T312" s="6" t="s">
        <v>59</v>
      </c>
      <c r="U312" s="5">
        <v>2.021063E7</v>
      </c>
      <c r="V312" s="5">
        <v>2.0210701E7</v>
      </c>
      <c r="W312" s="5">
        <v>29.7213326350001</v>
      </c>
      <c r="X312" s="5">
        <v>-95.369396925</v>
      </c>
    </row>
    <row r="313" ht="15.75" customHeight="1">
      <c r="A313" s="5">
        <v>11368.0</v>
      </c>
      <c r="B313" s="6">
        <v>2021.0</v>
      </c>
      <c r="C313" s="6" t="str">
        <f t="shared" si="1"/>
        <v>421 DENNIS ST,Houston,Texas</v>
      </c>
      <c r="D313" s="6" t="s">
        <v>760</v>
      </c>
      <c r="E313" s="6" t="s">
        <v>25</v>
      </c>
      <c r="F313" s="6" t="s">
        <v>26</v>
      </c>
      <c r="G313" s="6" t="s">
        <v>761</v>
      </c>
      <c r="H313" s="6" t="s">
        <v>28</v>
      </c>
      <c r="I313" s="6" t="str">
        <f>VLOOKUP(H313,'Flow Location'!$A$1:$B$21,2,FALSE)</f>
        <v>Storm Sewer (not contained)</v>
      </c>
      <c r="J313" s="5">
        <v>119.0</v>
      </c>
      <c r="K313" s="6" t="s">
        <v>29</v>
      </c>
      <c r="L313" s="6" t="str">
        <f>VLOOKUP(K313,'Structure type'!$A$1:$B$15,2,FALSE)</f>
        <v>Manhole</v>
      </c>
      <c r="M313" s="6" t="s">
        <v>30</v>
      </c>
      <c r="N313" s="6" t="str">
        <f>VLOOKUP(M313,'Excursion Cause'!$A$1:$B$34,2,FALSE)</f>
        <v>Grease Blockage</v>
      </c>
      <c r="O313" s="7">
        <v>44377.0</v>
      </c>
      <c r="P313" s="6" t="s">
        <v>762</v>
      </c>
      <c r="Q313" s="7">
        <v>44377.0</v>
      </c>
      <c r="R313" s="6" t="s">
        <v>522</v>
      </c>
      <c r="S313" s="5">
        <v>1.0</v>
      </c>
      <c r="T313" s="6" t="s">
        <v>33</v>
      </c>
      <c r="U313" s="5">
        <v>2.021063E7</v>
      </c>
      <c r="V313" s="5">
        <v>2.021063E7</v>
      </c>
      <c r="W313" s="5">
        <v>29.7473566420001</v>
      </c>
      <c r="X313" s="5">
        <v>-95.379053045</v>
      </c>
    </row>
    <row r="314" ht="15.75" customHeight="1">
      <c r="A314" s="5">
        <v>11370.0</v>
      </c>
      <c r="B314" s="6">
        <v>2021.0</v>
      </c>
      <c r="C314" s="6" t="str">
        <f t="shared" si="1"/>
        <v>541 S 75TH ST,Houston,Texas</v>
      </c>
      <c r="D314" s="6" t="s">
        <v>763</v>
      </c>
      <c r="E314" s="6" t="s">
        <v>25</v>
      </c>
      <c r="F314" s="6" t="s">
        <v>26</v>
      </c>
      <c r="G314" s="6" t="s">
        <v>141</v>
      </c>
      <c r="H314" s="6" t="s">
        <v>44</v>
      </c>
      <c r="I314" s="6" t="str">
        <f>VLOOKUP(H314,'Flow Location'!$A$1:$B$21,2,FALSE)</f>
        <v>Bayou/surface water/drainage ditch</v>
      </c>
      <c r="J314" s="5">
        <v>10625.0</v>
      </c>
      <c r="K314" s="6" t="s">
        <v>29</v>
      </c>
      <c r="L314" s="6" t="str">
        <f>VLOOKUP(K314,'Structure type'!$A$1:$B$15,2,FALSE)</f>
        <v>Manhole</v>
      </c>
      <c r="M314" s="6" t="s">
        <v>764</v>
      </c>
      <c r="N314" s="6" t="str">
        <f>VLOOKUP(M314,'Excursion Cause'!$A$1:$B$34,2,FALSE)</f>
        <v>Power Outage</v>
      </c>
      <c r="O314" s="7">
        <v>44377.0</v>
      </c>
      <c r="P314" s="6" t="s">
        <v>765</v>
      </c>
      <c r="Q314" s="7">
        <v>44377.0</v>
      </c>
      <c r="R314" s="6" t="s">
        <v>766</v>
      </c>
      <c r="S314" s="5">
        <v>25.0</v>
      </c>
      <c r="T314" s="6" t="s">
        <v>767</v>
      </c>
      <c r="U314" s="5">
        <v>2.021063E7</v>
      </c>
      <c r="V314" s="5">
        <v>2.021063E7</v>
      </c>
      <c r="W314" s="5">
        <v>29.72524099</v>
      </c>
      <c r="X314" s="5">
        <v>-95.293449003</v>
      </c>
    </row>
    <row r="315" ht="15.75" customHeight="1">
      <c r="A315" s="5">
        <v>11371.0</v>
      </c>
      <c r="B315" s="6">
        <v>2021.0</v>
      </c>
      <c r="C315" s="6" t="str">
        <f t="shared" si="1"/>
        <v>541 S 75TH ST,Houston,Texas</v>
      </c>
      <c r="D315" s="6" t="s">
        <v>763</v>
      </c>
      <c r="E315" s="6" t="s">
        <v>25</v>
      </c>
      <c r="F315" s="6" t="s">
        <v>26</v>
      </c>
      <c r="G315" s="6" t="s">
        <v>141</v>
      </c>
      <c r="H315" s="6" t="s">
        <v>44</v>
      </c>
      <c r="I315" s="6" t="str">
        <f>VLOOKUP(H315,'Flow Location'!$A$1:$B$21,2,FALSE)</f>
        <v>Bayou/surface water/drainage ditch</v>
      </c>
      <c r="J315" s="5">
        <v>6375.0</v>
      </c>
      <c r="K315" s="6" t="s">
        <v>29</v>
      </c>
      <c r="L315" s="6" t="str">
        <f>VLOOKUP(K315,'Structure type'!$A$1:$B$15,2,FALSE)</f>
        <v>Manhole</v>
      </c>
      <c r="M315" s="6" t="s">
        <v>764</v>
      </c>
      <c r="N315" s="6" t="str">
        <f>VLOOKUP(M315,'Excursion Cause'!$A$1:$B$34,2,FALSE)</f>
        <v>Power Outage</v>
      </c>
      <c r="O315" s="7">
        <v>44377.0</v>
      </c>
      <c r="P315" s="6" t="s">
        <v>765</v>
      </c>
      <c r="Q315" s="7">
        <v>44377.0</v>
      </c>
      <c r="R315" s="6" t="s">
        <v>768</v>
      </c>
      <c r="S315" s="5">
        <v>13.0</v>
      </c>
      <c r="T315" s="6" t="s">
        <v>767</v>
      </c>
      <c r="U315" s="5">
        <v>2.021063E7</v>
      </c>
      <c r="V315" s="5">
        <v>2.021063E7</v>
      </c>
      <c r="W315" s="5">
        <v>29.72524099</v>
      </c>
      <c r="X315" s="5">
        <v>-95.293449003</v>
      </c>
    </row>
    <row r="316" ht="15.75" customHeight="1">
      <c r="A316" s="5">
        <v>11375.0</v>
      </c>
      <c r="B316" s="6">
        <v>2021.0</v>
      </c>
      <c r="C316" s="6" t="str">
        <f t="shared" si="1"/>
        <v>7000 CAPITOL ST,Houston,Texas</v>
      </c>
      <c r="D316" s="6" t="s">
        <v>647</v>
      </c>
      <c r="E316" s="6" t="s">
        <v>25</v>
      </c>
      <c r="F316" s="6" t="s">
        <v>26</v>
      </c>
      <c r="G316" s="6" t="s">
        <v>227</v>
      </c>
      <c r="H316" s="6" t="s">
        <v>50</v>
      </c>
      <c r="I316" s="6" t="str">
        <f>VLOOKUP(H316,'Flow Location'!$A$1:$B$21,2,FALSE)</f>
        <v>Contained On Site, not within 5 ft. of Bayou/Surface Water/Drainage Ditch</v>
      </c>
      <c r="J316" s="5">
        <v>0.0</v>
      </c>
      <c r="K316" s="6" t="s">
        <v>29</v>
      </c>
      <c r="L316" s="6" t="str">
        <f>VLOOKUP(K316,'Structure type'!$A$1:$B$15,2,FALSE)</f>
        <v>Manhole</v>
      </c>
      <c r="M316" s="6" t="s">
        <v>423</v>
      </c>
      <c r="N316" s="6" t="str">
        <f>VLOOKUP(M316,'Excursion Cause'!$A$1:$B$34,2,FALSE)</f>
        <v>Collection system ‐ wet weather</v>
      </c>
      <c r="O316" s="7">
        <v>44377.0</v>
      </c>
      <c r="P316" s="6" t="s">
        <v>769</v>
      </c>
      <c r="Q316" s="7">
        <v>44377.0</v>
      </c>
      <c r="R316" s="6" t="s">
        <v>769</v>
      </c>
      <c r="S316" s="5">
        <v>0.0</v>
      </c>
      <c r="T316" s="6" t="s">
        <v>118</v>
      </c>
      <c r="U316" s="5">
        <v>2.021063E7</v>
      </c>
      <c r="V316" s="5">
        <v>2.021063E7</v>
      </c>
      <c r="W316" s="5">
        <v>29.73439449</v>
      </c>
      <c r="X316" s="5">
        <v>-95.302750066</v>
      </c>
    </row>
    <row r="317" ht="15.75" customHeight="1">
      <c r="A317" s="5">
        <v>11376.0</v>
      </c>
      <c r="B317" s="6">
        <v>2021.0</v>
      </c>
      <c r="C317" s="6" t="str">
        <f t="shared" si="1"/>
        <v>929 WYNNWOOD LN,Houston,Texas</v>
      </c>
      <c r="D317" s="6" t="s">
        <v>770</v>
      </c>
      <c r="E317" s="6" t="s">
        <v>25</v>
      </c>
      <c r="F317" s="6" t="s">
        <v>26</v>
      </c>
      <c r="G317" s="6" t="s">
        <v>232</v>
      </c>
      <c r="H317" s="6" t="s">
        <v>50</v>
      </c>
      <c r="I317" s="6" t="str">
        <f>VLOOKUP(H317,'Flow Location'!$A$1:$B$21,2,FALSE)</f>
        <v>Contained On Site, not within 5 ft. of Bayou/Surface Water/Drainage Ditch</v>
      </c>
      <c r="J317" s="5">
        <v>0.0</v>
      </c>
      <c r="K317" s="6" t="s">
        <v>51</v>
      </c>
      <c r="L317" s="6" t="str">
        <f>VLOOKUP(K317,'Structure type'!$A$1:$B$15,2,FALSE)</f>
        <v>Private Cleanout</v>
      </c>
      <c r="M317" s="6" t="s">
        <v>423</v>
      </c>
      <c r="N317" s="6" t="str">
        <f>VLOOKUP(M317,'Excursion Cause'!$A$1:$B$34,2,FALSE)</f>
        <v>Collection system ‐ wet weather</v>
      </c>
      <c r="O317" s="7">
        <v>44377.0</v>
      </c>
      <c r="P317" s="6" t="s">
        <v>771</v>
      </c>
      <c r="Q317" s="7">
        <v>44377.0</v>
      </c>
      <c r="R317" s="6" t="s">
        <v>771</v>
      </c>
      <c r="S317" s="5">
        <v>0.0</v>
      </c>
      <c r="T317" s="6" t="s">
        <v>118</v>
      </c>
      <c r="U317" s="5">
        <v>2.021063E7</v>
      </c>
      <c r="V317" s="5">
        <v>2.021063E7</v>
      </c>
      <c r="W317" s="5">
        <v>29.7946054720001</v>
      </c>
      <c r="X317" s="5">
        <v>-95.415812971</v>
      </c>
    </row>
    <row r="318" ht="15.75" customHeight="1">
      <c r="A318" s="5">
        <v>11378.0</v>
      </c>
      <c r="B318" s="6">
        <v>2021.0</v>
      </c>
      <c r="C318" s="6" t="str">
        <f t="shared" si="1"/>
        <v>12130 MURR WAY,Houston,Texas</v>
      </c>
      <c r="D318" s="6" t="s">
        <v>772</v>
      </c>
      <c r="E318" s="6" t="s">
        <v>25</v>
      </c>
      <c r="F318" s="6" t="s">
        <v>26</v>
      </c>
      <c r="G318" s="6" t="s">
        <v>301</v>
      </c>
      <c r="H318" s="6" t="s">
        <v>50</v>
      </c>
      <c r="I318" s="6" t="str">
        <f>VLOOKUP(H318,'Flow Location'!$A$1:$B$21,2,FALSE)</f>
        <v>Contained On Site, not within 5 ft. of Bayou/Surface Water/Drainage Ditch</v>
      </c>
      <c r="J318" s="5">
        <v>0.0</v>
      </c>
      <c r="K318" s="6" t="s">
        <v>51</v>
      </c>
      <c r="L318" s="6" t="str">
        <f>VLOOKUP(K318,'Structure type'!$A$1:$B$15,2,FALSE)</f>
        <v>Private Cleanout</v>
      </c>
      <c r="M318" s="6" t="s">
        <v>30</v>
      </c>
      <c r="N318" s="6" t="str">
        <f>VLOOKUP(M318,'Excursion Cause'!$A$1:$B$34,2,FALSE)</f>
        <v>Grease Blockage</v>
      </c>
      <c r="O318" s="7">
        <v>44377.0</v>
      </c>
      <c r="P318" s="6" t="s">
        <v>773</v>
      </c>
      <c r="Q318" s="7">
        <v>44377.0</v>
      </c>
      <c r="R318" s="6" t="s">
        <v>773</v>
      </c>
      <c r="S318" s="5">
        <v>0.0</v>
      </c>
      <c r="T318" s="6" t="s">
        <v>33</v>
      </c>
      <c r="U318" s="5">
        <v>2.021063E7</v>
      </c>
      <c r="V318" s="5">
        <v>2.021063E7</v>
      </c>
      <c r="W318" s="5">
        <v>29.626190197</v>
      </c>
      <c r="X318" s="5">
        <v>-95.349013896</v>
      </c>
    </row>
    <row r="319" ht="15.75" customHeight="1">
      <c r="A319" s="5">
        <v>11382.0</v>
      </c>
      <c r="B319" s="6">
        <v>2021.0</v>
      </c>
      <c r="C319" s="6" t="str">
        <f t="shared" si="1"/>
        <v>5439 WHISPERING CREEK WAY,Houston,Texas</v>
      </c>
      <c r="D319" s="6" t="s">
        <v>774</v>
      </c>
      <c r="E319" s="6" t="s">
        <v>25</v>
      </c>
      <c r="F319" s="6" t="s">
        <v>26</v>
      </c>
      <c r="G319" s="6" t="s">
        <v>135</v>
      </c>
      <c r="H319" s="6" t="s">
        <v>50</v>
      </c>
      <c r="I319" s="6" t="str">
        <f>VLOOKUP(H319,'Flow Location'!$A$1:$B$21,2,FALSE)</f>
        <v>Contained On Site, not within 5 ft. of Bayou/Surface Water/Drainage Ditch</v>
      </c>
      <c r="J319" s="5">
        <v>50.0</v>
      </c>
      <c r="K319" s="6" t="s">
        <v>29</v>
      </c>
      <c r="L319" s="6" t="str">
        <f>VLOOKUP(K319,'Structure type'!$A$1:$B$15,2,FALSE)</f>
        <v>Manhole</v>
      </c>
      <c r="M319" s="6" t="s">
        <v>56</v>
      </c>
      <c r="N319" s="6" t="str">
        <f>VLOOKUP(M319,'Excursion Cause'!$A$1:$B$34,2,FALSE)</f>
        <v>Rags/Wipes</v>
      </c>
      <c r="O319" s="7">
        <v>44378.0</v>
      </c>
      <c r="P319" s="6" t="s">
        <v>356</v>
      </c>
      <c r="Q319" s="7">
        <v>44378.0</v>
      </c>
      <c r="R319" s="6" t="s">
        <v>775</v>
      </c>
      <c r="S319" s="5">
        <v>1.0</v>
      </c>
      <c r="T319" s="6" t="s">
        <v>33</v>
      </c>
      <c r="U319" s="5">
        <v>2.0210701E7</v>
      </c>
      <c r="V319" s="5">
        <v>2.0210701E7</v>
      </c>
      <c r="W319" s="5">
        <v>29.672695091</v>
      </c>
      <c r="X319" s="5">
        <v>-95.239571219</v>
      </c>
    </row>
    <row r="320" ht="15.75" customHeight="1">
      <c r="A320" s="5">
        <v>11390.0</v>
      </c>
      <c r="B320" s="6">
        <v>2021.0</v>
      </c>
      <c r="C320" s="6" t="str">
        <f t="shared" si="1"/>
        <v>2701 TURNER DR,Houston,Texas</v>
      </c>
      <c r="D320" s="6" t="s">
        <v>776</v>
      </c>
      <c r="E320" s="6" t="s">
        <v>25</v>
      </c>
      <c r="F320" s="6" t="s">
        <v>26</v>
      </c>
      <c r="G320" s="6" t="s">
        <v>109</v>
      </c>
      <c r="H320" s="6" t="s">
        <v>50</v>
      </c>
      <c r="I320" s="6" t="str">
        <f>VLOOKUP(H320,'Flow Location'!$A$1:$B$21,2,FALSE)</f>
        <v>Contained On Site, not within 5 ft. of Bayou/Surface Water/Drainage Ditch</v>
      </c>
      <c r="J320" s="5">
        <v>0.0</v>
      </c>
      <c r="K320" s="6" t="s">
        <v>45</v>
      </c>
      <c r="L320" s="6" t="str">
        <f>VLOOKUP(K320,'Structure type'!$A$1:$B$15,2,FALSE)</f>
        <v>City Cleanout</v>
      </c>
      <c r="M320" s="6" t="s">
        <v>81</v>
      </c>
      <c r="N320" s="6" t="str">
        <f>VLOOKUP(M320,'Excursion Cause'!$A$1:$B$34,2,FALSE)</f>
        <v>Collection system structural failure</v>
      </c>
      <c r="O320" s="7">
        <v>44379.0</v>
      </c>
      <c r="P320" s="6" t="s">
        <v>777</v>
      </c>
      <c r="Q320" s="7">
        <v>44379.0</v>
      </c>
      <c r="R320" s="6" t="s">
        <v>777</v>
      </c>
      <c r="S320" s="5">
        <v>0.0</v>
      </c>
      <c r="T320" s="6" t="s">
        <v>107</v>
      </c>
      <c r="U320" s="5">
        <v>2.0210702E7</v>
      </c>
      <c r="V320" s="5">
        <v>2.0210702E7</v>
      </c>
      <c r="W320" s="5">
        <v>29.8511986990001</v>
      </c>
      <c r="X320" s="5">
        <v>-95.342929138</v>
      </c>
    </row>
    <row r="321" ht="15.75" customHeight="1">
      <c r="A321" s="5">
        <v>11394.0</v>
      </c>
      <c r="B321" s="6">
        <v>2021.0</v>
      </c>
      <c r="C321" s="6" t="str">
        <f t="shared" si="1"/>
        <v>3334 WUTHERING HEIGHTS DR,Houston,Texas</v>
      </c>
      <c r="D321" s="6" t="s">
        <v>778</v>
      </c>
      <c r="E321" s="6" t="s">
        <v>25</v>
      </c>
      <c r="F321" s="6" t="s">
        <v>26</v>
      </c>
      <c r="G321" s="6" t="s">
        <v>39</v>
      </c>
      <c r="H321" s="6" t="s">
        <v>50</v>
      </c>
      <c r="I321" s="6" t="str">
        <f>VLOOKUP(H321,'Flow Location'!$A$1:$B$21,2,FALSE)</f>
        <v>Contained On Site, not within 5 ft. of Bayou/Surface Water/Drainage Ditch</v>
      </c>
      <c r="J321" s="5">
        <v>310.0</v>
      </c>
      <c r="K321" s="6" t="s">
        <v>51</v>
      </c>
      <c r="L321" s="6" t="str">
        <f>VLOOKUP(K321,'Structure type'!$A$1:$B$15,2,FALSE)</f>
        <v>Private Cleanout</v>
      </c>
      <c r="M321" s="6" t="s">
        <v>30</v>
      </c>
      <c r="N321" s="6" t="str">
        <f>VLOOKUP(M321,'Excursion Cause'!$A$1:$B$34,2,FALSE)</f>
        <v>Grease Blockage</v>
      </c>
      <c r="O321" s="7">
        <v>44379.0</v>
      </c>
      <c r="P321" s="6" t="s">
        <v>353</v>
      </c>
      <c r="Q321" s="7">
        <v>44380.0</v>
      </c>
      <c r="R321" s="6" t="s">
        <v>402</v>
      </c>
      <c r="S321" s="5">
        <v>0.0</v>
      </c>
      <c r="T321" s="6" t="s">
        <v>33</v>
      </c>
      <c r="U321" s="5">
        <v>2.0210702E7</v>
      </c>
      <c r="V321" s="5">
        <v>2.0210703E7</v>
      </c>
      <c r="W321" s="5">
        <v>29.6353220290001</v>
      </c>
      <c r="X321" s="5">
        <v>-95.427377902</v>
      </c>
    </row>
    <row r="322" ht="15.75" customHeight="1">
      <c r="A322" s="5">
        <v>11397.0</v>
      </c>
      <c r="B322" s="6">
        <v>2021.0</v>
      </c>
      <c r="C322" s="6" t="str">
        <f t="shared" si="1"/>
        <v>12218 REINAISSANCE LN,Houston,Texas</v>
      </c>
      <c r="D322" s="6" t="s">
        <v>779</v>
      </c>
      <c r="E322" s="6" t="s">
        <v>25</v>
      </c>
      <c r="F322" s="6" t="s">
        <v>26</v>
      </c>
      <c r="G322" s="6" t="s">
        <v>148</v>
      </c>
      <c r="H322" s="6" t="s">
        <v>28</v>
      </c>
      <c r="I322" s="6" t="str">
        <f>VLOOKUP(H322,'Flow Location'!$A$1:$B$21,2,FALSE)</f>
        <v>Storm Sewer (not contained)</v>
      </c>
      <c r="J322" s="5">
        <v>252.0</v>
      </c>
      <c r="K322" s="6" t="s">
        <v>29</v>
      </c>
      <c r="L322" s="6" t="str">
        <f>VLOOKUP(K322,'Structure type'!$A$1:$B$15,2,FALSE)</f>
        <v>Manhole</v>
      </c>
      <c r="M322" s="6" t="s">
        <v>30</v>
      </c>
      <c r="N322" s="6" t="str">
        <f>VLOOKUP(M322,'Excursion Cause'!$A$1:$B$34,2,FALSE)</f>
        <v>Grease Blockage</v>
      </c>
      <c r="O322" s="7">
        <v>44379.0</v>
      </c>
      <c r="P322" s="6" t="s">
        <v>780</v>
      </c>
      <c r="Q322" s="7">
        <v>44379.0</v>
      </c>
      <c r="R322" s="6" t="s">
        <v>702</v>
      </c>
      <c r="S322" s="5">
        <v>1.0</v>
      </c>
      <c r="T322" s="6" t="s">
        <v>59</v>
      </c>
      <c r="U322" s="5">
        <v>2.0210702E7</v>
      </c>
      <c r="V322" s="5">
        <v>2.0210702E7</v>
      </c>
      <c r="W322" s="5">
        <v>29.6443041600001</v>
      </c>
      <c r="X322" s="5">
        <v>-95.521921662</v>
      </c>
    </row>
    <row r="323" ht="15.75" customHeight="1">
      <c r="A323" s="5">
        <v>11404.0</v>
      </c>
      <c r="B323" s="6">
        <v>2021.0</v>
      </c>
      <c r="C323" s="6" t="str">
        <f t="shared" si="1"/>
        <v>555 E ANDERSON RD,Houston,Texas</v>
      </c>
      <c r="D323" s="6" t="s">
        <v>781</v>
      </c>
      <c r="E323" s="6" t="s">
        <v>25</v>
      </c>
      <c r="F323" s="6" t="s">
        <v>26</v>
      </c>
      <c r="G323" s="6" t="s">
        <v>419</v>
      </c>
      <c r="H323" s="6" t="s">
        <v>50</v>
      </c>
      <c r="I323" s="6" t="str">
        <f>VLOOKUP(H323,'Flow Location'!$A$1:$B$21,2,FALSE)</f>
        <v>Contained On Site, not within 5 ft. of Bayou/Surface Water/Drainage Ditch</v>
      </c>
      <c r="J323" s="5">
        <v>0.0</v>
      </c>
      <c r="K323" s="6" t="s">
        <v>782</v>
      </c>
      <c r="L323" s="6" t="str">
        <f>VLOOKUP(K323,'Structure type'!$A$1:$B$15,2,FALSE)</f>
        <v>Private Sample Well</v>
      </c>
      <c r="M323" s="6" t="s">
        <v>30</v>
      </c>
      <c r="N323" s="6" t="str">
        <f>VLOOKUP(M323,'Excursion Cause'!$A$1:$B$34,2,FALSE)</f>
        <v>Grease Blockage</v>
      </c>
      <c r="O323" s="7">
        <v>44379.0</v>
      </c>
      <c r="P323" s="6" t="s">
        <v>783</v>
      </c>
      <c r="Q323" s="7">
        <v>44379.0</v>
      </c>
      <c r="R323" s="6" t="s">
        <v>783</v>
      </c>
      <c r="S323" s="5">
        <v>0.0</v>
      </c>
      <c r="T323" s="6" t="s">
        <v>33</v>
      </c>
      <c r="U323" s="5">
        <v>2.0210702E7</v>
      </c>
      <c r="V323" s="5">
        <v>2.0210702E7</v>
      </c>
      <c r="W323" s="5">
        <v>29.606507434</v>
      </c>
      <c r="X323" s="5">
        <v>-95.4126389959999</v>
      </c>
    </row>
    <row r="324" ht="15.75" customHeight="1">
      <c r="A324" s="5">
        <v>11407.0</v>
      </c>
      <c r="B324" s="6">
        <v>2021.0</v>
      </c>
      <c r="C324" s="6" t="str">
        <f t="shared" si="1"/>
        <v>712 OAKHURST ST,Houston,Texas</v>
      </c>
      <c r="D324" s="6" t="s">
        <v>784</v>
      </c>
      <c r="E324" s="6" t="s">
        <v>25</v>
      </c>
      <c r="F324" s="6" t="s">
        <v>26</v>
      </c>
      <c r="G324" s="6" t="s">
        <v>141</v>
      </c>
      <c r="H324" s="6" t="s">
        <v>50</v>
      </c>
      <c r="I324" s="6" t="str">
        <f>VLOOKUP(H324,'Flow Location'!$A$1:$B$21,2,FALSE)</f>
        <v>Contained On Site, not within 5 ft. of Bayou/Surface Water/Drainage Ditch</v>
      </c>
      <c r="J324" s="5">
        <v>0.0</v>
      </c>
      <c r="K324" s="6" t="s">
        <v>45</v>
      </c>
      <c r="L324" s="6" t="str">
        <f>VLOOKUP(K324,'Structure type'!$A$1:$B$15,2,FALSE)</f>
        <v>City Cleanout</v>
      </c>
      <c r="M324" s="6" t="s">
        <v>56</v>
      </c>
      <c r="N324" s="6" t="str">
        <f>VLOOKUP(M324,'Excursion Cause'!$A$1:$B$34,2,FALSE)</f>
        <v>Rags/Wipes</v>
      </c>
      <c r="O324" s="7">
        <v>44380.0</v>
      </c>
      <c r="P324" s="6" t="s">
        <v>212</v>
      </c>
      <c r="Q324" s="7">
        <v>44380.0</v>
      </c>
      <c r="R324" s="6" t="s">
        <v>212</v>
      </c>
      <c r="S324" s="5">
        <v>0.0</v>
      </c>
      <c r="T324" s="6" t="s">
        <v>270</v>
      </c>
      <c r="U324" s="5">
        <v>2.0210703E7</v>
      </c>
      <c r="V324" s="5">
        <v>2.0210703E7</v>
      </c>
      <c r="W324" s="5">
        <v>29.7435100610001</v>
      </c>
      <c r="X324" s="5">
        <v>-95.335576281</v>
      </c>
    </row>
    <row r="325" ht="15.75" customHeight="1">
      <c r="A325" s="5">
        <v>11408.0</v>
      </c>
      <c r="B325" s="6">
        <v>2021.0</v>
      </c>
      <c r="C325" s="6" t="str">
        <f t="shared" si="1"/>
        <v>10902 SELA LN,Houston,Texas</v>
      </c>
      <c r="D325" s="6" t="s">
        <v>785</v>
      </c>
      <c r="E325" s="6" t="s">
        <v>25</v>
      </c>
      <c r="F325" s="6" t="s">
        <v>26</v>
      </c>
      <c r="G325" s="6" t="s">
        <v>91</v>
      </c>
      <c r="H325" s="6" t="s">
        <v>87</v>
      </c>
      <c r="I325" s="6" t="str">
        <f>VLOOKUP(H325,'Flow Location'!$A$1:$B$21,2,FALSE)</f>
        <v>Within 5 ft. of Bayou/Surface Water/Drainage Ditch</v>
      </c>
      <c r="J325" s="5">
        <v>13548.0</v>
      </c>
      <c r="K325" s="6" t="s">
        <v>29</v>
      </c>
      <c r="L325" s="6" t="str">
        <f>VLOOKUP(K325,'Structure type'!$A$1:$B$15,2,FALSE)</f>
        <v>Manhole</v>
      </c>
      <c r="M325" s="6" t="s">
        <v>30</v>
      </c>
      <c r="N325" s="6" t="str">
        <f>VLOOKUP(M325,'Excursion Cause'!$A$1:$B$34,2,FALSE)</f>
        <v>Grease Blockage</v>
      </c>
      <c r="O325" s="7">
        <v>44380.0</v>
      </c>
      <c r="P325" s="6" t="s">
        <v>730</v>
      </c>
      <c r="Q325" s="7">
        <v>44383.0</v>
      </c>
      <c r="R325" s="6" t="s">
        <v>786</v>
      </c>
      <c r="S325" s="5">
        <v>3.0</v>
      </c>
      <c r="T325" s="6" t="s">
        <v>59</v>
      </c>
      <c r="U325" s="5">
        <v>2.0210703E7</v>
      </c>
      <c r="V325" s="5">
        <v>2.0210706E7</v>
      </c>
      <c r="W325" s="5">
        <v>29.69553431</v>
      </c>
      <c r="X325" s="5">
        <v>-95.571400456</v>
      </c>
    </row>
    <row r="326" ht="15.75" customHeight="1">
      <c r="A326" s="5">
        <v>11411.0</v>
      </c>
      <c r="B326" s="6">
        <v>2021.0</v>
      </c>
      <c r="C326" s="6" t="str">
        <f t="shared" si="1"/>
        <v>5013 TALINA WAY,Houston,Texas</v>
      </c>
      <c r="D326" s="6" t="s">
        <v>695</v>
      </c>
      <c r="E326" s="6" t="s">
        <v>25</v>
      </c>
      <c r="F326" s="6" t="s">
        <v>26</v>
      </c>
      <c r="G326" s="6" t="s">
        <v>344</v>
      </c>
      <c r="H326" s="6" t="s">
        <v>50</v>
      </c>
      <c r="I326" s="6" t="str">
        <f>VLOOKUP(H326,'Flow Location'!$A$1:$B$21,2,FALSE)</f>
        <v>Contained On Site, not within 5 ft. of Bayou/Surface Water/Drainage Ditch</v>
      </c>
      <c r="J326" s="5">
        <v>0.0</v>
      </c>
      <c r="K326" s="6" t="s">
        <v>29</v>
      </c>
      <c r="L326" s="6" t="str">
        <f>VLOOKUP(K326,'Structure type'!$A$1:$B$15,2,FALSE)</f>
        <v>Manhole</v>
      </c>
      <c r="M326" s="6" t="s">
        <v>30</v>
      </c>
      <c r="N326" s="6" t="str">
        <f>VLOOKUP(M326,'Excursion Cause'!$A$1:$B$34,2,FALSE)</f>
        <v>Grease Blockage</v>
      </c>
      <c r="O326" s="7">
        <v>44381.0</v>
      </c>
      <c r="P326" s="6" t="s">
        <v>787</v>
      </c>
      <c r="Q326" s="7">
        <v>44381.0</v>
      </c>
      <c r="R326" s="6" t="s">
        <v>787</v>
      </c>
      <c r="S326" s="5">
        <v>0.0</v>
      </c>
      <c r="T326" s="6" t="s">
        <v>118</v>
      </c>
      <c r="U326" s="5">
        <v>2.0210704E7</v>
      </c>
      <c r="V326" s="5">
        <v>2.0210704E7</v>
      </c>
      <c r="W326" s="5">
        <v>29.843573011</v>
      </c>
      <c r="X326" s="5">
        <v>-95.543987525</v>
      </c>
    </row>
    <row r="327" ht="15.75" customHeight="1">
      <c r="A327" s="5">
        <v>11413.0</v>
      </c>
      <c r="B327" s="6">
        <v>2021.0</v>
      </c>
      <c r="C327" s="6" t="str">
        <f t="shared" si="1"/>
        <v>12850 WHITTINGTON DR,Houston,Texas</v>
      </c>
      <c r="D327" s="6" t="s">
        <v>788</v>
      </c>
      <c r="E327" s="6" t="s">
        <v>25</v>
      </c>
      <c r="F327" s="6" t="s">
        <v>26</v>
      </c>
      <c r="G327" s="6" t="s">
        <v>347</v>
      </c>
      <c r="H327" s="6" t="s">
        <v>28</v>
      </c>
      <c r="I327" s="6" t="str">
        <f>VLOOKUP(H327,'Flow Location'!$A$1:$B$21,2,FALSE)</f>
        <v>Storm Sewer (not contained)</v>
      </c>
      <c r="J327" s="5">
        <v>1050.0</v>
      </c>
      <c r="K327" s="6" t="s">
        <v>45</v>
      </c>
      <c r="L327" s="6" t="str">
        <f>VLOOKUP(K327,'Structure type'!$A$1:$B$15,2,FALSE)</f>
        <v>City Cleanout</v>
      </c>
      <c r="M327" s="6" t="s">
        <v>30</v>
      </c>
      <c r="N327" s="6" t="str">
        <f>VLOOKUP(M327,'Excursion Cause'!$A$1:$B$34,2,FALSE)</f>
        <v>Grease Blockage</v>
      </c>
      <c r="O327" s="7">
        <v>44381.0</v>
      </c>
      <c r="P327" s="6" t="s">
        <v>537</v>
      </c>
      <c r="Q327" s="7">
        <v>44382.0</v>
      </c>
      <c r="R327" s="6" t="s">
        <v>368</v>
      </c>
      <c r="S327" s="5">
        <v>1.0</v>
      </c>
      <c r="T327" s="6" t="s">
        <v>33</v>
      </c>
      <c r="U327" s="5">
        <v>2.0210704E7</v>
      </c>
      <c r="V327" s="5">
        <v>2.0210705E7</v>
      </c>
      <c r="W327" s="5">
        <v>29.746389203</v>
      </c>
      <c r="X327" s="5">
        <v>-95.615426402</v>
      </c>
    </row>
    <row r="328" ht="15.75" customHeight="1">
      <c r="A328" s="5">
        <v>11416.0</v>
      </c>
      <c r="B328" s="6">
        <v>2021.0</v>
      </c>
      <c r="C328" s="6" t="str">
        <f t="shared" si="1"/>
        <v>818 PINEMONT DR,Houston,Texas</v>
      </c>
      <c r="D328" s="6" t="s">
        <v>789</v>
      </c>
      <c r="E328" s="6" t="s">
        <v>25</v>
      </c>
      <c r="F328" s="6" t="s">
        <v>26</v>
      </c>
      <c r="G328" s="6" t="s">
        <v>218</v>
      </c>
      <c r="H328" s="6" t="s">
        <v>28</v>
      </c>
      <c r="I328" s="6" t="str">
        <f>VLOOKUP(H328,'Flow Location'!$A$1:$B$21,2,FALSE)</f>
        <v>Storm Sewer (not contained)</v>
      </c>
      <c r="J328" s="5">
        <v>108.0</v>
      </c>
      <c r="K328" s="6" t="s">
        <v>29</v>
      </c>
      <c r="L328" s="6" t="str">
        <f>VLOOKUP(K328,'Structure type'!$A$1:$B$15,2,FALSE)</f>
        <v>Manhole</v>
      </c>
      <c r="M328" s="6" t="s">
        <v>30</v>
      </c>
      <c r="N328" s="6" t="str">
        <f>VLOOKUP(M328,'Excursion Cause'!$A$1:$B$34,2,FALSE)</f>
        <v>Grease Blockage</v>
      </c>
      <c r="O328" s="7">
        <v>44382.0</v>
      </c>
      <c r="P328" s="6" t="s">
        <v>790</v>
      </c>
      <c r="Q328" s="7">
        <v>44382.0</v>
      </c>
      <c r="R328" s="6" t="s">
        <v>791</v>
      </c>
      <c r="S328" s="5">
        <v>1.0</v>
      </c>
      <c r="T328" s="6" t="s">
        <v>33</v>
      </c>
      <c r="U328" s="5">
        <v>2.0210705E7</v>
      </c>
      <c r="V328" s="5">
        <v>2.0210705E7</v>
      </c>
      <c r="W328" s="5">
        <v>29.8411008950001</v>
      </c>
      <c r="X328" s="5">
        <v>-95.41543612</v>
      </c>
    </row>
    <row r="329" ht="15.75" customHeight="1">
      <c r="A329" s="5">
        <v>11418.0</v>
      </c>
      <c r="B329" s="6">
        <v>2021.0</v>
      </c>
      <c r="C329" s="6" t="str">
        <f t="shared" si="1"/>
        <v>1006 HACKNEY ST,Houston,Texas</v>
      </c>
      <c r="D329" s="6" t="s">
        <v>792</v>
      </c>
      <c r="E329" s="6" t="s">
        <v>25</v>
      </c>
      <c r="F329" s="6" t="s">
        <v>26</v>
      </c>
      <c r="G329" s="6" t="s">
        <v>141</v>
      </c>
      <c r="H329" s="6" t="s">
        <v>28</v>
      </c>
      <c r="I329" s="6" t="str">
        <f>VLOOKUP(H329,'Flow Location'!$A$1:$B$21,2,FALSE)</f>
        <v>Storm Sewer (not contained)</v>
      </c>
      <c r="J329" s="5">
        <v>144.0</v>
      </c>
      <c r="K329" s="6" t="s">
        <v>29</v>
      </c>
      <c r="L329" s="6" t="str">
        <f>VLOOKUP(K329,'Structure type'!$A$1:$B$15,2,FALSE)</f>
        <v>Manhole</v>
      </c>
      <c r="M329" s="6" t="s">
        <v>423</v>
      </c>
      <c r="N329" s="6" t="str">
        <f>VLOOKUP(M329,'Excursion Cause'!$A$1:$B$34,2,FALSE)</f>
        <v>Collection system ‐ wet weather</v>
      </c>
      <c r="O329" s="7">
        <v>44383.0</v>
      </c>
      <c r="P329" s="6" t="s">
        <v>269</v>
      </c>
      <c r="Q329" s="7">
        <v>44383.0</v>
      </c>
      <c r="R329" s="6" t="s">
        <v>662</v>
      </c>
      <c r="S329" s="5">
        <v>3.0</v>
      </c>
      <c r="T329" s="6" t="s">
        <v>443</v>
      </c>
      <c r="U329" s="5">
        <v>2.0210706E7</v>
      </c>
      <c r="V329" s="5">
        <v>2.0210706E7</v>
      </c>
      <c r="W329" s="5">
        <v>29.72988402</v>
      </c>
      <c r="X329" s="5">
        <v>-95.317532641</v>
      </c>
    </row>
    <row r="330" ht="15.75" customHeight="1">
      <c r="A330" s="5">
        <v>11419.0</v>
      </c>
      <c r="B330" s="6">
        <v>2021.0</v>
      </c>
      <c r="C330" s="6" t="str">
        <f t="shared" si="1"/>
        <v>6335 BROOKSIDE DR,Houston,Texas</v>
      </c>
      <c r="D330" s="6" t="s">
        <v>793</v>
      </c>
      <c r="E330" s="6" t="s">
        <v>25</v>
      </c>
      <c r="F330" s="6" t="s">
        <v>26</v>
      </c>
      <c r="G330" s="6" t="s">
        <v>141</v>
      </c>
      <c r="H330" s="6" t="s">
        <v>28</v>
      </c>
      <c r="I330" s="6" t="str">
        <f>VLOOKUP(H330,'Flow Location'!$A$1:$B$21,2,FALSE)</f>
        <v>Storm Sewer (not contained)</v>
      </c>
      <c r="J330" s="5">
        <v>200.0</v>
      </c>
      <c r="K330" s="6" t="s">
        <v>29</v>
      </c>
      <c r="L330" s="6" t="str">
        <f>VLOOKUP(K330,'Structure type'!$A$1:$B$15,2,FALSE)</f>
        <v>Manhole</v>
      </c>
      <c r="M330" s="6" t="s">
        <v>423</v>
      </c>
      <c r="N330" s="6" t="str">
        <f>VLOOKUP(M330,'Excursion Cause'!$A$1:$B$34,2,FALSE)</f>
        <v>Collection system ‐ wet weather</v>
      </c>
      <c r="O330" s="7">
        <v>44383.0</v>
      </c>
      <c r="P330" s="6" t="s">
        <v>794</v>
      </c>
      <c r="Q330" s="7">
        <v>44383.0</v>
      </c>
      <c r="R330" s="6" t="s">
        <v>795</v>
      </c>
      <c r="S330" s="5">
        <v>5.0</v>
      </c>
      <c r="T330" s="6" t="s">
        <v>439</v>
      </c>
      <c r="U330" s="5">
        <v>2.0210706E7</v>
      </c>
      <c r="V330" s="5">
        <v>2.0210706E7</v>
      </c>
      <c r="W330" s="5">
        <v>29.72954493</v>
      </c>
      <c r="X330" s="5">
        <v>-95.31550925</v>
      </c>
    </row>
    <row r="331" ht="15.75" customHeight="1">
      <c r="A331" s="5">
        <v>11420.0</v>
      </c>
      <c r="B331" s="6">
        <v>2021.0</v>
      </c>
      <c r="C331" s="6" t="str">
        <f t="shared" si="1"/>
        <v>351 N ST CHARLES,Houston,Texas</v>
      </c>
      <c r="D331" s="6" t="s">
        <v>735</v>
      </c>
      <c r="E331" s="6" t="s">
        <v>25</v>
      </c>
      <c r="F331" s="6" t="s">
        <v>26</v>
      </c>
      <c r="G331" s="6" t="s">
        <v>172</v>
      </c>
      <c r="H331" s="6" t="s">
        <v>28</v>
      </c>
      <c r="I331" s="6" t="str">
        <f>VLOOKUP(H331,'Flow Location'!$A$1:$B$21,2,FALSE)</f>
        <v>Storm Sewer (not contained)</v>
      </c>
      <c r="J331" s="5">
        <v>1220.0</v>
      </c>
      <c r="K331" s="6" t="s">
        <v>29</v>
      </c>
      <c r="L331" s="6" t="str">
        <f>VLOOKUP(K331,'Structure type'!$A$1:$B$15,2,FALSE)</f>
        <v>Manhole</v>
      </c>
      <c r="M331" s="6" t="s">
        <v>423</v>
      </c>
      <c r="N331" s="6" t="str">
        <f>VLOOKUP(M331,'Excursion Cause'!$A$1:$B$34,2,FALSE)</f>
        <v>Collection system ‐ wet weather</v>
      </c>
      <c r="O331" s="7">
        <v>44383.0</v>
      </c>
      <c r="P331" s="6" t="s">
        <v>796</v>
      </c>
      <c r="Q331" s="7">
        <v>44383.0</v>
      </c>
      <c r="R331" s="6" t="s">
        <v>251</v>
      </c>
      <c r="S331" s="5">
        <v>20.0</v>
      </c>
      <c r="T331" s="6" t="s">
        <v>439</v>
      </c>
      <c r="U331" s="5">
        <v>2.0210706E7</v>
      </c>
      <c r="V331" s="5">
        <v>2.0210706E7</v>
      </c>
      <c r="W331" s="5">
        <v>29.75958934</v>
      </c>
      <c r="X331" s="5">
        <v>-95.343279402</v>
      </c>
    </row>
    <row r="332" ht="15.75" customHeight="1">
      <c r="A332" s="5">
        <v>11421.0</v>
      </c>
      <c r="B332" s="6">
        <v>2021.0</v>
      </c>
      <c r="C332" s="6" t="str">
        <f t="shared" si="1"/>
        <v>4701 PEASE ST,Houston,Texas</v>
      </c>
      <c r="D332" s="6" t="s">
        <v>738</v>
      </c>
      <c r="E332" s="6" t="s">
        <v>25</v>
      </c>
      <c r="F332" s="6" t="s">
        <v>26</v>
      </c>
      <c r="G332" s="6" t="s">
        <v>141</v>
      </c>
      <c r="H332" s="6" t="s">
        <v>28</v>
      </c>
      <c r="I332" s="6" t="str">
        <f>VLOOKUP(H332,'Flow Location'!$A$1:$B$21,2,FALSE)</f>
        <v>Storm Sewer (not contained)</v>
      </c>
      <c r="J332" s="5">
        <v>4115.0</v>
      </c>
      <c r="K332" s="6" t="s">
        <v>29</v>
      </c>
      <c r="L332" s="6" t="str">
        <f>VLOOKUP(K332,'Structure type'!$A$1:$B$15,2,FALSE)</f>
        <v>Manhole</v>
      </c>
      <c r="M332" s="6" t="s">
        <v>423</v>
      </c>
      <c r="N332" s="6" t="str">
        <f>VLOOKUP(M332,'Excursion Cause'!$A$1:$B$34,2,FALSE)</f>
        <v>Collection system ‐ wet weather</v>
      </c>
      <c r="O332" s="7">
        <v>44383.0</v>
      </c>
      <c r="P332" s="6" t="s">
        <v>597</v>
      </c>
      <c r="Q332" s="7">
        <v>44383.0</v>
      </c>
      <c r="R332" s="6" t="s">
        <v>797</v>
      </c>
      <c r="S332" s="5">
        <v>27.0</v>
      </c>
      <c r="T332" s="6" t="s">
        <v>439</v>
      </c>
      <c r="U332" s="5">
        <v>2.0210706E7</v>
      </c>
      <c r="V332" s="5">
        <v>2.0210706E7</v>
      </c>
      <c r="W332" s="5">
        <v>29.7338318540001</v>
      </c>
      <c r="X332" s="5">
        <v>-95.332061916</v>
      </c>
    </row>
    <row r="333" ht="15.75" customHeight="1">
      <c r="A333" s="5">
        <v>11422.0</v>
      </c>
      <c r="B333" s="6">
        <v>2021.0</v>
      </c>
      <c r="C333" s="6" t="str">
        <f t="shared" si="1"/>
        <v>150 N DAIRY ASHFORD RD,Houston,Texas</v>
      </c>
      <c r="D333" s="6" t="s">
        <v>798</v>
      </c>
      <c r="E333" s="6" t="s">
        <v>25</v>
      </c>
      <c r="F333" s="6" t="s">
        <v>26</v>
      </c>
      <c r="G333" s="6" t="s">
        <v>520</v>
      </c>
      <c r="H333" s="6" t="s">
        <v>28</v>
      </c>
      <c r="I333" s="6" t="str">
        <f>VLOOKUP(H333,'Flow Location'!$A$1:$B$21,2,FALSE)</f>
        <v>Storm Sewer (not contained)</v>
      </c>
      <c r="J333" s="5">
        <v>10400.0</v>
      </c>
      <c r="K333" s="6" t="s">
        <v>29</v>
      </c>
      <c r="L333" s="6" t="str">
        <f>VLOOKUP(K333,'Structure type'!$A$1:$B$15,2,FALSE)</f>
        <v>Manhole</v>
      </c>
      <c r="M333" s="6" t="s">
        <v>81</v>
      </c>
      <c r="N333" s="6" t="str">
        <f>VLOOKUP(M333,'Excursion Cause'!$A$1:$B$34,2,FALSE)</f>
        <v>Collection system structural failure</v>
      </c>
      <c r="O333" s="7">
        <v>44383.0</v>
      </c>
      <c r="P333" s="6" t="s">
        <v>799</v>
      </c>
      <c r="Q333" s="7">
        <v>44384.0</v>
      </c>
      <c r="R333" s="6" t="s">
        <v>800</v>
      </c>
      <c r="S333" s="5">
        <v>20.0</v>
      </c>
      <c r="T333" s="6" t="s">
        <v>767</v>
      </c>
      <c r="U333" s="5">
        <v>2.0210706E7</v>
      </c>
      <c r="V333" s="5">
        <v>2.0210707E7</v>
      </c>
      <c r="W333" s="5">
        <v>29.7873860130001</v>
      </c>
      <c r="X333" s="5">
        <v>-95.604238992</v>
      </c>
    </row>
    <row r="334" ht="15.75" customHeight="1">
      <c r="A334" s="5">
        <v>11424.0</v>
      </c>
      <c r="B334" s="6">
        <v>2021.0</v>
      </c>
      <c r="C334" s="6" t="str">
        <f t="shared" si="1"/>
        <v>929 WYNNWOOD LN,Houston,Texas</v>
      </c>
      <c r="D334" s="6" t="s">
        <v>770</v>
      </c>
      <c r="E334" s="6" t="s">
        <v>25</v>
      </c>
      <c r="F334" s="6" t="s">
        <v>26</v>
      </c>
      <c r="G334" s="6" t="s">
        <v>232</v>
      </c>
      <c r="H334" s="6" t="s">
        <v>50</v>
      </c>
      <c r="I334" s="6" t="str">
        <f>VLOOKUP(H334,'Flow Location'!$A$1:$B$21,2,FALSE)</f>
        <v>Contained On Site, not within 5 ft. of Bayou/Surface Water/Drainage Ditch</v>
      </c>
      <c r="J334" s="5">
        <v>96.0</v>
      </c>
      <c r="K334" s="6" t="s">
        <v>45</v>
      </c>
      <c r="L334" s="6" t="str">
        <f>VLOOKUP(K334,'Structure type'!$A$1:$B$15,2,FALSE)</f>
        <v>City Cleanout</v>
      </c>
      <c r="M334" s="6" t="s">
        <v>423</v>
      </c>
      <c r="N334" s="6" t="str">
        <f>VLOOKUP(M334,'Excursion Cause'!$A$1:$B$34,2,FALSE)</f>
        <v>Collection system ‐ wet weather</v>
      </c>
      <c r="O334" s="7">
        <v>44383.0</v>
      </c>
      <c r="P334" s="6" t="s">
        <v>801</v>
      </c>
      <c r="Q334" s="7">
        <v>44383.0</v>
      </c>
      <c r="R334" s="6" t="s">
        <v>802</v>
      </c>
      <c r="S334" s="5">
        <v>4.0</v>
      </c>
      <c r="T334" s="6" t="s">
        <v>118</v>
      </c>
      <c r="U334" s="5">
        <v>2.0210706E7</v>
      </c>
      <c r="V334" s="5">
        <v>2.0210706E7</v>
      </c>
      <c r="W334" s="5">
        <v>29.7946054720001</v>
      </c>
      <c r="X334" s="5">
        <v>-95.415812971</v>
      </c>
    </row>
    <row r="335" ht="15.75" customHeight="1">
      <c r="A335" s="5">
        <v>11426.0</v>
      </c>
      <c r="B335" s="6">
        <v>2021.0</v>
      </c>
      <c r="C335" s="6" t="str">
        <f t="shared" si="1"/>
        <v>1702 PASADENA ST,Houston,Texas</v>
      </c>
      <c r="D335" s="6" t="s">
        <v>803</v>
      </c>
      <c r="E335" s="6" t="s">
        <v>25</v>
      </c>
      <c r="F335" s="6" t="s">
        <v>26</v>
      </c>
      <c r="G335" s="6" t="s">
        <v>141</v>
      </c>
      <c r="H335" s="6" t="s">
        <v>44</v>
      </c>
      <c r="I335" s="6" t="str">
        <f>VLOOKUP(H335,'Flow Location'!$A$1:$B$21,2,FALSE)</f>
        <v>Bayou/surface water/drainage ditch</v>
      </c>
      <c r="J335" s="5">
        <v>0.0</v>
      </c>
      <c r="K335" s="6" t="s">
        <v>29</v>
      </c>
      <c r="L335" s="6" t="str">
        <f>VLOOKUP(K335,'Structure type'!$A$1:$B$15,2,FALSE)</f>
        <v>Manhole</v>
      </c>
      <c r="M335" s="6" t="s">
        <v>96</v>
      </c>
      <c r="N335" s="6" t="str">
        <f>VLOOKUP(M335,'Excursion Cause'!$A$1:$B$34,2,FALSE)</f>
        <v>Collection system temporary blockage</v>
      </c>
      <c r="O335" s="7">
        <v>44383.0</v>
      </c>
      <c r="P335" s="6" t="s">
        <v>203</v>
      </c>
      <c r="Q335" s="7">
        <v>44383.0</v>
      </c>
      <c r="R335" s="6" t="s">
        <v>203</v>
      </c>
      <c r="S335" s="5">
        <v>0.0</v>
      </c>
      <c r="T335" s="6" t="s">
        <v>804</v>
      </c>
      <c r="U335" s="5">
        <v>2.0210706E7</v>
      </c>
      <c r="V335" s="5">
        <v>2.0210706E7</v>
      </c>
      <c r="W335" s="5">
        <v>29.727682304</v>
      </c>
      <c r="X335" s="5">
        <v>-95.2996854739999</v>
      </c>
    </row>
    <row r="336" ht="15.75" customHeight="1">
      <c r="A336" s="5">
        <v>11430.0</v>
      </c>
      <c r="B336" s="6">
        <v>2021.0</v>
      </c>
      <c r="C336" s="6" t="str">
        <f t="shared" si="1"/>
        <v>3130 MANGUM RD,Houston,Texas</v>
      </c>
      <c r="D336" s="6" t="s">
        <v>182</v>
      </c>
      <c r="E336" s="6" t="s">
        <v>25</v>
      </c>
      <c r="F336" s="6" t="s">
        <v>26</v>
      </c>
      <c r="G336" s="6" t="s">
        <v>76</v>
      </c>
      <c r="H336" s="6" t="s">
        <v>50</v>
      </c>
      <c r="I336" s="6" t="str">
        <f>VLOOKUP(H336,'Flow Location'!$A$1:$B$21,2,FALSE)</f>
        <v>Contained On Site, not within 5 ft. of Bayou/Surface Water/Drainage Ditch</v>
      </c>
      <c r="J336" s="5">
        <v>66.0</v>
      </c>
      <c r="K336" s="6" t="s">
        <v>45</v>
      </c>
      <c r="L336" s="6" t="str">
        <f>VLOOKUP(K336,'Structure type'!$A$1:$B$15,2,FALSE)</f>
        <v>City Cleanout</v>
      </c>
      <c r="M336" s="6" t="s">
        <v>30</v>
      </c>
      <c r="N336" s="6" t="str">
        <f>VLOOKUP(M336,'Excursion Cause'!$A$1:$B$34,2,FALSE)</f>
        <v>Grease Blockage</v>
      </c>
      <c r="O336" s="7">
        <v>44383.0</v>
      </c>
      <c r="P336" s="6" t="s">
        <v>805</v>
      </c>
      <c r="Q336" s="7">
        <v>44383.0</v>
      </c>
      <c r="R336" s="6" t="s">
        <v>488</v>
      </c>
      <c r="S336" s="5">
        <v>1.0</v>
      </c>
      <c r="T336" s="6" t="s">
        <v>170</v>
      </c>
      <c r="U336" s="5">
        <v>2.0210706E7</v>
      </c>
      <c r="V336" s="5">
        <v>2.0210706E7</v>
      </c>
      <c r="W336" s="5">
        <v>29.81683101</v>
      </c>
      <c r="X336" s="5">
        <v>-95.4592479089999</v>
      </c>
    </row>
    <row r="337" ht="15.75" customHeight="1">
      <c r="A337" s="5">
        <v>11431.0</v>
      </c>
      <c r="B337" s="6">
        <v>2021.0</v>
      </c>
      <c r="C337" s="6" t="str">
        <f t="shared" si="1"/>
        <v>838 KEY ST,Houston,Texas</v>
      </c>
      <c r="D337" s="6" t="s">
        <v>806</v>
      </c>
      <c r="E337" s="6" t="s">
        <v>25</v>
      </c>
      <c r="F337" s="6" t="s">
        <v>26</v>
      </c>
      <c r="G337" s="6" t="s">
        <v>161</v>
      </c>
      <c r="H337" s="6" t="s">
        <v>28</v>
      </c>
      <c r="I337" s="6" t="str">
        <f>VLOOKUP(H337,'Flow Location'!$A$1:$B$21,2,FALSE)</f>
        <v>Storm Sewer (not contained)</v>
      </c>
      <c r="J337" s="5">
        <v>1637.0</v>
      </c>
      <c r="K337" s="6" t="s">
        <v>29</v>
      </c>
      <c r="L337" s="6" t="str">
        <f>VLOOKUP(K337,'Structure type'!$A$1:$B$15,2,FALSE)</f>
        <v>Manhole</v>
      </c>
      <c r="M337" s="6" t="s">
        <v>423</v>
      </c>
      <c r="N337" s="6" t="str">
        <f>VLOOKUP(M337,'Excursion Cause'!$A$1:$B$34,2,FALSE)</f>
        <v>Collection system ‐ wet weather</v>
      </c>
      <c r="O337" s="7">
        <v>44383.0</v>
      </c>
      <c r="P337" s="6" t="s">
        <v>494</v>
      </c>
      <c r="Q337" s="7">
        <v>44384.0</v>
      </c>
      <c r="R337" s="6" t="s">
        <v>583</v>
      </c>
      <c r="S337" s="5">
        <v>1.0</v>
      </c>
      <c r="T337" s="6" t="s">
        <v>118</v>
      </c>
      <c r="U337" s="5">
        <v>2.0210706E7</v>
      </c>
      <c r="V337" s="5">
        <v>2.0210707E7</v>
      </c>
      <c r="W337" s="5">
        <v>29.7914622160001</v>
      </c>
      <c r="X337" s="5">
        <v>-95.382710488</v>
      </c>
    </row>
    <row r="338" ht="15.75" customHeight="1">
      <c r="A338" s="5">
        <v>11432.0</v>
      </c>
      <c r="B338" s="6">
        <v>2021.0</v>
      </c>
      <c r="C338" s="6" t="str">
        <f t="shared" si="1"/>
        <v>1526 TEANAWAY LN,Houston,Texas</v>
      </c>
      <c r="D338" s="6" t="s">
        <v>271</v>
      </c>
      <c r="E338" s="6" t="s">
        <v>25</v>
      </c>
      <c r="F338" s="6" t="s">
        <v>26</v>
      </c>
      <c r="G338" s="6" t="s">
        <v>247</v>
      </c>
      <c r="H338" s="6" t="s">
        <v>50</v>
      </c>
      <c r="I338" s="6" t="str">
        <f>VLOOKUP(H338,'Flow Location'!$A$1:$B$21,2,FALSE)</f>
        <v>Contained On Site, not within 5 ft. of Bayou/Surface Water/Drainage Ditch</v>
      </c>
      <c r="J338" s="5">
        <v>1637.0</v>
      </c>
      <c r="K338" s="6" t="s">
        <v>29</v>
      </c>
      <c r="L338" s="6" t="str">
        <f>VLOOKUP(K338,'Structure type'!$A$1:$B$15,2,FALSE)</f>
        <v>Manhole</v>
      </c>
      <c r="M338" s="6" t="s">
        <v>52</v>
      </c>
      <c r="N338" s="6" t="str">
        <f>VLOOKUP(M338,'Excursion Cause'!$A$1:$B$34,2,FALSE)</f>
        <v>Collection system structural blockage</v>
      </c>
      <c r="O338" s="7">
        <v>44383.0</v>
      </c>
      <c r="P338" s="6" t="s">
        <v>807</v>
      </c>
      <c r="Q338" s="7">
        <v>44384.0</v>
      </c>
      <c r="R338" s="6" t="s">
        <v>808</v>
      </c>
      <c r="S338" s="5">
        <v>1.0</v>
      </c>
      <c r="T338" s="6" t="s">
        <v>474</v>
      </c>
      <c r="U338" s="5">
        <v>2.0210706E7</v>
      </c>
      <c r="V338" s="5">
        <v>2.0210707E7</v>
      </c>
      <c r="W338" s="5">
        <v>29.7635270100001</v>
      </c>
      <c r="X338" s="5">
        <v>-95.276823666</v>
      </c>
    </row>
    <row r="339" ht="15.75" customHeight="1">
      <c r="A339" s="5">
        <v>11434.0</v>
      </c>
      <c r="B339" s="6">
        <v>2021.0</v>
      </c>
      <c r="C339" s="6" t="str">
        <f t="shared" si="1"/>
        <v>5938 SOUTHVILLE ST,Houston,Texas</v>
      </c>
      <c r="D339" s="6" t="s">
        <v>809</v>
      </c>
      <c r="E339" s="6" t="s">
        <v>25</v>
      </c>
      <c r="F339" s="6" t="s">
        <v>26</v>
      </c>
      <c r="G339" s="6" t="s">
        <v>120</v>
      </c>
      <c r="H339" s="6" t="s">
        <v>50</v>
      </c>
      <c r="I339" s="6" t="str">
        <f>VLOOKUP(H339,'Flow Location'!$A$1:$B$21,2,FALSE)</f>
        <v>Contained On Site, not within 5 ft. of Bayou/Surface Water/Drainage Ditch</v>
      </c>
      <c r="J339" s="5">
        <v>2280.0</v>
      </c>
      <c r="K339" s="6" t="s">
        <v>51</v>
      </c>
      <c r="L339" s="6" t="str">
        <f>VLOOKUP(K339,'Structure type'!$A$1:$B$15,2,FALSE)</f>
        <v>Private Cleanout</v>
      </c>
      <c r="M339" s="6" t="s">
        <v>30</v>
      </c>
      <c r="N339" s="6" t="str">
        <f>VLOOKUP(M339,'Excursion Cause'!$A$1:$B$34,2,FALSE)</f>
        <v>Grease Blockage</v>
      </c>
      <c r="O339" s="7">
        <v>44384.0</v>
      </c>
      <c r="P339" s="6" t="s">
        <v>810</v>
      </c>
      <c r="Q339" s="7">
        <v>44384.0</v>
      </c>
      <c r="R339" s="6" t="s">
        <v>71</v>
      </c>
      <c r="S339" s="5">
        <v>5.0</v>
      </c>
      <c r="T339" s="6" t="s">
        <v>59</v>
      </c>
      <c r="U339" s="5">
        <v>2.0210707E7</v>
      </c>
      <c r="V339" s="5">
        <v>2.0210707E7</v>
      </c>
      <c r="W339" s="5">
        <v>29.681429076</v>
      </c>
      <c r="X339" s="5">
        <v>-95.329969961</v>
      </c>
    </row>
    <row r="340" ht="15.75" customHeight="1">
      <c r="A340" s="5">
        <v>11435.0</v>
      </c>
      <c r="B340" s="6">
        <v>2021.0</v>
      </c>
      <c r="C340" s="6" t="str">
        <f t="shared" si="1"/>
        <v>7041 PEYTON ST,Houston,Texas</v>
      </c>
      <c r="D340" s="6" t="s">
        <v>811</v>
      </c>
      <c r="E340" s="6" t="s">
        <v>25</v>
      </c>
      <c r="F340" s="6" t="s">
        <v>26</v>
      </c>
      <c r="G340" s="6" t="s">
        <v>177</v>
      </c>
      <c r="H340" s="6" t="s">
        <v>44</v>
      </c>
      <c r="I340" s="6" t="str">
        <f>VLOOKUP(H340,'Flow Location'!$A$1:$B$21,2,FALSE)</f>
        <v>Bayou/surface water/drainage ditch</v>
      </c>
      <c r="J340" s="5">
        <v>890.0</v>
      </c>
      <c r="K340" s="6" t="s">
        <v>45</v>
      </c>
      <c r="L340" s="6" t="str">
        <f>VLOOKUP(K340,'Structure type'!$A$1:$B$15,2,FALSE)</f>
        <v>City Cleanout</v>
      </c>
      <c r="M340" s="6" t="s">
        <v>423</v>
      </c>
      <c r="N340" s="6" t="str">
        <f>VLOOKUP(M340,'Excursion Cause'!$A$1:$B$34,2,FALSE)</f>
        <v>Collection system ‐ wet weather</v>
      </c>
      <c r="O340" s="7">
        <v>44384.0</v>
      </c>
      <c r="P340" s="6" t="s">
        <v>514</v>
      </c>
      <c r="Q340" s="7">
        <v>44384.0</v>
      </c>
      <c r="R340" s="6" t="s">
        <v>324</v>
      </c>
      <c r="S340" s="5">
        <v>2.0</v>
      </c>
      <c r="T340" s="6" t="s">
        <v>118</v>
      </c>
      <c r="U340" s="5">
        <v>2.0210707E7</v>
      </c>
      <c r="V340" s="5">
        <v>2.0210707E7</v>
      </c>
      <c r="W340" s="5">
        <v>29.819497503</v>
      </c>
      <c r="X340" s="5">
        <v>-95.303323975</v>
      </c>
    </row>
    <row r="341" ht="15.75" customHeight="1">
      <c r="A341" s="5">
        <v>11441.0</v>
      </c>
      <c r="B341" s="6">
        <v>2021.0</v>
      </c>
      <c r="C341" s="6" t="str">
        <f t="shared" si="1"/>
        <v>9030 KERRWOOD LN,Houston,Texas</v>
      </c>
      <c r="D341" s="6" t="s">
        <v>812</v>
      </c>
      <c r="E341" s="6" t="s">
        <v>25</v>
      </c>
      <c r="F341" s="6" t="s">
        <v>26</v>
      </c>
      <c r="G341" s="6" t="s">
        <v>294</v>
      </c>
      <c r="H341" s="6" t="s">
        <v>28</v>
      </c>
      <c r="I341" s="6" t="str">
        <f>VLOOKUP(H341,'Flow Location'!$A$1:$B$21,2,FALSE)</f>
        <v>Storm Sewer (not contained)</v>
      </c>
      <c r="J341" s="5">
        <v>0.0</v>
      </c>
      <c r="K341" s="6" t="s">
        <v>45</v>
      </c>
      <c r="L341" s="6" t="str">
        <f>VLOOKUP(K341,'Structure type'!$A$1:$B$15,2,FALSE)</f>
        <v>City Cleanout</v>
      </c>
      <c r="M341" s="6" t="s">
        <v>56</v>
      </c>
      <c r="N341" s="6" t="str">
        <f>VLOOKUP(M341,'Excursion Cause'!$A$1:$B$34,2,FALSE)</f>
        <v>Rags/Wipes</v>
      </c>
      <c r="O341" s="7">
        <v>44384.0</v>
      </c>
      <c r="P341" s="6" t="s">
        <v>813</v>
      </c>
      <c r="Q341" s="7">
        <v>44384.0</v>
      </c>
      <c r="R341" s="6" t="s">
        <v>813</v>
      </c>
      <c r="S341" s="5">
        <v>0.0</v>
      </c>
      <c r="T341" s="6" t="s">
        <v>170</v>
      </c>
      <c r="U341" s="5">
        <v>2.0210707E7</v>
      </c>
      <c r="V341" s="5">
        <v>2.0210707E7</v>
      </c>
      <c r="W341" s="5">
        <v>29.812207804</v>
      </c>
      <c r="X341" s="5">
        <v>-95.5158716879999</v>
      </c>
    </row>
    <row r="342" ht="15.75" customHeight="1">
      <c r="A342" s="5">
        <v>11442.0</v>
      </c>
      <c r="B342" s="6">
        <v>2021.0</v>
      </c>
      <c r="C342" s="6" t="str">
        <f t="shared" si="1"/>
        <v>7739 ANTOINE DR,Houston,Texas</v>
      </c>
      <c r="D342" s="6" t="s">
        <v>814</v>
      </c>
      <c r="E342" s="6" t="s">
        <v>25</v>
      </c>
      <c r="F342" s="6" t="s">
        <v>26</v>
      </c>
      <c r="G342" s="6" t="s">
        <v>502</v>
      </c>
      <c r="H342" s="6" t="s">
        <v>50</v>
      </c>
      <c r="I342" s="6" t="str">
        <f>VLOOKUP(H342,'Flow Location'!$A$1:$B$21,2,FALSE)</f>
        <v>Contained On Site, not within 5 ft. of Bayou/Surface Water/Drainage Ditch</v>
      </c>
      <c r="J342" s="5">
        <v>0.0</v>
      </c>
      <c r="K342" s="6" t="s">
        <v>45</v>
      </c>
      <c r="L342" s="6" t="str">
        <f>VLOOKUP(K342,'Structure type'!$A$1:$B$15,2,FALSE)</f>
        <v>City Cleanout</v>
      </c>
      <c r="M342" s="6" t="s">
        <v>30</v>
      </c>
      <c r="N342" s="6" t="str">
        <f>VLOOKUP(M342,'Excursion Cause'!$A$1:$B$34,2,FALSE)</f>
        <v>Grease Blockage</v>
      </c>
      <c r="O342" s="7">
        <v>44385.0</v>
      </c>
      <c r="P342" s="6" t="s">
        <v>815</v>
      </c>
      <c r="Q342" s="7">
        <v>44385.0</v>
      </c>
      <c r="R342" s="6" t="s">
        <v>815</v>
      </c>
      <c r="S342" s="5">
        <v>0.0</v>
      </c>
      <c r="T342" s="6" t="s">
        <v>270</v>
      </c>
      <c r="U342" s="5">
        <v>2.0210708E7</v>
      </c>
      <c r="V342" s="5">
        <v>2.0210708E7</v>
      </c>
      <c r="W342" s="5">
        <v>29.87764901</v>
      </c>
      <c r="X342" s="5">
        <v>-95.473907523</v>
      </c>
    </row>
    <row r="343" ht="15.75" customHeight="1">
      <c r="A343" s="5">
        <v>11443.0</v>
      </c>
      <c r="B343" s="6">
        <v>2021.0</v>
      </c>
      <c r="C343" s="6" t="str">
        <f t="shared" si="1"/>
        <v>12202 DORWAYNE CT,Houston,Texas</v>
      </c>
      <c r="D343" s="6" t="s">
        <v>816</v>
      </c>
      <c r="E343" s="6" t="s">
        <v>25</v>
      </c>
      <c r="F343" s="6" t="s">
        <v>26</v>
      </c>
      <c r="G343" s="6" t="s">
        <v>623</v>
      </c>
      <c r="H343" s="6" t="s">
        <v>28</v>
      </c>
      <c r="I343" s="6" t="str">
        <f>VLOOKUP(H343,'Flow Location'!$A$1:$B$21,2,FALSE)</f>
        <v>Storm Sewer (not contained)</v>
      </c>
      <c r="J343" s="5">
        <v>276.0</v>
      </c>
      <c r="K343" s="6" t="s">
        <v>29</v>
      </c>
      <c r="L343" s="6" t="str">
        <f>VLOOKUP(K343,'Structure type'!$A$1:$B$15,2,FALSE)</f>
        <v>Manhole</v>
      </c>
      <c r="M343" s="6" t="s">
        <v>56</v>
      </c>
      <c r="N343" s="6" t="str">
        <f>VLOOKUP(M343,'Excursion Cause'!$A$1:$B$34,2,FALSE)</f>
        <v>Rags/Wipes</v>
      </c>
      <c r="O343" s="7">
        <v>44385.0</v>
      </c>
      <c r="P343" s="6" t="s">
        <v>817</v>
      </c>
      <c r="Q343" s="7">
        <v>44385.0</v>
      </c>
      <c r="R343" s="6" t="s">
        <v>565</v>
      </c>
      <c r="S343" s="5">
        <v>2.0</v>
      </c>
      <c r="T343" s="6" t="s">
        <v>33</v>
      </c>
      <c r="U343" s="5">
        <v>2.0210708E7</v>
      </c>
      <c r="V343" s="5">
        <v>2.0210708E7</v>
      </c>
      <c r="W343" s="5">
        <v>29.7646539560001</v>
      </c>
      <c r="X343" s="5">
        <v>-95.2231367379999</v>
      </c>
    </row>
    <row r="344" ht="15.75" customHeight="1">
      <c r="A344" s="5">
        <v>11445.0</v>
      </c>
      <c r="B344" s="6">
        <v>2021.0</v>
      </c>
      <c r="C344" s="6" t="str">
        <f t="shared" si="1"/>
        <v>1211 FARWOOD ST,Houston,Texas</v>
      </c>
      <c r="D344" s="6" t="s">
        <v>818</v>
      </c>
      <c r="E344" s="6" t="s">
        <v>25</v>
      </c>
      <c r="F344" s="6" t="s">
        <v>26</v>
      </c>
      <c r="G344" s="6" t="s">
        <v>161</v>
      </c>
      <c r="H344" s="6" t="s">
        <v>50</v>
      </c>
      <c r="I344" s="6" t="str">
        <f>VLOOKUP(H344,'Flow Location'!$A$1:$B$21,2,FALSE)</f>
        <v>Contained On Site, not within 5 ft. of Bayou/Surface Water/Drainage Ditch</v>
      </c>
      <c r="J344" s="5">
        <v>0.0</v>
      </c>
      <c r="K344" s="6" t="s">
        <v>51</v>
      </c>
      <c r="L344" s="6" t="str">
        <f>VLOOKUP(K344,'Structure type'!$A$1:$B$15,2,FALSE)</f>
        <v>Private Cleanout</v>
      </c>
      <c r="M344" s="6" t="s">
        <v>52</v>
      </c>
      <c r="N344" s="6" t="str">
        <f>VLOOKUP(M344,'Excursion Cause'!$A$1:$B$34,2,FALSE)</f>
        <v>Collection system structural blockage</v>
      </c>
      <c r="O344" s="7">
        <v>44385.0</v>
      </c>
      <c r="P344" s="6" t="s">
        <v>819</v>
      </c>
      <c r="Q344" s="7">
        <v>44385.0</v>
      </c>
      <c r="R344" s="6" t="s">
        <v>819</v>
      </c>
      <c r="S344" s="5">
        <v>0.0</v>
      </c>
      <c r="T344" s="6" t="s">
        <v>118</v>
      </c>
      <c r="U344" s="5">
        <v>2.0210708E7</v>
      </c>
      <c r="V344" s="5">
        <v>2.0210708E7</v>
      </c>
      <c r="W344" s="5">
        <v>29.787240168</v>
      </c>
      <c r="X344" s="5">
        <v>-95.369770338</v>
      </c>
    </row>
    <row r="345" ht="15.75" customHeight="1">
      <c r="A345" s="5">
        <v>11446.0</v>
      </c>
      <c r="B345" s="6">
        <v>2021.0</v>
      </c>
      <c r="C345" s="6" t="str">
        <f t="shared" si="1"/>
        <v>5400 W BELLFORT AVE,Houston,Texas</v>
      </c>
      <c r="D345" s="6" t="s">
        <v>820</v>
      </c>
      <c r="E345" s="6" t="s">
        <v>25</v>
      </c>
      <c r="F345" s="6" t="s">
        <v>26</v>
      </c>
      <c r="G345" s="6" t="s">
        <v>127</v>
      </c>
      <c r="H345" s="6" t="s">
        <v>28</v>
      </c>
      <c r="I345" s="6" t="str">
        <f>VLOOKUP(H345,'Flow Location'!$A$1:$B$21,2,FALSE)</f>
        <v>Storm Sewer (not contained)</v>
      </c>
      <c r="J345" s="5">
        <v>1076.0</v>
      </c>
      <c r="K345" s="6" t="s">
        <v>29</v>
      </c>
      <c r="L345" s="6" t="str">
        <f>VLOOKUP(K345,'Structure type'!$A$1:$B$15,2,FALSE)</f>
        <v>Manhole</v>
      </c>
      <c r="M345" s="6" t="s">
        <v>30</v>
      </c>
      <c r="N345" s="6" t="str">
        <f>VLOOKUP(M345,'Excursion Cause'!$A$1:$B$34,2,FALSE)</f>
        <v>Grease Blockage</v>
      </c>
      <c r="O345" s="7">
        <v>44385.0</v>
      </c>
      <c r="P345" s="6" t="s">
        <v>169</v>
      </c>
      <c r="Q345" s="7">
        <v>44385.0</v>
      </c>
      <c r="R345" s="6" t="s">
        <v>753</v>
      </c>
      <c r="S345" s="5">
        <v>4.0</v>
      </c>
      <c r="T345" s="6" t="s">
        <v>33</v>
      </c>
      <c r="U345" s="5">
        <v>2.0210708E7</v>
      </c>
      <c r="V345" s="5">
        <v>2.0210708E7</v>
      </c>
      <c r="W345" s="5">
        <v>29.65840168</v>
      </c>
      <c r="X345" s="5">
        <v>-95.4789957679999</v>
      </c>
    </row>
    <row r="346" ht="15.75" customHeight="1">
      <c r="A346" s="5">
        <v>11453.0</v>
      </c>
      <c r="B346" s="6">
        <v>2021.0</v>
      </c>
      <c r="C346" s="6" t="str">
        <f t="shared" si="1"/>
        <v>10330 EASTEX FWY,Houston,Texas</v>
      </c>
      <c r="D346" s="6" t="s">
        <v>452</v>
      </c>
      <c r="E346" s="6" t="s">
        <v>25</v>
      </c>
      <c r="F346" s="6" t="s">
        <v>26</v>
      </c>
      <c r="G346" s="6" t="s">
        <v>109</v>
      </c>
      <c r="H346" s="6" t="s">
        <v>28</v>
      </c>
      <c r="I346" s="6" t="str">
        <f>VLOOKUP(H346,'Flow Location'!$A$1:$B$21,2,FALSE)</f>
        <v>Storm Sewer (not contained)</v>
      </c>
      <c r="J346" s="5">
        <v>35150.0</v>
      </c>
      <c r="K346" s="6" t="s">
        <v>29</v>
      </c>
      <c r="L346" s="6" t="str">
        <f>VLOOKUP(K346,'Structure type'!$A$1:$B$15,2,FALSE)</f>
        <v>Manhole</v>
      </c>
      <c r="M346" s="6" t="s">
        <v>423</v>
      </c>
      <c r="N346" s="6" t="str">
        <f>VLOOKUP(M346,'Excursion Cause'!$A$1:$B$34,2,FALSE)</f>
        <v>Collection system ‐ wet weather</v>
      </c>
      <c r="O346" s="7">
        <v>44386.0</v>
      </c>
      <c r="P346" s="6" t="s">
        <v>821</v>
      </c>
      <c r="Q346" s="7">
        <v>44386.0</v>
      </c>
      <c r="R346" s="6" t="s">
        <v>822</v>
      </c>
      <c r="S346" s="5">
        <v>40.0</v>
      </c>
      <c r="T346" s="6" t="s">
        <v>439</v>
      </c>
      <c r="U346" s="5">
        <v>2.0210709E7</v>
      </c>
      <c r="V346" s="5">
        <v>2.0210709E7</v>
      </c>
      <c r="W346" s="5">
        <v>29.861749671</v>
      </c>
      <c r="X346" s="5">
        <v>-95.332866495</v>
      </c>
    </row>
    <row r="347" ht="15.75" customHeight="1">
      <c r="A347" s="5">
        <v>11454.0</v>
      </c>
      <c r="B347" s="6">
        <v>2021.0</v>
      </c>
      <c r="C347" s="6" t="str">
        <f t="shared" si="1"/>
        <v>3426 PARKER RD,Houston,Texas</v>
      </c>
      <c r="D347" s="6" t="s">
        <v>449</v>
      </c>
      <c r="E347" s="6" t="s">
        <v>25</v>
      </c>
      <c r="F347" s="6" t="s">
        <v>26</v>
      </c>
      <c r="G347" s="6" t="s">
        <v>109</v>
      </c>
      <c r="H347" s="6" t="s">
        <v>28</v>
      </c>
      <c r="I347" s="6" t="str">
        <f>VLOOKUP(H347,'Flow Location'!$A$1:$B$21,2,FALSE)</f>
        <v>Storm Sewer (not contained)</v>
      </c>
      <c r="J347" s="5">
        <v>26865.0</v>
      </c>
      <c r="K347" s="6" t="s">
        <v>29</v>
      </c>
      <c r="L347" s="6" t="str">
        <f>VLOOKUP(K347,'Structure type'!$A$1:$B$15,2,FALSE)</f>
        <v>Manhole</v>
      </c>
      <c r="M347" s="6" t="s">
        <v>423</v>
      </c>
      <c r="N347" s="6" t="str">
        <f>VLOOKUP(M347,'Excursion Cause'!$A$1:$B$34,2,FALSE)</f>
        <v>Collection system ‐ wet weather</v>
      </c>
      <c r="O347" s="7">
        <v>44386.0</v>
      </c>
      <c r="P347" s="6" t="s">
        <v>823</v>
      </c>
      <c r="Q347" s="7">
        <v>44386.0</v>
      </c>
      <c r="R347" s="6" t="s">
        <v>822</v>
      </c>
      <c r="S347" s="5">
        <v>31.0</v>
      </c>
      <c r="T347" s="6" t="s">
        <v>443</v>
      </c>
      <c r="U347" s="5">
        <v>2.0210709E7</v>
      </c>
      <c r="V347" s="5">
        <v>2.0210709E7</v>
      </c>
      <c r="W347" s="5">
        <v>29.859225806</v>
      </c>
      <c r="X347" s="5">
        <v>-95.335071637</v>
      </c>
    </row>
    <row r="348" ht="15.75" customHeight="1">
      <c r="A348" s="5">
        <v>11455.0</v>
      </c>
      <c r="B348" s="6">
        <v>2021.0</v>
      </c>
      <c r="C348" s="6" t="str">
        <f t="shared" si="1"/>
        <v>3200 PARKER RD,Houston,Texas</v>
      </c>
      <c r="D348" s="6" t="s">
        <v>630</v>
      </c>
      <c r="E348" s="6" t="s">
        <v>25</v>
      </c>
      <c r="F348" s="6" t="s">
        <v>26</v>
      </c>
      <c r="G348" s="6" t="s">
        <v>109</v>
      </c>
      <c r="H348" s="6" t="s">
        <v>28</v>
      </c>
      <c r="I348" s="6" t="str">
        <f>VLOOKUP(H348,'Flow Location'!$A$1:$B$21,2,FALSE)</f>
        <v>Storm Sewer (not contained)</v>
      </c>
      <c r="J348" s="5">
        <v>15320.0</v>
      </c>
      <c r="K348" s="6" t="s">
        <v>29</v>
      </c>
      <c r="L348" s="6" t="str">
        <f>VLOOKUP(K348,'Structure type'!$A$1:$B$15,2,FALSE)</f>
        <v>Manhole</v>
      </c>
      <c r="M348" s="6" t="s">
        <v>423</v>
      </c>
      <c r="N348" s="6" t="str">
        <f>VLOOKUP(M348,'Excursion Cause'!$A$1:$B$34,2,FALSE)</f>
        <v>Collection system ‐ wet weather</v>
      </c>
      <c r="O348" s="7">
        <v>44386.0</v>
      </c>
      <c r="P348" s="6" t="s">
        <v>824</v>
      </c>
      <c r="Q348" s="7">
        <v>44386.0</v>
      </c>
      <c r="R348" s="6" t="s">
        <v>822</v>
      </c>
      <c r="S348" s="5">
        <v>18.0</v>
      </c>
      <c r="T348" s="6" t="s">
        <v>439</v>
      </c>
      <c r="U348" s="5">
        <v>2.0210709E7</v>
      </c>
      <c r="V348" s="5">
        <v>2.0210709E7</v>
      </c>
      <c r="W348" s="5">
        <v>29.8594960290001</v>
      </c>
      <c r="X348" s="5">
        <v>-95.337609395</v>
      </c>
    </row>
    <row r="349" ht="15.75" customHeight="1">
      <c r="A349" s="5">
        <v>11456.0</v>
      </c>
      <c r="B349" s="6">
        <v>2021.0</v>
      </c>
      <c r="C349" s="6" t="str">
        <f t="shared" si="1"/>
        <v>6822 HAZEN ST,Houston,Texas</v>
      </c>
      <c r="D349" s="6" t="s">
        <v>825</v>
      </c>
      <c r="E349" s="6" t="s">
        <v>25</v>
      </c>
      <c r="F349" s="6" t="s">
        <v>26</v>
      </c>
      <c r="G349" s="6" t="s">
        <v>471</v>
      </c>
      <c r="H349" s="6" t="s">
        <v>28</v>
      </c>
      <c r="I349" s="6" t="str">
        <f>VLOOKUP(H349,'Flow Location'!$A$1:$B$21,2,FALSE)</f>
        <v>Storm Sewer (not contained)</v>
      </c>
      <c r="J349" s="5">
        <v>502.0</v>
      </c>
      <c r="K349" s="6" t="s">
        <v>29</v>
      </c>
      <c r="L349" s="6" t="str">
        <f>VLOOKUP(K349,'Structure type'!$A$1:$B$15,2,FALSE)</f>
        <v>Manhole</v>
      </c>
      <c r="M349" s="6" t="s">
        <v>423</v>
      </c>
      <c r="N349" s="6" t="str">
        <f>VLOOKUP(M349,'Excursion Cause'!$A$1:$B$34,2,FALSE)</f>
        <v>Collection system ‐ wet weather</v>
      </c>
      <c r="O349" s="7">
        <v>44386.0</v>
      </c>
      <c r="P349" s="6" t="s">
        <v>350</v>
      </c>
      <c r="Q349" s="7">
        <v>44386.0</v>
      </c>
      <c r="R349" s="6" t="s">
        <v>192</v>
      </c>
      <c r="S349" s="5">
        <v>2.0</v>
      </c>
      <c r="T349" s="6" t="s">
        <v>118</v>
      </c>
      <c r="U349" s="5">
        <v>2.0210709E7</v>
      </c>
      <c r="V349" s="5">
        <v>2.0210709E7</v>
      </c>
      <c r="W349" s="5">
        <v>29.6919726300001</v>
      </c>
      <c r="X349" s="5">
        <v>-95.504403904</v>
      </c>
    </row>
    <row r="350" ht="15.75" customHeight="1">
      <c r="A350" s="5">
        <v>11457.0</v>
      </c>
      <c r="B350" s="6">
        <v>2021.0</v>
      </c>
      <c r="C350" s="6" t="str">
        <f t="shared" si="1"/>
        <v>23811 FAIRLAKE LN,Houston,Texas</v>
      </c>
      <c r="D350" s="6" t="s">
        <v>715</v>
      </c>
      <c r="E350" s="6" t="s">
        <v>25</v>
      </c>
      <c r="F350" s="6" t="s">
        <v>26</v>
      </c>
      <c r="G350" s="6" t="s">
        <v>422</v>
      </c>
      <c r="H350" s="6" t="s">
        <v>28</v>
      </c>
      <c r="I350" s="6" t="str">
        <f>VLOOKUP(H350,'Flow Location'!$A$1:$B$21,2,FALSE)</f>
        <v>Storm Sewer (not contained)</v>
      </c>
      <c r="J350" s="5">
        <v>0.0</v>
      </c>
      <c r="K350" s="6" t="s">
        <v>29</v>
      </c>
      <c r="L350" s="6" t="str">
        <f>VLOOKUP(K350,'Structure type'!$A$1:$B$15,2,FALSE)</f>
        <v>Manhole</v>
      </c>
      <c r="M350" s="6" t="s">
        <v>96</v>
      </c>
      <c r="N350" s="6" t="str">
        <f>VLOOKUP(M350,'Excursion Cause'!$A$1:$B$34,2,FALSE)</f>
        <v>Collection system temporary blockage</v>
      </c>
      <c r="O350" s="7">
        <v>44386.0</v>
      </c>
      <c r="P350" s="6" t="s">
        <v>826</v>
      </c>
      <c r="Q350" s="7">
        <v>44386.0</v>
      </c>
      <c r="R350" s="6" t="s">
        <v>826</v>
      </c>
      <c r="S350" s="5">
        <v>0.0</v>
      </c>
      <c r="T350" s="6" t="s">
        <v>118</v>
      </c>
      <c r="U350" s="5">
        <v>2.0210709E7</v>
      </c>
      <c r="V350" s="5">
        <v>2.0210709E7</v>
      </c>
      <c r="W350" s="5">
        <v>30.0167291230001</v>
      </c>
      <c r="X350" s="5">
        <v>-95.112671298</v>
      </c>
    </row>
    <row r="351" ht="15.75" customHeight="1">
      <c r="A351" s="5">
        <v>11458.0</v>
      </c>
      <c r="B351" s="6">
        <v>2021.0</v>
      </c>
      <c r="C351" s="6" t="str">
        <f t="shared" si="1"/>
        <v>8142 FINDLAY ST,Houston,Texas</v>
      </c>
      <c r="D351" s="6" t="s">
        <v>827</v>
      </c>
      <c r="E351" s="6" t="s">
        <v>25</v>
      </c>
      <c r="F351" s="6" t="s">
        <v>26</v>
      </c>
      <c r="G351" s="6" t="s">
        <v>135</v>
      </c>
      <c r="H351" s="6" t="s">
        <v>28</v>
      </c>
      <c r="I351" s="6" t="str">
        <f>VLOOKUP(H351,'Flow Location'!$A$1:$B$21,2,FALSE)</f>
        <v>Storm Sewer (not contained)</v>
      </c>
      <c r="J351" s="5">
        <v>198.0</v>
      </c>
      <c r="K351" s="6" t="s">
        <v>29</v>
      </c>
      <c r="L351" s="6" t="str">
        <f>VLOOKUP(K351,'Structure type'!$A$1:$B$15,2,FALSE)</f>
        <v>Manhole</v>
      </c>
      <c r="M351" s="6" t="s">
        <v>30</v>
      </c>
      <c r="N351" s="6" t="str">
        <f>VLOOKUP(M351,'Excursion Cause'!$A$1:$B$34,2,FALSE)</f>
        <v>Grease Blockage</v>
      </c>
      <c r="O351" s="7">
        <v>44386.0</v>
      </c>
      <c r="P351" s="6" t="s">
        <v>532</v>
      </c>
      <c r="Q351" s="7">
        <v>44386.0</v>
      </c>
      <c r="R351" s="6" t="s">
        <v>828</v>
      </c>
      <c r="S351" s="5">
        <v>2.0</v>
      </c>
      <c r="T351" s="6" t="s">
        <v>33</v>
      </c>
      <c r="U351" s="5">
        <v>2.0210709E7</v>
      </c>
      <c r="V351" s="5">
        <v>2.0210709E7</v>
      </c>
      <c r="W351" s="5">
        <v>29.693558779</v>
      </c>
      <c r="X351" s="5">
        <v>-95.27584139</v>
      </c>
    </row>
    <row r="352" ht="15.75" customHeight="1">
      <c r="A352" s="5">
        <v>11459.0</v>
      </c>
      <c r="B352" s="6">
        <v>2021.0</v>
      </c>
      <c r="C352" s="6" t="str">
        <f t="shared" si="1"/>
        <v>8515 FONDREN RD,Houston,Texas</v>
      </c>
      <c r="D352" s="6" t="s">
        <v>829</v>
      </c>
      <c r="E352" s="6" t="s">
        <v>25</v>
      </c>
      <c r="F352" s="6" t="s">
        <v>26</v>
      </c>
      <c r="G352" s="6" t="s">
        <v>471</v>
      </c>
      <c r="H352" s="6" t="s">
        <v>50</v>
      </c>
      <c r="I352" s="6" t="str">
        <f>VLOOKUP(H352,'Flow Location'!$A$1:$B$21,2,FALSE)</f>
        <v>Contained On Site, not within 5 ft. of Bayou/Surface Water/Drainage Ditch</v>
      </c>
      <c r="J352" s="5">
        <v>0.0</v>
      </c>
      <c r="K352" s="6" t="s">
        <v>29</v>
      </c>
      <c r="L352" s="6" t="str">
        <f>VLOOKUP(K352,'Structure type'!$A$1:$B$15,2,FALSE)</f>
        <v>Manhole</v>
      </c>
      <c r="M352" s="6" t="s">
        <v>30</v>
      </c>
      <c r="N352" s="6" t="str">
        <f>VLOOKUP(M352,'Excursion Cause'!$A$1:$B$34,2,FALSE)</f>
        <v>Grease Blockage</v>
      </c>
      <c r="O352" s="7">
        <v>44386.0</v>
      </c>
      <c r="P352" s="6" t="s">
        <v>215</v>
      </c>
      <c r="Q352" s="7">
        <v>44386.0</v>
      </c>
      <c r="R352" s="6" t="s">
        <v>215</v>
      </c>
      <c r="S352" s="5">
        <v>0.0</v>
      </c>
      <c r="T352" s="6" t="s">
        <v>33</v>
      </c>
      <c r="U352" s="5">
        <v>2.0210709E7</v>
      </c>
      <c r="V352" s="5">
        <v>2.0210709E7</v>
      </c>
      <c r="W352" s="5">
        <v>29.6863019790001</v>
      </c>
      <c r="X352" s="5">
        <v>-95.5086724719999</v>
      </c>
    </row>
    <row r="353" ht="15.75" customHeight="1">
      <c r="A353" s="5">
        <v>11460.0</v>
      </c>
      <c r="B353" s="6">
        <v>2021.0</v>
      </c>
      <c r="C353" s="6" t="str">
        <f t="shared" si="1"/>
        <v>8637 WOODLYN RD,Houston,Texas</v>
      </c>
      <c r="D353" s="6" t="s">
        <v>830</v>
      </c>
      <c r="E353" s="6" t="s">
        <v>25</v>
      </c>
      <c r="F353" s="6" t="s">
        <v>26</v>
      </c>
      <c r="G353" s="6" t="s">
        <v>177</v>
      </c>
      <c r="H353" s="6" t="s">
        <v>50</v>
      </c>
      <c r="I353" s="6" t="str">
        <f>VLOOKUP(H353,'Flow Location'!$A$1:$B$21,2,FALSE)</f>
        <v>Contained On Site, not within 5 ft. of Bayou/Surface Water/Drainage Ditch</v>
      </c>
      <c r="J353" s="5">
        <v>0.0</v>
      </c>
      <c r="K353" s="6" t="s">
        <v>45</v>
      </c>
      <c r="L353" s="6" t="str">
        <f>VLOOKUP(K353,'Structure type'!$A$1:$B$15,2,FALSE)</f>
        <v>City Cleanout</v>
      </c>
      <c r="M353" s="6" t="s">
        <v>30</v>
      </c>
      <c r="N353" s="6" t="str">
        <f>VLOOKUP(M353,'Excursion Cause'!$A$1:$B$34,2,FALSE)</f>
        <v>Grease Blockage</v>
      </c>
      <c r="O353" s="7">
        <v>44386.0</v>
      </c>
      <c r="P353" s="6" t="s">
        <v>196</v>
      </c>
      <c r="Q353" s="7">
        <v>44386.0</v>
      </c>
      <c r="R353" s="6" t="s">
        <v>196</v>
      </c>
      <c r="S353" s="5">
        <v>0.0</v>
      </c>
      <c r="T353" s="6" t="s">
        <v>170</v>
      </c>
      <c r="U353" s="5">
        <v>2.0210709E7</v>
      </c>
      <c r="V353" s="5">
        <v>2.0210709E7</v>
      </c>
      <c r="W353" s="5">
        <v>29.842004967</v>
      </c>
      <c r="X353" s="5">
        <v>-95.2644616159999</v>
      </c>
    </row>
    <row r="354" ht="15.75" customHeight="1">
      <c r="A354" s="5">
        <v>11462.0</v>
      </c>
      <c r="B354" s="6">
        <v>2021.0</v>
      </c>
      <c r="C354" s="6" t="str">
        <f t="shared" si="1"/>
        <v>2234 HUTTON ST,Houston,Texas</v>
      </c>
      <c r="D354" s="6" t="s">
        <v>831</v>
      </c>
      <c r="E354" s="6" t="s">
        <v>25</v>
      </c>
      <c r="F354" s="6" t="s">
        <v>26</v>
      </c>
      <c r="G354" s="6" t="s">
        <v>43</v>
      </c>
      <c r="H354" s="6" t="s">
        <v>50</v>
      </c>
      <c r="I354" s="6" t="str">
        <f>VLOOKUP(H354,'Flow Location'!$A$1:$B$21,2,FALSE)</f>
        <v>Contained On Site, not within 5 ft. of Bayou/Surface Water/Drainage Ditch</v>
      </c>
      <c r="J354" s="5">
        <v>0.0</v>
      </c>
      <c r="K354" s="6" t="s">
        <v>51</v>
      </c>
      <c r="L354" s="6" t="str">
        <f>VLOOKUP(K354,'Structure type'!$A$1:$B$15,2,FALSE)</f>
        <v>Private Cleanout</v>
      </c>
      <c r="M354" s="6" t="s">
        <v>30</v>
      </c>
      <c r="N354" s="6" t="str">
        <f>VLOOKUP(M354,'Excursion Cause'!$A$1:$B$34,2,FALSE)</f>
        <v>Grease Blockage</v>
      </c>
      <c r="O354" s="7">
        <v>44387.0</v>
      </c>
      <c r="P354" s="6" t="s">
        <v>588</v>
      </c>
      <c r="Q354" s="7">
        <v>44387.0</v>
      </c>
      <c r="R354" s="6" t="s">
        <v>588</v>
      </c>
      <c r="S354" s="5">
        <v>0.0</v>
      </c>
      <c r="T354" s="6" t="s">
        <v>33</v>
      </c>
      <c r="U354" s="5">
        <v>2.021071E7</v>
      </c>
      <c r="V354" s="5">
        <v>2.021071E7</v>
      </c>
      <c r="W354" s="5">
        <v>29.7826779820001</v>
      </c>
      <c r="X354" s="5">
        <v>-95.3317524559999</v>
      </c>
    </row>
    <row r="355" ht="15.75" customHeight="1">
      <c r="A355" s="5">
        <v>11463.0</v>
      </c>
      <c r="B355" s="6">
        <v>2021.0</v>
      </c>
      <c r="C355" s="6" t="str">
        <f t="shared" si="1"/>
        <v>501 TAFT ST,Houston,Texas</v>
      </c>
      <c r="D355" s="6" t="s">
        <v>137</v>
      </c>
      <c r="E355" s="6" t="s">
        <v>25</v>
      </c>
      <c r="F355" s="6" t="s">
        <v>26</v>
      </c>
      <c r="G355" s="6" t="s">
        <v>80</v>
      </c>
      <c r="H355" s="6" t="s">
        <v>28</v>
      </c>
      <c r="I355" s="6" t="str">
        <f>VLOOKUP(H355,'Flow Location'!$A$1:$B$21,2,FALSE)</f>
        <v>Storm Sewer (not contained)</v>
      </c>
      <c r="J355" s="5">
        <v>536.0</v>
      </c>
      <c r="K355" s="6" t="s">
        <v>29</v>
      </c>
      <c r="L355" s="6" t="str">
        <f>VLOOKUP(K355,'Structure type'!$A$1:$B$15,2,FALSE)</f>
        <v>Manhole</v>
      </c>
      <c r="M355" s="6" t="s">
        <v>30</v>
      </c>
      <c r="N355" s="6" t="str">
        <f>VLOOKUP(M355,'Excursion Cause'!$A$1:$B$34,2,FALSE)</f>
        <v>Grease Blockage</v>
      </c>
      <c r="O355" s="7">
        <v>44387.0</v>
      </c>
      <c r="P355" s="6" t="s">
        <v>832</v>
      </c>
      <c r="Q355" s="7">
        <v>44387.0</v>
      </c>
      <c r="R355" s="6" t="s">
        <v>356</v>
      </c>
      <c r="S355" s="5">
        <v>2.0</v>
      </c>
      <c r="T355" s="6" t="s">
        <v>33</v>
      </c>
      <c r="U355" s="5">
        <v>2.021071E7</v>
      </c>
      <c r="V355" s="5">
        <v>2.021071E7</v>
      </c>
      <c r="W355" s="5">
        <v>29.760749498</v>
      </c>
      <c r="X355" s="5">
        <v>-95.385747336</v>
      </c>
    </row>
    <row r="356" ht="15.75" customHeight="1">
      <c r="A356" s="5">
        <v>11468.0</v>
      </c>
      <c r="B356" s="6">
        <v>2021.0</v>
      </c>
      <c r="C356" s="6" t="str">
        <f t="shared" si="1"/>
        <v>407 AVENUE OF OAKS ST,Houston,Texas</v>
      </c>
      <c r="D356" s="6" t="s">
        <v>713</v>
      </c>
      <c r="E356" s="6" t="s">
        <v>25</v>
      </c>
      <c r="F356" s="6" t="s">
        <v>26</v>
      </c>
      <c r="G356" s="6" t="s">
        <v>161</v>
      </c>
      <c r="H356" s="6" t="s">
        <v>50</v>
      </c>
      <c r="I356" s="6" t="str">
        <f>VLOOKUP(H356,'Flow Location'!$A$1:$B$21,2,FALSE)</f>
        <v>Contained On Site, not within 5 ft. of Bayou/Surface Water/Drainage Ditch</v>
      </c>
      <c r="J356" s="5">
        <v>0.0</v>
      </c>
      <c r="K356" s="6" t="s">
        <v>45</v>
      </c>
      <c r="L356" s="6" t="str">
        <f>VLOOKUP(K356,'Structure type'!$A$1:$B$15,2,FALSE)</f>
        <v>City Cleanout</v>
      </c>
      <c r="M356" s="6" t="s">
        <v>56</v>
      </c>
      <c r="N356" s="6" t="str">
        <f>VLOOKUP(M356,'Excursion Cause'!$A$1:$B$34,2,FALSE)</f>
        <v>Rags/Wipes</v>
      </c>
      <c r="O356" s="7">
        <v>44390.0</v>
      </c>
      <c r="P356" s="6" t="s">
        <v>833</v>
      </c>
      <c r="Q356" s="7">
        <v>44390.0</v>
      </c>
      <c r="R356" s="6" t="s">
        <v>833</v>
      </c>
      <c r="S356" s="5">
        <v>0.0</v>
      </c>
      <c r="T356" s="6" t="s">
        <v>170</v>
      </c>
      <c r="U356" s="5">
        <v>2.0210713E7</v>
      </c>
      <c r="V356" s="5">
        <v>2.0210713E7</v>
      </c>
      <c r="W356" s="5">
        <v>29.811613569</v>
      </c>
      <c r="X356" s="5">
        <v>-95.366437526</v>
      </c>
    </row>
    <row r="357" ht="15.75" customHeight="1">
      <c r="A357" s="5">
        <v>11470.0</v>
      </c>
      <c r="B357" s="6">
        <v>2021.0</v>
      </c>
      <c r="C357" s="6" t="str">
        <f t="shared" si="1"/>
        <v>9018 SCOTT ST,Houston,Texas</v>
      </c>
      <c r="D357" s="6" t="s">
        <v>834</v>
      </c>
      <c r="E357" s="6" t="s">
        <v>25</v>
      </c>
      <c r="F357" s="6" t="s">
        <v>26</v>
      </c>
      <c r="G357" s="6" t="s">
        <v>105</v>
      </c>
      <c r="H357" s="6" t="s">
        <v>50</v>
      </c>
      <c r="I357" s="6" t="str">
        <f>VLOOKUP(H357,'Flow Location'!$A$1:$B$21,2,FALSE)</f>
        <v>Contained On Site, not within 5 ft. of Bayou/Surface Water/Drainage Ditch</v>
      </c>
      <c r="J357" s="5">
        <v>0.0</v>
      </c>
      <c r="K357" s="6" t="s">
        <v>51</v>
      </c>
      <c r="L357" s="6" t="str">
        <f>VLOOKUP(K357,'Structure type'!$A$1:$B$15,2,FALSE)</f>
        <v>Private Cleanout</v>
      </c>
      <c r="M357" s="6" t="s">
        <v>81</v>
      </c>
      <c r="N357" s="6" t="str">
        <f>VLOOKUP(M357,'Excursion Cause'!$A$1:$B$34,2,FALSE)</f>
        <v>Collection system structural failure</v>
      </c>
      <c r="O357" s="7">
        <v>44389.0</v>
      </c>
      <c r="P357" s="6" t="s">
        <v>666</v>
      </c>
      <c r="Q357" s="7">
        <v>44389.0</v>
      </c>
      <c r="R357" s="6" t="s">
        <v>666</v>
      </c>
      <c r="S357" s="5">
        <v>0.0</v>
      </c>
      <c r="T357" s="6" t="s">
        <v>204</v>
      </c>
      <c r="U357" s="5">
        <v>2.0210712E7</v>
      </c>
      <c r="V357" s="5">
        <v>2.0210712E7</v>
      </c>
      <c r="W357" s="5">
        <v>29.66169638</v>
      </c>
      <c r="X357" s="5">
        <v>-95.368241083</v>
      </c>
    </row>
    <row r="358" ht="15.75" customHeight="1">
      <c r="A358" s="5">
        <v>11479.0</v>
      </c>
      <c r="B358" s="6">
        <v>2021.0</v>
      </c>
      <c r="C358" s="6" t="str">
        <f t="shared" si="1"/>
        <v>3830 WIPPRECHT ST,Houston,Texas</v>
      </c>
      <c r="D358" s="6" t="s">
        <v>835</v>
      </c>
      <c r="E358" s="6" t="s">
        <v>25</v>
      </c>
      <c r="F358" s="6" t="s">
        <v>26</v>
      </c>
      <c r="G358" s="6" t="s">
        <v>43</v>
      </c>
      <c r="H358" s="6" t="s">
        <v>28</v>
      </c>
      <c r="I358" s="6" t="str">
        <f>VLOOKUP(H358,'Flow Location'!$A$1:$B$21,2,FALSE)</f>
        <v>Storm Sewer (not contained)</v>
      </c>
      <c r="J358" s="5">
        <v>2142.0</v>
      </c>
      <c r="K358" s="6" t="s">
        <v>45</v>
      </c>
      <c r="L358" s="6" t="str">
        <f>VLOOKUP(K358,'Structure type'!$A$1:$B$15,2,FALSE)</f>
        <v>City Cleanout</v>
      </c>
      <c r="M358" s="6" t="s">
        <v>30</v>
      </c>
      <c r="N358" s="6" t="str">
        <f>VLOOKUP(M358,'Excursion Cause'!$A$1:$B$34,2,FALSE)</f>
        <v>Grease Blockage</v>
      </c>
      <c r="O358" s="7">
        <v>44389.0</v>
      </c>
      <c r="P358" s="6" t="s">
        <v>302</v>
      </c>
      <c r="Q358" s="7">
        <v>44390.0</v>
      </c>
      <c r="R358" s="6" t="s">
        <v>836</v>
      </c>
      <c r="S358" s="5">
        <v>2.0</v>
      </c>
      <c r="T358" s="6" t="s">
        <v>74</v>
      </c>
      <c r="U358" s="5">
        <v>2.0210712E7</v>
      </c>
      <c r="V358" s="5">
        <v>2.0210713E7</v>
      </c>
      <c r="W358" s="5">
        <v>29.7952610210001</v>
      </c>
      <c r="X358" s="5">
        <v>-95.322222484</v>
      </c>
    </row>
    <row r="359" ht="15.75" customHeight="1">
      <c r="A359" s="5">
        <v>11480.0</v>
      </c>
      <c r="B359" s="6">
        <v>2021.0</v>
      </c>
      <c r="C359" s="6" t="str">
        <f t="shared" si="1"/>
        <v>1002 GARDENIA DR,Houston,Texas</v>
      </c>
      <c r="D359" s="6" t="s">
        <v>837</v>
      </c>
      <c r="E359" s="6" t="s">
        <v>25</v>
      </c>
      <c r="F359" s="6" t="s">
        <v>26</v>
      </c>
      <c r="G359" s="6" t="s">
        <v>218</v>
      </c>
      <c r="H359" s="6" t="s">
        <v>28</v>
      </c>
      <c r="I359" s="6" t="str">
        <f>VLOOKUP(H359,'Flow Location'!$A$1:$B$21,2,FALSE)</f>
        <v>Storm Sewer (not contained)</v>
      </c>
      <c r="J359" s="5">
        <v>6344.0</v>
      </c>
      <c r="K359" s="6" t="s">
        <v>29</v>
      </c>
      <c r="L359" s="6" t="str">
        <f>VLOOKUP(K359,'Structure type'!$A$1:$B$15,2,FALSE)</f>
        <v>Manhole</v>
      </c>
      <c r="M359" s="6" t="s">
        <v>81</v>
      </c>
      <c r="N359" s="6" t="str">
        <f>VLOOKUP(M359,'Excursion Cause'!$A$1:$B$34,2,FALSE)</f>
        <v>Collection system structural failure</v>
      </c>
      <c r="O359" s="7">
        <v>44390.0</v>
      </c>
      <c r="P359" s="6" t="s">
        <v>838</v>
      </c>
      <c r="Q359" s="7">
        <v>44392.0</v>
      </c>
      <c r="R359" s="6" t="s">
        <v>315</v>
      </c>
      <c r="S359" s="5">
        <v>2.0</v>
      </c>
      <c r="T359" s="6" t="s">
        <v>54</v>
      </c>
      <c r="U359" s="5">
        <v>2.0210713E7</v>
      </c>
      <c r="V359" s="5">
        <v>2.0210715E7</v>
      </c>
      <c r="W359" s="5">
        <v>29.8270475030001</v>
      </c>
      <c r="X359" s="5">
        <v>-95.424177021</v>
      </c>
    </row>
    <row r="360" ht="15.75" customHeight="1">
      <c r="A360" s="5">
        <v>11484.0</v>
      </c>
      <c r="B360" s="6">
        <v>2021.0</v>
      </c>
      <c r="C360" s="6" t="str">
        <f t="shared" si="1"/>
        <v>5830 S LAKE HOUSTON PKWY,Houston,Texas</v>
      </c>
      <c r="D360" s="6" t="s">
        <v>839</v>
      </c>
      <c r="E360" s="6" t="s">
        <v>25</v>
      </c>
      <c r="F360" s="6" t="s">
        <v>26</v>
      </c>
      <c r="G360" s="6" t="s">
        <v>840</v>
      </c>
      <c r="H360" s="6" t="s">
        <v>28</v>
      </c>
      <c r="I360" s="6" t="str">
        <f>VLOOKUP(H360,'Flow Location'!$A$1:$B$21,2,FALSE)</f>
        <v>Storm Sewer (not contained)</v>
      </c>
      <c r="J360" s="5">
        <v>16145.0</v>
      </c>
      <c r="K360" s="6" t="s">
        <v>190</v>
      </c>
      <c r="L360" s="6" t="str">
        <f>VLOOKUP(K360,'Structure type'!$A$1:$B$15,2,FALSE)</f>
        <v>Force Main</v>
      </c>
      <c r="M360" s="6" t="s">
        <v>620</v>
      </c>
      <c r="N360" s="6" t="str">
        <f>VLOOKUP(M360,'Excursion Cause'!$A$1:$B$34,2,FALSE)</f>
        <v>Air Relief Valve (ARV) Failure</v>
      </c>
      <c r="O360" s="7">
        <v>44392.0</v>
      </c>
      <c r="P360" s="6" t="s">
        <v>506</v>
      </c>
      <c r="Q360" s="7">
        <v>44394.0</v>
      </c>
      <c r="R360" s="6" t="s">
        <v>562</v>
      </c>
      <c r="S360" s="5">
        <v>5.0</v>
      </c>
      <c r="T360" s="6" t="s">
        <v>118</v>
      </c>
      <c r="U360" s="5">
        <v>2.0210715E7</v>
      </c>
      <c r="V360" s="5">
        <v>2.0210717E7</v>
      </c>
      <c r="W360" s="5">
        <v>29.8128878700001</v>
      </c>
      <c r="X360" s="5">
        <v>-95.209721166</v>
      </c>
    </row>
    <row r="361" ht="15.75" customHeight="1">
      <c r="A361" s="5">
        <v>11485.0</v>
      </c>
      <c r="B361" s="6">
        <v>2021.0</v>
      </c>
      <c r="C361" s="6" t="str">
        <f t="shared" si="1"/>
        <v>5505 PINE ST,Houston,Texas</v>
      </c>
      <c r="D361" s="6" t="s">
        <v>601</v>
      </c>
      <c r="E361" s="6" t="s">
        <v>25</v>
      </c>
      <c r="F361" s="6" t="s">
        <v>26</v>
      </c>
      <c r="G361" s="6" t="s">
        <v>287</v>
      </c>
      <c r="H361" s="6" t="s">
        <v>28</v>
      </c>
      <c r="I361" s="6" t="str">
        <f>VLOOKUP(H361,'Flow Location'!$A$1:$B$21,2,FALSE)</f>
        <v>Storm Sewer (not contained)</v>
      </c>
      <c r="J361" s="5">
        <v>115.0</v>
      </c>
      <c r="K361" s="6" t="s">
        <v>29</v>
      </c>
      <c r="L361" s="6" t="str">
        <f>VLOOKUP(K361,'Structure type'!$A$1:$B$15,2,FALSE)</f>
        <v>Manhole</v>
      </c>
      <c r="M361" s="6" t="s">
        <v>30</v>
      </c>
      <c r="N361" s="6" t="str">
        <f>VLOOKUP(M361,'Excursion Cause'!$A$1:$B$34,2,FALSE)</f>
        <v>Grease Blockage</v>
      </c>
      <c r="O361" s="7">
        <v>44390.0</v>
      </c>
      <c r="P361" s="6" t="s">
        <v>841</v>
      </c>
      <c r="Q361" s="7">
        <v>44390.0</v>
      </c>
      <c r="R361" s="6" t="s">
        <v>805</v>
      </c>
      <c r="S361" s="5">
        <v>1.0</v>
      </c>
      <c r="T361" s="6" t="s">
        <v>33</v>
      </c>
      <c r="U361" s="5">
        <v>2.0210713E7</v>
      </c>
      <c r="V361" s="5">
        <v>2.0210713E7</v>
      </c>
      <c r="W361" s="5">
        <v>29.6945825450001</v>
      </c>
      <c r="X361" s="5">
        <v>-95.485079007</v>
      </c>
    </row>
    <row r="362" ht="15.75" customHeight="1">
      <c r="A362" s="5">
        <v>11486.0</v>
      </c>
      <c r="B362" s="6">
        <v>2021.0</v>
      </c>
      <c r="C362" s="6" t="str">
        <f t="shared" si="1"/>
        <v>5707 ROSEGLEN MEADOW LN,Houston,Texas</v>
      </c>
      <c r="D362" s="6" t="s">
        <v>842</v>
      </c>
      <c r="E362" s="6" t="s">
        <v>25</v>
      </c>
      <c r="F362" s="6" t="s">
        <v>26</v>
      </c>
      <c r="G362" s="6" t="s">
        <v>384</v>
      </c>
      <c r="H362" s="6" t="s">
        <v>28</v>
      </c>
      <c r="I362" s="6" t="str">
        <f>VLOOKUP(H362,'Flow Location'!$A$1:$B$21,2,FALSE)</f>
        <v>Storm Sewer (not contained)</v>
      </c>
      <c r="J362" s="5">
        <v>112.0</v>
      </c>
      <c r="K362" s="6" t="s">
        <v>29</v>
      </c>
      <c r="L362" s="6" t="str">
        <f>VLOOKUP(K362,'Structure type'!$A$1:$B$15,2,FALSE)</f>
        <v>Manhole</v>
      </c>
      <c r="M362" s="6" t="s">
        <v>30</v>
      </c>
      <c r="N362" s="6" t="str">
        <f>VLOOKUP(M362,'Excursion Cause'!$A$1:$B$34,2,FALSE)</f>
        <v>Grease Blockage</v>
      </c>
      <c r="O362" s="7">
        <v>44391.0</v>
      </c>
      <c r="P362" s="6" t="s">
        <v>843</v>
      </c>
      <c r="Q362" s="7">
        <v>44391.0</v>
      </c>
      <c r="R362" s="6" t="s">
        <v>844</v>
      </c>
      <c r="S362" s="5">
        <v>1.0</v>
      </c>
      <c r="T362" s="6" t="s">
        <v>33</v>
      </c>
      <c r="U362" s="5">
        <v>2.0210714E7</v>
      </c>
      <c r="V362" s="5">
        <v>2.0210714E7</v>
      </c>
      <c r="W362" s="5">
        <v>29.6386891230001</v>
      </c>
      <c r="X362" s="5">
        <v>-95.469050964</v>
      </c>
    </row>
    <row r="363" ht="15.75" customHeight="1">
      <c r="A363" s="5">
        <v>11487.0</v>
      </c>
      <c r="B363" s="6">
        <v>2021.0</v>
      </c>
      <c r="C363" s="6" t="str">
        <f t="shared" si="1"/>
        <v>2318 WOODHEAD ST,Houston,Texas</v>
      </c>
      <c r="D363" s="6" t="s">
        <v>845</v>
      </c>
      <c r="E363" s="6" t="s">
        <v>25</v>
      </c>
      <c r="F363" s="6" t="s">
        <v>26</v>
      </c>
      <c r="G363" s="6" t="s">
        <v>80</v>
      </c>
      <c r="H363" s="6" t="s">
        <v>50</v>
      </c>
      <c r="I363" s="6" t="str">
        <f>VLOOKUP(H363,'Flow Location'!$A$1:$B$21,2,FALSE)</f>
        <v>Contained On Site, not within 5 ft. of Bayou/Surface Water/Drainage Ditch</v>
      </c>
      <c r="J363" s="5">
        <v>0.0</v>
      </c>
      <c r="K363" s="6" t="s">
        <v>45</v>
      </c>
      <c r="L363" s="6" t="str">
        <f>VLOOKUP(K363,'Structure type'!$A$1:$B$15,2,FALSE)</f>
        <v>City Cleanout</v>
      </c>
      <c r="M363" s="6" t="s">
        <v>30</v>
      </c>
      <c r="N363" s="6" t="str">
        <f>VLOOKUP(M363,'Excursion Cause'!$A$1:$B$34,2,FALSE)</f>
        <v>Grease Blockage</v>
      </c>
      <c r="O363" s="7">
        <v>44391.0</v>
      </c>
      <c r="P363" s="6" t="s">
        <v>106</v>
      </c>
      <c r="Q363" s="7">
        <v>44391.0</v>
      </c>
      <c r="R363" s="6" t="s">
        <v>106</v>
      </c>
      <c r="S363" s="5">
        <v>0.0</v>
      </c>
      <c r="T363" s="6" t="s">
        <v>74</v>
      </c>
      <c r="U363" s="5">
        <v>2.0210714E7</v>
      </c>
      <c r="V363" s="5">
        <v>2.0210714E7</v>
      </c>
      <c r="W363" s="5">
        <v>29.744884986</v>
      </c>
      <c r="X363" s="5">
        <v>-95.404647521</v>
      </c>
    </row>
    <row r="364" ht="15.75" customHeight="1">
      <c r="A364" s="5">
        <v>11493.0</v>
      </c>
      <c r="B364" s="6">
        <v>2021.0</v>
      </c>
      <c r="C364" s="6" t="str">
        <f t="shared" si="1"/>
        <v>2117 HARDY ST,Houston,Texas</v>
      </c>
      <c r="D364" s="6" t="s">
        <v>846</v>
      </c>
      <c r="E364" s="6" t="s">
        <v>25</v>
      </c>
      <c r="F364" s="6" t="s">
        <v>26</v>
      </c>
      <c r="G364" s="6" t="s">
        <v>161</v>
      </c>
      <c r="H364" s="6" t="s">
        <v>50</v>
      </c>
      <c r="I364" s="6" t="str">
        <f>VLOOKUP(H364,'Flow Location'!$A$1:$B$21,2,FALSE)</f>
        <v>Contained On Site, not within 5 ft. of Bayou/Surface Water/Drainage Ditch</v>
      </c>
      <c r="J364" s="5">
        <v>0.0</v>
      </c>
      <c r="K364" s="6" t="s">
        <v>51</v>
      </c>
      <c r="L364" s="6" t="str">
        <f>VLOOKUP(K364,'Structure type'!$A$1:$B$15,2,FALSE)</f>
        <v>Private Cleanout</v>
      </c>
      <c r="M364" s="6" t="s">
        <v>56</v>
      </c>
      <c r="N364" s="6" t="str">
        <f>VLOOKUP(M364,'Excursion Cause'!$A$1:$B$34,2,FALSE)</f>
        <v>Rags/Wipes</v>
      </c>
      <c r="O364" s="7">
        <v>44392.0</v>
      </c>
      <c r="P364" s="6" t="s">
        <v>824</v>
      </c>
      <c r="Q364" s="7">
        <v>44392.0</v>
      </c>
      <c r="R364" s="6" t="s">
        <v>824</v>
      </c>
      <c r="S364" s="5">
        <v>0.0</v>
      </c>
      <c r="T364" s="6" t="s">
        <v>33</v>
      </c>
      <c r="U364" s="5">
        <v>2.0210715E7</v>
      </c>
      <c r="V364" s="5">
        <v>2.0210715E7</v>
      </c>
      <c r="W364" s="5">
        <v>29.781174352</v>
      </c>
      <c r="X364" s="5">
        <v>-95.351424196</v>
      </c>
    </row>
    <row r="365" ht="15.75" customHeight="1">
      <c r="A365" s="5">
        <v>11494.0</v>
      </c>
      <c r="B365" s="6">
        <v>2021.0</v>
      </c>
      <c r="C365" s="6" t="str">
        <f t="shared" si="1"/>
        <v>2002 N WAYSIDE DR,Houston,Texas</v>
      </c>
      <c r="D365" s="6" t="s">
        <v>847</v>
      </c>
      <c r="E365" s="6" t="s">
        <v>25</v>
      </c>
      <c r="F365" s="6" t="s">
        <v>26</v>
      </c>
      <c r="G365" s="6" t="s">
        <v>86</v>
      </c>
      <c r="H365" s="6" t="s">
        <v>28</v>
      </c>
      <c r="I365" s="6" t="str">
        <f>VLOOKUP(H365,'Flow Location'!$A$1:$B$21,2,FALSE)</f>
        <v>Storm Sewer (not contained)</v>
      </c>
      <c r="J365" s="5">
        <v>94.0</v>
      </c>
      <c r="K365" s="6" t="s">
        <v>45</v>
      </c>
      <c r="L365" s="6" t="str">
        <f>VLOOKUP(K365,'Structure type'!$A$1:$B$15,2,FALSE)</f>
        <v>City Cleanout</v>
      </c>
      <c r="M365" s="6" t="s">
        <v>30</v>
      </c>
      <c r="N365" s="6" t="str">
        <f>VLOOKUP(M365,'Excursion Cause'!$A$1:$B$34,2,FALSE)</f>
        <v>Grease Blockage</v>
      </c>
      <c r="O365" s="7">
        <v>44392.0</v>
      </c>
      <c r="P365" s="6" t="s">
        <v>666</v>
      </c>
      <c r="Q365" s="7">
        <v>44392.0</v>
      </c>
      <c r="R365" s="6" t="s">
        <v>848</v>
      </c>
      <c r="S365" s="5">
        <v>1.0</v>
      </c>
      <c r="T365" s="6" t="s">
        <v>270</v>
      </c>
      <c r="U365" s="5">
        <v>2.0210715E7</v>
      </c>
      <c r="V365" s="5">
        <v>2.0210715E7</v>
      </c>
      <c r="W365" s="5">
        <v>29.782436374</v>
      </c>
      <c r="X365" s="5">
        <v>-95.2917980189999</v>
      </c>
    </row>
    <row r="366" ht="15.75" customHeight="1">
      <c r="A366" s="5">
        <v>11496.0</v>
      </c>
      <c r="B366" s="6">
        <v>2021.0</v>
      </c>
      <c r="C366" s="6" t="str">
        <f t="shared" si="1"/>
        <v>2933 ALTOONA ST,Houston,Texas</v>
      </c>
      <c r="D366" s="6" t="s">
        <v>849</v>
      </c>
      <c r="E366" s="6" t="s">
        <v>25</v>
      </c>
      <c r="F366" s="6" t="s">
        <v>26</v>
      </c>
      <c r="G366" s="6" t="s">
        <v>43</v>
      </c>
      <c r="H366" s="6" t="s">
        <v>50</v>
      </c>
      <c r="I366" s="6" t="str">
        <f>VLOOKUP(H366,'Flow Location'!$A$1:$B$21,2,FALSE)</f>
        <v>Contained On Site, not within 5 ft. of Bayou/Surface Water/Drainage Ditch</v>
      </c>
      <c r="J366" s="5">
        <v>0.0</v>
      </c>
      <c r="K366" s="6" t="s">
        <v>45</v>
      </c>
      <c r="L366" s="6" t="str">
        <f>VLOOKUP(K366,'Structure type'!$A$1:$B$15,2,FALSE)</f>
        <v>City Cleanout</v>
      </c>
      <c r="M366" s="6" t="s">
        <v>56</v>
      </c>
      <c r="N366" s="6" t="str">
        <f>VLOOKUP(M366,'Excursion Cause'!$A$1:$B$34,2,FALSE)</f>
        <v>Rags/Wipes</v>
      </c>
      <c r="O366" s="7">
        <v>44392.0</v>
      </c>
      <c r="P366" s="6" t="s">
        <v>219</v>
      </c>
      <c r="Q366" s="7">
        <v>44392.0</v>
      </c>
      <c r="R366" s="6" t="s">
        <v>219</v>
      </c>
      <c r="S366" s="5">
        <v>0.0</v>
      </c>
      <c r="T366" s="6" t="s">
        <v>170</v>
      </c>
      <c r="U366" s="5">
        <v>2.0210715E7</v>
      </c>
      <c r="V366" s="5">
        <v>2.0210715E7</v>
      </c>
      <c r="W366" s="5">
        <v>29.787947936</v>
      </c>
      <c r="X366" s="5">
        <v>-95.327505765</v>
      </c>
    </row>
    <row r="367" ht="15.75" customHeight="1">
      <c r="A367" s="5">
        <v>11497.0</v>
      </c>
      <c r="B367" s="6">
        <v>2021.0</v>
      </c>
      <c r="C367" s="6" t="str">
        <f t="shared" si="1"/>
        <v>5100 HARTWICK RD,Houston,Texas</v>
      </c>
      <c r="D367" s="6" t="s">
        <v>850</v>
      </c>
      <c r="E367" s="6" t="s">
        <v>25</v>
      </c>
      <c r="F367" s="6" t="s">
        <v>26</v>
      </c>
      <c r="G367" s="6" t="s">
        <v>109</v>
      </c>
      <c r="H367" s="6" t="s">
        <v>50</v>
      </c>
      <c r="I367" s="6" t="str">
        <f>VLOOKUP(H367,'Flow Location'!$A$1:$B$21,2,FALSE)</f>
        <v>Contained On Site, not within 5 ft. of Bayou/Surface Water/Drainage Ditch</v>
      </c>
      <c r="J367" s="5">
        <v>0.0</v>
      </c>
      <c r="K367" s="6" t="s">
        <v>51</v>
      </c>
      <c r="L367" s="6" t="str">
        <f>VLOOKUP(K367,'Structure type'!$A$1:$B$15,2,FALSE)</f>
        <v>Private Cleanout</v>
      </c>
      <c r="M367" s="6" t="s">
        <v>30</v>
      </c>
      <c r="N367" s="6" t="str">
        <f>VLOOKUP(M367,'Excursion Cause'!$A$1:$B$34,2,FALSE)</f>
        <v>Grease Blockage</v>
      </c>
      <c r="O367" s="7">
        <v>44392.0</v>
      </c>
      <c r="P367" s="6" t="s">
        <v>851</v>
      </c>
      <c r="Q367" s="7">
        <v>44392.0</v>
      </c>
      <c r="R367" s="6" t="s">
        <v>851</v>
      </c>
      <c r="S367" s="5">
        <v>0.0</v>
      </c>
      <c r="T367" s="6" t="s">
        <v>33</v>
      </c>
      <c r="U367" s="5">
        <v>2.0210715E7</v>
      </c>
      <c r="V367" s="5">
        <v>2.0210715E7</v>
      </c>
      <c r="W367" s="5">
        <v>29.8848055630001</v>
      </c>
      <c r="X367" s="5">
        <v>-95.316451208</v>
      </c>
    </row>
    <row r="368" ht="15.75" customHeight="1">
      <c r="A368" s="5">
        <v>11499.0</v>
      </c>
      <c r="B368" s="6">
        <v>2021.0</v>
      </c>
      <c r="C368" s="6" t="str">
        <f t="shared" si="1"/>
        <v>6426 SPRINGHAVEN DR,Houston,Texas</v>
      </c>
      <c r="D368" s="6" t="s">
        <v>852</v>
      </c>
      <c r="E368" s="6" t="s">
        <v>25</v>
      </c>
      <c r="F368" s="6" t="s">
        <v>26</v>
      </c>
      <c r="G368" s="6" t="s">
        <v>853</v>
      </c>
      <c r="H368" s="6" t="s">
        <v>28</v>
      </c>
      <c r="I368" s="6" t="str">
        <f>VLOOKUP(H368,'Flow Location'!$A$1:$B$21,2,FALSE)</f>
        <v>Storm Sewer (not contained)</v>
      </c>
      <c r="J368" s="5">
        <v>744.0</v>
      </c>
      <c r="K368" s="6" t="s">
        <v>29</v>
      </c>
      <c r="L368" s="6" t="str">
        <f>VLOOKUP(K368,'Structure type'!$A$1:$B$15,2,FALSE)</f>
        <v>Manhole</v>
      </c>
      <c r="M368" s="6" t="s">
        <v>423</v>
      </c>
      <c r="N368" s="6" t="str">
        <f>VLOOKUP(M368,'Excursion Cause'!$A$1:$B$34,2,FALSE)</f>
        <v>Collection system ‐ wet weather</v>
      </c>
      <c r="O368" s="7">
        <v>44392.0</v>
      </c>
      <c r="P368" s="6" t="s">
        <v>854</v>
      </c>
      <c r="Q368" s="7">
        <v>44392.0</v>
      </c>
      <c r="R368" s="6" t="s">
        <v>435</v>
      </c>
      <c r="S368" s="5">
        <v>2.0</v>
      </c>
      <c r="T368" s="6" t="s">
        <v>118</v>
      </c>
      <c r="U368" s="5">
        <v>2.0210715E7</v>
      </c>
      <c r="V368" s="5">
        <v>2.0210715E7</v>
      </c>
      <c r="W368" s="5">
        <v>29.9649324920001</v>
      </c>
      <c r="X368" s="5">
        <v>-95.291186979</v>
      </c>
    </row>
    <row r="369" ht="15.75" customHeight="1">
      <c r="A369" s="5">
        <v>11500.0</v>
      </c>
      <c r="B369" s="6">
        <v>2021.0</v>
      </c>
      <c r="C369" s="6" t="str">
        <f t="shared" si="1"/>
        <v>8105 RICHLAND DR,Houston,Texas</v>
      </c>
      <c r="D369" s="6" t="s">
        <v>855</v>
      </c>
      <c r="E369" s="6" t="s">
        <v>25</v>
      </c>
      <c r="F369" s="6" t="s">
        <v>26</v>
      </c>
      <c r="G369" s="6" t="s">
        <v>177</v>
      </c>
      <c r="H369" s="6" t="s">
        <v>50</v>
      </c>
      <c r="I369" s="6" t="str">
        <f>VLOOKUP(H369,'Flow Location'!$A$1:$B$21,2,FALSE)</f>
        <v>Contained On Site, not within 5 ft. of Bayou/Surface Water/Drainage Ditch</v>
      </c>
      <c r="J369" s="5">
        <v>0.0</v>
      </c>
      <c r="K369" s="6" t="s">
        <v>198</v>
      </c>
      <c r="L369" s="6" t="str">
        <f>VLOOKUP(K369,'Structure type'!$A$1:$B$15,2,FALSE)</f>
        <v>Service Lateral</v>
      </c>
      <c r="M369" s="6" t="s">
        <v>81</v>
      </c>
      <c r="N369" s="6" t="str">
        <f>VLOOKUP(M369,'Excursion Cause'!$A$1:$B$34,2,FALSE)</f>
        <v>Collection system structural failure</v>
      </c>
      <c r="O369" s="7">
        <v>44392.0</v>
      </c>
      <c r="P369" s="6" t="s">
        <v>856</v>
      </c>
      <c r="Q369" s="7">
        <v>44392.0</v>
      </c>
      <c r="R369" s="6" t="s">
        <v>856</v>
      </c>
      <c r="S369" s="5">
        <v>0.0</v>
      </c>
      <c r="T369" s="6" t="s">
        <v>170</v>
      </c>
      <c r="U369" s="5">
        <v>2.0210715E7</v>
      </c>
      <c r="V369" s="5">
        <v>2.0210715E7</v>
      </c>
      <c r="W369" s="5">
        <v>29.8379966570001</v>
      </c>
      <c r="X369" s="5">
        <v>-95.2799680529999</v>
      </c>
    </row>
    <row r="370" ht="15.75" customHeight="1">
      <c r="A370" s="5">
        <v>11504.0</v>
      </c>
      <c r="B370" s="6">
        <v>2021.0</v>
      </c>
      <c r="C370" s="6" t="str">
        <f t="shared" si="1"/>
        <v>13833 RICHMOND AVE,Houston,Texas</v>
      </c>
      <c r="D370" s="6" t="s">
        <v>857</v>
      </c>
      <c r="E370" s="6" t="s">
        <v>25</v>
      </c>
      <c r="F370" s="6" t="s">
        <v>26</v>
      </c>
      <c r="G370" s="6" t="s">
        <v>313</v>
      </c>
      <c r="H370" s="6" t="s">
        <v>28</v>
      </c>
      <c r="I370" s="6" t="str">
        <f>VLOOKUP(H370,'Flow Location'!$A$1:$B$21,2,FALSE)</f>
        <v>Storm Sewer (not contained)</v>
      </c>
      <c r="J370" s="5">
        <v>1180.0</v>
      </c>
      <c r="K370" s="6" t="s">
        <v>29</v>
      </c>
      <c r="L370" s="6" t="str">
        <f>VLOOKUP(K370,'Structure type'!$A$1:$B$15,2,FALSE)</f>
        <v>Manhole</v>
      </c>
      <c r="M370" s="6" t="s">
        <v>858</v>
      </c>
      <c r="N370" s="6" t="str">
        <f>VLOOKUP(M370,'Excursion Cause'!$A$1:$B$34,2,FALSE)</f>
        <v>Pump/Lift Station Instrumentation Failure</v>
      </c>
      <c r="O370" s="7">
        <v>44392.0</v>
      </c>
      <c r="P370" s="6" t="s">
        <v>859</v>
      </c>
      <c r="Q370" s="7">
        <v>44392.0</v>
      </c>
      <c r="R370" s="6" t="s">
        <v>643</v>
      </c>
      <c r="S370" s="5">
        <v>10.0</v>
      </c>
      <c r="T370" s="6" t="s">
        <v>118</v>
      </c>
      <c r="U370" s="5">
        <v>2.0210715E7</v>
      </c>
      <c r="V370" s="5">
        <v>2.0210715E7</v>
      </c>
      <c r="W370" s="5">
        <v>29.7291513160001</v>
      </c>
      <c r="X370" s="5">
        <v>-95.633144907</v>
      </c>
    </row>
    <row r="371" ht="15.75" customHeight="1">
      <c r="A371" s="5">
        <v>11505.0</v>
      </c>
      <c r="B371" s="6">
        <v>2021.0</v>
      </c>
      <c r="C371" s="6" t="str">
        <f t="shared" si="1"/>
        <v>13833 RICHMOND AVE,Houston,Texas</v>
      </c>
      <c r="D371" s="6" t="s">
        <v>857</v>
      </c>
      <c r="E371" s="6" t="s">
        <v>25</v>
      </c>
      <c r="F371" s="6" t="s">
        <v>26</v>
      </c>
      <c r="G371" s="6" t="s">
        <v>313</v>
      </c>
      <c r="H371" s="6" t="s">
        <v>28</v>
      </c>
      <c r="I371" s="6" t="str">
        <f>VLOOKUP(H371,'Flow Location'!$A$1:$B$21,2,FALSE)</f>
        <v>Storm Sewer (not contained)</v>
      </c>
      <c r="J371" s="5">
        <v>1180.0</v>
      </c>
      <c r="K371" s="6" t="s">
        <v>29</v>
      </c>
      <c r="L371" s="6" t="str">
        <f>VLOOKUP(K371,'Structure type'!$A$1:$B$15,2,FALSE)</f>
        <v>Manhole</v>
      </c>
      <c r="M371" s="6" t="s">
        <v>858</v>
      </c>
      <c r="N371" s="6" t="str">
        <f>VLOOKUP(M371,'Excursion Cause'!$A$1:$B$34,2,FALSE)</f>
        <v>Pump/Lift Station Instrumentation Failure</v>
      </c>
      <c r="O371" s="7">
        <v>44392.0</v>
      </c>
      <c r="P371" s="6" t="s">
        <v>859</v>
      </c>
      <c r="Q371" s="7">
        <v>44392.0</v>
      </c>
      <c r="R371" s="6" t="s">
        <v>643</v>
      </c>
      <c r="S371" s="5">
        <v>10.0</v>
      </c>
      <c r="T371" s="6" t="s">
        <v>118</v>
      </c>
      <c r="U371" s="5">
        <v>2.0210715E7</v>
      </c>
      <c r="V371" s="5">
        <v>2.0210715E7</v>
      </c>
      <c r="W371" s="5">
        <v>29.7291513160001</v>
      </c>
      <c r="X371" s="5">
        <v>-95.633144907</v>
      </c>
    </row>
    <row r="372" ht="15.75" customHeight="1">
      <c r="A372" s="5">
        <v>11507.0</v>
      </c>
      <c r="B372" s="6">
        <v>2021.0</v>
      </c>
      <c r="C372" s="6" t="str">
        <f t="shared" si="1"/>
        <v>3830 WIPPRECHT ST,Houston,Texas</v>
      </c>
      <c r="D372" s="6" t="s">
        <v>835</v>
      </c>
      <c r="E372" s="6" t="s">
        <v>25</v>
      </c>
      <c r="F372" s="6" t="s">
        <v>26</v>
      </c>
      <c r="G372" s="6" t="s">
        <v>43</v>
      </c>
      <c r="H372" s="6" t="s">
        <v>50</v>
      </c>
      <c r="I372" s="6" t="str">
        <f>VLOOKUP(H372,'Flow Location'!$A$1:$B$21,2,FALSE)</f>
        <v>Contained On Site, not within 5 ft. of Bayou/Surface Water/Drainage Ditch</v>
      </c>
      <c r="J372" s="5">
        <v>0.0</v>
      </c>
      <c r="K372" s="6" t="s">
        <v>45</v>
      </c>
      <c r="L372" s="6" t="str">
        <f>VLOOKUP(K372,'Structure type'!$A$1:$B$15,2,FALSE)</f>
        <v>City Cleanout</v>
      </c>
      <c r="M372" s="6" t="s">
        <v>30</v>
      </c>
      <c r="N372" s="6" t="str">
        <f>VLOOKUP(M372,'Excursion Cause'!$A$1:$B$34,2,FALSE)</f>
        <v>Grease Blockage</v>
      </c>
      <c r="O372" s="7">
        <v>44393.0</v>
      </c>
      <c r="P372" s="6" t="s">
        <v>860</v>
      </c>
      <c r="Q372" s="7">
        <v>44393.0</v>
      </c>
      <c r="R372" s="6" t="s">
        <v>860</v>
      </c>
      <c r="S372" s="5">
        <v>0.0</v>
      </c>
      <c r="T372" s="6" t="s">
        <v>270</v>
      </c>
      <c r="U372" s="5">
        <v>2.0210716E7</v>
      </c>
      <c r="V372" s="5">
        <v>2.0210716E7</v>
      </c>
      <c r="W372" s="5">
        <v>29.7952610210001</v>
      </c>
      <c r="X372" s="5">
        <v>-95.322222484</v>
      </c>
    </row>
    <row r="373" ht="15.75" customHeight="1">
      <c r="A373" s="5">
        <v>11511.0</v>
      </c>
      <c r="B373" s="6">
        <v>2021.0</v>
      </c>
      <c r="C373" s="6" t="str">
        <f t="shared" si="1"/>
        <v>7939 DEWITT RD,Houston,Texas</v>
      </c>
      <c r="D373" s="6" t="s">
        <v>861</v>
      </c>
      <c r="E373" s="6" t="s">
        <v>25</v>
      </c>
      <c r="F373" s="6" t="s">
        <v>26</v>
      </c>
      <c r="G373" s="6" t="s">
        <v>177</v>
      </c>
      <c r="H373" s="6" t="s">
        <v>50</v>
      </c>
      <c r="I373" s="6" t="str">
        <f>VLOOKUP(H373,'Flow Location'!$A$1:$B$21,2,FALSE)</f>
        <v>Contained On Site, not within 5 ft. of Bayou/Surface Water/Drainage Ditch</v>
      </c>
      <c r="J373" s="5">
        <v>0.0</v>
      </c>
      <c r="K373" s="6" t="s">
        <v>29</v>
      </c>
      <c r="L373" s="6" t="str">
        <f>VLOOKUP(K373,'Structure type'!$A$1:$B$15,2,FALSE)</f>
        <v>Manhole</v>
      </c>
      <c r="M373" s="6" t="s">
        <v>56</v>
      </c>
      <c r="N373" s="6" t="str">
        <f>VLOOKUP(M373,'Excursion Cause'!$A$1:$B$34,2,FALSE)</f>
        <v>Rags/Wipes</v>
      </c>
      <c r="O373" s="7">
        <v>44393.0</v>
      </c>
      <c r="P373" s="6" t="s">
        <v>862</v>
      </c>
      <c r="Q373" s="7">
        <v>44393.0</v>
      </c>
      <c r="R373" s="6" t="s">
        <v>862</v>
      </c>
      <c r="S373" s="5">
        <v>0.0</v>
      </c>
      <c r="T373" s="6" t="s">
        <v>33</v>
      </c>
      <c r="U373" s="5">
        <v>2.0210716E7</v>
      </c>
      <c r="V373" s="5">
        <v>2.0210716E7</v>
      </c>
      <c r="W373" s="5">
        <v>29.833927536</v>
      </c>
      <c r="X373" s="5">
        <v>-95.282085992</v>
      </c>
    </row>
    <row r="374" ht="15.75" customHeight="1">
      <c r="A374" s="5">
        <v>11517.0</v>
      </c>
      <c r="B374" s="6">
        <v>2021.0</v>
      </c>
      <c r="C374" s="6" t="str">
        <f t="shared" si="1"/>
        <v>1600 HOLCOMBE BLVD,Houston,Texas</v>
      </c>
      <c r="D374" s="6" t="s">
        <v>863</v>
      </c>
      <c r="E374" s="6" t="s">
        <v>25</v>
      </c>
      <c r="F374" s="6" t="s">
        <v>26</v>
      </c>
      <c r="G374" s="6" t="s">
        <v>512</v>
      </c>
      <c r="H374" s="6" t="s">
        <v>28</v>
      </c>
      <c r="I374" s="6" t="str">
        <f>VLOOKUP(H374,'Flow Location'!$A$1:$B$21,2,FALSE)</f>
        <v>Storm Sewer (not contained)</v>
      </c>
      <c r="J374" s="5">
        <v>355.0</v>
      </c>
      <c r="K374" s="6" t="s">
        <v>29</v>
      </c>
      <c r="L374" s="6" t="str">
        <f>VLOOKUP(K374,'Structure type'!$A$1:$B$15,2,FALSE)</f>
        <v>Manhole</v>
      </c>
      <c r="M374" s="6" t="s">
        <v>30</v>
      </c>
      <c r="N374" s="6" t="str">
        <f>VLOOKUP(M374,'Excursion Cause'!$A$1:$B$34,2,FALSE)</f>
        <v>Grease Blockage</v>
      </c>
      <c r="O374" s="7">
        <v>44395.0</v>
      </c>
      <c r="P374" s="6" t="s">
        <v>802</v>
      </c>
      <c r="Q374" s="7">
        <v>44395.0</v>
      </c>
      <c r="R374" s="6" t="s">
        <v>640</v>
      </c>
      <c r="S374" s="5">
        <v>5.0</v>
      </c>
      <c r="T374" s="6" t="s">
        <v>33</v>
      </c>
      <c r="U374" s="5">
        <v>2.0210718E7</v>
      </c>
      <c r="V374" s="5">
        <v>2.0210718E7</v>
      </c>
      <c r="W374" s="5">
        <v>29.706132514</v>
      </c>
      <c r="X374" s="5">
        <v>-95.396010976</v>
      </c>
    </row>
    <row r="375" ht="15.75" customHeight="1">
      <c r="A375" s="5">
        <v>11518.0</v>
      </c>
      <c r="B375" s="6">
        <v>2021.0</v>
      </c>
      <c r="C375" s="6" t="str">
        <f t="shared" si="1"/>
        <v>5506 SOUTHWIND ST,Houston,Texas</v>
      </c>
      <c r="D375" s="6" t="s">
        <v>864</v>
      </c>
      <c r="E375" s="6" t="s">
        <v>25</v>
      </c>
      <c r="F375" s="6" t="s">
        <v>26</v>
      </c>
      <c r="G375" s="6" t="s">
        <v>120</v>
      </c>
      <c r="H375" s="6" t="s">
        <v>50</v>
      </c>
      <c r="I375" s="6" t="str">
        <f>VLOOKUP(H375,'Flow Location'!$A$1:$B$21,2,FALSE)</f>
        <v>Contained On Site, not within 5 ft. of Bayou/Surface Water/Drainage Ditch</v>
      </c>
      <c r="J375" s="5">
        <v>285.0</v>
      </c>
      <c r="K375" s="6" t="s">
        <v>29</v>
      </c>
      <c r="L375" s="6" t="str">
        <f>VLOOKUP(K375,'Structure type'!$A$1:$B$15,2,FALSE)</f>
        <v>Manhole</v>
      </c>
      <c r="M375" s="6" t="s">
        <v>30</v>
      </c>
      <c r="N375" s="6" t="str">
        <f>VLOOKUP(M375,'Excursion Cause'!$A$1:$B$34,2,FALSE)</f>
        <v>Grease Blockage</v>
      </c>
      <c r="O375" s="7">
        <v>44395.0</v>
      </c>
      <c r="P375" s="6" t="s">
        <v>212</v>
      </c>
      <c r="Q375" s="7">
        <v>44395.0</v>
      </c>
      <c r="R375" s="6" t="s">
        <v>704</v>
      </c>
      <c r="S375" s="5">
        <v>1.0</v>
      </c>
      <c r="T375" s="6" t="s">
        <v>33</v>
      </c>
      <c r="U375" s="5">
        <v>2.0210718E7</v>
      </c>
      <c r="V375" s="5">
        <v>2.0210718E7</v>
      </c>
      <c r="W375" s="5">
        <v>29.6746125350001</v>
      </c>
      <c r="X375" s="5">
        <v>-95.337770411</v>
      </c>
    </row>
    <row r="376" ht="15.75" customHeight="1">
      <c r="A376" s="5">
        <v>11519.0</v>
      </c>
      <c r="B376" s="6">
        <v>2021.0</v>
      </c>
      <c r="C376" s="6" t="str">
        <f t="shared" si="1"/>
        <v>803 KILROY ST,Houston,Texas</v>
      </c>
      <c r="D376" s="6" t="s">
        <v>865</v>
      </c>
      <c r="E376" s="6" t="s">
        <v>25</v>
      </c>
      <c r="F376" s="6" t="s">
        <v>26</v>
      </c>
      <c r="G376" s="6" t="s">
        <v>656</v>
      </c>
      <c r="H376" s="6" t="s">
        <v>50</v>
      </c>
      <c r="I376" s="6" t="str">
        <f>VLOOKUP(H376,'Flow Location'!$A$1:$B$21,2,FALSE)</f>
        <v>Contained On Site, not within 5 ft. of Bayou/Surface Water/Drainage Ditch</v>
      </c>
      <c r="J376" s="5">
        <v>681.0</v>
      </c>
      <c r="K376" s="6" t="s">
        <v>51</v>
      </c>
      <c r="L376" s="6" t="str">
        <f>VLOOKUP(K376,'Structure type'!$A$1:$B$15,2,FALSE)</f>
        <v>Private Cleanout</v>
      </c>
      <c r="M376" s="6" t="s">
        <v>52</v>
      </c>
      <c r="N376" s="6" t="str">
        <f>VLOOKUP(M376,'Excursion Cause'!$A$1:$B$34,2,FALSE)</f>
        <v>Collection system structural blockage</v>
      </c>
      <c r="O376" s="7">
        <v>44396.0</v>
      </c>
      <c r="P376" s="6" t="s">
        <v>866</v>
      </c>
      <c r="Q376" s="7">
        <v>44396.0</v>
      </c>
      <c r="R376" s="6" t="s">
        <v>676</v>
      </c>
      <c r="S376" s="5">
        <v>1.0</v>
      </c>
      <c r="T376" s="6" t="s">
        <v>118</v>
      </c>
      <c r="U376" s="5">
        <v>2.0210719E7</v>
      </c>
      <c r="V376" s="5">
        <v>2.0210719E7</v>
      </c>
      <c r="W376" s="5">
        <v>29.775163983</v>
      </c>
      <c r="X376" s="5">
        <v>-95.244282519</v>
      </c>
    </row>
    <row r="377" ht="15.75" customHeight="1">
      <c r="A377" s="5">
        <v>11522.0</v>
      </c>
      <c r="B377" s="6">
        <v>2021.0</v>
      </c>
      <c r="C377" s="6" t="str">
        <f t="shared" si="1"/>
        <v>6700 MAIN ST,Houston,Texas</v>
      </c>
      <c r="D377" s="6" t="s">
        <v>725</v>
      </c>
      <c r="E377" s="6" t="s">
        <v>25</v>
      </c>
      <c r="F377" s="6" t="s">
        <v>26</v>
      </c>
      <c r="G377" s="6" t="s">
        <v>512</v>
      </c>
      <c r="H377" s="6" t="s">
        <v>28</v>
      </c>
      <c r="I377" s="6" t="str">
        <f>VLOOKUP(H377,'Flow Location'!$A$1:$B$21,2,FALSE)</f>
        <v>Storm Sewer (not contained)</v>
      </c>
      <c r="J377" s="5">
        <v>422.0</v>
      </c>
      <c r="K377" s="6" t="s">
        <v>45</v>
      </c>
      <c r="L377" s="6" t="str">
        <f>VLOOKUP(K377,'Structure type'!$A$1:$B$15,2,FALSE)</f>
        <v>City Cleanout</v>
      </c>
      <c r="M377" s="6" t="s">
        <v>81</v>
      </c>
      <c r="N377" s="6" t="str">
        <f>VLOOKUP(M377,'Excursion Cause'!$A$1:$B$34,2,FALSE)</f>
        <v>Collection system structural failure</v>
      </c>
      <c r="O377" s="7">
        <v>44396.0</v>
      </c>
      <c r="P377" s="6" t="s">
        <v>867</v>
      </c>
      <c r="Q377" s="7">
        <v>44396.0</v>
      </c>
      <c r="R377" s="6" t="s">
        <v>478</v>
      </c>
      <c r="S377" s="5">
        <v>2.0</v>
      </c>
      <c r="T377" s="6" t="s">
        <v>54</v>
      </c>
      <c r="U377" s="5">
        <v>2.0210719E7</v>
      </c>
      <c r="V377" s="5">
        <v>2.0210719E7</v>
      </c>
      <c r="W377" s="5">
        <v>29.7079167700001</v>
      </c>
      <c r="X377" s="5">
        <v>-95.403808912</v>
      </c>
    </row>
    <row r="378" ht="15.75" customHeight="1">
      <c r="A378" s="5">
        <v>11529.0</v>
      </c>
      <c r="B378" s="6">
        <v>2021.0</v>
      </c>
      <c r="C378" s="6" t="str">
        <f t="shared" si="1"/>
        <v>3503 GULF FWY,Houston,Texas</v>
      </c>
      <c r="D378" s="6" t="s">
        <v>868</v>
      </c>
      <c r="E378" s="6" t="s">
        <v>25</v>
      </c>
      <c r="F378" s="6" t="s">
        <v>26</v>
      </c>
      <c r="G378" s="6" t="s">
        <v>172</v>
      </c>
      <c r="H378" s="6" t="s">
        <v>50</v>
      </c>
      <c r="I378" s="6" t="str">
        <f>VLOOKUP(H378,'Flow Location'!$A$1:$B$21,2,FALSE)</f>
        <v>Contained On Site, not within 5 ft. of Bayou/Surface Water/Drainage Ditch</v>
      </c>
      <c r="J378" s="5">
        <v>0.0</v>
      </c>
      <c r="K378" s="6" t="s">
        <v>51</v>
      </c>
      <c r="L378" s="6" t="str">
        <f>VLOOKUP(K378,'Structure type'!$A$1:$B$15,2,FALSE)</f>
        <v>Private Cleanout</v>
      </c>
      <c r="M378" s="6" t="s">
        <v>81</v>
      </c>
      <c r="N378" s="6" t="str">
        <f>VLOOKUP(M378,'Excursion Cause'!$A$1:$B$34,2,FALSE)</f>
        <v>Collection system structural failure</v>
      </c>
      <c r="O378" s="7">
        <v>44396.0</v>
      </c>
      <c r="P378" s="6" t="s">
        <v>536</v>
      </c>
      <c r="Q378" s="7">
        <v>44396.0</v>
      </c>
      <c r="R378" s="6" t="s">
        <v>536</v>
      </c>
      <c r="S378" s="5">
        <v>0.0</v>
      </c>
      <c r="T378" s="6" t="s">
        <v>107</v>
      </c>
      <c r="U378" s="5">
        <v>2.0210719E7</v>
      </c>
      <c r="V378" s="5">
        <v>2.0210719E7</v>
      </c>
      <c r="W378" s="5">
        <v>29.736251458</v>
      </c>
      <c r="X378" s="5">
        <v>-95.3475795849999</v>
      </c>
    </row>
    <row r="379" ht="15.75" customHeight="1">
      <c r="A379" s="5">
        <v>11530.0</v>
      </c>
      <c r="B379" s="6">
        <v>2021.0</v>
      </c>
      <c r="C379" s="6" t="str">
        <f t="shared" si="1"/>
        <v>6300 RANCHESTER DR,Houston,Texas</v>
      </c>
      <c r="D379" s="6" t="s">
        <v>869</v>
      </c>
      <c r="E379" s="6" t="s">
        <v>25</v>
      </c>
      <c r="F379" s="6" t="s">
        <v>26</v>
      </c>
      <c r="G379" s="6" t="s">
        <v>100</v>
      </c>
      <c r="H379" s="6" t="s">
        <v>28</v>
      </c>
      <c r="I379" s="6" t="str">
        <f>VLOOKUP(H379,'Flow Location'!$A$1:$B$21,2,FALSE)</f>
        <v>Storm Sewer (not contained)</v>
      </c>
      <c r="J379" s="5">
        <v>712.0</v>
      </c>
      <c r="K379" s="6" t="s">
        <v>29</v>
      </c>
      <c r="L379" s="6" t="str">
        <f>VLOOKUP(K379,'Structure type'!$A$1:$B$15,2,FALSE)</f>
        <v>Manhole</v>
      </c>
      <c r="M379" s="6" t="s">
        <v>30</v>
      </c>
      <c r="N379" s="6" t="str">
        <f>VLOOKUP(M379,'Excursion Cause'!$A$1:$B$34,2,FALSE)</f>
        <v>Grease Blockage</v>
      </c>
      <c r="O379" s="7">
        <v>44394.0</v>
      </c>
      <c r="P379" s="6" t="s">
        <v>870</v>
      </c>
      <c r="Q379" s="7">
        <v>44394.0</v>
      </c>
      <c r="R379" s="6" t="s">
        <v>786</v>
      </c>
      <c r="S379" s="5">
        <v>4.0</v>
      </c>
      <c r="T379" s="6" t="s">
        <v>33</v>
      </c>
      <c r="U379" s="5">
        <v>2.0210717E7</v>
      </c>
      <c r="V379" s="5">
        <v>2.0210717E7</v>
      </c>
      <c r="W379" s="5">
        <v>29.7092533480001</v>
      </c>
      <c r="X379" s="5">
        <v>-95.5455816799999</v>
      </c>
    </row>
    <row r="380" ht="15.75" customHeight="1">
      <c r="A380" s="5">
        <v>11534.0</v>
      </c>
      <c r="B380" s="6">
        <v>2021.0</v>
      </c>
      <c r="C380" s="6" t="str">
        <f t="shared" si="1"/>
        <v>333 N DELANO ST,Houston,Texas</v>
      </c>
      <c r="D380" s="6" t="s">
        <v>871</v>
      </c>
      <c r="E380" s="6" t="s">
        <v>25</v>
      </c>
      <c r="F380" s="6" t="s">
        <v>26</v>
      </c>
      <c r="G380" s="6" t="s">
        <v>172</v>
      </c>
      <c r="H380" s="6" t="s">
        <v>50</v>
      </c>
      <c r="I380" s="6" t="str">
        <f>VLOOKUP(H380,'Flow Location'!$A$1:$B$21,2,FALSE)</f>
        <v>Contained On Site, not within 5 ft. of Bayou/Surface Water/Drainage Ditch</v>
      </c>
      <c r="J380" s="5">
        <v>0.0</v>
      </c>
      <c r="K380" s="6" t="s">
        <v>45</v>
      </c>
      <c r="L380" s="6" t="str">
        <f>VLOOKUP(K380,'Structure type'!$A$1:$B$15,2,FALSE)</f>
        <v>City Cleanout</v>
      </c>
      <c r="M380" s="6" t="s">
        <v>30</v>
      </c>
      <c r="N380" s="6" t="str">
        <f>VLOOKUP(M380,'Excursion Cause'!$A$1:$B$34,2,FALSE)</f>
        <v>Grease Blockage</v>
      </c>
      <c r="O380" s="7">
        <v>44397.0</v>
      </c>
      <c r="P380" s="6" t="s">
        <v>560</v>
      </c>
      <c r="Q380" s="7">
        <v>44397.0</v>
      </c>
      <c r="R380" s="6" t="s">
        <v>560</v>
      </c>
      <c r="S380" s="5">
        <v>0.0</v>
      </c>
      <c r="T380" s="6" t="s">
        <v>74</v>
      </c>
      <c r="U380" s="5">
        <v>2.021072E7</v>
      </c>
      <c r="V380" s="5">
        <v>2.021072E7</v>
      </c>
      <c r="W380" s="5">
        <v>29.7574443880001</v>
      </c>
      <c r="X380" s="5">
        <v>-95.341523409</v>
      </c>
    </row>
    <row r="381" ht="15.75" customHeight="1">
      <c r="A381" s="5">
        <v>11537.0</v>
      </c>
      <c r="B381" s="6">
        <v>2021.0</v>
      </c>
      <c r="C381" s="6" t="str">
        <f t="shared" si="1"/>
        <v>3503 GULF FWY,Houston,Texas</v>
      </c>
      <c r="D381" s="6" t="s">
        <v>868</v>
      </c>
      <c r="E381" s="6" t="s">
        <v>25</v>
      </c>
      <c r="F381" s="6" t="s">
        <v>26</v>
      </c>
      <c r="G381" s="6" t="s">
        <v>172</v>
      </c>
      <c r="H381" s="6" t="s">
        <v>28</v>
      </c>
      <c r="I381" s="6" t="str">
        <f>VLOOKUP(H381,'Flow Location'!$A$1:$B$21,2,FALSE)</f>
        <v>Storm Sewer (not contained)</v>
      </c>
      <c r="J381" s="5">
        <v>75.0</v>
      </c>
      <c r="K381" s="6" t="s">
        <v>51</v>
      </c>
      <c r="L381" s="6" t="str">
        <f>VLOOKUP(K381,'Structure type'!$A$1:$B$15,2,FALSE)</f>
        <v>Private Cleanout</v>
      </c>
      <c r="M381" s="6" t="s">
        <v>81</v>
      </c>
      <c r="N381" s="6" t="str">
        <f>VLOOKUP(M381,'Excursion Cause'!$A$1:$B$34,2,FALSE)</f>
        <v>Collection system structural failure</v>
      </c>
      <c r="O381" s="7">
        <v>44397.0</v>
      </c>
      <c r="P381" s="6" t="s">
        <v>872</v>
      </c>
      <c r="Q381" s="7">
        <v>44397.0</v>
      </c>
      <c r="R381" s="6" t="s">
        <v>149</v>
      </c>
      <c r="S381" s="5">
        <v>1.0</v>
      </c>
      <c r="T381" s="6" t="s">
        <v>107</v>
      </c>
      <c r="U381" s="5">
        <v>2.021072E7</v>
      </c>
      <c r="V381" s="5">
        <v>2.021072E7</v>
      </c>
      <c r="W381" s="5">
        <v>29.736251458</v>
      </c>
      <c r="X381" s="5">
        <v>-95.3475795849999</v>
      </c>
    </row>
    <row r="382" ht="15.75" customHeight="1">
      <c r="A382" s="5">
        <v>11540.0</v>
      </c>
      <c r="B382" s="6">
        <v>2021.0</v>
      </c>
      <c r="C382" s="6" t="str">
        <f t="shared" si="1"/>
        <v>551 FALLOON LN,Houston,Texas</v>
      </c>
      <c r="D382" s="6" t="s">
        <v>873</v>
      </c>
      <c r="E382" s="6" t="s">
        <v>25</v>
      </c>
      <c r="F382" s="6" t="s">
        <v>26</v>
      </c>
      <c r="G382" s="6" t="s">
        <v>656</v>
      </c>
      <c r="H382" s="6" t="s">
        <v>50</v>
      </c>
      <c r="I382" s="6" t="str">
        <f>VLOOKUP(H382,'Flow Location'!$A$1:$B$21,2,FALSE)</f>
        <v>Contained On Site, not within 5 ft. of Bayou/Surface Water/Drainage Ditch</v>
      </c>
      <c r="J382" s="5">
        <v>0.0</v>
      </c>
      <c r="K382" s="6" t="s">
        <v>45</v>
      </c>
      <c r="L382" s="6" t="str">
        <f>VLOOKUP(K382,'Structure type'!$A$1:$B$15,2,FALSE)</f>
        <v>City Cleanout</v>
      </c>
      <c r="M382" s="6" t="s">
        <v>423</v>
      </c>
      <c r="N382" s="6" t="str">
        <f>VLOOKUP(M382,'Excursion Cause'!$A$1:$B$34,2,FALSE)</f>
        <v>Collection system ‐ wet weather</v>
      </c>
      <c r="O382" s="7">
        <v>44398.0</v>
      </c>
      <c r="P382" s="6" t="s">
        <v>874</v>
      </c>
      <c r="Q382" s="7">
        <v>44398.0</v>
      </c>
      <c r="R382" s="6" t="s">
        <v>874</v>
      </c>
      <c r="S382" s="5">
        <v>0.0</v>
      </c>
      <c r="T382" s="6" t="s">
        <v>118</v>
      </c>
      <c r="U382" s="5">
        <v>2.0210721E7</v>
      </c>
      <c r="V382" s="5">
        <v>2.0210721E7</v>
      </c>
      <c r="W382" s="5">
        <v>29.779029381</v>
      </c>
      <c r="X382" s="5">
        <v>-95.233800446</v>
      </c>
    </row>
    <row r="383" ht="15.75" customHeight="1">
      <c r="A383" s="5">
        <v>11551.0</v>
      </c>
      <c r="B383" s="6">
        <v>2021.0</v>
      </c>
      <c r="C383" s="6" t="str">
        <f t="shared" si="1"/>
        <v>9601 DENSLOW CIR,Houston,Texas</v>
      </c>
      <c r="D383" s="6" t="s">
        <v>875</v>
      </c>
      <c r="E383" s="6" t="s">
        <v>25</v>
      </c>
      <c r="F383" s="6" t="s">
        <v>26</v>
      </c>
      <c r="G383" s="6" t="s">
        <v>275</v>
      </c>
      <c r="H383" s="6" t="s">
        <v>44</v>
      </c>
      <c r="I383" s="6" t="str">
        <f>VLOOKUP(H383,'Flow Location'!$A$1:$B$21,2,FALSE)</f>
        <v>Bayou/surface water/drainage ditch</v>
      </c>
      <c r="J383" s="5">
        <v>0.0</v>
      </c>
      <c r="K383" s="6" t="s">
        <v>29</v>
      </c>
      <c r="L383" s="6" t="str">
        <f>VLOOKUP(K383,'Structure type'!$A$1:$B$15,2,FALSE)</f>
        <v>Manhole</v>
      </c>
      <c r="M383" s="6" t="s">
        <v>56</v>
      </c>
      <c r="N383" s="6" t="str">
        <f>VLOOKUP(M383,'Excursion Cause'!$A$1:$B$34,2,FALSE)</f>
        <v>Rags/Wipes</v>
      </c>
      <c r="O383" s="7">
        <v>44398.0</v>
      </c>
      <c r="P383" s="6" t="s">
        <v>876</v>
      </c>
      <c r="Q383" s="7">
        <v>44398.0</v>
      </c>
      <c r="R383" s="6" t="s">
        <v>876</v>
      </c>
      <c r="S383" s="5">
        <v>0.0</v>
      </c>
      <c r="T383" s="6" t="s">
        <v>33</v>
      </c>
      <c r="U383" s="5">
        <v>2.0210721E7</v>
      </c>
      <c r="V383" s="5">
        <v>2.0210721E7</v>
      </c>
      <c r="W383" s="5">
        <v>29.848057874</v>
      </c>
      <c r="X383" s="5">
        <v>-95.3647946729999</v>
      </c>
    </row>
    <row r="384" ht="15.75" customHeight="1">
      <c r="A384" s="5">
        <v>11553.0</v>
      </c>
      <c r="B384" s="6">
        <v>2021.0</v>
      </c>
      <c r="C384" s="6" t="str">
        <f t="shared" si="1"/>
        <v>1615 NORTHWOOD ST,Houston,Texas</v>
      </c>
      <c r="D384" s="6" t="s">
        <v>877</v>
      </c>
      <c r="E384" s="6" t="s">
        <v>25</v>
      </c>
      <c r="F384" s="6" t="s">
        <v>26</v>
      </c>
      <c r="G384" s="6" t="s">
        <v>161</v>
      </c>
      <c r="H384" s="6" t="s">
        <v>28</v>
      </c>
      <c r="I384" s="6" t="str">
        <f>VLOOKUP(H384,'Flow Location'!$A$1:$B$21,2,FALSE)</f>
        <v>Storm Sewer (not contained)</v>
      </c>
      <c r="J384" s="5">
        <v>71.0</v>
      </c>
      <c r="K384" s="6" t="s">
        <v>45</v>
      </c>
      <c r="L384" s="6" t="str">
        <f>VLOOKUP(K384,'Structure type'!$A$1:$B$15,2,FALSE)</f>
        <v>City Cleanout</v>
      </c>
      <c r="M384" s="6" t="s">
        <v>30</v>
      </c>
      <c r="N384" s="6" t="str">
        <f>VLOOKUP(M384,'Excursion Cause'!$A$1:$B$34,2,FALSE)</f>
        <v>Grease Blockage</v>
      </c>
      <c r="O384" s="7">
        <v>44399.0</v>
      </c>
      <c r="P384" s="6" t="s">
        <v>610</v>
      </c>
      <c r="Q384" s="7">
        <v>44399.0</v>
      </c>
      <c r="R384" s="6" t="s">
        <v>36</v>
      </c>
      <c r="S384" s="5">
        <v>1.0</v>
      </c>
      <c r="T384" s="6" t="s">
        <v>270</v>
      </c>
      <c r="U384" s="5">
        <v>2.0210722E7</v>
      </c>
      <c r="V384" s="5">
        <v>2.0210722E7</v>
      </c>
      <c r="W384" s="5">
        <v>29.806124051</v>
      </c>
      <c r="X384" s="5">
        <v>-95.3786645439999</v>
      </c>
    </row>
    <row r="385" ht="15.75" customHeight="1">
      <c r="A385" s="5">
        <v>11557.0</v>
      </c>
      <c r="B385" s="6">
        <v>2021.0</v>
      </c>
      <c r="C385" s="6" t="str">
        <f t="shared" si="1"/>
        <v>2713 CAPLIN ST,Houston,Texas</v>
      </c>
      <c r="D385" s="6" t="s">
        <v>878</v>
      </c>
      <c r="E385" s="6" t="s">
        <v>25</v>
      </c>
      <c r="F385" s="6" t="s">
        <v>26</v>
      </c>
      <c r="G385" s="6" t="s">
        <v>43</v>
      </c>
      <c r="H385" s="6" t="s">
        <v>28</v>
      </c>
      <c r="I385" s="6" t="str">
        <f>VLOOKUP(H385,'Flow Location'!$A$1:$B$21,2,FALSE)</f>
        <v>Storm Sewer (not contained)</v>
      </c>
      <c r="J385" s="5">
        <v>0.0</v>
      </c>
      <c r="K385" s="6" t="s">
        <v>51</v>
      </c>
      <c r="L385" s="6" t="str">
        <f>VLOOKUP(K385,'Structure type'!$A$1:$B$15,2,FALSE)</f>
        <v>Private Cleanout</v>
      </c>
      <c r="M385" s="6" t="s">
        <v>366</v>
      </c>
      <c r="N385" s="6" t="str">
        <f>VLOOKUP(M385,'Excursion Cause'!$A$1:$B$34,2,FALSE)</f>
        <v>Collection system structural blockage</v>
      </c>
      <c r="O385" s="7">
        <v>44399.0</v>
      </c>
      <c r="P385" s="6" t="s">
        <v>478</v>
      </c>
      <c r="Q385" s="7">
        <v>44399.0</v>
      </c>
      <c r="R385" s="6" t="s">
        <v>478</v>
      </c>
      <c r="S385" s="5">
        <v>0.0</v>
      </c>
      <c r="T385" s="6" t="s">
        <v>118</v>
      </c>
      <c r="U385" s="5">
        <v>2.0210722E7</v>
      </c>
      <c r="V385" s="5">
        <v>2.0210722E7</v>
      </c>
      <c r="W385" s="5">
        <v>29.815937499</v>
      </c>
      <c r="X385" s="5">
        <v>-95.343138015</v>
      </c>
    </row>
    <row r="386" ht="15.75" customHeight="1">
      <c r="A386" s="5">
        <v>11560.0</v>
      </c>
      <c r="B386" s="6">
        <v>2021.0</v>
      </c>
      <c r="C386" s="6" t="str">
        <f t="shared" si="1"/>
        <v>1302 BLALOCK RD,Houston,Texas</v>
      </c>
      <c r="D386" s="6" t="s">
        <v>879</v>
      </c>
      <c r="E386" s="6" t="s">
        <v>25</v>
      </c>
      <c r="F386" s="6" t="s">
        <v>26</v>
      </c>
      <c r="G386" s="6" t="s">
        <v>27</v>
      </c>
      <c r="H386" s="6" t="s">
        <v>50</v>
      </c>
      <c r="I386" s="6" t="str">
        <f>VLOOKUP(H386,'Flow Location'!$A$1:$B$21,2,FALSE)</f>
        <v>Contained On Site, not within 5 ft. of Bayou/Surface Water/Drainage Ditch</v>
      </c>
      <c r="J386" s="5">
        <v>0.0</v>
      </c>
      <c r="K386" s="6" t="s">
        <v>782</v>
      </c>
      <c r="L386" s="6" t="str">
        <f>VLOOKUP(K386,'Structure type'!$A$1:$B$15,2,FALSE)</f>
        <v>Private Sample Well</v>
      </c>
      <c r="M386" s="6" t="s">
        <v>30</v>
      </c>
      <c r="N386" s="6" t="str">
        <f>VLOOKUP(M386,'Excursion Cause'!$A$1:$B$34,2,FALSE)</f>
        <v>Grease Blockage</v>
      </c>
      <c r="O386" s="7">
        <v>44399.0</v>
      </c>
      <c r="P386" s="6" t="s">
        <v>184</v>
      </c>
      <c r="Q386" s="7">
        <v>44399.0</v>
      </c>
      <c r="R386" s="6" t="s">
        <v>184</v>
      </c>
      <c r="S386" s="5">
        <v>0.0</v>
      </c>
      <c r="T386" s="6" t="s">
        <v>33</v>
      </c>
      <c r="U386" s="5">
        <v>2.0210722E7</v>
      </c>
      <c r="V386" s="5">
        <v>2.0210722E7</v>
      </c>
      <c r="W386" s="5">
        <v>29.7923343530001</v>
      </c>
      <c r="X386" s="5">
        <v>-95.521723766</v>
      </c>
    </row>
    <row r="387" ht="15.75" customHeight="1">
      <c r="A387" s="5">
        <v>11564.0</v>
      </c>
      <c r="B387" s="6">
        <v>2021.0</v>
      </c>
      <c r="C387" s="6" t="str">
        <f t="shared" si="1"/>
        <v>8201 RICHMOND AVE,Houston,Texas</v>
      </c>
      <c r="D387" s="6" t="s">
        <v>880</v>
      </c>
      <c r="E387" s="6" t="s">
        <v>25</v>
      </c>
      <c r="F387" s="6" t="s">
        <v>26</v>
      </c>
      <c r="G387" s="6" t="s">
        <v>482</v>
      </c>
      <c r="H387" s="6" t="s">
        <v>28</v>
      </c>
      <c r="I387" s="6" t="str">
        <f>VLOOKUP(H387,'Flow Location'!$A$1:$B$21,2,FALSE)</f>
        <v>Storm Sewer (not contained)</v>
      </c>
      <c r="J387" s="5">
        <v>306.0</v>
      </c>
      <c r="K387" s="6" t="s">
        <v>45</v>
      </c>
      <c r="L387" s="6" t="str">
        <f>VLOOKUP(K387,'Structure type'!$A$1:$B$15,2,FALSE)</f>
        <v>City Cleanout</v>
      </c>
      <c r="M387" s="6" t="s">
        <v>56</v>
      </c>
      <c r="N387" s="6" t="str">
        <f>VLOOKUP(M387,'Excursion Cause'!$A$1:$B$34,2,FALSE)</f>
        <v>Rags/Wipes</v>
      </c>
      <c r="O387" s="7">
        <v>44400.0</v>
      </c>
      <c r="P387" s="6" t="s">
        <v>331</v>
      </c>
      <c r="Q387" s="7">
        <v>44400.0</v>
      </c>
      <c r="R387" s="6" t="s">
        <v>412</v>
      </c>
      <c r="S387" s="5">
        <v>2.0</v>
      </c>
      <c r="T387" s="6" t="s">
        <v>270</v>
      </c>
      <c r="U387" s="5">
        <v>2.0210723E7</v>
      </c>
      <c r="V387" s="5">
        <v>2.0210723E7</v>
      </c>
      <c r="W387" s="5">
        <v>29.7292025290001</v>
      </c>
      <c r="X387" s="5">
        <v>-95.51296803</v>
      </c>
    </row>
    <row r="388" ht="15.75" customHeight="1">
      <c r="A388" s="5">
        <v>11566.0</v>
      </c>
      <c r="B388" s="6">
        <v>2021.0</v>
      </c>
      <c r="C388" s="6" t="str">
        <f t="shared" si="1"/>
        <v>1404 BAYOU ST,Houston,Texas</v>
      </c>
      <c r="D388" s="6" t="s">
        <v>881</v>
      </c>
      <c r="E388" s="6" t="s">
        <v>25</v>
      </c>
      <c r="F388" s="6" t="s">
        <v>26</v>
      </c>
      <c r="G388" s="6" t="s">
        <v>86</v>
      </c>
      <c r="H388" s="6" t="s">
        <v>50</v>
      </c>
      <c r="I388" s="6" t="str">
        <f>VLOOKUP(H388,'Flow Location'!$A$1:$B$21,2,FALSE)</f>
        <v>Contained On Site, not within 5 ft. of Bayou/Surface Water/Drainage Ditch</v>
      </c>
      <c r="J388" s="5">
        <v>0.0</v>
      </c>
      <c r="K388" s="6" t="s">
        <v>51</v>
      </c>
      <c r="L388" s="6" t="str">
        <f>VLOOKUP(K388,'Structure type'!$A$1:$B$15,2,FALSE)</f>
        <v>Private Cleanout</v>
      </c>
      <c r="M388" s="6" t="s">
        <v>52</v>
      </c>
      <c r="N388" s="6" t="str">
        <f>VLOOKUP(M388,'Excursion Cause'!$A$1:$B$34,2,FALSE)</f>
        <v>Collection system structural blockage</v>
      </c>
      <c r="O388" s="7">
        <v>44400.0</v>
      </c>
      <c r="P388" s="6" t="s">
        <v>882</v>
      </c>
      <c r="Q388" s="7">
        <v>44400.0</v>
      </c>
      <c r="R388" s="6" t="s">
        <v>882</v>
      </c>
      <c r="S388" s="5">
        <v>0.0</v>
      </c>
      <c r="T388" s="6" t="s">
        <v>89</v>
      </c>
      <c r="U388" s="5">
        <v>2.0210723E7</v>
      </c>
      <c r="V388" s="5">
        <v>2.0210723E7</v>
      </c>
      <c r="W388" s="5">
        <v>29.773526159</v>
      </c>
      <c r="X388" s="5">
        <v>-95.3376365519999</v>
      </c>
    </row>
    <row r="389" ht="15.75" customHeight="1">
      <c r="A389" s="5">
        <v>11571.0</v>
      </c>
      <c r="B389" s="6">
        <v>2021.0</v>
      </c>
      <c r="C389" s="6" t="str">
        <f t="shared" si="1"/>
        <v>7045 AIRLINE DR,Houston,Texas</v>
      </c>
      <c r="D389" s="6" t="s">
        <v>883</v>
      </c>
      <c r="E389" s="6" t="s">
        <v>25</v>
      </c>
      <c r="F389" s="6" t="s">
        <v>26</v>
      </c>
      <c r="G389" s="6" t="s">
        <v>275</v>
      </c>
      <c r="H389" s="6" t="s">
        <v>28</v>
      </c>
      <c r="I389" s="6" t="str">
        <f>VLOOKUP(H389,'Flow Location'!$A$1:$B$21,2,FALSE)</f>
        <v>Storm Sewer (not contained)</v>
      </c>
      <c r="J389" s="5">
        <v>149.5</v>
      </c>
      <c r="K389" s="6" t="s">
        <v>51</v>
      </c>
      <c r="L389" s="6" t="str">
        <f>VLOOKUP(K389,'Structure type'!$A$1:$B$15,2,FALSE)</f>
        <v>Private Cleanout</v>
      </c>
      <c r="M389" s="6" t="s">
        <v>366</v>
      </c>
      <c r="N389" s="6" t="str">
        <f>VLOOKUP(M389,'Excursion Cause'!$A$1:$B$34,2,FALSE)</f>
        <v>Collection system structural blockage</v>
      </c>
      <c r="O389" s="7">
        <v>44400.0</v>
      </c>
      <c r="P389" s="6" t="s">
        <v>884</v>
      </c>
      <c r="Q389" s="7">
        <v>44400.0</v>
      </c>
      <c r="R389" s="6" t="s">
        <v>885</v>
      </c>
      <c r="S389" s="5">
        <v>1.0</v>
      </c>
      <c r="T389" s="6" t="s">
        <v>54</v>
      </c>
      <c r="U389" s="5">
        <v>2.0210723E7</v>
      </c>
      <c r="V389" s="5">
        <v>2.0210723E7</v>
      </c>
      <c r="W389" s="5">
        <v>29.8641510030001</v>
      </c>
      <c r="X389" s="5">
        <v>-95.384777549</v>
      </c>
    </row>
    <row r="390" ht="15.75" customHeight="1">
      <c r="A390" s="5">
        <v>11572.0</v>
      </c>
      <c r="B390" s="6">
        <v>2021.0</v>
      </c>
      <c r="C390" s="6" t="str">
        <f t="shared" si="1"/>
        <v>15711 GULF FWY,Houston,Texas</v>
      </c>
      <c r="D390" s="6" t="s">
        <v>886</v>
      </c>
      <c r="E390" s="6" t="s">
        <v>25</v>
      </c>
      <c r="F390" s="6" t="s">
        <v>26</v>
      </c>
      <c r="G390" s="6" t="s">
        <v>211</v>
      </c>
      <c r="H390" s="6" t="s">
        <v>28</v>
      </c>
      <c r="I390" s="6" t="str">
        <f>VLOOKUP(H390,'Flow Location'!$A$1:$B$21,2,FALSE)</f>
        <v>Storm Sewer (not contained)</v>
      </c>
      <c r="J390" s="5">
        <v>1533.0</v>
      </c>
      <c r="K390" s="6" t="s">
        <v>29</v>
      </c>
      <c r="L390" s="6" t="str">
        <f>VLOOKUP(K390,'Structure type'!$A$1:$B$15,2,FALSE)</f>
        <v>Manhole</v>
      </c>
      <c r="M390" s="6" t="s">
        <v>81</v>
      </c>
      <c r="N390" s="6" t="str">
        <f>VLOOKUP(M390,'Excursion Cause'!$A$1:$B$34,2,FALSE)</f>
        <v>Collection system structural failure</v>
      </c>
      <c r="O390" s="7">
        <v>44400.0</v>
      </c>
      <c r="P390" s="6" t="s">
        <v>887</v>
      </c>
      <c r="Q390" s="7">
        <v>44401.0</v>
      </c>
      <c r="R390" s="6" t="s">
        <v>888</v>
      </c>
      <c r="S390" s="5">
        <v>1.0</v>
      </c>
      <c r="T390" s="6" t="s">
        <v>107</v>
      </c>
      <c r="U390" s="5">
        <v>2.0210723E7</v>
      </c>
      <c r="V390" s="5">
        <v>2.0210724E7</v>
      </c>
      <c r="W390" s="5">
        <v>29.5828905000001</v>
      </c>
      <c r="X390" s="5">
        <v>-95.179699033</v>
      </c>
    </row>
    <row r="391" ht="15.75" customHeight="1">
      <c r="A391" s="5">
        <v>11574.0</v>
      </c>
      <c r="B391" s="6">
        <v>2021.0</v>
      </c>
      <c r="C391" s="6" t="str">
        <f t="shared" si="1"/>
        <v>2226 LEFFINGWELL ST,Houston,Texas</v>
      </c>
      <c r="D391" s="6" t="s">
        <v>889</v>
      </c>
      <c r="E391" s="6" t="s">
        <v>25</v>
      </c>
      <c r="F391" s="6" t="s">
        <v>26</v>
      </c>
      <c r="G391" s="6" t="s">
        <v>43</v>
      </c>
      <c r="H391" s="6" t="s">
        <v>50</v>
      </c>
      <c r="I391" s="6" t="str">
        <f>VLOOKUP(H391,'Flow Location'!$A$1:$B$21,2,FALSE)</f>
        <v>Contained On Site, not within 5 ft. of Bayou/Surface Water/Drainage Ditch</v>
      </c>
      <c r="J391" s="5">
        <v>0.0</v>
      </c>
      <c r="K391" s="6" t="s">
        <v>45</v>
      </c>
      <c r="L391" s="6" t="str">
        <f>VLOOKUP(K391,'Structure type'!$A$1:$B$15,2,FALSE)</f>
        <v>City Cleanout</v>
      </c>
      <c r="M391" s="6" t="s">
        <v>56</v>
      </c>
      <c r="N391" s="6" t="str">
        <f>VLOOKUP(M391,'Excursion Cause'!$A$1:$B$34,2,FALSE)</f>
        <v>Rags/Wipes</v>
      </c>
      <c r="O391" s="7">
        <v>44401.0</v>
      </c>
      <c r="P391" s="6" t="s">
        <v>103</v>
      </c>
      <c r="Q391" s="7">
        <v>44401.0</v>
      </c>
      <c r="R391" s="6" t="s">
        <v>103</v>
      </c>
      <c r="S391" s="5">
        <v>0.0</v>
      </c>
      <c r="T391" s="6" t="s">
        <v>74</v>
      </c>
      <c r="U391" s="5">
        <v>2.0210724E7</v>
      </c>
      <c r="V391" s="5">
        <v>2.0210724E7</v>
      </c>
      <c r="W391" s="5">
        <v>29.7826375390001</v>
      </c>
      <c r="X391" s="5">
        <v>-95.329293793</v>
      </c>
    </row>
    <row r="392" ht="15.75" customHeight="1">
      <c r="A392" s="5">
        <v>11580.0</v>
      </c>
      <c r="B392" s="6">
        <v>2021.0</v>
      </c>
      <c r="C392" s="6" t="str">
        <f t="shared" si="1"/>
        <v>6202 LONESOME BAYOU LN,Houston,Texas</v>
      </c>
      <c r="D392" s="6" t="s">
        <v>708</v>
      </c>
      <c r="E392" s="6" t="s">
        <v>25</v>
      </c>
      <c r="F392" s="6" t="s">
        <v>26</v>
      </c>
      <c r="G392" s="6" t="s">
        <v>502</v>
      </c>
      <c r="H392" s="6" t="s">
        <v>50</v>
      </c>
      <c r="I392" s="6" t="str">
        <f>VLOOKUP(H392,'Flow Location'!$A$1:$B$21,2,FALSE)</f>
        <v>Contained On Site, not within 5 ft. of Bayou/Surface Water/Drainage Ditch</v>
      </c>
      <c r="J392" s="5">
        <v>0.0</v>
      </c>
      <c r="K392" s="6" t="s">
        <v>29</v>
      </c>
      <c r="L392" s="6" t="str">
        <f>VLOOKUP(K392,'Structure type'!$A$1:$B$15,2,FALSE)</f>
        <v>Manhole</v>
      </c>
      <c r="M392" s="6" t="s">
        <v>52</v>
      </c>
      <c r="N392" s="6" t="str">
        <f>VLOOKUP(M392,'Excursion Cause'!$A$1:$B$34,2,FALSE)</f>
        <v>Collection system structural blockage</v>
      </c>
      <c r="O392" s="7">
        <v>44402.0</v>
      </c>
      <c r="P392" s="6" t="s">
        <v>890</v>
      </c>
      <c r="Q392" s="7">
        <v>44402.0</v>
      </c>
      <c r="R392" s="6" t="s">
        <v>890</v>
      </c>
      <c r="S392" s="5">
        <v>0.0</v>
      </c>
      <c r="T392" s="6" t="s">
        <v>107</v>
      </c>
      <c r="U392" s="5">
        <v>2.0210725E7</v>
      </c>
      <c r="V392" s="5">
        <v>2.0210725E7</v>
      </c>
      <c r="W392" s="5">
        <v>29.871637509</v>
      </c>
      <c r="X392" s="5">
        <v>-95.482962996</v>
      </c>
    </row>
    <row r="393" ht="15.75" customHeight="1">
      <c r="A393" s="5">
        <v>11581.0</v>
      </c>
      <c r="B393" s="6">
        <v>2021.0</v>
      </c>
      <c r="C393" s="6" t="str">
        <f t="shared" si="1"/>
        <v>2439 SHERIDAN ST,Houston,Texas</v>
      </c>
      <c r="D393" s="6" t="s">
        <v>891</v>
      </c>
      <c r="E393" s="6" t="s">
        <v>25</v>
      </c>
      <c r="F393" s="6" t="s">
        <v>26</v>
      </c>
      <c r="G393" s="6" t="s">
        <v>512</v>
      </c>
      <c r="H393" s="6" t="s">
        <v>50</v>
      </c>
      <c r="I393" s="6" t="str">
        <f>VLOOKUP(H393,'Flow Location'!$A$1:$B$21,2,FALSE)</f>
        <v>Contained On Site, not within 5 ft. of Bayou/Surface Water/Drainage Ditch</v>
      </c>
      <c r="J393" s="5">
        <v>262.0</v>
      </c>
      <c r="K393" s="6" t="s">
        <v>29</v>
      </c>
      <c r="L393" s="6" t="str">
        <f>VLOOKUP(K393,'Structure type'!$A$1:$B$15,2,FALSE)</f>
        <v>Manhole</v>
      </c>
      <c r="M393" s="6" t="s">
        <v>30</v>
      </c>
      <c r="N393" s="6" t="str">
        <f>VLOOKUP(M393,'Excursion Cause'!$A$1:$B$34,2,FALSE)</f>
        <v>Grease Blockage</v>
      </c>
      <c r="O393" s="7">
        <v>44403.0</v>
      </c>
      <c r="P393" s="6" t="s">
        <v>136</v>
      </c>
      <c r="Q393" s="7">
        <v>44403.0</v>
      </c>
      <c r="R393" s="6" t="s">
        <v>164</v>
      </c>
      <c r="S393" s="5">
        <v>1.0</v>
      </c>
      <c r="T393" s="6" t="s">
        <v>54</v>
      </c>
      <c r="U393" s="5">
        <v>2.0210726E7</v>
      </c>
      <c r="V393" s="5">
        <v>2.0210726E7</v>
      </c>
      <c r="W393" s="5">
        <v>29.707062528</v>
      </c>
      <c r="X393" s="5">
        <v>-95.416599026</v>
      </c>
    </row>
    <row r="394" ht="15.75" customHeight="1">
      <c r="A394" s="5">
        <v>11582.0</v>
      </c>
      <c r="B394" s="6">
        <v>2021.0</v>
      </c>
      <c r="C394" s="6" t="str">
        <f t="shared" si="1"/>
        <v>150 N DAIRY ASHFORD RD,Houston,Texas</v>
      </c>
      <c r="D394" s="6" t="s">
        <v>798</v>
      </c>
      <c r="E394" s="6" t="s">
        <v>25</v>
      </c>
      <c r="F394" s="6" t="s">
        <v>26</v>
      </c>
      <c r="G394" s="6" t="s">
        <v>520</v>
      </c>
      <c r="H394" s="6" t="s">
        <v>50</v>
      </c>
      <c r="I394" s="6" t="str">
        <f>VLOOKUP(H394,'Flow Location'!$A$1:$B$21,2,FALSE)</f>
        <v>Contained On Site, not within 5 ft. of Bayou/Surface Water/Drainage Ditch</v>
      </c>
      <c r="J394" s="5">
        <v>11.0</v>
      </c>
      <c r="K394" s="6" t="s">
        <v>290</v>
      </c>
      <c r="L394" s="6" t="str">
        <f>VLOOKUP(K394,'Structure type'!$A$1:$B$15,2,FALSE)</f>
        <v>Gravity Main</v>
      </c>
      <c r="M394" s="6" t="s">
        <v>81</v>
      </c>
      <c r="N394" s="6" t="str">
        <f>VLOOKUP(M394,'Excursion Cause'!$A$1:$B$34,2,FALSE)</f>
        <v>Collection system structural failure</v>
      </c>
      <c r="O394" s="7">
        <v>44403.0</v>
      </c>
      <c r="P394" s="6" t="s">
        <v>329</v>
      </c>
      <c r="Q394" s="7">
        <v>44403.0</v>
      </c>
      <c r="R394" s="6" t="s">
        <v>128</v>
      </c>
      <c r="S394" s="5">
        <v>1.0</v>
      </c>
      <c r="T394" s="6" t="s">
        <v>107</v>
      </c>
      <c r="U394" s="5">
        <v>2.0210726E7</v>
      </c>
      <c r="V394" s="5">
        <v>2.0210726E7</v>
      </c>
      <c r="W394" s="5">
        <v>29.7873860130001</v>
      </c>
      <c r="X394" s="5">
        <v>-95.604238992</v>
      </c>
    </row>
    <row r="395" ht="15.75" customHeight="1">
      <c r="A395" s="5">
        <v>11585.0</v>
      </c>
      <c r="B395" s="6">
        <v>2021.0</v>
      </c>
      <c r="C395" s="6" t="str">
        <f t="shared" si="1"/>
        <v>4351 TELEPHONE RD,Houston,Texas</v>
      </c>
      <c r="D395" s="6" t="s">
        <v>892</v>
      </c>
      <c r="E395" s="6" t="s">
        <v>25</v>
      </c>
      <c r="F395" s="6" t="s">
        <v>26</v>
      </c>
      <c r="G395" s="6" t="s">
        <v>35</v>
      </c>
      <c r="H395" s="6" t="s">
        <v>50</v>
      </c>
      <c r="I395" s="6" t="str">
        <f>VLOOKUP(H395,'Flow Location'!$A$1:$B$21,2,FALSE)</f>
        <v>Contained On Site, not within 5 ft. of Bayou/Surface Water/Drainage Ditch</v>
      </c>
      <c r="J395" s="5">
        <v>0.0</v>
      </c>
      <c r="K395" s="6" t="s">
        <v>45</v>
      </c>
      <c r="L395" s="6" t="str">
        <f>VLOOKUP(K395,'Structure type'!$A$1:$B$15,2,FALSE)</f>
        <v>City Cleanout</v>
      </c>
      <c r="M395" s="6" t="s">
        <v>52</v>
      </c>
      <c r="N395" s="6" t="str">
        <f>VLOOKUP(M395,'Excursion Cause'!$A$1:$B$34,2,FALSE)</f>
        <v>Collection system structural blockage</v>
      </c>
      <c r="O395" s="7">
        <v>44404.0</v>
      </c>
      <c r="P395" s="6" t="s">
        <v>893</v>
      </c>
      <c r="Q395" s="7">
        <v>44404.0</v>
      </c>
      <c r="R395" s="6" t="s">
        <v>893</v>
      </c>
      <c r="S395" s="5">
        <v>0.0</v>
      </c>
      <c r="T395" s="6" t="s">
        <v>54</v>
      </c>
      <c r="U395" s="5">
        <v>2.0210727E7</v>
      </c>
      <c r="V395" s="5">
        <v>2.0210727E7</v>
      </c>
      <c r="W395" s="5">
        <v>29.701212463</v>
      </c>
      <c r="X395" s="5">
        <v>-95.303295476</v>
      </c>
    </row>
    <row r="396" ht="15.75" customHeight="1">
      <c r="A396" s="5">
        <v>11587.0</v>
      </c>
      <c r="B396" s="6">
        <v>2021.0</v>
      </c>
      <c r="C396" s="6" t="str">
        <f t="shared" si="1"/>
        <v>4015 SHERMAN ST,Houston,Texas</v>
      </c>
      <c r="D396" s="6" t="s">
        <v>894</v>
      </c>
      <c r="E396" s="6" t="s">
        <v>25</v>
      </c>
      <c r="F396" s="6" t="s">
        <v>26</v>
      </c>
      <c r="G396" s="6" t="s">
        <v>172</v>
      </c>
      <c r="H396" s="6" t="s">
        <v>50</v>
      </c>
      <c r="I396" s="6" t="str">
        <f>VLOOKUP(H396,'Flow Location'!$A$1:$B$21,2,FALSE)</f>
        <v>Contained On Site, not within 5 ft. of Bayou/Surface Water/Drainage Ditch</v>
      </c>
      <c r="J396" s="5">
        <v>0.0</v>
      </c>
      <c r="K396" s="6" t="s">
        <v>29</v>
      </c>
      <c r="L396" s="6" t="str">
        <f>VLOOKUP(K396,'Structure type'!$A$1:$B$15,2,FALSE)</f>
        <v>Manhole</v>
      </c>
      <c r="M396" s="6" t="s">
        <v>30</v>
      </c>
      <c r="N396" s="6" t="str">
        <f>VLOOKUP(M396,'Excursion Cause'!$A$1:$B$34,2,FALSE)</f>
        <v>Grease Blockage</v>
      </c>
      <c r="O396" s="7">
        <v>44404.0</v>
      </c>
      <c r="P396" s="6" t="s">
        <v>113</v>
      </c>
      <c r="Q396" s="7">
        <v>44404.0</v>
      </c>
      <c r="R396" s="6" t="s">
        <v>113</v>
      </c>
      <c r="S396" s="5">
        <v>0.0</v>
      </c>
      <c r="T396" s="6" t="s">
        <v>33</v>
      </c>
      <c r="U396" s="5">
        <v>2.0210727E7</v>
      </c>
      <c r="V396" s="5">
        <v>2.0210727E7</v>
      </c>
      <c r="W396" s="5">
        <v>29.74792527</v>
      </c>
      <c r="X396" s="5">
        <v>-95.333901912</v>
      </c>
    </row>
    <row r="397" ht="15.75" customHeight="1">
      <c r="A397" s="5">
        <v>11588.0</v>
      </c>
      <c r="B397" s="6">
        <v>2021.0</v>
      </c>
      <c r="C397" s="6" t="str">
        <f t="shared" si="1"/>
        <v>2134 SKINNER RD,Houston,Texas</v>
      </c>
      <c r="D397" s="6" t="s">
        <v>205</v>
      </c>
      <c r="E397" s="6" t="s">
        <v>25</v>
      </c>
      <c r="F397" s="6" t="s">
        <v>26</v>
      </c>
      <c r="G397" s="6" t="s">
        <v>109</v>
      </c>
      <c r="H397" s="6" t="s">
        <v>50</v>
      </c>
      <c r="I397" s="6" t="str">
        <f>VLOOKUP(H397,'Flow Location'!$A$1:$B$21,2,FALSE)</f>
        <v>Contained On Site, not within 5 ft. of Bayou/Surface Water/Drainage Ditch</v>
      </c>
      <c r="J397" s="5">
        <v>152.0</v>
      </c>
      <c r="K397" s="6" t="s">
        <v>45</v>
      </c>
      <c r="L397" s="6" t="str">
        <f>VLOOKUP(K397,'Structure type'!$A$1:$B$15,2,FALSE)</f>
        <v>City Cleanout</v>
      </c>
      <c r="M397" s="6" t="s">
        <v>30</v>
      </c>
      <c r="N397" s="6" t="str">
        <f>VLOOKUP(M397,'Excursion Cause'!$A$1:$B$34,2,FALSE)</f>
        <v>Grease Blockage</v>
      </c>
      <c r="O397" s="7">
        <v>44404.0</v>
      </c>
      <c r="P397" s="6" t="s">
        <v>40</v>
      </c>
      <c r="Q397" s="7">
        <v>44404.0</v>
      </c>
      <c r="R397" s="6" t="s">
        <v>146</v>
      </c>
      <c r="S397" s="5">
        <v>1.0</v>
      </c>
      <c r="T397" s="6" t="s">
        <v>74</v>
      </c>
      <c r="U397" s="5">
        <v>2.0210727E7</v>
      </c>
      <c r="V397" s="5">
        <v>2.0210727E7</v>
      </c>
      <c r="W397" s="5">
        <v>29.8671608180001</v>
      </c>
      <c r="X397" s="5">
        <v>-95.35167339</v>
      </c>
    </row>
    <row r="398" ht="15.75" customHeight="1">
      <c r="A398" s="5">
        <v>11589.0</v>
      </c>
      <c r="B398" s="6">
        <v>2021.0</v>
      </c>
      <c r="C398" s="6" t="str">
        <f t="shared" si="1"/>
        <v>8418 COLONIAL LN,Houston,Texas</v>
      </c>
      <c r="D398" s="6" t="s">
        <v>895</v>
      </c>
      <c r="E398" s="6" t="s">
        <v>25</v>
      </c>
      <c r="F398" s="6" t="s">
        <v>26</v>
      </c>
      <c r="G398" s="6" t="s">
        <v>105</v>
      </c>
      <c r="H398" s="6" t="s">
        <v>50</v>
      </c>
      <c r="I398" s="6" t="str">
        <f>VLOOKUP(H398,'Flow Location'!$A$1:$B$21,2,FALSE)</f>
        <v>Contained On Site, not within 5 ft. of Bayou/Surface Water/Drainage Ditch</v>
      </c>
      <c r="J398" s="5">
        <v>0.0</v>
      </c>
      <c r="K398" s="6" t="s">
        <v>45</v>
      </c>
      <c r="L398" s="6" t="str">
        <f>VLOOKUP(K398,'Structure type'!$A$1:$B$15,2,FALSE)</f>
        <v>City Cleanout</v>
      </c>
      <c r="M398" s="6" t="s">
        <v>56</v>
      </c>
      <c r="N398" s="6" t="str">
        <f>VLOOKUP(M398,'Excursion Cause'!$A$1:$B$34,2,FALSE)</f>
        <v>Rags/Wipes</v>
      </c>
      <c r="O398" s="7">
        <v>44404.0</v>
      </c>
      <c r="P398" s="6" t="s">
        <v>801</v>
      </c>
      <c r="Q398" s="7">
        <v>44404.0</v>
      </c>
      <c r="R398" s="6" t="s">
        <v>801</v>
      </c>
      <c r="S398" s="5">
        <v>0.0</v>
      </c>
      <c r="T398" s="6" t="s">
        <v>170</v>
      </c>
      <c r="U398" s="5">
        <v>2.0210727E7</v>
      </c>
      <c r="V398" s="5">
        <v>2.0210727E7</v>
      </c>
      <c r="W398" s="5">
        <v>29.6700187070001</v>
      </c>
      <c r="X398" s="5">
        <v>-95.368707094</v>
      </c>
    </row>
    <row r="399" ht="15.75" customHeight="1">
      <c r="A399" s="5">
        <v>11590.0</v>
      </c>
      <c r="B399" s="6">
        <v>2021.0</v>
      </c>
      <c r="C399" s="6" t="str">
        <f t="shared" si="1"/>
        <v>1018 FAIRVIEW AVE,Houston,Texas</v>
      </c>
      <c r="D399" s="6" t="s">
        <v>896</v>
      </c>
      <c r="E399" s="6" t="s">
        <v>25</v>
      </c>
      <c r="F399" s="6" t="s">
        <v>26</v>
      </c>
      <c r="G399" s="6" t="s">
        <v>761</v>
      </c>
      <c r="H399" s="6" t="s">
        <v>28</v>
      </c>
      <c r="I399" s="6" t="str">
        <f>VLOOKUP(H399,'Flow Location'!$A$1:$B$21,2,FALSE)</f>
        <v>Storm Sewer (not contained)</v>
      </c>
      <c r="J399" s="5">
        <v>112.0</v>
      </c>
      <c r="K399" s="6" t="s">
        <v>29</v>
      </c>
      <c r="L399" s="6" t="str">
        <f>VLOOKUP(K399,'Structure type'!$A$1:$B$15,2,FALSE)</f>
        <v>Manhole</v>
      </c>
      <c r="M399" s="6" t="s">
        <v>81</v>
      </c>
      <c r="N399" s="6" t="str">
        <f>VLOOKUP(M399,'Excursion Cause'!$A$1:$B$34,2,FALSE)</f>
        <v>Collection system structural failure</v>
      </c>
      <c r="O399" s="7">
        <v>44404.0</v>
      </c>
      <c r="P399" s="6" t="s">
        <v>510</v>
      </c>
      <c r="Q399" s="7">
        <v>44404.0</v>
      </c>
      <c r="R399" s="6" t="s">
        <v>58</v>
      </c>
      <c r="S399" s="5">
        <v>1.0</v>
      </c>
      <c r="T399" s="6" t="s">
        <v>33</v>
      </c>
      <c r="U399" s="5">
        <v>2.0210727E7</v>
      </c>
      <c r="V399" s="5">
        <v>2.0210727E7</v>
      </c>
      <c r="W399" s="5">
        <v>29.7481188080001</v>
      </c>
      <c r="X399" s="5">
        <v>-95.3916547329999</v>
      </c>
    </row>
    <row r="400" ht="15.75" customHeight="1">
      <c r="A400" s="5">
        <v>11591.0</v>
      </c>
      <c r="B400" s="6">
        <v>2021.0</v>
      </c>
      <c r="C400" s="6" t="str">
        <f t="shared" si="1"/>
        <v>2439 SHERIDAN ST,Houston,Texas</v>
      </c>
      <c r="D400" s="6" t="s">
        <v>891</v>
      </c>
      <c r="E400" s="6" t="s">
        <v>25</v>
      </c>
      <c r="F400" s="6" t="s">
        <v>26</v>
      </c>
      <c r="G400" s="6" t="s">
        <v>512</v>
      </c>
      <c r="H400" s="6" t="s">
        <v>28</v>
      </c>
      <c r="I400" s="6" t="str">
        <f>VLOOKUP(H400,'Flow Location'!$A$1:$B$21,2,FALSE)</f>
        <v>Storm Sewer (not contained)</v>
      </c>
      <c r="J400" s="5">
        <v>732.0</v>
      </c>
      <c r="K400" s="6" t="s">
        <v>29</v>
      </c>
      <c r="L400" s="6" t="str">
        <f>VLOOKUP(K400,'Structure type'!$A$1:$B$15,2,FALSE)</f>
        <v>Manhole</v>
      </c>
      <c r="M400" s="6" t="s">
        <v>30</v>
      </c>
      <c r="N400" s="6" t="str">
        <f>VLOOKUP(M400,'Excursion Cause'!$A$1:$B$34,2,FALSE)</f>
        <v>Grease Blockage</v>
      </c>
      <c r="O400" s="7">
        <v>44404.0</v>
      </c>
      <c r="P400" s="6" t="s">
        <v>897</v>
      </c>
      <c r="Q400" s="7">
        <v>44404.0</v>
      </c>
      <c r="R400" s="6" t="s">
        <v>898</v>
      </c>
      <c r="S400" s="5">
        <v>2.0</v>
      </c>
      <c r="T400" s="6" t="s">
        <v>33</v>
      </c>
      <c r="U400" s="5">
        <v>2.0210727E7</v>
      </c>
      <c r="V400" s="5">
        <v>2.0210727E7</v>
      </c>
      <c r="W400" s="5">
        <v>29.707062528</v>
      </c>
      <c r="X400" s="5">
        <v>-95.416599026</v>
      </c>
    </row>
    <row r="401" ht="15.75" customHeight="1">
      <c r="A401" s="5">
        <v>11592.0</v>
      </c>
      <c r="B401" s="6">
        <v>2021.0</v>
      </c>
      <c r="C401" s="6" t="str">
        <f t="shared" si="1"/>
        <v>331 RONAN PARK PL,Houston,Texas</v>
      </c>
      <c r="D401" s="6" t="s">
        <v>899</v>
      </c>
      <c r="E401" s="6" t="s">
        <v>25</v>
      </c>
      <c r="F401" s="6" t="s">
        <v>26</v>
      </c>
      <c r="G401" s="6" t="s">
        <v>393</v>
      </c>
      <c r="H401" s="6" t="s">
        <v>28</v>
      </c>
      <c r="I401" s="6" t="str">
        <f>VLOOKUP(H401,'Flow Location'!$A$1:$B$21,2,FALSE)</f>
        <v>Storm Sewer (not contained)</v>
      </c>
      <c r="J401" s="5">
        <v>1946.0</v>
      </c>
      <c r="K401" s="6" t="s">
        <v>29</v>
      </c>
      <c r="L401" s="6" t="str">
        <f>VLOOKUP(K401,'Structure type'!$A$1:$B$15,2,FALSE)</f>
        <v>Manhole</v>
      </c>
      <c r="M401" s="6" t="s">
        <v>30</v>
      </c>
      <c r="N401" s="6" t="str">
        <f>VLOOKUP(M401,'Excursion Cause'!$A$1:$B$34,2,FALSE)</f>
        <v>Grease Blockage</v>
      </c>
      <c r="O401" s="7">
        <v>44404.0</v>
      </c>
      <c r="P401" s="6" t="s">
        <v>900</v>
      </c>
      <c r="Q401" s="7">
        <v>44405.0</v>
      </c>
      <c r="R401" s="6" t="s">
        <v>901</v>
      </c>
      <c r="S401" s="5">
        <v>2.0</v>
      </c>
      <c r="T401" s="6" t="s">
        <v>33</v>
      </c>
      <c r="U401" s="5">
        <v>2.0210727E7</v>
      </c>
      <c r="V401" s="5">
        <v>2.0210728E7</v>
      </c>
      <c r="W401" s="5">
        <v>29.941950399</v>
      </c>
      <c r="X401" s="5">
        <v>-95.400022517</v>
      </c>
    </row>
    <row r="402" ht="15.75" customHeight="1">
      <c r="A402" s="5">
        <v>11596.0</v>
      </c>
      <c r="B402" s="6">
        <v>2021.0</v>
      </c>
      <c r="C402" s="6" t="str">
        <f t="shared" si="1"/>
        <v>9797 MEADOWGLEN LN,Houston,Texas</v>
      </c>
      <c r="D402" s="6" t="s">
        <v>902</v>
      </c>
      <c r="E402" s="6" t="s">
        <v>25</v>
      </c>
      <c r="F402" s="6" t="s">
        <v>26</v>
      </c>
      <c r="G402" s="6" t="s">
        <v>401</v>
      </c>
      <c r="H402" s="6" t="s">
        <v>28</v>
      </c>
      <c r="I402" s="6" t="str">
        <f>VLOOKUP(H402,'Flow Location'!$A$1:$B$21,2,FALSE)</f>
        <v>Storm Sewer (not contained)</v>
      </c>
      <c r="J402" s="5">
        <v>1175.0</v>
      </c>
      <c r="K402" s="6" t="s">
        <v>29</v>
      </c>
      <c r="L402" s="6" t="str">
        <f>VLOOKUP(K402,'Structure type'!$A$1:$B$15,2,FALSE)</f>
        <v>Manhole</v>
      </c>
      <c r="M402" s="6" t="s">
        <v>30</v>
      </c>
      <c r="N402" s="6" t="str">
        <f>VLOOKUP(M402,'Excursion Cause'!$A$1:$B$34,2,FALSE)</f>
        <v>Grease Blockage</v>
      </c>
      <c r="O402" s="7">
        <v>44405.0</v>
      </c>
      <c r="P402" s="6" t="s">
        <v>315</v>
      </c>
      <c r="Q402" s="7">
        <v>44405.0</v>
      </c>
      <c r="R402" s="6" t="s">
        <v>541</v>
      </c>
      <c r="S402" s="5">
        <v>3.0</v>
      </c>
      <c r="T402" s="6" t="s">
        <v>33</v>
      </c>
      <c r="U402" s="5">
        <v>2.0210728E7</v>
      </c>
      <c r="V402" s="5">
        <v>2.0210728E7</v>
      </c>
      <c r="W402" s="5">
        <v>29.732189379</v>
      </c>
      <c r="X402" s="5">
        <v>-95.541764477</v>
      </c>
    </row>
    <row r="403" ht="15.75" customHeight="1">
      <c r="A403" s="5">
        <v>11598.0</v>
      </c>
      <c r="B403" s="6">
        <v>2021.0</v>
      </c>
      <c r="C403" s="6" t="str">
        <f t="shared" si="1"/>
        <v>12750 BROOKGLADE CIR,Houston,Texas</v>
      </c>
      <c r="D403" s="6" t="s">
        <v>903</v>
      </c>
      <c r="E403" s="6" t="s">
        <v>25</v>
      </c>
      <c r="F403" s="6" t="s">
        <v>26</v>
      </c>
      <c r="G403" s="6" t="s">
        <v>154</v>
      </c>
      <c r="H403" s="6" t="s">
        <v>50</v>
      </c>
      <c r="I403" s="6" t="str">
        <f>VLOOKUP(H403,'Flow Location'!$A$1:$B$21,2,FALSE)</f>
        <v>Contained On Site, not within 5 ft. of Bayou/Surface Water/Drainage Ditch</v>
      </c>
      <c r="J403" s="5">
        <v>0.0</v>
      </c>
      <c r="K403" s="6" t="s">
        <v>29</v>
      </c>
      <c r="L403" s="6" t="str">
        <f>VLOOKUP(K403,'Structure type'!$A$1:$B$15,2,FALSE)</f>
        <v>Manhole</v>
      </c>
      <c r="M403" s="6" t="s">
        <v>30</v>
      </c>
      <c r="N403" s="6" t="str">
        <f>VLOOKUP(M403,'Excursion Cause'!$A$1:$B$34,2,FALSE)</f>
        <v>Grease Blockage</v>
      </c>
      <c r="O403" s="7">
        <v>44405.0</v>
      </c>
      <c r="P403" s="6" t="s">
        <v>488</v>
      </c>
      <c r="Q403" s="7">
        <v>44405.0</v>
      </c>
      <c r="R403" s="6" t="s">
        <v>488</v>
      </c>
      <c r="S403" s="5">
        <v>0.0</v>
      </c>
      <c r="T403" s="6" t="s">
        <v>33</v>
      </c>
      <c r="U403" s="5">
        <v>2.0210728E7</v>
      </c>
      <c r="V403" s="5">
        <v>2.0210728E7</v>
      </c>
      <c r="W403" s="5">
        <v>29.680426977</v>
      </c>
      <c r="X403" s="5">
        <v>-95.604950113</v>
      </c>
    </row>
    <row r="404" ht="15.75" customHeight="1">
      <c r="A404" s="5">
        <v>11602.0</v>
      </c>
      <c r="B404" s="6">
        <v>2021.0</v>
      </c>
      <c r="C404" s="6" t="str">
        <f t="shared" si="1"/>
        <v>916 CAPERTON ST,Houston,Texas</v>
      </c>
      <c r="D404" s="6" t="s">
        <v>904</v>
      </c>
      <c r="E404" s="6" t="s">
        <v>25</v>
      </c>
      <c r="F404" s="6" t="s">
        <v>26</v>
      </c>
      <c r="G404" s="6" t="s">
        <v>653</v>
      </c>
      <c r="H404" s="6" t="s">
        <v>44</v>
      </c>
      <c r="I404" s="6" t="str">
        <f>VLOOKUP(H404,'Flow Location'!$A$1:$B$21,2,FALSE)</f>
        <v>Bayou/surface water/drainage ditch</v>
      </c>
      <c r="J404" s="5">
        <v>0.0</v>
      </c>
      <c r="K404" s="6" t="s">
        <v>198</v>
      </c>
      <c r="L404" s="6" t="str">
        <f>VLOOKUP(K404,'Structure type'!$A$1:$B$15,2,FALSE)</f>
        <v>Service Lateral</v>
      </c>
      <c r="M404" s="6" t="s">
        <v>81</v>
      </c>
      <c r="N404" s="6" t="str">
        <f>VLOOKUP(M404,'Excursion Cause'!$A$1:$B$34,2,FALSE)</f>
        <v>Collection system structural failure</v>
      </c>
      <c r="O404" s="7">
        <v>44405.0</v>
      </c>
      <c r="P404" s="6" t="s">
        <v>905</v>
      </c>
      <c r="Q404" s="7">
        <v>44405.0</v>
      </c>
      <c r="R404" s="6" t="s">
        <v>905</v>
      </c>
      <c r="S404" s="5">
        <v>0.0</v>
      </c>
      <c r="T404" s="6" t="s">
        <v>906</v>
      </c>
      <c r="U404" s="5">
        <v>2.0210728E7</v>
      </c>
      <c r="V404" s="5">
        <v>2.0210728E7</v>
      </c>
      <c r="W404" s="5">
        <v>29.830045332</v>
      </c>
      <c r="X404" s="5">
        <v>-95.358900267</v>
      </c>
    </row>
    <row r="405" ht="15.75" customHeight="1">
      <c r="A405" s="5">
        <v>11604.0</v>
      </c>
      <c r="B405" s="6">
        <v>2021.0</v>
      </c>
      <c r="C405" s="6" t="str">
        <f t="shared" si="1"/>
        <v>3433 IRVINGTON BLVD,Houston,Texas</v>
      </c>
      <c r="D405" s="6" t="s">
        <v>907</v>
      </c>
      <c r="E405" s="6" t="s">
        <v>25</v>
      </c>
      <c r="F405" s="6" t="s">
        <v>26</v>
      </c>
      <c r="G405" s="6" t="s">
        <v>161</v>
      </c>
      <c r="H405" s="6" t="s">
        <v>50</v>
      </c>
      <c r="I405" s="6" t="str">
        <f>VLOOKUP(H405,'Flow Location'!$A$1:$B$21,2,FALSE)</f>
        <v>Contained On Site, not within 5 ft. of Bayou/Surface Water/Drainage Ditch</v>
      </c>
      <c r="J405" s="5">
        <v>0.0</v>
      </c>
      <c r="K405" s="6" t="s">
        <v>782</v>
      </c>
      <c r="L405" s="6" t="str">
        <f>VLOOKUP(K405,'Structure type'!$A$1:$B$15,2,FALSE)</f>
        <v>Private Sample Well</v>
      </c>
      <c r="M405" s="6" t="s">
        <v>81</v>
      </c>
      <c r="N405" s="6" t="str">
        <f>VLOOKUP(M405,'Excursion Cause'!$A$1:$B$34,2,FALSE)</f>
        <v>Collection system structural failure</v>
      </c>
      <c r="O405" s="7">
        <v>44406.0</v>
      </c>
      <c r="P405" s="6" t="s">
        <v>643</v>
      </c>
      <c r="Q405" s="7">
        <v>44406.0</v>
      </c>
      <c r="R405" s="6" t="s">
        <v>643</v>
      </c>
      <c r="S405" s="5">
        <v>0.0</v>
      </c>
      <c r="T405" s="6" t="s">
        <v>118</v>
      </c>
      <c r="U405" s="5">
        <v>2.0210729E7</v>
      </c>
      <c r="V405" s="5">
        <v>2.0210729E7</v>
      </c>
      <c r="W405" s="5">
        <v>29.792267005</v>
      </c>
      <c r="X405" s="5">
        <v>-95.361007478</v>
      </c>
    </row>
    <row r="406" ht="15.75" customHeight="1">
      <c r="A406" s="5">
        <v>11607.0</v>
      </c>
      <c r="B406" s="6">
        <v>2021.0</v>
      </c>
      <c r="C406" s="6" t="str">
        <f t="shared" si="1"/>
        <v>1005 DEFENDER ST,Houston,Texas</v>
      </c>
      <c r="D406" s="6" t="s">
        <v>908</v>
      </c>
      <c r="E406" s="6" t="s">
        <v>25</v>
      </c>
      <c r="F406" s="6" t="s">
        <v>26</v>
      </c>
      <c r="G406" s="6" t="s">
        <v>247</v>
      </c>
      <c r="H406" s="6" t="s">
        <v>44</v>
      </c>
      <c r="I406" s="6" t="str">
        <f>VLOOKUP(H406,'Flow Location'!$A$1:$B$21,2,FALSE)</f>
        <v>Bayou/surface water/drainage ditch</v>
      </c>
      <c r="J406" s="5">
        <v>654.0</v>
      </c>
      <c r="K406" s="6" t="s">
        <v>190</v>
      </c>
      <c r="L406" s="6" t="str">
        <f>VLOOKUP(K406,'Structure type'!$A$1:$B$15,2,FALSE)</f>
        <v>Force Main</v>
      </c>
      <c r="M406" s="6" t="s">
        <v>620</v>
      </c>
      <c r="N406" s="6" t="str">
        <f>VLOOKUP(M406,'Excursion Cause'!$A$1:$B$34,2,FALSE)</f>
        <v>Air Relief Valve (ARV) Failure</v>
      </c>
      <c r="O406" s="7">
        <v>44406.0</v>
      </c>
      <c r="P406" s="6" t="s">
        <v>244</v>
      </c>
      <c r="Q406" s="7">
        <v>44407.0</v>
      </c>
      <c r="R406" s="6" t="s">
        <v>173</v>
      </c>
      <c r="S406" s="5">
        <v>1.0</v>
      </c>
      <c r="T406" s="6" t="s">
        <v>118</v>
      </c>
      <c r="U406" s="5">
        <v>2.0210729E7</v>
      </c>
      <c r="V406" s="5">
        <v>2.021073E7</v>
      </c>
      <c r="W406" s="5">
        <v>29.7410659400001</v>
      </c>
      <c r="X406" s="5">
        <v>-95.263505408</v>
      </c>
    </row>
    <row r="407" ht="15.75" customHeight="1">
      <c r="A407" s="5">
        <v>11608.0</v>
      </c>
      <c r="B407" s="6">
        <v>2021.0</v>
      </c>
      <c r="C407" s="6" t="str">
        <f t="shared" si="1"/>
        <v>14905 EASTEX FWY,Houston,Texas</v>
      </c>
      <c r="D407" s="6" t="s">
        <v>909</v>
      </c>
      <c r="E407" s="6" t="s">
        <v>25</v>
      </c>
      <c r="F407" s="6" t="s">
        <v>26</v>
      </c>
      <c r="G407" s="6" t="s">
        <v>853</v>
      </c>
      <c r="H407" s="6" t="s">
        <v>28</v>
      </c>
      <c r="I407" s="6" t="str">
        <f>VLOOKUP(H407,'Flow Location'!$A$1:$B$21,2,FALSE)</f>
        <v>Storm Sewer (not contained)</v>
      </c>
      <c r="J407" s="5">
        <v>110.0</v>
      </c>
      <c r="K407" s="6" t="s">
        <v>29</v>
      </c>
      <c r="L407" s="6" t="str">
        <f>VLOOKUP(K407,'Structure type'!$A$1:$B$15,2,FALSE)</f>
        <v>Manhole</v>
      </c>
      <c r="M407" s="6" t="s">
        <v>30</v>
      </c>
      <c r="N407" s="6" t="str">
        <f>VLOOKUP(M407,'Excursion Cause'!$A$1:$B$34,2,FALSE)</f>
        <v>Grease Blockage</v>
      </c>
      <c r="O407" s="7">
        <v>44406.0</v>
      </c>
      <c r="P407" s="6" t="s">
        <v>910</v>
      </c>
      <c r="Q407" s="7">
        <v>44406.0</v>
      </c>
      <c r="R407" s="6" t="s">
        <v>911</v>
      </c>
      <c r="S407" s="5">
        <v>1.0</v>
      </c>
      <c r="T407" s="6" t="s">
        <v>33</v>
      </c>
      <c r="U407" s="5">
        <v>2.0210729E7</v>
      </c>
      <c r="V407" s="5">
        <v>2.0210729E7</v>
      </c>
      <c r="W407" s="5">
        <v>29.9349871270001</v>
      </c>
      <c r="X407" s="5">
        <v>-95.298701576</v>
      </c>
    </row>
    <row r="408" ht="15.75" customHeight="1">
      <c r="A408" s="5">
        <v>11611.0</v>
      </c>
      <c r="B408" s="6">
        <v>2021.0</v>
      </c>
      <c r="C408" s="6" t="str">
        <f t="shared" si="1"/>
        <v>1406 BAYOU ST,Houston,Texas</v>
      </c>
      <c r="D408" s="6" t="s">
        <v>912</v>
      </c>
      <c r="E408" s="6" t="s">
        <v>25</v>
      </c>
      <c r="F408" s="6" t="s">
        <v>26</v>
      </c>
      <c r="G408" s="6" t="s">
        <v>86</v>
      </c>
      <c r="H408" s="6" t="s">
        <v>50</v>
      </c>
      <c r="I408" s="6" t="str">
        <f>VLOOKUP(H408,'Flow Location'!$A$1:$B$21,2,FALSE)</f>
        <v>Contained On Site, not within 5 ft. of Bayou/Surface Water/Drainage Ditch</v>
      </c>
      <c r="J408" s="5">
        <v>0.0</v>
      </c>
      <c r="K408" s="6" t="s">
        <v>51</v>
      </c>
      <c r="L408" s="6" t="str">
        <f>VLOOKUP(K408,'Structure type'!$A$1:$B$15,2,FALSE)</f>
        <v>Private Cleanout</v>
      </c>
      <c r="M408" s="6" t="s">
        <v>81</v>
      </c>
      <c r="N408" s="6" t="str">
        <f>VLOOKUP(M408,'Excursion Cause'!$A$1:$B$34,2,FALSE)</f>
        <v>Collection system structural failure</v>
      </c>
      <c r="O408" s="7">
        <v>44407.0</v>
      </c>
      <c r="P408" s="6" t="s">
        <v>843</v>
      </c>
      <c r="Q408" s="7">
        <v>44407.0</v>
      </c>
      <c r="R408" s="6" t="s">
        <v>843</v>
      </c>
      <c r="S408" s="5">
        <v>0.0</v>
      </c>
      <c r="T408" s="6" t="s">
        <v>89</v>
      </c>
      <c r="U408" s="5">
        <v>2.021073E7</v>
      </c>
      <c r="V408" s="5">
        <v>2.021073E7</v>
      </c>
      <c r="W408" s="5">
        <v>29.7736675620001</v>
      </c>
      <c r="X408" s="5">
        <v>-95.337639821</v>
      </c>
    </row>
    <row r="409" ht="15.75" customHeight="1">
      <c r="A409" s="5">
        <v>11614.0</v>
      </c>
      <c r="B409" s="6">
        <v>2021.0</v>
      </c>
      <c r="C409" s="6" t="str">
        <f t="shared" si="1"/>
        <v>722 CAPERTON ST,Houston,Texas</v>
      </c>
      <c r="D409" s="6" t="s">
        <v>913</v>
      </c>
      <c r="E409" s="6" t="s">
        <v>25</v>
      </c>
      <c r="F409" s="6" t="s">
        <v>26</v>
      </c>
      <c r="G409" s="6" t="s">
        <v>653</v>
      </c>
      <c r="H409" s="6" t="s">
        <v>44</v>
      </c>
      <c r="I409" s="6" t="str">
        <f>VLOOKUP(H409,'Flow Location'!$A$1:$B$21,2,FALSE)</f>
        <v>Bayou/surface water/drainage ditch</v>
      </c>
      <c r="J409" s="5">
        <v>0.0</v>
      </c>
      <c r="K409" s="6" t="s">
        <v>45</v>
      </c>
      <c r="L409" s="6" t="str">
        <f>VLOOKUP(K409,'Structure type'!$A$1:$B$15,2,FALSE)</f>
        <v>City Cleanout</v>
      </c>
      <c r="M409" s="6" t="s">
        <v>56</v>
      </c>
      <c r="N409" s="6" t="str">
        <f>VLOOKUP(M409,'Excursion Cause'!$A$1:$B$34,2,FALSE)</f>
        <v>Rags/Wipes</v>
      </c>
      <c r="O409" s="7">
        <v>44407.0</v>
      </c>
      <c r="P409" s="6" t="s">
        <v>304</v>
      </c>
      <c r="Q409" s="7">
        <v>44407.0</v>
      </c>
      <c r="R409" s="6" t="s">
        <v>304</v>
      </c>
      <c r="S409" s="5">
        <v>0.0</v>
      </c>
      <c r="T409" s="6" t="s">
        <v>74</v>
      </c>
      <c r="U409" s="5">
        <v>2.021073E7</v>
      </c>
      <c r="V409" s="5">
        <v>2.021073E7</v>
      </c>
      <c r="W409" s="5">
        <v>29.829982133</v>
      </c>
      <c r="X409" s="5">
        <v>-95.362758625</v>
      </c>
    </row>
    <row r="410" ht="15.75" customHeight="1">
      <c r="A410" s="5">
        <v>11618.0</v>
      </c>
      <c r="B410" s="6">
        <v>2021.0</v>
      </c>
      <c r="C410" s="6" t="str">
        <f t="shared" si="1"/>
        <v>3510 MOUNT PLEASANT ST,Houston,Texas</v>
      </c>
      <c r="D410" s="6" t="s">
        <v>327</v>
      </c>
      <c r="E410" s="6" t="s">
        <v>25</v>
      </c>
      <c r="F410" s="6" t="s">
        <v>26</v>
      </c>
      <c r="G410" s="6" t="s">
        <v>238</v>
      </c>
      <c r="H410" s="6" t="s">
        <v>50</v>
      </c>
      <c r="I410" s="6" t="str">
        <f>VLOOKUP(H410,'Flow Location'!$A$1:$B$21,2,FALSE)</f>
        <v>Contained On Site, not within 5 ft. of Bayou/Surface Water/Drainage Ditch</v>
      </c>
      <c r="J410" s="5">
        <v>0.0</v>
      </c>
      <c r="K410" s="6" t="s">
        <v>51</v>
      </c>
      <c r="L410" s="6" t="str">
        <f>VLOOKUP(K410,'Structure type'!$A$1:$B$15,2,FALSE)</f>
        <v>Private Cleanout</v>
      </c>
      <c r="M410" s="6" t="s">
        <v>56</v>
      </c>
      <c r="N410" s="6" t="str">
        <f>VLOOKUP(M410,'Excursion Cause'!$A$1:$B$34,2,FALSE)</f>
        <v>Rags/Wipes</v>
      </c>
      <c r="O410" s="7">
        <v>44407.0</v>
      </c>
      <c r="P410" s="6" t="s">
        <v>382</v>
      </c>
      <c r="Q410" s="7">
        <v>44407.0</v>
      </c>
      <c r="R410" s="6" t="s">
        <v>382</v>
      </c>
      <c r="S410" s="5">
        <v>0.0</v>
      </c>
      <c r="T410" s="6" t="s">
        <v>33</v>
      </c>
      <c r="U410" s="5">
        <v>2.021073E7</v>
      </c>
      <c r="V410" s="5">
        <v>2.021073E7</v>
      </c>
      <c r="W410" s="5">
        <v>29.6877556110001</v>
      </c>
      <c r="X410" s="5">
        <v>-95.373466422</v>
      </c>
    </row>
    <row r="411" ht="15.75" customHeight="1">
      <c r="A411" s="5">
        <v>11621.0</v>
      </c>
      <c r="B411" s="6">
        <v>2021.0</v>
      </c>
      <c r="C411" s="6" t="str">
        <f t="shared" si="1"/>
        <v>5701 GULF FWY,Houston,Texas</v>
      </c>
      <c r="D411" s="6" t="s">
        <v>538</v>
      </c>
      <c r="E411" s="6" t="s">
        <v>25</v>
      </c>
      <c r="F411" s="6" t="s">
        <v>26</v>
      </c>
      <c r="G411" s="6" t="s">
        <v>141</v>
      </c>
      <c r="H411" s="6" t="s">
        <v>28</v>
      </c>
      <c r="I411" s="6" t="str">
        <f>VLOOKUP(H411,'Flow Location'!$A$1:$B$21,2,FALSE)</f>
        <v>Storm Sewer (not contained)</v>
      </c>
      <c r="J411" s="5">
        <v>1240.0</v>
      </c>
      <c r="K411" s="6" t="s">
        <v>29</v>
      </c>
      <c r="L411" s="6" t="str">
        <f>VLOOKUP(K411,'Structure type'!$A$1:$B$15,2,FALSE)</f>
        <v>Manhole</v>
      </c>
      <c r="M411" s="6" t="s">
        <v>30</v>
      </c>
      <c r="N411" s="6" t="str">
        <f>VLOOKUP(M411,'Excursion Cause'!$A$1:$B$34,2,FALSE)</f>
        <v>Grease Blockage</v>
      </c>
      <c r="O411" s="7">
        <v>44408.0</v>
      </c>
      <c r="P411" s="6" t="s">
        <v>491</v>
      </c>
      <c r="Q411" s="7">
        <v>44408.0</v>
      </c>
      <c r="R411" s="6" t="s">
        <v>380</v>
      </c>
      <c r="S411" s="5">
        <v>4.0</v>
      </c>
      <c r="T411" s="6" t="s">
        <v>33</v>
      </c>
      <c r="U411" s="5">
        <v>2.0210731E7</v>
      </c>
      <c r="V411" s="5">
        <v>2.0210731E7</v>
      </c>
      <c r="W411" s="5">
        <v>29.718046653</v>
      </c>
      <c r="X411" s="5">
        <v>-95.319258605</v>
      </c>
    </row>
    <row r="412" ht="15.75" customHeight="1">
      <c r="A412" s="5">
        <v>11623.0</v>
      </c>
      <c r="B412" s="6">
        <v>2021.0</v>
      </c>
      <c r="C412" s="6" t="str">
        <f t="shared" si="1"/>
        <v>5330 W BELLFORT AVE,Houston,Texas</v>
      </c>
      <c r="D412" s="6" t="s">
        <v>224</v>
      </c>
      <c r="E412" s="6" t="s">
        <v>25</v>
      </c>
      <c r="F412" s="6" t="s">
        <v>26</v>
      </c>
      <c r="G412" s="6" t="s">
        <v>127</v>
      </c>
      <c r="H412" s="6" t="s">
        <v>50</v>
      </c>
      <c r="I412" s="6" t="str">
        <f>VLOOKUP(H412,'Flow Location'!$A$1:$B$21,2,FALSE)</f>
        <v>Contained On Site, not within 5 ft. of Bayou/Surface Water/Drainage Ditch</v>
      </c>
      <c r="J412" s="5">
        <v>696.0</v>
      </c>
      <c r="K412" s="6" t="s">
        <v>29</v>
      </c>
      <c r="L412" s="6" t="str">
        <f>VLOOKUP(K412,'Structure type'!$A$1:$B$15,2,FALSE)</f>
        <v>Manhole</v>
      </c>
      <c r="M412" s="6" t="s">
        <v>30</v>
      </c>
      <c r="N412" s="6" t="str">
        <f>VLOOKUP(M412,'Excursion Cause'!$A$1:$B$34,2,FALSE)</f>
        <v>Grease Blockage</v>
      </c>
      <c r="O412" s="7">
        <v>44409.0</v>
      </c>
      <c r="P412" s="6" t="s">
        <v>329</v>
      </c>
      <c r="Q412" s="7">
        <v>44409.0</v>
      </c>
      <c r="R412" s="6" t="s">
        <v>914</v>
      </c>
      <c r="S412" s="5">
        <v>2.0</v>
      </c>
      <c r="T412" s="6" t="s">
        <v>33</v>
      </c>
      <c r="U412" s="5">
        <v>2.0210801E7</v>
      </c>
      <c r="V412" s="5">
        <v>2.0210801E7</v>
      </c>
      <c r="W412" s="5">
        <v>29.65918272</v>
      </c>
      <c r="X412" s="5">
        <v>-95.477213279</v>
      </c>
    </row>
    <row r="413" ht="15.75" customHeight="1">
      <c r="A413" s="5">
        <v>11624.0</v>
      </c>
      <c r="B413" s="6">
        <v>2021.0</v>
      </c>
      <c r="C413" s="6" t="str">
        <f t="shared" si="1"/>
        <v>12730 COULSON ST,Houston,Texas</v>
      </c>
      <c r="D413" s="6" t="s">
        <v>915</v>
      </c>
      <c r="E413" s="6" t="s">
        <v>25</v>
      </c>
      <c r="F413" s="6" t="s">
        <v>26</v>
      </c>
      <c r="G413" s="6" t="s">
        <v>623</v>
      </c>
      <c r="H413" s="6" t="s">
        <v>28</v>
      </c>
      <c r="I413" s="6" t="str">
        <f>VLOOKUP(H413,'Flow Location'!$A$1:$B$21,2,FALSE)</f>
        <v>Storm Sewer (not contained)</v>
      </c>
      <c r="J413" s="5">
        <v>0.0</v>
      </c>
      <c r="K413" s="6" t="s">
        <v>45</v>
      </c>
      <c r="L413" s="6" t="str">
        <f>VLOOKUP(K413,'Structure type'!$A$1:$B$15,2,FALSE)</f>
        <v>City Cleanout</v>
      </c>
      <c r="M413" s="6" t="s">
        <v>56</v>
      </c>
      <c r="N413" s="6" t="str">
        <f>VLOOKUP(M413,'Excursion Cause'!$A$1:$B$34,2,FALSE)</f>
        <v>Rags/Wipes</v>
      </c>
      <c r="O413" s="7">
        <v>44409.0</v>
      </c>
      <c r="P413" s="6" t="s">
        <v>750</v>
      </c>
      <c r="Q413" s="7">
        <v>44409.0</v>
      </c>
      <c r="R413" s="6" t="s">
        <v>750</v>
      </c>
      <c r="S413" s="5">
        <v>0.0</v>
      </c>
      <c r="T413" s="6" t="s">
        <v>270</v>
      </c>
      <c r="U413" s="5">
        <v>2.0210801E7</v>
      </c>
      <c r="V413" s="5">
        <v>2.0210801E7</v>
      </c>
      <c r="W413" s="5">
        <v>29.762722137</v>
      </c>
      <c r="X413" s="5">
        <v>-95.2071371929999</v>
      </c>
    </row>
    <row r="414" ht="15.75" customHeight="1">
      <c r="A414" s="5">
        <v>11633.0</v>
      </c>
      <c r="B414" s="6">
        <v>2021.0</v>
      </c>
      <c r="C414" s="6" t="str">
        <f t="shared" si="1"/>
        <v>3630 AIRPORT BLVD,Houston,Texas</v>
      </c>
      <c r="D414" s="6" t="s">
        <v>916</v>
      </c>
      <c r="E414" s="6" t="s">
        <v>25</v>
      </c>
      <c r="F414" s="6" t="s">
        <v>26</v>
      </c>
      <c r="G414" s="6" t="s">
        <v>105</v>
      </c>
      <c r="H414" s="6" t="s">
        <v>50</v>
      </c>
      <c r="I414" s="6" t="str">
        <f>VLOOKUP(H414,'Flow Location'!$A$1:$B$21,2,FALSE)</f>
        <v>Contained On Site, not within 5 ft. of Bayou/Surface Water/Drainage Ditch</v>
      </c>
      <c r="J414" s="5">
        <v>0.0</v>
      </c>
      <c r="K414" s="6" t="s">
        <v>29</v>
      </c>
      <c r="L414" s="6" t="str">
        <f>VLOOKUP(K414,'Structure type'!$A$1:$B$15,2,FALSE)</f>
        <v>Manhole</v>
      </c>
      <c r="M414" s="6" t="s">
        <v>30</v>
      </c>
      <c r="N414" s="6" t="str">
        <f>VLOOKUP(M414,'Excursion Cause'!$A$1:$B$34,2,FALSE)</f>
        <v>Grease Blockage</v>
      </c>
      <c r="O414" s="7">
        <v>44409.0</v>
      </c>
      <c r="P414" s="6" t="s">
        <v>917</v>
      </c>
      <c r="Q414" s="7">
        <v>44409.0</v>
      </c>
      <c r="R414" s="6" t="s">
        <v>917</v>
      </c>
      <c r="S414" s="5">
        <v>0.0</v>
      </c>
      <c r="T414" s="6" t="s">
        <v>33</v>
      </c>
      <c r="U414" s="5">
        <v>2.0210801E7</v>
      </c>
      <c r="V414" s="5">
        <v>2.0210801E7</v>
      </c>
      <c r="W414" s="5">
        <v>29.64492706</v>
      </c>
      <c r="X414" s="5">
        <v>-95.36889093</v>
      </c>
    </row>
    <row r="415" ht="15.75" customHeight="1">
      <c r="A415" s="5">
        <v>11635.0</v>
      </c>
      <c r="B415" s="6">
        <v>2021.0</v>
      </c>
      <c r="C415" s="6" t="str">
        <f t="shared" si="1"/>
        <v>2815 HARDY ST,Houston,Texas</v>
      </c>
      <c r="D415" s="6" t="s">
        <v>918</v>
      </c>
      <c r="E415" s="6" t="s">
        <v>25</v>
      </c>
      <c r="F415" s="6" t="s">
        <v>26</v>
      </c>
      <c r="G415" s="6" t="s">
        <v>161</v>
      </c>
      <c r="H415" s="6" t="s">
        <v>50</v>
      </c>
      <c r="I415" s="6" t="str">
        <f>VLOOKUP(H415,'Flow Location'!$A$1:$B$21,2,FALSE)</f>
        <v>Contained On Site, not within 5 ft. of Bayou/Surface Water/Drainage Ditch</v>
      </c>
      <c r="J415" s="5">
        <v>0.0</v>
      </c>
      <c r="K415" s="6" t="s">
        <v>198</v>
      </c>
      <c r="L415" s="6" t="str">
        <f>VLOOKUP(K415,'Structure type'!$A$1:$B$15,2,FALSE)</f>
        <v>Service Lateral</v>
      </c>
      <c r="M415" s="6" t="s">
        <v>81</v>
      </c>
      <c r="N415" s="6" t="str">
        <f>VLOOKUP(M415,'Excursion Cause'!$A$1:$B$34,2,FALSE)</f>
        <v>Collection system structural failure</v>
      </c>
      <c r="O415" s="7">
        <v>44410.0</v>
      </c>
      <c r="P415" s="6" t="s">
        <v>919</v>
      </c>
      <c r="Q415" s="7">
        <v>44410.0</v>
      </c>
      <c r="R415" s="6" t="s">
        <v>919</v>
      </c>
      <c r="S415" s="5">
        <v>0.0</v>
      </c>
      <c r="T415" s="6" t="s">
        <v>54</v>
      </c>
      <c r="U415" s="5">
        <v>2.0210802E7</v>
      </c>
      <c r="V415" s="5">
        <v>2.0210802E7</v>
      </c>
      <c r="W415" s="5">
        <v>29.7869722820001</v>
      </c>
      <c r="X415" s="5">
        <v>-95.352050995</v>
      </c>
    </row>
    <row r="416" ht="15.75" customHeight="1">
      <c r="A416" s="5">
        <v>11636.0</v>
      </c>
      <c r="B416" s="6">
        <v>2021.0</v>
      </c>
      <c r="C416" s="6" t="str">
        <f t="shared" si="1"/>
        <v>10000 HAMMERLY BLVD,Houston,Texas</v>
      </c>
      <c r="D416" s="6" t="s">
        <v>920</v>
      </c>
      <c r="E416" s="6" t="s">
        <v>25</v>
      </c>
      <c r="F416" s="6" t="s">
        <v>26</v>
      </c>
      <c r="G416" s="6" t="s">
        <v>294</v>
      </c>
      <c r="H416" s="6" t="s">
        <v>50</v>
      </c>
      <c r="I416" s="6" t="str">
        <f>VLOOKUP(H416,'Flow Location'!$A$1:$B$21,2,FALSE)</f>
        <v>Contained On Site, not within 5 ft. of Bayou/Surface Water/Drainage Ditch</v>
      </c>
      <c r="J416" s="5">
        <v>143.0</v>
      </c>
      <c r="K416" s="6" t="s">
        <v>29</v>
      </c>
      <c r="L416" s="6" t="str">
        <f>VLOOKUP(K416,'Structure type'!$A$1:$B$15,2,FALSE)</f>
        <v>Manhole</v>
      </c>
      <c r="M416" s="6" t="s">
        <v>30</v>
      </c>
      <c r="N416" s="6" t="str">
        <f>VLOOKUP(M416,'Excursion Cause'!$A$1:$B$34,2,FALSE)</f>
        <v>Grease Blockage</v>
      </c>
      <c r="O416" s="7">
        <v>44410.0</v>
      </c>
      <c r="P416" s="6" t="s">
        <v>921</v>
      </c>
      <c r="Q416" s="7">
        <v>44410.0</v>
      </c>
      <c r="R416" s="6" t="s">
        <v>412</v>
      </c>
      <c r="S416" s="5">
        <v>1.0</v>
      </c>
      <c r="T416" s="6" t="s">
        <v>33</v>
      </c>
      <c r="U416" s="5">
        <v>2.0210802E7</v>
      </c>
      <c r="V416" s="5">
        <v>2.0210802E7</v>
      </c>
      <c r="W416" s="5">
        <v>29.812774043</v>
      </c>
      <c r="X416" s="5">
        <v>-95.540150877</v>
      </c>
    </row>
    <row r="417" ht="15.75" customHeight="1">
      <c r="A417" s="5">
        <v>11638.0</v>
      </c>
      <c r="B417" s="6">
        <v>2021.0</v>
      </c>
      <c r="C417" s="6" t="str">
        <f t="shared" si="1"/>
        <v>2209 NOBLE ST,Houston,Texas</v>
      </c>
      <c r="D417" s="6" t="s">
        <v>922</v>
      </c>
      <c r="E417" s="6" t="s">
        <v>25</v>
      </c>
      <c r="F417" s="6" t="s">
        <v>26</v>
      </c>
      <c r="G417" s="6" t="s">
        <v>43</v>
      </c>
      <c r="H417" s="6" t="s">
        <v>28</v>
      </c>
      <c r="I417" s="6" t="str">
        <f>VLOOKUP(H417,'Flow Location'!$A$1:$B$21,2,FALSE)</f>
        <v>Storm Sewer (not contained)</v>
      </c>
      <c r="J417" s="5">
        <v>0.0</v>
      </c>
      <c r="K417" s="6" t="s">
        <v>45</v>
      </c>
      <c r="L417" s="6" t="str">
        <f>VLOOKUP(K417,'Structure type'!$A$1:$B$15,2,FALSE)</f>
        <v>City Cleanout</v>
      </c>
      <c r="M417" s="6" t="s">
        <v>30</v>
      </c>
      <c r="N417" s="6" t="str">
        <f>VLOOKUP(M417,'Excursion Cause'!$A$1:$B$34,2,FALSE)</f>
        <v>Grease Blockage</v>
      </c>
      <c r="O417" s="7">
        <v>44410.0</v>
      </c>
      <c r="P417" s="6" t="s">
        <v>485</v>
      </c>
      <c r="Q417" s="7">
        <v>44410.0</v>
      </c>
      <c r="R417" s="6" t="s">
        <v>485</v>
      </c>
      <c r="S417" s="5">
        <v>0.0</v>
      </c>
      <c r="T417" s="6" t="s">
        <v>270</v>
      </c>
      <c r="U417" s="5">
        <v>2.0210802E7</v>
      </c>
      <c r="V417" s="5">
        <v>2.0210802E7</v>
      </c>
      <c r="W417" s="5">
        <v>29.7805514930001</v>
      </c>
      <c r="X417" s="5">
        <v>-95.3471901619999</v>
      </c>
    </row>
    <row r="418" ht="15.75" customHeight="1">
      <c r="A418" s="5">
        <v>11639.0</v>
      </c>
      <c r="B418" s="6">
        <v>2021.0</v>
      </c>
      <c r="C418" s="6" t="str">
        <f t="shared" si="1"/>
        <v>2117 HARDY ST,Houston,Texas</v>
      </c>
      <c r="D418" s="6" t="s">
        <v>846</v>
      </c>
      <c r="E418" s="6" t="s">
        <v>25</v>
      </c>
      <c r="F418" s="6" t="s">
        <v>26</v>
      </c>
      <c r="G418" s="6" t="s">
        <v>161</v>
      </c>
      <c r="H418" s="6" t="s">
        <v>50</v>
      </c>
      <c r="I418" s="6" t="str">
        <f>VLOOKUP(H418,'Flow Location'!$A$1:$B$21,2,FALSE)</f>
        <v>Contained On Site, not within 5 ft. of Bayou/Surface Water/Drainage Ditch</v>
      </c>
      <c r="J418" s="5">
        <v>0.0</v>
      </c>
      <c r="K418" s="6" t="s">
        <v>51</v>
      </c>
      <c r="L418" s="6" t="str">
        <f>VLOOKUP(K418,'Structure type'!$A$1:$B$15,2,FALSE)</f>
        <v>Private Cleanout</v>
      </c>
      <c r="M418" s="6" t="s">
        <v>56</v>
      </c>
      <c r="N418" s="6" t="str">
        <f>VLOOKUP(M418,'Excursion Cause'!$A$1:$B$34,2,FALSE)</f>
        <v>Rags/Wipes</v>
      </c>
      <c r="O418" s="7">
        <v>44410.0</v>
      </c>
      <c r="P418" s="6" t="s">
        <v>801</v>
      </c>
      <c r="Q418" s="7">
        <v>44410.0</v>
      </c>
      <c r="R418" s="6" t="s">
        <v>801</v>
      </c>
      <c r="S418" s="5">
        <v>0.0</v>
      </c>
      <c r="T418" s="6" t="s">
        <v>33</v>
      </c>
      <c r="U418" s="5">
        <v>2.0210802E7</v>
      </c>
      <c r="V418" s="5">
        <v>2.0210802E7</v>
      </c>
      <c r="W418" s="5">
        <v>29.781174352</v>
      </c>
      <c r="X418" s="5">
        <v>-95.351424196</v>
      </c>
    </row>
    <row r="419" ht="15.75" customHeight="1">
      <c r="A419" s="5">
        <v>11641.0</v>
      </c>
      <c r="B419" s="6">
        <v>2021.0</v>
      </c>
      <c r="C419" s="6" t="str">
        <f t="shared" si="1"/>
        <v>9622 BUFFUM ST,Houston,Texas</v>
      </c>
      <c r="D419" s="6" t="s">
        <v>923</v>
      </c>
      <c r="E419" s="6" t="s">
        <v>25</v>
      </c>
      <c r="F419" s="6" t="s">
        <v>26</v>
      </c>
      <c r="G419" s="6" t="s">
        <v>105</v>
      </c>
      <c r="H419" s="6" t="s">
        <v>50</v>
      </c>
      <c r="I419" s="6" t="str">
        <f>VLOOKUP(H419,'Flow Location'!$A$1:$B$21,2,FALSE)</f>
        <v>Contained On Site, not within 5 ft. of Bayou/Surface Water/Drainage Ditch</v>
      </c>
      <c r="J419" s="5">
        <v>0.0</v>
      </c>
      <c r="K419" s="6" t="s">
        <v>198</v>
      </c>
      <c r="L419" s="6" t="str">
        <f>VLOOKUP(K419,'Structure type'!$A$1:$B$15,2,FALSE)</f>
        <v>Service Lateral</v>
      </c>
      <c r="M419" s="6" t="s">
        <v>52</v>
      </c>
      <c r="N419" s="6" t="str">
        <f>VLOOKUP(M419,'Excursion Cause'!$A$1:$B$34,2,FALSE)</f>
        <v>Collection system structural blockage</v>
      </c>
      <c r="O419" s="7">
        <v>44410.0</v>
      </c>
      <c r="P419" s="6" t="s">
        <v>924</v>
      </c>
      <c r="Q419" s="7">
        <v>44410.0</v>
      </c>
      <c r="R419" s="6" t="s">
        <v>924</v>
      </c>
      <c r="S419" s="5">
        <v>0.0</v>
      </c>
      <c r="T419" s="6" t="s">
        <v>118</v>
      </c>
      <c r="U419" s="5">
        <v>2.0210802E7</v>
      </c>
      <c r="V419" s="5">
        <v>2.0210802E7</v>
      </c>
      <c r="W419" s="5">
        <v>29.653429035</v>
      </c>
      <c r="X419" s="5">
        <v>-95.380244868</v>
      </c>
    </row>
    <row r="420" ht="15.75" customHeight="1">
      <c r="A420" s="5">
        <v>11642.0</v>
      </c>
      <c r="B420" s="6">
        <v>2021.0</v>
      </c>
      <c r="C420" s="6" t="str">
        <f t="shared" si="1"/>
        <v>2235 WINROCK BLVD,Houston,Texas</v>
      </c>
      <c r="D420" s="6" t="s">
        <v>925</v>
      </c>
      <c r="E420" s="6" t="s">
        <v>25</v>
      </c>
      <c r="F420" s="6" t="s">
        <v>26</v>
      </c>
      <c r="G420" s="6" t="s">
        <v>689</v>
      </c>
      <c r="H420" s="6" t="s">
        <v>50</v>
      </c>
      <c r="I420" s="6" t="str">
        <f>VLOOKUP(H420,'Flow Location'!$A$1:$B$21,2,FALSE)</f>
        <v>Contained On Site, not within 5 ft. of Bayou/Surface Water/Drainage Ditch</v>
      </c>
      <c r="J420" s="5">
        <v>780.0</v>
      </c>
      <c r="K420" s="6" t="s">
        <v>51</v>
      </c>
      <c r="L420" s="6" t="str">
        <f>VLOOKUP(K420,'Structure type'!$A$1:$B$15,2,FALSE)</f>
        <v>Private Cleanout</v>
      </c>
      <c r="M420" s="6" t="s">
        <v>30</v>
      </c>
      <c r="N420" s="6" t="str">
        <f>VLOOKUP(M420,'Excursion Cause'!$A$1:$B$34,2,FALSE)</f>
        <v>Grease Blockage</v>
      </c>
      <c r="O420" s="7">
        <v>44410.0</v>
      </c>
      <c r="P420" s="6" t="s">
        <v>926</v>
      </c>
      <c r="Q420" s="7">
        <v>44410.0</v>
      </c>
      <c r="R420" s="6" t="s">
        <v>773</v>
      </c>
      <c r="S420" s="5">
        <v>2.0</v>
      </c>
      <c r="T420" s="6" t="s">
        <v>59</v>
      </c>
      <c r="U420" s="5">
        <v>2.0210802E7</v>
      </c>
      <c r="V420" s="5">
        <v>2.0210802E7</v>
      </c>
      <c r="W420" s="5">
        <v>29.744006982</v>
      </c>
      <c r="X420" s="5">
        <v>-95.49758246</v>
      </c>
    </row>
    <row r="421" ht="15.75" customHeight="1">
      <c r="A421" s="5">
        <v>11646.0</v>
      </c>
      <c r="B421" s="6">
        <v>2021.0</v>
      </c>
      <c r="C421" s="6" t="str">
        <f t="shared" si="1"/>
        <v>6710 TEXARKANA ST,Houston,Texas</v>
      </c>
      <c r="D421" s="6" t="s">
        <v>927</v>
      </c>
      <c r="E421" s="6" t="s">
        <v>25</v>
      </c>
      <c r="F421" s="6" t="s">
        <v>26</v>
      </c>
      <c r="G421" s="6" t="s">
        <v>86</v>
      </c>
      <c r="H421" s="6" t="s">
        <v>50</v>
      </c>
      <c r="I421" s="6" t="str">
        <f>VLOOKUP(H421,'Flow Location'!$A$1:$B$21,2,FALSE)</f>
        <v>Contained On Site, not within 5 ft. of Bayou/Surface Water/Drainage Ditch</v>
      </c>
      <c r="J421" s="5">
        <v>0.0</v>
      </c>
      <c r="K421" s="6" t="s">
        <v>51</v>
      </c>
      <c r="L421" s="6" t="str">
        <f>VLOOKUP(K421,'Structure type'!$A$1:$B$15,2,FALSE)</f>
        <v>Private Cleanout</v>
      </c>
      <c r="M421" s="6" t="s">
        <v>52</v>
      </c>
      <c r="N421" s="6" t="str">
        <f>VLOOKUP(M421,'Excursion Cause'!$A$1:$B$34,2,FALSE)</f>
        <v>Collection system structural blockage</v>
      </c>
      <c r="O421" s="7">
        <v>44410.0</v>
      </c>
      <c r="P421" s="6" t="s">
        <v>928</v>
      </c>
      <c r="Q421" s="7">
        <v>44410.0</v>
      </c>
      <c r="R421" s="6" t="s">
        <v>928</v>
      </c>
      <c r="S421" s="5">
        <v>0.0</v>
      </c>
      <c r="T421" s="6" t="s">
        <v>54</v>
      </c>
      <c r="U421" s="5">
        <v>2.0210802E7</v>
      </c>
      <c r="V421" s="5">
        <v>2.0210802E7</v>
      </c>
      <c r="W421" s="5">
        <v>29.7842324900001</v>
      </c>
      <c r="X421" s="5">
        <v>-95.302749982</v>
      </c>
    </row>
    <row r="422" ht="15.75" customHeight="1">
      <c r="A422" s="5">
        <v>11648.0</v>
      </c>
      <c r="B422" s="6">
        <v>2021.0</v>
      </c>
      <c r="C422" s="6" t="str">
        <f t="shared" si="1"/>
        <v>7601 ST LO RD,Houston,Texas</v>
      </c>
      <c r="D422" s="6" t="s">
        <v>929</v>
      </c>
      <c r="E422" s="6" t="s">
        <v>25</v>
      </c>
      <c r="F422" s="6" t="s">
        <v>26</v>
      </c>
      <c r="G422" s="6" t="s">
        <v>120</v>
      </c>
      <c r="H422" s="6" t="s">
        <v>50</v>
      </c>
      <c r="I422" s="6" t="str">
        <f>VLOOKUP(H422,'Flow Location'!$A$1:$B$21,2,FALSE)</f>
        <v>Contained On Site, not within 5 ft. of Bayou/Surface Water/Drainage Ditch</v>
      </c>
      <c r="J422" s="5">
        <v>0.0</v>
      </c>
      <c r="K422" s="6" t="s">
        <v>51</v>
      </c>
      <c r="L422" s="6" t="str">
        <f>VLOOKUP(K422,'Structure type'!$A$1:$B$15,2,FALSE)</f>
        <v>Private Cleanout</v>
      </c>
      <c r="M422" s="6" t="s">
        <v>52</v>
      </c>
      <c r="N422" s="6" t="str">
        <f>VLOOKUP(M422,'Excursion Cause'!$A$1:$B$34,2,FALSE)</f>
        <v>Collection system structural blockage</v>
      </c>
      <c r="O422" s="7">
        <v>44410.0</v>
      </c>
      <c r="P422" s="6" t="s">
        <v>209</v>
      </c>
      <c r="Q422" s="7">
        <v>44410.0</v>
      </c>
      <c r="R422" s="6" t="s">
        <v>209</v>
      </c>
      <c r="S422" s="5">
        <v>0.0</v>
      </c>
      <c r="T422" s="6" t="s">
        <v>33</v>
      </c>
      <c r="U422" s="5">
        <v>2.0210802E7</v>
      </c>
      <c r="V422" s="5">
        <v>2.0210802E7</v>
      </c>
      <c r="W422" s="5">
        <v>29.6731062650001</v>
      </c>
      <c r="X422" s="5">
        <v>-95.33926172</v>
      </c>
    </row>
    <row r="423" ht="15.75" customHeight="1">
      <c r="A423" s="5">
        <v>11657.0</v>
      </c>
      <c r="B423" s="6">
        <v>2021.0</v>
      </c>
      <c r="C423" s="6" t="str">
        <f t="shared" si="1"/>
        <v>3337 PARKWOOD DR,Houston,Texas</v>
      </c>
      <c r="D423" s="6" t="s">
        <v>930</v>
      </c>
      <c r="E423" s="6" t="s">
        <v>25</v>
      </c>
      <c r="F423" s="6" t="s">
        <v>26</v>
      </c>
      <c r="G423" s="6" t="s">
        <v>238</v>
      </c>
      <c r="H423" s="6" t="s">
        <v>50</v>
      </c>
      <c r="I423" s="6" t="str">
        <f>VLOOKUP(H423,'Flow Location'!$A$1:$B$21,2,FALSE)</f>
        <v>Contained On Site, not within 5 ft. of Bayou/Surface Water/Drainage Ditch</v>
      </c>
      <c r="J423" s="5">
        <v>0.0</v>
      </c>
      <c r="K423" s="6" t="s">
        <v>198</v>
      </c>
      <c r="L423" s="6" t="str">
        <f>VLOOKUP(K423,'Structure type'!$A$1:$B$15,2,FALSE)</f>
        <v>Service Lateral</v>
      </c>
      <c r="M423" s="6" t="s">
        <v>52</v>
      </c>
      <c r="N423" s="6" t="str">
        <f>VLOOKUP(M423,'Excursion Cause'!$A$1:$B$34,2,FALSE)</f>
        <v>Collection system structural blockage</v>
      </c>
      <c r="O423" s="7">
        <v>44411.0</v>
      </c>
      <c r="P423" s="6" t="s">
        <v>931</v>
      </c>
      <c r="Q423" s="7">
        <v>44411.0</v>
      </c>
      <c r="R423" s="6" t="s">
        <v>931</v>
      </c>
      <c r="S423" s="5">
        <v>0.0</v>
      </c>
      <c r="T423" s="6" t="s">
        <v>54</v>
      </c>
      <c r="U423" s="5">
        <v>2.0210803E7</v>
      </c>
      <c r="V423" s="5">
        <v>2.0210803E7</v>
      </c>
      <c r="W423" s="5">
        <v>29.707994931</v>
      </c>
      <c r="X423" s="5">
        <v>-95.368080295</v>
      </c>
    </row>
    <row r="424" ht="15.75" customHeight="1">
      <c r="A424" s="5">
        <v>11660.0</v>
      </c>
      <c r="B424" s="6">
        <v>2021.0</v>
      </c>
      <c r="C424" s="6" t="str">
        <f t="shared" si="1"/>
        <v>3911 LEFFINGWELL ST,Houston,Texas</v>
      </c>
      <c r="D424" s="6" t="s">
        <v>932</v>
      </c>
      <c r="E424" s="6" t="s">
        <v>25</v>
      </c>
      <c r="F424" s="6" t="s">
        <v>26</v>
      </c>
      <c r="G424" s="6" t="s">
        <v>43</v>
      </c>
      <c r="H424" s="6" t="s">
        <v>50</v>
      </c>
      <c r="I424" s="6" t="str">
        <f>VLOOKUP(H424,'Flow Location'!$A$1:$B$21,2,FALSE)</f>
        <v>Contained On Site, not within 5 ft. of Bayou/Surface Water/Drainage Ditch</v>
      </c>
      <c r="J424" s="5">
        <v>0.0</v>
      </c>
      <c r="K424" s="6" t="s">
        <v>45</v>
      </c>
      <c r="L424" s="6" t="str">
        <f>VLOOKUP(K424,'Structure type'!$A$1:$B$15,2,FALSE)</f>
        <v>City Cleanout</v>
      </c>
      <c r="M424" s="6" t="s">
        <v>56</v>
      </c>
      <c r="N424" s="6" t="str">
        <f>VLOOKUP(M424,'Excursion Cause'!$A$1:$B$34,2,FALSE)</f>
        <v>Rags/Wipes</v>
      </c>
      <c r="O424" s="7">
        <v>44411.0</v>
      </c>
      <c r="P424" s="6" t="s">
        <v>203</v>
      </c>
      <c r="Q424" s="7">
        <v>44411.0</v>
      </c>
      <c r="R424" s="6" t="s">
        <v>203</v>
      </c>
      <c r="S424" s="5">
        <v>0.0</v>
      </c>
      <c r="T424" s="6" t="s">
        <v>270</v>
      </c>
      <c r="U424" s="5">
        <v>2.0210803E7</v>
      </c>
      <c r="V424" s="5">
        <v>2.0210803E7</v>
      </c>
      <c r="W424" s="5">
        <v>29.7960487940001</v>
      </c>
      <c r="X424" s="5">
        <v>-95.329445505</v>
      </c>
    </row>
    <row r="425" ht="15.75" customHeight="1">
      <c r="A425" s="5">
        <v>11661.0</v>
      </c>
      <c r="B425" s="6">
        <v>2021.0</v>
      </c>
      <c r="C425" s="6" t="str">
        <f t="shared" si="1"/>
        <v>3001 ALTOONA ST,Houston,Texas</v>
      </c>
      <c r="D425" s="6" t="s">
        <v>933</v>
      </c>
      <c r="E425" s="6" t="s">
        <v>25</v>
      </c>
      <c r="F425" s="6" t="s">
        <v>26</v>
      </c>
      <c r="G425" s="6" t="s">
        <v>43</v>
      </c>
      <c r="H425" s="6" t="s">
        <v>50</v>
      </c>
      <c r="I425" s="6" t="str">
        <f>VLOOKUP(H425,'Flow Location'!$A$1:$B$21,2,FALSE)</f>
        <v>Contained On Site, not within 5 ft. of Bayou/Surface Water/Drainage Ditch</v>
      </c>
      <c r="J425" s="5">
        <v>260.0</v>
      </c>
      <c r="K425" s="6" t="s">
        <v>45</v>
      </c>
      <c r="L425" s="6" t="str">
        <f>VLOOKUP(K425,'Structure type'!$A$1:$B$15,2,FALSE)</f>
        <v>City Cleanout</v>
      </c>
      <c r="M425" s="6" t="s">
        <v>30</v>
      </c>
      <c r="N425" s="6" t="str">
        <f>VLOOKUP(M425,'Excursion Cause'!$A$1:$B$34,2,FALSE)</f>
        <v>Grease Blockage</v>
      </c>
      <c r="O425" s="7">
        <v>44411.0</v>
      </c>
      <c r="P425" s="6" t="s">
        <v>802</v>
      </c>
      <c r="Q425" s="7">
        <v>44411.0</v>
      </c>
      <c r="R425" s="6" t="s">
        <v>562</v>
      </c>
      <c r="S425" s="5">
        <v>1.0</v>
      </c>
      <c r="T425" s="6" t="s">
        <v>270</v>
      </c>
      <c r="U425" s="5">
        <v>2.0210803E7</v>
      </c>
      <c r="V425" s="5">
        <v>2.0210803E7</v>
      </c>
      <c r="W425" s="5">
        <v>29.7882140190001</v>
      </c>
      <c r="X425" s="5">
        <v>-95.327507442</v>
      </c>
    </row>
    <row r="426" ht="15.75" customHeight="1">
      <c r="A426" s="5">
        <v>11666.0</v>
      </c>
      <c r="B426" s="6">
        <v>2021.0</v>
      </c>
      <c r="C426" s="6" t="str">
        <f t="shared" si="1"/>
        <v>2107 FLETCHER ST,Houston,Texas</v>
      </c>
      <c r="D426" s="6" t="s">
        <v>934</v>
      </c>
      <c r="E426" s="6" t="s">
        <v>25</v>
      </c>
      <c r="F426" s="6" t="s">
        <v>26</v>
      </c>
      <c r="G426" s="6" t="s">
        <v>161</v>
      </c>
      <c r="H426" s="6" t="s">
        <v>28</v>
      </c>
      <c r="I426" s="6" t="str">
        <f>VLOOKUP(H426,'Flow Location'!$A$1:$B$21,2,FALSE)</f>
        <v>Storm Sewer (not contained)</v>
      </c>
      <c r="J426" s="5">
        <v>0.0</v>
      </c>
      <c r="K426" s="6" t="s">
        <v>45</v>
      </c>
      <c r="L426" s="6" t="str">
        <f>VLOOKUP(K426,'Structure type'!$A$1:$B$15,2,FALSE)</f>
        <v>City Cleanout</v>
      </c>
      <c r="M426" s="6" t="s">
        <v>96</v>
      </c>
      <c r="N426" s="6" t="str">
        <f>VLOOKUP(M426,'Excursion Cause'!$A$1:$B$34,2,FALSE)</f>
        <v>Collection system temporary blockage</v>
      </c>
      <c r="O426" s="7">
        <v>44412.0</v>
      </c>
      <c r="P426" s="6" t="s">
        <v>924</v>
      </c>
      <c r="Q426" s="7">
        <v>44412.0</v>
      </c>
      <c r="R426" s="6" t="s">
        <v>924</v>
      </c>
      <c r="S426" s="5">
        <v>0.0</v>
      </c>
      <c r="T426" s="6" t="s">
        <v>118</v>
      </c>
      <c r="U426" s="5">
        <v>2.0210804E7</v>
      </c>
      <c r="V426" s="5">
        <v>2.0210804E7</v>
      </c>
      <c r="W426" s="5">
        <v>29.778135116</v>
      </c>
      <c r="X426" s="5">
        <v>-95.364824848</v>
      </c>
    </row>
    <row r="427" ht="15.75" customHeight="1">
      <c r="A427" s="5">
        <v>11668.0</v>
      </c>
      <c r="B427" s="6">
        <v>2021.0</v>
      </c>
      <c r="C427" s="6" t="str">
        <f t="shared" si="1"/>
        <v>133 CHRISTENSEN ST,Houston,Texas</v>
      </c>
      <c r="D427" s="6" t="s">
        <v>935</v>
      </c>
      <c r="E427" s="6" t="s">
        <v>25</v>
      </c>
      <c r="F427" s="6" t="s">
        <v>26</v>
      </c>
      <c r="G427" s="6" t="s">
        <v>172</v>
      </c>
      <c r="H427" s="6" t="s">
        <v>50</v>
      </c>
      <c r="I427" s="6" t="str">
        <f>VLOOKUP(H427,'Flow Location'!$A$1:$B$21,2,FALSE)</f>
        <v>Contained On Site, not within 5 ft. of Bayou/Surface Water/Drainage Ditch</v>
      </c>
      <c r="J427" s="5">
        <v>0.0</v>
      </c>
      <c r="K427" s="6" t="s">
        <v>51</v>
      </c>
      <c r="L427" s="6" t="str">
        <f>VLOOKUP(K427,'Structure type'!$A$1:$B$15,2,FALSE)</f>
        <v>Private Cleanout</v>
      </c>
      <c r="M427" s="6" t="s">
        <v>81</v>
      </c>
      <c r="N427" s="6" t="str">
        <f>VLOOKUP(M427,'Excursion Cause'!$A$1:$B$34,2,FALSE)</f>
        <v>Collection system structural failure</v>
      </c>
      <c r="O427" s="7">
        <v>44412.0</v>
      </c>
      <c r="P427" s="6" t="s">
        <v>82</v>
      </c>
      <c r="Q427" s="7">
        <v>44412.0</v>
      </c>
      <c r="R427" s="6" t="s">
        <v>82</v>
      </c>
      <c r="S427" s="5">
        <v>0.0</v>
      </c>
      <c r="T427" s="6" t="s">
        <v>89</v>
      </c>
      <c r="U427" s="5">
        <v>2.0210804E7</v>
      </c>
      <c r="V427" s="5">
        <v>2.0210804E7</v>
      </c>
      <c r="W427" s="5">
        <v>29.74994468</v>
      </c>
      <c r="X427" s="5">
        <v>-95.329590093</v>
      </c>
    </row>
    <row r="428" ht="15.75" customHeight="1">
      <c r="A428" s="5">
        <v>11673.0</v>
      </c>
      <c r="B428" s="6">
        <v>2021.0</v>
      </c>
      <c r="C428" s="6" t="str">
        <f t="shared" si="1"/>
        <v>4103 FLOYD ST,Houston,Texas</v>
      </c>
      <c r="D428" s="6" t="s">
        <v>936</v>
      </c>
      <c r="E428" s="6" t="s">
        <v>25</v>
      </c>
      <c r="F428" s="6" t="s">
        <v>26</v>
      </c>
      <c r="G428" s="6" t="s">
        <v>158</v>
      </c>
      <c r="H428" s="6" t="s">
        <v>28</v>
      </c>
      <c r="I428" s="6" t="str">
        <f>VLOOKUP(H428,'Flow Location'!$A$1:$B$21,2,FALSE)</f>
        <v>Storm Sewer (not contained)</v>
      </c>
      <c r="J428" s="5">
        <v>0.0</v>
      </c>
      <c r="K428" s="6" t="s">
        <v>290</v>
      </c>
      <c r="L428" s="6" t="str">
        <f>VLOOKUP(K428,'Structure type'!$A$1:$B$15,2,FALSE)</f>
        <v>Gravity Main</v>
      </c>
      <c r="M428" s="6" t="s">
        <v>81</v>
      </c>
      <c r="N428" s="6" t="str">
        <f>VLOOKUP(M428,'Excursion Cause'!$A$1:$B$34,2,FALSE)</f>
        <v>Collection system structural failure</v>
      </c>
      <c r="O428" s="7">
        <v>44413.0</v>
      </c>
      <c r="P428" s="6" t="s">
        <v>937</v>
      </c>
      <c r="Q428" s="7">
        <v>44413.0</v>
      </c>
      <c r="R428" s="6" t="s">
        <v>458</v>
      </c>
      <c r="S428" s="5">
        <v>0.0</v>
      </c>
      <c r="T428" s="6" t="s">
        <v>118</v>
      </c>
      <c r="U428" s="5">
        <v>2.0210805E7</v>
      </c>
      <c r="V428" s="5">
        <v>2.0210805E7</v>
      </c>
      <c r="W428" s="5">
        <v>29.7683266970001</v>
      </c>
      <c r="X428" s="5">
        <v>-95.402050305</v>
      </c>
    </row>
    <row r="429" ht="15.75" customHeight="1">
      <c r="A429" s="5">
        <v>11679.0</v>
      </c>
      <c r="B429" s="6">
        <v>2021.0</v>
      </c>
      <c r="C429" s="6" t="str">
        <f t="shared" si="1"/>
        <v>5551 ROYALTON ST,Houston,Texas</v>
      </c>
      <c r="D429" s="6" t="s">
        <v>611</v>
      </c>
      <c r="E429" s="6" t="s">
        <v>25</v>
      </c>
      <c r="F429" s="6" t="s">
        <v>26</v>
      </c>
      <c r="G429" s="6" t="s">
        <v>287</v>
      </c>
      <c r="H429" s="6" t="s">
        <v>28</v>
      </c>
      <c r="I429" s="6" t="str">
        <f>VLOOKUP(H429,'Flow Location'!$A$1:$B$21,2,FALSE)</f>
        <v>Storm Sewer (not contained)</v>
      </c>
      <c r="J429" s="5">
        <v>187.0</v>
      </c>
      <c r="K429" s="6" t="s">
        <v>29</v>
      </c>
      <c r="L429" s="6" t="str">
        <f>VLOOKUP(K429,'Structure type'!$A$1:$B$15,2,FALSE)</f>
        <v>Manhole</v>
      </c>
      <c r="M429" s="6" t="s">
        <v>30</v>
      </c>
      <c r="N429" s="6" t="str">
        <f>VLOOKUP(M429,'Excursion Cause'!$A$1:$B$34,2,FALSE)</f>
        <v>Grease Blockage</v>
      </c>
      <c r="O429" s="7">
        <v>44413.0</v>
      </c>
      <c r="P429" s="6" t="s">
        <v>938</v>
      </c>
      <c r="Q429" s="7">
        <v>44413.0</v>
      </c>
      <c r="R429" s="6" t="s">
        <v>791</v>
      </c>
      <c r="S429" s="5">
        <v>1.0</v>
      </c>
      <c r="T429" s="6" t="s">
        <v>33</v>
      </c>
      <c r="U429" s="5">
        <v>2.0210805E7</v>
      </c>
      <c r="V429" s="5">
        <v>2.0210805E7</v>
      </c>
      <c r="W429" s="5">
        <v>29.721895031</v>
      </c>
      <c r="X429" s="5">
        <v>-95.4722613609999</v>
      </c>
    </row>
    <row r="430" ht="15.75" customHeight="1">
      <c r="A430" s="5">
        <v>11681.0</v>
      </c>
      <c r="B430" s="6">
        <v>2021.0</v>
      </c>
      <c r="C430" s="6" t="str">
        <f t="shared" si="1"/>
        <v>3009 NEWHOFF ST,Houston,Texas</v>
      </c>
      <c r="D430" s="6" t="s">
        <v>939</v>
      </c>
      <c r="E430" s="6" t="s">
        <v>25</v>
      </c>
      <c r="F430" s="6" t="s">
        <v>26</v>
      </c>
      <c r="G430" s="6" t="s">
        <v>43</v>
      </c>
      <c r="H430" s="6" t="s">
        <v>50</v>
      </c>
      <c r="I430" s="6" t="str">
        <f>VLOOKUP(H430,'Flow Location'!$A$1:$B$21,2,FALSE)</f>
        <v>Contained On Site, not within 5 ft. of Bayou/Surface Water/Drainage Ditch</v>
      </c>
      <c r="J430" s="5">
        <v>0.0</v>
      </c>
      <c r="K430" s="6" t="s">
        <v>51</v>
      </c>
      <c r="L430" s="6" t="str">
        <f>VLOOKUP(K430,'Structure type'!$A$1:$B$15,2,FALSE)</f>
        <v>Private Cleanout</v>
      </c>
      <c r="M430" s="6" t="s">
        <v>52</v>
      </c>
      <c r="N430" s="6" t="str">
        <f>VLOOKUP(M430,'Excursion Cause'!$A$1:$B$34,2,FALSE)</f>
        <v>Collection system structural blockage</v>
      </c>
      <c r="O430" s="7">
        <v>44413.0</v>
      </c>
      <c r="P430" s="6" t="s">
        <v>940</v>
      </c>
      <c r="Q430" s="7">
        <v>44413.0</v>
      </c>
      <c r="R430" s="6" t="s">
        <v>940</v>
      </c>
      <c r="S430" s="5">
        <v>0.0</v>
      </c>
      <c r="T430" s="6" t="s">
        <v>118</v>
      </c>
      <c r="U430" s="5">
        <v>2.0210805E7</v>
      </c>
      <c r="V430" s="5">
        <v>2.0210805E7</v>
      </c>
      <c r="W430" s="5">
        <v>29.7852857300001</v>
      </c>
      <c r="X430" s="5">
        <v>-95.339186177</v>
      </c>
    </row>
    <row r="431" ht="15.75" customHeight="1">
      <c r="A431" s="5">
        <v>11691.0</v>
      </c>
      <c r="B431" s="6">
        <v>2021.0</v>
      </c>
      <c r="C431" s="6" t="str">
        <f t="shared" si="1"/>
        <v>1547 SHEFFIELD BLVD,Houston,Texas</v>
      </c>
      <c r="D431" s="6" t="s">
        <v>941</v>
      </c>
      <c r="E431" s="6" t="s">
        <v>25</v>
      </c>
      <c r="F431" s="6" t="s">
        <v>26</v>
      </c>
      <c r="G431" s="6" t="s">
        <v>623</v>
      </c>
      <c r="H431" s="6" t="s">
        <v>50</v>
      </c>
      <c r="I431" s="6" t="str">
        <f>VLOOKUP(H431,'Flow Location'!$A$1:$B$21,2,FALSE)</f>
        <v>Contained On Site, not within 5 ft. of Bayou/Surface Water/Drainage Ditch</v>
      </c>
      <c r="J431" s="5">
        <v>0.0</v>
      </c>
      <c r="K431" s="6" t="s">
        <v>51</v>
      </c>
      <c r="L431" s="6" t="str">
        <f>VLOOKUP(K431,'Structure type'!$A$1:$B$15,2,FALSE)</f>
        <v>Private Cleanout</v>
      </c>
      <c r="M431" s="6" t="s">
        <v>81</v>
      </c>
      <c r="N431" s="6" t="str">
        <f>VLOOKUP(M431,'Excursion Cause'!$A$1:$B$34,2,FALSE)</f>
        <v>Collection system structural failure</v>
      </c>
      <c r="O431" s="7">
        <v>44416.0</v>
      </c>
      <c r="P431" s="6" t="s">
        <v>199</v>
      </c>
      <c r="Q431" s="7">
        <v>44416.0</v>
      </c>
      <c r="R431" s="6" t="s">
        <v>199</v>
      </c>
      <c r="S431" s="5">
        <v>0.0</v>
      </c>
      <c r="T431" s="6" t="s">
        <v>942</v>
      </c>
      <c r="U431" s="5">
        <v>2.0210808E7</v>
      </c>
      <c r="V431" s="5">
        <v>2.0210808E7</v>
      </c>
      <c r="W431" s="5">
        <v>29.7618474860001</v>
      </c>
      <c r="X431" s="5">
        <v>-95.201512517</v>
      </c>
    </row>
    <row r="432" ht="15.75" customHeight="1">
      <c r="A432" s="5">
        <v>11698.0</v>
      </c>
      <c r="B432" s="6">
        <v>2021.0</v>
      </c>
      <c r="C432" s="6" t="str">
        <f t="shared" si="1"/>
        <v>6000 W SUNFOREST DR,Houston,Texas</v>
      </c>
      <c r="D432" s="6" t="s">
        <v>102</v>
      </c>
      <c r="E432" s="6" t="s">
        <v>25</v>
      </c>
      <c r="F432" s="6" t="s">
        <v>26</v>
      </c>
      <c r="G432" s="6" t="s">
        <v>76</v>
      </c>
      <c r="H432" s="6" t="s">
        <v>28</v>
      </c>
      <c r="I432" s="6" t="str">
        <f>VLOOKUP(H432,'Flow Location'!$A$1:$B$21,2,FALSE)</f>
        <v>Storm Sewer (not contained)</v>
      </c>
      <c r="J432" s="5">
        <v>5360.0</v>
      </c>
      <c r="K432" s="6" t="s">
        <v>51</v>
      </c>
      <c r="L432" s="6" t="str">
        <f>VLOOKUP(K432,'Structure type'!$A$1:$B$15,2,FALSE)</f>
        <v>Private Cleanout</v>
      </c>
      <c r="M432" s="6" t="s">
        <v>30</v>
      </c>
      <c r="N432" s="6" t="str">
        <f>VLOOKUP(M432,'Excursion Cause'!$A$1:$B$34,2,FALSE)</f>
        <v>Grease Blockage</v>
      </c>
      <c r="O432" s="7">
        <v>44417.0</v>
      </c>
      <c r="P432" s="6" t="s">
        <v>710</v>
      </c>
      <c r="Q432" s="7">
        <v>44419.0</v>
      </c>
      <c r="R432" s="6" t="s">
        <v>66</v>
      </c>
      <c r="S432" s="5">
        <v>2.0</v>
      </c>
      <c r="T432" s="6" t="s">
        <v>33</v>
      </c>
      <c r="U432" s="5">
        <v>2.0210809E7</v>
      </c>
      <c r="V432" s="5">
        <v>2.0210811E7</v>
      </c>
      <c r="W432" s="5">
        <v>29.8484643130001</v>
      </c>
      <c r="X432" s="5">
        <v>-95.4789399329999</v>
      </c>
    </row>
    <row r="433" ht="15.75" customHeight="1">
      <c r="A433" s="5">
        <v>11699.0</v>
      </c>
      <c r="B433" s="6">
        <v>2021.0</v>
      </c>
      <c r="C433" s="6" t="str">
        <f t="shared" si="1"/>
        <v>1121 NAYLOR ST,Houston,Texas</v>
      </c>
      <c r="D433" s="6" t="s">
        <v>943</v>
      </c>
      <c r="E433" s="6" t="s">
        <v>25</v>
      </c>
      <c r="F433" s="6" t="s">
        <v>26</v>
      </c>
      <c r="G433" s="6" t="s">
        <v>463</v>
      </c>
      <c r="H433" s="6" t="s">
        <v>28</v>
      </c>
      <c r="I433" s="6" t="str">
        <f>VLOOKUP(H433,'Flow Location'!$A$1:$B$21,2,FALSE)</f>
        <v>Storm Sewer (not contained)</v>
      </c>
      <c r="J433" s="5">
        <v>1137.0</v>
      </c>
      <c r="K433" s="6" t="s">
        <v>29</v>
      </c>
      <c r="L433" s="6" t="str">
        <f>VLOOKUP(K433,'Structure type'!$A$1:$B$15,2,FALSE)</f>
        <v>Manhole</v>
      </c>
      <c r="M433" s="6" t="s">
        <v>56</v>
      </c>
      <c r="N433" s="6" t="str">
        <f>VLOOKUP(M433,'Excursion Cause'!$A$1:$B$34,2,FALSE)</f>
        <v>Rags/Wipes</v>
      </c>
      <c r="O433" s="7">
        <v>44417.0</v>
      </c>
      <c r="P433" s="6" t="s">
        <v>872</v>
      </c>
      <c r="Q433" s="7">
        <v>44417.0</v>
      </c>
      <c r="R433" s="6" t="s">
        <v>944</v>
      </c>
      <c r="S433" s="5">
        <v>3.0</v>
      </c>
      <c r="T433" s="6" t="s">
        <v>33</v>
      </c>
      <c r="U433" s="5">
        <v>2.0210809E7</v>
      </c>
      <c r="V433" s="5">
        <v>2.0210809E7</v>
      </c>
      <c r="W433" s="5">
        <v>29.770024267</v>
      </c>
      <c r="X433" s="5">
        <v>-95.358083403</v>
      </c>
    </row>
    <row r="434" ht="15.75" customHeight="1">
      <c r="A434" s="5">
        <v>11702.0</v>
      </c>
      <c r="B434" s="6">
        <v>2021.0</v>
      </c>
      <c r="C434" s="6" t="str">
        <f t="shared" si="1"/>
        <v>5455 W GULF BANK RD,Houston,Texas</v>
      </c>
      <c r="D434" s="6" t="s">
        <v>945</v>
      </c>
      <c r="E434" s="6" t="s">
        <v>25</v>
      </c>
      <c r="F434" s="6" t="s">
        <v>26</v>
      </c>
      <c r="G434" s="6" t="s">
        <v>502</v>
      </c>
      <c r="H434" s="6" t="s">
        <v>28</v>
      </c>
      <c r="I434" s="6" t="str">
        <f>VLOOKUP(H434,'Flow Location'!$A$1:$B$21,2,FALSE)</f>
        <v>Storm Sewer (not contained)</v>
      </c>
      <c r="J434" s="5">
        <v>264.0</v>
      </c>
      <c r="K434" s="6" t="s">
        <v>29</v>
      </c>
      <c r="L434" s="6" t="str">
        <f>VLOOKUP(K434,'Structure type'!$A$1:$B$15,2,FALSE)</f>
        <v>Manhole</v>
      </c>
      <c r="M434" s="6" t="s">
        <v>96</v>
      </c>
      <c r="N434" s="6" t="str">
        <f>VLOOKUP(M434,'Excursion Cause'!$A$1:$B$34,2,FALSE)</f>
        <v>Collection system temporary blockage</v>
      </c>
      <c r="O434" s="7">
        <v>44417.0</v>
      </c>
      <c r="P434" s="6" t="s">
        <v>946</v>
      </c>
      <c r="Q434" s="7">
        <v>44417.0</v>
      </c>
      <c r="R434" s="6" t="s">
        <v>766</v>
      </c>
      <c r="S434" s="5">
        <v>2.0</v>
      </c>
      <c r="T434" s="6" t="s">
        <v>118</v>
      </c>
      <c r="U434" s="5">
        <v>2.0210809E7</v>
      </c>
      <c r="V434" s="5">
        <v>2.0210809E7</v>
      </c>
      <c r="W434" s="5">
        <v>29.883134414</v>
      </c>
      <c r="X434" s="5">
        <v>-95.4686845159999</v>
      </c>
    </row>
    <row r="435" ht="15.75" customHeight="1">
      <c r="A435" s="5">
        <v>11703.0</v>
      </c>
      <c r="B435" s="6">
        <v>2021.0</v>
      </c>
      <c r="C435" s="6" t="str">
        <f t="shared" si="1"/>
        <v>8015 PARK PLACE BLVD,Houston,Texas</v>
      </c>
      <c r="D435" s="6" t="s">
        <v>947</v>
      </c>
      <c r="E435" s="6" t="s">
        <v>25</v>
      </c>
      <c r="F435" s="6" t="s">
        <v>26</v>
      </c>
      <c r="G435" s="6" t="s">
        <v>35</v>
      </c>
      <c r="H435" s="6" t="s">
        <v>50</v>
      </c>
      <c r="I435" s="6" t="str">
        <f>VLOOKUP(H435,'Flow Location'!$A$1:$B$21,2,FALSE)</f>
        <v>Contained On Site, not within 5 ft. of Bayou/Surface Water/Drainage Ditch</v>
      </c>
      <c r="J435" s="5">
        <v>0.0</v>
      </c>
      <c r="K435" s="6" t="s">
        <v>948</v>
      </c>
      <c r="L435" s="6" t="str">
        <f>VLOOKUP(K435,'Structure type'!$A$1:$B$15,2,FALSE)</f>
        <v>Private Grease Trap</v>
      </c>
      <c r="M435" s="6" t="s">
        <v>30</v>
      </c>
      <c r="N435" s="6" t="str">
        <f>VLOOKUP(M435,'Excursion Cause'!$A$1:$B$34,2,FALSE)</f>
        <v>Grease Blockage</v>
      </c>
      <c r="O435" s="7">
        <v>44418.0</v>
      </c>
      <c r="P435" s="6" t="s">
        <v>285</v>
      </c>
      <c r="Q435" s="7">
        <v>44418.0</v>
      </c>
      <c r="R435" s="6" t="s">
        <v>285</v>
      </c>
      <c r="S435" s="5">
        <v>0.0</v>
      </c>
      <c r="T435" s="6" t="s">
        <v>59</v>
      </c>
      <c r="U435" s="5">
        <v>2.021081E7</v>
      </c>
      <c r="V435" s="5">
        <v>2.021081E7</v>
      </c>
      <c r="W435" s="5">
        <v>29.6855279100001</v>
      </c>
      <c r="X435" s="5">
        <v>-95.2794477039999</v>
      </c>
    </row>
    <row r="436" ht="15.75" customHeight="1">
      <c r="A436" s="5">
        <v>11710.0</v>
      </c>
      <c r="B436" s="6">
        <v>2021.0</v>
      </c>
      <c r="C436" s="6" t="str">
        <f t="shared" si="1"/>
        <v>8402 N MEADOW BIRD CIR,Houston,Texas</v>
      </c>
      <c r="D436" s="6" t="s">
        <v>949</v>
      </c>
      <c r="E436" s="6" t="s">
        <v>25</v>
      </c>
      <c r="F436" s="6" t="s">
        <v>26</v>
      </c>
      <c r="G436" s="6" t="s">
        <v>166</v>
      </c>
      <c r="H436" s="6" t="s">
        <v>50</v>
      </c>
      <c r="I436" s="6" t="str">
        <f>VLOOKUP(H436,'Flow Location'!$A$1:$B$21,2,FALSE)</f>
        <v>Contained On Site, not within 5 ft. of Bayou/Surface Water/Drainage Ditch</v>
      </c>
      <c r="J436" s="5">
        <v>0.0</v>
      </c>
      <c r="K436" s="6" t="s">
        <v>51</v>
      </c>
      <c r="L436" s="6" t="str">
        <f>VLOOKUP(K436,'Structure type'!$A$1:$B$15,2,FALSE)</f>
        <v>Private Cleanout</v>
      </c>
      <c r="M436" s="6" t="s">
        <v>30</v>
      </c>
      <c r="N436" s="6" t="str">
        <f>VLOOKUP(M436,'Excursion Cause'!$A$1:$B$34,2,FALSE)</f>
        <v>Grease Blockage</v>
      </c>
      <c r="O436" s="7">
        <v>44418.0</v>
      </c>
      <c r="P436" s="6" t="s">
        <v>950</v>
      </c>
      <c r="Q436" s="7">
        <v>44418.0</v>
      </c>
      <c r="R436" s="6" t="s">
        <v>950</v>
      </c>
      <c r="S436" s="5">
        <v>0.0</v>
      </c>
      <c r="T436" s="6" t="s">
        <v>33</v>
      </c>
      <c r="U436" s="5">
        <v>2.021081E7</v>
      </c>
      <c r="V436" s="5">
        <v>2.021081E7</v>
      </c>
      <c r="W436" s="5">
        <v>29.573663492</v>
      </c>
      <c r="X436" s="5">
        <v>-95.515397776</v>
      </c>
    </row>
    <row r="437" ht="15.75" customHeight="1">
      <c r="A437" s="5">
        <v>11712.0</v>
      </c>
      <c r="B437" s="6">
        <v>2021.0</v>
      </c>
      <c r="C437" s="6" t="str">
        <f t="shared" si="1"/>
        <v>7739 ANTOINE DR,Houston,Texas</v>
      </c>
      <c r="D437" s="6" t="s">
        <v>814</v>
      </c>
      <c r="E437" s="6" t="s">
        <v>25</v>
      </c>
      <c r="F437" s="6" t="s">
        <v>26</v>
      </c>
      <c r="G437" s="6" t="s">
        <v>502</v>
      </c>
      <c r="H437" s="6" t="s">
        <v>50</v>
      </c>
      <c r="I437" s="6" t="str">
        <f>VLOOKUP(H437,'Flow Location'!$A$1:$B$21,2,FALSE)</f>
        <v>Contained On Site, not within 5 ft. of Bayou/Surface Water/Drainage Ditch</v>
      </c>
      <c r="J437" s="5">
        <v>0.0</v>
      </c>
      <c r="K437" s="6" t="s">
        <v>45</v>
      </c>
      <c r="L437" s="6" t="str">
        <f>VLOOKUP(K437,'Structure type'!$A$1:$B$15,2,FALSE)</f>
        <v>City Cleanout</v>
      </c>
      <c r="M437" s="6" t="s">
        <v>56</v>
      </c>
      <c r="N437" s="6" t="str">
        <f>VLOOKUP(M437,'Excursion Cause'!$A$1:$B$34,2,FALSE)</f>
        <v>Rags/Wipes</v>
      </c>
      <c r="O437" s="7">
        <v>44418.0</v>
      </c>
      <c r="P437" s="6" t="s">
        <v>951</v>
      </c>
      <c r="Q437" s="7">
        <v>44418.0</v>
      </c>
      <c r="R437" s="6" t="s">
        <v>951</v>
      </c>
      <c r="S437" s="5">
        <v>0.0</v>
      </c>
      <c r="T437" s="6" t="s">
        <v>270</v>
      </c>
      <c r="U437" s="5">
        <v>2.021081E7</v>
      </c>
      <c r="V437" s="5">
        <v>2.021081E7</v>
      </c>
      <c r="W437" s="5">
        <v>29.87764901</v>
      </c>
      <c r="X437" s="5">
        <v>-95.473907523</v>
      </c>
    </row>
    <row r="438" ht="15.75" customHeight="1">
      <c r="A438" s="5">
        <v>11713.0</v>
      </c>
      <c r="B438" s="6">
        <v>2021.0</v>
      </c>
      <c r="C438" s="6" t="str">
        <f t="shared" si="1"/>
        <v>874 STREY LN,Houston,Texas</v>
      </c>
      <c r="D438" s="6" t="s">
        <v>952</v>
      </c>
      <c r="E438" s="6" t="s">
        <v>25</v>
      </c>
      <c r="F438" s="6" t="s">
        <v>26</v>
      </c>
      <c r="G438" s="6" t="s">
        <v>123</v>
      </c>
      <c r="H438" s="6" t="s">
        <v>50</v>
      </c>
      <c r="I438" s="6" t="str">
        <f>VLOOKUP(H438,'Flow Location'!$A$1:$B$21,2,FALSE)</f>
        <v>Contained On Site, not within 5 ft. of Bayou/Surface Water/Drainage Ditch</v>
      </c>
      <c r="J438" s="5">
        <v>0.0</v>
      </c>
      <c r="K438" s="6" t="s">
        <v>29</v>
      </c>
      <c r="L438" s="6" t="str">
        <f>VLOOKUP(K438,'Structure type'!$A$1:$B$15,2,FALSE)</f>
        <v>Manhole</v>
      </c>
      <c r="M438" s="6" t="s">
        <v>30</v>
      </c>
      <c r="N438" s="6" t="str">
        <f>VLOOKUP(M438,'Excursion Cause'!$A$1:$B$34,2,FALSE)</f>
        <v>Grease Blockage</v>
      </c>
      <c r="O438" s="7">
        <v>44419.0</v>
      </c>
      <c r="P438" s="6" t="s">
        <v>953</v>
      </c>
      <c r="Q438" s="7">
        <v>44419.0</v>
      </c>
      <c r="R438" s="6" t="s">
        <v>953</v>
      </c>
      <c r="S438" s="5">
        <v>0.0</v>
      </c>
      <c r="T438" s="6" t="s">
        <v>33</v>
      </c>
      <c r="U438" s="5">
        <v>2.0210811E7</v>
      </c>
      <c r="V438" s="5">
        <v>2.0210811E7</v>
      </c>
      <c r="W438" s="5">
        <v>29.7771559</v>
      </c>
      <c r="X438" s="5">
        <v>-95.538301913</v>
      </c>
    </row>
    <row r="439" ht="15.75" customHeight="1">
      <c r="A439" s="5">
        <v>11714.0</v>
      </c>
      <c r="B439" s="6">
        <v>2021.0</v>
      </c>
      <c r="C439" s="6" t="str">
        <f t="shared" si="1"/>
        <v>4702 CALLERY CREEK DR,Houston,Texas</v>
      </c>
      <c r="D439" s="6" t="s">
        <v>954</v>
      </c>
      <c r="E439" s="6" t="s">
        <v>25</v>
      </c>
      <c r="F439" s="6" t="s">
        <v>26</v>
      </c>
      <c r="G439" s="6" t="s">
        <v>517</v>
      </c>
      <c r="H439" s="6" t="s">
        <v>50</v>
      </c>
      <c r="I439" s="6" t="str">
        <f>VLOOKUP(H439,'Flow Location'!$A$1:$B$21,2,FALSE)</f>
        <v>Contained On Site, not within 5 ft. of Bayou/Surface Water/Drainage Ditch</v>
      </c>
      <c r="J439" s="5">
        <v>53.0</v>
      </c>
      <c r="K439" s="6" t="s">
        <v>29</v>
      </c>
      <c r="L439" s="6" t="str">
        <f>VLOOKUP(K439,'Structure type'!$A$1:$B$15,2,FALSE)</f>
        <v>Manhole</v>
      </c>
      <c r="M439" s="6" t="s">
        <v>30</v>
      </c>
      <c r="N439" s="6" t="str">
        <f>VLOOKUP(M439,'Excursion Cause'!$A$1:$B$34,2,FALSE)</f>
        <v>Grease Blockage</v>
      </c>
      <c r="O439" s="7">
        <v>44419.0</v>
      </c>
      <c r="P439" s="6" t="s">
        <v>62</v>
      </c>
      <c r="Q439" s="7">
        <v>44419.0</v>
      </c>
      <c r="R439" s="6" t="s">
        <v>710</v>
      </c>
      <c r="S439" s="5">
        <v>0.0</v>
      </c>
      <c r="T439" s="6" t="s">
        <v>33</v>
      </c>
      <c r="U439" s="5">
        <v>2.0210811E7</v>
      </c>
      <c r="V439" s="5">
        <v>2.0210811E7</v>
      </c>
      <c r="W439" s="5">
        <v>29.5955930650001</v>
      </c>
      <c r="X439" s="5">
        <v>-95.450859803</v>
      </c>
    </row>
    <row r="440" ht="15.75" customHeight="1">
      <c r="A440" s="5">
        <v>11717.0</v>
      </c>
      <c r="B440" s="6">
        <v>2021.0</v>
      </c>
      <c r="C440" s="6" t="str">
        <f t="shared" si="1"/>
        <v>8006 STREAMSIDE DR,Houston,Texas</v>
      </c>
      <c r="D440" s="6" t="s">
        <v>955</v>
      </c>
      <c r="E440" s="6" t="s">
        <v>25</v>
      </c>
      <c r="F440" s="6" t="s">
        <v>26</v>
      </c>
      <c r="G440" s="6" t="s">
        <v>502</v>
      </c>
      <c r="H440" s="6" t="s">
        <v>50</v>
      </c>
      <c r="I440" s="6" t="str">
        <f>VLOOKUP(H440,'Flow Location'!$A$1:$B$21,2,FALSE)</f>
        <v>Contained On Site, not within 5 ft. of Bayou/Surface Water/Drainage Ditch</v>
      </c>
      <c r="J440" s="5">
        <v>6.0</v>
      </c>
      <c r="K440" s="6" t="s">
        <v>29</v>
      </c>
      <c r="L440" s="6" t="str">
        <f>VLOOKUP(K440,'Structure type'!$A$1:$B$15,2,FALSE)</f>
        <v>Manhole</v>
      </c>
      <c r="M440" s="6" t="s">
        <v>30</v>
      </c>
      <c r="N440" s="6" t="str">
        <f>VLOOKUP(M440,'Excursion Cause'!$A$1:$B$34,2,FALSE)</f>
        <v>Grease Blockage</v>
      </c>
      <c r="O440" s="7">
        <v>44419.0</v>
      </c>
      <c r="P440" s="6" t="s">
        <v>956</v>
      </c>
      <c r="Q440" s="7">
        <v>44419.0</v>
      </c>
      <c r="R440" s="6" t="s">
        <v>786</v>
      </c>
      <c r="S440" s="5">
        <v>2.0</v>
      </c>
      <c r="T440" s="6" t="s">
        <v>33</v>
      </c>
      <c r="U440" s="5">
        <v>2.0210811E7</v>
      </c>
      <c r="V440" s="5">
        <v>2.0210811E7</v>
      </c>
      <c r="W440" s="5">
        <v>29.885469535</v>
      </c>
      <c r="X440" s="5">
        <v>-95.468558276</v>
      </c>
    </row>
    <row r="441" ht="15.75" customHeight="1">
      <c r="A441" s="5">
        <v>11727.0</v>
      </c>
      <c r="B441" s="6">
        <v>2021.0</v>
      </c>
      <c r="C441" s="6" t="str">
        <f t="shared" si="1"/>
        <v>2102 TIDWELL RD,Houston,Texas</v>
      </c>
      <c r="D441" s="6" t="s">
        <v>957</v>
      </c>
      <c r="E441" s="6" t="s">
        <v>25</v>
      </c>
      <c r="F441" s="6" t="s">
        <v>26</v>
      </c>
      <c r="G441" s="6" t="s">
        <v>109</v>
      </c>
      <c r="H441" s="6" t="s">
        <v>50</v>
      </c>
      <c r="I441" s="6" t="str">
        <f>VLOOKUP(H441,'Flow Location'!$A$1:$B$21,2,FALSE)</f>
        <v>Contained On Site, not within 5 ft. of Bayou/Surface Water/Drainage Ditch</v>
      </c>
      <c r="J441" s="5">
        <v>20.0</v>
      </c>
      <c r="K441" s="6" t="s">
        <v>29</v>
      </c>
      <c r="L441" s="6" t="str">
        <f>VLOOKUP(K441,'Structure type'!$A$1:$B$15,2,FALSE)</f>
        <v>Manhole</v>
      </c>
      <c r="M441" s="6" t="s">
        <v>30</v>
      </c>
      <c r="N441" s="6" t="str">
        <f>VLOOKUP(M441,'Excursion Cause'!$A$1:$B$34,2,FALSE)</f>
        <v>Grease Blockage</v>
      </c>
      <c r="O441" s="7">
        <v>44420.0</v>
      </c>
      <c r="P441" s="6" t="s">
        <v>958</v>
      </c>
      <c r="Q441" s="7">
        <v>44420.0</v>
      </c>
      <c r="R441" s="6" t="s">
        <v>751</v>
      </c>
      <c r="S441" s="5">
        <v>2.0</v>
      </c>
      <c r="T441" s="6" t="s">
        <v>33</v>
      </c>
      <c r="U441" s="5">
        <v>2.0210812E7</v>
      </c>
      <c r="V441" s="5">
        <v>2.0210812E7</v>
      </c>
      <c r="W441" s="5">
        <v>29.84795067</v>
      </c>
      <c r="X441" s="5">
        <v>-95.3514203409999</v>
      </c>
    </row>
    <row r="442" ht="15.75" customHeight="1">
      <c r="A442" s="5">
        <v>11731.0</v>
      </c>
      <c r="B442" s="6">
        <v>2021.0</v>
      </c>
      <c r="C442" s="6" t="str">
        <f t="shared" si="1"/>
        <v>8201 RICHMOND AVE,Houston,Texas</v>
      </c>
      <c r="D442" s="6" t="s">
        <v>880</v>
      </c>
      <c r="E442" s="6" t="s">
        <v>25</v>
      </c>
      <c r="F442" s="6" t="s">
        <v>26</v>
      </c>
      <c r="G442" s="6" t="s">
        <v>482</v>
      </c>
      <c r="H442" s="6" t="s">
        <v>50</v>
      </c>
      <c r="I442" s="6" t="str">
        <f>VLOOKUP(H442,'Flow Location'!$A$1:$B$21,2,FALSE)</f>
        <v>Contained On Site, not within 5 ft. of Bayou/Surface Water/Drainage Ditch</v>
      </c>
      <c r="J442" s="5">
        <v>764.0</v>
      </c>
      <c r="K442" s="6" t="s">
        <v>45</v>
      </c>
      <c r="L442" s="6" t="str">
        <f>VLOOKUP(K442,'Structure type'!$A$1:$B$15,2,FALSE)</f>
        <v>City Cleanout</v>
      </c>
      <c r="M442" s="6" t="s">
        <v>30</v>
      </c>
      <c r="N442" s="6" t="str">
        <f>VLOOKUP(M442,'Excursion Cause'!$A$1:$B$34,2,FALSE)</f>
        <v>Grease Blockage</v>
      </c>
      <c r="O442" s="7">
        <v>44421.0</v>
      </c>
      <c r="P442" s="6" t="s">
        <v>959</v>
      </c>
      <c r="Q442" s="7">
        <v>44421.0</v>
      </c>
      <c r="R442" s="6" t="s">
        <v>960</v>
      </c>
      <c r="S442" s="5">
        <v>2.0</v>
      </c>
      <c r="T442" s="6" t="s">
        <v>89</v>
      </c>
      <c r="U442" s="5">
        <v>2.0210813E7</v>
      </c>
      <c r="V442" s="5">
        <v>2.0210813E7</v>
      </c>
      <c r="W442" s="5">
        <v>29.7292025290001</v>
      </c>
      <c r="X442" s="5">
        <v>-95.51296803</v>
      </c>
    </row>
    <row r="443" ht="15.75" customHeight="1">
      <c r="A443" s="5">
        <v>11734.0</v>
      </c>
      <c r="B443" s="6">
        <v>2021.0</v>
      </c>
      <c r="C443" s="6" t="str">
        <f t="shared" si="1"/>
        <v>5319 ANTOINE DR,Houston,Texas</v>
      </c>
      <c r="D443" s="6" t="s">
        <v>961</v>
      </c>
      <c r="E443" s="6" t="s">
        <v>25</v>
      </c>
      <c r="F443" s="6" t="s">
        <v>26</v>
      </c>
      <c r="G443" s="6" t="s">
        <v>222</v>
      </c>
      <c r="H443" s="6" t="s">
        <v>28</v>
      </c>
      <c r="I443" s="6" t="str">
        <f>VLOOKUP(H443,'Flow Location'!$A$1:$B$21,2,FALSE)</f>
        <v>Storm Sewer (not contained)</v>
      </c>
      <c r="J443" s="5">
        <v>205.0</v>
      </c>
      <c r="K443" s="6" t="s">
        <v>29</v>
      </c>
      <c r="L443" s="6" t="str">
        <f>VLOOKUP(K443,'Structure type'!$A$1:$B$15,2,FALSE)</f>
        <v>Manhole</v>
      </c>
      <c r="M443" s="6" t="s">
        <v>30</v>
      </c>
      <c r="N443" s="6" t="str">
        <f>VLOOKUP(M443,'Excursion Cause'!$A$1:$B$34,2,FALSE)</f>
        <v>Grease Blockage</v>
      </c>
      <c r="O443" s="7">
        <v>44422.0</v>
      </c>
      <c r="P443" s="6" t="s">
        <v>882</v>
      </c>
      <c r="Q443" s="7">
        <v>44422.0</v>
      </c>
      <c r="R443" s="6" t="s">
        <v>640</v>
      </c>
      <c r="S443" s="5">
        <v>1.0</v>
      </c>
      <c r="T443" s="6" t="s">
        <v>33</v>
      </c>
      <c r="U443" s="5">
        <v>2.0210814E7</v>
      </c>
      <c r="V443" s="5">
        <v>2.0210814E7</v>
      </c>
      <c r="W443" s="5">
        <v>29.8414100190001</v>
      </c>
      <c r="X443" s="5">
        <v>-95.4732875129999</v>
      </c>
    </row>
    <row r="444" ht="15.75" customHeight="1">
      <c r="A444" s="5">
        <v>11736.0</v>
      </c>
      <c r="B444" s="6">
        <v>2021.0</v>
      </c>
      <c r="C444" s="6" t="str">
        <f t="shared" si="1"/>
        <v>12123 FONDREN PLACE DR,Houston,Texas</v>
      </c>
      <c r="D444" s="6" t="s">
        <v>962</v>
      </c>
      <c r="E444" s="6" t="s">
        <v>25</v>
      </c>
      <c r="F444" s="6" t="s">
        <v>26</v>
      </c>
      <c r="G444" s="6" t="s">
        <v>148</v>
      </c>
      <c r="H444" s="6" t="s">
        <v>28</v>
      </c>
      <c r="I444" s="6" t="str">
        <f>VLOOKUP(H444,'Flow Location'!$A$1:$B$21,2,FALSE)</f>
        <v>Storm Sewer (not contained)</v>
      </c>
      <c r="J444" s="5">
        <v>805.0</v>
      </c>
      <c r="K444" s="6" t="s">
        <v>29</v>
      </c>
      <c r="L444" s="6" t="str">
        <f>VLOOKUP(K444,'Structure type'!$A$1:$B$15,2,FALSE)</f>
        <v>Manhole</v>
      </c>
      <c r="M444" s="6" t="s">
        <v>96</v>
      </c>
      <c r="N444" s="6" t="str">
        <f>VLOOKUP(M444,'Excursion Cause'!$A$1:$B$34,2,FALSE)</f>
        <v>Collection system temporary blockage</v>
      </c>
      <c r="O444" s="7">
        <v>44422.0</v>
      </c>
      <c r="P444" s="6" t="s">
        <v>156</v>
      </c>
      <c r="Q444" s="7">
        <v>44422.0</v>
      </c>
      <c r="R444" s="6" t="s">
        <v>963</v>
      </c>
      <c r="S444" s="5">
        <v>2.0</v>
      </c>
      <c r="T444" s="6" t="s">
        <v>107</v>
      </c>
      <c r="U444" s="5">
        <v>2.0210814E7</v>
      </c>
      <c r="V444" s="5">
        <v>2.0210814E7</v>
      </c>
      <c r="W444" s="5">
        <v>29.646574398</v>
      </c>
      <c r="X444" s="5">
        <v>-95.532575061</v>
      </c>
    </row>
    <row r="445" ht="15.75" customHeight="1">
      <c r="A445" s="5">
        <v>11737.0</v>
      </c>
      <c r="B445" s="6">
        <v>2021.0</v>
      </c>
      <c r="C445" s="6" t="str">
        <f t="shared" si="1"/>
        <v>4102 CASTOR ST,Houston,Texas</v>
      </c>
      <c r="D445" s="6" t="s">
        <v>964</v>
      </c>
      <c r="E445" s="6" t="s">
        <v>25</v>
      </c>
      <c r="F445" s="6" t="s">
        <v>26</v>
      </c>
      <c r="G445" s="6" t="s">
        <v>653</v>
      </c>
      <c r="H445" s="6" t="s">
        <v>50</v>
      </c>
      <c r="I445" s="6" t="str">
        <f>VLOOKUP(H445,'Flow Location'!$A$1:$B$21,2,FALSE)</f>
        <v>Contained On Site, not within 5 ft. of Bayou/Surface Water/Drainage Ditch</v>
      </c>
      <c r="J445" s="5">
        <v>1641.0</v>
      </c>
      <c r="K445" s="6" t="s">
        <v>198</v>
      </c>
      <c r="L445" s="6" t="str">
        <f>VLOOKUP(K445,'Structure type'!$A$1:$B$15,2,FALSE)</f>
        <v>Service Lateral</v>
      </c>
      <c r="M445" s="6" t="s">
        <v>81</v>
      </c>
      <c r="N445" s="6" t="str">
        <f>VLOOKUP(M445,'Excursion Cause'!$A$1:$B$34,2,FALSE)</f>
        <v>Collection system structural failure</v>
      </c>
      <c r="O445" s="7">
        <v>44421.0</v>
      </c>
      <c r="P445" s="6" t="s">
        <v>965</v>
      </c>
      <c r="Q445" s="7">
        <v>44422.0</v>
      </c>
      <c r="R445" s="6" t="s">
        <v>966</v>
      </c>
      <c r="S445" s="5">
        <v>1.0</v>
      </c>
      <c r="T445" s="6" t="s">
        <v>170</v>
      </c>
      <c r="U445" s="5">
        <v>2.0210813E7</v>
      </c>
      <c r="V445" s="5">
        <v>2.0210814E7</v>
      </c>
      <c r="W445" s="5">
        <v>29.8239952330001</v>
      </c>
      <c r="X445" s="5">
        <v>-95.388154702</v>
      </c>
    </row>
    <row r="446" ht="15.75" customHeight="1">
      <c r="A446" s="5">
        <v>11744.0</v>
      </c>
      <c r="B446" s="6">
        <v>2021.0</v>
      </c>
      <c r="C446" s="6" t="str">
        <f t="shared" si="1"/>
        <v>15455 MEMORIAL DR,Houston,Texas</v>
      </c>
      <c r="D446" s="6" t="s">
        <v>967</v>
      </c>
      <c r="E446" s="6" t="s">
        <v>25</v>
      </c>
      <c r="F446" s="6" t="s">
        <v>26</v>
      </c>
      <c r="G446" s="6" t="s">
        <v>520</v>
      </c>
      <c r="H446" s="6" t="s">
        <v>50</v>
      </c>
      <c r="I446" s="6" t="str">
        <f>VLOOKUP(H446,'Flow Location'!$A$1:$B$21,2,FALSE)</f>
        <v>Contained On Site, not within 5 ft. of Bayou/Surface Water/Drainage Ditch</v>
      </c>
      <c r="J446" s="5">
        <v>30.0</v>
      </c>
      <c r="K446" s="6" t="s">
        <v>190</v>
      </c>
      <c r="L446" s="6" t="str">
        <f>VLOOKUP(K446,'Structure type'!$A$1:$B$15,2,FALSE)</f>
        <v>Force Main</v>
      </c>
      <c r="M446" s="6" t="s">
        <v>81</v>
      </c>
      <c r="N446" s="6" t="str">
        <f>VLOOKUP(M446,'Excursion Cause'!$A$1:$B$34,2,FALSE)</f>
        <v>Collection system structural failure</v>
      </c>
      <c r="O446" s="7">
        <v>44424.0</v>
      </c>
      <c r="P446" s="6" t="s">
        <v>208</v>
      </c>
      <c r="Q446" s="7">
        <v>44424.0</v>
      </c>
      <c r="R446" s="6" t="s">
        <v>352</v>
      </c>
      <c r="S446" s="5">
        <v>5.0</v>
      </c>
      <c r="T446" s="6" t="s">
        <v>193</v>
      </c>
      <c r="U446" s="5">
        <v>2.0210816E7</v>
      </c>
      <c r="V446" s="5">
        <v>2.0210816E7</v>
      </c>
      <c r="W446" s="5">
        <v>29.7797174940001</v>
      </c>
      <c r="X446" s="5">
        <v>-95.628170499</v>
      </c>
    </row>
    <row r="447" ht="15.75" customHeight="1">
      <c r="A447" s="5">
        <v>11745.0</v>
      </c>
      <c r="B447" s="6">
        <v>2021.0</v>
      </c>
      <c r="C447" s="6" t="str">
        <f t="shared" si="1"/>
        <v>8441 WOODLYN RD,Houston,Texas</v>
      </c>
      <c r="D447" s="6" t="s">
        <v>968</v>
      </c>
      <c r="E447" s="6" t="s">
        <v>25</v>
      </c>
      <c r="F447" s="6" t="s">
        <v>26</v>
      </c>
      <c r="G447" s="6" t="s">
        <v>177</v>
      </c>
      <c r="H447" s="6" t="s">
        <v>44</v>
      </c>
      <c r="I447" s="6" t="str">
        <f>VLOOKUP(H447,'Flow Location'!$A$1:$B$21,2,FALSE)</f>
        <v>Bayou/surface water/drainage ditch</v>
      </c>
      <c r="J447" s="5">
        <v>48.0</v>
      </c>
      <c r="K447" s="6" t="s">
        <v>29</v>
      </c>
      <c r="L447" s="6" t="str">
        <f>VLOOKUP(K447,'Structure type'!$A$1:$B$15,2,FALSE)</f>
        <v>Manhole</v>
      </c>
      <c r="M447" s="6" t="s">
        <v>30</v>
      </c>
      <c r="N447" s="6" t="str">
        <f>VLOOKUP(M447,'Excursion Cause'!$A$1:$B$34,2,FALSE)</f>
        <v>Grease Blockage</v>
      </c>
      <c r="O447" s="7">
        <v>44424.0</v>
      </c>
      <c r="P447" s="6" t="s">
        <v>233</v>
      </c>
      <c r="Q447" s="7">
        <v>44424.0</v>
      </c>
      <c r="R447" s="6" t="s">
        <v>245</v>
      </c>
      <c r="S447" s="5">
        <v>0.0</v>
      </c>
      <c r="T447" s="6" t="s">
        <v>33</v>
      </c>
      <c r="U447" s="5">
        <v>2.0210816E7</v>
      </c>
      <c r="V447" s="5">
        <v>2.0210816E7</v>
      </c>
      <c r="W447" s="5">
        <v>29.841682808</v>
      </c>
      <c r="X447" s="5">
        <v>-95.27108223</v>
      </c>
    </row>
    <row r="448" ht="15.75" customHeight="1">
      <c r="A448" s="5">
        <v>11747.0</v>
      </c>
      <c r="B448" s="6">
        <v>2021.0</v>
      </c>
      <c r="C448" s="6" t="str">
        <f t="shared" si="1"/>
        <v>3504 DAIRY ASHFORD RD,Houston,Texas</v>
      </c>
      <c r="D448" s="6" t="s">
        <v>969</v>
      </c>
      <c r="E448" s="6" t="s">
        <v>25</v>
      </c>
      <c r="F448" s="6" t="s">
        <v>26</v>
      </c>
      <c r="G448" s="6" t="s">
        <v>313</v>
      </c>
      <c r="H448" s="6" t="s">
        <v>50</v>
      </c>
      <c r="I448" s="6" t="str">
        <f>VLOOKUP(H448,'Flow Location'!$A$1:$B$21,2,FALSE)</f>
        <v>Contained On Site, not within 5 ft. of Bayou/Surface Water/Drainage Ditch</v>
      </c>
      <c r="J448" s="5">
        <v>0.0</v>
      </c>
      <c r="K448" s="6" t="s">
        <v>29</v>
      </c>
      <c r="L448" s="6" t="str">
        <f>VLOOKUP(K448,'Structure type'!$A$1:$B$15,2,FALSE)</f>
        <v>Manhole</v>
      </c>
      <c r="M448" s="6" t="s">
        <v>30</v>
      </c>
      <c r="N448" s="6" t="str">
        <f>VLOOKUP(M448,'Excursion Cause'!$A$1:$B$34,2,FALSE)</f>
        <v>Grease Blockage</v>
      </c>
      <c r="O448" s="7">
        <v>44421.0</v>
      </c>
      <c r="P448" s="6" t="s">
        <v>591</v>
      </c>
      <c r="Q448" s="7">
        <v>44421.0</v>
      </c>
      <c r="R448" s="6" t="s">
        <v>591</v>
      </c>
      <c r="S448" s="5">
        <v>0.0</v>
      </c>
      <c r="T448" s="6" t="s">
        <v>33</v>
      </c>
      <c r="U448" s="5">
        <v>2.0210813E7</v>
      </c>
      <c r="V448" s="5">
        <v>2.0210813E7</v>
      </c>
      <c r="W448" s="5">
        <v>29.7233380050001</v>
      </c>
      <c r="X448" s="5">
        <v>-95.604997555</v>
      </c>
    </row>
    <row r="449" ht="15.75" customHeight="1">
      <c r="A449" s="5">
        <v>11749.0</v>
      </c>
      <c r="B449" s="6">
        <v>2021.0</v>
      </c>
      <c r="C449" s="6" t="str">
        <f t="shared" si="1"/>
        <v>5648 BONSRELL ST,Houston,Texas</v>
      </c>
      <c r="D449" s="6" t="s">
        <v>970</v>
      </c>
      <c r="E449" s="6" t="s">
        <v>25</v>
      </c>
      <c r="F449" s="6" t="s">
        <v>26</v>
      </c>
      <c r="G449" s="6" t="s">
        <v>141</v>
      </c>
      <c r="H449" s="6" t="s">
        <v>28</v>
      </c>
      <c r="I449" s="6" t="str">
        <f>VLOOKUP(H449,'Flow Location'!$A$1:$B$21,2,FALSE)</f>
        <v>Storm Sewer (not contained)</v>
      </c>
      <c r="J449" s="5">
        <v>350.0</v>
      </c>
      <c r="K449" s="6" t="s">
        <v>29</v>
      </c>
      <c r="L449" s="6" t="str">
        <f>VLOOKUP(K449,'Structure type'!$A$1:$B$15,2,FALSE)</f>
        <v>Manhole</v>
      </c>
      <c r="M449" s="6" t="s">
        <v>423</v>
      </c>
      <c r="N449" s="6" t="str">
        <f>VLOOKUP(M449,'Excursion Cause'!$A$1:$B$34,2,FALSE)</f>
        <v>Collection system ‐ wet weather</v>
      </c>
      <c r="O449" s="7">
        <v>44424.0</v>
      </c>
      <c r="P449" s="6" t="s">
        <v>971</v>
      </c>
      <c r="Q449" s="7">
        <v>44424.0</v>
      </c>
      <c r="R449" s="6" t="s">
        <v>972</v>
      </c>
      <c r="S449" s="5">
        <v>5.0</v>
      </c>
      <c r="T449" s="6" t="s">
        <v>443</v>
      </c>
      <c r="U449" s="5">
        <v>2.0210816E7</v>
      </c>
      <c r="V449" s="5">
        <v>2.0210816E7</v>
      </c>
      <c r="W449" s="5">
        <v>29.722725665</v>
      </c>
      <c r="X449" s="5">
        <v>-95.31707281</v>
      </c>
    </row>
    <row r="450" ht="15.75" customHeight="1">
      <c r="A450" s="5">
        <v>11750.0</v>
      </c>
      <c r="B450" s="6">
        <v>2021.0</v>
      </c>
      <c r="C450" s="6" t="str">
        <f t="shared" si="1"/>
        <v>5602 LAWSON ST,Houston,Texas</v>
      </c>
      <c r="D450" s="6" t="s">
        <v>440</v>
      </c>
      <c r="E450" s="6" t="s">
        <v>25</v>
      </c>
      <c r="F450" s="6" t="s">
        <v>26</v>
      </c>
      <c r="G450" s="6" t="s">
        <v>141</v>
      </c>
      <c r="H450" s="6" t="s">
        <v>28</v>
      </c>
      <c r="I450" s="6" t="str">
        <f>VLOOKUP(H450,'Flow Location'!$A$1:$B$21,2,FALSE)</f>
        <v>Storm Sewer (not contained)</v>
      </c>
      <c r="J450" s="5">
        <v>2037.0</v>
      </c>
      <c r="K450" s="6" t="s">
        <v>29</v>
      </c>
      <c r="L450" s="6" t="str">
        <f>VLOOKUP(K450,'Structure type'!$A$1:$B$15,2,FALSE)</f>
        <v>Manhole</v>
      </c>
      <c r="M450" s="6" t="s">
        <v>423</v>
      </c>
      <c r="N450" s="6" t="str">
        <f>VLOOKUP(M450,'Excursion Cause'!$A$1:$B$34,2,FALSE)</f>
        <v>Collection system ‐ wet weather</v>
      </c>
      <c r="O450" s="7">
        <v>44424.0</v>
      </c>
      <c r="P450" s="6" t="s">
        <v>973</v>
      </c>
      <c r="Q450" s="7">
        <v>44425.0</v>
      </c>
      <c r="R450" s="6" t="s">
        <v>92</v>
      </c>
      <c r="S450" s="5">
        <v>2.0</v>
      </c>
      <c r="T450" s="6" t="s">
        <v>443</v>
      </c>
      <c r="U450" s="5">
        <v>2.0210816E7</v>
      </c>
      <c r="V450" s="5">
        <v>2.0210817E7</v>
      </c>
      <c r="W450" s="5">
        <v>29.723957721</v>
      </c>
      <c r="X450" s="5">
        <v>-95.318735193</v>
      </c>
    </row>
    <row r="451" ht="15.75" customHeight="1">
      <c r="A451" s="5">
        <v>11751.0</v>
      </c>
      <c r="B451" s="6">
        <v>2021.0</v>
      </c>
      <c r="C451" s="6" t="str">
        <f t="shared" si="1"/>
        <v>5645 TRUETT ST,Houston,Texas</v>
      </c>
      <c r="D451" s="6" t="s">
        <v>444</v>
      </c>
      <c r="E451" s="6" t="s">
        <v>25</v>
      </c>
      <c r="F451" s="6" t="s">
        <v>26</v>
      </c>
      <c r="G451" s="6" t="s">
        <v>141</v>
      </c>
      <c r="H451" s="6" t="s">
        <v>28</v>
      </c>
      <c r="I451" s="6" t="str">
        <f>VLOOKUP(H451,'Flow Location'!$A$1:$B$21,2,FALSE)</f>
        <v>Storm Sewer (not contained)</v>
      </c>
      <c r="J451" s="5">
        <v>472.0</v>
      </c>
      <c r="K451" s="6" t="s">
        <v>29</v>
      </c>
      <c r="L451" s="6" t="str">
        <f>VLOOKUP(K451,'Structure type'!$A$1:$B$15,2,FALSE)</f>
        <v>Manhole</v>
      </c>
      <c r="M451" s="6" t="s">
        <v>423</v>
      </c>
      <c r="N451" s="6" t="str">
        <f>VLOOKUP(M451,'Excursion Cause'!$A$1:$B$34,2,FALSE)</f>
        <v>Collection system ‐ wet weather</v>
      </c>
      <c r="O451" s="7">
        <v>44424.0</v>
      </c>
      <c r="P451" s="6" t="s">
        <v>966</v>
      </c>
      <c r="Q451" s="7">
        <v>44424.0</v>
      </c>
      <c r="R451" s="6" t="s">
        <v>216</v>
      </c>
      <c r="S451" s="5">
        <v>4.0</v>
      </c>
      <c r="T451" s="6" t="s">
        <v>443</v>
      </c>
      <c r="U451" s="5">
        <v>2.0210816E7</v>
      </c>
      <c r="V451" s="5">
        <v>2.0210816E7</v>
      </c>
      <c r="W451" s="5">
        <v>29.724066728</v>
      </c>
      <c r="X451" s="5">
        <v>-95.316487167</v>
      </c>
    </row>
    <row r="452" ht="15.75" customHeight="1">
      <c r="A452" s="5">
        <v>11752.0</v>
      </c>
      <c r="B452" s="6">
        <v>2021.0</v>
      </c>
      <c r="C452" s="6" t="str">
        <f t="shared" si="1"/>
        <v>5603 BARREMORE ST,Houston,Texas</v>
      </c>
      <c r="D452" s="6" t="s">
        <v>194</v>
      </c>
      <c r="E452" s="6" t="s">
        <v>25</v>
      </c>
      <c r="F452" s="6" t="s">
        <v>26</v>
      </c>
      <c r="G452" s="6" t="s">
        <v>141</v>
      </c>
      <c r="H452" s="6" t="s">
        <v>28</v>
      </c>
      <c r="I452" s="6" t="str">
        <f>VLOOKUP(H452,'Flow Location'!$A$1:$B$21,2,FALSE)</f>
        <v>Storm Sewer (not contained)</v>
      </c>
      <c r="J452" s="5">
        <v>689.0</v>
      </c>
      <c r="K452" s="6" t="s">
        <v>29</v>
      </c>
      <c r="L452" s="6" t="str">
        <f>VLOOKUP(K452,'Structure type'!$A$1:$B$15,2,FALSE)</f>
        <v>Manhole</v>
      </c>
      <c r="M452" s="6" t="s">
        <v>423</v>
      </c>
      <c r="N452" s="6" t="str">
        <f>VLOOKUP(M452,'Excursion Cause'!$A$1:$B$34,2,FALSE)</f>
        <v>Collection system ‐ wet weather</v>
      </c>
      <c r="O452" s="7">
        <v>44424.0</v>
      </c>
      <c r="P452" s="6" t="s">
        <v>974</v>
      </c>
      <c r="Q452" s="7">
        <v>44424.0</v>
      </c>
      <c r="R452" s="6" t="s">
        <v>975</v>
      </c>
      <c r="S452" s="5">
        <v>5.0</v>
      </c>
      <c r="T452" s="6" t="s">
        <v>443</v>
      </c>
      <c r="U452" s="5">
        <v>2.0210816E7</v>
      </c>
      <c r="V452" s="5">
        <v>2.0210816E7</v>
      </c>
      <c r="W452" s="5">
        <v>29.722707686</v>
      </c>
      <c r="X452" s="5">
        <v>-95.3192228519999</v>
      </c>
    </row>
    <row r="453" ht="15.75" customHeight="1">
      <c r="A453" s="5">
        <v>11753.0</v>
      </c>
      <c r="B453" s="6">
        <v>2021.0</v>
      </c>
      <c r="C453" s="6" t="str">
        <f t="shared" si="1"/>
        <v>5649 BARREMORE ST,Houston,Texas</v>
      </c>
      <c r="D453" s="6" t="s">
        <v>447</v>
      </c>
      <c r="E453" s="6" t="s">
        <v>25</v>
      </c>
      <c r="F453" s="6" t="s">
        <v>26</v>
      </c>
      <c r="G453" s="6" t="s">
        <v>141</v>
      </c>
      <c r="H453" s="6" t="s">
        <v>28</v>
      </c>
      <c r="I453" s="6" t="str">
        <f>VLOOKUP(H453,'Flow Location'!$A$1:$B$21,2,FALSE)</f>
        <v>Storm Sewer (not contained)</v>
      </c>
      <c r="J453" s="5">
        <v>546.0</v>
      </c>
      <c r="K453" s="6" t="s">
        <v>29</v>
      </c>
      <c r="L453" s="6" t="str">
        <f>VLOOKUP(K453,'Structure type'!$A$1:$B$15,2,FALSE)</f>
        <v>Manhole</v>
      </c>
      <c r="M453" s="6" t="s">
        <v>423</v>
      </c>
      <c r="N453" s="6" t="str">
        <f>VLOOKUP(M453,'Excursion Cause'!$A$1:$B$34,2,FALSE)</f>
        <v>Collection system ‐ wet weather</v>
      </c>
      <c r="O453" s="7">
        <v>44424.0</v>
      </c>
      <c r="P453" s="6" t="s">
        <v>670</v>
      </c>
      <c r="Q453" s="7">
        <v>44424.0</v>
      </c>
      <c r="R453" s="6" t="s">
        <v>720</v>
      </c>
      <c r="S453" s="5">
        <v>4.0</v>
      </c>
      <c r="T453" s="6" t="s">
        <v>443</v>
      </c>
      <c r="U453" s="5">
        <v>2.0210816E7</v>
      </c>
      <c r="V453" s="5">
        <v>2.0210816E7</v>
      </c>
      <c r="W453" s="5">
        <v>29.7220756070001</v>
      </c>
      <c r="X453" s="5">
        <v>-95.317101644</v>
      </c>
    </row>
    <row r="454" ht="15.75" customHeight="1">
      <c r="A454" s="5">
        <v>11755.0</v>
      </c>
      <c r="B454" s="6">
        <v>2021.0</v>
      </c>
      <c r="C454" s="6" t="str">
        <f t="shared" si="1"/>
        <v>1735 PASADENA ST,Houston,Texas</v>
      </c>
      <c r="D454" s="6" t="s">
        <v>976</v>
      </c>
      <c r="E454" s="6" t="s">
        <v>25</v>
      </c>
      <c r="F454" s="6" t="s">
        <v>26</v>
      </c>
      <c r="G454" s="6" t="s">
        <v>141</v>
      </c>
      <c r="H454" s="6" t="s">
        <v>44</v>
      </c>
      <c r="I454" s="6" t="str">
        <f>VLOOKUP(H454,'Flow Location'!$A$1:$B$21,2,FALSE)</f>
        <v>Bayou/surface water/drainage ditch</v>
      </c>
      <c r="J454" s="5">
        <v>3120.0</v>
      </c>
      <c r="K454" s="6" t="s">
        <v>29</v>
      </c>
      <c r="L454" s="6" t="str">
        <f>VLOOKUP(K454,'Structure type'!$A$1:$B$15,2,FALSE)</f>
        <v>Manhole</v>
      </c>
      <c r="M454" s="6" t="s">
        <v>977</v>
      </c>
      <c r="N454" s="6" t="str">
        <f>VLOOKUP(M454,'Excursion Cause'!$A$1:$B$34,2,FALSE)</f>
        <v>Pump/Lift Station Electrical Failure</v>
      </c>
      <c r="O454" s="7">
        <v>44424.0</v>
      </c>
      <c r="P454" s="6" t="s">
        <v>978</v>
      </c>
      <c r="Q454" s="7">
        <v>44424.0</v>
      </c>
      <c r="R454" s="6" t="s">
        <v>979</v>
      </c>
      <c r="S454" s="5">
        <v>15.0</v>
      </c>
      <c r="T454" s="6" t="s">
        <v>443</v>
      </c>
      <c r="U454" s="5">
        <v>2.0210816E7</v>
      </c>
      <c r="V454" s="5">
        <v>2.0210816E7</v>
      </c>
      <c r="W454" s="5">
        <v>29.726973069</v>
      </c>
      <c r="X454" s="5">
        <v>-95.2989458549999</v>
      </c>
    </row>
    <row r="455" ht="15.75" customHeight="1">
      <c r="A455" s="5">
        <v>11757.0</v>
      </c>
      <c r="B455" s="6">
        <v>2021.0</v>
      </c>
      <c r="C455" s="6" t="str">
        <f t="shared" si="1"/>
        <v>5930 WALTRIP ST,Houston,Texas</v>
      </c>
      <c r="D455" s="6" t="s">
        <v>980</v>
      </c>
      <c r="E455" s="6" t="s">
        <v>25</v>
      </c>
      <c r="F455" s="6" t="s">
        <v>26</v>
      </c>
      <c r="G455" s="6" t="s">
        <v>35</v>
      </c>
      <c r="H455" s="6" t="s">
        <v>50</v>
      </c>
      <c r="I455" s="6" t="str">
        <f>VLOOKUP(H455,'Flow Location'!$A$1:$B$21,2,FALSE)</f>
        <v>Contained On Site, not within 5 ft. of Bayou/Surface Water/Drainage Ditch</v>
      </c>
      <c r="J455" s="5">
        <v>0.0</v>
      </c>
      <c r="K455" s="6" t="s">
        <v>29</v>
      </c>
      <c r="L455" s="6" t="str">
        <f>VLOOKUP(K455,'Structure type'!$A$1:$B$15,2,FALSE)</f>
        <v>Manhole</v>
      </c>
      <c r="M455" s="6" t="s">
        <v>30</v>
      </c>
      <c r="N455" s="6" t="str">
        <f>VLOOKUP(M455,'Excursion Cause'!$A$1:$B$34,2,FALSE)</f>
        <v>Grease Blockage</v>
      </c>
      <c r="O455" s="7">
        <v>44425.0</v>
      </c>
      <c r="P455" s="6" t="s">
        <v>220</v>
      </c>
      <c r="Q455" s="7">
        <v>44425.0</v>
      </c>
      <c r="R455" s="6" t="s">
        <v>220</v>
      </c>
      <c r="S455" s="5">
        <v>0.0</v>
      </c>
      <c r="T455" s="6" t="s">
        <v>33</v>
      </c>
      <c r="U455" s="5">
        <v>2.0210817E7</v>
      </c>
      <c r="V455" s="5">
        <v>2.0210817E7</v>
      </c>
      <c r="W455" s="5">
        <v>29.6777680280001</v>
      </c>
      <c r="X455" s="5">
        <v>-95.306480264</v>
      </c>
    </row>
    <row r="456" ht="15.75" customHeight="1">
      <c r="A456" s="5">
        <v>11759.0</v>
      </c>
      <c r="B456" s="6">
        <v>2021.0</v>
      </c>
      <c r="C456" s="6" t="str">
        <f t="shared" si="1"/>
        <v>7402 SHADYVILLA LN,Houston,Texas</v>
      </c>
      <c r="D456" s="6" t="s">
        <v>981</v>
      </c>
      <c r="E456" s="6" t="s">
        <v>25</v>
      </c>
      <c r="F456" s="6" t="s">
        <v>26</v>
      </c>
      <c r="G456" s="6" t="s">
        <v>27</v>
      </c>
      <c r="H456" s="6" t="s">
        <v>28</v>
      </c>
      <c r="I456" s="6" t="str">
        <f>VLOOKUP(H456,'Flow Location'!$A$1:$B$21,2,FALSE)</f>
        <v>Storm Sewer (not contained)</v>
      </c>
      <c r="J456" s="5">
        <v>2088.0</v>
      </c>
      <c r="K456" s="6" t="s">
        <v>29</v>
      </c>
      <c r="L456" s="6" t="str">
        <f>VLOOKUP(K456,'Structure type'!$A$1:$B$15,2,FALSE)</f>
        <v>Manhole</v>
      </c>
      <c r="M456" s="6" t="s">
        <v>30</v>
      </c>
      <c r="N456" s="6" t="str">
        <f>VLOOKUP(M456,'Excursion Cause'!$A$1:$B$34,2,FALSE)</f>
        <v>Grease Blockage</v>
      </c>
      <c r="O456" s="7">
        <v>44425.0</v>
      </c>
      <c r="P456" s="6" t="s">
        <v>982</v>
      </c>
      <c r="Q456" s="7">
        <v>44426.0</v>
      </c>
      <c r="R456" s="6" t="s">
        <v>624</v>
      </c>
      <c r="S456" s="5">
        <v>2.0</v>
      </c>
      <c r="T456" s="6" t="s">
        <v>33</v>
      </c>
      <c r="U456" s="5">
        <v>2.0210817E7</v>
      </c>
      <c r="V456" s="5">
        <v>2.0210818E7</v>
      </c>
      <c r="W456" s="5">
        <v>29.7963204930001</v>
      </c>
      <c r="X456" s="5">
        <v>-95.477365896</v>
      </c>
    </row>
    <row r="457" ht="15.75" customHeight="1">
      <c r="A457" s="5">
        <v>11762.0</v>
      </c>
      <c r="B457" s="6">
        <v>2021.0</v>
      </c>
      <c r="C457" s="6" t="str">
        <f t="shared" si="1"/>
        <v>327 OXFORD ST,Houston,Texas</v>
      </c>
      <c r="D457" s="6" t="s">
        <v>983</v>
      </c>
      <c r="E457" s="6" t="s">
        <v>25</v>
      </c>
      <c r="F457" s="6" t="s">
        <v>26</v>
      </c>
      <c r="G457" s="6" t="s">
        <v>158</v>
      </c>
      <c r="H457" s="6" t="s">
        <v>28</v>
      </c>
      <c r="I457" s="6" t="str">
        <f>VLOOKUP(H457,'Flow Location'!$A$1:$B$21,2,FALSE)</f>
        <v>Storm Sewer (not contained)</v>
      </c>
      <c r="J457" s="5">
        <v>476.0</v>
      </c>
      <c r="K457" s="6" t="s">
        <v>29</v>
      </c>
      <c r="L457" s="6" t="str">
        <f>VLOOKUP(K457,'Structure type'!$A$1:$B$15,2,FALSE)</f>
        <v>Manhole</v>
      </c>
      <c r="M457" s="6" t="s">
        <v>30</v>
      </c>
      <c r="N457" s="6" t="str">
        <f>VLOOKUP(M457,'Excursion Cause'!$A$1:$B$34,2,FALSE)</f>
        <v>Grease Blockage</v>
      </c>
      <c r="O457" s="7">
        <v>44426.0</v>
      </c>
      <c r="P457" s="6" t="s">
        <v>984</v>
      </c>
      <c r="Q457" s="7">
        <v>44426.0</v>
      </c>
      <c r="R457" s="6" t="s">
        <v>985</v>
      </c>
      <c r="S457" s="5">
        <v>1.0</v>
      </c>
      <c r="T457" s="6" t="s">
        <v>33</v>
      </c>
      <c r="U457" s="5">
        <v>2.0210818E7</v>
      </c>
      <c r="V457" s="5">
        <v>2.0210818E7</v>
      </c>
      <c r="W457" s="5">
        <v>29.777334582</v>
      </c>
      <c r="X457" s="5">
        <v>-95.39181192</v>
      </c>
    </row>
    <row r="458" ht="15.75" customHeight="1">
      <c r="A458" s="5">
        <v>11766.0</v>
      </c>
      <c r="B458" s="6">
        <v>2021.0</v>
      </c>
      <c r="C458" s="6" t="str">
        <f t="shared" si="1"/>
        <v>8027 ST LO RD,Houston,Texas</v>
      </c>
      <c r="D458" s="6" t="s">
        <v>986</v>
      </c>
      <c r="E458" s="6" t="s">
        <v>25</v>
      </c>
      <c r="F458" s="6" t="s">
        <v>26</v>
      </c>
      <c r="G458" s="6" t="s">
        <v>120</v>
      </c>
      <c r="H458" s="6" t="s">
        <v>50</v>
      </c>
      <c r="I458" s="6" t="str">
        <f>VLOOKUP(H458,'Flow Location'!$A$1:$B$21,2,FALSE)</f>
        <v>Contained On Site, not within 5 ft. of Bayou/Surface Water/Drainage Ditch</v>
      </c>
      <c r="J458" s="5">
        <v>295.0</v>
      </c>
      <c r="K458" s="6" t="s">
        <v>29</v>
      </c>
      <c r="L458" s="6" t="str">
        <f>VLOOKUP(K458,'Structure type'!$A$1:$B$15,2,FALSE)</f>
        <v>Manhole</v>
      </c>
      <c r="M458" s="6" t="s">
        <v>30</v>
      </c>
      <c r="N458" s="6" t="str">
        <f>VLOOKUP(M458,'Excursion Cause'!$A$1:$B$34,2,FALSE)</f>
        <v>Grease Blockage</v>
      </c>
      <c r="O458" s="7">
        <v>44426.0</v>
      </c>
      <c r="P458" s="6" t="s">
        <v>987</v>
      </c>
      <c r="Q458" s="7">
        <v>44426.0</v>
      </c>
      <c r="R458" s="6" t="s">
        <v>973</v>
      </c>
      <c r="S458" s="5">
        <v>3.0</v>
      </c>
      <c r="T458" s="6" t="s">
        <v>33</v>
      </c>
      <c r="U458" s="5">
        <v>2.0210818E7</v>
      </c>
      <c r="V458" s="5">
        <v>2.0210818E7</v>
      </c>
      <c r="W458" s="5">
        <v>29.6674253040001</v>
      </c>
      <c r="X458" s="5">
        <v>-95.341331044</v>
      </c>
    </row>
    <row r="459" ht="15.75" customHeight="1">
      <c r="A459" s="5">
        <v>11767.0</v>
      </c>
      <c r="B459" s="6">
        <v>2021.0</v>
      </c>
      <c r="C459" s="6" t="str">
        <f t="shared" si="1"/>
        <v>147 COACH RD,Houston,Texas</v>
      </c>
      <c r="D459" s="6" t="s">
        <v>988</v>
      </c>
      <c r="E459" s="6" t="s">
        <v>25</v>
      </c>
      <c r="F459" s="6" t="s">
        <v>26</v>
      </c>
      <c r="G459" s="6" t="s">
        <v>393</v>
      </c>
      <c r="H459" s="6" t="s">
        <v>50</v>
      </c>
      <c r="I459" s="6" t="str">
        <f>VLOOKUP(H459,'Flow Location'!$A$1:$B$21,2,FALSE)</f>
        <v>Contained On Site, not within 5 ft. of Bayou/Surface Water/Drainage Ditch</v>
      </c>
      <c r="J459" s="5">
        <v>356.0</v>
      </c>
      <c r="K459" s="6" t="s">
        <v>29</v>
      </c>
      <c r="L459" s="6" t="str">
        <f>VLOOKUP(K459,'Structure type'!$A$1:$B$15,2,FALSE)</f>
        <v>Manhole</v>
      </c>
      <c r="M459" s="6" t="s">
        <v>30</v>
      </c>
      <c r="N459" s="6" t="str">
        <f>VLOOKUP(M459,'Excursion Cause'!$A$1:$B$34,2,FALSE)</f>
        <v>Grease Blockage</v>
      </c>
      <c r="O459" s="7">
        <v>44426.0</v>
      </c>
      <c r="P459" s="6" t="s">
        <v>629</v>
      </c>
      <c r="Q459" s="7">
        <v>44426.0</v>
      </c>
      <c r="R459" s="6" t="s">
        <v>989</v>
      </c>
      <c r="S459" s="5">
        <v>2.0</v>
      </c>
      <c r="T459" s="6" t="s">
        <v>33</v>
      </c>
      <c r="U459" s="5">
        <v>2.0210818E7</v>
      </c>
      <c r="V459" s="5">
        <v>2.0210818E7</v>
      </c>
      <c r="W459" s="5">
        <v>29.9312085330001</v>
      </c>
      <c r="X459" s="5">
        <v>-95.4037084129999</v>
      </c>
    </row>
    <row r="460" ht="15.75" customHeight="1">
      <c r="A460" s="5">
        <v>11768.0</v>
      </c>
      <c r="B460" s="6">
        <v>2021.0</v>
      </c>
      <c r="C460" s="6" t="str">
        <f t="shared" si="1"/>
        <v>7727 NARCISSUS ST,Houston,Texas</v>
      </c>
      <c r="D460" s="6" t="s">
        <v>990</v>
      </c>
      <c r="E460" s="6" t="s">
        <v>25</v>
      </c>
      <c r="F460" s="6" t="s">
        <v>26</v>
      </c>
      <c r="G460" s="6" t="s">
        <v>365</v>
      </c>
      <c r="H460" s="6" t="s">
        <v>50</v>
      </c>
      <c r="I460" s="6" t="str">
        <f>VLOOKUP(H460,'Flow Location'!$A$1:$B$21,2,FALSE)</f>
        <v>Contained On Site, not within 5 ft. of Bayou/Surface Water/Drainage Ditch</v>
      </c>
      <c r="J460" s="5">
        <v>0.0</v>
      </c>
      <c r="K460" s="6" t="s">
        <v>29</v>
      </c>
      <c r="L460" s="6" t="str">
        <f>VLOOKUP(K460,'Structure type'!$A$1:$B$15,2,FALSE)</f>
        <v>Manhole</v>
      </c>
      <c r="M460" s="6" t="s">
        <v>30</v>
      </c>
      <c r="N460" s="6" t="str">
        <f>VLOOKUP(M460,'Excursion Cause'!$A$1:$B$34,2,FALSE)</f>
        <v>Grease Blockage</v>
      </c>
      <c r="O460" s="7">
        <v>44426.0</v>
      </c>
      <c r="P460" s="6" t="s">
        <v>615</v>
      </c>
      <c r="Q460" s="7">
        <v>44427.0</v>
      </c>
      <c r="R460" s="6" t="s">
        <v>991</v>
      </c>
      <c r="S460" s="5">
        <v>0.0</v>
      </c>
      <c r="T460" s="6" t="s">
        <v>33</v>
      </c>
      <c r="U460" s="5">
        <v>2.0210818E7</v>
      </c>
      <c r="V460" s="5">
        <v>2.0210819E7</v>
      </c>
      <c r="W460" s="5">
        <v>29.7071373370001</v>
      </c>
      <c r="X460" s="5">
        <v>-95.2823910929999</v>
      </c>
    </row>
    <row r="461" ht="15.75" customHeight="1">
      <c r="A461" s="5">
        <v>11771.0</v>
      </c>
      <c r="B461" s="6">
        <v>2021.0</v>
      </c>
      <c r="C461" s="6" t="str">
        <f t="shared" si="1"/>
        <v>3315 YORKTOWN ST,Houston,Texas</v>
      </c>
      <c r="D461" s="6" t="s">
        <v>992</v>
      </c>
      <c r="E461" s="6" t="s">
        <v>25</v>
      </c>
      <c r="F461" s="6" t="s">
        <v>26</v>
      </c>
      <c r="G461" s="6" t="s">
        <v>993</v>
      </c>
      <c r="H461" s="6" t="s">
        <v>28</v>
      </c>
      <c r="I461" s="6" t="str">
        <f>VLOOKUP(H461,'Flow Location'!$A$1:$B$21,2,FALSE)</f>
        <v>Storm Sewer (not contained)</v>
      </c>
      <c r="J461" s="5">
        <v>336.0</v>
      </c>
      <c r="K461" s="6" t="s">
        <v>29</v>
      </c>
      <c r="L461" s="6" t="str">
        <f>VLOOKUP(K461,'Structure type'!$A$1:$B$15,2,FALSE)</f>
        <v>Manhole</v>
      </c>
      <c r="M461" s="6" t="s">
        <v>30</v>
      </c>
      <c r="N461" s="6" t="str">
        <f>VLOOKUP(M461,'Excursion Cause'!$A$1:$B$34,2,FALSE)</f>
        <v>Grease Blockage</v>
      </c>
      <c r="O461" s="7">
        <v>44427.0</v>
      </c>
      <c r="P461" s="6" t="s">
        <v>994</v>
      </c>
      <c r="Q461" s="7">
        <v>44427.0</v>
      </c>
      <c r="R461" s="6" t="s">
        <v>995</v>
      </c>
      <c r="S461" s="5">
        <v>2.0</v>
      </c>
      <c r="T461" s="6" t="s">
        <v>33</v>
      </c>
      <c r="U461" s="5">
        <v>2.0210819E7</v>
      </c>
      <c r="V461" s="5">
        <v>2.0210819E7</v>
      </c>
      <c r="W461" s="5">
        <v>29.7308699830001</v>
      </c>
      <c r="X461" s="5">
        <v>-95.47098249</v>
      </c>
    </row>
    <row r="462" ht="15.75" customHeight="1">
      <c r="A462" s="5">
        <v>11772.0</v>
      </c>
      <c r="B462" s="6">
        <v>2021.0</v>
      </c>
      <c r="C462" s="6" t="str">
        <f t="shared" si="1"/>
        <v>12411 MARICOPA LN,Houston,Texas</v>
      </c>
      <c r="D462" s="6" t="s">
        <v>996</v>
      </c>
      <c r="E462" s="6" t="s">
        <v>25</v>
      </c>
      <c r="F462" s="6" t="s">
        <v>26</v>
      </c>
      <c r="G462" s="6" t="s">
        <v>623</v>
      </c>
      <c r="H462" s="6" t="s">
        <v>50</v>
      </c>
      <c r="I462" s="6" t="str">
        <f>VLOOKUP(H462,'Flow Location'!$A$1:$B$21,2,FALSE)</f>
        <v>Contained On Site, not within 5 ft. of Bayou/Surface Water/Drainage Ditch</v>
      </c>
      <c r="J462" s="5">
        <v>270.0</v>
      </c>
      <c r="K462" s="6" t="s">
        <v>51</v>
      </c>
      <c r="L462" s="6" t="str">
        <f>VLOOKUP(K462,'Structure type'!$A$1:$B$15,2,FALSE)</f>
        <v>Private Cleanout</v>
      </c>
      <c r="M462" s="6" t="s">
        <v>30</v>
      </c>
      <c r="N462" s="6" t="str">
        <f>VLOOKUP(M462,'Excursion Cause'!$A$1:$B$34,2,FALSE)</f>
        <v>Grease Blockage</v>
      </c>
      <c r="O462" s="7">
        <v>44427.0</v>
      </c>
      <c r="P462" s="6" t="s">
        <v>821</v>
      </c>
      <c r="Q462" s="7">
        <v>44427.0</v>
      </c>
      <c r="R462" s="6" t="s">
        <v>284</v>
      </c>
      <c r="S462" s="5">
        <v>2.0</v>
      </c>
      <c r="T462" s="6" t="s">
        <v>33</v>
      </c>
      <c r="U462" s="5">
        <v>2.0210819E7</v>
      </c>
      <c r="V462" s="5">
        <v>2.0210819E7</v>
      </c>
      <c r="W462" s="5">
        <v>29.76092644</v>
      </c>
      <c r="X462" s="5">
        <v>-95.217392284</v>
      </c>
    </row>
    <row r="463" ht="15.75" customHeight="1">
      <c r="A463" s="5">
        <v>11773.0</v>
      </c>
      <c r="B463" s="6">
        <v>2021.0</v>
      </c>
      <c r="C463" s="6" t="str">
        <f t="shared" si="1"/>
        <v>7415 DILLON ST,Houston,Texas</v>
      </c>
      <c r="D463" s="6" t="s">
        <v>997</v>
      </c>
      <c r="E463" s="6" t="s">
        <v>25</v>
      </c>
      <c r="F463" s="6" t="s">
        <v>26</v>
      </c>
      <c r="G463" s="6" t="s">
        <v>398</v>
      </c>
      <c r="H463" s="6" t="s">
        <v>50</v>
      </c>
      <c r="I463" s="6" t="str">
        <f>VLOOKUP(H463,'Flow Location'!$A$1:$B$21,2,FALSE)</f>
        <v>Contained On Site, not within 5 ft. of Bayou/Surface Water/Drainage Ditch</v>
      </c>
      <c r="J463" s="5">
        <v>0.0</v>
      </c>
      <c r="K463" s="6" t="s">
        <v>29</v>
      </c>
      <c r="L463" s="6" t="str">
        <f>VLOOKUP(K463,'Structure type'!$A$1:$B$15,2,FALSE)</f>
        <v>Manhole</v>
      </c>
      <c r="M463" s="6" t="s">
        <v>30</v>
      </c>
      <c r="N463" s="6" t="str">
        <f>VLOOKUP(M463,'Excursion Cause'!$A$1:$B$34,2,FALSE)</f>
        <v>Grease Blockage</v>
      </c>
      <c r="O463" s="7">
        <v>44427.0</v>
      </c>
      <c r="P463" s="6" t="s">
        <v>264</v>
      </c>
      <c r="Q463" s="7">
        <v>44427.0</v>
      </c>
      <c r="R463" s="6" t="s">
        <v>752</v>
      </c>
      <c r="S463" s="5">
        <v>0.0</v>
      </c>
      <c r="T463" s="6" t="s">
        <v>33</v>
      </c>
      <c r="U463" s="5">
        <v>2.0210819E7</v>
      </c>
      <c r="V463" s="5">
        <v>2.0210819E7</v>
      </c>
      <c r="W463" s="5">
        <v>29.660047805</v>
      </c>
      <c r="X463" s="5">
        <v>-95.291911762</v>
      </c>
    </row>
    <row r="464" ht="15.75" customHeight="1">
      <c r="A464" s="5">
        <v>11775.0</v>
      </c>
      <c r="B464" s="6">
        <v>2021.0</v>
      </c>
      <c r="C464" s="6" t="str">
        <f t="shared" si="1"/>
        <v>10080 BELLAIRE BLVD,Houston,Texas</v>
      </c>
      <c r="D464" s="6" t="s">
        <v>998</v>
      </c>
      <c r="E464" s="6" t="s">
        <v>25</v>
      </c>
      <c r="F464" s="6" t="s">
        <v>26</v>
      </c>
      <c r="G464" s="6" t="s">
        <v>91</v>
      </c>
      <c r="H464" s="6" t="s">
        <v>50</v>
      </c>
      <c r="I464" s="6" t="str">
        <f>VLOOKUP(H464,'Flow Location'!$A$1:$B$21,2,FALSE)</f>
        <v>Contained On Site, not within 5 ft. of Bayou/Surface Water/Drainage Ditch</v>
      </c>
      <c r="J464" s="5">
        <v>1770.0</v>
      </c>
      <c r="K464" s="6" t="s">
        <v>190</v>
      </c>
      <c r="L464" s="6" t="str">
        <f>VLOOKUP(K464,'Structure type'!$A$1:$B$15,2,FALSE)</f>
        <v>Force Main</v>
      </c>
      <c r="M464" s="6" t="s">
        <v>620</v>
      </c>
      <c r="N464" s="6" t="str">
        <f>VLOOKUP(M464,'Excursion Cause'!$A$1:$B$34,2,FALSE)</f>
        <v>Air Relief Valve (ARV) Failure</v>
      </c>
      <c r="O464" s="7">
        <v>44427.0</v>
      </c>
      <c r="P464" s="6" t="s">
        <v>282</v>
      </c>
      <c r="Q464" s="7">
        <v>44427.0</v>
      </c>
      <c r="R464" s="6" t="s">
        <v>522</v>
      </c>
      <c r="S464" s="5">
        <v>10.0</v>
      </c>
      <c r="T464" s="6" t="s">
        <v>193</v>
      </c>
      <c r="U464" s="5">
        <v>2.0210819E7</v>
      </c>
      <c r="V464" s="5">
        <v>2.0210819E7</v>
      </c>
      <c r="W464" s="5">
        <v>29.704487021</v>
      </c>
      <c r="X464" s="5">
        <v>-95.559727147</v>
      </c>
    </row>
    <row r="465" ht="15.75" customHeight="1">
      <c r="A465" s="5">
        <v>11778.0</v>
      </c>
      <c r="B465" s="6">
        <v>2021.0</v>
      </c>
      <c r="C465" s="6" t="str">
        <f t="shared" si="1"/>
        <v>3526 GOODHOPE ST,Houston,Texas</v>
      </c>
      <c r="D465" s="6" t="s">
        <v>999</v>
      </c>
      <c r="E465" s="6" t="s">
        <v>25</v>
      </c>
      <c r="F465" s="6" t="s">
        <v>26</v>
      </c>
      <c r="G465" s="6" t="s">
        <v>238</v>
      </c>
      <c r="H465" s="6" t="s">
        <v>28</v>
      </c>
      <c r="I465" s="6" t="str">
        <f>VLOOKUP(H465,'Flow Location'!$A$1:$B$21,2,FALSE)</f>
        <v>Storm Sewer (not contained)</v>
      </c>
      <c r="J465" s="5">
        <v>0.0</v>
      </c>
      <c r="K465" s="6" t="s">
        <v>198</v>
      </c>
      <c r="L465" s="6" t="str">
        <f>VLOOKUP(K465,'Structure type'!$A$1:$B$15,2,FALSE)</f>
        <v>Service Lateral</v>
      </c>
      <c r="M465" s="6" t="s">
        <v>81</v>
      </c>
      <c r="N465" s="6" t="str">
        <f>VLOOKUP(M465,'Excursion Cause'!$A$1:$B$34,2,FALSE)</f>
        <v>Collection system structural failure</v>
      </c>
      <c r="O465" s="7">
        <v>44428.0</v>
      </c>
      <c r="P465" s="6" t="s">
        <v>709</v>
      </c>
      <c r="Q465" s="7">
        <v>44428.0</v>
      </c>
      <c r="R465" s="6" t="s">
        <v>709</v>
      </c>
      <c r="S465" s="5">
        <v>0.0</v>
      </c>
      <c r="T465" s="6" t="s">
        <v>118</v>
      </c>
      <c r="U465" s="5">
        <v>2.021082E7</v>
      </c>
      <c r="V465" s="5">
        <v>2.021082E7</v>
      </c>
      <c r="W465" s="5">
        <v>29.683960746</v>
      </c>
      <c r="X465" s="5">
        <v>-95.3734995309999</v>
      </c>
    </row>
    <row r="466" ht="15.75" customHeight="1">
      <c r="A466" s="5">
        <v>11788.0</v>
      </c>
      <c r="B466" s="6">
        <v>2021.0</v>
      </c>
      <c r="C466" s="6" t="str">
        <f t="shared" si="1"/>
        <v>2005 JACQUELYN DR,Houston,Texas</v>
      </c>
      <c r="D466" s="6" t="s">
        <v>1000</v>
      </c>
      <c r="E466" s="6" t="s">
        <v>25</v>
      </c>
      <c r="F466" s="6" t="s">
        <v>26</v>
      </c>
      <c r="G466" s="6" t="s">
        <v>27</v>
      </c>
      <c r="H466" s="6" t="s">
        <v>28</v>
      </c>
      <c r="I466" s="6" t="str">
        <f>VLOOKUP(H466,'Flow Location'!$A$1:$B$21,2,FALSE)</f>
        <v>Storm Sewer (not contained)</v>
      </c>
      <c r="J466" s="5">
        <v>370.0</v>
      </c>
      <c r="K466" s="6" t="s">
        <v>45</v>
      </c>
      <c r="L466" s="6" t="str">
        <f>VLOOKUP(K466,'Structure type'!$A$1:$B$15,2,FALSE)</f>
        <v>City Cleanout</v>
      </c>
      <c r="M466" s="6" t="s">
        <v>30</v>
      </c>
      <c r="N466" s="6" t="str">
        <f>VLOOKUP(M466,'Excursion Cause'!$A$1:$B$34,2,FALSE)</f>
        <v>Grease Blockage</v>
      </c>
      <c r="O466" s="7">
        <v>44429.0</v>
      </c>
      <c r="P466" s="6" t="s">
        <v>53</v>
      </c>
      <c r="Q466" s="7">
        <v>44429.0</v>
      </c>
      <c r="R466" s="6" t="s">
        <v>562</v>
      </c>
      <c r="S466" s="5">
        <v>2.0</v>
      </c>
      <c r="T466" s="6" t="s">
        <v>59</v>
      </c>
      <c r="U466" s="5">
        <v>2.0210821E7</v>
      </c>
      <c r="V466" s="5">
        <v>2.0210821E7</v>
      </c>
      <c r="W466" s="5">
        <v>29.8070039410001</v>
      </c>
      <c r="X466" s="5">
        <v>-95.4808641669999</v>
      </c>
    </row>
    <row r="467" ht="15.75" customHeight="1">
      <c r="A467" s="5">
        <v>11791.0</v>
      </c>
      <c r="B467" s="6">
        <v>2021.0</v>
      </c>
      <c r="C467" s="6" t="str">
        <f t="shared" si="1"/>
        <v>7537 MEADOWSHIRE ST,Houston,Texas</v>
      </c>
      <c r="D467" s="6" t="s">
        <v>1001</v>
      </c>
      <c r="E467" s="6" t="s">
        <v>25</v>
      </c>
      <c r="F467" s="6" t="s">
        <v>26</v>
      </c>
      <c r="G467" s="6" t="s">
        <v>570</v>
      </c>
      <c r="H467" s="6" t="s">
        <v>50</v>
      </c>
      <c r="I467" s="6" t="str">
        <f>VLOOKUP(H467,'Flow Location'!$A$1:$B$21,2,FALSE)</f>
        <v>Contained On Site, not within 5 ft. of Bayou/Surface Water/Drainage Ditch</v>
      </c>
      <c r="J467" s="5">
        <v>1565.0</v>
      </c>
      <c r="K467" s="6" t="s">
        <v>45</v>
      </c>
      <c r="L467" s="6" t="str">
        <f>VLOOKUP(K467,'Structure type'!$A$1:$B$15,2,FALSE)</f>
        <v>City Cleanout</v>
      </c>
      <c r="M467" s="6" t="s">
        <v>81</v>
      </c>
      <c r="N467" s="6" t="str">
        <f>VLOOKUP(M467,'Excursion Cause'!$A$1:$B$34,2,FALSE)</f>
        <v>Collection system structural failure</v>
      </c>
      <c r="O467" s="7">
        <v>44430.0</v>
      </c>
      <c r="P467" s="6" t="s">
        <v>794</v>
      </c>
      <c r="Q467" s="7">
        <v>44431.0</v>
      </c>
      <c r="R467" s="6" t="s">
        <v>1002</v>
      </c>
      <c r="S467" s="5">
        <v>1.0</v>
      </c>
      <c r="T467" s="6" t="s">
        <v>1003</v>
      </c>
      <c r="U467" s="5">
        <v>2.0210822E7</v>
      </c>
      <c r="V467" s="5">
        <v>2.0210823E7</v>
      </c>
      <c r="W467" s="5">
        <v>29.871659009</v>
      </c>
      <c r="X467" s="5">
        <v>-95.398862164</v>
      </c>
    </row>
    <row r="468" ht="15.75" customHeight="1">
      <c r="A468" s="5">
        <v>11794.0</v>
      </c>
      <c r="B468" s="6">
        <v>2021.0</v>
      </c>
      <c r="C468" s="6" t="str">
        <f t="shared" si="1"/>
        <v>1547 SHEFFIELD BLVD,Houston,Texas</v>
      </c>
      <c r="D468" s="6" t="s">
        <v>941</v>
      </c>
      <c r="E468" s="6" t="s">
        <v>25</v>
      </c>
      <c r="F468" s="6" t="s">
        <v>26</v>
      </c>
      <c r="G468" s="6" t="s">
        <v>623</v>
      </c>
      <c r="H468" s="6" t="s">
        <v>50</v>
      </c>
      <c r="I468" s="6" t="str">
        <f>VLOOKUP(H468,'Flow Location'!$A$1:$B$21,2,FALSE)</f>
        <v>Contained On Site, not within 5 ft. of Bayou/Surface Water/Drainage Ditch</v>
      </c>
      <c r="J468" s="5">
        <v>0.0</v>
      </c>
      <c r="K468" s="6" t="s">
        <v>51</v>
      </c>
      <c r="L468" s="6" t="str">
        <f>VLOOKUP(K468,'Structure type'!$A$1:$B$15,2,FALSE)</f>
        <v>Private Cleanout</v>
      </c>
      <c r="M468" s="6" t="s">
        <v>30</v>
      </c>
      <c r="N468" s="6" t="str">
        <f>VLOOKUP(M468,'Excursion Cause'!$A$1:$B$34,2,FALSE)</f>
        <v>Grease Blockage</v>
      </c>
      <c r="O468" s="7">
        <v>44430.0</v>
      </c>
      <c r="P468" s="6" t="s">
        <v>342</v>
      </c>
      <c r="Q468" s="7">
        <v>44431.0</v>
      </c>
      <c r="R468" s="6" t="s">
        <v>946</v>
      </c>
      <c r="S468" s="5">
        <v>0.0</v>
      </c>
      <c r="T468" s="6" t="s">
        <v>59</v>
      </c>
      <c r="U468" s="5">
        <v>2.0210822E7</v>
      </c>
      <c r="V468" s="5">
        <v>2.0210823E7</v>
      </c>
      <c r="W468" s="5">
        <v>29.7618474860001</v>
      </c>
      <c r="X468" s="5">
        <v>-95.201512517</v>
      </c>
    </row>
    <row r="469" ht="15.75" customHeight="1">
      <c r="A469" s="5">
        <v>11797.0</v>
      </c>
      <c r="B469" s="6">
        <v>2021.0</v>
      </c>
      <c r="C469" s="6" t="str">
        <f t="shared" si="1"/>
        <v>3332 S LOOP FWY,Houston,Texas</v>
      </c>
      <c r="D469" s="6" t="s">
        <v>1004</v>
      </c>
      <c r="E469" s="6" t="s">
        <v>25</v>
      </c>
      <c r="F469" s="6" t="s">
        <v>26</v>
      </c>
      <c r="G469" s="6" t="s">
        <v>135</v>
      </c>
      <c r="H469" s="6" t="s">
        <v>50</v>
      </c>
      <c r="I469" s="6" t="str">
        <f>VLOOKUP(H469,'Flow Location'!$A$1:$B$21,2,FALSE)</f>
        <v>Contained On Site, not within 5 ft. of Bayou/Surface Water/Drainage Ditch</v>
      </c>
      <c r="J469" s="5">
        <v>234.0</v>
      </c>
      <c r="K469" s="6" t="s">
        <v>29</v>
      </c>
      <c r="L469" s="6" t="str">
        <f>VLOOKUP(K469,'Structure type'!$A$1:$B$15,2,FALSE)</f>
        <v>Manhole</v>
      </c>
      <c r="M469" s="6" t="s">
        <v>30</v>
      </c>
      <c r="N469" s="6" t="str">
        <f>VLOOKUP(M469,'Excursion Cause'!$A$1:$B$34,2,FALSE)</f>
        <v>Grease Blockage</v>
      </c>
      <c r="O469" s="7">
        <v>44431.0</v>
      </c>
      <c r="P469" s="6" t="s">
        <v>1005</v>
      </c>
      <c r="Q469" s="7">
        <v>44431.0</v>
      </c>
      <c r="R469" s="6" t="s">
        <v>428</v>
      </c>
      <c r="S469" s="5">
        <v>1.0</v>
      </c>
      <c r="T469" s="6" t="s">
        <v>33</v>
      </c>
      <c r="U469" s="5">
        <v>2.0210823E7</v>
      </c>
      <c r="V469" s="5">
        <v>2.0210823E7</v>
      </c>
      <c r="W469" s="5">
        <v>29.6707200210001</v>
      </c>
      <c r="X469" s="5">
        <v>-95.4615999549999</v>
      </c>
    </row>
    <row r="470" ht="15.75" customHeight="1">
      <c r="A470" s="5">
        <v>11799.0</v>
      </c>
      <c r="B470" s="6">
        <v>2021.0</v>
      </c>
      <c r="C470" s="6" t="str">
        <f t="shared" si="1"/>
        <v>2209 NOBLE ST,Houston,Texas</v>
      </c>
      <c r="D470" s="6" t="s">
        <v>922</v>
      </c>
      <c r="E470" s="6" t="s">
        <v>25</v>
      </c>
      <c r="F470" s="6" t="s">
        <v>26</v>
      </c>
      <c r="G470" s="6" t="s">
        <v>43</v>
      </c>
      <c r="H470" s="6" t="s">
        <v>44</v>
      </c>
      <c r="I470" s="6" t="str">
        <f>VLOOKUP(H470,'Flow Location'!$A$1:$B$21,2,FALSE)</f>
        <v>Bayou/surface water/drainage ditch</v>
      </c>
      <c r="J470" s="5">
        <v>0.0</v>
      </c>
      <c r="K470" s="6" t="s">
        <v>45</v>
      </c>
      <c r="L470" s="6" t="str">
        <f>VLOOKUP(K470,'Structure type'!$A$1:$B$15,2,FALSE)</f>
        <v>City Cleanout</v>
      </c>
      <c r="M470" s="6" t="s">
        <v>30</v>
      </c>
      <c r="N470" s="6" t="str">
        <f>VLOOKUP(M470,'Excursion Cause'!$A$1:$B$34,2,FALSE)</f>
        <v>Grease Blockage</v>
      </c>
      <c r="O470" s="7">
        <v>44431.0</v>
      </c>
      <c r="P470" s="6" t="s">
        <v>1006</v>
      </c>
      <c r="Q470" s="7">
        <v>44431.0</v>
      </c>
      <c r="R470" s="6" t="s">
        <v>1006</v>
      </c>
      <c r="S470" s="5">
        <v>0.0</v>
      </c>
      <c r="T470" s="6" t="s">
        <v>270</v>
      </c>
      <c r="U470" s="5">
        <v>2.0210823E7</v>
      </c>
      <c r="V470" s="5">
        <v>2.0210823E7</v>
      </c>
      <c r="W470" s="5">
        <v>29.7805514930001</v>
      </c>
      <c r="X470" s="5">
        <v>-95.3471901619999</v>
      </c>
    </row>
    <row r="471" ht="15.75" customHeight="1">
      <c r="A471" s="5">
        <v>11800.0</v>
      </c>
      <c r="B471" s="6">
        <v>2021.0</v>
      </c>
      <c r="C471" s="6" t="str">
        <f t="shared" si="1"/>
        <v>11455 BISSONNET ST,Houston,Texas</v>
      </c>
      <c r="D471" s="6" t="s">
        <v>1007</v>
      </c>
      <c r="E471" s="6" t="s">
        <v>25</v>
      </c>
      <c r="F471" s="6" t="s">
        <v>26</v>
      </c>
      <c r="G471" s="6" t="s">
        <v>154</v>
      </c>
      <c r="H471" s="6" t="s">
        <v>28</v>
      </c>
      <c r="I471" s="6" t="str">
        <f>VLOOKUP(H471,'Flow Location'!$A$1:$B$21,2,FALSE)</f>
        <v>Storm Sewer (not contained)</v>
      </c>
      <c r="J471" s="5">
        <v>314.0</v>
      </c>
      <c r="K471" s="6" t="s">
        <v>29</v>
      </c>
      <c r="L471" s="6" t="str">
        <f>VLOOKUP(K471,'Structure type'!$A$1:$B$15,2,FALSE)</f>
        <v>Manhole</v>
      </c>
      <c r="M471" s="6" t="s">
        <v>30</v>
      </c>
      <c r="N471" s="6" t="str">
        <f>VLOOKUP(M471,'Excursion Cause'!$A$1:$B$34,2,FALSE)</f>
        <v>Grease Blockage</v>
      </c>
      <c r="O471" s="7">
        <v>44431.0</v>
      </c>
      <c r="P471" s="6" t="s">
        <v>790</v>
      </c>
      <c r="Q471" s="7">
        <v>44431.0</v>
      </c>
      <c r="R471" s="6" t="s">
        <v>215</v>
      </c>
      <c r="S471" s="5">
        <v>2.0</v>
      </c>
      <c r="T471" s="6" t="s">
        <v>59</v>
      </c>
      <c r="U471" s="5">
        <v>2.0210823E7</v>
      </c>
      <c r="V471" s="5">
        <v>2.0210823E7</v>
      </c>
      <c r="W471" s="5">
        <v>29.6746864630001</v>
      </c>
      <c r="X471" s="5">
        <v>-95.580500269</v>
      </c>
    </row>
    <row r="472" ht="15.75" customHeight="1">
      <c r="A472" s="5">
        <v>11808.0</v>
      </c>
      <c r="B472" s="6">
        <v>2021.0</v>
      </c>
      <c r="C472" s="6" t="str">
        <f t="shared" si="1"/>
        <v>4419 HOLLOWAY DR,Houston,Texas</v>
      </c>
      <c r="D472" s="6" t="s">
        <v>1008</v>
      </c>
      <c r="E472" s="6" t="s">
        <v>25</v>
      </c>
      <c r="F472" s="6" t="s">
        <v>26</v>
      </c>
      <c r="G472" s="6" t="s">
        <v>419</v>
      </c>
      <c r="H472" s="6" t="s">
        <v>50</v>
      </c>
      <c r="I472" s="6" t="str">
        <f>VLOOKUP(H472,'Flow Location'!$A$1:$B$21,2,FALSE)</f>
        <v>Contained On Site, not within 5 ft. of Bayou/Surface Water/Drainage Ditch</v>
      </c>
      <c r="J472" s="5">
        <v>0.0</v>
      </c>
      <c r="K472" s="6" t="s">
        <v>29</v>
      </c>
      <c r="L472" s="6" t="str">
        <f>VLOOKUP(K472,'Structure type'!$A$1:$B$15,2,FALSE)</f>
        <v>Manhole</v>
      </c>
      <c r="M472" s="6" t="s">
        <v>30</v>
      </c>
      <c r="N472" s="6" t="str">
        <f>VLOOKUP(M472,'Excursion Cause'!$A$1:$B$34,2,FALSE)</f>
        <v>Grease Blockage</v>
      </c>
      <c r="O472" s="7">
        <v>44432.0</v>
      </c>
      <c r="P472" s="6" t="s">
        <v>1009</v>
      </c>
      <c r="Q472" s="7">
        <v>44432.0</v>
      </c>
      <c r="R472" s="6" t="s">
        <v>1009</v>
      </c>
      <c r="S472" s="5">
        <v>0.0</v>
      </c>
      <c r="T472" s="6" t="s">
        <v>59</v>
      </c>
      <c r="U472" s="5">
        <v>2.0210824E7</v>
      </c>
      <c r="V472" s="5">
        <v>2.0210824E7</v>
      </c>
      <c r="W472" s="5">
        <v>29.6446370470001</v>
      </c>
      <c r="X472" s="5">
        <v>-95.3572854939999</v>
      </c>
    </row>
    <row r="473" ht="15.75" customHeight="1">
      <c r="A473" s="5">
        <v>11811.0</v>
      </c>
      <c r="B473" s="6">
        <v>2021.0</v>
      </c>
      <c r="C473" s="6" t="str">
        <f t="shared" si="1"/>
        <v>7955 STREAMSIDE DR,Houston,Texas</v>
      </c>
      <c r="D473" s="6" t="s">
        <v>1010</v>
      </c>
      <c r="E473" s="6" t="s">
        <v>25</v>
      </c>
      <c r="F473" s="6" t="s">
        <v>26</v>
      </c>
      <c r="G473" s="6" t="s">
        <v>502</v>
      </c>
      <c r="H473" s="6" t="s">
        <v>28</v>
      </c>
      <c r="I473" s="6" t="str">
        <f>VLOOKUP(H473,'Flow Location'!$A$1:$B$21,2,FALSE)</f>
        <v>Storm Sewer (not contained)</v>
      </c>
      <c r="J473" s="5">
        <v>1050.0</v>
      </c>
      <c r="K473" s="6" t="s">
        <v>29</v>
      </c>
      <c r="L473" s="6" t="str">
        <f>VLOOKUP(K473,'Structure type'!$A$1:$B$15,2,FALSE)</f>
        <v>Manhole</v>
      </c>
      <c r="M473" s="6" t="s">
        <v>81</v>
      </c>
      <c r="N473" s="6" t="str">
        <f>VLOOKUP(M473,'Excursion Cause'!$A$1:$B$34,2,FALSE)</f>
        <v>Collection system structural failure</v>
      </c>
      <c r="O473" s="7">
        <v>44433.0</v>
      </c>
      <c r="P473" s="6" t="s">
        <v>1011</v>
      </c>
      <c r="Q473" s="7">
        <v>44433.0</v>
      </c>
      <c r="R473" s="6" t="s">
        <v>872</v>
      </c>
      <c r="S473" s="5">
        <v>3.0</v>
      </c>
      <c r="T473" s="6" t="s">
        <v>54</v>
      </c>
      <c r="U473" s="5">
        <v>2.0210825E7</v>
      </c>
      <c r="V473" s="5">
        <v>2.0210825E7</v>
      </c>
      <c r="W473" s="5">
        <v>29.8819128</v>
      </c>
      <c r="X473" s="5">
        <v>-95.467107201</v>
      </c>
    </row>
    <row r="474" ht="15.75" customHeight="1">
      <c r="A474" s="5">
        <v>11812.0</v>
      </c>
      <c r="B474" s="6">
        <v>2021.0</v>
      </c>
      <c r="C474" s="6" t="str">
        <f t="shared" si="1"/>
        <v>2602 FANNIN ST,Houston,Texas</v>
      </c>
      <c r="D474" s="6" t="s">
        <v>1012</v>
      </c>
      <c r="E474" s="6" t="s">
        <v>25</v>
      </c>
      <c r="F474" s="6" t="s">
        <v>26</v>
      </c>
      <c r="G474" s="6" t="s">
        <v>463</v>
      </c>
      <c r="H474" s="6" t="s">
        <v>50</v>
      </c>
      <c r="I474" s="6" t="str">
        <f>VLOOKUP(H474,'Flow Location'!$A$1:$B$21,2,FALSE)</f>
        <v>Contained On Site, not within 5 ft. of Bayou/Surface Water/Drainage Ditch</v>
      </c>
      <c r="J474" s="5">
        <v>0.0</v>
      </c>
      <c r="K474" s="6" t="s">
        <v>29</v>
      </c>
      <c r="L474" s="6" t="str">
        <f>VLOOKUP(K474,'Structure type'!$A$1:$B$15,2,FALSE)</f>
        <v>Manhole</v>
      </c>
      <c r="M474" s="6" t="s">
        <v>52</v>
      </c>
      <c r="N474" s="6" t="str">
        <f>VLOOKUP(M474,'Excursion Cause'!$A$1:$B$34,2,FALSE)</f>
        <v>Collection system structural blockage</v>
      </c>
      <c r="O474" s="7">
        <v>44433.0</v>
      </c>
      <c r="P474" s="6" t="s">
        <v>285</v>
      </c>
      <c r="Q474" s="7">
        <v>44433.0</v>
      </c>
      <c r="R474" s="6" t="s">
        <v>285</v>
      </c>
      <c r="S474" s="5">
        <v>0.0</v>
      </c>
      <c r="T474" s="6" t="s">
        <v>33</v>
      </c>
      <c r="U474" s="5">
        <v>2.0210825E7</v>
      </c>
      <c r="V474" s="5">
        <v>2.0210825E7</v>
      </c>
      <c r="W474" s="5">
        <v>29.7446658000001</v>
      </c>
      <c r="X474" s="5">
        <v>-95.373372461</v>
      </c>
    </row>
    <row r="475" ht="15.75" customHeight="1">
      <c r="A475" s="5">
        <v>11814.0</v>
      </c>
      <c r="B475" s="6">
        <v>2021.0</v>
      </c>
      <c r="C475" s="6" t="str">
        <f t="shared" si="1"/>
        <v>7826 PEREIDA ST,Houston,Texas</v>
      </c>
      <c r="D475" s="6" t="s">
        <v>692</v>
      </c>
      <c r="E475" s="6" t="s">
        <v>25</v>
      </c>
      <c r="F475" s="6" t="s">
        <v>26</v>
      </c>
      <c r="G475" s="6" t="s">
        <v>177</v>
      </c>
      <c r="H475" s="6" t="s">
        <v>50</v>
      </c>
      <c r="I475" s="6" t="str">
        <f>VLOOKUP(H475,'Flow Location'!$A$1:$B$21,2,FALSE)</f>
        <v>Contained On Site, not within 5 ft. of Bayou/Surface Water/Drainage Ditch</v>
      </c>
      <c r="J475" s="5">
        <v>0.0</v>
      </c>
      <c r="K475" s="6" t="s">
        <v>45</v>
      </c>
      <c r="L475" s="6" t="str">
        <f>VLOOKUP(K475,'Structure type'!$A$1:$B$15,2,FALSE)</f>
        <v>City Cleanout</v>
      </c>
      <c r="M475" s="6" t="s">
        <v>30</v>
      </c>
      <c r="N475" s="6" t="str">
        <f>VLOOKUP(M475,'Excursion Cause'!$A$1:$B$34,2,FALSE)</f>
        <v>Grease Blockage</v>
      </c>
      <c r="O475" s="7">
        <v>44433.0</v>
      </c>
      <c r="P475" s="6" t="s">
        <v>597</v>
      </c>
      <c r="Q475" s="7">
        <v>44433.0</v>
      </c>
      <c r="R475" s="6" t="s">
        <v>597</v>
      </c>
      <c r="S475" s="5">
        <v>0.0</v>
      </c>
      <c r="T475" s="6" t="s">
        <v>74</v>
      </c>
      <c r="U475" s="5">
        <v>2.0210825E7</v>
      </c>
      <c r="V475" s="5">
        <v>2.0210825E7</v>
      </c>
      <c r="W475" s="5">
        <v>29.849262061</v>
      </c>
      <c r="X475" s="5">
        <v>-95.285929095</v>
      </c>
    </row>
    <row r="476" ht="15.75" customHeight="1">
      <c r="A476" s="5">
        <v>11816.0</v>
      </c>
      <c r="B476" s="6">
        <v>2021.0</v>
      </c>
      <c r="C476" s="6" t="str">
        <f t="shared" si="1"/>
        <v>11930 AIRLINE DR,Houston,Texas</v>
      </c>
      <c r="D476" s="6" t="s">
        <v>1013</v>
      </c>
      <c r="E476" s="6" t="s">
        <v>25</v>
      </c>
      <c r="F476" s="6" t="s">
        <v>26</v>
      </c>
      <c r="G476" s="6" t="s">
        <v>570</v>
      </c>
      <c r="H476" s="6" t="s">
        <v>28</v>
      </c>
      <c r="I476" s="6" t="str">
        <f>VLOOKUP(H476,'Flow Location'!$A$1:$B$21,2,FALSE)</f>
        <v>Storm Sewer (not contained)</v>
      </c>
      <c r="J476" s="5">
        <v>588.0</v>
      </c>
      <c r="K476" s="6" t="s">
        <v>29</v>
      </c>
      <c r="L476" s="6" t="str">
        <f>VLOOKUP(K476,'Structure type'!$A$1:$B$15,2,FALSE)</f>
        <v>Manhole</v>
      </c>
      <c r="M476" s="6" t="s">
        <v>30</v>
      </c>
      <c r="N476" s="6" t="str">
        <f>VLOOKUP(M476,'Excursion Cause'!$A$1:$B$34,2,FALSE)</f>
        <v>Grease Blockage</v>
      </c>
      <c r="O476" s="7">
        <v>44433.0</v>
      </c>
      <c r="P476" s="6" t="s">
        <v>1014</v>
      </c>
      <c r="Q476" s="7">
        <v>44433.0</v>
      </c>
      <c r="R476" s="6" t="s">
        <v>1015</v>
      </c>
      <c r="S476" s="5">
        <v>3.0</v>
      </c>
      <c r="T476" s="6" t="s">
        <v>59</v>
      </c>
      <c r="U476" s="5">
        <v>2.0210825E7</v>
      </c>
      <c r="V476" s="5">
        <v>2.0210825E7</v>
      </c>
      <c r="W476" s="5">
        <v>29.9285339940001</v>
      </c>
      <c r="X476" s="5">
        <v>-95.409685632</v>
      </c>
    </row>
    <row r="477" ht="15.75" customHeight="1">
      <c r="A477" s="5">
        <v>11820.0</v>
      </c>
      <c r="B477" s="6">
        <v>2021.0</v>
      </c>
      <c r="C477" s="6" t="str">
        <f t="shared" si="1"/>
        <v>426 WYCLIFFE DR,Houston,Texas</v>
      </c>
      <c r="D477" s="6" t="s">
        <v>626</v>
      </c>
      <c r="E477" s="6" t="s">
        <v>25</v>
      </c>
      <c r="F477" s="6" t="s">
        <v>26</v>
      </c>
      <c r="G477" s="6" t="s">
        <v>520</v>
      </c>
      <c r="H477" s="6" t="s">
        <v>28</v>
      </c>
      <c r="I477" s="6" t="str">
        <f>VLOOKUP(H477,'Flow Location'!$A$1:$B$21,2,FALSE)</f>
        <v>Storm Sewer (not contained)</v>
      </c>
      <c r="J477" s="5">
        <v>167.0</v>
      </c>
      <c r="K477" s="6" t="s">
        <v>29</v>
      </c>
      <c r="L477" s="6" t="str">
        <f>VLOOKUP(K477,'Structure type'!$A$1:$B$15,2,FALSE)</f>
        <v>Manhole</v>
      </c>
      <c r="M477" s="6" t="s">
        <v>30</v>
      </c>
      <c r="N477" s="6" t="str">
        <f>VLOOKUP(M477,'Excursion Cause'!$A$1:$B$34,2,FALSE)</f>
        <v>Grease Blockage</v>
      </c>
      <c r="O477" s="7">
        <v>44433.0</v>
      </c>
      <c r="P477" s="6" t="s">
        <v>1016</v>
      </c>
      <c r="Q477" s="7">
        <v>44433.0</v>
      </c>
      <c r="R477" s="6" t="s">
        <v>1017</v>
      </c>
      <c r="S477" s="5">
        <v>1.0</v>
      </c>
      <c r="T477" s="6" t="s">
        <v>33</v>
      </c>
      <c r="U477" s="5">
        <v>2.0210825E7</v>
      </c>
      <c r="V477" s="5">
        <v>2.0210825E7</v>
      </c>
      <c r="W477" s="5">
        <v>29.771062005</v>
      </c>
      <c r="X477" s="5">
        <v>-95.574432526</v>
      </c>
    </row>
    <row r="478" ht="15.75" customHeight="1">
      <c r="A478" s="5">
        <v>11821.0</v>
      </c>
      <c r="B478" s="6">
        <v>2021.0</v>
      </c>
      <c r="C478" s="6" t="str">
        <f t="shared" si="1"/>
        <v>8507 WIER DR,Houston,Texas</v>
      </c>
      <c r="D478" s="6" t="s">
        <v>1018</v>
      </c>
      <c r="E478" s="6" t="s">
        <v>25</v>
      </c>
      <c r="F478" s="6" t="s">
        <v>26</v>
      </c>
      <c r="G478" s="6" t="s">
        <v>135</v>
      </c>
      <c r="H478" s="6" t="s">
        <v>50</v>
      </c>
      <c r="I478" s="6" t="str">
        <f>VLOOKUP(H478,'Flow Location'!$A$1:$B$21,2,FALSE)</f>
        <v>Contained On Site, not within 5 ft. of Bayou/Surface Water/Drainage Ditch</v>
      </c>
      <c r="J478" s="5">
        <v>0.0</v>
      </c>
      <c r="K478" s="6" t="s">
        <v>29</v>
      </c>
      <c r="L478" s="6" t="str">
        <f>VLOOKUP(K478,'Structure type'!$A$1:$B$15,2,FALSE)</f>
        <v>Manhole</v>
      </c>
      <c r="M478" s="6" t="s">
        <v>30</v>
      </c>
      <c r="N478" s="6" t="str">
        <f>VLOOKUP(M478,'Excursion Cause'!$A$1:$B$34,2,FALSE)</f>
        <v>Grease Blockage</v>
      </c>
      <c r="O478" s="7">
        <v>44433.0</v>
      </c>
      <c r="P478" s="6" t="s">
        <v>985</v>
      </c>
      <c r="Q478" s="7">
        <v>44433.0</v>
      </c>
      <c r="R478" s="6" t="s">
        <v>985</v>
      </c>
      <c r="S478" s="5">
        <v>0.0</v>
      </c>
      <c r="T478" s="6" t="s">
        <v>33</v>
      </c>
      <c r="U478" s="5">
        <v>2.0210825E7</v>
      </c>
      <c r="V478" s="5">
        <v>2.0210825E7</v>
      </c>
      <c r="W478" s="5">
        <v>29.685362535</v>
      </c>
      <c r="X478" s="5">
        <v>-95.2566858919999</v>
      </c>
    </row>
    <row r="479" ht="15.75" customHeight="1">
      <c r="A479" s="5">
        <v>11825.0</v>
      </c>
      <c r="B479" s="6">
        <v>2021.0</v>
      </c>
      <c r="C479" s="6" t="str">
        <f t="shared" si="1"/>
        <v>2003 E CROSSTIMBERS ST,Houston,Texas</v>
      </c>
      <c r="D479" s="6" t="s">
        <v>1019</v>
      </c>
      <c r="E479" s="6" t="s">
        <v>25</v>
      </c>
      <c r="F479" s="6" t="s">
        <v>26</v>
      </c>
      <c r="G479" s="6" t="s">
        <v>109</v>
      </c>
      <c r="H479" s="6" t="s">
        <v>50</v>
      </c>
      <c r="I479" s="6" t="str">
        <f>VLOOKUP(H479,'Flow Location'!$A$1:$B$21,2,FALSE)</f>
        <v>Contained On Site, not within 5 ft. of Bayou/Surface Water/Drainage Ditch</v>
      </c>
      <c r="J479" s="5">
        <v>0.0</v>
      </c>
      <c r="K479" s="6" t="s">
        <v>45</v>
      </c>
      <c r="L479" s="6" t="str">
        <f>VLOOKUP(K479,'Structure type'!$A$1:$B$15,2,FALSE)</f>
        <v>City Cleanout</v>
      </c>
      <c r="M479" s="6" t="s">
        <v>56</v>
      </c>
      <c r="N479" s="6" t="str">
        <f>VLOOKUP(M479,'Excursion Cause'!$A$1:$B$34,2,FALSE)</f>
        <v>Rags/Wipes</v>
      </c>
      <c r="O479" s="7">
        <v>44434.0</v>
      </c>
      <c r="P479" s="6" t="s">
        <v>110</v>
      </c>
      <c r="Q479" s="7">
        <v>44434.0</v>
      </c>
      <c r="R479" s="6" t="s">
        <v>110</v>
      </c>
      <c r="S479" s="5">
        <v>0.0</v>
      </c>
      <c r="T479" s="6" t="s">
        <v>270</v>
      </c>
      <c r="U479" s="5">
        <v>2.0210826E7</v>
      </c>
      <c r="V479" s="5">
        <v>2.0210826E7</v>
      </c>
      <c r="W479" s="5">
        <v>29.82874752</v>
      </c>
      <c r="X479" s="5">
        <v>-95.349305</v>
      </c>
    </row>
    <row r="480" ht="15.75" customHeight="1">
      <c r="A480" s="5">
        <v>11829.0</v>
      </c>
      <c r="B480" s="6">
        <v>2021.0</v>
      </c>
      <c r="C480" s="6" t="str">
        <f t="shared" si="1"/>
        <v>4991 VALKEITH DR,Houston,Texas</v>
      </c>
      <c r="D480" s="6" t="s">
        <v>1020</v>
      </c>
      <c r="E480" s="6" t="s">
        <v>25</v>
      </c>
      <c r="F480" s="6" t="s">
        <v>26</v>
      </c>
      <c r="G480" s="6" t="s">
        <v>69</v>
      </c>
      <c r="H480" s="6" t="s">
        <v>28</v>
      </c>
      <c r="I480" s="6" t="str">
        <f>VLOOKUP(H480,'Flow Location'!$A$1:$B$21,2,FALSE)</f>
        <v>Storm Sewer (not contained)</v>
      </c>
      <c r="J480" s="5">
        <v>581.0</v>
      </c>
      <c r="K480" s="6" t="s">
        <v>29</v>
      </c>
      <c r="L480" s="6" t="str">
        <f>VLOOKUP(K480,'Structure type'!$A$1:$B$15,2,FALSE)</f>
        <v>Manhole</v>
      </c>
      <c r="M480" s="6" t="s">
        <v>30</v>
      </c>
      <c r="N480" s="6" t="str">
        <f>VLOOKUP(M480,'Excursion Cause'!$A$1:$B$34,2,FALSE)</f>
        <v>Grease Blockage</v>
      </c>
      <c r="O480" s="7">
        <v>44435.0</v>
      </c>
      <c r="P480" s="6" t="s">
        <v>125</v>
      </c>
      <c r="Q480" s="7">
        <v>44435.0</v>
      </c>
      <c r="R480" s="6" t="s">
        <v>1021</v>
      </c>
      <c r="S480" s="5">
        <v>4.0</v>
      </c>
      <c r="T480" s="6" t="s">
        <v>33</v>
      </c>
      <c r="U480" s="5">
        <v>2.0210827E7</v>
      </c>
      <c r="V480" s="5">
        <v>2.0210827E7</v>
      </c>
      <c r="W480" s="5">
        <v>29.674306218</v>
      </c>
      <c r="X480" s="5">
        <v>-95.466418711</v>
      </c>
    </row>
    <row r="481" ht="15.75" customHeight="1">
      <c r="A481" s="5">
        <v>11832.0</v>
      </c>
      <c r="B481" s="6">
        <v>2021.0</v>
      </c>
      <c r="C481" s="6" t="str">
        <f t="shared" si="1"/>
        <v>6003 QUIET VILLAGE CT,Houston,Texas</v>
      </c>
      <c r="D481" s="6" t="s">
        <v>1022</v>
      </c>
      <c r="E481" s="6" t="s">
        <v>25</v>
      </c>
      <c r="F481" s="6" t="s">
        <v>26</v>
      </c>
      <c r="G481" s="6" t="s">
        <v>517</v>
      </c>
      <c r="H481" s="6" t="s">
        <v>50</v>
      </c>
      <c r="I481" s="6" t="str">
        <f>VLOOKUP(H481,'Flow Location'!$A$1:$B$21,2,FALSE)</f>
        <v>Contained On Site, not within 5 ft. of Bayou/Surface Water/Drainage Ditch</v>
      </c>
      <c r="J481" s="5">
        <v>750.0</v>
      </c>
      <c r="K481" s="6" t="s">
        <v>29</v>
      </c>
      <c r="L481" s="6" t="str">
        <f>VLOOKUP(K481,'Structure type'!$A$1:$B$15,2,FALSE)</f>
        <v>Manhole</v>
      </c>
      <c r="M481" s="6" t="s">
        <v>30</v>
      </c>
      <c r="N481" s="6" t="str">
        <f>VLOOKUP(M481,'Excursion Cause'!$A$1:$B$34,2,FALSE)</f>
        <v>Grease Blockage</v>
      </c>
      <c r="O481" s="7">
        <v>44435.0</v>
      </c>
      <c r="P481" s="6" t="s">
        <v>1023</v>
      </c>
      <c r="Q481" s="7">
        <v>44435.0</v>
      </c>
      <c r="R481" s="6" t="s">
        <v>1024</v>
      </c>
      <c r="S481" s="5">
        <v>3.0</v>
      </c>
      <c r="T481" s="6" t="s">
        <v>59</v>
      </c>
      <c r="U481" s="5">
        <v>2.0210827E7</v>
      </c>
      <c r="V481" s="5">
        <v>2.0210827E7</v>
      </c>
      <c r="W481" s="5">
        <v>29.583753878</v>
      </c>
      <c r="X481" s="5">
        <v>-95.479338996</v>
      </c>
    </row>
    <row r="482" ht="15.75" customHeight="1">
      <c r="A482" s="5">
        <v>11835.0</v>
      </c>
      <c r="B482" s="6">
        <v>2021.0</v>
      </c>
      <c r="C482" s="6" t="str">
        <f t="shared" si="1"/>
        <v>329 KING ST,Houston,Texas</v>
      </c>
      <c r="D482" s="6" t="s">
        <v>1025</v>
      </c>
      <c r="E482" s="6" t="s">
        <v>25</v>
      </c>
      <c r="F482" s="6" t="s">
        <v>26</v>
      </c>
      <c r="G482" s="6" t="s">
        <v>653</v>
      </c>
      <c r="H482" s="6" t="s">
        <v>28</v>
      </c>
      <c r="I482" s="6" t="str">
        <f>VLOOKUP(H482,'Flow Location'!$A$1:$B$21,2,FALSE)</f>
        <v>Storm Sewer (not contained)</v>
      </c>
      <c r="J482" s="5">
        <v>0.0</v>
      </c>
      <c r="K482" s="6" t="s">
        <v>198</v>
      </c>
      <c r="L482" s="6" t="str">
        <f>VLOOKUP(K482,'Structure type'!$A$1:$B$15,2,FALSE)</f>
        <v>Service Lateral</v>
      </c>
      <c r="M482" s="6" t="s">
        <v>81</v>
      </c>
      <c r="N482" s="6" t="str">
        <f>VLOOKUP(M482,'Excursion Cause'!$A$1:$B$34,2,FALSE)</f>
        <v>Collection system structural failure</v>
      </c>
      <c r="O482" s="7">
        <v>44435.0</v>
      </c>
      <c r="P482" s="6" t="s">
        <v>658</v>
      </c>
      <c r="Q482" s="7">
        <v>44435.0</v>
      </c>
      <c r="R482" s="6" t="s">
        <v>658</v>
      </c>
      <c r="S482" s="5">
        <v>0.0</v>
      </c>
      <c r="T482" s="6" t="s">
        <v>118</v>
      </c>
      <c r="U482" s="5">
        <v>2.0210827E7</v>
      </c>
      <c r="V482" s="5">
        <v>2.0210827E7</v>
      </c>
      <c r="W482" s="5">
        <v>29.8170512450001</v>
      </c>
      <c r="X482" s="5">
        <v>-95.3671312119999</v>
      </c>
    </row>
    <row r="483" ht="15.75" customHeight="1">
      <c r="A483" s="5">
        <v>11839.0</v>
      </c>
      <c r="B483" s="6">
        <v>2021.0</v>
      </c>
      <c r="C483" s="6" t="str">
        <f t="shared" si="1"/>
        <v>1007 ENGLISH ST,Houston,Texas</v>
      </c>
      <c r="D483" s="6" t="s">
        <v>1026</v>
      </c>
      <c r="E483" s="6" t="s">
        <v>25</v>
      </c>
      <c r="F483" s="6" t="s">
        <v>26</v>
      </c>
      <c r="G483" s="6" t="s">
        <v>161</v>
      </c>
      <c r="H483" s="6" t="s">
        <v>44</v>
      </c>
      <c r="I483" s="6" t="str">
        <f>VLOOKUP(H483,'Flow Location'!$A$1:$B$21,2,FALSE)</f>
        <v>Bayou/surface water/drainage ditch</v>
      </c>
      <c r="J483" s="5">
        <v>0.0</v>
      </c>
      <c r="K483" s="6" t="s">
        <v>45</v>
      </c>
      <c r="L483" s="6" t="str">
        <f>VLOOKUP(K483,'Structure type'!$A$1:$B$15,2,FALSE)</f>
        <v>City Cleanout</v>
      </c>
      <c r="M483" s="6" t="s">
        <v>56</v>
      </c>
      <c r="N483" s="6" t="str">
        <f>VLOOKUP(M483,'Excursion Cause'!$A$1:$B$34,2,FALSE)</f>
        <v>Rags/Wipes</v>
      </c>
      <c r="O483" s="7">
        <v>44436.0</v>
      </c>
      <c r="P483" s="6" t="s">
        <v>1027</v>
      </c>
      <c r="Q483" s="7">
        <v>44436.0</v>
      </c>
      <c r="R483" s="6" t="s">
        <v>1027</v>
      </c>
      <c r="S483" s="5">
        <v>0.0</v>
      </c>
      <c r="T483" s="6" t="s">
        <v>270</v>
      </c>
      <c r="U483" s="5">
        <v>2.0210828E7</v>
      </c>
      <c r="V483" s="5">
        <v>2.0210828E7</v>
      </c>
      <c r="W483" s="5">
        <v>29.80799925</v>
      </c>
      <c r="X483" s="5">
        <v>-95.357967613</v>
      </c>
    </row>
    <row r="484" ht="15.75" customHeight="1">
      <c r="A484" s="5">
        <v>11842.0</v>
      </c>
      <c r="B484" s="6">
        <v>2021.0</v>
      </c>
      <c r="C484" s="6" t="str">
        <f t="shared" si="1"/>
        <v>8110 CREEKBEND DR,Houston,Texas</v>
      </c>
      <c r="D484" s="6" t="s">
        <v>1028</v>
      </c>
      <c r="E484" s="6" t="s">
        <v>25</v>
      </c>
      <c r="F484" s="6" t="s">
        <v>26</v>
      </c>
      <c r="G484" s="6" t="s">
        <v>148</v>
      </c>
      <c r="H484" s="6" t="s">
        <v>28</v>
      </c>
      <c r="I484" s="6" t="str">
        <f>VLOOKUP(H484,'Flow Location'!$A$1:$B$21,2,FALSE)</f>
        <v>Storm Sewer (not contained)</v>
      </c>
      <c r="J484" s="5">
        <v>328.0</v>
      </c>
      <c r="K484" s="6" t="s">
        <v>29</v>
      </c>
      <c r="L484" s="6" t="str">
        <f>VLOOKUP(K484,'Structure type'!$A$1:$B$15,2,FALSE)</f>
        <v>Manhole</v>
      </c>
      <c r="M484" s="6" t="s">
        <v>30</v>
      </c>
      <c r="N484" s="6" t="str">
        <f>VLOOKUP(M484,'Excursion Cause'!$A$1:$B$34,2,FALSE)</f>
        <v>Grease Blockage</v>
      </c>
      <c r="O484" s="7">
        <v>44436.0</v>
      </c>
      <c r="P484" s="6" t="s">
        <v>276</v>
      </c>
      <c r="Q484" s="7">
        <v>44436.0</v>
      </c>
      <c r="R484" s="6" t="s">
        <v>1029</v>
      </c>
      <c r="S484" s="5">
        <v>2.0</v>
      </c>
      <c r="T484" s="6" t="s">
        <v>33</v>
      </c>
      <c r="U484" s="5">
        <v>2.0210828E7</v>
      </c>
      <c r="V484" s="5">
        <v>2.0210828E7</v>
      </c>
      <c r="W484" s="5">
        <v>29.665497467</v>
      </c>
      <c r="X484" s="5">
        <v>-95.523394028</v>
      </c>
    </row>
    <row r="485" ht="15.75" customHeight="1">
      <c r="A485" s="5">
        <v>11844.0</v>
      </c>
      <c r="B485" s="6">
        <v>2021.0</v>
      </c>
      <c r="C485" s="6" t="str">
        <f t="shared" si="1"/>
        <v>6606 KELLER ST,Houston,Texas</v>
      </c>
      <c r="D485" s="6" t="s">
        <v>1030</v>
      </c>
      <c r="E485" s="6" t="s">
        <v>25</v>
      </c>
      <c r="F485" s="6" t="s">
        <v>26</v>
      </c>
      <c r="G485" s="6" t="s">
        <v>35</v>
      </c>
      <c r="H485" s="6" t="s">
        <v>50</v>
      </c>
      <c r="I485" s="6" t="str">
        <f>VLOOKUP(H485,'Flow Location'!$A$1:$B$21,2,FALSE)</f>
        <v>Contained On Site, not within 5 ft. of Bayou/Surface Water/Drainage Ditch</v>
      </c>
      <c r="J485" s="5">
        <v>3702.0</v>
      </c>
      <c r="K485" s="6" t="s">
        <v>29</v>
      </c>
      <c r="L485" s="6" t="str">
        <f>VLOOKUP(K485,'Structure type'!$A$1:$B$15,2,FALSE)</f>
        <v>Manhole</v>
      </c>
      <c r="M485" s="6" t="s">
        <v>30</v>
      </c>
      <c r="N485" s="6" t="str">
        <f>VLOOKUP(M485,'Excursion Cause'!$A$1:$B$34,2,FALSE)</f>
        <v>Grease Blockage</v>
      </c>
      <c r="O485" s="7">
        <v>44436.0</v>
      </c>
      <c r="P485" s="6" t="s">
        <v>1031</v>
      </c>
      <c r="Q485" s="7">
        <v>44437.0</v>
      </c>
      <c r="R485" s="6" t="s">
        <v>1032</v>
      </c>
      <c r="S485" s="5">
        <v>3.0</v>
      </c>
      <c r="T485" s="6" t="s">
        <v>33</v>
      </c>
      <c r="U485" s="5">
        <v>2.0210828E7</v>
      </c>
      <c r="V485" s="5">
        <v>2.0210829E7</v>
      </c>
      <c r="W485" s="5">
        <v>29.705950627</v>
      </c>
      <c r="X485" s="5">
        <v>-95.300414448</v>
      </c>
    </row>
    <row r="486" ht="15.75" customHeight="1">
      <c r="A486" s="5">
        <v>11845.0</v>
      </c>
      <c r="B486" s="6">
        <v>2021.0</v>
      </c>
      <c r="C486" s="6" t="str">
        <f t="shared" si="1"/>
        <v>910 FAIR OAKS DR,Houston,Texas</v>
      </c>
      <c r="D486" s="6" t="s">
        <v>1033</v>
      </c>
      <c r="E486" s="6" t="s">
        <v>25</v>
      </c>
      <c r="F486" s="6" t="s">
        <v>26</v>
      </c>
      <c r="G486" s="6" t="s">
        <v>141</v>
      </c>
      <c r="H486" s="6" t="s">
        <v>50</v>
      </c>
      <c r="I486" s="6" t="str">
        <f>VLOOKUP(H486,'Flow Location'!$A$1:$B$21,2,FALSE)</f>
        <v>Contained On Site, not within 5 ft. of Bayou/Surface Water/Drainage Ditch</v>
      </c>
      <c r="J486" s="5">
        <v>10.0</v>
      </c>
      <c r="K486" s="6" t="s">
        <v>29</v>
      </c>
      <c r="L486" s="6" t="str">
        <f>VLOOKUP(K486,'Structure type'!$A$1:$B$15,2,FALSE)</f>
        <v>Manhole</v>
      </c>
      <c r="M486" s="6" t="s">
        <v>30</v>
      </c>
      <c r="N486" s="6" t="str">
        <f>VLOOKUP(M486,'Excursion Cause'!$A$1:$B$34,2,FALSE)</f>
        <v>Grease Blockage</v>
      </c>
      <c r="O486" s="7">
        <v>44437.0</v>
      </c>
      <c r="P486" s="6" t="s">
        <v>318</v>
      </c>
      <c r="Q486" s="7">
        <v>44437.0</v>
      </c>
      <c r="R486" s="6" t="s">
        <v>1002</v>
      </c>
      <c r="S486" s="5">
        <v>0.0</v>
      </c>
      <c r="T486" s="6" t="s">
        <v>33</v>
      </c>
      <c r="U486" s="5">
        <v>2.0210829E7</v>
      </c>
      <c r="V486" s="5">
        <v>2.0210829E7</v>
      </c>
      <c r="W486" s="5">
        <v>29.729985734</v>
      </c>
      <c r="X486" s="5">
        <v>-95.314972557</v>
      </c>
    </row>
    <row r="487" ht="15.75" customHeight="1">
      <c r="A487" s="5">
        <v>11854.0</v>
      </c>
      <c r="B487" s="6">
        <v>2021.0</v>
      </c>
      <c r="C487" s="6" t="str">
        <f t="shared" si="1"/>
        <v>4910 ALLENDALE RD,Houston,Texas</v>
      </c>
      <c r="D487" s="6" t="s">
        <v>1034</v>
      </c>
      <c r="E487" s="6" t="s">
        <v>25</v>
      </c>
      <c r="F487" s="6" t="s">
        <v>26</v>
      </c>
      <c r="G487" s="6" t="s">
        <v>135</v>
      </c>
      <c r="H487" s="6" t="s">
        <v>50</v>
      </c>
      <c r="I487" s="6" t="str">
        <f>VLOOKUP(H487,'Flow Location'!$A$1:$B$21,2,FALSE)</f>
        <v>Contained On Site, not within 5 ft. of Bayou/Surface Water/Drainage Ditch</v>
      </c>
      <c r="J487" s="5">
        <v>348.0</v>
      </c>
      <c r="K487" s="6" t="s">
        <v>29</v>
      </c>
      <c r="L487" s="6" t="str">
        <f>VLOOKUP(K487,'Structure type'!$A$1:$B$15,2,FALSE)</f>
        <v>Manhole</v>
      </c>
      <c r="M487" s="6" t="s">
        <v>30</v>
      </c>
      <c r="N487" s="6" t="str">
        <f>VLOOKUP(M487,'Excursion Cause'!$A$1:$B$34,2,FALSE)</f>
        <v>Grease Blockage</v>
      </c>
      <c r="O487" s="7">
        <v>44438.0</v>
      </c>
      <c r="P487" s="6" t="s">
        <v>1035</v>
      </c>
      <c r="Q487" s="7">
        <v>44438.0</v>
      </c>
      <c r="R487" s="6" t="s">
        <v>791</v>
      </c>
      <c r="S487" s="5">
        <v>2.0</v>
      </c>
      <c r="T487" s="6" t="s">
        <v>33</v>
      </c>
      <c r="U487" s="5">
        <v>2.021083E7</v>
      </c>
      <c r="V487" s="5">
        <v>2.021083E7</v>
      </c>
      <c r="W487" s="5">
        <v>29.6819125440001</v>
      </c>
      <c r="X487" s="5">
        <v>-95.248374564</v>
      </c>
    </row>
    <row r="488" ht="15.75" customHeight="1">
      <c r="A488" s="5">
        <v>11855.0</v>
      </c>
      <c r="B488" s="6">
        <v>2021.0</v>
      </c>
      <c r="C488" s="6" t="str">
        <f t="shared" si="1"/>
        <v>2102 TIDWELL RD,Houston,Texas</v>
      </c>
      <c r="D488" s="6" t="s">
        <v>957</v>
      </c>
      <c r="E488" s="6" t="s">
        <v>25</v>
      </c>
      <c r="F488" s="6" t="s">
        <v>26</v>
      </c>
      <c r="G488" s="6" t="s">
        <v>109</v>
      </c>
      <c r="H488" s="6" t="s">
        <v>28</v>
      </c>
      <c r="I488" s="6" t="str">
        <f>VLOOKUP(H488,'Flow Location'!$A$1:$B$21,2,FALSE)</f>
        <v>Storm Sewer (not contained)</v>
      </c>
      <c r="J488" s="5">
        <v>865.0</v>
      </c>
      <c r="K488" s="6" t="s">
        <v>29</v>
      </c>
      <c r="L488" s="6" t="str">
        <f>VLOOKUP(K488,'Structure type'!$A$1:$B$15,2,FALSE)</f>
        <v>Manhole</v>
      </c>
      <c r="M488" s="6" t="s">
        <v>30</v>
      </c>
      <c r="N488" s="6" t="str">
        <f>VLOOKUP(M488,'Excursion Cause'!$A$1:$B$34,2,FALSE)</f>
        <v>Grease Blockage</v>
      </c>
      <c r="O488" s="7">
        <v>44438.0</v>
      </c>
      <c r="P488" s="6" t="s">
        <v>1036</v>
      </c>
      <c r="Q488" s="7">
        <v>44438.0</v>
      </c>
      <c r="R488" s="6" t="s">
        <v>1037</v>
      </c>
      <c r="S488" s="5">
        <v>5.0</v>
      </c>
      <c r="T488" s="6" t="s">
        <v>59</v>
      </c>
      <c r="U488" s="5">
        <v>2.021083E7</v>
      </c>
      <c r="V488" s="5">
        <v>2.021083E7</v>
      </c>
      <c r="W488" s="5">
        <v>29.84795067</v>
      </c>
      <c r="X488" s="5">
        <v>-95.3514203409999</v>
      </c>
    </row>
    <row r="489" ht="15.75" customHeight="1">
      <c r="A489" s="5">
        <v>11856.0</v>
      </c>
      <c r="B489" s="6">
        <v>2021.0</v>
      </c>
      <c r="C489" s="6" t="str">
        <f t="shared" si="1"/>
        <v>6869 ARTO ST,Houston,Texas</v>
      </c>
      <c r="D489" s="6" t="s">
        <v>1038</v>
      </c>
      <c r="E489" s="6" t="s">
        <v>25</v>
      </c>
      <c r="F489" s="6" t="s">
        <v>26</v>
      </c>
      <c r="G489" s="6" t="s">
        <v>109</v>
      </c>
      <c r="H489" s="6" t="s">
        <v>50</v>
      </c>
      <c r="I489" s="6" t="str">
        <f>VLOOKUP(H489,'Flow Location'!$A$1:$B$21,2,FALSE)</f>
        <v>Contained On Site, not within 5 ft. of Bayou/Surface Water/Drainage Ditch</v>
      </c>
      <c r="J489" s="5">
        <v>0.0</v>
      </c>
      <c r="K489" s="6" t="s">
        <v>45</v>
      </c>
      <c r="L489" s="6" t="str">
        <f>VLOOKUP(K489,'Structure type'!$A$1:$B$15,2,FALSE)</f>
        <v>City Cleanout</v>
      </c>
      <c r="M489" s="6" t="s">
        <v>30</v>
      </c>
      <c r="N489" s="6" t="str">
        <f>VLOOKUP(M489,'Excursion Cause'!$A$1:$B$34,2,FALSE)</f>
        <v>Grease Blockage</v>
      </c>
      <c r="O489" s="7">
        <v>44438.0</v>
      </c>
      <c r="P489" s="6" t="s">
        <v>1039</v>
      </c>
      <c r="Q489" s="7">
        <v>44438.0</v>
      </c>
      <c r="R489" s="6" t="s">
        <v>1039</v>
      </c>
      <c r="S489" s="5">
        <v>0.0</v>
      </c>
      <c r="T489" s="6" t="s">
        <v>270</v>
      </c>
      <c r="U489" s="5">
        <v>2.021083E7</v>
      </c>
      <c r="V489" s="5">
        <v>2.021083E7</v>
      </c>
      <c r="W489" s="5">
        <v>29.820986674</v>
      </c>
      <c r="X489" s="5">
        <v>-95.350137155</v>
      </c>
    </row>
    <row r="490" ht="15.75" customHeight="1">
      <c r="A490" s="5">
        <v>11857.0</v>
      </c>
      <c r="B490" s="6">
        <v>2021.0</v>
      </c>
      <c r="C490" s="6" t="str">
        <f t="shared" si="1"/>
        <v>1801 W SAM HOUSTON PKWY,Houston,Texas</v>
      </c>
      <c r="D490" s="6" t="s">
        <v>1040</v>
      </c>
      <c r="E490" s="6" t="s">
        <v>25</v>
      </c>
      <c r="F490" s="6" t="s">
        <v>26</v>
      </c>
      <c r="G490" s="6" t="s">
        <v>401</v>
      </c>
      <c r="H490" s="6" t="s">
        <v>28</v>
      </c>
      <c r="I490" s="6" t="str">
        <f>VLOOKUP(H490,'Flow Location'!$A$1:$B$21,2,FALSE)</f>
        <v>Storm Sewer (not contained)</v>
      </c>
      <c r="J490" s="5">
        <v>5040.0</v>
      </c>
      <c r="K490" s="6" t="s">
        <v>29</v>
      </c>
      <c r="L490" s="6" t="str">
        <f>VLOOKUP(K490,'Structure type'!$A$1:$B$15,2,FALSE)</f>
        <v>Manhole</v>
      </c>
      <c r="M490" s="6" t="s">
        <v>30</v>
      </c>
      <c r="N490" s="6" t="str">
        <f>VLOOKUP(M490,'Excursion Cause'!$A$1:$B$34,2,FALSE)</f>
        <v>Grease Blockage</v>
      </c>
      <c r="O490" s="7">
        <v>44438.0</v>
      </c>
      <c r="P490" s="6" t="s">
        <v>1041</v>
      </c>
      <c r="Q490" s="7">
        <v>44440.0</v>
      </c>
      <c r="R490" s="6" t="s">
        <v>617</v>
      </c>
      <c r="S490" s="5">
        <v>2.0</v>
      </c>
      <c r="T490" s="6" t="s">
        <v>33</v>
      </c>
      <c r="U490" s="5">
        <v>2.021083E7</v>
      </c>
      <c r="V490" s="5">
        <v>2.0210901E7</v>
      </c>
      <c r="W490" s="5">
        <v>29.8056009360001</v>
      </c>
      <c r="X490" s="5">
        <v>-95.564048772</v>
      </c>
    </row>
    <row r="491" ht="15.75" customHeight="1">
      <c r="A491" s="5">
        <v>11858.0</v>
      </c>
      <c r="B491" s="6">
        <v>2021.0</v>
      </c>
      <c r="C491" s="6" t="str">
        <f t="shared" si="1"/>
        <v>3502 ASKEW ST,Houston,Texas</v>
      </c>
      <c r="D491" s="6" t="s">
        <v>1042</v>
      </c>
      <c r="E491" s="6" t="s">
        <v>25</v>
      </c>
      <c r="F491" s="6" t="s">
        <v>26</v>
      </c>
      <c r="G491" s="6" t="s">
        <v>35</v>
      </c>
      <c r="H491" s="6" t="s">
        <v>28</v>
      </c>
      <c r="I491" s="6" t="str">
        <f>VLOOKUP(H491,'Flow Location'!$A$1:$B$21,2,FALSE)</f>
        <v>Storm Sewer (not contained)</v>
      </c>
      <c r="J491" s="5">
        <v>3795.0</v>
      </c>
      <c r="K491" s="6" t="s">
        <v>29</v>
      </c>
      <c r="L491" s="6" t="str">
        <f>VLOOKUP(K491,'Structure type'!$A$1:$B$15,2,FALSE)</f>
        <v>Manhole</v>
      </c>
      <c r="M491" s="6" t="s">
        <v>30</v>
      </c>
      <c r="N491" s="6" t="str">
        <f>VLOOKUP(M491,'Excursion Cause'!$A$1:$B$34,2,FALSE)</f>
        <v>Grease Blockage</v>
      </c>
      <c r="O491" s="7">
        <v>44438.0</v>
      </c>
      <c r="P491" s="6" t="s">
        <v>1043</v>
      </c>
      <c r="Q491" s="7">
        <v>44439.0</v>
      </c>
      <c r="R491" s="6" t="s">
        <v>625</v>
      </c>
      <c r="S491" s="5">
        <v>3.0</v>
      </c>
      <c r="T491" s="6" t="s">
        <v>33</v>
      </c>
      <c r="U491" s="5">
        <v>2.021083E7</v>
      </c>
      <c r="V491" s="5">
        <v>2.0210831E7</v>
      </c>
      <c r="W491" s="5">
        <v>29.6980006430001</v>
      </c>
      <c r="X491" s="5">
        <v>-95.3135429389999</v>
      </c>
    </row>
    <row r="492" ht="15.75" customHeight="1">
      <c r="A492" s="5">
        <v>11860.0</v>
      </c>
      <c r="B492" s="6">
        <v>2021.0</v>
      </c>
      <c r="C492" s="6" t="str">
        <f t="shared" si="1"/>
        <v>9670 WESTVIEW DR,Houston,Texas</v>
      </c>
      <c r="D492" s="6" t="s">
        <v>1044</v>
      </c>
      <c r="E492" s="6" t="s">
        <v>25</v>
      </c>
      <c r="F492" s="6" t="s">
        <v>26</v>
      </c>
      <c r="G492" s="6" t="s">
        <v>27</v>
      </c>
      <c r="H492" s="6" t="s">
        <v>28</v>
      </c>
      <c r="I492" s="6" t="str">
        <f>VLOOKUP(H492,'Flow Location'!$A$1:$B$21,2,FALSE)</f>
        <v>Storm Sewer (not contained)</v>
      </c>
      <c r="J492" s="5">
        <v>178.0</v>
      </c>
      <c r="K492" s="6" t="s">
        <v>29</v>
      </c>
      <c r="L492" s="6" t="str">
        <f>VLOOKUP(K492,'Structure type'!$A$1:$B$15,2,FALSE)</f>
        <v>Manhole</v>
      </c>
      <c r="M492" s="6" t="s">
        <v>30</v>
      </c>
      <c r="N492" s="6" t="str">
        <f>VLOOKUP(M492,'Excursion Cause'!$A$1:$B$34,2,FALSE)</f>
        <v>Grease Blockage</v>
      </c>
      <c r="O492" s="7">
        <v>44439.0</v>
      </c>
      <c r="P492" s="6" t="s">
        <v>121</v>
      </c>
      <c r="Q492" s="7">
        <v>44439.0</v>
      </c>
      <c r="R492" s="6" t="s">
        <v>438</v>
      </c>
      <c r="S492" s="5">
        <v>2.0</v>
      </c>
      <c r="T492" s="6" t="s">
        <v>59</v>
      </c>
      <c r="U492" s="5">
        <v>2.0210831E7</v>
      </c>
      <c r="V492" s="5">
        <v>2.0210831E7</v>
      </c>
      <c r="W492" s="5">
        <v>29.792980347</v>
      </c>
      <c r="X492" s="5">
        <v>-95.529082406</v>
      </c>
    </row>
    <row r="493" ht="15.75" customHeight="1">
      <c r="A493" s="5">
        <v>11863.0</v>
      </c>
      <c r="B493" s="6">
        <v>2021.0</v>
      </c>
      <c r="C493" s="6" t="str">
        <f t="shared" si="1"/>
        <v>2323 OAKDALE ST,Houston,Texas</v>
      </c>
      <c r="D493" s="6" t="s">
        <v>1045</v>
      </c>
      <c r="E493" s="6" t="s">
        <v>25</v>
      </c>
      <c r="F493" s="6" t="s">
        <v>26</v>
      </c>
      <c r="G493" s="6" t="s">
        <v>308</v>
      </c>
      <c r="H493" s="6" t="s">
        <v>50</v>
      </c>
      <c r="I493" s="6" t="str">
        <f>VLOOKUP(H493,'Flow Location'!$A$1:$B$21,2,FALSE)</f>
        <v>Contained On Site, not within 5 ft. of Bayou/Surface Water/Drainage Ditch</v>
      </c>
      <c r="J493" s="5">
        <v>0.0</v>
      </c>
      <c r="K493" s="6" t="s">
        <v>198</v>
      </c>
      <c r="L493" s="6" t="str">
        <f>VLOOKUP(K493,'Structure type'!$A$1:$B$15,2,FALSE)</f>
        <v>Service Lateral</v>
      </c>
      <c r="M493" s="6" t="s">
        <v>1046</v>
      </c>
      <c r="N493" s="6" t="str">
        <f>VLOOKUP(M493,'Excursion Cause'!$A$1:$B$34,2,FALSE)</f>
        <v>Vandalism</v>
      </c>
      <c r="O493" s="7">
        <v>44439.0</v>
      </c>
      <c r="P493" s="6" t="s">
        <v>1047</v>
      </c>
      <c r="Q493" s="7">
        <v>44439.0</v>
      </c>
      <c r="R493" s="6" t="s">
        <v>562</v>
      </c>
      <c r="S493" s="5">
        <v>0.0</v>
      </c>
      <c r="T493" s="6" t="s">
        <v>98</v>
      </c>
      <c r="U493" s="5">
        <v>2.0210831E7</v>
      </c>
      <c r="V493" s="5">
        <v>2.0210831E7</v>
      </c>
      <c r="W493" s="5">
        <v>29.7206031580001</v>
      </c>
      <c r="X493" s="5">
        <v>-95.3762353</v>
      </c>
    </row>
    <row r="494" ht="15.75" customHeight="1">
      <c r="A494" s="5">
        <v>11868.0</v>
      </c>
      <c r="B494" s="6">
        <v>2021.0</v>
      </c>
      <c r="C494" s="6" t="str">
        <f t="shared" si="1"/>
        <v>14913 RICHMOND AVE,Houston,Texas</v>
      </c>
      <c r="D494" s="6" t="s">
        <v>1048</v>
      </c>
      <c r="E494" s="6" t="s">
        <v>25</v>
      </c>
      <c r="F494" s="6" t="s">
        <v>26</v>
      </c>
      <c r="G494" s="6" t="s">
        <v>313</v>
      </c>
      <c r="H494" s="6" t="s">
        <v>50</v>
      </c>
      <c r="I494" s="6" t="str">
        <f>VLOOKUP(H494,'Flow Location'!$A$1:$B$21,2,FALSE)</f>
        <v>Contained On Site, not within 5 ft. of Bayou/Surface Water/Drainage Ditch</v>
      </c>
      <c r="J494" s="5">
        <v>186.0</v>
      </c>
      <c r="K494" s="6" t="s">
        <v>29</v>
      </c>
      <c r="L494" s="6" t="str">
        <f>VLOOKUP(K494,'Structure type'!$A$1:$B$15,2,FALSE)</f>
        <v>Manhole</v>
      </c>
      <c r="M494" s="6" t="s">
        <v>30</v>
      </c>
      <c r="N494" s="6" t="str">
        <f>VLOOKUP(M494,'Excursion Cause'!$A$1:$B$34,2,FALSE)</f>
        <v>Grease Blockage</v>
      </c>
      <c r="O494" s="8">
        <v>44205.0</v>
      </c>
      <c r="P494" s="9" t="s">
        <v>1002</v>
      </c>
      <c r="Q494" s="8">
        <v>44205.0</v>
      </c>
      <c r="R494" s="6" t="s">
        <v>1049</v>
      </c>
      <c r="S494" s="5">
        <v>1.0</v>
      </c>
      <c r="T494" s="6" t="s">
        <v>59</v>
      </c>
      <c r="U494" s="5">
        <v>2.0210109E7</v>
      </c>
      <c r="V494" s="5">
        <v>2.0210109E7</v>
      </c>
      <c r="W494" s="5">
        <v>29.726803084</v>
      </c>
      <c r="X494" s="5">
        <v>-95.651610743</v>
      </c>
    </row>
    <row r="495" ht="15.75" customHeight="1">
      <c r="A495" s="5">
        <v>11869.0</v>
      </c>
      <c r="B495" s="6">
        <v>2021.0</v>
      </c>
      <c r="C495" s="6" t="str">
        <f t="shared" si="1"/>
        <v>13514 HOLLYPARK DR,Houston,Texas</v>
      </c>
      <c r="D495" s="6" t="s">
        <v>1050</v>
      </c>
      <c r="E495" s="6" t="s">
        <v>25</v>
      </c>
      <c r="F495" s="6" t="s">
        <v>26</v>
      </c>
      <c r="G495" s="6" t="s">
        <v>623</v>
      </c>
      <c r="H495" s="6" t="s">
        <v>87</v>
      </c>
      <c r="I495" s="6" t="str">
        <f>VLOOKUP(H495,'Flow Location'!$A$1:$B$21,2,FALSE)</f>
        <v>Within 5 ft. of Bayou/Surface Water/Drainage Ditch</v>
      </c>
      <c r="J495" s="5">
        <v>0.0</v>
      </c>
      <c r="K495" s="6" t="s">
        <v>29</v>
      </c>
      <c r="L495" s="6" t="str">
        <f>VLOOKUP(K495,'Structure type'!$A$1:$B$15,2,FALSE)</f>
        <v>Manhole</v>
      </c>
      <c r="M495" s="6" t="s">
        <v>30</v>
      </c>
      <c r="N495" s="6" t="str">
        <f>VLOOKUP(M495,'Excursion Cause'!$A$1:$B$34,2,FALSE)</f>
        <v>Grease Blockage</v>
      </c>
      <c r="O495" s="8">
        <v>44205.0</v>
      </c>
      <c r="P495" s="9" t="s">
        <v>1051</v>
      </c>
      <c r="Q495" s="8">
        <v>44205.0</v>
      </c>
      <c r="R495" s="6" t="s">
        <v>1051</v>
      </c>
      <c r="S495" s="5">
        <v>0.0</v>
      </c>
      <c r="T495" s="6" t="s">
        <v>33</v>
      </c>
      <c r="U495" s="5">
        <v>2.0210109E7</v>
      </c>
      <c r="V495" s="5">
        <v>2.0210109E7</v>
      </c>
      <c r="W495" s="5">
        <v>29.789126138</v>
      </c>
      <c r="X495" s="5">
        <v>-95.184157703</v>
      </c>
    </row>
    <row r="496" ht="15.75" customHeight="1">
      <c r="A496" s="5">
        <v>11871.0</v>
      </c>
      <c r="B496" s="6">
        <v>2021.0</v>
      </c>
      <c r="C496" s="6" t="str">
        <f t="shared" si="1"/>
        <v>6730 AVENUE C,Houston,Texas</v>
      </c>
      <c r="D496" s="6" t="s">
        <v>1052</v>
      </c>
      <c r="E496" s="6" t="s">
        <v>25</v>
      </c>
      <c r="F496" s="6" t="s">
        <v>26</v>
      </c>
      <c r="G496" s="6" t="s">
        <v>227</v>
      </c>
      <c r="H496" s="6" t="s">
        <v>50</v>
      </c>
      <c r="I496" s="6" t="str">
        <f>VLOOKUP(H496,'Flow Location'!$A$1:$B$21,2,FALSE)</f>
        <v>Contained On Site, not within 5 ft. of Bayou/Surface Water/Drainage Ditch</v>
      </c>
      <c r="J496" s="5">
        <v>0.0</v>
      </c>
      <c r="K496" s="6" t="s">
        <v>45</v>
      </c>
      <c r="L496" s="6" t="str">
        <f>VLOOKUP(K496,'Structure type'!$A$1:$B$15,2,FALSE)</f>
        <v>City Cleanout</v>
      </c>
      <c r="M496" s="6" t="s">
        <v>56</v>
      </c>
      <c r="N496" s="6" t="str">
        <f>VLOOKUP(M496,'Excursion Cause'!$A$1:$B$34,2,FALSE)</f>
        <v>Rags/Wipes</v>
      </c>
      <c r="O496" s="8">
        <v>44236.0</v>
      </c>
      <c r="P496" s="9" t="s">
        <v>1053</v>
      </c>
      <c r="Q496" s="8">
        <v>44236.0</v>
      </c>
      <c r="R496" s="6" t="s">
        <v>1053</v>
      </c>
      <c r="S496" s="5">
        <v>0.0</v>
      </c>
      <c r="T496" s="6" t="s">
        <v>74</v>
      </c>
      <c r="U496" s="5">
        <v>2.0210209E7</v>
      </c>
      <c r="V496" s="5">
        <v>2.0210209E7</v>
      </c>
      <c r="W496" s="5">
        <v>29.7384853190001</v>
      </c>
      <c r="X496" s="5">
        <v>-95.306644298</v>
      </c>
    </row>
    <row r="497" ht="15.75" customHeight="1">
      <c r="A497" s="5">
        <v>11873.0</v>
      </c>
      <c r="B497" s="6">
        <v>2021.0</v>
      </c>
      <c r="C497" s="6" t="str">
        <f t="shared" si="1"/>
        <v>8625 WINKLER DR,Houston,Texas</v>
      </c>
      <c r="D497" s="6" t="s">
        <v>1054</v>
      </c>
      <c r="E497" s="6" t="s">
        <v>25</v>
      </c>
      <c r="F497" s="6" t="s">
        <v>26</v>
      </c>
      <c r="G497" s="6" t="s">
        <v>135</v>
      </c>
      <c r="H497" s="6" t="s">
        <v>28</v>
      </c>
      <c r="I497" s="6" t="str">
        <f>VLOOKUP(H497,'Flow Location'!$A$1:$B$21,2,FALSE)</f>
        <v>Storm Sewer (not contained)</v>
      </c>
      <c r="J497" s="5">
        <v>327.0</v>
      </c>
      <c r="K497" s="6" t="s">
        <v>29</v>
      </c>
      <c r="L497" s="6" t="str">
        <f>VLOOKUP(K497,'Structure type'!$A$1:$B$15,2,FALSE)</f>
        <v>Manhole</v>
      </c>
      <c r="M497" s="6" t="s">
        <v>30</v>
      </c>
      <c r="N497" s="6" t="str">
        <f>VLOOKUP(M497,'Excursion Cause'!$A$1:$B$34,2,FALSE)</f>
        <v>Grease Blockage</v>
      </c>
      <c r="O497" s="8">
        <v>44236.0</v>
      </c>
      <c r="P497" s="9" t="s">
        <v>1055</v>
      </c>
      <c r="Q497" s="8">
        <v>44236.0</v>
      </c>
      <c r="R497" s="6" t="s">
        <v>1056</v>
      </c>
      <c r="S497" s="5">
        <v>3.0</v>
      </c>
      <c r="T497" s="6" t="s">
        <v>33</v>
      </c>
      <c r="U497" s="5">
        <v>2.0210209E7</v>
      </c>
      <c r="V497" s="5">
        <v>2.0210209E7</v>
      </c>
      <c r="W497" s="5">
        <v>29.670708706</v>
      </c>
      <c r="X497" s="5">
        <v>-95.26079973</v>
      </c>
    </row>
    <row r="498" ht="15.75" customHeight="1">
      <c r="A498" s="5">
        <v>11874.0</v>
      </c>
      <c r="B498" s="6">
        <v>2021.0</v>
      </c>
      <c r="C498" s="6" t="str">
        <f t="shared" si="1"/>
        <v>8625 WINKLER DR,Houston,Texas</v>
      </c>
      <c r="D498" s="6" t="s">
        <v>1054</v>
      </c>
      <c r="E498" s="6" t="s">
        <v>25</v>
      </c>
      <c r="F498" s="6" t="s">
        <v>26</v>
      </c>
      <c r="G498" s="6" t="s">
        <v>135</v>
      </c>
      <c r="H498" s="6" t="s">
        <v>28</v>
      </c>
      <c r="I498" s="6" t="str">
        <f>VLOOKUP(H498,'Flow Location'!$A$1:$B$21,2,FALSE)</f>
        <v>Storm Sewer (not contained)</v>
      </c>
      <c r="J498" s="5">
        <v>327.0</v>
      </c>
      <c r="K498" s="6" t="s">
        <v>29</v>
      </c>
      <c r="L498" s="6" t="str">
        <f>VLOOKUP(K498,'Structure type'!$A$1:$B$15,2,FALSE)</f>
        <v>Manhole</v>
      </c>
      <c r="M498" s="6" t="s">
        <v>30</v>
      </c>
      <c r="N498" s="6" t="str">
        <f>VLOOKUP(M498,'Excursion Cause'!$A$1:$B$34,2,FALSE)</f>
        <v>Grease Blockage</v>
      </c>
      <c r="O498" s="8">
        <v>44236.0</v>
      </c>
      <c r="P498" s="9" t="s">
        <v>1055</v>
      </c>
      <c r="Q498" s="8">
        <v>44236.0</v>
      </c>
      <c r="R498" s="6" t="s">
        <v>1056</v>
      </c>
      <c r="S498" s="5">
        <v>3.0</v>
      </c>
      <c r="T498" s="6" t="s">
        <v>33</v>
      </c>
      <c r="U498" s="5">
        <v>2.0210209E7</v>
      </c>
      <c r="V498" s="5">
        <v>2.0210209E7</v>
      </c>
      <c r="W498" s="5">
        <v>29.670708706</v>
      </c>
      <c r="X498" s="5">
        <v>-95.26079973</v>
      </c>
    </row>
    <row r="499" ht="15.75" customHeight="1">
      <c r="A499" s="5">
        <v>11879.0</v>
      </c>
      <c r="B499" s="6">
        <v>2021.0</v>
      </c>
      <c r="C499" s="6" t="str">
        <f t="shared" si="1"/>
        <v>7819 HELMERS ST,Houston,Texas</v>
      </c>
      <c r="D499" s="6" t="s">
        <v>1057</v>
      </c>
      <c r="E499" s="6" t="s">
        <v>25</v>
      </c>
      <c r="F499" s="6" t="s">
        <v>26</v>
      </c>
      <c r="G499" s="6" t="s">
        <v>653</v>
      </c>
      <c r="H499" s="6" t="s">
        <v>50</v>
      </c>
      <c r="I499" s="6" t="str">
        <f>VLOOKUP(H499,'Flow Location'!$A$1:$B$21,2,FALSE)</f>
        <v>Contained On Site, not within 5 ft. of Bayou/Surface Water/Drainage Ditch</v>
      </c>
      <c r="J499" s="5">
        <v>0.0</v>
      </c>
      <c r="K499" s="6" t="s">
        <v>45</v>
      </c>
      <c r="L499" s="6" t="str">
        <f>VLOOKUP(K499,'Structure type'!$A$1:$B$15,2,FALSE)</f>
        <v>City Cleanout</v>
      </c>
      <c r="M499" s="6" t="s">
        <v>30</v>
      </c>
      <c r="N499" s="6" t="str">
        <f>VLOOKUP(M499,'Excursion Cause'!$A$1:$B$34,2,FALSE)</f>
        <v>Grease Blockage</v>
      </c>
      <c r="O499" s="8">
        <v>44264.0</v>
      </c>
      <c r="P499" s="9" t="s">
        <v>1027</v>
      </c>
      <c r="Q499" s="8">
        <v>44264.0</v>
      </c>
      <c r="R499" s="6" t="s">
        <v>1027</v>
      </c>
      <c r="S499" s="5">
        <v>0.0</v>
      </c>
      <c r="T499" s="6" t="s">
        <v>270</v>
      </c>
      <c r="U499" s="5">
        <v>2.0210309E7</v>
      </c>
      <c r="V499" s="5">
        <v>2.0210309E7</v>
      </c>
      <c r="W499" s="5">
        <v>29.833554458</v>
      </c>
      <c r="X499" s="5">
        <v>-95.3659305049999</v>
      </c>
    </row>
    <row r="500" ht="15.75" customHeight="1">
      <c r="A500" s="5">
        <v>11886.0</v>
      </c>
      <c r="B500" s="6">
        <v>2021.0</v>
      </c>
      <c r="C500" s="6" t="str">
        <f t="shared" si="1"/>
        <v>7966 HENSON ST,Houston,Texas</v>
      </c>
      <c r="D500" s="6" t="s">
        <v>1058</v>
      </c>
      <c r="E500" s="6" t="s">
        <v>25</v>
      </c>
      <c r="F500" s="6" t="s">
        <v>26</v>
      </c>
      <c r="G500" s="6" t="s">
        <v>177</v>
      </c>
      <c r="H500" s="6" t="s">
        <v>50</v>
      </c>
      <c r="I500" s="6" t="str">
        <f>VLOOKUP(H500,'Flow Location'!$A$1:$B$21,2,FALSE)</f>
        <v>Contained On Site, not within 5 ft. of Bayou/Surface Water/Drainage Ditch</v>
      </c>
      <c r="J500" s="5">
        <v>0.0</v>
      </c>
      <c r="K500" s="6" t="s">
        <v>45</v>
      </c>
      <c r="L500" s="6" t="str">
        <f>VLOOKUP(K500,'Structure type'!$A$1:$B$15,2,FALSE)</f>
        <v>City Cleanout</v>
      </c>
      <c r="M500" s="6" t="s">
        <v>56</v>
      </c>
      <c r="N500" s="6" t="str">
        <f>VLOOKUP(M500,'Excursion Cause'!$A$1:$B$34,2,FALSE)</f>
        <v>Rags/Wipes</v>
      </c>
      <c r="O500" s="8">
        <v>44295.0</v>
      </c>
      <c r="P500" s="9" t="s">
        <v>1059</v>
      </c>
      <c r="Q500" s="8">
        <v>44295.0</v>
      </c>
      <c r="R500" s="6" t="s">
        <v>1059</v>
      </c>
      <c r="S500" s="5">
        <v>0.0</v>
      </c>
      <c r="T500" s="6" t="s">
        <v>270</v>
      </c>
      <c r="U500" s="5">
        <v>2.0210409E7</v>
      </c>
      <c r="V500" s="5">
        <v>2.0210409E7</v>
      </c>
      <c r="W500" s="5">
        <v>29.823241791</v>
      </c>
      <c r="X500" s="5">
        <v>-95.281785634</v>
      </c>
    </row>
    <row r="501" ht="15.75" customHeight="1">
      <c r="A501" s="5">
        <v>11888.0</v>
      </c>
      <c r="B501" s="6">
        <v>2021.0</v>
      </c>
      <c r="C501" s="6" t="str">
        <f t="shared" si="1"/>
        <v>105 COSMOS ST,Houston,Texas</v>
      </c>
      <c r="D501" s="6" t="s">
        <v>1060</v>
      </c>
      <c r="E501" s="6" t="s">
        <v>25</v>
      </c>
      <c r="F501" s="6" t="s">
        <v>26</v>
      </c>
      <c r="G501" s="6" t="s">
        <v>161</v>
      </c>
      <c r="H501" s="6" t="s">
        <v>50</v>
      </c>
      <c r="I501" s="6" t="str">
        <f>VLOOKUP(H501,'Flow Location'!$A$1:$B$21,2,FALSE)</f>
        <v>Contained On Site, not within 5 ft. of Bayou/Surface Water/Drainage Ditch</v>
      </c>
      <c r="J501" s="5">
        <v>0.0</v>
      </c>
      <c r="K501" s="6" t="s">
        <v>198</v>
      </c>
      <c r="L501" s="6" t="str">
        <f>VLOOKUP(K501,'Structure type'!$A$1:$B$15,2,FALSE)</f>
        <v>Service Lateral</v>
      </c>
      <c r="M501" s="6" t="s">
        <v>81</v>
      </c>
      <c r="N501" s="6" t="str">
        <f>VLOOKUP(M501,'Excursion Cause'!$A$1:$B$34,2,FALSE)</f>
        <v>Collection system structural failure</v>
      </c>
      <c r="O501" s="8">
        <v>44325.0</v>
      </c>
      <c r="P501" s="9" t="s">
        <v>732</v>
      </c>
      <c r="Q501" s="8">
        <v>44325.0</v>
      </c>
      <c r="R501" s="6" t="s">
        <v>732</v>
      </c>
      <c r="S501" s="5">
        <v>0.0</v>
      </c>
      <c r="T501" s="6" t="s">
        <v>118</v>
      </c>
      <c r="U501" s="5">
        <v>2.0210509E7</v>
      </c>
      <c r="V501" s="5">
        <v>2.0210509E7</v>
      </c>
      <c r="W501" s="5">
        <v>29.7875002170001</v>
      </c>
      <c r="X501" s="5">
        <v>-95.367860354</v>
      </c>
    </row>
    <row r="502" ht="15.75" customHeight="1">
      <c r="A502" s="5">
        <v>11894.0</v>
      </c>
      <c r="B502" s="6">
        <v>2021.0</v>
      </c>
      <c r="C502" s="6" t="str">
        <f t="shared" si="1"/>
        <v>617 WARNER ST,Houston,Texas</v>
      </c>
      <c r="D502" s="6" t="s">
        <v>1061</v>
      </c>
      <c r="E502" s="6" t="s">
        <v>25</v>
      </c>
      <c r="F502" s="6" t="s">
        <v>26</v>
      </c>
      <c r="G502" s="6" t="s">
        <v>653</v>
      </c>
      <c r="H502" s="6" t="s">
        <v>50</v>
      </c>
      <c r="I502" s="6" t="str">
        <f>VLOOKUP(H502,'Flow Location'!$A$1:$B$21,2,FALSE)</f>
        <v>Contained On Site, not within 5 ft. of Bayou/Surface Water/Drainage Ditch</v>
      </c>
      <c r="J502" s="5">
        <v>987.0</v>
      </c>
      <c r="K502" s="6" t="s">
        <v>29</v>
      </c>
      <c r="L502" s="6" t="str">
        <f>VLOOKUP(K502,'Structure type'!$A$1:$B$15,2,FALSE)</f>
        <v>Manhole</v>
      </c>
      <c r="M502" s="6" t="s">
        <v>30</v>
      </c>
      <c r="N502" s="6" t="str">
        <f>VLOOKUP(M502,'Excursion Cause'!$A$1:$B$34,2,FALSE)</f>
        <v>Grease Blockage</v>
      </c>
      <c r="O502" s="8">
        <v>44386.0</v>
      </c>
      <c r="P502" s="9" t="s">
        <v>1062</v>
      </c>
      <c r="Q502" s="8">
        <v>44386.0</v>
      </c>
      <c r="R502" s="6" t="s">
        <v>1063</v>
      </c>
      <c r="S502" s="5">
        <v>3.0</v>
      </c>
      <c r="T502" s="6" t="s">
        <v>59</v>
      </c>
      <c r="U502" s="5">
        <v>2.0210709E7</v>
      </c>
      <c r="V502" s="5">
        <v>2.0210709E7</v>
      </c>
      <c r="W502" s="5">
        <v>29.8407481840001</v>
      </c>
      <c r="X502" s="5">
        <v>-95.3667298029999</v>
      </c>
    </row>
    <row r="503" ht="15.75" customHeight="1">
      <c r="A503" s="5">
        <v>11896.0</v>
      </c>
      <c r="B503" s="6">
        <v>2021.0</v>
      </c>
      <c r="C503" s="6" t="str">
        <f t="shared" si="1"/>
        <v>6454 ELLA LEE LN,Houston,Texas</v>
      </c>
      <c r="D503" s="6" t="s">
        <v>1064</v>
      </c>
      <c r="E503" s="6" t="s">
        <v>25</v>
      </c>
      <c r="F503" s="6" t="s">
        <v>26</v>
      </c>
      <c r="G503" s="6" t="s">
        <v>689</v>
      </c>
      <c r="H503" s="6" t="s">
        <v>28</v>
      </c>
      <c r="I503" s="6" t="str">
        <f>VLOOKUP(H503,'Flow Location'!$A$1:$B$21,2,FALSE)</f>
        <v>Storm Sewer (not contained)</v>
      </c>
      <c r="J503" s="5">
        <v>242.0</v>
      </c>
      <c r="K503" s="6" t="s">
        <v>29</v>
      </c>
      <c r="L503" s="6" t="str">
        <f>VLOOKUP(K503,'Structure type'!$A$1:$B$15,2,FALSE)</f>
        <v>Manhole</v>
      </c>
      <c r="M503" s="6" t="s">
        <v>30</v>
      </c>
      <c r="N503" s="6" t="str">
        <f>VLOOKUP(M503,'Excursion Cause'!$A$1:$B$34,2,FALSE)</f>
        <v>Grease Blockage</v>
      </c>
      <c r="O503" s="8">
        <v>44386.0</v>
      </c>
      <c r="P503" s="9" t="s">
        <v>1065</v>
      </c>
      <c r="Q503" s="8">
        <v>44386.0</v>
      </c>
      <c r="R503" s="6" t="s">
        <v>515</v>
      </c>
      <c r="S503" s="5">
        <v>2.0</v>
      </c>
      <c r="T503" s="6" t="s">
        <v>59</v>
      </c>
      <c r="U503" s="5">
        <v>2.0210709E7</v>
      </c>
      <c r="V503" s="5">
        <v>2.0210709E7</v>
      </c>
      <c r="W503" s="5">
        <v>29.7409296920001</v>
      </c>
      <c r="X503" s="5">
        <v>-95.49829928</v>
      </c>
    </row>
    <row r="504" ht="15.75" customHeight="1">
      <c r="A504" s="5">
        <v>11900.0</v>
      </c>
      <c r="B504" s="6">
        <v>2021.0</v>
      </c>
      <c r="C504" s="6" t="str">
        <f t="shared" si="1"/>
        <v>6398 W BELLFORT AVE,Houston,Texas</v>
      </c>
      <c r="D504" s="6" t="s">
        <v>1066</v>
      </c>
      <c r="E504" s="6" t="s">
        <v>25</v>
      </c>
      <c r="F504" s="6" t="s">
        <v>26</v>
      </c>
      <c r="G504" s="6" t="s">
        <v>127</v>
      </c>
      <c r="H504" s="6" t="s">
        <v>28</v>
      </c>
      <c r="I504" s="6" t="str">
        <f>VLOOKUP(H504,'Flow Location'!$A$1:$B$21,2,FALSE)</f>
        <v>Storm Sewer (not contained)</v>
      </c>
      <c r="J504" s="5">
        <v>734.0</v>
      </c>
      <c r="K504" s="6" t="s">
        <v>29</v>
      </c>
      <c r="L504" s="6" t="str">
        <f>VLOOKUP(K504,'Structure type'!$A$1:$B$15,2,FALSE)</f>
        <v>Manhole</v>
      </c>
      <c r="M504" s="6" t="s">
        <v>30</v>
      </c>
      <c r="N504" s="6" t="str">
        <f>VLOOKUP(M504,'Excursion Cause'!$A$1:$B$34,2,FALSE)</f>
        <v>Grease Blockage</v>
      </c>
      <c r="O504" s="8">
        <v>44386.0</v>
      </c>
      <c r="P504" s="9" t="s">
        <v>1067</v>
      </c>
      <c r="Q504" s="8">
        <v>44386.0</v>
      </c>
      <c r="R504" s="6" t="s">
        <v>676</v>
      </c>
      <c r="S504" s="5">
        <v>3.0</v>
      </c>
      <c r="T504" s="6" t="s">
        <v>59</v>
      </c>
      <c r="U504" s="5">
        <v>2.0210709E7</v>
      </c>
      <c r="V504" s="5">
        <v>2.0210709E7</v>
      </c>
      <c r="W504" s="5">
        <v>29.6562229790001</v>
      </c>
      <c r="X504" s="5">
        <v>-95.50326125</v>
      </c>
    </row>
    <row r="505" ht="15.75" customHeight="1">
      <c r="A505" s="5">
        <v>11904.0</v>
      </c>
      <c r="B505" s="6">
        <v>2021.0</v>
      </c>
      <c r="C505" s="6" t="str">
        <f t="shared" si="1"/>
        <v>207 HOHLDALE ST,Houston,Texas</v>
      </c>
      <c r="D505" s="6" t="s">
        <v>1068</v>
      </c>
      <c r="E505" s="6" t="s">
        <v>25</v>
      </c>
      <c r="F505" s="6" t="s">
        <v>26</v>
      </c>
      <c r="G505" s="6" t="s">
        <v>653</v>
      </c>
      <c r="H505" s="6" t="s">
        <v>28</v>
      </c>
      <c r="I505" s="6" t="str">
        <f>VLOOKUP(H505,'Flow Location'!$A$1:$B$21,2,FALSE)</f>
        <v>Storm Sewer (not contained)</v>
      </c>
      <c r="J505" s="5">
        <v>0.0</v>
      </c>
      <c r="K505" s="6" t="s">
        <v>29</v>
      </c>
      <c r="L505" s="6" t="str">
        <f>VLOOKUP(K505,'Structure type'!$A$1:$B$15,2,FALSE)</f>
        <v>Manhole</v>
      </c>
      <c r="M505" s="6" t="s">
        <v>30</v>
      </c>
      <c r="N505" s="6" t="str">
        <f>VLOOKUP(M505,'Excursion Cause'!$A$1:$B$34,2,FALSE)</f>
        <v>Grease Blockage</v>
      </c>
      <c r="O505" s="8">
        <v>44386.0</v>
      </c>
      <c r="P505" s="9" t="s">
        <v>1069</v>
      </c>
      <c r="Q505" s="8">
        <v>44386.0</v>
      </c>
      <c r="R505" s="6" t="s">
        <v>1069</v>
      </c>
      <c r="S505" s="5">
        <v>0.0</v>
      </c>
      <c r="T505" s="6" t="s">
        <v>33</v>
      </c>
      <c r="U505" s="5">
        <v>2.0210709E7</v>
      </c>
      <c r="V505" s="5">
        <v>2.0210709E7</v>
      </c>
      <c r="W505" s="5">
        <v>29.841903127</v>
      </c>
      <c r="X505" s="5">
        <v>-95.4001387279999</v>
      </c>
    </row>
    <row r="506" ht="15.75" customHeight="1">
      <c r="A506" s="5">
        <v>11906.0</v>
      </c>
      <c r="B506" s="6">
        <v>2021.0</v>
      </c>
      <c r="C506" s="6" t="str">
        <f t="shared" si="1"/>
        <v>3123 ASHFORD BEND DR,Houston,Texas</v>
      </c>
      <c r="D506" s="6" t="s">
        <v>1070</v>
      </c>
      <c r="E506" s="6" t="s">
        <v>25</v>
      </c>
      <c r="F506" s="6" t="s">
        <v>26</v>
      </c>
      <c r="G506" s="6" t="s">
        <v>313</v>
      </c>
      <c r="H506" s="6" t="s">
        <v>50</v>
      </c>
      <c r="I506" s="6" t="str">
        <f>VLOOKUP(H506,'Flow Location'!$A$1:$B$21,2,FALSE)</f>
        <v>Contained On Site, not within 5 ft. of Bayou/Surface Water/Drainage Ditch</v>
      </c>
      <c r="J506" s="5">
        <v>0.0</v>
      </c>
      <c r="K506" s="6" t="s">
        <v>29</v>
      </c>
      <c r="L506" s="6" t="str">
        <f>VLOOKUP(K506,'Structure type'!$A$1:$B$15,2,FALSE)</f>
        <v>Manhole</v>
      </c>
      <c r="M506" s="6" t="s">
        <v>30</v>
      </c>
      <c r="N506" s="6" t="str">
        <f>VLOOKUP(M506,'Excursion Cause'!$A$1:$B$34,2,FALSE)</f>
        <v>Grease Blockage</v>
      </c>
      <c r="O506" s="8">
        <v>44417.0</v>
      </c>
      <c r="P506" s="9" t="s">
        <v>1071</v>
      </c>
      <c r="Q506" s="8">
        <v>44417.0</v>
      </c>
      <c r="R506" s="6" t="s">
        <v>1071</v>
      </c>
      <c r="S506" s="5">
        <v>0.0</v>
      </c>
      <c r="T506" s="6" t="s">
        <v>33</v>
      </c>
      <c r="U506" s="5">
        <v>2.0210809E7</v>
      </c>
      <c r="V506" s="5">
        <v>2.0210809E7</v>
      </c>
      <c r="W506" s="5">
        <v>29.729562322</v>
      </c>
      <c r="X506" s="5">
        <v>-95.612683257</v>
      </c>
    </row>
    <row r="507" ht="15.75" customHeight="1">
      <c r="A507" s="5">
        <v>11914.0</v>
      </c>
      <c r="B507" s="6">
        <v>2021.0</v>
      </c>
      <c r="C507" s="6" t="str">
        <f t="shared" si="1"/>
        <v>3500 AUDUBON PL,Houston,Texas</v>
      </c>
      <c r="D507" s="6" t="s">
        <v>1072</v>
      </c>
      <c r="E507" s="6" t="s">
        <v>25</v>
      </c>
      <c r="F507" s="6" t="s">
        <v>26</v>
      </c>
      <c r="G507" s="6" t="s">
        <v>761</v>
      </c>
      <c r="H507" s="6" t="s">
        <v>50</v>
      </c>
      <c r="I507" s="6" t="str">
        <f>VLOOKUP(H507,'Flow Location'!$A$1:$B$21,2,FALSE)</f>
        <v>Contained On Site, not within 5 ft. of Bayou/Surface Water/Drainage Ditch</v>
      </c>
      <c r="J507" s="5">
        <v>0.0</v>
      </c>
      <c r="K507" s="6" t="s">
        <v>45</v>
      </c>
      <c r="L507" s="6" t="str">
        <f>VLOOKUP(K507,'Structure type'!$A$1:$B$15,2,FALSE)</f>
        <v>City Cleanout</v>
      </c>
      <c r="M507" s="6" t="s">
        <v>30</v>
      </c>
      <c r="N507" s="6" t="str">
        <f>VLOOKUP(M507,'Excursion Cause'!$A$1:$B$34,2,FALSE)</f>
        <v>Grease Blockage</v>
      </c>
      <c r="O507" s="8">
        <v>44417.0</v>
      </c>
      <c r="P507" s="9" t="s">
        <v>133</v>
      </c>
      <c r="Q507" s="8">
        <v>44417.0</v>
      </c>
      <c r="R507" s="6" t="s">
        <v>133</v>
      </c>
      <c r="S507" s="5">
        <v>0.0</v>
      </c>
      <c r="T507" s="6" t="s">
        <v>270</v>
      </c>
      <c r="U507" s="5">
        <v>2.0210809E7</v>
      </c>
      <c r="V507" s="5">
        <v>2.0210809E7</v>
      </c>
      <c r="W507" s="5">
        <v>29.741226956</v>
      </c>
      <c r="X507" s="5">
        <v>-95.386603715</v>
      </c>
    </row>
    <row r="508" ht="15.75" customHeight="1">
      <c r="A508" s="5">
        <v>11919.0</v>
      </c>
      <c r="B508" s="6">
        <v>2021.0</v>
      </c>
      <c r="C508" s="6" t="str">
        <f t="shared" si="1"/>
        <v>2401 MILWAUKEE ST,Houston,Texas</v>
      </c>
      <c r="D508" s="6" t="s">
        <v>1073</v>
      </c>
      <c r="E508" s="6" t="s">
        <v>25</v>
      </c>
      <c r="F508" s="6" t="s">
        <v>26</v>
      </c>
      <c r="G508" s="6" t="s">
        <v>43</v>
      </c>
      <c r="H508" s="6" t="s">
        <v>50</v>
      </c>
      <c r="I508" s="6" t="str">
        <f>VLOOKUP(H508,'Flow Location'!$A$1:$B$21,2,FALSE)</f>
        <v>Contained On Site, not within 5 ft. of Bayou/Surface Water/Drainage Ditch</v>
      </c>
      <c r="J508" s="5">
        <v>0.0</v>
      </c>
      <c r="K508" s="6" t="s">
        <v>45</v>
      </c>
      <c r="L508" s="6" t="str">
        <f>VLOOKUP(K508,'Structure type'!$A$1:$B$15,2,FALSE)</f>
        <v>City Cleanout</v>
      </c>
      <c r="M508" s="6" t="s">
        <v>56</v>
      </c>
      <c r="N508" s="6" t="str">
        <f>VLOOKUP(M508,'Excursion Cause'!$A$1:$B$34,2,FALSE)</f>
        <v>Rags/Wipes</v>
      </c>
      <c r="O508" s="7">
        <v>44448.0</v>
      </c>
      <c r="P508" s="6" t="s">
        <v>625</v>
      </c>
      <c r="Q508" s="7">
        <v>44448.0</v>
      </c>
      <c r="R508" s="6" t="s">
        <v>625</v>
      </c>
      <c r="S508" s="5">
        <v>0.0</v>
      </c>
      <c r="T508" s="6" t="s">
        <v>270</v>
      </c>
      <c r="U508" s="5">
        <v>2.0210909E7</v>
      </c>
      <c r="V508" s="5">
        <v>2.0210909E7</v>
      </c>
      <c r="W508" s="5">
        <v>29.809492947</v>
      </c>
      <c r="X508" s="5">
        <v>-95.3479824189999</v>
      </c>
    </row>
    <row r="509" ht="15.75" customHeight="1">
      <c r="A509" s="5">
        <v>11924.0</v>
      </c>
      <c r="B509" s="6">
        <v>2021.0</v>
      </c>
      <c r="C509" s="6" t="str">
        <f t="shared" si="1"/>
        <v>8804 SURRY ST,Houston,Texas</v>
      </c>
      <c r="D509" s="6" t="s">
        <v>1074</v>
      </c>
      <c r="E509" s="6" t="s">
        <v>25</v>
      </c>
      <c r="F509" s="6" t="s">
        <v>26</v>
      </c>
      <c r="G509" s="6" t="s">
        <v>177</v>
      </c>
      <c r="H509" s="6" t="s">
        <v>50</v>
      </c>
      <c r="I509" s="6" t="str">
        <f>VLOOKUP(H509,'Flow Location'!$A$1:$B$21,2,FALSE)</f>
        <v>Contained On Site, not within 5 ft. of Bayou/Surface Water/Drainage Ditch</v>
      </c>
      <c r="J509" s="5">
        <v>0.0</v>
      </c>
      <c r="K509" s="6" t="s">
        <v>45</v>
      </c>
      <c r="L509" s="6" t="str">
        <f>VLOOKUP(K509,'Structure type'!$A$1:$B$15,2,FALSE)</f>
        <v>City Cleanout</v>
      </c>
      <c r="M509" s="6" t="s">
        <v>30</v>
      </c>
      <c r="N509" s="6" t="str">
        <f>VLOOKUP(M509,'Excursion Cause'!$A$1:$B$34,2,FALSE)</f>
        <v>Grease Blockage</v>
      </c>
      <c r="O509" s="8">
        <v>44478.0</v>
      </c>
      <c r="P509" s="9" t="s">
        <v>442</v>
      </c>
      <c r="Q509" s="8">
        <v>44478.0</v>
      </c>
      <c r="R509" s="6" t="s">
        <v>442</v>
      </c>
      <c r="S509" s="5">
        <v>0.0</v>
      </c>
      <c r="T509" s="6" t="s">
        <v>89</v>
      </c>
      <c r="U509" s="5">
        <v>2.0211009E7</v>
      </c>
      <c r="V509" s="5">
        <v>2.0211009E7</v>
      </c>
      <c r="W509" s="5">
        <v>29.8421930150001</v>
      </c>
      <c r="X509" s="5">
        <v>-95.264042521</v>
      </c>
    </row>
    <row r="510" ht="15.75" customHeight="1">
      <c r="A510" s="5">
        <v>11927.0</v>
      </c>
      <c r="B510" s="6">
        <v>2021.0</v>
      </c>
      <c r="C510" s="6" t="str">
        <f t="shared" si="1"/>
        <v>14366 MEMORIAL DR,Houston,Texas</v>
      </c>
      <c r="D510" s="6" t="s">
        <v>1075</v>
      </c>
      <c r="E510" s="6" t="s">
        <v>25</v>
      </c>
      <c r="F510" s="6" t="s">
        <v>26</v>
      </c>
      <c r="G510" s="6" t="s">
        <v>520</v>
      </c>
      <c r="H510" s="6" t="s">
        <v>28</v>
      </c>
      <c r="I510" s="6" t="str">
        <f>VLOOKUP(H510,'Flow Location'!$A$1:$B$21,2,FALSE)</f>
        <v>Storm Sewer (not contained)</v>
      </c>
      <c r="J510" s="5">
        <v>8.0</v>
      </c>
      <c r="K510" s="6" t="s">
        <v>198</v>
      </c>
      <c r="L510" s="6" t="str">
        <f>VLOOKUP(K510,'Structure type'!$A$1:$B$15,2,FALSE)</f>
        <v>Service Lateral</v>
      </c>
      <c r="M510" s="6" t="s">
        <v>81</v>
      </c>
      <c r="N510" s="6" t="str">
        <f>VLOOKUP(M510,'Excursion Cause'!$A$1:$B$34,2,FALSE)</f>
        <v>Collection system structural failure</v>
      </c>
      <c r="O510" s="8">
        <v>44478.0</v>
      </c>
      <c r="P510" s="9" t="s">
        <v>113</v>
      </c>
      <c r="Q510" s="8">
        <v>44478.0</v>
      </c>
      <c r="R510" s="6" t="s">
        <v>1076</v>
      </c>
      <c r="S510" s="5">
        <v>0.0</v>
      </c>
      <c r="T510" s="6" t="s">
        <v>54</v>
      </c>
      <c r="U510" s="5">
        <v>2.0211009E7</v>
      </c>
      <c r="V510" s="5">
        <v>2.0211009E7</v>
      </c>
      <c r="W510" s="5">
        <v>29.7702275030001</v>
      </c>
      <c r="X510" s="5">
        <v>-95.599423002</v>
      </c>
    </row>
    <row r="511" ht="15.75" customHeight="1">
      <c r="A511" s="5">
        <v>11928.0</v>
      </c>
      <c r="B511" s="6">
        <v>2021.0</v>
      </c>
      <c r="C511" s="6" t="str">
        <f t="shared" si="1"/>
        <v>2019 LAKE VILLAGE DR,Houston,Texas</v>
      </c>
      <c r="D511" s="6" t="s">
        <v>1077</v>
      </c>
      <c r="E511" s="6" t="s">
        <v>25</v>
      </c>
      <c r="F511" s="6" t="s">
        <v>26</v>
      </c>
      <c r="G511" s="6" t="s">
        <v>1078</v>
      </c>
      <c r="H511" s="6" t="s">
        <v>50</v>
      </c>
      <c r="I511" s="6" t="str">
        <f>VLOOKUP(H511,'Flow Location'!$A$1:$B$21,2,FALSE)</f>
        <v>Contained On Site, not within 5 ft. of Bayou/Surface Water/Drainage Ditch</v>
      </c>
      <c r="J511" s="5">
        <v>4.8</v>
      </c>
      <c r="K511" s="6" t="s">
        <v>290</v>
      </c>
      <c r="L511" s="6" t="str">
        <f>VLOOKUP(K511,'Structure type'!$A$1:$B$15,2,FALSE)</f>
        <v>Gravity Main</v>
      </c>
      <c r="M511" s="6" t="s">
        <v>81</v>
      </c>
      <c r="N511" s="6" t="str">
        <f>VLOOKUP(M511,'Excursion Cause'!$A$1:$B$34,2,FALSE)</f>
        <v>Collection system structural failure</v>
      </c>
      <c r="O511" s="8">
        <v>44478.0</v>
      </c>
      <c r="P511" s="9" t="s">
        <v>1079</v>
      </c>
      <c r="Q511" s="8">
        <v>44478.0</v>
      </c>
      <c r="R511" s="6" t="s">
        <v>801</v>
      </c>
      <c r="S511" s="5">
        <v>0.0</v>
      </c>
      <c r="T511" s="6" t="s">
        <v>354</v>
      </c>
      <c r="U511" s="5">
        <v>2.0211009E7</v>
      </c>
      <c r="V511" s="5">
        <v>2.0211009E7</v>
      </c>
      <c r="W511" s="5">
        <v>30.0438062010001</v>
      </c>
      <c r="X511" s="5">
        <v>-95.223660942</v>
      </c>
    </row>
    <row r="512" ht="15.75" customHeight="1">
      <c r="A512" s="5">
        <v>11929.0</v>
      </c>
      <c r="B512" s="6">
        <v>2021.0</v>
      </c>
      <c r="C512" s="6" t="str">
        <f t="shared" si="1"/>
        <v>5802 SPRUCE FOREST DR,Houston,Texas</v>
      </c>
      <c r="D512" s="6" t="s">
        <v>1080</v>
      </c>
      <c r="E512" s="6" t="s">
        <v>25</v>
      </c>
      <c r="F512" s="6" t="s">
        <v>26</v>
      </c>
      <c r="G512" s="6" t="s">
        <v>76</v>
      </c>
      <c r="H512" s="6" t="s">
        <v>50</v>
      </c>
      <c r="I512" s="6" t="str">
        <f>VLOOKUP(H512,'Flow Location'!$A$1:$B$21,2,FALSE)</f>
        <v>Contained On Site, not within 5 ft. of Bayou/Surface Water/Drainage Ditch</v>
      </c>
      <c r="J512" s="5">
        <v>0.0</v>
      </c>
      <c r="K512" s="6" t="s">
        <v>29</v>
      </c>
      <c r="L512" s="6" t="str">
        <f>VLOOKUP(K512,'Structure type'!$A$1:$B$15,2,FALSE)</f>
        <v>Manhole</v>
      </c>
      <c r="M512" s="6" t="s">
        <v>30</v>
      </c>
      <c r="N512" s="6" t="str">
        <f>VLOOKUP(M512,'Excursion Cause'!$A$1:$B$34,2,FALSE)</f>
        <v>Grease Blockage</v>
      </c>
      <c r="O512" s="8">
        <v>44478.0</v>
      </c>
      <c r="P512" s="9" t="s">
        <v>1031</v>
      </c>
      <c r="Q512" s="8">
        <v>44478.0</v>
      </c>
      <c r="R512" s="6" t="s">
        <v>1031</v>
      </c>
      <c r="S512" s="5">
        <v>0.0</v>
      </c>
      <c r="T512" s="6" t="s">
        <v>59</v>
      </c>
      <c r="U512" s="5">
        <v>2.0211009E7</v>
      </c>
      <c r="V512" s="5">
        <v>2.0211009E7</v>
      </c>
      <c r="W512" s="5">
        <v>29.844440245</v>
      </c>
      <c r="X512" s="5">
        <v>-95.474994823</v>
      </c>
    </row>
    <row r="513" ht="15.75" customHeight="1">
      <c r="A513" s="5">
        <v>11934.0</v>
      </c>
      <c r="B513" s="6">
        <v>2021.0</v>
      </c>
      <c r="C513" s="6" t="str">
        <f t="shared" si="1"/>
        <v>5200 SCOTT ST,Houston,Texas</v>
      </c>
      <c r="D513" s="6" t="s">
        <v>1081</v>
      </c>
      <c r="E513" s="6" t="s">
        <v>25</v>
      </c>
      <c r="F513" s="6" t="s">
        <v>26</v>
      </c>
      <c r="G513" s="6" t="s">
        <v>308</v>
      </c>
      <c r="H513" s="6" t="s">
        <v>28</v>
      </c>
      <c r="I513" s="6" t="str">
        <f>VLOOKUP(H513,'Flow Location'!$A$1:$B$21,2,FALSE)</f>
        <v>Storm Sewer (not contained)</v>
      </c>
      <c r="J513" s="5">
        <v>654.0</v>
      </c>
      <c r="K513" s="6" t="s">
        <v>29</v>
      </c>
      <c r="L513" s="6" t="str">
        <f>VLOOKUP(K513,'Structure type'!$A$1:$B$15,2,FALSE)</f>
        <v>Manhole</v>
      </c>
      <c r="M513" s="6" t="s">
        <v>52</v>
      </c>
      <c r="N513" s="6" t="str">
        <f>VLOOKUP(M513,'Excursion Cause'!$A$1:$B$34,2,FALSE)</f>
        <v>Collection system structural blockage</v>
      </c>
      <c r="O513" s="8">
        <v>44509.0</v>
      </c>
      <c r="P513" s="9" t="s">
        <v>402</v>
      </c>
      <c r="Q513" s="8">
        <v>44509.0</v>
      </c>
      <c r="R513" s="6" t="s">
        <v>1082</v>
      </c>
      <c r="S513" s="5">
        <v>1.0</v>
      </c>
      <c r="T513" s="6" t="s">
        <v>1083</v>
      </c>
      <c r="U513" s="5">
        <v>2.0211109E7</v>
      </c>
      <c r="V513" s="5">
        <v>2.0211109E7</v>
      </c>
      <c r="W513" s="5">
        <v>29.712490942</v>
      </c>
      <c r="X513" s="5">
        <v>-95.355612118</v>
      </c>
    </row>
    <row r="514" ht="15.75" customHeight="1">
      <c r="A514" s="5">
        <v>11944.0</v>
      </c>
      <c r="B514" s="6">
        <v>2021.0</v>
      </c>
      <c r="C514" s="6" t="str">
        <f t="shared" si="1"/>
        <v>1406 VERMONT ST,Houston,Texas</v>
      </c>
      <c r="D514" s="6" t="s">
        <v>1084</v>
      </c>
      <c r="E514" s="6" t="s">
        <v>25</v>
      </c>
      <c r="F514" s="6" t="s">
        <v>26</v>
      </c>
      <c r="G514" s="6" t="s">
        <v>761</v>
      </c>
      <c r="H514" s="6" t="s">
        <v>50</v>
      </c>
      <c r="I514" s="6" t="str">
        <f>VLOOKUP(H514,'Flow Location'!$A$1:$B$21,2,FALSE)</f>
        <v>Contained On Site, not within 5 ft. of Bayou/Surface Water/Drainage Ditch</v>
      </c>
      <c r="J514" s="5">
        <v>0.0</v>
      </c>
      <c r="K514" s="6" t="s">
        <v>29</v>
      </c>
      <c r="L514" s="6" t="str">
        <f>VLOOKUP(K514,'Structure type'!$A$1:$B$15,2,FALSE)</f>
        <v>Manhole</v>
      </c>
      <c r="M514" s="6" t="s">
        <v>30</v>
      </c>
      <c r="N514" s="6" t="str">
        <f>VLOOKUP(M514,'Excursion Cause'!$A$1:$B$34,2,FALSE)</f>
        <v>Grease Blockage</v>
      </c>
      <c r="O514" s="8">
        <v>44509.0</v>
      </c>
      <c r="P514" s="9" t="s">
        <v>848</v>
      </c>
      <c r="Q514" s="8">
        <v>44509.0</v>
      </c>
      <c r="R514" s="6" t="s">
        <v>848</v>
      </c>
      <c r="S514" s="5">
        <v>0.0</v>
      </c>
      <c r="T514" s="6" t="s">
        <v>59</v>
      </c>
      <c r="U514" s="5">
        <v>2.0211109E7</v>
      </c>
      <c r="V514" s="5">
        <v>2.0211109E7</v>
      </c>
      <c r="W514" s="5">
        <v>29.7507602810001</v>
      </c>
      <c r="X514" s="5">
        <v>-95.397563388</v>
      </c>
    </row>
    <row r="515" ht="15.75" customHeight="1">
      <c r="A515" s="5">
        <v>11946.0</v>
      </c>
      <c r="B515" s="6">
        <v>2021.0</v>
      </c>
      <c r="C515" s="6" t="str">
        <f t="shared" si="1"/>
        <v>3311 ABERDEEN WAY,Houston,Texas</v>
      </c>
      <c r="D515" s="6" t="s">
        <v>1085</v>
      </c>
      <c r="E515" s="6" t="s">
        <v>25</v>
      </c>
      <c r="F515" s="6" t="s">
        <v>26</v>
      </c>
      <c r="G515" s="6" t="s">
        <v>65</v>
      </c>
      <c r="H515" s="6" t="s">
        <v>50</v>
      </c>
      <c r="I515" s="6" t="str">
        <f>VLOOKUP(H515,'Flow Location'!$A$1:$B$21,2,FALSE)</f>
        <v>Contained On Site, not within 5 ft. of Bayou/Surface Water/Drainage Ditch</v>
      </c>
      <c r="J515" s="5">
        <v>223.0</v>
      </c>
      <c r="K515" s="6" t="s">
        <v>29</v>
      </c>
      <c r="L515" s="6" t="str">
        <f>VLOOKUP(K515,'Structure type'!$A$1:$B$15,2,FALSE)</f>
        <v>Manhole</v>
      </c>
      <c r="M515" s="6" t="s">
        <v>52</v>
      </c>
      <c r="N515" s="6" t="str">
        <f>VLOOKUP(M515,'Excursion Cause'!$A$1:$B$34,2,FALSE)</f>
        <v>Collection system structural blockage</v>
      </c>
      <c r="O515" s="8">
        <v>44509.0</v>
      </c>
      <c r="P515" s="9" t="s">
        <v>239</v>
      </c>
      <c r="Q515" s="8">
        <v>44509.0</v>
      </c>
      <c r="R515" s="6" t="s">
        <v>1086</v>
      </c>
      <c r="S515" s="5">
        <v>1.0</v>
      </c>
      <c r="T515" s="6" t="s">
        <v>474</v>
      </c>
      <c r="U515" s="5">
        <v>2.0211109E7</v>
      </c>
      <c r="V515" s="5">
        <v>2.0211109E7</v>
      </c>
      <c r="W515" s="5">
        <v>29.6982856700001</v>
      </c>
      <c r="X515" s="5">
        <v>-95.428855045</v>
      </c>
    </row>
    <row r="516" ht="15.75" customHeight="1">
      <c r="A516" s="5">
        <v>11953.0</v>
      </c>
      <c r="B516" s="6">
        <v>2021.0</v>
      </c>
      <c r="C516" s="6" t="str">
        <f t="shared" si="1"/>
        <v>910 REDWOOD ST,Houston,Texas</v>
      </c>
      <c r="D516" s="6" t="s">
        <v>1087</v>
      </c>
      <c r="E516" s="6" t="s">
        <v>25</v>
      </c>
      <c r="F516" s="6" t="s">
        <v>26</v>
      </c>
      <c r="G516" s="6" t="s">
        <v>141</v>
      </c>
      <c r="H516" s="6" t="s">
        <v>50</v>
      </c>
      <c r="I516" s="6" t="str">
        <f>VLOOKUP(H516,'Flow Location'!$A$1:$B$21,2,FALSE)</f>
        <v>Contained On Site, not within 5 ft. of Bayou/Surface Water/Drainage Ditch</v>
      </c>
      <c r="J516" s="5">
        <v>0.0</v>
      </c>
      <c r="K516" s="6" t="s">
        <v>29</v>
      </c>
      <c r="L516" s="6" t="str">
        <f>VLOOKUP(K516,'Structure type'!$A$1:$B$15,2,FALSE)</f>
        <v>Manhole</v>
      </c>
      <c r="M516" s="6" t="s">
        <v>81</v>
      </c>
      <c r="N516" s="6" t="str">
        <f>VLOOKUP(M516,'Excursion Cause'!$A$1:$B$34,2,FALSE)</f>
        <v>Collection system structural failure</v>
      </c>
      <c r="O516" s="7">
        <v>44452.0</v>
      </c>
      <c r="P516" s="6" t="s">
        <v>1088</v>
      </c>
      <c r="Q516" s="7">
        <v>44452.0</v>
      </c>
      <c r="R516" s="6" t="s">
        <v>1088</v>
      </c>
      <c r="S516" s="5">
        <v>0.0</v>
      </c>
      <c r="T516" s="6" t="s">
        <v>54</v>
      </c>
      <c r="U516" s="5">
        <v>2.0210913E7</v>
      </c>
      <c r="V516" s="5">
        <v>2.0210913E7</v>
      </c>
      <c r="W516" s="5">
        <v>29.7155515100001</v>
      </c>
      <c r="X516" s="5">
        <v>-95.2962361529999</v>
      </c>
    </row>
    <row r="517" ht="15.75" customHeight="1">
      <c r="A517" s="5">
        <v>11954.0</v>
      </c>
      <c r="B517" s="6">
        <v>2021.0</v>
      </c>
      <c r="C517" s="6" t="str">
        <f t="shared" si="1"/>
        <v>4701 PEASE ST,Houston,Texas</v>
      </c>
      <c r="D517" s="6" t="s">
        <v>738</v>
      </c>
      <c r="E517" s="6" t="s">
        <v>25</v>
      </c>
      <c r="F517" s="6" t="s">
        <v>26</v>
      </c>
      <c r="G517" s="6" t="s">
        <v>141</v>
      </c>
      <c r="H517" s="6" t="s">
        <v>28</v>
      </c>
      <c r="I517" s="6" t="str">
        <f>VLOOKUP(H517,'Flow Location'!$A$1:$B$21,2,FALSE)</f>
        <v>Storm Sewer (not contained)</v>
      </c>
      <c r="J517" s="5">
        <v>530.0</v>
      </c>
      <c r="K517" s="6" t="s">
        <v>29</v>
      </c>
      <c r="L517" s="6" t="str">
        <f>VLOOKUP(K517,'Structure type'!$A$1:$B$15,2,FALSE)</f>
        <v>Manhole</v>
      </c>
      <c r="M517" s="6" t="s">
        <v>423</v>
      </c>
      <c r="N517" s="6" t="str">
        <f>VLOOKUP(M517,'Excursion Cause'!$A$1:$B$34,2,FALSE)</f>
        <v>Collection system ‐ wet weather</v>
      </c>
      <c r="O517" s="7">
        <v>44453.0</v>
      </c>
      <c r="P517" s="6" t="s">
        <v>1071</v>
      </c>
      <c r="Q517" s="7">
        <v>44453.0</v>
      </c>
      <c r="R517" s="6" t="s">
        <v>318</v>
      </c>
      <c r="S517" s="5">
        <v>10.0</v>
      </c>
      <c r="T517" s="6" t="s">
        <v>439</v>
      </c>
      <c r="U517" s="5">
        <v>2.0210914E7</v>
      </c>
      <c r="V517" s="5">
        <v>2.0210914E7</v>
      </c>
      <c r="W517" s="5">
        <v>29.7338318540001</v>
      </c>
      <c r="X517" s="5">
        <v>-95.332061916</v>
      </c>
    </row>
    <row r="518" ht="15.75" customHeight="1">
      <c r="A518" s="5">
        <v>11955.0</v>
      </c>
      <c r="B518" s="6">
        <v>2021.0</v>
      </c>
      <c r="C518" s="6" t="str">
        <f t="shared" si="1"/>
        <v>3601 TELEPHONE RD,Houston,Texas</v>
      </c>
      <c r="D518" s="6" t="s">
        <v>436</v>
      </c>
      <c r="E518" s="6" t="s">
        <v>25</v>
      </c>
      <c r="F518" s="6" t="s">
        <v>26</v>
      </c>
      <c r="G518" s="6" t="s">
        <v>141</v>
      </c>
      <c r="H518" s="6" t="s">
        <v>28</v>
      </c>
      <c r="I518" s="6" t="str">
        <f>VLOOKUP(H518,'Flow Location'!$A$1:$B$21,2,FALSE)</f>
        <v>Storm Sewer (not contained)</v>
      </c>
      <c r="J518" s="5">
        <v>10900.0</v>
      </c>
      <c r="K518" s="6" t="s">
        <v>29</v>
      </c>
      <c r="L518" s="6" t="str">
        <f>VLOOKUP(K518,'Structure type'!$A$1:$B$15,2,FALSE)</f>
        <v>Manhole</v>
      </c>
      <c r="M518" s="6" t="s">
        <v>423</v>
      </c>
      <c r="N518" s="6" t="str">
        <f>VLOOKUP(M518,'Excursion Cause'!$A$1:$B$34,2,FALSE)</f>
        <v>Collection system ‐ wet weather</v>
      </c>
      <c r="O518" s="7">
        <v>44453.0</v>
      </c>
      <c r="P518" s="6" t="s">
        <v>1089</v>
      </c>
      <c r="Q518" s="7">
        <v>44453.0</v>
      </c>
      <c r="R518" s="6" t="s">
        <v>1090</v>
      </c>
      <c r="S518" s="5">
        <v>25.0</v>
      </c>
      <c r="T518" s="6" t="s">
        <v>443</v>
      </c>
      <c r="U518" s="5">
        <v>2.0210914E7</v>
      </c>
      <c r="V518" s="5">
        <v>2.0210914E7</v>
      </c>
      <c r="W518" s="5">
        <v>29.7094564840001</v>
      </c>
      <c r="X518" s="5">
        <v>-95.3137312809999</v>
      </c>
    </row>
    <row r="519" ht="15.75" customHeight="1">
      <c r="A519" s="5">
        <v>11957.0</v>
      </c>
      <c r="B519" s="6">
        <v>2021.0</v>
      </c>
      <c r="C519" s="6" t="str">
        <f t="shared" si="1"/>
        <v>1508 WICHMAN ST,Houston,Texas</v>
      </c>
      <c r="D519" s="6" t="s">
        <v>1091</v>
      </c>
      <c r="E519" s="6" t="s">
        <v>25</v>
      </c>
      <c r="F519" s="6" t="s">
        <v>26</v>
      </c>
      <c r="G519" s="6" t="s">
        <v>158</v>
      </c>
      <c r="H519" s="6" t="s">
        <v>50</v>
      </c>
      <c r="I519" s="6" t="str">
        <f>VLOOKUP(H519,'Flow Location'!$A$1:$B$21,2,FALSE)</f>
        <v>Contained On Site, not within 5 ft. of Bayou/Surface Water/Drainage Ditch</v>
      </c>
      <c r="J519" s="5">
        <v>576.0</v>
      </c>
      <c r="K519" s="6" t="s">
        <v>29</v>
      </c>
      <c r="L519" s="6" t="str">
        <f>VLOOKUP(K519,'Structure type'!$A$1:$B$15,2,FALSE)</f>
        <v>Manhole</v>
      </c>
      <c r="M519" s="6" t="s">
        <v>30</v>
      </c>
      <c r="N519" s="6" t="str">
        <f>VLOOKUP(M519,'Excursion Cause'!$A$1:$B$34,2,FALSE)</f>
        <v>Grease Blockage</v>
      </c>
      <c r="O519" s="7">
        <v>44453.0</v>
      </c>
      <c r="P519" s="6" t="s">
        <v>1092</v>
      </c>
      <c r="Q519" s="7">
        <v>44453.0</v>
      </c>
      <c r="R519" s="6" t="s">
        <v>1041</v>
      </c>
      <c r="S519" s="5">
        <v>2.0</v>
      </c>
      <c r="T519" s="6" t="s">
        <v>33</v>
      </c>
      <c r="U519" s="5">
        <v>2.0210914E7</v>
      </c>
      <c r="V519" s="5">
        <v>2.0210914E7</v>
      </c>
      <c r="W519" s="5">
        <v>29.7746125790001</v>
      </c>
      <c r="X519" s="5">
        <v>-95.393115531</v>
      </c>
    </row>
    <row r="520" ht="15.75" customHeight="1">
      <c r="A520" s="5">
        <v>11958.0</v>
      </c>
      <c r="B520" s="6">
        <v>2021.0</v>
      </c>
      <c r="C520" s="6" t="str">
        <f t="shared" si="1"/>
        <v>14151 HIRAM CLARKE RD,Houston,Texas</v>
      </c>
      <c r="D520" s="6" t="s">
        <v>1093</v>
      </c>
      <c r="E520" s="6" t="s">
        <v>25</v>
      </c>
      <c r="F520" s="6" t="s">
        <v>26</v>
      </c>
      <c r="G520" s="6" t="s">
        <v>39</v>
      </c>
      <c r="H520" s="6" t="s">
        <v>28</v>
      </c>
      <c r="I520" s="6" t="str">
        <f>VLOOKUP(H520,'Flow Location'!$A$1:$B$21,2,FALSE)</f>
        <v>Storm Sewer (not contained)</v>
      </c>
      <c r="J520" s="5">
        <v>15400.0</v>
      </c>
      <c r="K520" s="6" t="s">
        <v>29</v>
      </c>
      <c r="L520" s="6" t="str">
        <f>VLOOKUP(K520,'Structure type'!$A$1:$B$15,2,FALSE)</f>
        <v>Manhole</v>
      </c>
      <c r="M520" s="6" t="s">
        <v>764</v>
      </c>
      <c r="N520" s="6" t="str">
        <f>VLOOKUP(M520,'Excursion Cause'!$A$1:$B$34,2,FALSE)</f>
        <v>Power Outage</v>
      </c>
      <c r="O520" s="7">
        <v>44453.0</v>
      </c>
      <c r="P520" s="6" t="s">
        <v>125</v>
      </c>
      <c r="Q520" s="7">
        <v>44453.0</v>
      </c>
      <c r="R520" s="6" t="s">
        <v>411</v>
      </c>
      <c r="S520" s="5">
        <v>70.0</v>
      </c>
      <c r="T520" s="6" t="s">
        <v>443</v>
      </c>
      <c r="U520" s="5">
        <v>2.0210914E7</v>
      </c>
      <c r="V520" s="5">
        <v>2.0210914E7</v>
      </c>
      <c r="W520" s="5">
        <v>29.621009552</v>
      </c>
      <c r="X520" s="5">
        <v>-95.445918169</v>
      </c>
    </row>
    <row r="521" ht="15.75" customHeight="1">
      <c r="A521" s="5">
        <v>11959.0</v>
      </c>
      <c r="B521" s="6">
        <v>2021.0</v>
      </c>
      <c r="C521" s="6" t="str">
        <f t="shared" si="1"/>
        <v>12318 LANNY LN,Houston,Texas</v>
      </c>
      <c r="D521" s="6" t="s">
        <v>1094</v>
      </c>
      <c r="E521" s="6" t="s">
        <v>25</v>
      </c>
      <c r="F521" s="6" t="s">
        <v>26</v>
      </c>
      <c r="G521" s="6" t="s">
        <v>347</v>
      </c>
      <c r="H521" s="6" t="s">
        <v>50</v>
      </c>
      <c r="I521" s="6" t="str">
        <f>VLOOKUP(H521,'Flow Location'!$A$1:$B$21,2,FALSE)</f>
        <v>Contained On Site, not within 5 ft. of Bayou/Surface Water/Drainage Ditch</v>
      </c>
      <c r="J521" s="5">
        <v>1300.0</v>
      </c>
      <c r="K521" s="6" t="s">
        <v>29</v>
      </c>
      <c r="L521" s="6" t="str">
        <f>VLOOKUP(K521,'Structure type'!$A$1:$B$15,2,FALSE)</f>
        <v>Manhole</v>
      </c>
      <c r="M521" s="6" t="s">
        <v>764</v>
      </c>
      <c r="N521" s="6" t="str">
        <f>VLOOKUP(M521,'Excursion Cause'!$A$1:$B$34,2,FALSE)</f>
        <v>Power Outage</v>
      </c>
      <c r="O521" s="7">
        <v>44453.0</v>
      </c>
      <c r="P521" s="6" t="s">
        <v>1095</v>
      </c>
      <c r="Q521" s="7">
        <v>44453.0</v>
      </c>
      <c r="R521" s="6" t="s">
        <v>146</v>
      </c>
      <c r="S521" s="5">
        <v>25.0</v>
      </c>
      <c r="T521" s="6" t="s">
        <v>354</v>
      </c>
      <c r="U521" s="5">
        <v>2.0210914E7</v>
      </c>
      <c r="V521" s="5">
        <v>2.0210914E7</v>
      </c>
      <c r="W521" s="5">
        <v>29.7593799790001</v>
      </c>
      <c r="X521" s="5">
        <v>-95.598898463</v>
      </c>
    </row>
    <row r="522" ht="15.75" customHeight="1">
      <c r="A522" s="5">
        <v>11960.0</v>
      </c>
      <c r="B522" s="6">
        <v>2021.0</v>
      </c>
      <c r="C522" s="6" t="str">
        <f t="shared" si="1"/>
        <v>910 REDWOOD ST,Houston,Texas</v>
      </c>
      <c r="D522" s="6" t="s">
        <v>1087</v>
      </c>
      <c r="E522" s="6" t="s">
        <v>25</v>
      </c>
      <c r="F522" s="6" t="s">
        <v>26</v>
      </c>
      <c r="G522" s="6" t="s">
        <v>141</v>
      </c>
      <c r="H522" s="6" t="s">
        <v>50</v>
      </c>
      <c r="I522" s="6" t="str">
        <f>VLOOKUP(H522,'Flow Location'!$A$1:$B$21,2,FALSE)</f>
        <v>Contained On Site, not within 5 ft. of Bayou/Surface Water/Drainage Ditch</v>
      </c>
      <c r="J522" s="5">
        <v>1000.0</v>
      </c>
      <c r="K522" s="6" t="s">
        <v>29</v>
      </c>
      <c r="L522" s="6" t="str">
        <f>VLOOKUP(K522,'Structure type'!$A$1:$B$15,2,FALSE)</f>
        <v>Manhole</v>
      </c>
      <c r="M522" s="6" t="s">
        <v>81</v>
      </c>
      <c r="N522" s="6" t="str">
        <f>VLOOKUP(M522,'Excursion Cause'!$A$1:$B$34,2,FALSE)</f>
        <v>Collection system structural failure</v>
      </c>
      <c r="O522" s="7">
        <v>44453.0</v>
      </c>
      <c r="P522" s="6" t="s">
        <v>802</v>
      </c>
      <c r="Q522" s="7">
        <v>44453.0</v>
      </c>
      <c r="R522" s="6" t="s">
        <v>129</v>
      </c>
      <c r="S522" s="5">
        <v>25.0</v>
      </c>
      <c r="T522" s="6" t="s">
        <v>107</v>
      </c>
      <c r="U522" s="5">
        <v>2.0210914E7</v>
      </c>
      <c r="V522" s="5">
        <v>2.0210914E7</v>
      </c>
      <c r="W522" s="5">
        <v>29.7155515100001</v>
      </c>
      <c r="X522" s="5">
        <v>-95.2962361529999</v>
      </c>
    </row>
    <row r="523" ht="15.75" customHeight="1">
      <c r="A523" s="5">
        <v>11961.0</v>
      </c>
      <c r="B523" s="6">
        <v>2021.0</v>
      </c>
      <c r="C523" s="6" t="str">
        <f t="shared" si="1"/>
        <v>17134 QUAIL GLEN DR,Houston,Texas</v>
      </c>
      <c r="D523" s="6" t="s">
        <v>1096</v>
      </c>
      <c r="E523" s="6" t="s">
        <v>25</v>
      </c>
      <c r="F523" s="6" t="s">
        <v>26</v>
      </c>
      <c r="G523" s="6" t="s">
        <v>166</v>
      </c>
      <c r="H523" s="6" t="s">
        <v>50</v>
      </c>
      <c r="I523" s="6" t="str">
        <f>VLOOKUP(H523,'Flow Location'!$A$1:$B$21,2,FALSE)</f>
        <v>Contained On Site, not within 5 ft. of Bayou/Surface Water/Drainage Ditch</v>
      </c>
      <c r="J523" s="5">
        <v>0.0</v>
      </c>
      <c r="K523" s="6" t="s">
        <v>290</v>
      </c>
      <c r="L523" s="6" t="str">
        <f>VLOOKUP(K523,'Structure type'!$A$1:$B$15,2,FALSE)</f>
        <v>Gravity Main</v>
      </c>
      <c r="M523" s="6" t="s">
        <v>81</v>
      </c>
      <c r="N523" s="6" t="str">
        <f>VLOOKUP(M523,'Excursion Cause'!$A$1:$B$34,2,FALSE)</f>
        <v>Collection system structural failure</v>
      </c>
      <c r="O523" s="7">
        <v>44453.0</v>
      </c>
      <c r="P523" s="6" t="s">
        <v>1097</v>
      </c>
      <c r="Q523" s="7">
        <v>44453.0</v>
      </c>
      <c r="R523" s="6" t="s">
        <v>1097</v>
      </c>
      <c r="S523" s="5">
        <v>0.0</v>
      </c>
      <c r="T523" s="6" t="s">
        <v>417</v>
      </c>
      <c r="U523" s="5">
        <v>2.0210914E7</v>
      </c>
      <c r="V523" s="5">
        <v>2.0210914E7</v>
      </c>
      <c r="W523" s="5">
        <v>29.575331826</v>
      </c>
      <c r="X523" s="5">
        <v>-95.516914984</v>
      </c>
    </row>
    <row r="524" ht="15.75" customHeight="1">
      <c r="A524" s="5">
        <v>11965.0</v>
      </c>
      <c r="B524" s="6">
        <v>2021.0</v>
      </c>
      <c r="C524" s="6" t="str">
        <f t="shared" si="1"/>
        <v>4915 CHENEVERT ST,Houston,Texas</v>
      </c>
      <c r="D524" s="6" t="s">
        <v>1098</v>
      </c>
      <c r="E524" s="6" t="s">
        <v>25</v>
      </c>
      <c r="F524" s="6" t="s">
        <v>26</v>
      </c>
      <c r="G524" s="6" t="s">
        <v>308</v>
      </c>
      <c r="H524" s="6" t="s">
        <v>28</v>
      </c>
      <c r="I524" s="6" t="str">
        <f>VLOOKUP(H524,'Flow Location'!$A$1:$B$21,2,FALSE)</f>
        <v>Storm Sewer (not contained)</v>
      </c>
      <c r="J524" s="5">
        <v>280.0</v>
      </c>
      <c r="K524" s="6" t="s">
        <v>29</v>
      </c>
      <c r="L524" s="6" t="str">
        <f>VLOOKUP(K524,'Structure type'!$A$1:$B$15,2,FALSE)</f>
        <v>Manhole</v>
      </c>
      <c r="M524" s="6" t="s">
        <v>30</v>
      </c>
      <c r="N524" s="6" t="str">
        <f>VLOOKUP(M524,'Excursion Cause'!$A$1:$B$34,2,FALSE)</f>
        <v>Grease Blockage</v>
      </c>
      <c r="O524" s="7">
        <v>44454.0</v>
      </c>
      <c r="P524" s="6" t="s">
        <v>31</v>
      </c>
      <c r="Q524" s="7">
        <v>44454.0</v>
      </c>
      <c r="R524" s="6" t="s">
        <v>1099</v>
      </c>
      <c r="S524" s="5">
        <v>2.0</v>
      </c>
      <c r="T524" s="6" t="s">
        <v>33</v>
      </c>
      <c r="U524" s="5">
        <v>2.0210915E7</v>
      </c>
      <c r="V524" s="5">
        <v>2.0210915E7</v>
      </c>
      <c r="W524" s="5">
        <v>29.7259780530001</v>
      </c>
      <c r="X524" s="5">
        <v>-95.379342137</v>
      </c>
    </row>
    <row r="525" ht="15.75" customHeight="1">
      <c r="A525" s="5">
        <v>11967.0</v>
      </c>
      <c r="B525" s="6">
        <v>2021.0</v>
      </c>
      <c r="C525" s="6" t="str">
        <f t="shared" si="1"/>
        <v>802 MARLEEN ST,Houston,Texas</v>
      </c>
      <c r="D525" s="6" t="s">
        <v>1100</v>
      </c>
      <c r="E525" s="6" t="s">
        <v>25</v>
      </c>
      <c r="F525" s="6" t="s">
        <v>26</v>
      </c>
      <c r="G525" s="6" t="s">
        <v>49</v>
      </c>
      <c r="H525" s="6" t="s">
        <v>50</v>
      </c>
      <c r="I525" s="6" t="str">
        <f>VLOOKUP(H525,'Flow Location'!$A$1:$B$21,2,FALSE)</f>
        <v>Contained On Site, not within 5 ft. of Bayou/Surface Water/Drainage Ditch</v>
      </c>
      <c r="J525" s="5">
        <v>1372.0</v>
      </c>
      <c r="K525" s="6" t="s">
        <v>29</v>
      </c>
      <c r="L525" s="6" t="str">
        <f>VLOOKUP(K525,'Structure type'!$A$1:$B$15,2,FALSE)</f>
        <v>Manhole</v>
      </c>
      <c r="M525" s="6" t="s">
        <v>52</v>
      </c>
      <c r="N525" s="6" t="str">
        <f>VLOOKUP(M525,'Excursion Cause'!$A$1:$B$34,2,FALSE)</f>
        <v>Collection system structural blockage</v>
      </c>
      <c r="O525" s="7">
        <v>44454.0</v>
      </c>
      <c r="P525" s="6" t="s">
        <v>1011</v>
      </c>
      <c r="Q525" s="7">
        <v>44455.0</v>
      </c>
      <c r="R525" s="6" t="s">
        <v>1101</v>
      </c>
      <c r="S525" s="5">
        <v>1.0</v>
      </c>
      <c r="T525" s="6" t="s">
        <v>377</v>
      </c>
      <c r="U525" s="5">
        <v>2.0210915E7</v>
      </c>
      <c r="V525" s="5">
        <v>2.0210916E7</v>
      </c>
      <c r="W525" s="5">
        <v>29.651778764</v>
      </c>
      <c r="X525" s="5">
        <v>-95.23336618</v>
      </c>
    </row>
    <row r="526" ht="15.75" customHeight="1">
      <c r="A526" s="5">
        <v>11971.0</v>
      </c>
      <c r="B526" s="6">
        <v>2021.0</v>
      </c>
      <c r="C526" s="6" t="str">
        <f t="shared" si="1"/>
        <v>7738 GREENDOWNS ST,Houston,Texas</v>
      </c>
      <c r="D526" s="6" t="s">
        <v>1102</v>
      </c>
      <c r="E526" s="6" t="s">
        <v>25</v>
      </c>
      <c r="F526" s="6" t="s">
        <v>26</v>
      </c>
      <c r="G526" s="6" t="s">
        <v>35</v>
      </c>
      <c r="H526" s="6" t="s">
        <v>50</v>
      </c>
      <c r="I526" s="6" t="str">
        <f>VLOOKUP(H526,'Flow Location'!$A$1:$B$21,2,FALSE)</f>
        <v>Contained On Site, not within 5 ft. of Bayou/Surface Water/Drainage Ditch</v>
      </c>
      <c r="J526" s="5">
        <v>0.0</v>
      </c>
      <c r="K526" s="6" t="s">
        <v>29</v>
      </c>
      <c r="L526" s="6" t="str">
        <f>VLOOKUP(K526,'Structure type'!$A$1:$B$15,2,FALSE)</f>
        <v>Manhole</v>
      </c>
      <c r="M526" s="6" t="s">
        <v>30</v>
      </c>
      <c r="N526" s="6" t="str">
        <f>VLOOKUP(M526,'Excursion Cause'!$A$1:$B$34,2,FALSE)</f>
        <v>Grease Blockage</v>
      </c>
      <c r="O526" s="7">
        <v>44454.0</v>
      </c>
      <c r="P526" s="6" t="s">
        <v>1103</v>
      </c>
      <c r="Q526" s="7">
        <v>44454.0</v>
      </c>
      <c r="R526" s="6" t="s">
        <v>1103</v>
      </c>
      <c r="S526" s="5">
        <v>0.0</v>
      </c>
      <c r="T526" s="6" t="s">
        <v>33</v>
      </c>
      <c r="U526" s="5">
        <v>2.0210915E7</v>
      </c>
      <c r="V526" s="5">
        <v>2.0210915E7</v>
      </c>
      <c r="W526" s="5">
        <v>29.690817227</v>
      </c>
      <c r="X526" s="5">
        <v>-95.285141866</v>
      </c>
    </row>
    <row r="527" ht="15.75" customHeight="1">
      <c r="A527" s="5">
        <v>11973.0</v>
      </c>
      <c r="B527" s="6">
        <v>2021.0</v>
      </c>
      <c r="C527" s="6" t="str">
        <f t="shared" si="1"/>
        <v>11700 FUQUA ST,Houston,Texas</v>
      </c>
      <c r="D527" s="6" t="s">
        <v>1104</v>
      </c>
      <c r="E527" s="6" t="s">
        <v>25</v>
      </c>
      <c r="F527" s="6" t="s">
        <v>26</v>
      </c>
      <c r="G527" s="6" t="s">
        <v>49</v>
      </c>
      <c r="H527" s="6" t="s">
        <v>28</v>
      </c>
      <c r="I527" s="6" t="str">
        <f>VLOOKUP(H527,'Flow Location'!$A$1:$B$21,2,FALSE)</f>
        <v>Storm Sewer (not contained)</v>
      </c>
      <c r="J527" s="5">
        <v>1549.0</v>
      </c>
      <c r="K527" s="6" t="s">
        <v>29</v>
      </c>
      <c r="L527" s="6" t="str">
        <f>VLOOKUP(K527,'Structure type'!$A$1:$B$15,2,FALSE)</f>
        <v>Manhole</v>
      </c>
      <c r="M527" s="6" t="s">
        <v>30</v>
      </c>
      <c r="N527" s="6" t="str">
        <f>VLOOKUP(M527,'Excursion Cause'!$A$1:$B$34,2,FALSE)</f>
        <v>Grease Blockage</v>
      </c>
      <c r="O527" s="7">
        <v>44454.0</v>
      </c>
      <c r="P527" s="6" t="s">
        <v>411</v>
      </c>
      <c r="Q527" s="7">
        <v>44455.0</v>
      </c>
      <c r="R527" s="6" t="s">
        <v>1105</v>
      </c>
      <c r="S527" s="5">
        <v>1.0</v>
      </c>
      <c r="T527" s="6" t="s">
        <v>33</v>
      </c>
      <c r="U527" s="5">
        <v>2.0210915E7</v>
      </c>
      <c r="V527" s="5">
        <v>2.0210916E7</v>
      </c>
      <c r="W527" s="5">
        <v>29.619817352</v>
      </c>
      <c r="X527" s="5">
        <v>-95.210884407</v>
      </c>
    </row>
    <row r="528" ht="15.75" customHeight="1">
      <c r="A528" s="5">
        <v>11975.0</v>
      </c>
      <c r="B528" s="6">
        <v>2021.0</v>
      </c>
      <c r="C528" s="6" t="str">
        <f t="shared" si="1"/>
        <v>2928 WOODRIDGE DR,Houston,Texas</v>
      </c>
      <c r="D528" s="6" t="s">
        <v>1106</v>
      </c>
      <c r="E528" s="6" t="s">
        <v>25</v>
      </c>
      <c r="F528" s="6" t="s">
        <v>26</v>
      </c>
      <c r="G528" s="6" t="s">
        <v>35</v>
      </c>
      <c r="H528" s="6" t="s">
        <v>28</v>
      </c>
      <c r="I528" s="6" t="str">
        <f>VLOOKUP(H528,'Flow Location'!$A$1:$B$21,2,FALSE)</f>
        <v>Storm Sewer (not contained)</v>
      </c>
      <c r="J528" s="5">
        <v>5630.0</v>
      </c>
      <c r="K528" s="6" t="s">
        <v>29</v>
      </c>
      <c r="L528" s="6" t="str">
        <f>VLOOKUP(K528,'Structure type'!$A$1:$B$15,2,FALSE)</f>
        <v>Manhole</v>
      </c>
      <c r="M528" s="6" t="s">
        <v>30</v>
      </c>
      <c r="N528" s="6" t="str">
        <f>VLOOKUP(M528,'Excursion Cause'!$A$1:$B$34,2,FALSE)</f>
        <v>Grease Blockage</v>
      </c>
      <c r="O528" s="7">
        <v>44454.0</v>
      </c>
      <c r="P528" s="6" t="s">
        <v>356</v>
      </c>
      <c r="Q528" s="7">
        <v>44455.0</v>
      </c>
      <c r="R528" s="6" t="s">
        <v>113</v>
      </c>
      <c r="S528" s="5">
        <v>5.0</v>
      </c>
      <c r="T528" s="6" t="s">
        <v>59</v>
      </c>
      <c r="U528" s="5">
        <v>2.0210915E7</v>
      </c>
      <c r="V528" s="5">
        <v>2.0210916E7</v>
      </c>
      <c r="W528" s="5">
        <v>29.699522001</v>
      </c>
      <c r="X528" s="5">
        <v>-95.2969274929999</v>
      </c>
    </row>
    <row r="529" ht="15.75" customHeight="1">
      <c r="A529" s="5">
        <v>11980.0</v>
      </c>
      <c r="B529" s="6">
        <v>2021.0</v>
      </c>
      <c r="C529" s="6" t="str">
        <f t="shared" si="1"/>
        <v>9905 HADDICK ST,Houston,Texas</v>
      </c>
      <c r="D529" s="6" t="s">
        <v>1107</v>
      </c>
      <c r="E529" s="6" t="s">
        <v>25</v>
      </c>
      <c r="F529" s="6" t="s">
        <v>26</v>
      </c>
      <c r="G529" s="6" t="s">
        <v>387</v>
      </c>
      <c r="H529" s="6" t="s">
        <v>28</v>
      </c>
      <c r="I529" s="6" t="str">
        <f>VLOOKUP(H529,'Flow Location'!$A$1:$B$21,2,FALSE)</f>
        <v>Storm Sewer (not contained)</v>
      </c>
      <c r="J529" s="5">
        <v>0.0</v>
      </c>
      <c r="K529" s="6" t="s">
        <v>45</v>
      </c>
      <c r="L529" s="6" t="str">
        <f>VLOOKUP(K529,'Structure type'!$A$1:$B$15,2,FALSE)</f>
        <v>City Cleanout</v>
      </c>
      <c r="M529" s="6" t="s">
        <v>56</v>
      </c>
      <c r="N529" s="6" t="str">
        <f>VLOOKUP(M529,'Excursion Cause'!$A$1:$B$34,2,FALSE)</f>
        <v>Rags/Wipes</v>
      </c>
      <c r="O529" s="7">
        <v>44455.0</v>
      </c>
      <c r="P529" s="6" t="s">
        <v>1108</v>
      </c>
      <c r="Q529" s="7">
        <v>44455.0</v>
      </c>
      <c r="R529" s="6" t="s">
        <v>1108</v>
      </c>
      <c r="S529" s="5">
        <v>0.0</v>
      </c>
      <c r="T529" s="6" t="s">
        <v>270</v>
      </c>
      <c r="U529" s="5">
        <v>2.0210916E7</v>
      </c>
      <c r="V529" s="5">
        <v>2.0210916E7</v>
      </c>
      <c r="W529" s="5">
        <v>29.857447995</v>
      </c>
      <c r="X529" s="5">
        <v>-95.271697461</v>
      </c>
    </row>
    <row r="530" ht="15.75" customHeight="1">
      <c r="A530" s="5">
        <v>11986.0</v>
      </c>
      <c r="B530" s="6">
        <v>2021.0</v>
      </c>
      <c r="C530" s="6" t="str">
        <f t="shared" si="1"/>
        <v>1506 NORTH BLVD,Houston,Texas</v>
      </c>
      <c r="D530" s="6" t="s">
        <v>1109</v>
      </c>
      <c r="E530" s="6" t="s">
        <v>25</v>
      </c>
      <c r="F530" s="6" t="s">
        <v>26</v>
      </c>
      <c r="G530" s="6" t="s">
        <v>761</v>
      </c>
      <c r="H530" s="6" t="s">
        <v>50</v>
      </c>
      <c r="I530" s="6" t="str">
        <f>VLOOKUP(H530,'Flow Location'!$A$1:$B$21,2,FALSE)</f>
        <v>Contained On Site, not within 5 ft. of Bayou/Surface Water/Drainage Ditch</v>
      </c>
      <c r="J530" s="5">
        <v>0.0</v>
      </c>
      <c r="K530" s="6" t="s">
        <v>51</v>
      </c>
      <c r="L530" s="6" t="str">
        <f>VLOOKUP(K530,'Structure type'!$A$1:$B$15,2,FALSE)</f>
        <v>Private Cleanout</v>
      </c>
      <c r="M530" s="6" t="s">
        <v>759</v>
      </c>
      <c r="N530" s="6" t="str">
        <f>VLOOKUP(M530,'Excursion Cause'!$A$1:$B$34,2,FALSE)</f>
        <v>Roots</v>
      </c>
      <c r="O530" s="7">
        <v>44456.0</v>
      </c>
      <c r="P530" s="6" t="s">
        <v>309</v>
      </c>
      <c r="Q530" s="7">
        <v>44456.0</v>
      </c>
      <c r="R530" s="6" t="s">
        <v>309</v>
      </c>
      <c r="S530" s="5">
        <v>0.0</v>
      </c>
      <c r="T530" s="6" t="s">
        <v>170</v>
      </c>
      <c r="U530" s="5">
        <v>2.0210917E7</v>
      </c>
      <c r="V530" s="5">
        <v>2.0210917E7</v>
      </c>
      <c r="W530" s="5">
        <v>29.72783586</v>
      </c>
      <c r="X530" s="5">
        <v>-95.398749847</v>
      </c>
    </row>
    <row r="531" ht="15.75" customHeight="1">
      <c r="A531" s="5">
        <v>11990.0</v>
      </c>
      <c r="B531" s="6">
        <v>2021.0</v>
      </c>
      <c r="C531" s="6" t="str">
        <f t="shared" si="1"/>
        <v>9905 HADDICK ST,Houston,Texas</v>
      </c>
      <c r="D531" s="6" t="s">
        <v>1107</v>
      </c>
      <c r="E531" s="6" t="s">
        <v>25</v>
      </c>
      <c r="F531" s="6" t="s">
        <v>26</v>
      </c>
      <c r="G531" s="6" t="s">
        <v>387</v>
      </c>
      <c r="H531" s="6" t="s">
        <v>50</v>
      </c>
      <c r="I531" s="6" t="str">
        <f>VLOOKUP(H531,'Flow Location'!$A$1:$B$21,2,FALSE)</f>
        <v>Contained On Site, not within 5 ft. of Bayou/Surface Water/Drainage Ditch</v>
      </c>
      <c r="J531" s="5">
        <v>12.0</v>
      </c>
      <c r="K531" s="6" t="s">
        <v>45</v>
      </c>
      <c r="L531" s="6" t="str">
        <f>VLOOKUP(K531,'Structure type'!$A$1:$B$15,2,FALSE)</f>
        <v>City Cleanout</v>
      </c>
      <c r="M531" s="6" t="s">
        <v>56</v>
      </c>
      <c r="N531" s="6" t="str">
        <f>VLOOKUP(M531,'Excursion Cause'!$A$1:$B$34,2,FALSE)</f>
        <v>Rags/Wipes</v>
      </c>
      <c r="O531" s="7">
        <v>44457.0</v>
      </c>
      <c r="P531" s="6" t="s">
        <v>791</v>
      </c>
      <c r="Q531" s="7">
        <v>44457.0</v>
      </c>
      <c r="R531" s="6" t="s">
        <v>787</v>
      </c>
      <c r="S531" s="5">
        <v>1.0</v>
      </c>
      <c r="T531" s="6" t="s">
        <v>89</v>
      </c>
      <c r="U531" s="5">
        <v>2.0210918E7</v>
      </c>
      <c r="V531" s="5">
        <v>2.0210918E7</v>
      </c>
      <c r="W531" s="5">
        <v>29.857447995</v>
      </c>
      <c r="X531" s="5">
        <v>-95.271697461</v>
      </c>
    </row>
    <row r="532" ht="15.75" customHeight="1">
      <c r="A532" s="5">
        <v>11991.0</v>
      </c>
      <c r="B532" s="6">
        <v>2021.0</v>
      </c>
      <c r="C532" s="6" t="str">
        <f t="shared" si="1"/>
        <v>6700 DE MOSS DR,Houston,Texas</v>
      </c>
      <c r="D532" s="6" t="s">
        <v>1110</v>
      </c>
      <c r="E532" s="6" t="s">
        <v>25</v>
      </c>
      <c r="F532" s="6" t="s">
        <v>26</v>
      </c>
      <c r="G532" s="6" t="s">
        <v>471</v>
      </c>
      <c r="H532" s="6" t="s">
        <v>28</v>
      </c>
      <c r="I532" s="6" t="str">
        <f>VLOOKUP(H532,'Flow Location'!$A$1:$B$21,2,FALSE)</f>
        <v>Storm Sewer (not contained)</v>
      </c>
      <c r="J532" s="5">
        <v>688.0</v>
      </c>
      <c r="K532" s="6" t="s">
        <v>29</v>
      </c>
      <c r="L532" s="6" t="str">
        <f>VLOOKUP(K532,'Structure type'!$A$1:$B$15,2,FALSE)</f>
        <v>Manhole</v>
      </c>
      <c r="M532" s="6" t="s">
        <v>30</v>
      </c>
      <c r="N532" s="6" t="str">
        <f>VLOOKUP(M532,'Excursion Cause'!$A$1:$B$34,2,FALSE)</f>
        <v>Grease Blockage</v>
      </c>
      <c r="O532" s="7">
        <v>44457.0</v>
      </c>
      <c r="P532" s="6" t="s">
        <v>1111</v>
      </c>
      <c r="Q532" s="7">
        <v>44457.0</v>
      </c>
      <c r="R532" s="6" t="s">
        <v>380</v>
      </c>
      <c r="S532" s="5">
        <v>2.0</v>
      </c>
      <c r="T532" s="6" t="s">
        <v>33</v>
      </c>
      <c r="U532" s="5">
        <v>2.0210918E7</v>
      </c>
      <c r="V532" s="5">
        <v>2.0210918E7</v>
      </c>
      <c r="W532" s="5">
        <v>29.707217347</v>
      </c>
      <c r="X532" s="5">
        <v>-95.501015855</v>
      </c>
    </row>
    <row r="533" ht="15.75" customHeight="1">
      <c r="A533" s="5">
        <v>11997.0</v>
      </c>
      <c r="B533" s="6">
        <v>2021.0</v>
      </c>
      <c r="C533" s="6" t="str">
        <f t="shared" si="1"/>
        <v>1615 A WHEELER ST,Houston,Texas</v>
      </c>
      <c r="D533" s="6" t="s">
        <v>1112</v>
      </c>
      <c r="E533" s="6" t="s">
        <v>25</v>
      </c>
      <c r="F533" s="6" t="s">
        <v>26</v>
      </c>
      <c r="G533" s="6" t="s">
        <v>308</v>
      </c>
      <c r="H533" s="6" t="s">
        <v>28</v>
      </c>
      <c r="I533" s="6" t="str">
        <f>VLOOKUP(H533,'Flow Location'!$A$1:$B$21,2,FALSE)</f>
        <v>Storm Sewer (not contained)</v>
      </c>
      <c r="J533" s="5">
        <v>11.0</v>
      </c>
      <c r="K533" s="6" t="s">
        <v>45</v>
      </c>
      <c r="L533" s="6" t="str">
        <f>VLOOKUP(K533,'Structure type'!$A$1:$B$15,2,FALSE)</f>
        <v>City Cleanout</v>
      </c>
      <c r="M533" s="6" t="s">
        <v>56</v>
      </c>
      <c r="N533" s="6" t="str">
        <f>VLOOKUP(M533,'Excursion Cause'!$A$1:$B$34,2,FALSE)</f>
        <v>Rags/Wipes</v>
      </c>
      <c r="O533" s="7">
        <v>44459.0</v>
      </c>
      <c r="P533" s="6" t="s">
        <v>46</v>
      </c>
      <c r="Q533" s="7">
        <v>44459.0</v>
      </c>
      <c r="R533" s="6" t="s">
        <v>93</v>
      </c>
      <c r="S533" s="5">
        <v>1.0</v>
      </c>
      <c r="T533" s="6" t="s">
        <v>170</v>
      </c>
      <c r="U533" s="5">
        <v>2.021092E7</v>
      </c>
      <c r="V533" s="5">
        <v>2.021092E7</v>
      </c>
      <c r="W533" s="5">
        <v>29.7305588470001</v>
      </c>
      <c r="X533" s="5">
        <v>-95.376961173</v>
      </c>
    </row>
    <row r="534" ht="15.75" customHeight="1">
      <c r="A534" s="5">
        <v>12002.0</v>
      </c>
      <c r="B534" s="6">
        <v>2021.0</v>
      </c>
      <c r="C534" s="6" t="str">
        <f t="shared" si="1"/>
        <v>9001 IMOGENE ST,Houston,Texas</v>
      </c>
      <c r="D534" s="6" t="s">
        <v>1113</v>
      </c>
      <c r="E534" s="6" t="s">
        <v>25</v>
      </c>
      <c r="F534" s="6" t="s">
        <v>26</v>
      </c>
      <c r="G534" s="6" t="s">
        <v>100</v>
      </c>
      <c r="H534" s="6" t="s">
        <v>28</v>
      </c>
      <c r="I534" s="6" t="str">
        <f>VLOOKUP(H534,'Flow Location'!$A$1:$B$21,2,FALSE)</f>
        <v>Storm Sewer (not contained)</v>
      </c>
      <c r="J534" s="5">
        <v>3225.0</v>
      </c>
      <c r="K534" s="6" t="s">
        <v>29</v>
      </c>
      <c r="L534" s="6" t="str">
        <f>VLOOKUP(K534,'Structure type'!$A$1:$B$15,2,FALSE)</f>
        <v>Manhole</v>
      </c>
      <c r="M534" s="6" t="s">
        <v>30</v>
      </c>
      <c r="N534" s="6" t="str">
        <f>VLOOKUP(M534,'Excursion Cause'!$A$1:$B$34,2,FALSE)</f>
        <v>Grease Blockage</v>
      </c>
      <c r="O534" s="7">
        <v>44459.0</v>
      </c>
      <c r="P534" s="6" t="s">
        <v>196</v>
      </c>
      <c r="Q534" s="7">
        <v>44460.0</v>
      </c>
      <c r="R534" s="6" t="s">
        <v>219</v>
      </c>
      <c r="S534" s="5">
        <v>3.0</v>
      </c>
      <c r="T534" s="6" t="s">
        <v>33</v>
      </c>
      <c r="U534" s="5">
        <v>2.021092E7</v>
      </c>
      <c r="V534" s="5">
        <v>2.0210921E7</v>
      </c>
      <c r="W534" s="5">
        <v>29.6852699570001</v>
      </c>
      <c r="X534" s="5">
        <v>-95.5383958739999</v>
      </c>
    </row>
    <row r="535" ht="15.75" customHeight="1">
      <c r="A535" s="5">
        <v>12013.0</v>
      </c>
      <c r="B535" s="6">
        <v>2021.0</v>
      </c>
      <c r="C535" s="6" t="str">
        <f t="shared" si="1"/>
        <v>6702 TELEPHONE RD,Houston,Texas</v>
      </c>
      <c r="D535" s="6" t="s">
        <v>1114</v>
      </c>
      <c r="E535" s="6" t="s">
        <v>25</v>
      </c>
      <c r="F535" s="6" t="s">
        <v>26</v>
      </c>
      <c r="G535" s="6" t="s">
        <v>398</v>
      </c>
      <c r="H535" s="6" t="s">
        <v>50</v>
      </c>
      <c r="I535" s="6" t="str">
        <f>VLOOKUP(H535,'Flow Location'!$A$1:$B$21,2,FALSE)</f>
        <v>Contained On Site, not within 5 ft. of Bayou/Surface Water/Drainage Ditch</v>
      </c>
      <c r="J535" s="5">
        <v>6.0</v>
      </c>
      <c r="K535" s="6" t="s">
        <v>29</v>
      </c>
      <c r="L535" s="6" t="str">
        <f>VLOOKUP(K535,'Structure type'!$A$1:$B$15,2,FALSE)</f>
        <v>Manhole</v>
      </c>
      <c r="M535" s="6" t="s">
        <v>30</v>
      </c>
      <c r="N535" s="6" t="str">
        <f>VLOOKUP(M535,'Excursion Cause'!$A$1:$B$34,2,FALSE)</f>
        <v>Grease Blockage</v>
      </c>
      <c r="O535" s="7">
        <v>44461.0</v>
      </c>
      <c r="P535" s="6" t="s">
        <v>529</v>
      </c>
      <c r="Q535" s="7">
        <v>44461.0</v>
      </c>
      <c r="R535" s="6" t="s">
        <v>1115</v>
      </c>
      <c r="S535" s="5">
        <v>0.0</v>
      </c>
      <c r="T535" s="6" t="s">
        <v>33</v>
      </c>
      <c r="U535" s="5">
        <v>2.0210922E7</v>
      </c>
      <c r="V535" s="5">
        <v>2.0210922E7</v>
      </c>
      <c r="W535" s="5">
        <v>29.6672391010001</v>
      </c>
      <c r="X535" s="5">
        <v>-95.289201641</v>
      </c>
    </row>
    <row r="536" ht="15.75" customHeight="1">
      <c r="A536" s="5">
        <v>12014.0</v>
      </c>
      <c r="B536" s="6">
        <v>2021.0</v>
      </c>
      <c r="C536" s="6" t="str">
        <f t="shared" si="1"/>
        <v>8205 FONDREN RD,Houston,Texas</v>
      </c>
      <c r="D536" s="6" t="s">
        <v>1116</v>
      </c>
      <c r="E536" s="6" t="s">
        <v>25</v>
      </c>
      <c r="F536" s="6" t="s">
        <v>26</v>
      </c>
      <c r="G536" s="6" t="s">
        <v>471</v>
      </c>
      <c r="H536" s="6" t="s">
        <v>28</v>
      </c>
      <c r="I536" s="6" t="str">
        <f>VLOOKUP(H536,'Flow Location'!$A$1:$B$21,2,FALSE)</f>
        <v>Storm Sewer (not contained)</v>
      </c>
      <c r="J536" s="5">
        <v>544.0</v>
      </c>
      <c r="K536" s="6" t="s">
        <v>29</v>
      </c>
      <c r="L536" s="6" t="str">
        <f>VLOOKUP(K536,'Structure type'!$A$1:$B$15,2,FALSE)</f>
        <v>Manhole</v>
      </c>
      <c r="M536" s="6" t="s">
        <v>30</v>
      </c>
      <c r="N536" s="6" t="str">
        <f>VLOOKUP(M536,'Excursion Cause'!$A$1:$B$34,2,FALSE)</f>
        <v>Grease Blockage</v>
      </c>
      <c r="O536" s="7">
        <v>44461.0</v>
      </c>
      <c r="P536" s="6" t="s">
        <v>228</v>
      </c>
      <c r="Q536" s="7">
        <v>44461.0</v>
      </c>
      <c r="R536" s="6" t="s">
        <v>411</v>
      </c>
      <c r="S536" s="5">
        <v>4.0</v>
      </c>
      <c r="T536" s="6" t="s">
        <v>33</v>
      </c>
      <c r="U536" s="5">
        <v>2.0210922E7</v>
      </c>
      <c r="V536" s="5">
        <v>2.0210922E7</v>
      </c>
      <c r="W536" s="5">
        <v>29.6900418170001</v>
      </c>
      <c r="X536" s="5">
        <v>-95.509190976</v>
      </c>
    </row>
    <row r="537" ht="15.75" customHeight="1">
      <c r="A537" s="5">
        <v>12019.0</v>
      </c>
      <c r="B537" s="6">
        <v>2021.0</v>
      </c>
      <c r="C537" s="6" t="str">
        <f t="shared" si="1"/>
        <v>1514 TEANAWAY LN,Houston,Texas</v>
      </c>
      <c r="D537" s="6" t="s">
        <v>1117</v>
      </c>
      <c r="E537" s="6" t="s">
        <v>25</v>
      </c>
      <c r="F537" s="6" t="s">
        <v>26</v>
      </c>
      <c r="G537" s="6" t="s">
        <v>247</v>
      </c>
      <c r="H537" s="6" t="s">
        <v>50</v>
      </c>
      <c r="I537" s="6" t="str">
        <f>VLOOKUP(H537,'Flow Location'!$A$1:$B$21,2,FALSE)</f>
        <v>Contained On Site, not within 5 ft. of Bayou/Surface Water/Drainage Ditch</v>
      </c>
      <c r="J537" s="5">
        <v>0.0</v>
      </c>
      <c r="K537" s="6" t="s">
        <v>290</v>
      </c>
      <c r="L537" s="6" t="str">
        <f>VLOOKUP(K537,'Structure type'!$A$1:$B$15,2,FALSE)</f>
        <v>Gravity Main</v>
      </c>
      <c r="M537" s="6" t="s">
        <v>52</v>
      </c>
      <c r="N537" s="6" t="str">
        <f>VLOOKUP(M537,'Excursion Cause'!$A$1:$B$34,2,FALSE)</f>
        <v>Collection system structural blockage</v>
      </c>
      <c r="O537" s="7">
        <v>44461.0</v>
      </c>
      <c r="P537" s="6" t="s">
        <v>960</v>
      </c>
      <c r="Q537" s="7">
        <v>44461.0</v>
      </c>
      <c r="R537" s="6" t="s">
        <v>960</v>
      </c>
      <c r="S537" s="5">
        <v>0.0</v>
      </c>
      <c r="T537" s="6" t="s">
        <v>107</v>
      </c>
      <c r="U537" s="5">
        <v>2.0210922E7</v>
      </c>
      <c r="V537" s="5">
        <v>2.0210922E7</v>
      </c>
      <c r="W537" s="5">
        <v>29.7639730110001</v>
      </c>
      <c r="X537" s="5">
        <v>-95.276827773</v>
      </c>
    </row>
    <row r="538" ht="15.75" customHeight="1">
      <c r="A538" s="5">
        <v>12021.0</v>
      </c>
      <c r="B538" s="6">
        <v>2021.0</v>
      </c>
      <c r="C538" s="6" t="str">
        <f t="shared" si="1"/>
        <v>100 GLENBOROUGH DR,Houston,Texas</v>
      </c>
      <c r="D538" s="6" t="s">
        <v>1118</v>
      </c>
      <c r="E538" s="6" t="s">
        <v>25</v>
      </c>
      <c r="F538" s="6" t="s">
        <v>26</v>
      </c>
      <c r="G538" s="6" t="s">
        <v>393</v>
      </c>
      <c r="H538" s="6" t="s">
        <v>50</v>
      </c>
      <c r="I538" s="6" t="str">
        <f>VLOOKUP(H538,'Flow Location'!$A$1:$B$21,2,FALSE)</f>
        <v>Contained On Site, not within 5 ft. of Bayou/Surface Water/Drainage Ditch</v>
      </c>
      <c r="J538" s="5">
        <v>502.0</v>
      </c>
      <c r="K538" s="6" t="s">
        <v>29</v>
      </c>
      <c r="L538" s="6" t="str">
        <f>VLOOKUP(K538,'Structure type'!$A$1:$B$15,2,FALSE)</f>
        <v>Manhole</v>
      </c>
      <c r="M538" s="6" t="s">
        <v>30</v>
      </c>
      <c r="N538" s="6" t="str">
        <f>VLOOKUP(M538,'Excursion Cause'!$A$1:$B$34,2,FALSE)</f>
        <v>Grease Blockage</v>
      </c>
      <c r="O538" s="7">
        <v>44462.0</v>
      </c>
      <c r="P538" s="6" t="s">
        <v>1089</v>
      </c>
      <c r="Q538" s="7">
        <v>44462.0</v>
      </c>
      <c r="R538" s="6" t="s">
        <v>1119</v>
      </c>
      <c r="S538" s="5">
        <v>2.0</v>
      </c>
      <c r="T538" s="6" t="s">
        <v>33</v>
      </c>
      <c r="U538" s="5">
        <v>2.0210923E7</v>
      </c>
      <c r="V538" s="5">
        <v>2.0210923E7</v>
      </c>
      <c r="W538" s="5">
        <v>29.9512927050001</v>
      </c>
      <c r="X538" s="5">
        <v>-95.419748023</v>
      </c>
    </row>
    <row r="539" ht="15.75" customHeight="1">
      <c r="A539" s="5">
        <v>12023.0</v>
      </c>
      <c r="B539" s="6">
        <v>2021.0</v>
      </c>
      <c r="C539" s="6" t="str">
        <f t="shared" si="1"/>
        <v>225 E ROSELANE ST,Houston,Texas</v>
      </c>
      <c r="D539" s="6" t="s">
        <v>1120</v>
      </c>
      <c r="E539" s="6" t="s">
        <v>25</v>
      </c>
      <c r="F539" s="6" t="s">
        <v>26</v>
      </c>
      <c r="G539" s="6" t="s">
        <v>275</v>
      </c>
      <c r="H539" s="6" t="s">
        <v>50</v>
      </c>
      <c r="I539" s="6" t="str">
        <f>VLOOKUP(H539,'Flow Location'!$A$1:$B$21,2,FALSE)</f>
        <v>Contained On Site, not within 5 ft. of Bayou/Surface Water/Drainage Ditch</v>
      </c>
      <c r="J539" s="5">
        <v>5.0</v>
      </c>
      <c r="K539" s="6" t="s">
        <v>45</v>
      </c>
      <c r="L539" s="6" t="str">
        <f>VLOOKUP(K539,'Structure type'!$A$1:$B$15,2,FALSE)</f>
        <v>City Cleanout</v>
      </c>
      <c r="M539" s="6" t="s">
        <v>30</v>
      </c>
      <c r="N539" s="6" t="str">
        <f>VLOOKUP(M539,'Excursion Cause'!$A$1:$B$34,2,FALSE)</f>
        <v>Grease Blockage</v>
      </c>
      <c r="O539" s="7">
        <v>44462.0</v>
      </c>
      <c r="P539" s="6" t="s">
        <v>791</v>
      </c>
      <c r="Q539" s="7">
        <v>44462.0</v>
      </c>
      <c r="R539" s="6" t="s">
        <v>640</v>
      </c>
      <c r="S539" s="5">
        <v>0.0</v>
      </c>
      <c r="T539" s="6" t="s">
        <v>270</v>
      </c>
      <c r="U539" s="5">
        <v>2.0210923E7</v>
      </c>
      <c r="V539" s="5">
        <v>2.0210923E7</v>
      </c>
      <c r="W539" s="5">
        <v>29.8714986210001</v>
      </c>
      <c r="X539" s="5">
        <v>-95.381746905</v>
      </c>
    </row>
    <row r="540" ht="15.75" customHeight="1">
      <c r="A540" s="5">
        <v>12024.0</v>
      </c>
      <c r="B540" s="6">
        <v>2021.0</v>
      </c>
      <c r="C540" s="6" t="str">
        <f t="shared" si="1"/>
        <v>8106 RHOBELL ST,Houston,Texas</v>
      </c>
      <c r="D540" s="6" t="s">
        <v>1121</v>
      </c>
      <c r="E540" s="6" t="s">
        <v>25</v>
      </c>
      <c r="F540" s="6" t="s">
        <v>26</v>
      </c>
      <c r="G540" s="6" t="s">
        <v>387</v>
      </c>
      <c r="H540" s="6" t="s">
        <v>50</v>
      </c>
      <c r="I540" s="6" t="str">
        <f>VLOOKUP(H540,'Flow Location'!$A$1:$B$21,2,FALSE)</f>
        <v>Contained On Site, not within 5 ft. of Bayou/Surface Water/Drainage Ditch</v>
      </c>
      <c r="J540" s="5">
        <v>60.0</v>
      </c>
      <c r="K540" s="6" t="s">
        <v>45</v>
      </c>
      <c r="L540" s="6" t="str">
        <f>VLOOKUP(K540,'Structure type'!$A$1:$B$15,2,FALSE)</f>
        <v>City Cleanout</v>
      </c>
      <c r="M540" s="6" t="s">
        <v>56</v>
      </c>
      <c r="N540" s="6" t="str">
        <f>VLOOKUP(M540,'Excursion Cause'!$A$1:$B$34,2,FALSE)</f>
        <v>Rags/Wipes</v>
      </c>
      <c r="O540" s="7">
        <v>44462.0</v>
      </c>
      <c r="P540" s="6" t="s">
        <v>215</v>
      </c>
      <c r="Q540" s="7">
        <v>44462.0</v>
      </c>
      <c r="R540" s="6" t="s">
        <v>480</v>
      </c>
      <c r="S540" s="5">
        <v>1.0</v>
      </c>
      <c r="T540" s="6" t="s">
        <v>270</v>
      </c>
      <c r="U540" s="5">
        <v>2.0210923E7</v>
      </c>
      <c r="V540" s="5">
        <v>2.0210923E7</v>
      </c>
      <c r="W540" s="5">
        <v>29.857885572</v>
      </c>
      <c r="X540" s="5">
        <v>-95.277737545</v>
      </c>
    </row>
    <row r="541" ht="15.75" customHeight="1">
      <c r="A541" s="5">
        <v>12027.0</v>
      </c>
      <c r="B541" s="6">
        <v>2021.0</v>
      </c>
      <c r="C541" s="6" t="str">
        <f t="shared" si="1"/>
        <v>14366 MEMORIAL DR,Houston,Texas</v>
      </c>
      <c r="D541" s="6" t="s">
        <v>1075</v>
      </c>
      <c r="E541" s="6" t="s">
        <v>25</v>
      </c>
      <c r="F541" s="6" t="s">
        <v>26</v>
      </c>
      <c r="G541" s="6" t="s">
        <v>520</v>
      </c>
      <c r="H541" s="6" t="s">
        <v>50</v>
      </c>
      <c r="I541" s="6" t="str">
        <f>VLOOKUP(H541,'Flow Location'!$A$1:$B$21,2,FALSE)</f>
        <v>Contained On Site, not within 5 ft. of Bayou/Surface Water/Drainage Ditch</v>
      </c>
      <c r="J541" s="5">
        <v>0.0</v>
      </c>
      <c r="K541" s="6" t="s">
        <v>45</v>
      </c>
      <c r="L541" s="6" t="str">
        <f>VLOOKUP(K541,'Structure type'!$A$1:$B$15,2,FALSE)</f>
        <v>City Cleanout</v>
      </c>
      <c r="M541" s="6" t="s">
        <v>56</v>
      </c>
      <c r="N541" s="6" t="str">
        <f>VLOOKUP(M541,'Excursion Cause'!$A$1:$B$34,2,FALSE)</f>
        <v>Rags/Wipes</v>
      </c>
      <c r="O541" s="7">
        <v>44467.0</v>
      </c>
      <c r="P541" s="6" t="s">
        <v>106</v>
      </c>
      <c r="Q541" s="7">
        <v>44467.0</v>
      </c>
      <c r="R541" s="6" t="s">
        <v>106</v>
      </c>
      <c r="S541" s="5">
        <v>0.0</v>
      </c>
      <c r="T541" s="6" t="s">
        <v>270</v>
      </c>
      <c r="U541" s="5">
        <v>2.0210928E7</v>
      </c>
      <c r="V541" s="5">
        <v>2.0210928E7</v>
      </c>
      <c r="W541" s="5">
        <v>29.7702275030001</v>
      </c>
      <c r="X541" s="5">
        <v>-95.599423002</v>
      </c>
    </row>
    <row r="542" ht="15.75" customHeight="1">
      <c r="A542" s="5">
        <v>12028.0</v>
      </c>
      <c r="B542" s="6">
        <v>2021.0</v>
      </c>
      <c r="C542" s="6" t="str">
        <f t="shared" si="1"/>
        <v>450 TRESVANT DR,Houston,Texas</v>
      </c>
      <c r="D542" s="6" t="s">
        <v>1122</v>
      </c>
      <c r="E542" s="6" t="s">
        <v>25</v>
      </c>
      <c r="F542" s="6" t="s">
        <v>26</v>
      </c>
      <c r="G542" s="6" t="s">
        <v>211</v>
      </c>
      <c r="H542" s="6" t="s">
        <v>28</v>
      </c>
      <c r="I542" s="6" t="str">
        <f>VLOOKUP(H542,'Flow Location'!$A$1:$B$21,2,FALSE)</f>
        <v>Storm Sewer (not contained)</v>
      </c>
      <c r="J542" s="5">
        <v>1072.0</v>
      </c>
      <c r="K542" s="6" t="s">
        <v>29</v>
      </c>
      <c r="L542" s="6" t="str">
        <f>VLOOKUP(K542,'Structure type'!$A$1:$B$15,2,FALSE)</f>
        <v>Manhole</v>
      </c>
      <c r="M542" s="6" t="s">
        <v>30</v>
      </c>
      <c r="N542" s="6" t="str">
        <f>VLOOKUP(M542,'Excursion Cause'!$A$1:$B$34,2,FALSE)</f>
        <v>Grease Blockage</v>
      </c>
      <c r="O542" s="7">
        <v>44463.0</v>
      </c>
      <c r="P542" s="6" t="s">
        <v>368</v>
      </c>
      <c r="Q542" s="7">
        <v>44463.0</v>
      </c>
      <c r="R542" s="6" t="s">
        <v>1031</v>
      </c>
      <c r="S542" s="5">
        <v>4.0</v>
      </c>
      <c r="T542" s="6" t="s">
        <v>59</v>
      </c>
      <c r="U542" s="5">
        <v>2.0210924E7</v>
      </c>
      <c r="V542" s="5">
        <v>2.0210924E7</v>
      </c>
      <c r="W542" s="5">
        <v>29.560406506</v>
      </c>
      <c r="X542" s="5">
        <v>-95.148161117</v>
      </c>
    </row>
    <row r="543" ht="15.75" customHeight="1">
      <c r="A543" s="5">
        <v>12030.0</v>
      </c>
      <c r="B543" s="6">
        <v>2021.0</v>
      </c>
      <c r="C543" s="6" t="str">
        <f t="shared" si="1"/>
        <v>23 E SHADY LN,Houston,Texas</v>
      </c>
      <c r="D543" s="6" t="s">
        <v>1123</v>
      </c>
      <c r="E543" s="6" t="s">
        <v>25</v>
      </c>
      <c r="F543" s="6" t="s">
        <v>26</v>
      </c>
      <c r="G543" s="6" t="s">
        <v>482</v>
      </c>
      <c r="H543" s="6" t="s">
        <v>50</v>
      </c>
      <c r="I543" s="6" t="str">
        <f>VLOOKUP(H543,'Flow Location'!$A$1:$B$21,2,FALSE)</f>
        <v>Contained On Site, not within 5 ft. of Bayou/Surface Water/Drainage Ditch</v>
      </c>
      <c r="J543" s="5">
        <v>0.0</v>
      </c>
      <c r="K543" s="6" t="s">
        <v>45</v>
      </c>
      <c r="L543" s="6" t="str">
        <f>VLOOKUP(K543,'Structure type'!$A$1:$B$15,2,FALSE)</f>
        <v>City Cleanout</v>
      </c>
      <c r="M543" s="6" t="s">
        <v>56</v>
      </c>
      <c r="N543" s="6" t="str">
        <f>VLOOKUP(M543,'Excursion Cause'!$A$1:$B$34,2,FALSE)</f>
        <v>Rags/Wipes</v>
      </c>
      <c r="O543" s="7">
        <v>44463.0</v>
      </c>
      <c r="P543" s="6" t="s">
        <v>77</v>
      </c>
      <c r="Q543" s="7">
        <v>44463.0</v>
      </c>
      <c r="R543" s="6" t="s">
        <v>77</v>
      </c>
      <c r="S543" s="5">
        <v>0.0</v>
      </c>
      <c r="T543" s="6" t="s">
        <v>270</v>
      </c>
      <c r="U543" s="5">
        <v>2.0210924E7</v>
      </c>
      <c r="V543" s="5">
        <v>2.0210924E7</v>
      </c>
      <c r="W543" s="5">
        <v>29.7412322370001</v>
      </c>
      <c r="X543" s="5">
        <v>-95.5280690339999</v>
      </c>
    </row>
    <row r="544" ht="15.75" customHeight="1">
      <c r="A544" s="5">
        <v>12037.0</v>
      </c>
      <c r="B544" s="6">
        <v>2021.0</v>
      </c>
      <c r="C544" s="6" t="str">
        <f t="shared" si="1"/>
        <v>16485 IMPERIAL VALLEY DR,Houston,Texas</v>
      </c>
      <c r="D544" s="6" t="s">
        <v>1124</v>
      </c>
      <c r="E544" s="6" t="s">
        <v>25</v>
      </c>
      <c r="F544" s="6" t="s">
        <v>26</v>
      </c>
      <c r="G544" s="6" t="s">
        <v>393</v>
      </c>
      <c r="H544" s="6" t="s">
        <v>28</v>
      </c>
      <c r="I544" s="6" t="str">
        <f>VLOOKUP(H544,'Flow Location'!$A$1:$B$21,2,FALSE)</f>
        <v>Storm Sewer (not contained)</v>
      </c>
      <c r="J544" s="5">
        <v>0.0</v>
      </c>
      <c r="K544" s="6" t="s">
        <v>1125</v>
      </c>
      <c r="L544" s="6" t="str">
        <f>VLOOKUP(K544,'Structure type'!$A$1:$B$15,2,FALSE)</f>
        <v>Private Cleanout</v>
      </c>
      <c r="M544" s="6" t="s">
        <v>30</v>
      </c>
      <c r="N544" s="6" t="str">
        <f>VLOOKUP(M544,'Excursion Cause'!$A$1:$B$34,2,FALSE)</f>
        <v>Grease Blockage</v>
      </c>
      <c r="O544" s="7">
        <v>44464.0</v>
      </c>
      <c r="P544" s="6" t="s">
        <v>288</v>
      </c>
      <c r="Q544" s="7">
        <v>44464.0</v>
      </c>
      <c r="R544" s="6" t="s">
        <v>288</v>
      </c>
      <c r="S544" s="5">
        <v>0.0</v>
      </c>
      <c r="T544" s="6" t="s">
        <v>59</v>
      </c>
      <c r="U544" s="5">
        <v>2.0210925E7</v>
      </c>
      <c r="V544" s="5">
        <v>2.0210925E7</v>
      </c>
      <c r="W544" s="5">
        <v>29.9376067330001</v>
      </c>
      <c r="X544" s="5">
        <v>-95.39776162</v>
      </c>
    </row>
    <row r="545" ht="15.75" customHeight="1">
      <c r="A545" s="5">
        <v>12038.0</v>
      </c>
      <c r="B545" s="6">
        <v>2021.0</v>
      </c>
      <c r="C545" s="6" t="str">
        <f t="shared" si="1"/>
        <v>8216 KIRBY DR,Houston,Texas</v>
      </c>
      <c r="D545" s="6" t="s">
        <v>1126</v>
      </c>
      <c r="E545" s="6" t="s">
        <v>25</v>
      </c>
      <c r="F545" s="6" t="s">
        <v>26</v>
      </c>
      <c r="G545" s="6" t="s">
        <v>426</v>
      </c>
      <c r="H545" s="6" t="s">
        <v>28</v>
      </c>
      <c r="I545" s="6" t="str">
        <f>VLOOKUP(H545,'Flow Location'!$A$1:$B$21,2,FALSE)</f>
        <v>Storm Sewer (not contained)</v>
      </c>
      <c r="J545" s="5">
        <v>270.0</v>
      </c>
      <c r="K545" s="6" t="s">
        <v>1127</v>
      </c>
      <c r="L545" s="6" t="str">
        <f>VLOOKUP(K545,'Structure type'!$A$1:$B$15,2,FALSE)</f>
        <v>Private Sample Well</v>
      </c>
      <c r="M545" s="6" t="s">
        <v>30</v>
      </c>
      <c r="N545" s="6" t="str">
        <f>VLOOKUP(M545,'Excursion Cause'!$A$1:$B$34,2,FALSE)</f>
        <v>Grease Blockage</v>
      </c>
      <c r="O545" s="7">
        <v>44464.0</v>
      </c>
      <c r="P545" s="6" t="s">
        <v>490</v>
      </c>
      <c r="Q545" s="7">
        <v>44464.0</v>
      </c>
      <c r="R545" s="6" t="s">
        <v>1128</v>
      </c>
      <c r="S545" s="5">
        <v>2.0</v>
      </c>
      <c r="T545" s="6" t="s">
        <v>33</v>
      </c>
      <c r="U545" s="5">
        <v>2.0210925E7</v>
      </c>
      <c r="V545" s="5">
        <v>2.0210925E7</v>
      </c>
      <c r="W545" s="5">
        <v>29.6898734660001</v>
      </c>
      <c r="X545" s="5">
        <v>-95.412642684</v>
      </c>
    </row>
    <row r="546" ht="15.75" customHeight="1">
      <c r="A546" s="5">
        <v>12045.0</v>
      </c>
      <c r="B546" s="6">
        <v>2021.0</v>
      </c>
      <c r="C546" s="6" t="str">
        <f t="shared" si="1"/>
        <v>355 SULKY TRAIL ST,Houston,Texas</v>
      </c>
      <c r="D546" s="6" t="s">
        <v>1129</v>
      </c>
      <c r="E546" s="6" t="s">
        <v>25</v>
      </c>
      <c r="F546" s="6" t="s">
        <v>26</v>
      </c>
      <c r="G546" s="6" t="s">
        <v>393</v>
      </c>
      <c r="H546" s="6" t="s">
        <v>50</v>
      </c>
      <c r="I546" s="6" t="str">
        <f>VLOOKUP(H546,'Flow Location'!$A$1:$B$21,2,FALSE)</f>
        <v>Contained On Site, not within 5 ft. of Bayou/Surface Water/Drainage Ditch</v>
      </c>
      <c r="J546" s="5">
        <v>0.0</v>
      </c>
      <c r="K546" s="6" t="s">
        <v>29</v>
      </c>
      <c r="L546" s="6" t="str">
        <f>VLOOKUP(K546,'Structure type'!$A$1:$B$15,2,FALSE)</f>
        <v>Manhole</v>
      </c>
      <c r="M546" s="6" t="s">
        <v>30</v>
      </c>
      <c r="N546" s="6" t="str">
        <f>VLOOKUP(M546,'Excursion Cause'!$A$1:$B$34,2,FALSE)</f>
        <v>Grease Blockage</v>
      </c>
      <c r="O546" s="7">
        <v>44465.0</v>
      </c>
      <c r="P546" s="6" t="s">
        <v>884</v>
      </c>
      <c r="Q546" s="7">
        <v>44465.0</v>
      </c>
      <c r="R546" s="6" t="s">
        <v>884</v>
      </c>
      <c r="S546" s="5">
        <v>0.0</v>
      </c>
      <c r="T546" s="6" t="s">
        <v>33</v>
      </c>
      <c r="U546" s="5">
        <v>2.0210926E7</v>
      </c>
      <c r="V546" s="5">
        <v>2.0210926E7</v>
      </c>
      <c r="W546" s="5">
        <v>29.930423358</v>
      </c>
      <c r="X546" s="5">
        <v>-95.397116046</v>
      </c>
    </row>
    <row r="547" ht="15.75" customHeight="1">
      <c r="A547" s="5">
        <v>12046.0</v>
      </c>
      <c r="B547" s="6">
        <v>2021.0</v>
      </c>
      <c r="C547" s="6" t="str">
        <f t="shared" si="1"/>
        <v>8106 TAREYTON LN,Houston,Texas</v>
      </c>
      <c r="D547" s="6" t="s">
        <v>1130</v>
      </c>
      <c r="E547" s="6" t="s">
        <v>25</v>
      </c>
      <c r="F547" s="6" t="s">
        <v>26</v>
      </c>
      <c r="G547" s="6" t="s">
        <v>95</v>
      </c>
      <c r="H547" s="6" t="s">
        <v>28</v>
      </c>
      <c r="I547" s="6" t="str">
        <f>VLOOKUP(H547,'Flow Location'!$A$1:$B$21,2,FALSE)</f>
        <v>Storm Sewer (not contained)</v>
      </c>
      <c r="J547" s="5">
        <v>0.0</v>
      </c>
      <c r="K547" s="6" t="s">
        <v>29</v>
      </c>
      <c r="L547" s="6" t="str">
        <f>VLOOKUP(K547,'Structure type'!$A$1:$B$15,2,FALSE)</f>
        <v>Manhole</v>
      </c>
      <c r="M547" s="6" t="s">
        <v>56</v>
      </c>
      <c r="N547" s="6" t="str">
        <f>VLOOKUP(M547,'Excursion Cause'!$A$1:$B$34,2,FALSE)</f>
        <v>Rags/Wipes</v>
      </c>
      <c r="O547" s="7">
        <v>44466.0</v>
      </c>
      <c r="P547" s="6" t="s">
        <v>1131</v>
      </c>
      <c r="Q547" s="7">
        <v>44466.0</v>
      </c>
      <c r="R547" s="6" t="s">
        <v>1131</v>
      </c>
      <c r="S547" s="5">
        <v>0.0</v>
      </c>
      <c r="T547" s="6" t="s">
        <v>33</v>
      </c>
      <c r="U547" s="5">
        <v>2.0210927E7</v>
      </c>
      <c r="V547" s="5">
        <v>2.0210927E7</v>
      </c>
      <c r="W547" s="5">
        <v>29.631748907</v>
      </c>
      <c r="X547" s="5">
        <v>-95.275229344</v>
      </c>
    </row>
    <row r="548" ht="15.75" customHeight="1">
      <c r="A548" s="5">
        <v>12047.0</v>
      </c>
      <c r="B548" s="6">
        <v>2021.0</v>
      </c>
      <c r="C548" s="6" t="str">
        <f t="shared" si="1"/>
        <v>3709 BOLIN RD,Houston,Texas</v>
      </c>
      <c r="D548" s="6" t="s">
        <v>1132</v>
      </c>
      <c r="E548" s="6" t="s">
        <v>25</v>
      </c>
      <c r="F548" s="6" t="s">
        <v>26</v>
      </c>
      <c r="G548" s="6" t="s">
        <v>76</v>
      </c>
      <c r="H548" s="6" t="s">
        <v>28</v>
      </c>
      <c r="I548" s="6" t="str">
        <f>VLOOKUP(H548,'Flow Location'!$A$1:$B$21,2,FALSE)</f>
        <v>Storm Sewer (not contained)</v>
      </c>
      <c r="J548" s="5">
        <v>0.0</v>
      </c>
      <c r="K548" s="6" t="s">
        <v>29</v>
      </c>
      <c r="L548" s="6" t="str">
        <f>VLOOKUP(K548,'Structure type'!$A$1:$B$15,2,FALSE)</f>
        <v>Manhole</v>
      </c>
      <c r="M548" s="6" t="s">
        <v>30</v>
      </c>
      <c r="N548" s="6" t="str">
        <f>VLOOKUP(M548,'Excursion Cause'!$A$1:$B$34,2,FALSE)</f>
        <v>Grease Blockage</v>
      </c>
      <c r="O548" s="7">
        <v>44466.0</v>
      </c>
      <c r="P548" s="6" t="s">
        <v>280</v>
      </c>
      <c r="Q548" s="7">
        <v>44466.0</v>
      </c>
      <c r="R548" s="6" t="s">
        <v>280</v>
      </c>
      <c r="S548" s="5">
        <v>0.0</v>
      </c>
      <c r="T548" s="6" t="s">
        <v>59</v>
      </c>
      <c r="U548" s="5">
        <v>2.0210927E7</v>
      </c>
      <c r="V548" s="5">
        <v>2.0210927E7</v>
      </c>
      <c r="W548" s="5">
        <v>29.822550318</v>
      </c>
      <c r="X548" s="5">
        <v>-95.481444362</v>
      </c>
    </row>
    <row r="549" ht="15.75" customHeight="1">
      <c r="A549" s="5">
        <v>12048.0</v>
      </c>
      <c r="B549" s="6">
        <v>2021.0</v>
      </c>
      <c r="C549" s="6" t="str">
        <f t="shared" si="1"/>
        <v>10615 MEADOWGLEN LN,Houston,Texas</v>
      </c>
      <c r="D549" s="6" t="s">
        <v>1133</v>
      </c>
      <c r="E549" s="6" t="s">
        <v>25</v>
      </c>
      <c r="F549" s="6" t="s">
        <v>26</v>
      </c>
      <c r="G549" s="6" t="s">
        <v>401</v>
      </c>
      <c r="H549" s="6" t="s">
        <v>28</v>
      </c>
      <c r="I549" s="6" t="str">
        <f>VLOOKUP(H549,'Flow Location'!$A$1:$B$21,2,FALSE)</f>
        <v>Storm Sewer (not contained)</v>
      </c>
      <c r="J549" s="5">
        <v>398.0</v>
      </c>
      <c r="K549" s="6" t="s">
        <v>29</v>
      </c>
      <c r="L549" s="6" t="str">
        <f>VLOOKUP(K549,'Structure type'!$A$1:$B$15,2,FALSE)</f>
        <v>Manhole</v>
      </c>
      <c r="M549" s="6" t="s">
        <v>30</v>
      </c>
      <c r="N549" s="6" t="str">
        <f>VLOOKUP(M549,'Excursion Cause'!$A$1:$B$34,2,FALSE)</f>
        <v>Grease Blockage</v>
      </c>
      <c r="O549" s="7">
        <v>44466.0</v>
      </c>
      <c r="P549" s="6" t="s">
        <v>684</v>
      </c>
      <c r="Q549" s="7">
        <v>44466.0</v>
      </c>
      <c r="R549" s="6" t="s">
        <v>70</v>
      </c>
      <c r="S549" s="5">
        <v>2.0</v>
      </c>
      <c r="T549" s="6" t="s">
        <v>33</v>
      </c>
      <c r="U549" s="5">
        <v>2.0210927E7</v>
      </c>
      <c r="V549" s="5">
        <v>2.0210927E7</v>
      </c>
      <c r="W549" s="5">
        <v>29.731204253</v>
      </c>
      <c r="X549" s="5">
        <v>-95.56230299</v>
      </c>
    </row>
    <row r="550" ht="15.75" customHeight="1">
      <c r="A550" s="5">
        <v>12054.0</v>
      </c>
      <c r="B550" s="6">
        <v>2021.0</v>
      </c>
      <c r="C550" s="6" t="str">
        <f t="shared" si="1"/>
        <v>5202 JERICHO CT,Houston,Texas</v>
      </c>
      <c r="D550" s="6" t="s">
        <v>1134</v>
      </c>
      <c r="E550" s="6" t="s">
        <v>25</v>
      </c>
      <c r="F550" s="6" t="s">
        <v>26</v>
      </c>
      <c r="G550" s="6" t="s">
        <v>222</v>
      </c>
      <c r="H550" s="6" t="s">
        <v>50</v>
      </c>
      <c r="I550" s="6" t="str">
        <f>VLOOKUP(H550,'Flow Location'!$A$1:$B$21,2,FALSE)</f>
        <v>Contained On Site, not within 5 ft. of Bayou/Surface Water/Drainage Ditch</v>
      </c>
      <c r="J550" s="5">
        <v>502.0</v>
      </c>
      <c r="K550" s="6" t="s">
        <v>29</v>
      </c>
      <c r="L550" s="6" t="str">
        <f>VLOOKUP(K550,'Structure type'!$A$1:$B$15,2,FALSE)</f>
        <v>Manhole</v>
      </c>
      <c r="M550" s="6" t="s">
        <v>52</v>
      </c>
      <c r="N550" s="6" t="str">
        <f>VLOOKUP(M550,'Excursion Cause'!$A$1:$B$34,2,FALSE)</f>
        <v>Collection system structural blockage</v>
      </c>
      <c r="O550" s="7">
        <v>44466.0</v>
      </c>
      <c r="P550" s="6" t="s">
        <v>995</v>
      </c>
      <c r="Q550" s="7">
        <v>44466.0</v>
      </c>
      <c r="R550" s="6" t="s">
        <v>1135</v>
      </c>
      <c r="S550" s="5">
        <v>1.0</v>
      </c>
      <c r="T550" s="6" t="s">
        <v>474</v>
      </c>
      <c r="U550" s="5">
        <v>2.0210927E7</v>
      </c>
      <c r="V550" s="5">
        <v>2.0210927E7</v>
      </c>
      <c r="W550" s="5">
        <v>29.841309059</v>
      </c>
      <c r="X550" s="5">
        <v>-95.426015088</v>
      </c>
    </row>
    <row r="551" ht="15.75" customHeight="1">
      <c r="A551" s="5">
        <v>12055.0</v>
      </c>
      <c r="B551" s="6">
        <v>2021.0</v>
      </c>
      <c r="C551" s="6" t="str">
        <f t="shared" si="1"/>
        <v>7537 MEADOWSHIRE ST,Houston,Texas</v>
      </c>
      <c r="D551" s="6" t="s">
        <v>1001</v>
      </c>
      <c r="E551" s="6" t="s">
        <v>25</v>
      </c>
      <c r="F551" s="6" t="s">
        <v>26</v>
      </c>
      <c r="G551" s="6" t="s">
        <v>570</v>
      </c>
      <c r="H551" s="6" t="s">
        <v>50</v>
      </c>
      <c r="I551" s="6" t="str">
        <f>VLOOKUP(H551,'Flow Location'!$A$1:$B$21,2,FALSE)</f>
        <v>Contained On Site, not within 5 ft. of Bayou/Surface Water/Drainage Ditch</v>
      </c>
      <c r="J551" s="5">
        <v>0.0</v>
      </c>
      <c r="K551" s="6" t="s">
        <v>45</v>
      </c>
      <c r="L551" s="6" t="str">
        <f>VLOOKUP(K551,'Structure type'!$A$1:$B$15,2,FALSE)</f>
        <v>City Cleanout</v>
      </c>
      <c r="M551" s="6" t="s">
        <v>52</v>
      </c>
      <c r="N551" s="6" t="str">
        <f>VLOOKUP(M551,'Excursion Cause'!$A$1:$B$34,2,FALSE)</f>
        <v>Collection system structural blockage</v>
      </c>
      <c r="O551" s="7">
        <v>44466.0</v>
      </c>
      <c r="P551" s="6" t="s">
        <v>757</v>
      </c>
      <c r="Q551" s="7">
        <v>44466.0</v>
      </c>
      <c r="R551" s="6" t="s">
        <v>757</v>
      </c>
      <c r="S551" s="5">
        <v>0.0</v>
      </c>
      <c r="T551" s="6" t="s">
        <v>107</v>
      </c>
      <c r="U551" s="5">
        <v>2.0210927E7</v>
      </c>
      <c r="V551" s="5">
        <v>2.0210927E7</v>
      </c>
      <c r="W551" s="5">
        <v>29.871659009</v>
      </c>
      <c r="X551" s="5">
        <v>-95.398862164</v>
      </c>
    </row>
    <row r="552" ht="15.75" customHeight="1">
      <c r="A552" s="5">
        <v>12057.0</v>
      </c>
      <c r="B552" s="6">
        <v>2021.0</v>
      </c>
      <c r="C552" s="6" t="str">
        <f t="shared" si="1"/>
        <v>10621 MAIN ST,Houston,Texas</v>
      </c>
      <c r="D552" s="6" t="s">
        <v>1136</v>
      </c>
      <c r="E552" s="6" t="s">
        <v>25</v>
      </c>
      <c r="F552" s="6" t="s">
        <v>26</v>
      </c>
      <c r="G552" s="6" t="s">
        <v>426</v>
      </c>
      <c r="H552" s="6" t="s">
        <v>28</v>
      </c>
      <c r="I552" s="6" t="str">
        <f>VLOOKUP(H552,'Flow Location'!$A$1:$B$21,2,FALSE)</f>
        <v>Storm Sewer (not contained)</v>
      </c>
      <c r="J552" s="5">
        <v>178.0</v>
      </c>
      <c r="K552" s="6" t="s">
        <v>29</v>
      </c>
      <c r="L552" s="6" t="str">
        <f>VLOOKUP(K552,'Structure type'!$A$1:$B$15,2,FALSE)</f>
        <v>Manhole</v>
      </c>
      <c r="M552" s="6" t="s">
        <v>30</v>
      </c>
      <c r="N552" s="6" t="str">
        <f>VLOOKUP(M552,'Excursion Cause'!$A$1:$B$34,2,FALSE)</f>
        <v>Grease Blockage</v>
      </c>
      <c r="O552" s="7">
        <v>44466.0</v>
      </c>
      <c r="P552" s="6" t="s">
        <v>564</v>
      </c>
      <c r="Q552" s="7">
        <v>44466.0</v>
      </c>
      <c r="R552" s="6" t="s">
        <v>1137</v>
      </c>
      <c r="S552" s="5">
        <v>1.0</v>
      </c>
      <c r="T552" s="6" t="s">
        <v>33</v>
      </c>
      <c r="U552" s="5">
        <v>2.0210927E7</v>
      </c>
      <c r="V552" s="5">
        <v>2.0210927E7</v>
      </c>
      <c r="W552" s="5">
        <v>29.670278462</v>
      </c>
      <c r="X552" s="5">
        <v>-95.433257807</v>
      </c>
    </row>
    <row r="553" ht="15.75" customHeight="1">
      <c r="A553" s="5">
        <v>12059.0</v>
      </c>
      <c r="B553" s="6">
        <v>2021.0</v>
      </c>
      <c r="C553" s="6" t="str">
        <f t="shared" si="1"/>
        <v>5734 KULDELL DR,Houston,Texas</v>
      </c>
      <c r="D553" s="6" t="s">
        <v>1138</v>
      </c>
      <c r="E553" s="6" t="s">
        <v>25</v>
      </c>
      <c r="F553" s="6" t="s">
        <v>26</v>
      </c>
      <c r="G553" s="6" t="s">
        <v>69</v>
      </c>
      <c r="H553" s="6" t="s">
        <v>50</v>
      </c>
      <c r="I553" s="6" t="str">
        <f>VLOOKUP(H553,'Flow Location'!$A$1:$B$21,2,FALSE)</f>
        <v>Contained On Site, not within 5 ft. of Bayou/Surface Water/Drainage Ditch</v>
      </c>
      <c r="J553" s="5">
        <v>652.0</v>
      </c>
      <c r="K553" s="6" t="s">
        <v>29</v>
      </c>
      <c r="L553" s="6" t="str">
        <f>VLOOKUP(K553,'Structure type'!$A$1:$B$15,2,FALSE)</f>
        <v>Manhole</v>
      </c>
      <c r="M553" s="6" t="s">
        <v>30</v>
      </c>
      <c r="N553" s="6" t="str">
        <f>VLOOKUP(M553,'Excursion Cause'!$A$1:$B$34,2,FALSE)</f>
        <v>Grease Blockage</v>
      </c>
      <c r="O553" s="7">
        <v>44466.0</v>
      </c>
      <c r="P553" s="6" t="s">
        <v>522</v>
      </c>
      <c r="Q553" s="7">
        <v>44466.0</v>
      </c>
      <c r="R553" s="6" t="s">
        <v>317</v>
      </c>
      <c r="S553" s="5">
        <v>2.0</v>
      </c>
      <c r="T553" s="6" t="s">
        <v>474</v>
      </c>
      <c r="U553" s="5">
        <v>2.0210927E7</v>
      </c>
      <c r="V553" s="5">
        <v>2.0210927E7</v>
      </c>
      <c r="W553" s="5">
        <v>29.6810910340001</v>
      </c>
      <c r="X553" s="5">
        <v>-95.490440827</v>
      </c>
    </row>
    <row r="554" ht="15.75" customHeight="1">
      <c r="A554" s="5">
        <v>12061.0</v>
      </c>
      <c r="B554" s="6">
        <v>2021.0</v>
      </c>
      <c r="C554" s="6" t="str">
        <f t="shared" si="1"/>
        <v>1611 GANO ST,Houston,Texas</v>
      </c>
      <c r="D554" s="6" t="s">
        <v>1139</v>
      </c>
      <c r="E554" s="6" t="s">
        <v>25</v>
      </c>
      <c r="F554" s="6" t="s">
        <v>26</v>
      </c>
      <c r="G554" s="6" t="s">
        <v>161</v>
      </c>
      <c r="H554" s="6" t="s">
        <v>44</v>
      </c>
      <c r="I554" s="6" t="str">
        <f>VLOOKUP(H554,'Flow Location'!$A$1:$B$21,2,FALSE)</f>
        <v>Bayou/surface water/drainage ditch</v>
      </c>
      <c r="J554" s="5">
        <v>0.0</v>
      </c>
      <c r="K554" s="6" t="s">
        <v>45</v>
      </c>
      <c r="L554" s="6" t="str">
        <f>VLOOKUP(K554,'Structure type'!$A$1:$B$15,2,FALSE)</f>
        <v>City Cleanout</v>
      </c>
      <c r="M554" s="6" t="s">
        <v>30</v>
      </c>
      <c r="N554" s="6" t="str">
        <f>VLOOKUP(M554,'Excursion Cause'!$A$1:$B$34,2,FALSE)</f>
        <v>Grease Blockage</v>
      </c>
      <c r="O554" s="7">
        <v>44467.0</v>
      </c>
      <c r="P554" s="6" t="s">
        <v>208</v>
      </c>
      <c r="Q554" s="7">
        <v>44467.0</v>
      </c>
      <c r="R554" s="6" t="s">
        <v>208</v>
      </c>
      <c r="S554" s="5">
        <v>0.0</v>
      </c>
      <c r="T554" s="6" t="s">
        <v>170</v>
      </c>
      <c r="U554" s="5">
        <v>2.0210928E7</v>
      </c>
      <c r="V554" s="5">
        <v>2.0210928E7</v>
      </c>
      <c r="W554" s="5">
        <v>29.7760136150001</v>
      </c>
      <c r="X554" s="5">
        <v>-95.3546231499999</v>
      </c>
    </row>
    <row r="555" ht="15.75" customHeight="1">
      <c r="A555" s="5">
        <v>12062.0</v>
      </c>
      <c r="B555" s="6">
        <v>2021.0</v>
      </c>
      <c r="C555" s="6" t="str">
        <f t="shared" si="1"/>
        <v>16314 BERETTA CT,Houston,Texas</v>
      </c>
      <c r="D555" s="6" t="s">
        <v>1140</v>
      </c>
      <c r="E555" s="6" t="s">
        <v>25</v>
      </c>
      <c r="F555" s="6" t="s">
        <v>26</v>
      </c>
      <c r="G555" s="6" t="s">
        <v>166</v>
      </c>
      <c r="H555" s="6" t="s">
        <v>50</v>
      </c>
      <c r="I555" s="6" t="str">
        <f>VLOOKUP(H555,'Flow Location'!$A$1:$B$21,2,FALSE)</f>
        <v>Contained On Site, not within 5 ft. of Bayou/Surface Water/Drainage Ditch</v>
      </c>
      <c r="J555" s="5">
        <v>390.0</v>
      </c>
      <c r="K555" s="6" t="s">
        <v>29</v>
      </c>
      <c r="L555" s="6" t="str">
        <f>VLOOKUP(K555,'Structure type'!$A$1:$B$15,2,FALSE)</f>
        <v>Manhole</v>
      </c>
      <c r="M555" s="6" t="s">
        <v>30</v>
      </c>
      <c r="N555" s="6" t="str">
        <f>VLOOKUP(M555,'Excursion Cause'!$A$1:$B$34,2,FALSE)</f>
        <v>Grease Blockage</v>
      </c>
      <c r="O555" s="7">
        <v>44467.0</v>
      </c>
      <c r="P555" s="6" t="s">
        <v>1141</v>
      </c>
      <c r="Q555" s="7">
        <v>44467.0</v>
      </c>
      <c r="R555" s="6" t="s">
        <v>40</v>
      </c>
      <c r="S555" s="5">
        <v>2.0</v>
      </c>
      <c r="T555" s="6" t="s">
        <v>59</v>
      </c>
      <c r="U555" s="5">
        <v>2.0210928E7</v>
      </c>
      <c r="V555" s="5">
        <v>2.0210928E7</v>
      </c>
      <c r="W555" s="5">
        <v>29.5907212930001</v>
      </c>
      <c r="X555" s="5">
        <v>-95.51469378</v>
      </c>
    </row>
    <row r="556" ht="15.75" customHeight="1">
      <c r="A556" s="5">
        <v>12063.0</v>
      </c>
      <c r="B556" s="6">
        <v>2021.0</v>
      </c>
      <c r="C556" s="6" t="str">
        <f t="shared" si="1"/>
        <v>16314 BERETTA CT,Houston,Texas</v>
      </c>
      <c r="D556" s="6" t="s">
        <v>1140</v>
      </c>
      <c r="E556" s="6" t="s">
        <v>25</v>
      </c>
      <c r="F556" s="6" t="s">
        <v>26</v>
      </c>
      <c r="G556" s="6" t="s">
        <v>166</v>
      </c>
      <c r="H556" s="6" t="s">
        <v>50</v>
      </c>
      <c r="I556" s="6" t="str">
        <f>VLOOKUP(H556,'Flow Location'!$A$1:$B$21,2,FALSE)</f>
        <v>Contained On Site, not within 5 ft. of Bayou/Surface Water/Drainage Ditch</v>
      </c>
      <c r="J556" s="5">
        <v>390.0</v>
      </c>
      <c r="K556" s="6" t="s">
        <v>29</v>
      </c>
      <c r="L556" s="6" t="str">
        <f>VLOOKUP(K556,'Structure type'!$A$1:$B$15,2,FALSE)</f>
        <v>Manhole</v>
      </c>
      <c r="M556" s="6" t="s">
        <v>30</v>
      </c>
      <c r="N556" s="6" t="str">
        <f>VLOOKUP(M556,'Excursion Cause'!$A$1:$B$34,2,FALSE)</f>
        <v>Grease Blockage</v>
      </c>
      <c r="O556" s="7">
        <v>44467.0</v>
      </c>
      <c r="P556" s="6" t="s">
        <v>1141</v>
      </c>
      <c r="Q556" s="7">
        <v>44467.0</v>
      </c>
      <c r="R556" s="6" t="s">
        <v>40</v>
      </c>
      <c r="S556" s="5">
        <v>2.0</v>
      </c>
      <c r="T556" s="6" t="s">
        <v>59</v>
      </c>
      <c r="U556" s="5">
        <v>2.0210928E7</v>
      </c>
      <c r="V556" s="5">
        <v>2.0210928E7</v>
      </c>
      <c r="W556" s="5">
        <v>29.5907212930001</v>
      </c>
      <c r="X556" s="5">
        <v>-95.51469378</v>
      </c>
    </row>
    <row r="557" ht="15.75" customHeight="1">
      <c r="A557" s="5">
        <v>12064.0</v>
      </c>
      <c r="B557" s="6">
        <v>2021.0</v>
      </c>
      <c r="C557" s="6" t="str">
        <f t="shared" si="1"/>
        <v>802 MARLEEN ST,Houston,Texas</v>
      </c>
      <c r="D557" s="6" t="s">
        <v>1100</v>
      </c>
      <c r="E557" s="6" t="s">
        <v>25</v>
      </c>
      <c r="F557" s="6" t="s">
        <v>26</v>
      </c>
      <c r="G557" s="6" t="s">
        <v>49</v>
      </c>
      <c r="H557" s="6" t="s">
        <v>50</v>
      </c>
      <c r="I557" s="6" t="str">
        <f>VLOOKUP(H557,'Flow Location'!$A$1:$B$21,2,FALSE)</f>
        <v>Contained On Site, not within 5 ft. of Bayou/Surface Water/Drainage Ditch</v>
      </c>
      <c r="J557" s="5">
        <v>60.0</v>
      </c>
      <c r="K557" s="6" t="s">
        <v>29</v>
      </c>
      <c r="L557" s="6" t="str">
        <f>VLOOKUP(K557,'Structure type'!$A$1:$B$15,2,FALSE)</f>
        <v>Manhole</v>
      </c>
      <c r="M557" s="6" t="s">
        <v>52</v>
      </c>
      <c r="N557" s="6" t="str">
        <f>VLOOKUP(M557,'Excursion Cause'!$A$1:$B$34,2,FALSE)</f>
        <v>Collection system structural blockage</v>
      </c>
      <c r="O557" s="7">
        <v>44467.0</v>
      </c>
      <c r="P557" s="6" t="s">
        <v>152</v>
      </c>
      <c r="Q557" s="7">
        <v>44467.0</v>
      </c>
      <c r="R557" s="6" t="s">
        <v>374</v>
      </c>
      <c r="S557" s="5">
        <v>1.0</v>
      </c>
      <c r="T557" s="6" t="s">
        <v>474</v>
      </c>
      <c r="U557" s="5">
        <v>2.0210928E7</v>
      </c>
      <c r="V557" s="5">
        <v>2.0210928E7</v>
      </c>
      <c r="W557" s="5">
        <v>29.651778764</v>
      </c>
      <c r="X557" s="5">
        <v>-95.23336618</v>
      </c>
    </row>
    <row r="558" ht="15.75" customHeight="1">
      <c r="A558" s="5">
        <v>12067.0</v>
      </c>
      <c r="B558" s="6">
        <v>2021.0</v>
      </c>
      <c r="C558" s="6" t="str">
        <f t="shared" si="1"/>
        <v>10333 HARWIN DR,Houston,Texas</v>
      </c>
      <c r="D558" s="6" t="s">
        <v>1142</v>
      </c>
      <c r="E558" s="6" t="s">
        <v>25</v>
      </c>
      <c r="F558" s="6" t="s">
        <v>26</v>
      </c>
      <c r="G558" s="6" t="s">
        <v>100</v>
      </c>
      <c r="H558" s="6" t="s">
        <v>28</v>
      </c>
      <c r="I558" s="6" t="str">
        <f>VLOOKUP(H558,'Flow Location'!$A$1:$B$21,2,FALSE)</f>
        <v>Storm Sewer (not contained)</v>
      </c>
      <c r="J558" s="5">
        <v>1490.0</v>
      </c>
      <c r="K558" s="6" t="s">
        <v>29</v>
      </c>
      <c r="L558" s="6" t="str">
        <f>VLOOKUP(K558,'Structure type'!$A$1:$B$15,2,FALSE)</f>
        <v>Manhole</v>
      </c>
      <c r="M558" s="6" t="s">
        <v>30</v>
      </c>
      <c r="N558" s="6" t="str">
        <f>VLOOKUP(M558,'Excursion Cause'!$A$1:$B$34,2,FALSE)</f>
        <v>Grease Blockage</v>
      </c>
      <c r="O558" s="7">
        <v>44467.0</v>
      </c>
      <c r="P558" s="6" t="s">
        <v>329</v>
      </c>
      <c r="Q558" s="7">
        <v>44467.0</v>
      </c>
      <c r="R558" s="6" t="s">
        <v>751</v>
      </c>
      <c r="S558" s="5">
        <v>5.0</v>
      </c>
      <c r="T558" s="6" t="s">
        <v>33</v>
      </c>
      <c r="U558" s="5">
        <v>2.0210928E7</v>
      </c>
      <c r="V558" s="5">
        <v>2.0210928E7</v>
      </c>
      <c r="W558" s="5">
        <v>29.716624687</v>
      </c>
      <c r="X558" s="5">
        <v>-95.548074206</v>
      </c>
    </row>
    <row r="559" ht="15.75" customHeight="1">
      <c r="A559" s="5">
        <v>12068.0</v>
      </c>
      <c r="B559" s="6">
        <v>2021.0</v>
      </c>
      <c r="C559" s="6" t="str">
        <f t="shared" si="1"/>
        <v>8618 BANTING ST,Houston,Texas</v>
      </c>
      <c r="D559" s="6" t="s">
        <v>1143</v>
      </c>
      <c r="E559" s="6" t="s">
        <v>25</v>
      </c>
      <c r="F559" s="6" t="s">
        <v>26</v>
      </c>
      <c r="G559" s="6" t="s">
        <v>387</v>
      </c>
      <c r="H559" s="6" t="s">
        <v>50</v>
      </c>
      <c r="I559" s="6" t="str">
        <f>VLOOKUP(H559,'Flow Location'!$A$1:$B$21,2,FALSE)</f>
        <v>Contained On Site, not within 5 ft. of Bayou/Surface Water/Drainage Ditch</v>
      </c>
      <c r="J559" s="5">
        <v>0.0</v>
      </c>
      <c r="K559" s="6" t="s">
        <v>45</v>
      </c>
      <c r="L559" s="6" t="str">
        <f>VLOOKUP(K559,'Structure type'!$A$1:$B$15,2,FALSE)</f>
        <v>City Cleanout</v>
      </c>
      <c r="M559" s="6" t="s">
        <v>52</v>
      </c>
      <c r="N559" s="6" t="str">
        <f>VLOOKUP(M559,'Excursion Cause'!$A$1:$B$34,2,FALSE)</f>
        <v>Collection system structural blockage</v>
      </c>
      <c r="O559" s="7">
        <v>44467.0</v>
      </c>
      <c r="P559" s="6" t="s">
        <v>1144</v>
      </c>
      <c r="Q559" s="7">
        <v>44467.0</v>
      </c>
      <c r="R559" s="6" t="s">
        <v>1144</v>
      </c>
      <c r="S559" s="5">
        <v>0.0</v>
      </c>
      <c r="T559" s="6" t="s">
        <v>118</v>
      </c>
      <c r="U559" s="5">
        <v>2.0210928E7</v>
      </c>
      <c r="V559" s="5">
        <v>2.0210928E7</v>
      </c>
      <c r="W559" s="5">
        <v>29.839709247</v>
      </c>
      <c r="X559" s="5">
        <v>-95.248040545</v>
      </c>
    </row>
    <row r="560" ht="15.75" customHeight="1">
      <c r="A560" s="5">
        <v>12071.0</v>
      </c>
      <c r="B560" s="6">
        <v>2021.0</v>
      </c>
      <c r="C560" s="6" t="str">
        <f t="shared" si="1"/>
        <v>8110 CREEKBEND DR,Houston,Texas</v>
      </c>
      <c r="D560" s="6" t="s">
        <v>1028</v>
      </c>
      <c r="E560" s="6" t="s">
        <v>25</v>
      </c>
      <c r="F560" s="6" t="s">
        <v>26</v>
      </c>
      <c r="G560" s="6" t="s">
        <v>148</v>
      </c>
      <c r="H560" s="6" t="s">
        <v>28</v>
      </c>
      <c r="I560" s="6" t="str">
        <f>VLOOKUP(H560,'Flow Location'!$A$1:$B$21,2,FALSE)</f>
        <v>Storm Sewer (not contained)</v>
      </c>
      <c r="J560" s="5">
        <v>1086.0</v>
      </c>
      <c r="K560" s="6" t="s">
        <v>29</v>
      </c>
      <c r="L560" s="6" t="str">
        <f>VLOOKUP(K560,'Structure type'!$A$1:$B$15,2,FALSE)</f>
        <v>Manhole</v>
      </c>
      <c r="M560" s="6" t="s">
        <v>30</v>
      </c>
      <c r="N560" s="6" t="str">
        <f>VLOOKUP(M560,'Excursion Cause'!$A$1:$B$34,2,FALSE)</f>
        <v>Grease Blockage</v>
      </c>
      <c r="O560" s="7">
        <v>44468.0</v>
      </c>
      <c r="P560" s="6" t="s">
        <v>1145</v>
      </c>
      <c r="Q560" s="7">
        <v>44468.0</v>
      </c>
      <c r="R560" s="6" t="s">
        <v>1146</v>
      </c>
      <c r="S560" s="5">
        <v>2.0</v>
      </c>
      <c r="T560" s="6" t="s">
        <v>33</v>
      </c>
      <c r="U560" s="5">
        <v>2.0210929E7</v>
      </c>
      <c r="V560" s="5">
        <v>2.0210929E7</v>
      </c>
      <c r="W560" s="5">
        <v>29.665497467</v>
      </c>
      <c r="X560" s="5">
        <v>-95.523394028</v>
      </c>
    </row>
    <row r="561" ht="15.75" customHeight="1">
      <c r="A561" s="5">
        <v>12072.0</v>
      </c>
      <c r="B561" s="6">
        <v>2021.0</v>
      </c>
      <c r="C561" s="6" t="str">
        <f t="shared" si="1"/>
        <v>6919 LIVERPOOL ST,Houston,Texas</v>
      </c>
      <c r="D561" s="6" t="s">
        <v>1147</v>
      </c>
      <c r="E561" s="6" t="s">
        <v>25</v>
      </c>
      <c r="F561" s="6" t="s">
        <v>26</v>
      </c>
      <c r="G561" s="6" t="s">
        <v>238</v>
      </c>
      <c r="H561" s="6" t="s">
        <v>28</v>
      </c>
      <c r="I561" s="6" t="str">
        <f>VLOOKUP(H561,'Flow Location'!$A$1:$B$21,2,FALSE)</f>
        <v>Storm Sewer (not contained)</v>
      </c>
      <c r="J561" s="5">
        <v>0.0</v>
      </c>
      <c r="K561" s="6" t="s">
        <v>45</v>
      </c>
      <c r="L561" s="6" t="str">
        <f>VLOOKUP(K561,'Structure type'!$A$1:$B$15,2,FALSE)</f>
        <v>City Cleanout</v>
      </c>
      <c r="M561" s="6" t="s">
        <v>56</v>
      </c>
      <c r="N561" s="6" t="str">
        <f>VLOOKUP(M561,'Excursion Cause'!$A$1:$B$34,2,FALSE)</f>
        <v>Rags/Wipes</v>
      </c>
      <c r="O561" s="7">
        <v>44468.0</v>
      </c>
      <c r="P561" s="6" t="s">
        <v>530</v>
      </c>
      <c r="Q561" s="7">
        <v>44468.0</v>
      </c>
      <c r="R561" s="6" t="s">
        <v>530</v>
      </c>
      <c r="S561" s="5">
        <v>0.0</v>
      </c>
      <c r="T561" s="6" t="s">
        <v>270</v>
      </c>
      <c r="U561" s="5">
        <v>2.0210929E7</v>
      </c>
      <c r="V561" s="5">
        <v>2.0210929E7</v>
      </c>
      <c r="W561" s="5">
        <v>29.686606527</v>
      </c>
      <c r="X561" s="5">
        <v>-95.3504063349999</v>
      </c>
    </row>
    <row r="562" ht="15.75" customHeight="1">
      <c r="A562" s="5">
        <v>12075.0</v>
      </c>
      <c r="B562" s="6">
        <v>2021.0</v>
      </c>
      <c r="C562" s="6" t="str">
        <f t="shared" si="1"/>
        <v>7709 SHERMAN ST,Houston,Texas</v>
      </c>
      <c r="D562" s="6" t="s">
        <v>1148</v>
      </c>
      <c r="E562" s="6" t="s">
        <v>25</v>
      </c>
      <c r="F562" s="6" t="s">
        <v>26</v>
      </c>
      <c r="G562" s="6" t="s">
        <v>365</v>
      </c>
      <c r="H562" s="6" t="s">
        <v>50</v>
      </c>
      <c r="I562" s="6" t="str">
        <f>VLOOKUP(H562,'Flow Location'!$A$1:$B$21,2,FALSE)</f>
        <v>Contained On Site, not within 5 ft. of Bayou/Surface Water/Drainage Ditch</v>
      </c>
      <c r="J562" s="5">
        <v>0.0</v>
      </c>
      <c r="K562" s="6" t="s">
        <v>198</v>
      </c>
      <c r="L562" s="6" t="str">
        <f>VLOOKUP(K562,'Structure type'!$A$1:$B$15,2,FALSE)</f>
        <v>Service Lateral</v>
      </c>
      <c r="M562" s="6" t="s">
        <v>81</v>
      </c>
      <c r="N562" s="6" t="str">
        <f>VLOOKUP(M562,'Excursion Cause'!$A$1:$B$34,2,FALSE)</f>
        <v>Collection system structural failure</v>
      </c>
      <c r="O562" s="7">
        <v>44468.0</v>
      </c>
      <c r="P562" s="6" t="s">
        <v>854</v>
      </c>
      <c r="Q562" s="7">
        <v>44468.0</v>
      </c>
      <c r="R562" s="6" t="s">
        <v>854</v>
      </c>
      <c r="S562" s="5">
        <v>0.0</v>
      </c>
      <c r="T562" s="6" t="s">
        <v>118</v>
      </c>
      <c r="U562" s="5">
        <v>2.0210929E7</v>
      </c>
      <c r="V562" s="5">
        <v>2.0210929E7</v>
      </c>
      <c r="W562" s="5">
        <v>29.7330553130001</v>
      </c>
      <c r="X562" s="5">
        <v>-95.286949088</v>
      </c>
    </row>
    <row r="563" ht="15.75" customHeight="1">
      <c r="A563" s="5">
        <v>12078.0</v>
      </c>
      <c r="B563" s="6">
        <v>2021.0</v>
      </c>
      <c r="C563" s="6" t="str">
        <f t="shared" si="1"/>
        <v>2209 PINE BEND DR,Houston,Texas</v>
      </c>
      <c r="D563" s="6" t="s">
        <v>1149</v>
      </c>
      <c r="E563" s="6" t="s">
        <v>25</v>
      </c>
      <c r="F563" s="6" t="s">
        <v>26</v>
      </c>
      <c r="G563" s="6" t="s">
        <v>1078</v>
      </c>
      <c r="H563" s="6" t="s">
        <v>50</v>
      </c>
      <c r="I563" s="6" t="str">
        <f>VLOOKUP(H563,'Flow Location'!$A$1:$B$21,2,FALSE)</f>
        <v>Contained On Site, not within 5 ft. of Bayou/Surface Water/Drainage Ditch</v>
      </c>
      <c r="J563" s="5">
        <v>3900.0</v>
      </c>
      <c r="K563" s="6" t="s">
        <v>29</v>
      </c>
      <c r="L563" s="6" t="str">
        <f>VLOOKUP(K563,'Structure type'!$A$1:$B$15,2,FALSE)</f>
        <v>Manhole</v>
      </c>
      <c r="M563" s="6" t="s">
        <v>977</v>
      </c>
      <c r="N563" s="6" t="str">
        <f>VLOOKUP(M563,'Excursion Cause'!$A$1:$B$34,2,FALSE)</f>
        <v>Pump/Lift Station Electrical Failure</v>
      </c>
      <c r="O563" s="7">
        <v>44468.0</v>
      </c>
      <c r="P563" s="6" t="s">
        <v>331</v>
      </c>
      <c r="Q563" s="7">
        <v>44468.0</v>
      </c>
      <c r="R563" s="6" t="s">
        <v>152</v>
      </c>
      <c r="S563" s="5">
        <v>130.0</v>
      </c>
      <c r="T563" s="6" t="s">
        <v>98</v>
      </c>
      <c r="U563" s="5">
        <v>2.0210929E7</v>
      </c>
      <c r="V563" s="5">
        <v>2.0210929E7</v>
      </c>
      <c r="W563" s="5">
        <v>30.039538848</v>
      </c>
      <c r="X563" s="5">
        <v>-95.2015776439999</v>
      </c>
    </row>
    <row r="564" ht="15.75" customHeight="1">
      <c r="A564" s="5">
        <v>12079.0</v>
      </c>
      <c r="B564" s="6">
        <v>2021.0</v>
      </c>
      <c r="C564" s="6" t="str">
        <f t="shared" si="1"/>
        <v>506 N EVERTON ST,Houston,Texas</v>
      </c>
      <c r="D564" s="6" t="s">
        <v>1150</v>
      </c>
      <c r="E564" s="6" t="s">
        <v>25</v>
      </c>
      <c r="F564" s="6" t="s">
        <v>26</v>
      </c>
      <c r="G564" s="6" t="s">
        <v>172</v>
      </c>
      <c r="H564" s="6" t="s">
        <v>50</v>
      </c>
      <c r="I564" s="6" t="str">
        <f>VLOOKUP(H564,'Flow Location'!$A$1:$B$21,2,FALSE)</f>
        <v>Contained On Site, not within 5 ft. of Bayou/Surface Water/Drainage Ditch</v>
      </c>
      <c r="J564" s="5">
        <v>0.0</v>
      </c>
      <c r="K564" s="6" t="s">
        <v>45</v>
      </c>
      <c r="L564" s="6" t="str">
        <f>VLOOKUP(K564,'Structure type'!$A$1:$B$15,2,FALSE)</f>
        <v>City Cleanout</v>
      </c>
      <c r="M564" s="6" t="s">
        <v>52</v>
      </c>
      <c r="N564" s="6" t="str">
        <f>VLOOKUP(M564,'Excursion Cause'!$A$1:$B$34,2,FALSE)</f>
        <v>Collection system structural blockage</v>
      </c>
      <c r="O564" s="7">
        <v>44468.0</v>
      </c>
      <c r="P564" s="6" t="s">
        <v>1015</v>
      </c>
      <c r="Q564" s="7">
        <v>44468.0</v>
      </c>
      <c r="R564" s="6" t="s">
        <v>1015</v>
      </c>
      <c r="S564" s="5">
        <v>0.0</v>
      </c>
      <c r="T564" s="6" t="s">
        <v>107</v>
      </c>
      <c r="U564" s="5">
        <v>2.0210929E7</v>
      </c>
      <c r="V564" s="5">
        <v>2.0210929E7</v>
      </c>
      <c r="W564" s="5">
        <v>29.7556847330001</v>
      </c>
      <c r="X564" s="5">
        <v>-95.332099048</v>
      </c>
    </row>
    <row r="565" ht="15.75" customHeight="1">
      <c r="A565" s="5">
        <v>12083.0</v>
      </c>
      <c r="B565" s="6">
        <v>2021.0</v>
      </c>
      <c r="C565" s="6" t="str">
        <f t="shared" si="1"/>
        <v>7550 LONG POINT RD,Houston,Texas</v>
      </c>
      <c r="D565" s="6" t="s">
        <v>1151</v>
      </c>
      <c r="E565" s="6" t="s">
        <v>25</v>
      </c>
      <c r="F565" s="6" t="s">
        <v>26</v>
      </c>
      <c r="G565" s="6" t="s">
        <v>27</v>
      </c>
      <c r="H565" s="6" t="s">
        <v>50</v>
      </c>
      <c r="I565" s="6" t="str">
        <f>VLOOKUP(H565,'Flow Location'!$A$1:$B$21,2,FALSE)</f>
        <v>Contained On Site, not within 5 ft. of Bayou/Surface Water/Drainage Ditch</v>
      </c>
      <c r="J565" s="5">
        <v>195.0</v>
      </c>
      <c r="K565" s="6" t="s">
        <v>29</v>
      </c>
      <c r="L565" s="6" t="str">
        <f>VLOOKUP(K565,'Structure type'!$A$1:$B$15,2,FALSE)</f>
        <v>Manhole</v>
      </c>
      <c r="M565" s="6" t="s">
        <v>30</v>
      </c>
      <c r="N565" s="6" t="str">
        <f>VLOOKUP(M565,'Excursion Cause'!$A$1:$B$34,2,FALSE)</f>
        <v>Grease Blockage</v>
      </c>
      <c r="O565" s="7">
        <v>44469.0</v>
      </c>
      <c r="P565" s="6" t="s">
        <v>1071</v>
      </c>
      <c r="Q565" s="7">
        <v>44469.0</v>
      </c>
      <c r="R565" s="6" t="s">
        <v>529</v>
      </c>
      <c r="S565" s="5">
        <v>1.0</v>
      </c>
      <c r="T565" s="6" t="s">
        <v>33</v>
      </c>
      <c r="U565" s="5">
        <v>2.021093E7</v>
      </c>
      <c r="V565" s="5">
        <v>2.021093E7</v>
      </c>
      <c r="W565" s="5">
        <v>29.802857498</v>
      </c>
      <c r="X565" s="5">
        <v>-95.479125006</v>
      </c>
    </row>
    <row r="566" ht="15.75" customHeight="1">
      <c r="A566" s="5">
        <v>12084.0</v>
      </c>
      <c r="B566" s="6">
        <v>2021.0</v>
      </c>
      <c r="C566" s="6" t="str">
        <f t="shared" si="1"/>
        <v>5701 GULF FWY,Houston,Texas</v>
      </c>
      <c r="D566" s="6" t="s">
        <v>538</v>
      </c>
      <c r="E566" s="6" t="s">
        <v>25</v>
      </c>
      <c r="F566" s="6" t="s">
        <v>26</v>
      </c>
      <c r="G566" s="6" t="s">
        <v>141</v>
      </c>
      <c r="H566" s="6" t="s">
        <v>28</v>
      </c>
      <c r="I566" s="6" t="str">
        <f>VLOOKUP(H566,'Flow Location'!$A$1:$B$21,2,FALSE)</f>
        <v>Storm Sewer (not contained)</v>
      </c>
      <c r="J566" s="5">
        <v>1080.0</v>
      </c>
      <c r="K566" s="6" t="s">
        <v>29</v>
      </c>
      <c r="L566" s="6" t="str">
        <f>VLOOKUP(K566,'Structure type'!$A$1:$B$15,2,FALSE)</f>
        <v>Manhole</v>
      </c>
      <c r="M566" s="6" t="s">
        <v>30</v>
      </c>
      <c r="N566" s="6" t="str">
        <f>VLOOKUP(M566,'Excursion Cause'!$A$1:$B$34,2,FALSE)</f>
        <v>Grease Blockage</v>
      </c>
      <c r="O566" s="7">
        <v>44469.0</v>
      </c>
      <c r="P566" s="6" t="s">
        <v>368</v>
      </c>
      <c r="Q566" s="7">
        <v>44469.0</v>
      </c>
      <c r="R566" s="6" t="s">
        <v>522</v>
      </c>
      <c r="S566" s="5">
        <v>3.0</v>
      </c>
      <c r="T566" s="6" t="s">
        <v>33</v>
      </c>
      <c r="U566" s="5">
        <v>2.021093E7</v>
      </c>
      <c r="V566" s="5">
        <v>2.021093E7</v>
      </c>
      <c r="W566" s="5">
        <v>29.718046653</v>
      </c>
      <c r="X566" s="5">
        <v>-95.319258605</v>
      </c>
    </row>
    <row r="567" ht="15.75" customHeight="1">
      <c r="A567" s="5">
        <v>12092.0</v>
      </c>
      <c r="B567" s="6">
        <v>2021.0</v>
      </c>
      <c r="C567" s="6" t="str">
        <f t="shared" si="1"/>
        <v>132 BASSWOOD ST,Houston,Texas</v>
      </c>
      <c r="D567" s="6" t="s">
        <v>1152</v>
      </c>
      <c r="E567" s="6" t="s">
        <v>25</v>
      </c>
      <c r="F567" s="6" t="s">
        <v>26</v>
      </c>
      <c r="G567" s="6" t="s">
        <v>653</v>
      </c>
      <c r="H567" s="6" t="s">
        <v>44</v>
      </c>
      <c r="I567" s="6" t="str">
        <f>VLOOKUP(H567,'Flow Location'!$A$1:$B$21,2,FALSE)</f>
        <v>Bayou/surface water/drainage ditch</v>
      </c>
      <c r="J567" s="5">
        <v>555.0</v>
      </c>
      <c r="K567" s="6" t="s">
        <v>51</v>
      </c>
      <c r="L567" s="6" t="str">
        <f>VLOOKUP(K567,'Structure type'!$A$1:$B$15,2,FALSE)</f>
        <v>Private Cleanout</v>
      </c>
      <c r="M567" s="6" t="s">
        <v>30</v>
      </c>
      <c r="N567" s="6" t="str">
        <f>VLOOKUP(M567,'Excursion Cause'!$A$1:$B$34,2,FALSE)</f>
        <v>Grease Blockage</v>
      </c>
      <c r="O567" s="10">
        <v>44470.0</v>
      </c>
      <c r="P567" s="6" t="s">
        <v>32</v>
      </c>
      <c r="Q567" s="10">
        <v>44470.0</v>
      </c>
      <c r="R567" s="6" t="s">
        <v>736</v>
      </c>
      <c r="S567" s="5">
        <v>5.0</v>
      </c>
      <c r="T567" s="6" t="s">
        <v>33</v>
      </c>
      <c r="U567" s="5">
        <v>2.021011E7</v>
      </c>
      <c r="V567" s="5">
        <v>2.021011E7</v>
      </c>
      <c r="W567" s="5">
        <v>29.8244435390001</v>
      </c>
      <c r="X567" s="5">
        <v>-95.374376194</v>
      </c>
    </row>
    <row r="568" ht="15.75" customHeight="1">
      <c r="A568" s="5">
        <v>12096.0</v>
      </c>
      <c r="B568" s="6">
        <v>2021.0</v>
      </c>
      <c r="C568" s="6" t="str">
        <f t="shared" si="1"/>
        <v>2706 HUFFMAN EASTGATE RD,Houston,Texas</v>
      </c>
      <c r="D568" s="6" t="s">
        <v>1153</v>
      </c>
      <c r="E568" s="6" t="s">
        <v>25</v>
      </c>
      <c r="F568" s="6" t="s">
        <v>26</v>
      </c>
      <c r="G568" s="6" t="s">
        <v>422</v>
      </c>
      <c r="H568" s="6" t="s">
        <v>50</v>
      </c>
      <c r="I568" s="6" t="str">
        <f>VLOOKUP(H568,'Flow Location'!$A$1:$B$21,2,FALSE)</f>
        <v>Contained On Site, not within 5 ft. of Bayou/Surface Water/Drainage Ditch</v>
      </c>
      <c r="J568" s="5">
        <v>480.0</v>
      </c>
      <c r="K568" s="6" t="s">
        <v>29</v>
      </c>
      <c r="L568" s="6" t="str">
        <f>VLOOKUP(K568,'Structure type'!$A$1:$B$15,2,FALSE)</f>
        <v>Manhole</v>
      </c>
      <c r="M568" s="6" t="s">
        <v>52</v>
      </c>
      <c r="N568" s="6" t="str">
        <f>VLOOKUP(M568,'Excursion Cause'!$A$1:$B$34,2,FALSE)</f>
        <v>Collection system structural blockage</v>
      </c>
      <c r="O568" s="10">
        <v>44470.0</v>
      </c>
      <c r="P568" s="6" t="s">
        <v>522</v>
      </c>
      <c r="Q568" s="10">
        <v>44470.0</v>
      </c>
      <c r="R568" s="6" t="s">
        <v>149</v>
      </c>
      <c r="S568" s="5">
        <v>8.0</v>
      </c>
      <c r="T568" s="6" t="s">
        <v>54</v>
      </c>
      <c r="U568" s="5">
        <v>2.021011E7</v>
      </c>
      <c r="V568" s="5">
        <v>2.021011E7</v>
      </c>
      <c r="W568" s="5">
        <v>30.038450106</v>
      </c>
      <c r="X568" s="5">
        <v>-95.075744554</v>
      </c>
    </row>
    <row r="569" ht="15.75" customHeight="1">
      <c r="A569" s="5">
        <v>12098.0</v>
      </c>
      <c r="B569" s="6">
        <v>2021.0</v>
      </c>
      <c r="C569" s="6" t="str">
        <f t="shared" si="1"/>
        <v>502 WOODHURST ST,Houston,Texas</v>
      </c>
      <c r="D569" s="6" t="s">
        <v>1154</v>
      </c>
      <c r="E569" s="6" t="s">
        <v>25</v>
      </c>
      <c r="F569" s="6" t="s">
        <v>26</v>
      </c>
      <c r="G569" s="6" t="s">
        <v>656</v>
      </c>
      <c r="H569" s="6" t="s">
        <v>50</v>
      </c>
      <c r="I569" s="6" t="str">
        <f>VLOOKUP(H569,'Flow Location'!$A$1:$B$21,2,FALSE)</f>
        <v>Contained On Site, not within 5 ft. of Bayou/Surface Water/Drainage Ditch</v>
      </c>
      <c r="J569" s="5">
        <v>0.0</v>
      </c>
      <c r="K569" s="6" t="s">
        <v>45</v>
      </c>
      <c r="L569" s="6" t="str">
        <f>VLOOKUP(K569,'Structure type'!$A$1:$B$15,2,FALSE)</f>
        <v>City Cleanout</v>
      </c>
      <c r="M569" s="6" t="s">
        <v>56</v>
      </c>
      <c r="N569" s="6" t="str">
        <f>VLOOKUP(M569,'Excursion Cause'!$A$1:$B$34,2,FALSE)</f>
        <v>Rags/Wipes</v>
      </c>
      <c r="O569" s="10">
        <v>44471.0</v>
      </c>
      <c r="P569" s="6" t="s">
        <v>597</v>
      </c>
      <c r="Q569" s="10">
        <v>44471.0</v>
      </c>
      <c r="R569" s="6" t="s">
        <v>597</v>
      </c>
      <c r="S569" s="5">
        <v>0.0</v>
      </c>
      <c r="T569" s="6" t="s">
        <v>170</v>
      </c>
      <c r="U569" s="5">
        <v>2.021021E7</v>
      </c>
      <c r="V569" s="5">
        <v>2.021021E7</v>
      </c>
      <c r="W569" s="5">
        <v>29.786694883</v>
      </c>
      <c r="X569" s="5">
        <v>-95.2212517309999</v>
      </c>
    </row>
    <row r="570" ht="15.75" customHeight="1">
      <c r="A570" s="5">
        <v>12100.0</v>
      </c>
      <c r="B570" s="6">
        <v>2021.0</v>
      </c>
      <c r="C570" s="6" t="str">
        <f t="shared" si="1"/>
        <v>2706 HUFFMAN EASTGATE RD,Houston,Texas</v>
      </c>
      <c r="D570" s="6" t="s">
        <v>1153</v>
      </c>
      <c r="E570" s="6" t="s">
        <v>25</v>
      </c>
      <c r="F570" s="6" t="s">
        <v>26</v>
      </c>
      <c r="G570" s="6" t="s">
        <v>422</v>
      </c>
      <c r="H570" s="6" t="s">
        <v>50</v>
      </c>
      <c r="I570" s="6" t="str">
        <f>VLOOKUP(H570,'Flow Location'!$A$1:$B$21,2,FALSE)</f>
        <v>Contained On Site, not within 5 ft. of Bayou/Surface Water/Drainage Ditch</v>
      </c>
      <c r="J570" s="5">
        <v>0.0</v>
      </c>
      <c r="K570" s="6" t="s">
        <v>29</v>
      </c>
      <c r="L570" s="6" t="str">
        <f>VLOOKUP(K570,'Structure type'!$A$1:$B$15,2,FALSE)</f>
        <v>Manhole</v>
      </c>
      <c r="M570" s="6" t="s">
        <v>52</v>
      </c>
      <c r="N570" s="6" t="str">
        <f>VLOOKUP(M570,'Excursion Cause'!$A$1:$B$34,2,FALSE)</f>
        <v>Collection system structural blockage</v>
      </c>
      <c r="O570" s="10">
        <v>44471.0</v>
      </c>
      <c r="P570" s="6" t="s">
        <v>1155</v>
      </c>
      <c r="Q570" s="10">
        <v>44471.0</v>
      </c>
      <c r="R570" s="6" t="s">
        <v>1155</v>
      </c>
      <c r="S570" s="5">
        <v>0.0</v>
      </c>
      <c r="T570" s="6" t="s">
        <v>118</v>
      </c>
      <c r="U570" s="5">
        <v>2.021021E7</v>
      </c>
      <c r="V570" s="5">
        <v>2.021021E7</v>
      </c>
      <c r="W570" s="5">
        <v>30.038450106</v>
      </c>
      <c r="X570" s="5">
        <v>-95.075744554</v>
      </c>
    </row>
    <row r="571" ht="15.75" customHeight="1">
      <c r="A571" s="5">
        <v>12101.0</v>
      </c>
      <c r="B571" s="6">
        <v>2021.0</v>
      </c>
      <c r="C571" s="6" t="str">
        <f t="shared" si="1"/>
        <v>7309 DANE ST,Houston,Texas</v>
      </c>
      <c r="D571" s="6" t="s">
        <v>1156</v>
      </c>
      <c r="E571" s="6" t="s">
        <v>25</v>
      </c>
      <c r="F571" s="6" t="s">
        <v>26</v>
      </c>
      <c r="G571" s="6" t="s">
        <v>109</v>
      </c>
      <c r="H571" s="6" t="s">
        <v>50</v>
      </c>
      <c r="I571" s="6" t="str">
        <f>VLOOKUP(H571,'Flow Location'!$A$1:$B$21,2,FALSE)</f>
        <v>Contained On Site, not within 5 ft. of Bayou/Surface Water/Drainage Ditch</v>
      </c>
      <c r="J571" s="5">
        <v>1608.0</v>
      </c>
      <c r="K571" s="6" t="s">
        <v>29</v>
      </c>
      <c r="L571" s="6" t="str">
        <f>VLOOKUP(K571,'Structure type'!$A$1:$B$15,2,FALSE)</f>
        <v>Manhole</v>
      </c>
      <c r="M571" s="6" t="s">
        <v>30</v>
      </c>
      <c r="N571" s="6" t="str">
        <f>VLOOKUP(M571,'Excursion Cause'!$A$1:$B$34,2,FALSE)</f>
        <v>Grease Blockage</v>
      </c>
      <c r="O571" s="10">
        <v>44472.0</v>
      </c>
      <c r="P571" s="6" t="s">
        <v>833</v>
      </c>
      <c r="Q571" s="10">
        <v>44472.0</v>
      </c>
      <c r="R571" s="6" t="s">
        <v>1157</v>
      </c>
      <c r="S571" s="5">
        <v>3.0</v>
      </c>
      <c r="T571" s="6" t="s">
        <v>59</v>
      </c>
      <c r="U571" s="5">
        <v>2.021031E7</v>
      </c>
      <c r="V571" s="5">
        <v>2.021031E7</v>
      </c>
      <c r="W571" s="5">
        <v>29.825912509</v>
      </c>
      <c r="X571" s="5">
        <v>-95.3367350789999</v>
      </c>
    </row>
    <row r="572" ht="15.75" customHeight="1">
      <c r="A572" s="5">
        <v>12102.0</v>
      </c>
      <c r="B572" s="6">
        <v>2021.0</v>
      </c>
      <c r="C572" s="6" t="str">
        <f t="shared" si="1"/>
        <v>5802 SPRUCE FOREST DR,Houston,Texas</v>
      </c>
      <c r="D572" s="6" t="s">
        <v>1080</v>
      </c>
      <c r="E572" s="6" t="s">
        <v>25</v>
      </c>
      <c r="F572" s="6" t="s">
        <v>26</v>
      </c>
      <c r="G572" s="6" t="s">
        <v>76</v>
      </c>
      <c r="H572" s="6" t="s">
        <v>28</v>
      </c>
      <c r="I572" s="6" t="str">
        <f>VLOOKUP(H572,'Flow Location'!$A$1:$B$21,2,FALSE)</f>
        <v>Storm Sewer (not contained)</v>
      </c>
      <c r="J572" s="5">
        <v>1336.0</v>
      </c>
      <c r="K572" s="6" t="s">
        <v>29</v>
      </c>
      <c r="L572" s="6" t="str">
        <f>VLOOKUP(K572,'Structure type'!$A$1:$B$15,2,FALSE)</f>
        <v>Manhole</v>
      </c>
      <c r="M572" s="6" t="s">
        <v>30</v>
      </c>
      <c r="N572" s="6" t="str">
        <f>VLOOKUP(M572,'Excursion Cause'!$A$1:$B$34,2,FALSE)</f>
        <v>Grease Blockage</v>
      </c>
      <c r="O572" s="10">
        <v>44472.0</v>
      </c>
      <c r="P572" s="6" t="s">
        <v>1158</v>
      </c>
      <c r="Q572" s="10">
        <v>44473.0</v>
      </c>
      <c r="R572" s="6" t="s">
        <v>1159</v>
      </c>
      <c r="S572" s="5">
        <v>1.0</v>
      </c>
      <c r="T572" s="6" t="s">
        <v>59</v>
      </c>
      <c r="U572" s="5">
        <v>2.021031E7</v>
      </c>
      <c r="V572" s="5">
        <v>2.021041E7</v>
      </c>
      <c r="W572" s="5">
        <v>29.844440245</v>
      </c>
      <c r="X572" s="5">
        <v>-95.474994823</v>
      </c>
    </row>
    <row r="573" ht="15.75" customHeight="1">
      <c r="A573" s="5">
        <v>12103.0</v>
      </c>
      <c r="B573" s="6">
        <v>2021.0</v>
      </c>
      <c r="C573" s="6" t="str">
        <f t="shared" si="1"/>
        <v>5701 LOST FOREST DR,Houston,Texas</v>
      </c>
      <c r="D573" s="6" t="s">
        <v>1160</v>
      </c>
      <c r="E573" s="6" t="s">
        <v>25</v>
      </c>
      <c r="F573" s="6" t="s">
        <v>26</v>
      </c>
      <c r="G573" s="6" t="s">
        <v>76</v>
      </c>
      <c r="H573" s="6" t="s">
        <v>50</v>
      </c>
      <c r="I573" s="6" t="str">
        <f>VLOOKUP(H573,'Flow Location'!$A$1:$B$21,2,FALSE)</f>
        <v>Contained On Site, not within 5 ft. of Bayou/Surface Water/Drainage Ditch</v>
      </c>
      <c r="J573" s="5">
        <v>1020.0</v>
      </c>
      <c r="K573" s="6" t="s">
        <v>29</v>
      </c>
      <c r="L573" s="6" t="str">
        <f>VLOOKUP(K573,'Structure type'!$A$1:$B$15,2,FALSE)</f>
        <v>Manhole</v>
      </c>
      <c r="M573" s="6" t="s">
        <v>30</v>
      </c>
      <c r="N573" s="6" t="str">
        <f>VLOOKUP(M573,'Excursion Cause'!$A$1:$B$34,2,FALSE)</f>
        <v>Grease Blockage</v>
      </c>
      <c r="O573" s="10">
        <v>44472.0</v>
      </c>
      <c r="P573" s="6" t="s">
        <v>1079</v>
      </c>
      <c r="Q573" s="10">
        <v>44472.0</v>
      </c>
      <c r="R573" s="6" t="s">
        <v>813</v>
      </c>
      <c r="S573" s="5">
        <v>2.0</v>
      </c>
      <c r="T573" s="6" t="s">
        <v>33</v>
      </c>
      <c r="U573" s="5">
        <v>2.021031E7</v>
      </c>
      <c r="V573" s="5">
        <v>2.021031E7</v>
      </c>
      <c r="W573" s="5">
        <v>29.8505866950001</v>
      </c>
      <c r="X573" s="5">
        <v>-95.478422854</v>
      </c>
    </row>
    <row r="574" ht="15.75" customHeight="1">
      <c r="A574" s="5">
        <v>12107.0</v>
      </c>
      <c r="B574" s="6">
        <v>2021.0</v>
      </c>
      <c r="C574" s="6" t="str">
        <f t="shared" si="1"/>
        <v>4823 ANTHA ST,Houston,Texas</v>
      </c>
      <c r="D574" s="6" t="s">
        <v>1161</v>
      </c>
      <c r="E574" s="6" t="s">
        <v>25</v>
      </c>
      <c r="F574" s="6" t="s">
        <v>26</v>
      </c>
      <c r="G574" s="6" t="s">
        <v>326</v>
      </c>
      <c r="H574" s="6" t="s">
        <v>50</v>
      </c>
      <c r="I574" s="6" t="str">
        <f>VLOOKUP(H574,'Flow Location'!$A$1:$B$21,2,FALSE)</f>
        <v>Contained On Site, not within 5 ft. of Bayou/Surface Water/Drainage Ditch</v>
      </c>
      <c r="J574" s="5">
        <v>0.0</v>
      </c>
      <c r="K574" s="6" t="s">
        <v>45</v>
      </c>
      <c r="L574" s="6" t="str">
        <f>VLOOKUP(K574,'Structure type'!$A$1:$B$15,2,FALSE)</f>
        <v>City Cleanout</v>
      </c>
      <c r="M574" s="6" t="s">
        <v>30</v>
      </c>
      <c r="N574" s="6" t="str">
        <f>VLOOKUP(M574,'Excursion Cause'!$A$1:$B$34,2,FALSE)</f>
        <v>Grease Blockage</v>
      </c>
      <c r="O574" s="10">
        <v>44472.0</v>
      </c>
      <c r="P574" s="6" t="s">
        <v>1162</v>
      </c>
      <c r="Q574" s="10">
        <v>44472.0</v>
      </c>
      <c r="R574" s="6" t="s">
        <v>1162</v>
      </c>
      <c r="S574" s="5">
        <v>0.0</v>
      </c>
      <c r="T574" s="6" t="s">
        <v>270</v>
      </c>
      <c r="U574" s="5">
        <v>2.021031E7</v>
      </c>
      <c r="V574" s="5">
        <v>2.021031E7</v>
      </c>
      <c r="W574" s="5">
        <v>29.849598342</v>
      </c>
      <c r="X574" s="5">
        <v>-95.320015277</v>
      </c>
    </row>
    <row r="575" ht="15.75" customHeight="1">
      <c r="A575" s="5">
        <v>12116.0</v>
      </c>
      <c r="B575" s="6">
        <v>2021.0</v>
      </c>
      <c r="C575" s="6" t="str">
        <f t="shared" si="1"/>
        <v>1707 W GULF BANK RD,Houston,Texas</v>
      </c>
      <c r="D575" s="6" t="s">
        <v>1163</v>
      </c>
      <c r="E575" s="6" t="s">
        <v>25</v>
      </c>
      <c r="F575" s="6" t="s">
        <v>26</v>
      </c>
      <c r="G575" s="6" t="s">
        <v>502</v>
      </c>
      <c r="H575" s="6" t="s">
        <v>50</v>
      </c>
      <c r="I575" s="6" t="str">
        <f>VLOOKUP(H575,'Flow Location'!$A$1:$B$21,2,FALSE)</f>
        <v>Contained On Site, not within 5 ft. of Bayou/Surface Water/Drainage Ditch</v>
      </c>
      <c r="J575" s="5">
        <v>0.0</v>
      </c>
      <c r="K575" s="6" t="s">
        <v>29</v>
      </c>
      <c r="L575" s="6" t="str">
        <f>VLOOKUP(K575,'Structure type'!$A$1:$B$15,2,FALSE)</f>
        <v>Manhole</v>
      </c>
      <c r="M575" s="6" t="s">
        <v>30</v>
      </c>
      <c r="N575" s="6" t="str">
        <f>VLOOKUP(M575,'Excursion Cause'!$A$1:$B$34,2,FALSE)</f>
        <v>Grease Blockage</v>
      </c>
      <c r="O575" s="10">
        <v>44473.0</v>
      </c>
      <c r="P575" s="6" t="s">
        <v>1164</v>
      </c>
      <c r="Q575" s="10">
        <v>44473.0</v>
      </c>
      <c r="R575" s="6" t="s">
        <v>1164</v>
      </c>
      <c r="S575" s="5">
        <v>0.0</v>
      </c>
      <c r="T575" s="6" t="s">
        <v>59</v>
      </c>
      <c r="U575" s="5">
        <v>2.021041E7</v>
      </c>
      <c r="V575" s="5">
        <v>2.021041E7</v>
      </c>
      <c r="W575" s="5">
        <v>29.8861980070001</v>
      </c>
      <c r="X575" s="5">
        <v>-95.429211192</v>
      </c>
    </row>
    <row r="576" ht="15.75" customHeight="1">
      <c r="A576" s="5">
        <v>12118.0</v>
      </c>
      <c r="B576" s="6">
        <v>2021.0</v>
      </c>
      <c r="C576" s="6" t="str">
        <f t="shared" si="1"/>
        <v>8015 BEECHNUT ST,Houston,Texas</v>
      </c>
      <c r="D576" s="6" t="s">
        <v>1165</v>
      </c>
      <c r="E576" s="6" t="s">
        <v>25</v>
      </c>
      <c r="F576" s="6" t="s">
        <v>26</v>
      </c>
      <c r="G576" s="6" t="s">
        <v>471</v>
      </c>
      <c r="H576" s="6" t="s">
        <v>28</v>
      </c>
      <c r="I576" s="6" t="str">
        <f>VLOOKUP(H576,'Flow Location'!$A$1:$B$21,2,FALSE)</f>
        <v>Storm Sewer (not contained)</v>
      </c>
      <c r="J576" s="5">
        <v>1263.0</v>
      </c>
      <c r="K576" s="6" t="s">
        <v>29</v>
      </c>
      <c r="L576" s="6" t="str">
        <f>VLOOKUP(K576,'Structure type'!$A$1:$B$15,2,FALSE)</f>
        <v>Manhole</v>
      </c>
      <c r="M576" s="6" t="s">
        <v>30</v>
      </c>
      <c r="N576" s="6" t="str">
        <f>VLOOKUP(M576,'Excursion Cause'!$A$1:$B$34,2,FALSE)</f>
        <v>Grease Blockage</v>
      </c>
      <c r="O576" s="10">
        <v>44473.0</v>
      </c>
      <c r="P576" s="6" t="s">
        <v>556</v>
      </c>
      <c r="Q576" s="10">
        <v>44474.0</v>
      </c>
      <c r="R576" s="6" t="s">
        <v>403</v>
      </c>
      <c r="S576" s="5">
        <v>1.0</v>
      </c>
      <c r="T576" s="6" t="s">
        <v>33</v>
      </c>
      <c r="U576" s="5">
        <v>2.021041E7</v>
      </c>
      <c r="V576" s="5">
        <v>2.021051E7</v>
      </c>
      <c r="W576" s="5">
        <v>29.6922737080001</v>
      </c>
      <c r="X576" s="5">
        <v>-95.52839794</v>
      </c>
    </row>
    <row r="577" ht="15.75" customHeight="1">
      <c r="A577" s="5">
        <v>12119.0</v>
      </c>
      <c r="B577" s="6">
        <v>2021.0</v>
      </c>
      <c r="C577" s="6" t="str">
        <f t="shared" si="1"/>
        <v>1340 W 25TH ST,Houston,Texas</v>
      </c>
      <c r="D577" s="6" t="s">
        <v>1166</v>
      </c>
      <c r="E577" s="6" t="s">
        <v>25</v>
      </c>
      <c r="F577" s="6" t="s">
        <v>26</v>
      </c>
      <c r="G577" s="6" t="s">
        <v>232</v>
      </c>
      <c r="H577" s="6" t="s">
        <v>44</v>
      </c>
      <c r="I577" s="6" t="str">
        <f>VLOOKUP(H577,'Flow Location'!$A$1:$B$21,2,FALSE)</f>
        <v>Bayou/surface water/drainage ditch</v>
      </c>
      <c r="J577" s="5">
        <v>0.0</v>
      </c>
      <c r="K577" s="6" t="s">
        <v>29</v>
      </c>
      <c r="L577" s="6" t="str">
        <f>VLOOKUP(K577,'Structure type'!$A$1:$B$15,2,FALSE)</f>
        <v>Manhole</v>
      </c>
      <c r="M577" s="6" t="s">
        <v>30</v>
      </c>
      <c r="N577" s="6" t="str">
        <f>VLOOKUP(M577,'Excursion Cause'!$A$1:$B$34,2,FALSE)</f>
        <v>Grease Blockage</v>
      </c>
      <c r="O577" s="10">
        <v>44473.0</v>
      </c>
      <c r="P577" s="6" t="s">
        <v>1167</v>
      </c>
      <c r="Q577" s="10">
        <v>44473.0</v>
      </c>
      <c r="R577" s="6" t="s">
        <v>1167</v>
      </c>
      <c r="S577" s="5">
        <v>0.0</v>
      </c>
      <c r="T577" s="6" t="s">
        <v>33</v>
      </c>
      <c r="U577" s="5">
        <v>2.021041E7</v>
      </c>
      <c r="V577" s="5">
        <v>2.021041E7</v>
      </c>
      <c r="W577" s="5">
        <v>29.8086724850001</v>
      </c>
      <c r="X577" s="5">
        <v>-95.424068978</v>
      </c>
    </row>
    <row r="578" ht="15.75" customHeight="1">
      <c r="A578" s="5">
        <v>12120.0</v>
      </c>
      <c r="B578" s="6">
        <v>2021.0</v>
      </c>
      <c r="C578" s="6" t="str">
        <f t="shared" si="1"/>
        <v>7433 NAVIGATION BLVD,Houston,Texas</v>
      </c>
      <c r="D578" s="6" t="s">
        <v>1168</v>
      </c>
      <c r="E578" s="6" t="s">
        <v>25</v>
      </c>
      <c r="F578" s="6" t="s">
        <v>26</v>
      </c>
      <c r="G578" s="6" t="s">
        <v>227</v>
      </c>
      <c r="H578" s="6" t="s">
        <v>50</v>
      </c>
      <c r="I578" s="6" t="str">
        <f>VLOOKUP(H578,'Flow Location'!$A$1:$B$21,2,FALSE)</f>
        <v>Contained On Site, not within 5 ft. of Bayou/Surface Water/Drainage Ditch</v>
      </c>
      <c r="J578" s="5">
        <v>0.0</v>
      </c>
      <c r="K578" s="6" t="s">
        <v>45</v>
      </c>
      <c r="L578" s="6" t="str">
        <f>VLOOKUP(K578,'Structure type'!$A$1:$B$15,2,FALSE)</f>
        <v>City Cleanout</v>
      </c>
      <c r="M578" s="6" t="s">
        <v>56</v>
      </c>
      <c r="N578" s="6" t="str">
        <f>VLOOKUP(M578,'Excursion Cause'!$A$1:$B$34,2,FALSE)</f>
        <v>Rags/Wipes</v>
      </c>
      <c r="O578" s="10">
        <v>44473.0</v>
      </c>
      <c r="P578" s="6" t="s">
        <v>1169</v>
      </c>
      <c r="Q578" s="10">
        <v>44473.0</v>
      </c>
      <c r="R578" s="6" t="s">
        <v>1169</v>
      </c>
      <c r="S578" s="5">
        <v>0.0</v>
      </c>
      <c r="T578" s="6" t="s">
        <v>170</v>
      </c>
      <c r="U578" s="5">
        <v>2.021041E7</v>
      </c>
      <c r="V578" s="5">
        <v>2.021041E7</v>
      </c>
      <c r="W578" s="5">
        <v>29.740836904</v>
      </c>
      <c r="X578" s="5">
        <v>-95.2892213389999</v>
      </c>
    </row>
    <row r="579" ht="15.75" customHeight="1">
      <c r="A579" s="5">
        <v>12121.0</v>
      </c>
      <c r="B579" s="6">
        <v>2021.0</v>
      </c>
      <c r="C579" s="6" t="str">
        <f t="shared" si="1"/>
        <v>8205 FONDREN RD,Houston,Texas</v>
      </c>
      <c r="D579" s="6" t="s">
        <v>1116</v>
      </c>
      <c r="E579" s="6" t="s">
        <v>25</v>
      </c>
      <c r="F579" s="6" t="s">
        <v>26</v>
      </c>
      <c r="G579" s="6" t="s">
        <v>471</v>
      </c>
      <c r="H579" s="6" t="s">
        <v>28</v>
      </c>
      <c r="I579" s="6" t="str">
        <f>VLOOKUP(H579,'Flow Location'!$A$1:$B$21,2,FALSE)</f>
        <v>Storm Sewer (not contained)</v>
      </c>
      <c r="J579" s="5">
        <v>68.0</v>
      </c>
      <c r="K579" s="6" t="s">
        <v>29</v>
      </c>
      <c r="L579" s="6" t="str">
        <f>VLOOKUP(K579,'Structure type'!$A$1:$B$15,2,FALSE)</f>
        <v>Manhole</v>
      </c>
      <c r="M579" s="6" t="s">
        <v>30</v>
      </c>
      <c r="N579" s="6" t="str">
        <f>VLOOKUP(M579,'Excursion Cause'!$A$1:$B$34,2,FALSE)</f>
        <v>Grease Blockage</v>
      </c>
      <c r="O579" s="10">
        <v>44473.0</v>
      </c>
      <c r="P579" s="6" t="s">
        <v>755</v>
      </c>
      <c r="Q579" s="10">
        <v>44474.0</v>
      </c>
      <c r="R579" s="6" t="s">
        <v>1170</v>
      </c>
      <c r="S579" s="5">
        <v>0.0</v>
      </c>
      <c r="T579" s="6" t="s">
        <v>33</v>
      </c>
      <c r="U579" s="5">
        <v>2.021041E7</v>
      </c>
      <c r="V579" s="5">
        <v>2.021051E7</v>
      </c>
      <c r="W579" s="5">
        <v>29.6900418170001</v>
      </c>
      <c r="X579" s="5">
        <v>-95.509190976</v>
      </c>
    </row>
    <row r="580" ht="15.75" customHeight="1">
      <c r="A580" s="5">
        <v>12122.0</v>
      </c>
      <c r="B580" s="6">
        <v>2021.0</v>
      </c>
      <c r="C580" s="6" t="str">
        <f t="shared" si="1"/>
        <v>2706 HUFFMAN EASTGATE RD,Houston,Texas</v>
      </c>
      <c r="D580" s="6" t="s">
        <v>1153</v>
      </c>
      <c r="E580" s="6" t="s">
        <v>25</v>
      </c>
      <c r="F580" s="6" t="s">
        <v>26</v>
      </c>
      <c r="G580" s="6" t="s">
        <v>422</v>
      </c>
      <c r="H580" s="6" t="s">
        <v>50</v>
      </c>
      <c r="I580" s="6" t="str">
        <f>VLOOKUP(H580,'Flow Location'!$A$1:$B$21,2,FALSE)</f>
        <v>Contained On Site, not within 5 ft. of Bayou/Surface Water/Drainage Ditch</v>
      </c>
      <c r="J580" s="5">
        <v>0.0</v>
      </c>
      <c r="K580" s="6" t="s">
        <v>29</v>
      </c>
      <c r="L580" s="6" t="str">
        <f>VLOOKUP(K580,'Structure type'!$A$1:$B$15,2,FALSE)</f>
        <v>Manhole</v>
      </c>
      <c r="M580" s="6" t="s">
        <v>52</v>
      </c>
      <c r="N580" s="6" t="str">
        <f>VLOOKUP(M580,'Excursion Cause'!$A$1:$B$34,2,FALSE)</f>
        <v>Collection system structural blockage</v>
      </c>
      <c r="O580" s="10">
        <v>44473.0</v>
      </c>
      <c r="P580" s="6" t="s">
        <v>905</v>
      </c>
      <c r="Q580" s="10">
        <v>44473.0</v>
      </c>
      <c r="R580" s="6" t="s">
        <v>905</v>
      </c>
      <c r="S580" s="5">
        <v>0.0</v>
      </c>
      <c r="T580" s="6" t="s">
        <v>54</v>
      </c>
      <c r="U580" s="5">
        <v>2.021041E7</v>
      </c>
      <c r="V580" s="5">
        <v>2.021041E7</v>
      </c>
      <c r="W580" s="5">
        <v>30.038450106</v>
      </c>
      <c r="X580" s="5">
        <v>-95.075744554</v>
      </c>
    </row>
    <row r="581" ht="15.75" customHeight="1">
      <c r="A581" s="5">
        <v>12123.0</v>
      </c>
      <c r="B581" s="6">
        <v>2021.0</v>
      </c>
      <c r="C581" s="6" t="str">
        <f t="shared" si="1"/>
        <v>1849 W MAIN ST,Houston,Texas</v>
      </c>
      <c r="D581" s="6" t="s">
        <v>1171</v>
      </c>
      <c r="E581" s="6" t="s">
        <v>25</v>
      </c>
      <c r="F581" s="6" t="s">
        <v>26</v>
      </c>
      <c r="G581" s="6" t="s">
        <v>112</v>
      </c>
      <c r="H581" s="6" t="s">
        <v>50</v>
      </c>
      <c r="I581" s="6" t="str">
        <f>VLOOKUP(H581,'Flow Location'!$A$1:$B$21,2,FALSE)</f>
        <v>Contained On Site, not within 5 ft. of Bayou/Surface Water/Drainage Ditch</v>
      </c>
      <c r="J581" s="5">
        <v>317.0</v>
      </c>
      <c r="K581" s="6" t="s">
        <v>45</v>
      </c>
      <c r="L581" s="6" t="str">
        <f>VLOOKUP(K581,'Structure type'!$A$1:$B$15,2,FALSE)</f>
        <v>City Cleanout</v>
      </c>
      <c r="M581" s="6" t="s">
        <v>30</v>
      </c>
      <c r="N581" s="6" t="str">
        <f>VLOOKUP(M581,'Excursion Cause'!$A$1:$B$34,2,FALSE)</f>
        <v>Grease Blockage</v>
      </c>
      <c r="O581" s="10">
        <v>44474.0</v>
      </c>
      <c r="P581" s="6" t="s">
        <v>1172</v>
      </c>
      <c r="Q581" s="10">
        <v>44474.0</v>
      </c>
      <c r="R581" s="6" t="s">
        <v>1173</v>
      </c>
      <c r="S581" s="5">
        <v>1.0</v>
      </c>
      <c r="T581" s="6" t="s">
        <v>170</v>
      </c>
      <c r="U581" s="5">
        <v>2.021051E7</v>
      </c>
      <c r="V581" s="5">
        <v>2.021051E7</v>
      </c>
      <c r="W581" s="5">
        <v>29.735956457</v>
      </c>
      <c r="X581" s="5">
        <v>-95.4067470209999</v>
      </c>
    </row>
    <row r="582" ht="15.75" customHeight="1">
      <c r="A582" s="5">
        <v>12125.0</v>
      </c>
      <c r="B582" s="6">
        <v>2021.0</v>
      </c>
      <c r="C582" s="6" t="str">
        <f t="shared" si="1"/>
        <v>1207 MITCHELL RD,Houston,Texas</v>
      </c>
      <c r="D582" s="6" t="s">
        <v>569</v>
      </c>
      <c r="E582" s="6" t="s">
        <v>25</v>
      </c>
      <c r="F582" s="6" t="s">
        <v>26</v>
      </c>
      <c r="G582" s="6" t="s">
        <v>570</v>
      </c>
      <c r="H582" s="6" t="s">
        <v>50</v>
      </c>
      <c r="I582" s="6" t="str">
        <f>VLOOKUP(H582,'Flow Location'!$A$1:$B$21,2,FALSE)</f>
        <v>Contained On Site, not within 5 ft. of Bayou/Surface Water/Drainage Ditch</v>
      </c>
      <c r="J582" s="5">
        <v>0.0</v>
      </c>
      <c r="K582" s="6" t="s">
        <v>29</v>
      </c>
      <c r="L582" s="6" t="str">
        <f>VLOOKUP(K582,'Structure type'!$A$1:$B$15,2,FALSE)</f>
        <v>Manhole</v>
      </c>
      <c r="M582" s="6" t="s">
        <v>1174</v>
      </c>
      <c r="N582" s="6" t="str">
        <f>VLOOKUP(M582,'Excursion Cause'!$A$1:$B$34,2,FALSE)</f>
        <v>Collection system wet weather</v>
      </c>
      <c r="O582" s="10">
        <v>44474.0</v>
      </c>
      <c r="P582" s="6" t="s">
        <v>350</v>
      </c>
      <c r="Q582" s="10">
        <v>44474.0</v>
      </c>
      <c r="R582" s="6" t="s">
        <v>350</v>
      </c>
      <c r="S582" s="5">
        <v>0.0</v>
      </c>
      <c r="T582" s="6" t="s">
        <v>118</v>
      </c>
      <c r="U582" s="5">
        <v>2.021051E7</v>
      </c>
      <c r="V582" s="5">
        <v>2.021051E7</v>
      </c>
      <c r="W582" s="5">
        <v>29.8833074230001</v>
      </c>
      <c r="X582" s="5">
        <v>-95.372889077</v>
      </c>
    </row>
    <row r="583" ht="15.75" customHeight="1">
      <c r="A583" s="5">
        <v>12126.0</v>
      </c>
      <c r="B583" s="6">
        <v>2021.0</v>
      </c>
      <c r="C583" s="6" t="str">
        <f t="shared" si="1"/>
        <v>7016 COCHRAN ST,Houston,Texas</v>
      </c>
      <c r="D583" s="6" t="s">
        <v>1175</v>
      </c>
      <c r="E583" s="6" t="s">
        <v>25</v>
      </c>
      <c r="F583" s="6" t="s">
        <v>26</v>
      </c>
      <c r="G583" s="6" t="s">
        <v>653</v>
      </c>
      <c r="H583" s="6" t="s">
        <v>50</v>
      </c>
      <c r="I583" s="6" t="str">
        <f>VLOOKUP(H583,'Flow Location'!$A$1:$B$21,2,FALSE)</f>
        <v>Contained On Site, not within 5 ft. of Bayou/Surface Water/Drainage Ditch</v>
      </c>
      <c r="J583" s="5">
        <v>0.0</v>
      </c>
      <c r="K583" s="6" t="s">
        <v>29</v>
      </c>
      <c r="L583" s="6" t="str">
        <f>VLOOKUP(K583,'Structure type'!$A$1:$B$15,2,FALSE)</f>
        <v>Manhole</v>
      </c>
      <c r="M583" s="6" t="s">
        <v>30</v>
      </c>
      <c r="N583" s="6" t="str">
        <f>VLOOKUP(M583,'Excursion Cause'!$A$1:$B$34,2,FALSE)</f>
        <v>Grease Blockage</v>
      </c>
      <c r="O583" s="10">
        <v>44474.0</v>
      </c>
      <c r="P583" s="6" t="s">
        <v>1176</v>
      </c>
      <c r="Q583" s="10">
        <v>44474.0</v>
      </c>
      <c r="R583" s="6" t="s">
        <v>1176</v>
      </c>
      <c r="S583" s="5">
        <v>0.0</v>
      </c>
      <c r="T583" s="6" t="s">
        <v>33</v>
      </c>
      <c r="U583" s="5">
        <v>2.021051E7</v>
      </c>
      <c r="V583" s="5">
        <v>2.021051E7</v>
      </c>
      <c r="W583" s="5">
        <v>29.823848298</v>
      </c>
      <c r="X583" s="5">
        <v>-95.3567467889999</v>
      </c>
    </row>
    <row r="584" ht="15.75" customHeight="1">
      <c r="A584" s="5">
        <v>12129.0</v>
      </c>
      <c r="B584" s="6">
        <v>2021.0</v>
      </c>
      <c r="C584" s="6" t="str">
        <f t="shared" si="1"/>
        <v>3006 DOLORES PARK LN,Houston,Texas</v>
      </c>
      <c r="D584" s="6" t="s">
        <v>1177</v>
      </c>
      <c r="E584" s="6" t="s">
        <v>25</v>
      </c>
      <c r="F584" s="6" t="s">
        <v>26</v>
      </c>
      <c r="G584" s="6" t="s">
        <v>689</v>
      </c>
      <c r="H584" s="6" t="s">
        <v>28</v>
      </c>
      <c r="I584" s="6" t="str">
        <f>VLOOKUP(H584,'Flow Location'!$A$1:$B$21,2,FALSE)</f>
        <v>Storm Sewer (not contained)</v>
      </c>
      <c r="J584" s="5">
        <v>792.0</v>
      </c>
      <c r="K584" s="6" t="s">
        <v>45</v>
      </c>
      <c r="L584" s="6" t="str">
        <f>VLOOKUP(K584,'Structure type'!$A$1:$B$15,2,FALSE)</f>
        <v>City Cleanout</v>
      </c>
      <c r="M584" s="6" t="s">
        <v>81</v>
      </c>
      <c r="N584" s="6" t="str">
        <f>VLOOKUP(M584,'Excursion Cause'!$A$1:$B$34,2,FALSE)</f>
        <v>Collection system structural failure</v>
      </c>
      <c r="O584" s="10">
        <v>44474.0</v>
      </c>
      <c r="P584" s="6" t="s">
        <v>333</v>
      </c>
      <c r="Q584" s="10">
        <v>44474.0</v>
      </c>
      <c r="R584" s="6" t="s">
        <v>1178</v>
      </c>
      <c r="S584" s="5">
        <v>2.0</v>
      </c>
      <c r="T584" s="6" t="s">
        <v>107</v>
      </c>
      <c r="U584" s="5">
        <v>2.021051E7</v>
      </c>
      <c r="V584" s="5">
        <v>2.021051E7</v>
      </c>
      <c r="W584" s="5">
        <v>29.734032014</v>
      </c>
      <c r="X584" s="5">
        <v>-95.478477504</v>
      </c>
    </row>
    <row r="585" ht="15.75" customHeight="1">
      <c r="A585" s="5">
        <v>12132.0</v>
      </c>
      <c r="B585" s="6">
        <v>2021.0</v>
      </c>
      <c r="C585" s="6" t="str">
        <f t="shared" si="1"/>
        <v>918 CAPERTON ST,Houston,Texas</v>
      </c>
      <c r="D585" s="6" t="s">
        <v>1179</v>
      </c>
      <c r="E585" s="6" t="s">
        <v>25</v>
      </c>
      <c r="F585" s="6" t="s">
        <v>26</v>
      </c>
      <c r="G585" s="6" t="s">
        <v>653</v>
      </c>
      <c r="H585" s="6" t="s">
        <v>28</v>
      </c>
      <c r="I585" s="6" t="str">
        <f>VLOOKUP(H585,'Flow Location'!$A$1:$B$21,2,FALSE)</f>
        <v>Storm Sewer (not contained)</v>
      </c>
      <c r="J585" s="5">
        <v>0.0</v>
      </c>
      <c r="K585" s="6" t="s">
        <v>198</v>
      </c>
      <c r="L585" s="6" t="str">
        <f>VLOOKUP(K585,'Structure type'!$A$1:$B$15,2,FALSE)</f>
        <v>Service Lateral</v>
      </c>
      <c r="M585" s="6" t="s">
        <v>366</v>
      </c>
      <c r="N585" s="6" t="str">
        <f>VLOOKUP(M585,'Excursion Cause'!$A$1:$B$34,2,FALSE)</f>
        <v>Collection system structural blockage</v>
      </c>
      <c r="O585" s="10">
        <v>44474.0</v>
      </c>
      <c r="P585" s="6" t="s">
        <v>924</v>
      </c>
      <c r="Q585" s="10">
        <v>44474.0</v>
      </c>
      <c r="R585" s="6" t="s">
        <v>924</v>
      </c>
      <c r="S585" s="5">
        <v>0.0</v>
      </c>
      <c r="T585" s="6" t="s">
        <v>118</v>
      </c>
      <c r="U585" s="5">
        <v>2.021051E7</v>
      </c>
      <c r="V585" s="5">
        <v>2.021051E7</v>
      </c>
      <c r="W585" s="5">
        <v>29.8300486850001</v>
      </c>
      <c r="X585" s="5">
        <v>-95.358722906</v>
      </c>
    </row>
    <row r="586" ht="15.75" customHeight="1">
      <c r="A586" s="5">
        <v>12134.0</v>
      </c>
      <c r="B586" s="6">
        <v>2021.0</v>
      </c>
      <c r="C586" s="6" t="str">
        <f t="shared" si="1"/>
        <v>3510 MOUNT PLEASANT ST,Houston,Texas</v>
      </c>
      <c r="D586" s="6" t="s">
        <v>327</v>
      </c>
      <c r="E586" s="6" t="s">
        <v>25</v>
      </c>
      <c r="F586" s="6" t="s">
        <v>26</v>
      </c>
      <c r="G586" s="6" t="s">
        <v>238</v>
      </c>
      <c r="H586" s="6" t="s">
        <v>50</v>
      </c>
      <c r="I586" s="6" t="str">
        <f>VLOOKUP(H586,'Flow Location'!$A$1:$B$21,2,FALSE)</f>
        <v>Contained On Site, not within 5 ft. of Bayou/Surface Water/Drainage Ditch</v>
      </c>
      <c r="J586" s="5">
        <v>0.0</v>
      </c>
      <c r="K586" s="6" t="s">
        <v>45</v>
      </c>
      <c r="L586" s="6" t="str">
        <f>VLOOKUP(K586,'Structure type'!$A$1:$B$15,2,FALSE)</f>
        <v>City Cleanout</v>
      </c>
      <c r="M586" s="6" t="s">
        <v>56</v>
      </c>
      <c r="N586" s="6" t="str">
        <f>VLOOKUP(M586,'Excursion Cause'!$A$1:$B$34,2,FALSE)</f>
        <v>Rags/Wipes</v>
      </c>
      <c r="O586" s="10">
        <v>44474.0</v>
      </c>
      <c r="P586" s="6" t="s">
        <v>480</v>
      </c>
      <c r="Q586" s="10">
        <v>44474.0</v>
      </c>
      <c r="R586" s="6" t="s">
        <v>480</v>
      </c>
      <c r="S586" s="5">
        <v>0.0</v>
      </c>
      <c r="T586" s="6" t="s">
        <v>270</v>
      </c>
      <c r="U586" s="5">
        <v>2.021051E7</v>
      </c>
      <c r="V586" s="5">
        <v>2.021051E7</v>
      </c>
      <c r="W586" s="5">
        <v>29.6877556110001</v>
      </c>
      <c r="X586" s="5">
        <v>-95.373466422</v>
      </c>
    </row>
    <row r="587" ht="15.75" customHeight="1">
      <c r="A587" s="5">
        <v>12136.0</v>
      </c>
      <c r="B587" s="6">
        <v>2021.0</v>
      </c>
      <c r="C587" s="6" t="str">
        <f t="shared" si="1"/>
        <v>6635 FAIRWAY DR,Houston,Texas</v>
      </c>
      <c r="D587" s="6" t="s">
        <v>1180</v>
      </c>
      <c r="E587" s="6" t="s">
        <v>25</v>
      </c>
      <c r="F587" s="6" t="s">
        <v>26</v>
      </c>
      <c r="G587" s="6" t="s">
        <v>35</v>
      </c>
      <c r="H587" s="6" t="s">
        <v>50</v>
      </c>
      <c r="I587" s="6" t="str">
        <f>VLOOKUP(H587,'Flow Location'!$A$1:$B$21,2,FALSE)</f>
        <v>Contained On Site, not within 5 ft. of Bayou/Surface Water/Drainage Ditch</v>
      </c>
      <c r="J587" s="5">
        <v>30.0</v>
      </c>
      <c r="K587" s="6" t="s">
        <v>198</v>
      </c>
      <c r="L587" s="6" t="str">
        <f>VLOOKUP(K587,'Structure type'!$A$1:$B$15,2,FALSE)</f>
        <v>Service Lateral</v>
      </c>
      <c r="M587" s="6" t="s">
        <v>52</v>
      </c>
      <c r="N587" s="6" t="str">
        <f>VLOOKUP(M587,'Excursion Cause'!$A$1:$B$34,2,FALSE)</f>
        <v>Collection system structural blockage</v>
      </c>
      <c r="O587" s="10">
        <v>44473.0</v>
      </c>
      <c r="P587" s="6" t="s">
        <v>1089</v>
      </c>
      <c r="Q587" s="10">
        <v>44474.0</v>
      </c>
      <c r="R587" s="6" t="s">
        <v>676</v>
      </c>
      <c r="S587" s="5">
        <v>0.0</v>
      </c>
      <c r="T587" s="6" t="s">
        <v>107</v>
      </c>
      <c r="U587" s="5">
        <v>2.021041E7</v>
      </c>
      <c r="V587" s="5">
        <v>2.021051E7</v>
      </c>
      <c r="W587" s="5">
        <v>29.694505473</v>
      </c>
      <c r="X587" s="5">
        <v>-95.308042232</v>
      </c>
    </row>
    <row r="588" ht="15.75" customHeight="1">
      <c r="A588" s="5">
        <v>12137.0</v>
      </c>
      <c r="B588" s="6">
        <v>2021.0</v>
      </c>
      <c r="C588" s="6" t="str">
        <f t="shared" si="1"/>
        <v>105 LENOX ST,Houston,Texas</v>
      </c>
      <c r="D588" s="6" t="s">
        <v>1181</v>
      </c>
      <c r="E588" s="6" t="s">
        <v>25</v>
      </c>
      <c r="F588" s="6" t="s">
        <v>26</v>
      </c>
      <c r="G588" s="6" t="s">
        <v>227</v>
      </c>
      <c r="H588" s="6" t="s">
        <v>44</v>
      </c>
      <c r="I588" s="6" t="str">
        <f>VLOOKUP(H588,'Flow Location'!$A$1:$B$21,2,FALSE)</f>
        <v>Bayou/surface water/drainage ditch</v>
      </c>
      <c r="J588" s="5">
        <v>0.0</v>
      </c>
      <c r="K588" s="6" t="s">
        <v>45</v>
      </c>
      <c r="L588" s="6" t="str">
        <f>VLOOKUP(K588,'Structure type'!$A$1:$B$15,2,FALSE)</f>
        <v>City Cleanout</v>
      </c>
      <c r="M588" s="6" t="s">
        <v>30</v>
      </c>
      <c r="N588" s="6" t="str">
        <f>VLOOKUP(M588,'Excursion Cause'!$A$1:$B$34,2,FALSE)</f>
        <v>Grease Blockage</v>
      </c>
      <c r="O588" s="10">
        <v>44475.0</v>
      </c>
      <c r="P588" s="6" t="s">
        <v>1182</v>
      </c>
      <c r="Q588" s="10">
        <v>44475.0</v>
      </c>
      <c r="R588" s="6" t="s">
        <v>1182</v>
      </c>
      <c r="S588" s="5">
        <v>0.0</v>
      </c>
      <c r="T588" s="6" t="s">
        <v>270</v>
      </c>
      <c r="U588" s="5">
        <v>2.021061E7</v>
      </c>
      <c r="V588" s="5">
        <v>2.021061E7</v>
      </c>
      <c r="W588" s="5">
        <v>29.744914072</v>
      </c>
      <c r="X588" s="5">
        <v>-95.321265354</v>
      </c>
    </row>
    <row r="589" ht="15.75" customHeight="1">
      <c r="A589" s="5">
        <v>12139.0</v>
      </c>
      <c r="B589" s="6">
        <v>2021.0</v>
      </c>
      <c r="C589" s="6" t="str">
        <f t="shared" si="1"/>
        <v>7305 AVENUE L,Houston,Texas</v>
      </c>
      <c r="D589" s="6" t="s">
        <v>1183</v>
      </c>
      <c r="E589" s="6" t="s">
        <v>25</v>
      </c>
      <c r="F589" s="6" t="s">
        <v>26</v>
      </c>
      <c r="G589" s="6" t="s">
        <v>227</v>
      </c>
      <c r="H589" s="6" t="s">
        <v>28</v>
      </c>
      <c r="I589" s="6" t="str">
        <f>VLOOKUP(H589,'Flow Location'!$A$1:$B$21,2,FALSE)</f>
        <v>Storm Sewer (not contained)</v>
      </c>
      <c r="J589" s="5">
        <v>0.0</v>
      </c>
      <c r="K589" s="6" t="s">
        <v>45</v>
      </c>
      <c r="L589" s="6" t="str">
        <f>VLOOKUP(K589,'Structure type'!$A$1:$B$15,2,FALSE)</f>
        <v>City Cleanout</v>
      </c>
      <c r="M589" s="6" t="s">
        <v>56</v>
      </c>
      <c r="N589" s="6" t="str">
        <f>VLOOKUP(M589,'Excursion Cause'!$A$1:$B$34,2,FALSE)</f>
        <v>Rags/Wipes</v>
      </c>
      <c r="O589" s="10">
        <v>44475.0</v>
      </c>
      <c r="P589" s="6" t="s">
        <v>1184</v>
      </c>
      <c r="Q589" s="10">
        <v>44475.0</v>
      </c>
      <c r="R589" s="6" t="s">
        <v>1184</v>
      </c>
      <c r="S589" s="5">
        <v>0.0</v>
      </c>
      <c r="T589" s="6" t="s">
        <v>170</v>
      </c>
      <c r="U589" s="5">
        <v>2.021061E7</v>
      </c>
      <c r="V589" s="5">
        <v>2.021061E7</v>
      </c>
      <c r="W589" s="5">
        <v>29.7410366450001</v>
      </c>
      <c r="X589" s="5">
        <v>-95.2924042829999</v>
      </c>
    </row>
    <row r="590" ht="15.75" customHeight="1">
      <c r="A590" s="5">
        <v>12145.0</v>
      </c>
      <c r="B590" s="6">
        <v>2021.0</v>
      </c>
      <c r="C590" s="6" t="str">
        <f t="shared" si="1"/>
        <v>5817 DOWNING ST,Houston,Texas</v>
      </c>
      <c r="D590" s="6" t="s">
        <v>1185</v>
      </c>
      <c r="E590" s="6" t="s">
        <v>25</v>
      </c>
      <c r="F590" s="6" t="s">
        <v>26</v>
      </c>
      <c r="G590" s="6" t="s">
        <v>86</v>
      </c>
      <c r="H590" s="6" t="s">
        <v>50</v>
      </c>
      <c r="I590" s="6" t="str">
        <f>VLOOKUP(H590,'Flow Location'!$A$1:$B$21,2,FALSE)</f>
        <v>Contained On Site, not within 5 ft. of Bayou/Surface Water/Drainage Ditch</v>
      </c>
      <c r="J590" s="5">
        <v>0.0</v>
      </c>
      <c r="K590" s="6" t="s">
        <v>29</v>
      </c>
      <c r="L590" s="6" t="str">
        <f>VLOOKUP(K590,'Structure type'!$A$1:$B$15,2,FALSE)</f>
        <v>Manhole</v>
      </c>
      <c r="M590" s="6" t="s">
        <v>30</v>
      </c>
      <c r="N590" s="6" t="str">
        <f>VLOOKUP(M590,'Excursion Cause'!$A$1:$B$34,2,FALSE)</f>
        <v>Grease Blockage</v>
      </c>
      <c r="O590" s="10">
        <v>44475.0</v>
      </c>
      <c r="P590" s="6" t="s">
        <v>1186</v>
      </c>
      <c r="Q590" s="10">
        <v>44475.0</v>
      </c>
      <c r="R590" s="6" t="s">
        <v>1186</v>
      </c>
      <c r="S590" s="5">
        <v>0.0</v>
      </c>
      <c r="T590" s="6" t="s">
        <v>59</v>
      </c>
      <c r="U590" s="5">
        <v>2.021061E7</v>
      </c>
      <c r="V590" s="5">
        <v>2.021061E7</v>
      </c>
      <c r="W590" s="5">
        <v>29.7856174730001</v>
      </c>
      <c r="X590" s="5">
        <v>-95.311395999</v>
      </c>
    </row>
    <row r="591" ht="15.75" customHeight="1">
      <c r="A591" s="5">
        <v>12148.0</v>
      </c>
      <c r="B591" s="6">
        <v>2021.0</v>
      </c>
      <c r="C591" s="6" t="str">
        <f t="shared" si="1"/>
        <v>7207 STONEGATE DR,Houston,Texas</v>
      </c>
      <c r="D591" s="6" t="s">
        <v>1187</v>
      </c>
      <c r="E591" s="6" t="s">
        <v>25</v>
      </c>
      <c r="F591" s="6" t="s">
        <v>26</v>
      </c>
      <c r="G591" s="6" t="s">
        <v>253</v>
      </c>
      <c r="H591" s="6" t="s">
        <v>50</v>
      </c>
      <c r="I591" s="6" t="str">
        <f>VLOOKUP(H591,'Flow Location'!$A$1:$B$21,2,FALSE)</f>
        <v>Contained On Site, not within 5 ft. of Bayou/Surface Water/Drainage Ditch</v>
      </c>
      <c r="J591" s="5">
        <v>358.0</v>
      </c>
      <c r="K591" s="6" t="s">
        <v>29</v>
      </c>
      <c r="L591" s="6" t="str">
        <f>VLOOKUP(K591,'Structure type'!$A$1:$B$15,2,FALSE)</f>
        <v>Manhole</v>
      </c>
      <c r="M591" s="6" t="s">
        <v>30</v>
      </c>
      <c r="N591" s="6" t="str">
        <f>VLOOKUP(M591,'Excursion Cause'!$A$1:$B$34,2,FALSE)</f>
        <v>Grease Blockage</v>
      </c>
      <c r="O591" s="10">
        <v>44476.0</v>
      </c>
      <c r="P591" s="6" t="s">
        <v>412</v>
      </c>
      <c r="Q591" s="10">
        <v>44476.0</v>
      </c>
      <c r="R591" s="6" t="s">
        <v>131</v>
      </c>
      <c r="S591" s="5">
        <v>2.0</v>
      </c>
      <c r="T591" s="6" t="s">
        <v>33</v>
      </c>
      <c r="U591" s="5">
        <v>2.021071E7</v>
      </c>
      <c r="V591" s="5">
        <v>2.021071E7</v>
      </c>
      <c r="W591" s="5">
        <v>29.8701825360001</v>
      </c>
      <c r="X591" s="5">
        <v>-95.497588997</v>
      </c>
    </row>
    <row r="592" ht="15.75" customHeight="1">
      <c r="A592" s="5">
        <v>12149.0</v>
      </c>
      <c r="B592" s="6">
        <v>2021.0</v>
      </c>
      <c r="C592" s="6" t="str">
        <f t="shared" si="1"/>
        <v>115 E 44TH ST,Houston,Texas</v>
      </c>
      <c r="D592" s="6" t="s">
        <v>1188</v>
      </c>
      <c r="E592" s="6" t="s">
        <v>25</v>
      </c>
      <c r="F592" s="6" t="s">
        <v>26</v>
      </c>
      <c r="G592" s="6" t="s">
        <v>218</v>
      </c>
      <c r="H592" s="6" t="s">
        <v>50</v>
      </c>
      <c r="I592" s="6" t="str">
        <f>VLOOKUP(H592,'Flow Location'!$A$1:$B$21,2,FALSE)</f>
        <v>Contained On Site, not within 5 ft. of Bayou/Surface Water/Drainage Ditch</v>
      </c>
      <c r="J592" s="5">
        <v>1430.0</v>
      </c>
      <c r="K592" s="6" t="s">
        <v>29</v>
      </c>
      <c r="L592" s="6" t="str">
        <f>VLOOKUP(K592,'Structure type'!$A$1:$B$15,2,FALSE)</f>
        <v>Manhole</v>
      </c>
      <c r="M592" s="6" t="s">
        <v>30</v>
      </c>
      <c r="N592" s="6" t="str">
        <f>VLOOKUP(M592,'Excursion Cause'!$A$1:$B$34,2,FALSE)</f>
        <v>Grease Blockage</v>
      </c>
      <c r="O592" s="10">
        <v>44476.0</v>
      </c>
      <c r="P592" s="6" t="s">
        <v>353</v>
      </c>
      <c r="Q592" s="10">
        <v>44477.0</v>
      </c>
      <c r="R592" s="6" t="s">
        <v>765</v>
      </c>
      <c r="S592" s="5">
        <v>1.0</v>
      </c>
      <c r="T592" s="6" t="s">
        <v>33</v>
      </c>
      <c r="U592" s="5">
        <v>2.021071E7</v>
      </c>
      <c r="V592" s="5">
        <v>2.021081E7</v>
      </c>
      <c r="W592" s="5">
        <v>29.826250886</v>
      </c>
      <c r="X592" s="5">
        <v>-95.3979949719999</v>
      </c>
    </row>
    <row r="593" ht="15.75" customHeight="1">
      <c r="A593" s="5">
        <v>12150.0</v>
      </c>
      <c r="B593" s="6">
        <v>2021.0</v>
      </c>
      <c r="C593" s="6" t="str">
        <f t="shared" si="1"/>
        <v>702 REID ST,Houston,Texas</v>
      </c>
      <c r="D593" s="6" t="s">
        <v>1189</v>
      </c>
      <c r="E593" s="6" t="s">
        <v>25</v>
      </c>
      <c r="F593" s="6" t="s">
        <v>26</v>
      </c>
      <c r="G593" s="6" t="s">
        <v>653</v>
      </c>
      <c r="H593" s="6" t="s">
        <v>44</v>
      </c>
      <c r="I593" s="6" t="str">
        <f>VLOOKUP(H593,'Flow Location'!$A$1:$B$21,2,FALSE)</f>
        <v>Bayou/surface water/drainage ditch</v>
      </c>
      <c r="J593" s="5">
        <v>0.0</v>
      </c>
      <c r="K593" s="6" t="s">
        <v>29</v>
      </c>
      <c r="L593" s="6" t="str">
        <f>VLOOKUP(K593,'Structure type'!$A$1:$B$15,2,FALSE)</f>
        <v>Manhole</v>
      </c>
      <c r="M593" s="6" t="s">
        <v>30</v>
      </c>
      <c r="N593" s="6" t="str">
        <f>VLOOKUP(M593,'Excursion Cause'!$A$1:$B$34,2,FALSE)</f>
        <v>Grease Blockage</v>
      </c>
      <c r="O593" s="10">
        <v>44476.0</v>
      </c>
      <c r="P593" s="6" t="s">
        <v>348</v>
      </c>
      <c r="Q593" s="10">
        <v>44476.0</v>
      </c>
      <c r="R593" s="6" t="s">
        <v>348</v>
      </c>
      <c r="S593" s="5">
        <v>0.0</v>
      </c>
      <c r="T593" s="6" t="s">
        <v>33</v>
      </c>
      <c r="U593" s="5">
        <v>2.021071E7</v>
      </c>
      <c r="V593" s="5">
        <v>2.021071E7</v>
      </c>
      <c r="W593" s="5">
        <v>29.814727153</v>
      </c>
      <c r="X593" s="5">
        <v>-95.3624405319999</v>
      </c>
    </row>
    <row r="594" ht="15.75" customHeight="1">
      <c r="A594" s="5">
        <v>12154.0</v>
      </c>
      <c r="B594" s="6">
        <v>2021.0</v>
      </c>
      <c r="C594" s="6" t="str">
        <f t="shared" si="1"/>
        <v>6301 ALFANO ST,Houston,Texas</v>
      </c>
      <c r="D594" s="6" t="s">
        <v>1190</v>
      </c>
      <c r="E594" s="6" t="s">
        <v>25</v>
      </c>
      <c r="F594" s="6" t="s">
        <v>26</v>
      </c>
      <c r="G594" s="6" t="s">
        <v>275</v>
      </c>
      <c r="H594" s="6" t="s">
        <v>50</v>
      </c>
      <c r="I594" s="6" t="str">
        <f>VLOOKUP(H594,'Flow Location'!$A$1:$B$21,2,FALSE)</f>
        <v>Contained On Site, not within 5 ft. of Bayou/Surface Water/Drainage Ditch</v>
      </c>
      <c r="J594" s="5">
        <v>1047.0</v>
      </c>
      <c r="K594" s="6" t="s">
        <v>51</v>
      </c>
      <c r="L594" s="6" t="str">
        <f>VLOOKUP(K594,'Structure type'!$A$1:$B$15,2,FALSE)</f>
        <v>Private Cleanout</v>
      </c>
      <c r="M594" s="6" t="s">
        <v>30</v>
      </c>
      <c r="N594" s="6" t="str">
        <f>VLOOKUP(M594,'Excursion Cause'!$A$1:$B$34,2,FALSE)</f>
        <v>Grease Blockage</v>
      </c>
      <c r="O594" s="10">
        <v>44476.0</v>
      </c>
      <c r="P594" s="6" t="s">
        <v>946</v>
      </c>
      <c r="Q594" s="10">
        <v>44477.0</v>
      </c>
      <c r="R594" s="6" t="s">
        <v>1191</v>
      </c>
      <c r="S594" s="5">
        <v>1.0</v>
      </c>
      <c r="T594" s="6" t="s">
        <v>33</v>
      </c>
      <c r="U594" s="5">
        <v>2.021071E7</v>
      </c>
      <c r="V594" s="5">
        <v>2.021081E7</v>
      </c>
      <c r="W594" s="5">
        <v>29.856441454</v>
      </c>
      <c r="X594" s="5">
        <v>-95.393655661</v>
      </c>
    </row>
    <row r="595" ht="15.75" customHeight="1">
      <c r="A595" s="5">
        <v>12155.0</v>
      </c>
      <c r="B595" s="6">
        <v>2021.0</v>
      </c>
      <c r="C595" s="6" t="str">
        <f t="shared" si="1"/>
        <v>8175 OGDEN ST,Houston,Texas</v>
      </c>
      <c r="D595" s="6" t="s">
        <v>1192</v>
      </c>
      <c r="E595" s="6" t="s">
        <v>25</v>
      </c>
      <c r="F595" s="6" t="s">
        <v>26</v>
      </c>
      <c r="G595" s="6" t="s">
        <v>135</v>
      </c>
      <c r="H595" s="6" t="s">
        <v>50</v>
      </c>
      <c r="I595" s="6" t="str">
        <f>VLOOKUP(H595,'Flow Location'!$A$1:$B$21,2,FALSE)</f>
        <v>Contained On Site, not within 5 ft. of Bayou/Surface Water/Drainage Ditch</v>
      </c>
      <c r="J595" s="5">
        <v>0.0</v>
      </c>
      <c r="K595" s="6" t="s">
        <v>45</v>
      </c>
      <c r="L595" s="6" t="str">
        <f>VLOOKUP(K595,'Structure type'!$A$1:$B$15,2,FALSE)</f>
        <v>City Cleanout</v>
      </c>
      <c r="M595" s="6" t="s">
        <v>52</v>
      </c>
      <c r="N595" s="6" t="str">
        <f>VLOOKUP(M595,'Excursion Cause'!$A$1:$B$34,2,FALSE)</f>
        <v>Collection system structural blockage</v>
      </c>
      <c r="O595" s="10">
        <v>44476.0</v>
      </c>
      <c r="P595" s="6" t="s">
        <v>435</v>
      </c>
      <c r="Q595" s="10">
        <v>44476.0</v>
      </c>
      <c r="R595" s="6" t="s">
        <v>435</v>
      </c>
      <c r="S595" s="5">
        <v>0.0</v>
      </c>
      <c r="T595" s="6" t="s">
        <v>170</v>
      </c>
      <c r="U595" s="5">
        <v>2.021071E7</v>
      </c>
      <c r="V595" s="5">
        <v>2.021071E7</v>
      </c>
      <c r="W595" s="5">
        <v>29.6845132810001</v>
      </c>
      <c r="X595" s="5">
        <v>-95.2704167899999</v>
      </c>
    </row>
    <row r="596" ht="15.75" customHeight="1">
      <c r="A596" s="5">
        <v>12157.0</v>
      </c>
      <c r="B596" s="6">
        <v>2021.0</v>
      </c>
      <c r="C596" s="6" t="str">
        <f t="shared" si="1"/>
        <v>6722 SHERMAN ST,Houston,Texas</v>
      </c>
      <c r="D596" s="6" t="s">
        <v>1193</v>
      </c>
      <c r="E596" s="6" t="s">
        <v>25</v>
      </c>
      <c r="F596" s="6" t="s">
        <v>26</v>
      </c>
      <c r="G596" s="6" t="s">
        <v>227</v>
      </c>
      <c r="H596" s="6" t="s">
        <v>50</v>
      </c>
      <c r="I596" s="6" t="str">
        <f>VLOOKUP(H596,'Flow Location'!$A$1:$B$21,2,FALSE)</f>
        <v>Contained On Site, not within 5 ft. of Bayou/Surface Water/Drainage Ditch</v>
      </c>
      <c r="J596" s="5">
        <v>274.0</v>
      </c>
      <c r="K596" s="6" t="s">
        <v>45</v>
      </c>
      <c r="L596" s="6" t="str">
        <f>VLOOKUP(K596,'Structure type'!$A$1:$B$15,2,FALSE)</f>
        <v>City Cleanout</v>
      </c>
      <c r="M596" s="6" t="s">
        <v>30</v>
      </c>
      <c r="N596" s="6" t="str">
        <f>VLOOKUP(M596,'Excursion Cause'!$A$1:$B$34,2,FALSE)</f>
        <v>Grease Blockage</v>
      </c>
      <c r="O596" s="10">
        <v>44477.0</v>
      </c>
      <c r="P596" s="6" t="s">
        <v>1194</v>
      </c>
      <c r="Q596" s="10">
        <v>44477.0</v>
      </c>
      <c r="R596" s="6" t="s">
        <v>228</v>
      </c>
      <c r="S596" s="5">
        <v>1.0</v>
      </c>
      <c r="T596" s="6" t="s">
        <v>270</v>
      </c>
      <c r="U596" s="5">
        <v>2.021081E7</v>
      </c>
      <c r="V596" s="5">
        <v>2.021081E7</v>
      </c>
      <c r="W596" s="5">
        <v>29.739072095</v>
      </c>
      <c r="X596" s="5">
        <v>-95.305973326</v>
      </c>
    </row>
    <row r="597" ht="15.75" customHeight="1">
      <c r="A597" s="5">
        <v>12161.0</v>
      </c>
      <c r="B597" s="6">
        <v>2021.0</v>
      </c>
      <c r="C597" s="6" t="str">
        <f t="shared" si="1"/>
        <v>4659 TELEPHONE RD,Houston,Texas</v>
      </c>
      <c r="D597" s="6" t="s">
        <v>1195</v>
      </c>
      <c r="E597" s="6" t="s">
        <v>25</v>
      </c>
      <c r="F597" s="6" t="s">
        <v>26</v>
      </c>
      <c r="G597" s="6" t="s">
        <v>35</v>
      </c>
      <c r="H597" s="6" t="s">
        <v>28</v>
      </c>
      <c r="I597" s="6" t="str">
        <f>VLOOKUP(H597,'Flow Location'!$A$1:$B$21,2,FALSE)</f>
        <v>Storm Sewer (not contained)</v>
      </c>
      <c r="J597" s="5">
        <v>171.0</v>
      </c>
      <c r="K597" s="6" t="s">
        <v>782</v>
      </c>
      <c r="L597" s="6" t="str">
        <f>VLOOKUP(K597,'Structure type'!$A$1:$B$15,2,FALSE)</f>
        <v>Private Sample Well</v>
      </c>
      <c r="M597" s="6" t="s">
        <v>30</v>
      </c>
      <c r="N597" s="6" t="str">
        <f>VLOOKUP(M597,'Excursion Cause'!$A$1:$B$34,2,FALSE)</f>
        <v>Grease Blockage</v>
      </c>
      <c r="O597" s="10">
        <v>44477.0</v>
      </c>
      <c r="P597" s="6" t="s">
        <v>352</v>
      </c>
      <c r="Q597" s="10">
        <v>44477.0</v>
      </c>
      <c r="R597" s="6" t="s">
        <v>201</v>
      </c>
      <c r="S597" s="5">
        <v>1.0</v>
      </c>
      <c r="T597" s="6" t="s">
        <v>89</v>
      </c>
      <c r="U597" s="5">
        <v>2.021081E7</v>
      </c>
      <c r="V597" s="5">
        <v>2.021081E7</v>
      </c>
      <c r="W597" s="5">
        <v>29.694763762</v>
      </c>
      <c r="X597" s="5">
        <v>-95.2998370189999</v>
      </c>
    </row>
    <row r="598" ht="15.75" customHeight="1">
      <c r="A598" s="5">
        <v>12164.0</v>
      </c>
      <c r="B598" s="6">
        <v>2021.0</v>
      </c>
      <c r="C598" s="6" t="str">
        <f t="shared" si="1"/>
        <v>5015 BRISBANE DR,Houston,Texas</v>
      </c>
      <c r="D598" s="6" t="s">
        <v>1196</v>
      </c>
      <c r="E598" s="6" t="s">
        <v>25</v>
      </c>
      <c r="F598" s="6" t="s">
        <v>26</v>
      </c>
      <c r="G598" s="6" t="s">
        <v>301</v>
      </c>
      <c r="H598" s="6" t="s">
        <v>50</v>
      </c>
      <c r="I598" s="6" t="str">
        <f>VLOOKUP(H598,'Flow Location'!$A$1:$B$21,2,FALSE)</f>
        <v>Contained On Site, not within 5 ft. of Bayou/Surface Water/Drainage Ditch</v>
      </c>
      <c r="J598" s="5">
        <v>0.0</v>
      </c>
      <c r="K598" s="6" t="s">
        <v>45</v>
      </c>
      <c r="L598" s="6" t="str">
        <f>VLOOKUP(K598,'Structure type'!$A$1:$B$15,2,FALSE)</f>
        <v>City Cleanout</v>
      </c>
      <c r="M598" s="6" t="s">
        <v>30</v>
      </c>
      <c r="N598" s="6" t="str">
        <f>VLOOKUP(M598,'Excursion Cause'!$A$1:$B$34,2,FALSE)</f>
        <v>Grease Blockage</v>
      </c>
      <c r="O598" s="10">
        <v>44477.0</v>
      </c>
      <c r="P598" s="6" t="s">
        <v>375</v>
      </c>
      <c r="Q598" s="10">
        <v>44477.0</v>
      </c>
      <c r="R598" s="6" t="s">
        <v>375</v>
      </c>
      <c r="S598" s="5">
        <v>0.0</v>
      </c>
      <c r="T598" s="6" t="s">
        <v>170</v>
      </c>
      <c r="U598" s="5">
        <v>2.021081E7</v>
      </c>
      <c r="V598" s="5">
        <v>2.021081E7</v>
      </c>
      <c r="W598" s="5">
        <v>29.637742764</v>
      </c>
      <c r="X598" s="5">
        <v>-95.3511672069999</v>
      </c>
    </row>
    <row r="599" ht="15.75" customHeight="1">
      <c r="A599" s="5">
        <v>12166.0</v>
      </c>
      <c r="B599" s="6">
        <v>2021.0</v>
      </c>
      <c r="C599" s="6" t="str">
        <f t="shared" si="1"/>
        <v>4311 YELLOWSTONE BLVD,Houston,Texas</v>
      </c>
      <c r="D599" s="6" t="s">
        <v>1197</v>
      </c>
      <c r="E599" s="6" t="s">
        <v>25</v>
      </c>
      <c r="F599" s="6" t="s">
        <v>26</v>
      </c>
      <c r="G599" s="6" t="s">
        <v>238</v>
      </c>
      <c r="H599" s="6" t="s">
        <v>28</v>
      </c>
      <c r="I599" s="6" t="str">
        <f>VLOOKUP(H599,'Flow Location'!$A$1:$B$21,2,FALSE)</f>
        <v>Storm Sewer (not contained)</v>
      </c>
      <c r="J599" s="5">
        <v>0.0</v>
      </c>
      <c r="K599" s="6" t="s">
        <v>45</v>
      </c>
      <c r="L599" s="6" t="str">
        <f>VLOOKUP(K599,'Structure type'!$A$1:$B$15,2,FALSE)</f>
        <v>City Cleanout</v>
      </c>
      <c r="M599" s="6" t="s">
        <v>56</v>
      </c>
      <c r="N599" s="6" t="str">
        <f>VLOOKUP(M599,'Excursion Cause'!$A$1:$B$34,2,FALSE)</f>
        <v>Rags/Wipes</v>
      </c>
      <c r="O599" s="10">
        <v>44477.0</v>
      </c>
      <c r="P599" s="6" t="s">
        <v>1198</v>
      </c>
      <c r="Q599" s="10">
        <v>44477.0</v>
      </c>
      <c r="R599" s="6" t="s">
        <v>1198</v>
      </c>
      <c r="S599" s="5">
        <v>0.0</v>
      </c>
      <c r="T599" s="6" t="s">
        <v>270</v>
      </c>
      <c r="U599" s="5">
        <v>2.021081E7</v>
      </c>
      <c r="V599" s="5">
        <v>2.021081E7</v>
      </c>
      <c r="W599" s="5">
        <v>29.691330367</v>
      </c>
      <c r="X599" s="5">
        <v>-95.3539229259999</v>
      </c>
    </row>
    <row r="600" ht="15.75" customHeight="1">
      <c r="A600" s="5">
        <v>12178.0</v>
      </c>
      <c r="B600" s="6">
        <v>2021.0</v>
      </c>
      <c r="C600" s="6" t="str">
        <f t="shared" si="1"/>
        <v>5202 UBUNTU CT,Houston,Texas</v>
      </c>
      <c r="D600" s="6" t="s">
        <v>1199</v>
      </c>
      <c r="E600" s="6" t="s">
        <v>25</v>
      </c>
      <c r="F600" s="6" t="s">
        <v>26</v>
      </c>
      <c r="G600" s="6" t="s">
        <v>222</v>
      </c>
      <c r="H600" s="6" t="s">
        <v>50</v>
      </c>
      <c r="I600" s="6" t="str">
        <f>VLOOKUP(H600,'Flow Location'!$A$1:$B$21,2,FALSE)</f>
        <v>Contained On Site, not within 5 ft. of Bayou/Surface Water/Drainage Ditch</v>
      </c>
      <c r="J600" s="5">
        <v>6442.0</v>
      </c>
      <c r="K600" s="6" t="s">
        <v>29</v>
      </c>
      <c r="L600" s="6" t="str">
        <f>VLOOKUP(K600,'Structure type'!$A$1:$B$15,2,FALSE)</f>
        <v>Manhole</v>
      </c>
      <c r="M600" s="6" t="s">
        <v>81</v>
      </c>
      <c r="N600" s="6" t="str">
        <f>VLOOKUP(M600,'Excursion Cause'!$A$1:$B$34,2,FALSE)</f>
        <v>Collection system structural failure</v>
      </c>
      <c r="O600" s="10">
        <v>44480.0</v>
      </c>
      <c r="P600" s="6" t="s">
        <v>1011</v>
      </c>
      <c r="Q600" s="8">
        <v>44482.0</v>
      </c>
      <c r="R600" s="6" t="s">
        <v>289</v>
      </c>
      <c r="S600" s="5">
        <v>2.0</v>
      </c>
      <c r="T600" s="6" t="s">
        <v>54</v>
      </c>
      <c r="U600" s="5">
        <v>2.021111E7</v>
      </c>
      <c r="V600" s="5">
        <v>2.0211013E7</v>
      </c>
      <c r="W600" s="5">
        <v>29.841285548</v>
      </c>
      <c r="X600" s="5">
        <v>-95.426876915</v>
      </c>
    </row>
    <row r="601" ht="15.75" customHeight="1">
      <c r="A601" s="5">
        <v>12179.0</v>
      </c>
      <c r="B601" s="6">
        <v>2021.0</v>
      </c>
      <c r="C601" s="6" t="str">
        <f t="shared" si="1"/>
        <v>6363 AIRPORT BLVD,Houston,Texas</v>
      </c>
      <c r="D601" s="6" t="s">
        <v>1200</v>
      </c>
      <c r="E601" s="6" t="s">
        <v>25</v>
      </c>
      <c r="F601" s="6" t="s">
        <v>26</v>
      </c>
      <c r="G601" s="6" t="s">
        <v>301</v>
      </c>
      <c r="H601" s="6" t="s">
        <v>28</v>
      </c>
      <c r="I601" s="6" t="str">
        <f>VLOOKUP(H601,'Flow Location'!$A$1:$B$21,2,FALSE)</f>
        <v>Storm Sewer (not contained)</v>
      </c>
      <c r="J601" s="5">
        <v>552.0</v>
      </c>
      <c r="K601" s="6" t="s">
        <v>29</v>
      </c>
      <c r="L601" s="6" t="str">
        <f>VLOOKUP(K601,'Structure type'!$A$1:$B$15,2,FALSE)</f>
        <v>Manhole</v>
      </c>
      <c r="M601" s="6" t="s">
        <v>30</v>
      </c>
      <c r="N601" s="6" t="str">
        <f>VLOOKUP(M601,'Excursion Cause'!$A$1:$B$34,2,FALSE)</f>
        <v>Grease Blockage</v>
      </c>
      <c r="O601" s="10">
        <v>44480.0</v>
      </c>
      <c r="P601" s="6" t="s">
        <v>454</v>
      </c>
      <c r="Q601" s="10">
        <v>44480.0</v>
      </c>
      <c r="R601" s="6" t="s">
        <v>1201</v>
      </c>
      <c r="S601" s="5">
        <v>3.0</v>
      </c>
      <c r="T601" s="6" t="s">
        <v>33</v>
      </c>
      <c r="U601" s="5">
        <v>2.021111E7</v>
      </c>
      <c r="V601" s="5">
        <v>2.021111E7</v>
      </c>
      <c r="W601" s="5">
        <v>29.645732732</v>
      </c>
      <c r="X601" s="5">
        <v>-95.31662304</v>
      </c>
    </row>
    <row r="602" ht="15.75" customHeight="1">
      <c r="A602" s="5">
        <v>12183.0</v>
      </c>
      <c r="B602" s="6">
        <v>2021.0</v>
      </c>
      <c r="C602" s="6" t="str">
        <f t="shared" si="1"/>
        <v>4311 YELLOWSTONE BLVD,Houston,Texas</v>
      </c>
      <c r="D602" s="6" t="s">
        <v>1197</v>
      </c>
      <c r="E602" s="6" t="s">
        <v>25</v>
      </c>
      <c r="F602" s="6" t="s">
        <v>26</v>
      </c>
      <c r="G602" s="6" t="s">
        <v>238</v>
      </c>
      <c r="H602" s="6" t="s">
        <v>28</v>
      </c>
      <c r="I602" s="6" t="str">
        <f>VLOOKUP(H602,'Flow Location'!$A$1:$B$21,2,FALSE)</f>
        <v>Storm Sewer (not contained)</v>
      </c>
      <c r="J602" s="5">
        <v>0.0</v>
      </c>
      <c r="K602" s="6" t="s">
        <v>45</v>
      </c>
      <c r="L602" s="6" t="str">
        <f>VLOOKUP(K602,'Structure type'!$A$1:$B$15,2,FALSE)</f>
        <v>City Cleanout</v>
      </c>
      <c r="M602" s="6" t="s">
        <v>56</v>
      </c>
      <c r="N602" s="6" t="str">
        <f>VLOOKUP(M602,'Excursion Cause'!$A$1:$B$34,2,FALSE)</f>
        <v>Rags/Wipes</v>
      </c>
      <c r="O602" s="10">
        <v>44480.0</v>
      </c>
      <c r="P602" s="6" t="s">
        <v>854</v>
      </c>
      <c r="Q602" s="10">
        <v>44480.0</v>
      </c>
      <c r="R602" s="6" t="s">
        <v>854</v>
      </c>
      <c r="S602" s="5">
        <v>0.0</v>
      </c>
      <c r="T602" s="6" t="s">
        <v>89</v>
      </c>
      <c r="U602" s="5">
        <v>2.021111E7</v>
      </c>
      <c r="V602" s="5">
        <v>2.021111E7</v>
      </c>
      <c r="W602" s="5">
        <v>29.691330367</v>
      </c>
      <c r="X602" s="5">
        <v>-95.3539229259999</v>
      </c>
    </row>
    <row r="603" ht="15.75" customHeight="1">
      <c r="A603" s="5">
        <v>12185.0</v>
      </c>
      <c r="B603" s="6">
        <v>2021.0</v>
      </c>
      <c r="C603" s="6" t="str">
        <f t="shared" si="1"/>
        <v>1515 DEMAREE LN,Houston,Texas</v>
      </c>
      <c r="D603" s="6" t="s">
        <v>1202</v>
      </c>
      <c r="E603" s="6" t="s">
        <v>25</v>
      </c>
      <c r="F603" s="6" t="s">
        <v>26</v>
      </c>
      <c r="G603" s="6" t="s">
        <v>247</v>
      </c>
      <c r="H603" s="6" t="s">
        <v>50</v>
      </c>
      <c r="I603" s="6" t="str">
        <f>VLOOKUP(H603,'Flow Location'!$A$1:$B$21,2,FALSE)</f>
        <v>Contained On Site, not within 5 ft. of Bayou/Surface Water/Drainage Ditch</v>
      </c>
      <c r="J603" s="5">
        <v>0.0</v>
      </c>
      <c r="K603" s="6" t="s">
        <v>29</v>
      </c>
      <c r="L603" s="6" t="str">
        <f>VLOOKUP(K603,'Structure type'!$A$1:$B$15,2,FALSE)</f>
        <v>Manhole</v>
      </c>
      <c r="M603" s="6" t="s">
        <v>30</v>
      </c>
      <c r="N603" s="6" t="str">
        <f>VLOOKUP(M603,'Excursion Cause'!$A$1:$B$34,2,FALSE)</f>
        <v>Grease Blockage</v>
      </c>
      <c r="O603" s="10">
        <v>44480.0</v>
      </c>
      <c r="P603" s="6" t="s">
        <v>841</v>
      </c>
      <c r="Q603" s="10">
        <v>44480.0</v>
      </c>
      <c r="R603" s="6" t="s">
        <v>841</v>
      </c>
      <c r="S603" s="5">
        <v>0.0</v>
      </c>
      <c r="T603" s="6" t="s">
        <v>33</v>
      </c>
      <c r="U603" s="5">
        <v>2.021111E7</v>
      </c>
      <c r="V603" s="5">
        <v>2.021111E7</v>
      </c>
      <c r="W603" s="5">
        <v>29.763961653</v>
      </c>
      <c r="X603" s="5">
        <v>-95.2776428289999</v>
      </c>
    </row>
    <row r="604" ht="15.75" customHeight="1">
      <c r="A604" s="5">
        <v>12186.0</v>
      </c>
      <c r="B604" s="6">
        <v>2021.0</v>
      </c>
      <c r="C604" s="6" t="str">
        <f t="shared" si="1"/>
        <v>12702 ASHFORD CHASE DR,Houston,Texas</v>
      </c>
      <c r="D604" s="6" t="s">
        <v>1203</v>
      </c>
      <c r="E604" s="6" t="s">
        <v>25</v>
      </c>
      <c r="F604" s="6" t="s">
        <v>26</v>
      </c>
      <c r="G604" s="6" t="s">
        <v>313</v>
      </c>
      <c r="H604" s="6" t="s">
        <v>50</v>
      </c>
      <c r="I604" s="6" t="str">
        <f>VLOOKUP(H604,'Flow Location'!$A$1:$B$21,2,FALSE)</f>
        <v>Contained On Site, not within 5 ft. of Bayou/Surface Water/Drainage Ditch</v>
      </c>
      <c r="J604" s="5">
        <v>305.0</v>
      </c>
      <c r="K604" s="6" t="s">
        <v>29</v>
      </c>
      <c r="L604" s="6" t="str">
        <f>VLOOKUP(K604,'Structure type'!$A$1:$B$15,2,FALSE)</f>
        <v>Manhole</v>
      </c>
      <c r="M604" s="6" t="s">
        <v>30</v>
      </c>
      <c r="N604" s="6" t="str">
        <f>VLOOKUP(M604,'Excursion Cause'!$A$1:$B$34,2,FALSE)</f>
        <v>Grease Blockage</v>
      </c>
      <c r="O604" s="10">
        <v>44480.0</v>
      </c>
      <c r="P604" s="6" t="s">
        <v>145</v>
      </c>
      <c r="Q604" s="10">
        <v>44480.0</v>
      </c>
      <c r="R604" s="6" t="s">
        <v>1204</v>
      </c>
      <c r="S604" s="5">
        <v>1.0</v>
      </c>
      <c r="T604" s="6" t="s">
        <v>33</v>
      </c>
      <c r="U604" s="5">
        <v>2.021111E7</v>
      </c>
      <c r="V604" s="5">
        <v>2.021111E7</v>
      </c>
      <c r="W604" s="5">
        <v>29.7311915550001</v>
      </c>
      <c r="X604" s="5">
        <v>-95.611610876</v>
      </c>
    </row>
    <row r="605" ht="15.75" customHeight="1">
      <c r="A605" s="5">
        <v>12191.0</v>
      </c>
      <c r="B605" s="6">
        <v>2021.0</v>
      </c>
      <c r="C605" s="6" t="str">
        <f t="shared" si="1"/>
        <v>103 STILES ST,Houston,Texas</v>
      </c>
      <c r="D605" s="6" t="s">
        <v>1205</v>
      </c>
      <c r="E605" s="6" t="s">
        <v>25</v>
      </c>
      <c r="F605" s="6" t="s">
        <v>26</v>
      </c>
      <c r="G605" s="6" t="s">
        <v>227</v>
      </c>
      <c r="H605" s="6" t="s">
        <v>28</v>
      </c>
      <c r="I605" s="6" t="str">
        <f>VLOOKUP(H605,'Flow Location'!$A$1:$B$21,2,FALSE)</f>
        <v>Storm Sewer (not contained)</v>
      </c>
      <c r="J605" s="5">
        <v>1623.0</v>
      </c>
      <c r="K605" s="6" t="s">
        <v>45</v>
      </c>
      <c r="L605" s="6" t="str">
        <f>VLOOKUP(K605,'Structure type'!$A$1:$B$15,2,FALSE)</f>
        <v>City Cleanout</v>
      </c>
      <c r="M605" s="6" t="s">
        <v>81</v>
      </c>
      <c r="N605" s="6" t="str">
        <f>VLOOKUP(M605,'Excursion Cause'!$A$1:$B$34,2,FALSE)</f>
        <v>Collection system structural failure</v>
      </c>
      <c r="O605" s="10">
        <v>44481.0</v>
      </c>
      <c r="P605" s="6" t="s">
        <v>457</v>
      </c>
      <c r="Q605" s="8">
        <v>44482.0</v>
      </c>
      <c r="R605" s="6" t="s">
        <v>255</v>
      </c>
      <c r="S605" s="5">
        <v>1.0</v>
      </c>
      <c r="T605" s="6" t="s">
        <v>270</v>
      </c>
      <c r="U605" s="5">
        <v>2.021121E7</v>
      </c>
      <c r="V605" s="5">
        <v>2.0211013E7</v>
      </c>
      <c r="W605" s="5">
        <v>29.746225462</v>
      </c>
      <c r="X605" s="5">
        <v>-95.325230246</v>
      </c>
    </row>
    <row r="606" ht="15.75" customHeight="1">
      <c r="A606" s="5">
        <v>12193.0</v>
      </c>
      <c r="B606" s="6">
        <v>2021.0</v>
      </c>
      <c r="C606" s="6" t="str">
        <f t="shared" si="1"/>
        <v>1100 WILCREST DR,Houston,Texas</v>
      </c>
      <c r="D606" s="6" t="s">
        <v>1206</v>
      </c>
      <c r="E606" s="6" t="s">
        <v>25</v>
      </c>
      <c r="F606" s="6" t="s">
        <v>26</v>
      </c>
      <c r="G606" s="6" t="s">
        <v>401</v>
      </c>
      <c r="H606" s="6" t="s">
        <v>28</v>
      </c>
      <c r="I606" s="6" t="str">
        <f>VLOOKUP(H606,'Flow Location'!$A$1:$B$21,2,FALSE)</f>
        <v>Storm Sewer (not contained)</v>
      </c>
      <c r="J606" s="5">
        <v>205.0</v>
      </c>
      <c r="K606" s="6" t="s">
        <v>29</v>
      </c>
      <c r="L606" s="6" t="str">
        <f>VLOOKUP(K606,'Structure type'!$A$1:$B$15,2,FALSE)</f>
        <v>Manhole</v>
      </c>
      <c r="M606" s="6" t="s">
        <v>30</v>
      </c>
      <c r="N606" s="6" t="str">
        <f>VLOOKUP(M606,'Excursion Cause'!$A$1:$B$34,2,FALSE)</f>
        <v>Grease Blockage</v>
      </c>
      <c r="O606" s="10">
        <v>44481.0</v>
      </c>
      <c r="P606" s="6" t="s">
        <v>1201</v>
      </c>
      <c r="Q606" s="10">
        <v>44481.0</v>
      </c>
      <c r="R606" s="6" t="s">
        <v>537</v>
      </c>
      <c r="S606" s="5">
        <v>1.0</v>
      </c>
      <c r="T606" s="6" t="s">
        <v>33</v>
      </c>
      <c r="U606" s="5">
        <v>2.021121E7</v>
      </c>
      <c r="V606" s="5">
        <v>2.021121E7</v>
      </c>
      <c r="W606" s="5">
        <v>29.7509530230001</v>
      </c>
      <c r="X606" s="5">
        <v>-95.572386587</v>
      </c>
    </row>
    <row r="607" ht="15.75" customHeight="1">
      <c r="A607" s="5">
        <v>12198.0</v>
      </c>
      <c r="B607" s="6">
        <v>2021.0</v>
      </c>
      <c r="C607" s="6" t="str">
        <f t="shared" si="1"/>
        <v>2918 DALTON ST,Houston,Texas</v>
      </c>
      <c r="D607" s="6" t="s">
        <v>134</v>
      </c>
      <c r="E607" s="6" t="s">
        <v>25</v>
      </c>
      <c r="F607" s="6" t="s">
        <v>26</v>
      </c>
      <c r="G607" s="6" t="s">
        <v>135</v>
      </c>
      <c r="H607" s="6" t="s">
        <v>44</v>
      </c>
      <c r="I607" s="6" t="str">
        <f>VLOOKUP(H607,'Flow Location'!$A$1:$B$21,2,FALSE)</f>
        <v>Bayou/surface water/drainage ditch</v>
      </c>
      <c r="J607" s="5">
        <v>0.0</v>
      </c>
      <c r="K607" s="6" t="s">
        <v>45</v>
      </c>
      <c r="L607" s="6" t="str">
        <f>VLOOKUP(K607,'Structure type'!$A$1:$B$15,2,FALSE)</f>
        <v>City Cleanout</v>
      </c>
      <c r="M607" s="6" t="s">
        <v>52</v>
      </c>
      <c r="N607" s="6" t="str">
        <f>VLOOKUP(M607,'Excursion Cause'!$A$1:$B$34,2,FALSE)</f>
        <v>Collection system structural blockage</v>
      </c>
      <c r="O607" s="10">
        <v>44481.0</v>
      </c>
      <c r="P607" s="6" t="s">
        <v>451</v>
      </c>
      <c r="Q607" s="10">
        <v>44481.0</v>
      </c>
      <c r="R607" s="6" t="s">
        <v>451</v>
      </c>
      <c r="S607" s="5">
        <v>0.0</v>
      </c>
      <c r="T607" s="6" t="s">
        <v>292</v>
      </c>
      <c r="U607" s="5">
        <v>2.021121E7</v>
      </c>
      <c r="V607" s="5">
        <v>2.021121E7</v>
      </c>
      <c r="W607" s="5">
        <v>29.698150051</v>
      </c>
      <c r="X607" s="5">
        <v>-95.273136383</v>
      </c>
    </row>
    <row r="608" ht="15.75" customHeight="1">
      <c r="A608" s="5">
        <v>12201.0</v>
      </c>
      <c r="B608" s="6">
        <v>2021.0</v>
      </c>
      <c r="C608" s="6" t="str">
        <f t="shared" si="1"/>
        <v>14903 PECANTEX DR,Houston,Texas</v>
      </c>
      <c r="D608" s="6" t="s">
        <v>1207</v>
      </c>
      <c r="E608" s="6" t="s">
        <v>25</v>
      </c>
      <c r="F608" s="6" t="s">
        <v>26</v>
      </c>
      <c r="G608" s="6" t="s">
        <v>853</v>
      </c>
      <c r="H608" s="6" t="s">
        <v>50</v>
      </c>
      <c r="I608" s="6" t="str">
        <f>VLOOKUP(H608,'Flow Location'!$A$1:$B$21,2,FALSE)</f>
        <v>Contained On Site, not within 5 ft. of Bayou/Surface Water/Drainage Ditch</v>
      </c>
      <c r="J608" s="5">
        <v>0.0</v>
      </c>
      <c r="K608" s="6" t="s">
        <v>29</v>
      </c>
      <c r="L608" s="6" t="str">
        <f>VLOOKUP(K608,'Structure type'!$A$1:$B$15,2,FALSE)</f>
        <v>Manhole</v>
      </c>
      <c r="M608" s="6" t="s">
        <v>30</v>
      </c>
      <c r="N608" s="6" t="str">
        <f>VLOOKUP(M608,'Excursion Cause'!$A$1:$B$34,2,FALSE)</f>
        <v>Grease Blockage</v>
      </c>
      <c r="O608" s="7">
        <v>44482.0</v>
      </c>
      <c r="P608" s="6" t="s">
        <v>594</v>
      </c>
      <c r="Q608" s="7">
        <v>44482.0</v>
      </c>
      <c r="R608" s="6" t="s">
        <v>594</v>
      </c>
      <c r="S608" s="5">
        <v>0.0</v>
      </c>
      <c r="T608" s="6" t="s">
        <v>33</v>
      </c>
      <c r="U608" s="5">
        <v>2.0211013E7</v>
      </c>
      <c r="V608" s="5">
        <v>2.0211013E7</v>
      </c>
      <c r="W608" s="5">
        <v>29.93738302</v>
      </c>
      <c r="X608" s="5">
        <v>-95.279927484</v>
      </c>
    </row>
    <row r="609" ht="15.75" customHeight="1">
      <c r="A609" s="5">
        <v>12205.0</v>
      </c>
      <c r="B609" s="6">
        <v>2021.0</v>
      </c>
      <c r="C609" s="6" t="str">
        <f t="shared" si="1"/>
        <v>1221 THERESA ST,Houston,Texas</v>
      </c>
      <c r="D609" s="6" t="s">
        <v>390</v>
      </c>
      <c r="E609" s="6" t="s">
        <v>25</v>
      </c>
      <c r="F609" s="6" t="s">
        <v>26</v>
      </c>
      <c r="G609" s="6" t="s">
        <v>105</v>
      </c>
      <c r="H609" s="6" t="s">
        <v>28</v>
      </c>
      <c r="I609" s="6" t="str">
        <f>VLOOKUP(H609,'Flow Location'!$A$1:$B$21,2,FALSE)</f>
        <v>Storm Sewer (not contained)</v>
      </c>
      <c r="J609" s="5">
        <v>0.0</v>
      </c>
      <c r="K609" s="6" t="s">
        <v>45</v>
      </c>
      <c r="L609" s="6" t="str">
        <f>VLOOKUP(K609,'Structure type'!$A$1:$B$15,2,FALSE)</f>
        <v>City Cleanout</v>
      </c>
      <c r="M609" s="6" t="s">
        <v>30</v>
      </c>
      <c r="N609" s="6" t="str">
        <f>VLOOKUP(M609,'Excursion Cause'!$A$1:$B$34,2,FALSE)</f>
        <v>Grease Blockage</v>
      </c>
      <c r="O609" s="7">
        <v>44482.0</v>
      </c>
      <c r="P609" s="6" t="s">
        <v>1208</v>
      </c>
      <c r="Q609" s="7">
        <v>44482.0</v>
      </c>
      <c r="R609" s="6" t="s">
        <v>1208</v>
      </c>
      <c r="S609" s="5">
        <v>0.0</v>
      </c>
      <c r="T609" s="6" t="s">
        <v>74</v>
      </c>
      <c r="U609" s="5">
        <v>2.0211013E7</v>
      </c>
      <c r="V609" s="5">
        <v>2.0211013E7</v>
      </c>
      <c r="W609" s="5">
        <v>29.6733099030001</v>
      </c>
      <c r="X609" s="5">
        <v>-95.364911601</v>
      </c>
    </row>
    <row r="610" ht="15.75" customHeight="1">
      <c r="A610" s="5">
        <v>12208.0</v>
      </c>
      <c r="B610" s="6">
        <v>2021.0</v>
      </c>
      <c r="C610" s="6" t="str">
        <f t="shared" si="1"/>
        <v>5206 ALDINE BENDER RD,Houston,Texas</v>
      </c>
      <c r="D610" s="6" t="s">
        <v>1209</v>
      </c>
      <c r="E610" s="6" t="s">
        <v>25</v>
      </c>
      <c r="F610" s="6" t="s">
        <v>26</v>
      </c>
      <c r="G610" s="6" t="s">
        <v>1210</v>
      </c>
      <c r="H610" s="6" t="s">
        <v>50</v>
      </c>
      <c r="I610" s="6" t="str">
        <f>VLOOKUP(H610,'Flow Location'!$A$1:$B$21,2,FALSE)</f>
        <v>Contained On Site, not within 5 ft. of Bayou/Surface Water/Drainage Ditch</v>
      </c>
      <c r="J610" s="5">
        <v>1044.0</v>
      </c>
      <c r="K610" s="6" t="s">
        <v>29</v>
      </c>
      <c r="L610" s="6" t="str">
        <f>VLOOKUP(K610,'Structure type'!$A$1:$B$15,2,FALSE)</f>
        <v>Manhole</v>
      </c>
      <c r="M610" s="6" t="s">
        <v>30</v>
      </c>
      <c r="N610" s="6" t="str">
        <f>VLOOKUP(M610,'Excursion Cause'!$A$1:$B$34,2,FALSE)</f>
        <v>Grease Blockage</v>
      </c>
      <c r="O610" s="7">
        <v>44483.0</v>
      </c>
      <c r="P610" s="6" t="s">
        <v>450</v>
      </c>
      <c r="Q610" s="7">
        <v>44483.0</v>
      </c>
      <c r="R610" s="6" t="s">
        <v>1211</v>
      </c>
      <c r="S610" s="5">
        <v>2.0</v>
      </c>
      <c r="T610" s="6" t="s">
        <v>33</v>
      </c>
      <c r="U610" s="5">
        <v>2.0211014E7</v>
      </c>
      <c r="V610" s="5">
        <v>2.0211014E7</v>
      </c>
      <c r="W610" s="5">
        <v>29.930420825</v>
      </c>
      <c r="X610" s="5">
        <v>-95.313363742</v>
      </c>
    </row>
    <row r="611" ht="15.75" customHeight="1">
      <c r="A611" s="5">
        <v>12210.0</v>
      </c>
      <c r="B611" s="6">
        <v>2021.0</v>
      </c>
      <c r="C611" s="6" t="str">
        <f t="shared" si="1"/>
        <v>7718 CANDLEGREEN LN,Houston,Texas</v>
      </c>
      <c r="D611" s="6" t="s">
        <v>1212</v>
      </c>
      <c r="E611" s="6" t="s">
        <v>25</v>
      </c>
      <c r="F611" s="6" t="s">
        <v>26</v>
      </c>
      <c r="G611" s="6" t="s">
        <v>148</v>
      </c>
      <c r="H611" s="6" t="s">
        <v>50</v>
      </c>
      <c r="I611" s="6" t="str">
        <f>VLOOKUP(H611,'Flow Location'!$A$1:$B$21,2,FALSE)</f>
        <v>Contained On Site, not within 5 ft. of Bayou/Surface Water/Drainage Ditch</v>
      </c>
      <c r="J611" s="5">
        <v>0.0</v>
      </c>
      <c r="K611" s="6" t="s">
        <v>29</v>
      </c>
      <c r="L611" s="6" t="str">
        <f>VLOOKUP(K611,'Structure type'!$A$1:$B$15,2,FALSE)</f>
        <v>Manhole</v>
      </c>
      <c r="M611" s="6" t="s">
        <v>30</v>
      </c>
      <c r="N611" s="6" t="str">
        <f>VLOOKUP(M611,'Excursion Cause'!$A$1:$B$34,2,FALSE)</f>
        <v>Grease Blockage</v>
      </c>
      <c r="O611" s="7">
        <v>44483.0</v>
      </c>
      <c r="P611" s="6" t="s">
        <v>1213</v>
      </c>
      <c r="Q611" s="7">
        <v>44483.0</v>
      </c>
      <c r="R611" s="6" t="s">
        <v>1213</v>
      </c>
      <c r="S611" s="5">
        <v>0.0</v>
      </c>
      <c r="T611" s="6" t="s">
        <v>33</v>
      </c>
      <c r="U611" s="5">
        <v>2.0211014E7</v>
      </c>
      <c r="V611" s="5">
        <v>2.0211014E7</v>
      </c>
      <c r="W611" s="5">
        <v>29.645561194</v>
      </c>
      <c r="X611" s="5">
        <v>-95.5130495019999</v>
      </c>
    </row>
    <row r="612" ht="15.75" customHeight="1">
      <c r="A612" s="5">
        <v>12212.0</v>
      </c>
      <c r="B612" s="6">
        <v>2021.0</v>
      </c>
      <c r="C612" s="6" t="str">
        <f t="shared" si="1"/>
        <v>6635 FAIRWAY DR,Houston,Texas</v>
      </c>
      <c r="D612" s="6" t="s">
        <v>1180</v>
      </c>
      <c r="E612" s="6" t="s">
        <v>25</v>
      </c>
      <c r="F612" s="6" t="s">
        <v>26</v>
      </c>
      <c r="G612" s="6" t="s">
        <v>35</v>
      </c>
      <c r="H612" s="6" t="s">
        <v>50</v>
      </c>
      <c r="I612" s="6" t="str">
        <f>VLOOKUP(H612,'Flow Location'!$A$1:$B$21,2,FALSE)</f>
        <v>Contained On Site, not within 5 ft. of Bayou/Surface Water/Drainage Ditch</v>
      </c>
      <c r="J612" s="5">
        <v>0.0</v>
      </c>
      <c r="K612" s="6" t="s">
        <v>198</v>
      </c>
      <c r="L612" s="6" t="str">
        <f>VLOOKUP(K612,'Structure type'!$A$1:$B$15,2,FALSE)</f>
        <v>Service Lateral</v>
      </c>
      <c r="M612" s="6" t="s">
        <v>81</v>
      </c>
      <c r="N612" s="6" t="str">
        <f>VLOOKUP(M612,'Excursion Cause'!$A$1:$B$34,2,FALSE)</f>
        <v>Collection system structural failure</v>
      </c>
      <c r="O612" s="7">
        <v>44483.0</v>
      </c>
      <c r="P612" s="6" t="s">
        <v>1214</v>
      </c>
      <c r="Q612" s="7">
        <v>44483.0</v>
      </c>
      <c r="R612" s="6" t="s">
        <v>1214</v>
      </c>
      <c r="S612" s="5">
        <v>0.0</v>
      </c>
      <c r="T612" s="6" t="s">
        <v>107</v>
      </c>
      <c r="U612" s="5">
        <v>2.0211014E7</v>
      </c>
      <c r="V612" s="5">
        <v>2.0211014E7</v>
      </c>
      <c r="W612" s="5">
        <v>29.694505473</v>
      </c>
      <c r="X612" s="5">
        <v>-95.308042232</v>
      </c>
    </row>
    <row r="613" ht="15.75" customHeight="1">
      <c r="A613" s="5">
        <v>12216.0</v>
      </c>
      <c r="B613" s="6">
        <v>2021.0</v>
      </c>
      <c r="C613" s="6" t="str">
        <f t="shared" si="1"/>
        <v>4545 COOK RD,Houston,Texas</v>
      </c>
      <c r="D613" s="6" t="s">
        <v>1215</v>
      </c>
      <c r="E613" s="6" t="s">
        <v>25</v>
      </c>
      <c r="F613" s="6" t="s">
        <v>26</v>
      </c>
      <c r="G613" s="6" t="s">
        <v>91</v>
      </c>
      <c r="H613" s="6" t="s">
        <v>50</v>
      </c>
      <c r="I613" s="6" t="str">
        <f>VLOOKUP(H613,'Flow Location'!$A$1:$B$21,2,FALSE)</f>
        <v>Contained On Site, not within 5 ft. of Bayou/Surface Water/Drainage Ditch</v>
      </c>
      <c r="J613" s="5">
        <v>188.0</v>
      </c>
      <c r="K613" s="6" t="s">
        <v>29</v>
      </c>
      <c r="L613" s="6" t="str">
        <f>VLOOKUP(K613,'Structure type'!$A$1:$B$15,2,FALSE)</f>
        <v>Manhole</v>
      </c>
      <c r="M613" s="6" t="s">
        <v>56</v>
      </c>
      <c r="N613" s="6" t="str">
        <f>VLOOKUP(M613,'Excursion Cause'!$A$1:$B$34,2,FALSE)</f>
        <v>Rags/Wipes</v>
      </c>
      <c r="O613" s="7">
        <v>44484.0</v>
      </c>
      <c r="P613" s="6" t="s">
        <v>395</v>
      </c>
      <c r="Q613" s="7">
        <v>44485.0</v>
      </c>
      <c r="R613" s="6" t="s">
        <v>1216</v>
      </c>
      <c r="S613" s="5">
        <v>2.0</v>
      </c>
      <c r="T613" s="6" t="s">
        <v>33</v>
      </c>
      <c r="U613" s="5">
        <v>2.0211015E7</v>
      </c>
      <c r="V613" s="5">
        <v>2.0211016E7</v>
      </c>
      <c r="W613" s="5">
        <v>29.706584005</v>
      </c>
      <c r="X613" s="5">
        <v>-95.5962124819999</v>
      </c>
    </row>
    <row r="614" ht="15.75" customHeight="1">
      <c r="A614" s="5">
        <v>12221.0</v>
      </c>
      <c r="B614" s="6">
        <v>2021.0</v>
      </c>
      <c r="C614" s="6" t="str">
        <f t="shared" si="1"/>
        <v>13303 VERBENA LN,Houston,Texas</v>
      </c>
      <c r="D614" s="6" t="s">
        <v>1217</v>
      </c>
      <c r="E614" s="6" t="s">
        <v>25</v>
      </c>
      <c r="F614" s="6" t="s">
        <v>26</v>
      </c>
      <c r="G614" s="6" t="s">
        <v>1218</v>
      </c>
      <c r="H614" s="6" t="s">
        <v>28</v>
      </c>
      <c r="I614" s="6" t="str">
        <f>VLOOKUP(H614,'Flow Location'!$A$1:$B$21,2,FALSE)</f>
        <v>Storm Sewer (not contained)</v>
      </c>
      <c r="J614" s="5">
        <v>940.0</v>
      </c>
      <c r="K614" s="6" t="s">
        <v>29</v>
      </c>
      <c r="L614" s="6" t="str">
        <f>VLOOKUP(K614,'Structure type'!$A$1:$B$15,2,FALSE)</f>
        <v>Manhole</v>
      </c>
      <c r="M614" s="6" t="s">
        <v>30</v>
      </c>
      <c r="N614" s="6" t="str">
        <f>VLOOKUP(M614,'Excursion Cause'!$A$1:$B$34,2,FALSE)</f>
        <v>Grease Blockage</v>
      </c>
      <c r="O614" s="7">
        <v>44485.0</v>
      </c>
      <c r="P614" s="6" t="s">
        <v>524</v>
      </c>
      <c r="Q614" s="7">
        <v>44485.0</v>
      </c>
      <c r="R614" s="6" t="s">
        <v>1219</v>
      </c>
      <c r="S614" s="5">
        <v>4.0</v>
      </c>
      <c r="T614" s="6" t="s">
        <v>59</v>
      </c>
      <c r="U614" s="5">
        <v>2.0211016E7</v>
      </c>
      <c r="V614" s="5">
        <v>2.0211016E7</v>
      </c>
      <c r="W614" s="5">
        <v>29.7074290690001</v>
      </c>
      <c r="X614" s="5">
        <v>-95.617311241</v>
      </c>
    </row>
    <row r="615" ht="15.75" customHeight="1">
      <c r="A615" s="5">
        <v>12223.0</v>
      </c>
      <c r="B615" s="6">
        <v>2021.0</v>
      </c>
      <c r="C615" s="6" t="str">
        <f t="shared" si="1"/>
        <v>5111 KINGSBURY ST,Houston,Texas</v>
      </c>
      <c r="D615" s="6" t="s">
        <v>1220</v>
      </c>
      <c r="E615" s="6" t="s">
        <v>25</v>
      </c>
      <c r="F615" s="6" t="s">
        <v>26</v>
      </c>
      <c r="G615" s="6" t="s">
        <v>238</v>
      </c>
      <c r="H615" s="6" t="s">
        <v>50</v>
      </c>
      <c r="I615" s="6" t="str">
        <f>VLOOKUP(H615,'Flow Location'!$A$1:$B$21,2,FALSE)</f>
        <v>Contained On Site, not within 5 ft. of Bayou/Surface Water/Drainage Ditch</v>
      </c>
      <c r="J615" s="5">
        <v>205.0</v>
      </c>
      <c r="K615" s="6" t="s">
        <v>29</v>
      </c>
      <c r="L615" s="6" t="str">
        <f>VLOOKUP(K615,'Structure type'!$A$1:$B$15,2,FALSE)</f>
        <v>Manhole</v>
      </c>
      <c r="M615" s="6" t="s">
        <v>30</v>
      </c>
      <c r="N615" s="6" t="str">
        <f>VLOOKUP(M615,'Excursion Cause'!$A$1:$B$34,2,FALSE)</f>
        <v>Grease Blockage</v>
      </c>
      <c r="O615" s="7">
        <v>44485.0</v>
      </c>
      <c r="P615" s="6" t="s">
        <v>175</v>
      </c>
      <c r="Q615" s="7">
        <v>44485.0</v>
      </c>
      <c r="R615" s="6" t="s">
        <v>522</v>
      </c>
      <c r="S615" s="5">
        <v>1.0</v>
      </c>
      <c r="T615" s="6" t="s">
        <v>59</v>
      </c>
      <c r="U615" s="5">
        <v>2.0211016E7</v>
      </c>
      <c r="V615" s="5">
        <v>2.0211016E7</v>
      </c>
      <c r="W615" s="5">
        <v>29.695341945</v>
      </c>
      <c r="X615" s="5">
        <v>-95.339068517</v>
      </c>
    </row>
    <row r="616" ht="15.75" customHeight="1">
      <c r="A616" s="5">
        <v>12224.0</v>
      </c>
      <c r="B616" s="6">
        <v>2021.0</v>
      </c>
      <c r="C616" s="6" t="str">
        <f t="shared" si="1"/>
        <v>5512 BELLAIRE BLVD,Houston,Texas</v>
      </c>
      <c r="D616" s="6" t="s">
        <v>1221</v>
      </c>
      <c r="E616" s="6" t="s">
        <v>25</v>
      </c>
      <c r="F616" s="6" t="s">
        <v>26</v>
      </c>
      <c r="G616" s="6" t="s">
        <v>287</v>
      </c>
      <c r="H616" s="6" t="s">
        <v>28</v>
      </c>
      <c r="I616" s="6" t="str">
        <f>VLOOKUP(H616,'Flow Location'!$A$1:$B$21,2,FALSE)</f>
        <v>Storm Sewer (not contained)</v>
      </c>
      <c r="J616" s="5">
        <v>240.0</v>
      </c>
      <c r="K616" s="6" t="s">
        <v>45</v>
      </c>
      <c r="L616" s="6" t="str">
        <f>VLOOKUP(K616,'Structure type'!$A$1:$B$15,2,FALSE)</f>
        <v>City Cleanout</v>
      </c>
      <c r="M616" s="6" t="s">
        <v>30</v>
      </c>
      <c r="N616" s="6" t="str">
        <f>VLOOKUP(M616,'Excursion Cause'!$A$1:$B$34,2,FALSE)</f>
        <v>Grease Blockage</v>
      </c>
      <c r="O616" s="7">
        <v>44485.0</v>
      </c>
      <c r="P616" s="6" t="s">
        <v>679</v>
      </c>
      <c r="Q616" s="7">
        <v>44485.0</v>
      </c>
      <c r="R616" s="6" t="s">
        <v>149</v>
      </c>
      <c r="S616" s="5">
        <v>1.0</v>
      </c>
      <c r="T616" s="6" t="s">
        <v>59</v>
      </c>
      <c r="U616" s="5">
        <v>2.0211016E7</v>
      </c>
      <c r="V616" s="5">
        <v>2.0211016E7</v>
      </c>
      <c r="W616" s="5">
        <v>29.705717903</v>
      </c>
      <c r="X616" s="5">
        <v>-95.477831427</v>
      </c>
    </row>
    <row r="617" ht="15.75" customHeight="1">
      <c r="A617" s="5">
        <v>12225.0</v>
      </c>
      <c r="B617" s="6">
        <v>2021.0</v>
      </c>
      <c r="C617" s="6" t="str">
        <f t="shared" si="1"/>
        <v>4200 W 34TH ST,Houston,Texas</v>
      </c>
      <c r="D617" s="6" t="s">
        <v>1222</v>
      </c>
      <c r="E617" s="6" t="s">
        <v>25</v>
      </c>
      <c r="F617" s="6" t="s">
        <v>26</v>
      </c>
      <c r="G617" s="6" t="s">
        <v>76</v>
      </c>
      <c r="H617" s="6" t="s">
        <v>50</v>
      </c>
      <c r="I617" s="6" t="str">
        <f>VLOOKUP(H617,'Flow Location'!$A$1:$B$21,2,FALSE)</f>
        <v>Contained On Site, not within 5 ft. of Bayou/Surface Water/Drainage Ditch</v>
      </c>
      <c r="J617" s="5">
        <v>0.0</v>
      </c>
      <c r="K617" s="6" t="s">
        <v>29</v>
      </c>
      <c r="L617" s="6" t="str">
        <f>VLOOKUP(K617,'Structure type'!$A$1:$B$15,2,FALSE)</f>
        <v>Manhole</v>
      </c>
      <c r="M617" s="6" t="s">
        <v>30</v>
      </c>
      <c r="N617" s="6" t="str">
        <f>VLOOKUP(M617,'Excursion Cause'!$A$1:$B$34,2,FALSE)</f>
        <v>Grease Blockage</v>
      </c>
      <c r="O617" s="7">
        <v>44485.0</v>
      </c>
      <c r="P617" s="6" t="s">
        <v>41</v>
      </c>
      <c r="Q617" s="7">
        <v>44485.0</v>
      </c>
      <c r="R617" s="6" t="s">
        <v>41</v>
      </c>
      <c r="S617" s="5">
        <v>0.0</v>
      </c>
      <c r="T617" s="6" t="s">
        <v>33</v>
      </c>
      <c r="U617" s="5">
        <v>2.0211016E7</v>
      </c>
      <c r="V617" s="5">
        <v>2.0211016E7</v>
      </c>
      <c r="W617" s="5">
        <v>29.8180949170001</v>
      </c>
      <c r="X617" s="5">
        <v>-95.453568332</v>
      </c>
    </row>
    <row r="618" ht="15.75" customHeight="1">
      <c r="A618" s="5">
        <v>12226.0</v>
      </c>
      <c r="B618" s="6">
        <v>2021.0</v>
      </c>
      <c r="C618" s="6" t="str">
        <f t="shared" si="1"/>
        <v>4437 CANAL ST,Houston,Texas</v>
      </c>
      <c r="D618" s="6" t="s">
        <v>1223</v>
      </c>
      <c r="E618" s="6" t="s">
        <v>25</v>
      </c>
      <c r="F618" s="6" t="s">
        <v>26</v>
      </c>
      <c r="G618" s="6" t="s">
        <v>227</v>
      </c>
      <c r="H618" s="6" t="s">
        <v>50</v>
      </c>
      <c r="I618" s="6" t="str">
        <f>VLOOKUP(H618,'Flow Location'!$A$1:$B$21,2,FALSE)</f>
        <v>Contained On Site, not within 5 ft. of Bayou/Surface Water/Drainage Ditch</v>
      </c>
      <c r="J618" s="5">
        <v>0.0</v>
      </c>
      <c r="K618" s="6" t="s">
        <v>29</v>
      </c>
      <c r="L618" s="6" t="str">
        <f>VLOOKUP(K618,'Structure type'!$A$1:$B$15,2,FALSE)</f>
        <v>Manhole</v>
      </c>
      <c r="M618" s="6" t="s">
        <v>30</v>
      </c>
      <c r="N618" s="6" t="str">
        <f>VLOOKUP(M618,'Excursion Cause'!$A$1:$B$34,2,FALSE)</f>
        <v>Grease Blockage</v>
      </c>
      <c r="O618" s="7">
        <v>44485.0</v>
      </c>
      <c r="P618" s="6" t="s">
        <v>697</v>
      </c>
      <c r="Q618" s="7">
        <v>44485.0</v>
      </c>
      <c r="R618" s="6" t="s">
        <v>697</v>
      </c>
      <c r="S618" s="5">
        <v>0.0</v>
      </c>
      <c r="T618" s="6" t="s">
        <v>59</v>
      </c>
      <c r="U618" s="5">
        <v>2.0211016E7</v>
      </c>
      <c r="V618" s="5">
        <v>2.0211016E7</v>
      </c>
      <c r="W618" s="5">
        <v>29.7486972020001</v>
      </c>
      <c r="X618" s="5">
        <v>-95.3290217159999</v>
      </c>
    </row>
    <row r="619" ht="15.75" customHeight="1">
      <c r="A619" s="5">
        <v>12228.0</v>
      </c>
      <c r="B619" s="6">
        <v>2021.0</v>
      </c>
      <c r="C619" s="6" t="str">
        <f t="shared" si="1"/>
        <v>9555 CROFTON ST,Houston,Texas</v>
      </c>
      <c r="D619" s="6" t="s">
        <v>1224</v>
      </c>
      <c r="E619" s="6" t="s">
        <v>25</v>
      </c>
      <c r="F619" s="6" t="s">
        <v>26</v>
      </c>
      <c r="G619" s="6" t="s">
        <v>326</v>
      </c>
      <c r="H619" s="6" t="s">
        <v>50</v>
      </c>
      <c r="I619" s="6" t="str">
        <f>VLOOKUP(H619,'Flow Location'!$A$1:$B$21,2,FALSE)</f>
        <v>Contained On Site, not within 5 ft. of Bayou/Surface Water/Drainage Ditch</v>
      </c>
      <c r="J619" s="5">
        <v>5415.0</v>
      </c>
      <c r="K619" s="6" t="s">
        <v>29</v>
      </c>
      <c r="L619" s="6" t="str">
        <f>VLOOKUP(K619,'Structure type'!$A$1:$B$15,2,FALSE)</f>
        <v>Manhole</v>
      </c>
      <c r="M619" s="6" t="s">
        <v>30</v>
      </c>
      <c r="N619" s="6" t="str">
        <f>VLOOKUP(M619,'Excursion Cause'!$A$1:$B$34,2,FALSE)</f>
        <v>Grease Blockage</v>
      </c>
      <c r="O619" s="7">
        <v>44485.0</v>
      </c>
      <c r="P619" s="6" t="s">
        <v>549</v>
      </c>
      <c r="Q619" s="7">
        <v>44486.0</v>
      </c>
      <c r="R619" s="6" t="s">
        <v>1225</v>
      </c>
      <c r="S619" s="5">
        <v>3.0</v>
      </c>
      <c r="T619" s="6" t="s">
        <v>33</v>
      </c>
      <c r="U619" s="5">
        <v>2.0211016E7</v>
      </c>
      <c r="V619" s="5">
        <v>2.0211017E7</v>
      </c>
      <c r="W619" s="5">
        <v>29.850138514</v>
      </c>
      <c r="X619" s="5">
        <v>-95.298843344</v>
      </c>
    </row>
    <row r="620" ht="15.75" customHeight="1">
      <c r="A620" s="5">
        <v>12234.0</v>
      </c>
      <c r="B620" s="6">
        <v>2021.0</v>
      </c>
      <c r="C620" s="6" t="str">
        <f t="shared" si="1"/>
        <v>8103 MISTY VALE LN,Houston,Texas</v>
      </c>
      <c r="D620" s="6" t="s">
        <v>1226</v>
      </c>
      <c r="E620" s="6" t="s">
        <v>25</v>
      </c>
      <c r="F620" s="6" t="s">
        <v>26</v>
      </c>
      <c r="G620" s="6" t="s">
        <v>95</v>
      </c>
      <c r="H620" s="6" t="s">
        <v>44</v>
      </c>
      <c r="I620" s="6" t="str">
        <f>VLOOKUP(H620,'Flow Location'!$A$1:$B$21,2,FALSE)</f>
        <v>Bayou/surface water/drainage ditch</v>
      </c>
      <c r="J620" s="5">
        <v>4830.0</v>
      </c>
      <c r="K620" s="6" t="s">
        <v>290</v>
      </c>
      <c r="L620" s="6" t="str">
        <f>VLOOKUP(K620,'Structure type'!$A$1:$B$15,2,FALSE)</f>
        <v>Gravity Main</v>
      </c>
      <c r="M620" s="6" t="s">
        <v>81</v>
      </c>
      <c r="N620" s="6" t="str">
        <f>VLOOKUP(M620,'Excursion Cause'!$A$1:$B$34,2,FALSE)</f>
        <v>Collection system structural failure</v>
      </c>
      <c r="O620" s="7">
        <v>44486.0</v>
      </c>
      <c r="P620" s="6" t="s">
        <v>532</v>
      </c>
      <c r="Q620" s="7">
        <v>44487.0</v>
      </c>
      <c r="R620" s="6" t="s">
        <v>537</v>
      </c>
      <c r="S620" s="5">
        <v>3.0</v>
      </c>
      <c r="T620" s="6" t="s">
        <v>474</v>
      </c>
      <c r="U620" s="5">
        <v>2.0211017E7</v>
      </c>
      <c r="V620" s="5">
        <v>2.0211018E7</v>
      </c>
      <c r="W620" s="5">
        <v>29.609943135</v>
      </c>
      <c r="X620" s="5">
        <v>-95.275477281</v>
      </c>
    </row>
    <row r="621" ht="15.75" customHeight="1">
      <c r="A621" s="5">
        <v>12235.0</v>
      </c>
      <c r="B621" s="6">
        <v>2021.0</v>
      </c>
      <c r="C621" s="6" t="str">
        <f t="shared" si="1"/>
        <v>4005 RAWLEY ST,Houston,Texas</v>
      </c>
      <c r="D621" s="6" t="s">
        <v>1227</v>
      </c>
      <c r="E621" s="6" t="s">
        <v>25</v>
      </c>
      <c r="F621" s="6" t="s">
        <v>26</v>
      </c>
      <c r="G621" s="6" t="s">
        <v>86</v>
      </c>
      <c r="H621" s="6" t="s">
        <v>28</v>
      </c>
      <c r="I621" s="6" t="str">
        <f>VLOOKUP(H621,'Flow Location'!$A$1:$B$21,2,FALSE)</f>
        <v>Storm Sewer (not contained)</v>
      </c>
      <c r="J621" s="5">
        <v>0.0</v>
      </c>
      <c r="K621" s="6" t="s">
        <v>45</v>
      </c>
      <c r="L621" s="6" t="str">
        <f>VLOOKUP(K621,'Structure type'!$A$1:$B$15,2,FALSE)</f>
        <v>City Cleanout</v>
      </c>
      <c r="M621" s="6" t="s">
        <v>30</v>
      </c>
      <c r="N621" s="6" t="str">
        <f>VLOOKUP(M621,'Excursion Cause'!$A$1:$B$34,2,FALSE)</f>
        <v>Grease Blockage</v>
      </c>
      <c r="O621" s="7">
        <v>44487.0</v>
      </c>
      <c r="P621" s="6" t="s">
        <v>966</v>
      </c>
      <c r="Q621" s="7">
        <v>44487.0</v>
      </c>
      <c r="R621" s="6" t="s">
        <v>966</v>
      </c>
      <c r="S621" s="5">
        <v>0.0</v>
      </c>
      <c r="T621" s="6" t="s">
        <v>170</v>
      </c>
      <c r="U621" s="5">
        <v>2.0211018E7</v>
      </c>
      <c r="V621" s="5">
        <v>2.0211018E7</v>
      </c>
      <c r="W621" s="5">
        <v>29.779000673</v>
      </c>
      <c r="X621" s="5">
        <v>-95.33022871</v>
      </c>
    </row>
    <row r="622" ht="15.75" customHeight="1">
      <c r="A622" s="5">
        <v>12237.0</v>
      </c>
      <c r="B622" s="6">
        <v>2021.0</v>
      </c>
      <c r="C622" s="6" t="str">
        <f t="shared" si="1"/>
        <v>9445 CONCOURSE DR,Houston,Texas</v>
      </c>
      <c r="D622" s="6" t="s">
        <v>1228</v>
      </c>
      <c r="E622" s="6" t="s">
        <v>25</v>
      </c>
      <c r="F622" s="6" t="s">
        <v>26</v>
      </c>
      <c r="G622" s="6" t="s">
        <v>100</v>
      </c>
      <c r="H622" s="6" t="s">
        <v>28</v>
      </c>
      <c r="I622" s="6" t="str">
        <f>VLOOKUP(H622,'Flow Location'!$A$1:$B$21,2,FALSE)</f>
        <v>Storm Sewer (not contained)</v>
      </c>
      <c r="J622" s="5">
        <v>2966.0</v>
      </c>
      <c r="K622" s="6" t="s">
        <v>29</v>
      </c>
      <c r="L622" s="6" t="str">
        <f>VLOOKUP(K622,'Structure type'!$A$1:$B$15,2,FALSE)</f>
        <v>Manhole</v>
      </c>
      <c r="M622" s="6" t="s">
        <v>30</v>
      </c>
      <c r="N622" s="6" t="str">
        <f>VLOOKUP(M622,'Excursion Cause'!$A$1:$B$34,2,FALSE)</f>
        <v>Grease Blockage</v>
      </c>
      <c r="O622" s="7">
        <v>44488.0</v>
      </c>
      <c r="P622" s="6" t="s">
        <v>1229</v>
      </c>
      <c r="Q622" s="7">
        <v>44489.0</v>
      </c>
      <c r="R622" s="6" t="s">
        <v>368</v>
      </c>
      <c r="S622" s="5">
        <v>2.0</v>
      </c>
      <c r="T622" s="6" t="s">
        <v>33</v>
      </c>
      <c r="U622" s="5">
        <v>2.0211019E7</v>
      </c>
      <c r="V622" s="5">
        <v>2.021102E7</v>
      </c>
      <c r="W622" s="5">
        <v>29.6789406560001</v>
      </c>
      <c r="X622" s="5">
        <v>-95.556091916</v>
      </c>
    </row>
    <row r="623" ht="15.75" customHeight="1">
      <c r="A623" s="5">
        <v>12239.0</v>
      </c>
      <c r="B623" s="6">
        <v>2021.0</v>
      </c>
      <c r="C623" s="6" t="str">
        <f t="shared" si="1"/>
        <v>5430 LAWNDALE ST,Houston,Texas</v>
      </c>
      <c r="D623" s="6" t="s">
        <v>1230</v>
      </c>
      <c r="E623" s="6" t="s">
        <v>25</v>
      </c>
      <c r="F623" s="6" t="s">
        <v>26</v>
      </c>
      <c r="G623" s="6" t="s">
        <v>141</v>
      </c>
      <c r="H623" s="6" t="s">
        <v>50</v>
      </c>
      <c r="I623" s="6" t="str">
        <f>VLOOKUP(H623,'Flow Location'!$A$1:$B$21,2,FALSE)</f>
        <v>Contained On Site, not within 5 ft. of Bayou/Surface Water/Drainage Ditch</v>
      </c>
      <c r="J623" s="5">
        <v>0.0</v>
      </c>
      <c r="K623" s="6" t="s">
        <v>45</v>
      </c>
      <c r="L623" s="6" t="str">
        <f>VLOOKUP(K623,'Structure type'!$A$1:$B$15,2,FALSE)</f>
        <v>City Cleanout</v>
      </c>
      <c r="M623" s="6" t="s">
        <v>52</v>
      </c>
      <c r="N623" s="6" t="str">
        <f>VLOOKUP(M623,'Excursion Cause'!$A$1:$B$34,2,FALSE)</f>
        <v>Collection system structural blockage</v>
      </c>
      <c r="O623" s="7">
        <v>44488.0</v>
      </c>
      <c r="P623" s="6" t="s">
        <v>121</v>
      </c>
      <c r="Q623" s="7">
        <v>44488.0</v>
      </c>
      <c r="R623" s="6" t="s">
        <v>121</v>
      </c>
      <c r="S623" s="5">
        <v>0.0</v>
      </c>
      <c r="T623" s="6" t="s">
        <v>74</v>
      </c>
      <c r="U623" s="5">
        <v>2.0211019E7</v>
      </c>
      <c r="V623" s="5">
        <v>2.0211019E7</v>
      </c>
      <c r="W623" s="5">
        <v>29.727541823</v>
      </c>
      <c r="X623" s="5">
        <v>-95.320694798</v>
      </c>
    </row>
    <row r="624" ht="15.75" customHeight="1">
      <c r="A624" s="5">
        <v>12241.0</v>
      </c>
      <c r="B624" s="6">
        <v>2021.0</v>
      </c>
      <c r="C624" s="6" t="str">
        <f t="shared" si="1"/>
        <v>6768 RENWICK DR,Houston,Texas</v>
      </c>
      <c r="D624" s="6" t="s">
        <v>1231</v>
      </c>
      <c r="E624" s="6" t="s">
        <v>25</v>
      </c>
      <c r="F624" s="6" t="s">
        <v>26</v>
      </c>
      <c r="G624" s="6" t="s">
        <v>287</v>
      </c>
      <c r="H624" s="6" t="s">
        <v>50</v>
      </c>
      <c r="I624" s="6" t="str">
        <f>VLOOKUP(H624,'Flow Location'!$A$1:$B$21,2,FALSE)</f>
        <v>Contained On Site, not within 5 ft. of Bayou/Surface Water/Drainage Ditch</v>
      </c>
      <c r="J624" s="5">
        <v>380.0</v>
      </c>
      <c r="K624" s="6" t="s">
        <v>45</v>
      </c>
      <c r="L624" s="6" t="str">
        <f>VLOOKUP(K624,'Structure type'!$A$1:$B$15,2,FALSE)</f>
        <v>City Cleanout</v>
      </c>
      <c r="M624" s="6" t="s">
        <v>81</v>
      </c>
      <c r="N624" s="6" t="str">
        <f>VLOOKUP(M624,'Excursion Cause'!$A$1:$B$34,2,FALSE)</f>
        <v>Collection system structural failure</v>
      </c>
      <c r="O624" s="7">
        <v>44488.0</v>
      </c>
      <c r="P624" s="6" t="s">
        <v>1232</v>
      </c>
      <c r="Q624" s="7">
        <v>44488.0</v>
      </c>
      <c r="R624" s="6" t="s">
        <v>515</v>
      </c>
      <c r="S624" s="5">
        <v>2.0</v>
      </c>
      <c r="T624" s="6" t="s">
        <v>1233</v>
      </c>
      <c r="U624" s="5">
        <v>2.0211019E7</v>
      </c>
      <c r="V624" s="5">
        <v>2.0211019E7</v>
      </c>
      <c r="W624" s="5">
        <v>29.706363771</v>
      </c>
      <c r="X624" s="5">
        <v>-95.484757477</v>
      </c>
    </row>
    <row r="625" ht="15.75" customHeight="1">
      <c r="A625" s="5">
        <v>12244.0</v>
      </c>
      <c r="B625" s="6">
        <v>2021.0</v>
      </c>
      <c r="C625" s="6" t="str">
        <f t="shared" si="1"/>
        <v>8010 FILLTOP ST,Houston,Texas</v>
      </c>
      <c r="D625" s="6" t="s">
        <v>1234</v>
      </c>
      <c r="E625" s="6" t="s">
        <v>25</v>
      </c>
      <c r="F625" s="6" t="s">
        <v>26</v>
      </c>
      <c r="G625" s="6" t="s">
        <v>177</v>
      </c>
      <c r="H625" s="6" t="s">
        <v>28</v>
      </c>
      <c r="I625" s="6" t="str">
        <f>VLOOKUP(H625,'Flow Location'!$A$1:$B$21,2,FALSE)</f>
        <v>Storm Sewer (not contained)</v>
      </c>
      <c r="J625" s="5">
        <v>0.0</v>
      </c>
      <c r="K625" s="6" t="s">
        <v>45</v>
      </c>
      <c r="L625" s="6" t="str">
        <f>VLOOKUP(K625,'Structure type'!$A$1:$B$15,2,FALSE)</f>
        <v>City Cleanout</v>
      </c>
      <c r="M625" s="6" t="s">
        <v>56</v>
      </c>
      <c r="N625" s="6" t="str">
        <f>VLOOKUP(M625,'Excursion Cause'!$A$1:$B$34,2,FALSE)</f>
        <v>Rags/Wipes</v>
      </c>
      <c r="O625" s="7">
        <v>44488.0</v>
      </c>
      <c r="P625" s="6" t="s">
        <v>220</v>
      </c>
      <c r="Q625" s="7">
        <v>44488.0</v>
      </c>
      <c r="R625" s="6" t="s">
        <v>220</v>
      </c>
      <c r="S625" s="5">
        <v>0.0</v>
      </c>
      <c r="T625" s="6" t="s">
        <v>170</v>
      </c>
      <c r="U625" s="5">
        <v>2.0211019E7</v>
      </c>
      <c r="V625" s="5">
        <v>2.0211019E7</v>
      </c>
      <c r="W625" s="5">
        <v>29.8182379130001</v>
      </c>
      <c r="X625" s="5">
        <v>-95.280428303</v>
      </c>
    </row>
    <row r="626" ht="15.75" customHeight="1">
      <c r="A626" s="5">
        <v>12247.0</v>
      </c>
      <c r="B626" s="6">
        <v>2021.0</v>
      </c>
      <c r="C626" s="6" t="str">
        <f t="shared" si="1"/>
        <v>9234 CLARKCREST ST,Houston,Texas</v>
      </c>
      <c r="D626" s="6" t="s">
        <v>1235</v>
      </c>
      <c r="E626" s="6" t="s">
        <v>25</v>
      </c>
      <c r="F626" s="6" t="s">
        <v>26</v>
      </c>
      <c r="G626" s="6" t="s">
        <v>482</v>
      </c>
      <c r="H626" s="6" t="s">
        <v>28</v>
      </c>
      <c r="I626" s="6" t="str">
        <f>VLOOKUP(H626,'Flow Location'!$A$1:$B$21,2,FALSE)</f>
        <v>Storm Sewer (not contained)</v>
      </c>
      <c r="J626" s="5">
        <v>0.0</v>
      </c>
      <c r="K626" s="6" t="s">
        <v>198</v>
      </c>
      <c r="L626" s="6" t="str">
        <f>VLOOKUP(K626,'Structure type'!$A$1:$B$15,2,FALSE)</f>
        <v>Service Lateral</v>
      </c>
      <c r="M626" s="6" t="s">
        <v>81</v>
      </c>
      <c r="N626" s="6" t="str">
        <f>VLOOKUP(M626,'Excursion Cause'!$A$1:$B$34,2,FALSE)</f>
        <v>Collection system structural failure</v>
      </c>
      <c r="O626" s="7">
        <v>44488.0</v>
      </c>
      <c r="P626" s="6" t="s">
        <v>1036</v>
      </c>
      <c r="Q626" s="7">
        <v>44488.0</v>
      </c>
      <c r="R626" s="6" t="s">
        <v>1036</v>
      </c>
      <c r="S626" s="5">
        <v>0.0</v>
      </c>
      <c r="T626" s="6" t="s">
        <v>118</v>
      </c>
      <c r="U626" s="5">
        <v>2.0211019E7</v>
      </c>
      <c r="V626" s="5">
        <v>2.0211019E7</v>
      </c>
      <c r="W626" s="5">
        <v>29.7328898540001</v>
      </c>
      <c r="X626" s="5">
        <v>-95.52667747</v>
      </c>
    </row>
    <row r="627" ht="15.75" customHeight="1">
      <c r="A627" s="5">
        <v>12255.0</v>
      </c>
      <c r="B627" s="6">
        <v>2021.0</v>
      </c>
      <c r="C627" s="6" t="str">
        <f t="shared" si="1"/>
        <v>15711 GULF FWY,Houston,Texas</v>
      </c>
      <c r="D627" s="6" t="s">
        <v>886</v>
      </c>
      <c r="E627" s="6" t="s">
        <v>25</v>
      </c>
      <c r="F627" s="6" t="s">
        <v>26</v>
      </c>
      <c r="G627" s="6" t="s">
        <v>211</v>
      </c>
      <c r="H627" s="6" t="s">
        <v>28</v>
      </c>
      <c r="I627" s="6" t="str">
        <f>VLOOKUP(H627,'Flow Location'!$A$1:$B$21,2,FALSE)</f>
        <v>Storm Sewer (not contained)</v>
      </c>
      <c r="J627" s="5">
        <v>476.0</v>
      </c>
      <c r="K627" s="6" t="s">
        <v>29</v>
      </c>
      <c r="L627" s="6" t="str">
        <f>VLOOKUP(K627,'Structure type'!$A$1:$B$15,2,FALSE)</f>
        <v>Manhole</v>
      </c>
      <c r="M627" s="6" t="s">
        <v>30</v>
      </c>
      <c r="N627" s="6" t="str">
        <f>VLOOKUP(M627,'Excursion Cause'!$A$1:$B$34,2,FALSE)</f>
        <v>Grease Blockage</v>
      </c>
      <c r="O627" s="7">
        <v>44489.0</v>
      </c>
      <c r="P627" s="6" t="s">
        <v>254</v>
      </c>
      <c r="Q627" s="7">
        <v>44489.0</v>
      </c>
      <c r="R627" s="6" t="s">
        <v>1236</v>
      </c>
      <c r="S627" s="5">
        <v>2.0</v>
      </c>
      <c r="T627" s="6" t="s">
        <v>1083</v>
      </c>
      <c r="U627" s="5">
        <v>2.021102E7</v>
      </c>
      <c r="V627" s="5">
        <v>2.021102E7</v>
      </c>
      <c r="W627" s="5">
        <v>29.5828905000001</v>
      </c>
      <c r="X627" s="5">
        <v>-95.179699033</v>
      </c>
    </row>
    <row r="628" ht="15.75" customHeight="1">
      <c r="A628" s="5">
        <v>12256.0</v>
      </c>
      <c r="B628" s="6">
        <v>2021.0</v>
      </c>
      <c r="C628" s="6" t="str">
        <f t="shared" si="1"/>
        <v>7431 CURRY RD,Houston,Texas</v>
      </c>
      <c r="D628" s="6" t="s">
        <v>1237</v>
      </c>
      <c r="E628" s="6" t="s">
        <v>25</v>
      </c>
      <c r="F628" s="6" t="s">
        <v>26</v>
      </c>
      <c r="G628" s="6" t="s">
        <v>109</v>
      </c>
      <c r="H628" s="6" t="s">
        <v>50</v>
      </c>
      <c r="I628" s="6" t="str">
        <f>VLOOKUP(H628,'Flow Location'!$A$1:$B$21,2,FALSE)</f>
        <v>Contained On Site, not within 5 ft. of Bayou/Surface Water/Drainage Ditch</v>
      </c>
      <c r="J628" s="5">
        <v>0.0</v>
      </c>
      <c r="K628" s="6" t="s">
        <v>45</v>
      </c>
      <c r="L628" s="6" t="str">
        <f>VLOOKUP(K628,'Structure type'!$A$1:$B$15,2,FALSE)</f>
        <v>City Cleanout</v>
      </c>
      <c r="M628" s="6" t="s">
        <v>30</v>
      </c>
      <c r="N628" s="6" t="str">
        <f>VLOOKUP(M628,'Excursion Cause'!$A$1:$B$34,2,FALSE)</f>
        <v>Grease Blockage</v>
      </c>
      <c r="O628" s="7">
        <v>44489.0</v>
      </c>
      <c r="P628" s="6" t="s">
        <v>1015</v>
      </c>
      <c r="Q628" s="7">
        <v>44489.0</v>
      </c>
      <c r="R628" s="6" t="s">
        <v>1015</v>
      </c>
      <c r="S628" s="5">
        <v>0.0</v>
      </c>
      <c r="T628" s="6" t="s">
        <v>33</v>
      </c>
      <c r="U628" s="5">
        <v>2.021102E7</v>
      </c>
      <c r="V628" s="5">
        <v>2.021102E7</v>
      </c>
      <c r="W628" s="5">
        <v>29.8260203840001</v>
      </c>
      <c r="X628" s="5">
        <v>-95.3377554079999</v>
      </c>
    </row>
    <row r="629" ht="15.75" customHeight="1">
      <c r="A629" s="5">
        <v>12257.0</v>
      </c>
      <c r="B629" s="6">
        <v>2021.0</v>
      </c>
      <c r="C629" s="6" t="str">
        <f t="shared" si="1"/>
        <v>5900 RANCHESTER DR,Houston,Texas</v>
      </c>
      <c r="D629" s="6" t="s">
        <v>1238</v>
      </c>
      <c r="E629" s="6" t="s">
        <v>25</v>
      </c>
      <c r="F629" s="6" t="s">
        <v>26</v>
      </c>
      <c r="G629" s="6" t="s">
        <v>100</v>
      </c>
      <c r="H629" s="6" t="s">
        <v>28</v>
      </c>
      <c r="I629" s="6" t="str">
        <f>VLOOKUP(H629,'Flow Location'!$A$1:$B$21,2,FALSE)</f>
        <v>Storm Sewer (not contained)</v>
      </c>
      <c r="J629" s="5">
        <v>1550.0</v>
      </c>
      <c r="K629" s="6" t="s">
        <v>29</v>
      </c>
      <c r="L629" s="6" t="str">
        <f>VLOOKUP(K629,'Structure type'!$A$1:$B$15,2,FALSE)</f>
        <v>Manhole</v>
      </c>
      <c r="M629" s="6" t="s">
        <v>30</v>
      </c>
      <c r="N629" s="6" t="str">
        <f>VLOOKUP(M629,'Excursion Cause'!$A$1:$B$34,2,FALSE)</f>
        <v>Grease Blockage</v>
      </c>
      <c r="O629" s="7">
        <v>44490.0</v>
      </c>
      <c r="P629" s="6" t="s">
        <v>1239</v>
      </c>
      <c r="Q629" s="7">
        <v>44490.0</v>
      </c>
      <c r="R629" s="6" t="s">
        <v>233</v>
      </c>
      <c r="S629" s="5">
        <v>5.0</v>
      </c>
      <c r="T629" s="6" t="s">
        <v>33</v>
      </c>
      <c r="U629" s="5">
        <v>2.0211021E7</v>
      </c>
      <c r="V629" s="5">
        <v>2.0211021E7</v>
      </c>
      <c r="W629" s="5">
        <v>29.7138495230001</v>
      </c>
      <c r="X629" s="5">
        <v>-95.546788506</v>
      </c>
    </row>
    <row r="630" ht="15.75" customHeight="1">
      <c r="A630" s="5">
        <v>12259.0</v>
      </c>
      <c r="B630" s="6">
        <v>2021.0</v>
      </c>
      <c r="C630" s="6" t="str">
        <f t="shared" si="1"/>
        <v>6310 ROSERIDGE LN,Houston,Texas</v>
      </c>
      <c r="D630" s="6" t="s">
        <v>1240</v>
      </c>
      <c r="E630" s="6" t="s">
        <v>25</v>
      </c>
      <c r="F630" s="6" t="s">
        <v>26</v>
      </c>
      <c r="G630" s="6" t="s">
        <v>517</v>
      </c>
      <c r="H630" s="6" t="s">
        <v>28</v>
      </c>
      <c r="I630" s="6" t="str">
        <f>VLOOKUP(H630,'Flow Location'!$A$1:$B$21,2,FALSE)</f>
        <v>Storm Sewer (not contained)</v>
      </c>
      <c r="J630" s="5">
        <v>412.0</v>
      </c>
      <c r="K630" s="6" t="s">
        <v>29</v>
      </c>
      <c r="L630" s="6" t="str">
        <f>VLOOKUP(K630,'Structure type'!$A$1:$B$15,2,FALSE)</f>
        <v>Manhole</v>
      </c>
      <c r="M630" s="6" t="s">
        <v>30</v>
      </c>
      <c r="N630" s="6" t="str">
        <f>VLOOKUP(M630,'Excursion Cause'!$A$1:$B$34,2,FALSE)</f>
        <v>Grease Blockage</v>
      </c>
      <c r="O630" s="7">
        <v>44490.0</v>
      </c>
      <c r="P630" s="6" t="s">
        <v>732</v>
      </c>
      <c r="Q630" s="7">
        <v>44490.0</v>
      </c>
      <c r="R630" s="6" t="s">
        <v>556</v>
      </c>
      <c r="S630" s="5">
        <v>1.0</v>
      </c>
      <c r="T630" s="6" t="s">
        <v>59</v>
      </c>
      <c r="U630" s="5">
        <v>2.0211021E7</v>
      </c>
      <c r="V630" s="5">
        <v>2.0211021E7</v>
      </c>
      <c r="W630" s="5">
        <v>29.596311142</v>
      </c>
      <c r="X630" s="5">
        <v>-95.4787196569999</v>
      </c>
    </row>
    <row r="631" ht="15.75" customHeight="1">
      <c r="A631" s="5">
        <v>12260.0</v>
      </c>
      <c r="B631" s="6">
        <v>2021.0</v>
      </c>
      <c r="C631" s="6" t="str">
        <f t="shared" si="1"/>
        <v>4222 MADDEN LN,Houston,Texas</v>
      </c>
      <c r="D631" s="6" t="s">
        <v>1241</v>
      </c>
      <c r="E631" s="6" t="s">
        <v>25</v>
      </c>
      <c r="F631" s="6" t="s">
        <v>26</v>
      </c>
      <c r="G631" s="6" t="s">
        <v>419</v>
      </c>
      <c r="H631" s="6" t="s">
        <v>28</v>
      </c>
      <c r="I631" s="6" t="str">
        <f>VLOOKUP(H631,'Flow Location'!$A$1:$B$21,2,FALSE)</f>
        <v>Storm Sewer (not contained)</v>
      </c>
      <c r="J631" s="5">
        <v>654.0</v>
      </c>
      <c r="K631" s="6" t="s">
        <v>29</v>
      </c>
      <c r="L631" s="6" t="str">
        <f>VLOOKUP(K631,'Structure type'!$A$1:$B$15,2,FALSE)</f>
        <v>Manhole</v>
      </c>
      <c r="M631" s="6" t="s">
        <v>30</v>
      </c>
      <c r="N631" s="6" t="str">
        <f>VLOOKUP(M631,'Excursion Cause'!$A$1:$B$34,2,FALSE)</f>
        <v>Grease Blockage</v>
      </c>
      <c r="O631" s="7">
        <v>44490.0</v>
      </c>
      <c r="P631" s="6" t="s">
        <v>116</v>
      </c>
      <c r="Q631" s="7">
        <v>44490.0</v>
      </c>
      <c r="R631" s="6" t="s">
        <v>129</v>
      </c>
      <c r="S631" s="5">
        <v>2.0</v>
      </c>
      <c r="T631" s="6" t="s">
        <v>33</v>
      </c>
      <c r="U631" s="5">
        <v>2.0211021E7</v>
      </c>
      <c r="V631" s="5">
        <v>2.0211021E7</v>
      </c>
      <c r="W631" s="5">
        <v>29.6330056480001</v>
      </c>
      <c r="X631" s="5">
        <v>-95.360875714</v>
      </c>
    </row>
    <row r="632" ht="15.75" customHeight="1">
      <c r="A632" s="5">
        <v>12263.0</v>
      </c>
      <c r="B632" s="6">
        <v>2021.0</v>
      </c>
      <c r="C632" s="6" t="str">
        <f t="shared" si="1"/>
        <v>4122 DUVAL ST,Houston,Texas</v>
      </c>
      <c r="D632" s="6" t="s">
        <v>1242</v>
      </c>
      <c r="E632" s="6" t="s">
        <v>25</v>
      </c>
      <c r="F632" s="6" t="s">
        <v>26</v>
      </c>
      <c r="G632" s="6" t="s">
        <v>35</v>
      </c>
      <c r="H632" s="6" t="s">
        <v>50</v>
      </c>
      <c r="I632" s="6" t="str">
        <f>VLOOKUP(H632,'Flow Location'!$A$1:$B$21,2,FALSE)</f>
        <v>Contained On Site, not within 5 ft. of Bayou/Surface Water/Drainage Ditch</v>
      </c>
      <c r="J632" s="5">
        <v>0.0</v>
      </c>
      <c r="K632" s="6" t="s">
        <v>45</v>
      </c>
      <c r="L632" s="6" t="str">
        <f>VLOOKUP(K632,'Structure type'!$A$1:$B$15,2,FALSE)</f>
        <v>City Cleanout</v>
      </c>
      <c r="M632" s="6" t="s">
        <v>52</v>
      </c>
      <c r="N632" s="6" t="str">
        <f>VLOOKUP(M632,'Excursion Cause'!$A$1:$B$34,2,FALSE)</f>
        <v>Collection system structural blockage</v>
      </c>
      <c r="O632" s="7">
        <v>44490.0</v>
      </c>
      <c r="P632" s="6" t="s">
        <v>195</v>
      </c>
      <c r="Q632" s="7">
        <v>44490.0</v>
      </c>
      <c r="R632" s="6" t="s">
        <v>195</v>
      </c>
      <c r="S632" s="5">
        <v>0.0</v>
      </c>
      <c r="T632" s="6" t="s">
        <v>170</v>
      </c>
      <c r="U632" s="5">
        <v>2.0211021E7</v>
      </c>
      <c r="V632" s="5">
        <v>2.0211021E7</v>
      </c>
      <c r="W632" s="5">
        <v>29.7022899150001</v>
      </c>
      <c r="X632" s="5">
        <v>-95.306865664</v>
      </c>
    </row>
    <row r="633" ht="15.75" customHeight="1">
      <c r="A633" s="5">
        <v>12267.0</v>
      </c>
      <c r="B633" s="6">
        <v>2021.0</v>
      </c>
      <c r="C633" s="6" t="str">
        <f t="shared" si="1"/>
        <v>100 GLENBOROUGH DR,Houston,Texas</v>
      </c>
      <c r="D633" s="6" t="s">
        <v>1118</v>
      </c>
      <c r="E633" s="6" t="s">
        <v>25</v>
      </c>
      <c r="F633" s="6" t="s">
        <v>26</v>
      </c>
      <c r="G633" s="6" t="s">
        <v>393</v>
      </c>
      <c r="H633" s="6" t="s">
        <v>28</v>
      </c>
      <c r="I633" s="6" t="str">
        <f>VLOOKUP(H633,'Flow Location'!$A$1:$B$21,2,FALSE)</f>
        <v>Storm Sewer (not contained)</v>
      </c>
      <c r="J633" s="5">
        <v>868.0</v>
      </c>
      <c r="K633" s="6" t="s">
        <v>29</v>
      </c>
      <c r="L633" s="6" t="str">
        <f>VLOOKUP(K633,'Structure type'!$A$1:$B$15,2,FALSE)</f>
        <v>Manhole</v>
      </c>
      <c r="M633" s="6" t="s">
        <v>56</v>
      </c>
      <c r="N633" s="6" t="str">
        <f>VLOOKUP(M633,'Excursion Cause'!$A$1:$B$34,2,FALSE)</f>
        <v>Rags/Wipes</v>
      </c>
      <c r="O633" s="7">
        <v>44491.0</v>
      </c>
      <c r="P633" s="6" t="s">
        <v>341</v>
      </c>
      <c r="Q633" s="7">
        <v>44491.0</v>
      </c>
      <c r="R633" s="6" t="s">
        <v>70</v>
      </c>
      <c r="S633" s="5">
        <v>4.0</v>
      </c>
      <c r="T633" s="6" t="s">
        <v>33</v>
      </c>
      <c r="U633" s="5">
        <v>2.0211022E7</v>
      </c>
      <c r="V633" s="5">
        <v>2.0211022E7</v>
      </c>
      <c r="W633" s="5">
        <v>29.9512927050001</v>
      </c>
      <c r="X633" s="5">
        <v>-95.419748023</v>
      </c>
    </row>
    <row r="634" ht="15.75" customHeight="1">
      <c r="A634" s="5">
        <v>12269.0</v>
      </c>
      <c r="B634" s="6">
        <v>2021.0</v>
      </c>
      <c r="C634" s="6" t="str">
        <f t="shared" si="1"/>
        <v>126 HAVERSHAM DR,Houston,Texas</v>
      </c>
      <c r="D634" s="6" t="s">
        <v>1243</v>
      </c>
      <c r="E634" s="6" t="s">
        <v>25</v>
      </c>
      <c r="F634" s="6" t="s">
        <v>26</v>
      </c>
      <c r="G634" s="6" t="s">
        <v>123</v>
      </c>
      <c r="H634" s="6" t="s">
        <v>50</v>
      </c>
      <c r="I634" s="6" t="str">
        <f>VLOOKUP(H634,'Flow Location'!$A$1:$B$21,2,FALSE)</f>
        <v>Contained On Site, not within 5 ft. of Bayou/Surface Water/Drainage Ditch</v>
      </c>
      <c r="J634" s="5">
        <v>0.0</v>
      </c>
      <c r="K634" s="6" t="s">
        <v>29</v>
      </c>
      <c r="L634" s="6" t="str">
        <f>VLOOKUP(K634,'Structure type'!$A$1:$B$15,2,FALSE)</f>
        <v>Manhole</v>
      </c>
      <c r="M634" s="6" t="s">
        <v>30</v>
      </c>
      <c r="N634" s="6" t="str">
        <f>VLOOKUP(M634,'Excursion Cause'!$A$1:$B$34,2,FALSE)</f>
        <v>Grease Blockage</v>
      </c>
      <c r="O634" s="7">
        <v>44491.0</v>
      </c>
      <c r="P634" s="6" t="s">
        <v>1244</v>
      </c>
      <c r="Q634" s="7">
        <v>44491.0</v>
      </c>
      <c r="R634" s="6" t="s">
        <v>1244</v>
      </c>
      <c r="S634" s="5">
        <v>0.0</v>
      </c>
      <c r="T634" s="6" t="s">
        <v>33</v>
      </c>
      <c r="U634" s="5">
        <v>2.0211022E7</v>
      </c>
      <c r="V634" s="5">
        <v>2.0211022E7</v>
      </c>
      <c r="W634" s="5">
        <v>29.75588657</v>
      </c>
      <c r="X634" s="5">
        <v>-95.543865317</v>
      </c>
    </row>
    <row r="635" ht="15.75" customHeight="1">
      <c r="A635" s="5">
        <v>12273.0</v>
      </c>
      <c r="B635" s="6">
        <v>2021.0</v>
      </c>
      <c r="C635" s="6" t="str">
        <f t="shared" si="1"/>
        <v>217 74TH 1/2 ST,Houston,Texas</v>
      </c>
      <c r="D635" s="6" t="s">
        <v>1245</v>
      </c>
      <c r="E635" s="6" t="s">
        <v>25</v>
      </c>
      <c r="F635" s="6" t="s">
        <v>26</v>
      </c>
      <c r="G635" s="6" t="s">
        <v>227</v>
      </c>
      <c r="H635" s="6" t="s">
        <v>50</v>
      </c>
      <c r="I635" s="6" t="str">
        <f>VLOOKUP(H635,'Flow Location'!$A$1:$B$21,2,FALSE)</f>
        <v>Contained On Site, not within 5 ft. of Bayou/Surface Water/Drainage Ditch</v>
      </c>
      <c r="J635" s="5">
        <v>0.0</v>
      </c>
      <c r="K635" s="6" t="s">
        <v>198</v>
      </c>
      <c r="L635" s="6" t="str">
        <f>VLOOKUP(K635,'Structure type'!$A$1:$B$15,2,FALSE)</f>
        <v>Service Lateral</v>
      </c>
      <c r="M635" s="6" t="s">
        <v>52</v>
      </c>
      <c r="N635" s="6" t="str">
        <f>VLOOKUP(M635,'Excursion Cause'!$A$1:$B$34,2,FALSE)</f>
        <v>Collection system structural blockage</v>
      </c>
      <c r="O635" s="7">
        <v>44491.0</v>
      </c>
      <c r="P635" s="6" t="s">
        <v>1246</v>
      </c>
      <c r="Q635" s="7">
        <v>44491.0</v>
      </c>
      <c r="R635" s="6" t="s">
        <v>1246</v>
      </c>
      <c r="S635" s="5">
        <v>0.0</v>
      </c>
      <c r="T635" s="6" t="s">
        <v>89</v>
      </c>
      <c r="U635" s="5">
        <v>2.0211022E7</v>
      </c>
      <c r="V635" s="5">
        <v>2.0211022E7</v>
      </c>
      <c r="W635" s="5">
        <v>29.7309214480001</v>
      </c>
      <c r="X635" s="5">
        <v>-95.293591076</v>
      </c>
    </row>
    <row r="636" ht="15.75" customHeight="1">
      <c r="A636" s="5">
        <v>12276.0</v>
      </c>
      <c r="B636" s="6">
        <v>2021.0</v>
      </c>
      <c r="C636" s="6" t="str">
        <f t="shared" si="1"/>
        <v>7431 CURRY RD,Houston,Texas</v>
      </c>
      <c r="D636" s="6" t="s">
        <v>1237</v>
      </c>
      <c r="E636" s="6" t="s">
        <v>25</v>
      </c>
      <c r="F636" s="6" t="s">
        <v>26</v>
      </c>
      <c r="G636" s="6" t="s">
        <v>109</v>
      </c>
      <c r="H636" s="6" t="s">
        <v>50</v>
      </c>
      <c r="I636" s="6" t="str">
        <f>VLOOKUP(H636,'Flow Location'!$A$1:$B$21,2,FALSE)</f>
        <v>Contained On Site, not within 5 ft. of Bayou/Surface Water/Drainage Ditch</v>
      </c>
      <c r="J636" s="5">
        <v>0.0</v>
      </c>
      <c r="K636" s="6" t="s">
        <v>45</v>
      </c>
      <c r="L636" s="6" t="str">
        <f>VLOOKUP(K636,'Structure type'!$A$1:$B$15,2,FALSE)</f>
        <v>City Cleanout</v>
      </c>
      <c r="M636" s="6" t="s">
        <v>56</v>
      </c>
      <c r="N636" s="6" t="str">
        <f>VLOOKUP(M636,'Excursion Cause'!$A$1:$B$34,2,FALSE)</f>
        <v>Rags/Wipes</v>
      </c>
      <c r="O636" s="7">
        <v>44491.0</v>
      </c>
      <c r="P636" s="6" t="s">
        <v>982</v>
      </c>
      <c r="Q636" s="7">
        <v>44491.0</v>
      </c>
      <c r="R636" s="6" t="s">
        <v>982</v>
      </c>
      <c r="S636" s="5">
        <v>0.0</v>
      </c>
      <c r="T636" s="6" t="s">
        <v>270</v>
      </c>
      <c r="U636" s="5">
        <v>2.0211022E7</v>
      </c>
      <c r="V636" s="5">
        <v>2.0211022E7</v>
      </c>
      <c r="W636" s="5">
        <v>29.8260203840001</v>
      </c>
      <c r="X636" s="5">
        <v>-95.3377554079999</v>
      </c>
    </row>
    <row r="637" ht="15.75" customHeight="1">
      <c r="A637" s="5">
        <v>12282.0</v>
      </c>
      <c r="B637" s="6">
        <v>2021.0</v>
      </c>
      <c r="C637" s="6" t="str">
        <f t="shared" si="1"/>
        <v>5300 S LAKE HOUSTON PKWY,Houston,Texas</v>
      </c>
      <c r="D637" s="6" t="s">
        <v>1247</v>
      </c>
      <c r="E637" s="6" t="s">
        <v>25</v>
      </c>
      <c r="F637" s="6" t="s">
        <v>26</v>
      </c>
      <c r="G637" s="6" t="s">
        <v>840</v>
      </c>
      <c r="H637" s="6" t="s">
        <v>50</v>
      </c>
      <c r="I637" s="6" t="str">
        <f>VLOOKUP(H637,'Flow Location'!$A$1:$B$21,2,FALSE)</f>
        <v>Contained On Site, not within 5 ft. of Bayou/Surface Water/Drainage Ditch</v>
      </c>
      <c r="J637" s="5">
        <v>3297.0</v>
      </c>
      <c r="K637" s="6" t="s">
        <v>29</v>
      </c>
      <c r="L637" s="6" t="str">
        <f>VLOOKUP(K637,'Structure type'!$A$1:$B$15,2,FALSE)</f>
        <v>Manhole</v>
      </c>
      <c r="M637" s="6" t="s">
        <v>30</v>
      </c>
      <c r="N637" s="6" t="str">
        <f>VLOOKUP(M637,'Excursion Cause'!$A$1:$B$34,2,FALSE)</f>
        <v>Grease Blockage</v>
      </c>
      <c r="O637" s="7">
        <v>44492.0</v>
      </c>
      <c r="P637" s="6" t="s">
        <v>1248</v>
      </c>
      <c r="Q637" s="7">
        <v>44493.0</v>
      </c>
      <c r="R637" s="6" t="s">
        <v>152</v>
      </c>
      <c r="S637" s="5">
        <v>3.0</v>
      </c>
      <c r="T637" s="6" t="s">
        <v>33</v>
      </c>
      <c r="U637" s="5">
        <v>2.0211023E7</v>
      </c>
      <c r="V637" s="5">
        <v>2.0211024E7</v>
      </c>
      <c r="W637" s="5">
        <v>29.806254306</v>
      </c>
      <c r="X637" s="5">
        <v>-95.216173891</v>
      </c>
    </row>
    <row r="638" ht="15.75" customHeight="1">
      <c r="A638" s="5">
        <v>12284.0</v>
      </c>
      <c r="B638" s="6">
        <v>2021.0</v>
      </c>
      <c r="C638" s="6" t="str">
        <f t="shared" si="1"/>
        <v>5154 CRIPPLE CREEK DR,Houston,Texas</v>
      </c>
      <c r="D638" s="6" t="s">
        <v>1249</v>
      </c>
      <c r="E638" s="6" t="s">
        <v>25</v>
      </c>
      <c r="F638" s="6" t="s">
        <v>26</v>
      </c>
      <c r="G638" s="6" t="s">
        <v>135</v>
      </c>
      <c r="H638" s="6" t="s">
        <v>28</v>
      </c>
      <c r="I638" s="6" t="str">
        <f>VLOOKUP(H638,'Flow Location'!$A$1:$B$21,2,FALSE)</f>
        <v>Storm Sewer (not contained)</v>
      </c>
      <c r="J638" s="5">
        <v>5288.0</v>
      </c>
      <c r="K638" s="6" t="s">
        <v>29</v>
      </c>
      <c r="L638" s="6" t="str">
        <f>VLOOKUP(K638,'Structure type'!$A$1:$B$15,2,FALSE)</f>
        <v>Manhole</v>
      </c>
      <c r="M638" s="6" t="s">
        <v>30</v>
      </c>
      <c r="N638" s="6" t="str">
        <f>VLOOKUP(M638,'Excursion Cause'!$A$1:$B$34,2,FALSE)</f>
        <v>Grease Blockage</v>
      </c>
      <c r="O638" s="7">
        <v>44492.0</v>
      </c>
      <c r="P638" s="6" t="s">
        <v>1250</v>
      </c>
      <c r="Q638" s="7">
        <v>44494.0</v>
      </c>
      <c r="R638" s="6" t="s">
        <v>1191</v>
      </c>
      <c r="S638" s="5">
        <v>2.0</v>
      </c>
      <c r="T638" s="6" t="s">
        <v>474</v>
      </c>
      <c r="U638" s="5">
        <v>2.0211023E7</v>
      </c>
      <c r="V638" s="5">
        <v>2.0211025E7</v>
      </c>
      <c r="W638" s="5">
        <v>29.680885426</v>
      </c>
      <c r="X638" s="5">
        <v>-95.2467342259999</v>
      </c>
    </row>
    <row r="639" ht="15.75" customHeight="1">
      <c r="A639" s="5">
        <v>12292.0</v>
      </c>
      <c r="B639" s="6">
        <v>2021.0</v>
      </c>
      <c r="C639" s="6" t="str">
        <f t="shared" si="1"/>
        <v>5422 DANFIELD DR,Houston,Texas</v>
      </c>
      <c r="D639" s="6" t="s">
        <v>516</v>
      </c>
      <c r="E639" s="6" t="s">
        <v>25</v>
      </c>
      <c r="F639" s="6" t="s">
        <v>26</v>
      </c>
      <c r="G639" s="6" t="s">
        <v>517</v>
      </c>
      <c r="H639" s="6" t="s">
        <v>50</v>
      </c>
      <c r="I639" s="6" t="str">
        <f>VLOOKUP(H639,'Flow Location'!$A$1:$B$21,2,FALSE)</f>
        <v>Contained On Site, not within 5 ft. of Bayou/Surface Water/Drainage Ditch</v>
      </c>
      <c r="J639" s="5">
        <v>238.0</v>
      </c>
      <c r="K639" s="6" t="s">
        <v>29</v>
      </c>
      <c r="L639" s="6" t="str">
        <f>VLOOKUP(K639,'Structure type'!$A$1:$B$15,2,FALSE)</f>
        <v>Manhole</v>
      </c>
      <c r="M639" s="6" t="s">
        <v>30</v>
      </c>
      <c r="N639" s="6" t="str">
        <f>VLOOKUP(M639,'Excursion Cause'!$A$1:$B$34,2,FALSE)</f>
        <v>Grease Blockage</v>
      </c>
      <c r="O639" s="7">
        <v>44494.0</v>
      </c>
      <c r="P639" s="6" t="s">
        <v>672</v>
      </c>
      <c r="Q639" s="7">
        <v>44494.0</v>
      </c>
      <c r="R639" s="6" t="s">
        <v>315</v>
      </c>
      <c r="S639" s="5">
        <v>1.0</v>
      </c>
      <c r="T639" s="6" t="s">
        <v>33</v>
      </c>
      <c r="U639" s="5">
        <v>2.0211025E7</v>
      </c>
      <c r="V639" s="5">
        <v>2.0211025E7</v>
      </c>
      <c r="W639" s="5">
        <v>29.600941054</v>
      </c>
      <c r="X639" s="5">
        <v>-95.463394437</v>
      </c>
    </row>
    <row r="640" ht="15.75" customHeight="1">
      <c r="A640" s="5">
        <v>12294.0</v>
      </c>
      <c r="B640" s="6">
        <v>2021.0</v>
      </c>
      <c r="C640" s="6" t="str">
        <f t="shared" si="1"/>
        <v>7306 SATSUMA ST,Houston,Texas</v>
      </c>
      <c r="D640" s="6" t="s">
        <v>1251</v>
      </c>
      <c r="E640" s="6" t="s">
        <v>25</v>
      </c>
      <c r="F640" s="6" t="s">
        <v>26</v>
      </c>
      <c r="G640" s="6" t="s">
        <v>141</v>
      </c>
      <c r="H640" s="6" t="s">
        <v>50</v>
      </c>
      <c r="I640" s="6" t="str">
        <f>VLOOKUP(H640,'Flow Location'!$A$1:$B$21,2,FALSE)</f>
        <v>Contained On Site, not within 5 ft. of Bayou/Surface Water/Drainage Ditch</v>
      </c>
      <c r="J640" s="5">
        <v>0.0</v>
      </c>
      <c r="K640" s="6" t="s">
        <v>45</v>
      </c>
      <c r="L640" s="6" t="str">
        <f>VLOOKUP(K640,'Structure type'!$A$1:$B$15,2,FALSE)</f>
        <v>City Cleanout</v>
      </c>
      <c r="M640" s="6" t="s">
        <v>81</v>
      </c>
      <c r="N640" s="6" t="str">
        <f>VLOOKUP(M640,'Excursion Cause'!$A$1:$B$34,2,FALSE)</f>
        <v>Collection system structural failure</v>
      </c>
      <c r="O640" s="7">
        <v>44494.0</v>
      </c>
      <c r="P640" s="6" t="s">
        <v>648</v>
      </c>
      <c r="Q640" s="7">
        <v>44494.0</v>
      </c>
      <c r="R640" s="6" t="s">
        <v>648</v>
      </c>
      <c r="S640" s="5">
        <v>0.0</v>
      </c>
      <c r="T640" s="6" t="s">
        <v>74</v>
      </c>
      <c r="U640" s="5">
        <v>2.0211025E7</v>
      </c>
      <c r="V640" s="5">
        <v>2.0211025E7</v>
      </c>
      <c r="W640" s="5">
        <v>29.7211550640001</v>
      </c>
      <c r="X640" s="5">
        <v>-95.2995388749999</v>
      </c>
    </row>
    <row r="641" ht="15.75" customHeight="1">
      <c r="A641" s="5">
        <v>12295.0</v>
      </c>
      <c r="B641" s="6">
        <v>2021.0</v>
      </c>
      <c r="C641" s="6" t="str">
        <f t="shared" si="1"/>
        <v>2816 EVELLA ST,Houston,Texas</v>
      </c>
      <c r="D641" s="6" t="s">
        <v>1252</v>
      </c>
      <c r="E641" s="6" t="s">
        <v>25</v>
      </c>
      <c r="F641" s="6" t="s">
        <v>26</v>
      </c>
      <c r="G641" s="6" t="s">
        <v>43</v>
      </c>
      <c r="H641" s="6" t="s">
        <v>50</v>
      </c>
      <c r="I641" s="6" t="str">
        <f>VLOOKUP(H641,'Flow Location'!$A$1:$B$21,2,FALSE)</f>
        <v>Contained On Site, not within 5 ft. of Bayou/Surface Water/Drainage Ditch</v>
      </c>
      <c r="J641" s="5">
        <v>0.0</v>
      </c>
      <c r="K641" s="6" t="s">
        <v>45</v>
      </c>
      <c r="L641" s="6" t="str">
        <f>VLOOKUP(K641,'Structure type'!$A$1:$B$15,2,FALSE)</f>
        <v>City Cleanout</v>
      </c>
      <c r="M641" s="6" t="s">
        <v>56</v>
      </c>
      <c r="N641" s="6" t="str">
        <f>VLOOKUP(M641,'Excursion Cause'!$A$1:$B$34,2,FALSE)</f>
        <v>Rags/Wipes</v>
      </c>
      <c r="O641" s="7">
        <v>44494.0</v>
      </c>
      <c r="P641" s="6" t="s">
        <v>117</v>
      </c>
      <c r="Q641" s="7">
        <v>44494.0</v>
      </c>
      <c r="R641" s="6" t="s">
        <v>117</v>
      </c>
      <c r="S641" s="5">
        <v>0.0</v>
      </c>
      <c r="T641" s="6" t="s">
        <v>270</v>
      </c>
      <c r="U641" s="5">
        <v>2.0211025E7</v>
      </c>
      <c r="V641" s="5">
        <v>2.0211025E7</v>
      </c>
      <c r="W641" s="5">
        <v>29.7913531260001</v>
      </c>
      <c r="X641" s="5">
        <v>-95.341146474</v>
      </c>
    </row>
    <row r="642" ht="15.75" customHeight="1">
      <c r="A642" s="5">
        <v>12296.0</v>
      </c>
      <c r="B642" s="6">
        <v>2021.0</v>
      </c>
      <c r="C642" s="6" t="str">
        <f t="shared" si="1"/>
        <v>425 ARMSTRONG ST,Houston,Texas</v>
      </c>
      <c r="D642" s="6" t="s">
        <v>1253</v>
      </c>
      <c r="E642" s="6" t="s">
        <v>25</v>
      </c>
      <c r="F642" s="6" t="s">
        <v>26</v>
      </c>
      <c r="G642" s="6" t="s">
        <v>247</v>
      </c>
      <c r="H642" s="6" t="s">
        <v>50</v>
      </c>
      <c r="I642" s="6" t="str">
        <f>VLOOKUP(H642,'Flow Location'!$A$1:$B$21,2,FALSE)</f>
        <v>Contained On Site, not within 5 ft. of Bayou/Surface Water/Drainage Ditch</v>
      </c>
      <c r="J642" s="5">
        <v>0.0</v>
      </c>
      <c r="K642" s="6" t="s">
        <v>45</v>
      </c>
      <c r="L642" s="6" t="str">
        <f>VLOOKUP(K642,'Structure type'!$A$1:$B$15,2,FALSE)</f>
        <v>City Cleanout</v>
      </c>
      <c r="M642" s="6" t="s">
        <v>81</v>
      </c>
      <c r="N642" s="6" t="str">
        <f>VLOOKUP(M642,'Excursion Cause'!$A$1:$B$34,2,FALSE)</f>
        <v>Collection system structural failure</v>
      </c>
      <c r="O642" s="7">
        <v>44494.0</v>
      </c>
      <c r="P642" s="6" t="s">
        <v>186</v>
      </c>
      <c r="Q642" s="7">
        <v>44494.0</v>
      </c>
      <c r="R642" s="6" t="s">
        <v>186</v>
      </c>
      <c r="S642" s="5">
        <v>0.0</v>
      </c>
      <c r="T642" s="6" t="s">
        <v>118</v>
      </c>
      <c r="U642" s="5">
        <v>2.0211025E7</v>
      </c>
      <c r="V642" s="5">
        <v>2.0211025E7</v>
      </c>
      <c r="W642" s="5">
        <v>29.736887351</v>
      </c>
      <c r="X642" s="5">
        <v>-95.253859346</v>
      </c>
    </row>
    <row r="643" ht="15.75" customHeight="1">
      <c r="A643" s="5">
        <v>12299.0</v>
      </c>
      <c r="B643" s="6">
        <v>2021.0</v>
      </c>
      <c r="C643" s="6" t="str">
        <f t="shared" si="1"/>
        <v>2802 NAGLE ST,Houston,Texas</v>
      </c>
      <c r="D643" s="6" t="s">
        <v>1254</v>
      </c>
      <c r="E643" s="6" t="s">
        <v>25</v>
      </c>
      <c r="F643" s="6" t="s">
        <v>26</v>
      </c>
      <c r="G643" s="6" t="s">
        <v>308</v>
      </c>
      <c r="H643" s="6" t="s">
        <v>28</v>
      </c>
      <c r="I643" s="6" t="str">
        <f>VLOOKUP(H643,'Flow Location'!$A$1:$B$21,2,FALSE)</f>
        <v>Storm Sewer (not contained)</v>
      </c>
      <c r="J643" s="5">
        <v>0.0</v>
      </c>
      <c r="K643" s="6" t="s">
        <v>45</v>
      </c>
      <c r="L643" s="6" t="str">
        <f>VLOOKUP(K643,'Structure type'!$A$1:$B$15,2,FALSE)</f>
        <v>City Cleanout</v>
      </c>
      <c r="M643" s="6" t="s">
        <v>81</v>
      </c>
      <c r="N643" s="6" t="str">
        <f>VLOOKUP(M643,'Excursion Cause'!$A$1:$B$34,2,FALSE)</f>
        <v>Collection system structural failure</v>
      </c>
      <c r="O643" s="7">
        <v>44494.0</v>
      </c>
      <c r="P643" s="6" t="s">
        <v>780</v>
      </c>
      <c r="Q643" s="7">
        <v>44494.0</v>
      </c>
      <c r="R643" s="6" t="s">
        <v>780</v>
      </c>
      <c r="S643" s="5">
        <v>0.0</v>
      </c>
      <c r="T643" s="6" t="s">
        <v>170</v>
      </c>
      <c r="U643" s="5">
        <v>2.0211025E7</v>
      </c>
      <c r="V643" s="5">
        <v>2.0211025E7</v>
      </c>
      <c r="W643" s="5">
        <v>29.735209211</v>
      </c>
      <c r="X643" s="5">
        <v>-95.36064077</v>
      </c>
    </row>
    <row r="644" ht="15.75" customHeight="1">
      <c r="A644" s="5">
        <v>12307.0</v>
      </c>
      <c r="B644" s="6">
        <v>2021.0</v>
      </c>
      <c r="C644" s="6" t="str">
        <f t="shared" si="1"/>
        <v>1640 DUNA WAY,Houston,Texas</v>
      </c>
      <c r="D644" s="6" t="s">
        <v>1255</v>
      </c>
      <c r="E644" s="6" t="s">
        <v>25</v>
      </c>
      <c r="F644" s="6" t="s">
        <v>26</v>
      </c>
      <c r="G644" s="6" t="s">
        <v>623</v>
      </c>
      <c r="H644" s="6" t="s">
        <v>50</v>
      </c>
      <c r="I644" s="6" t="str">
        <f>VLOOKUP(H644,'Flow Location'!$A$1:$B$21,2,FALSE)</f>
        <v>Contained On Site, not within 5 ft. of Bayou/Surface Water/Drainage Ditch</v>
      </c>
      <c r="J644" s="5">
        <v>0.0</v>
      </c>
      <c r="K644" s="6" t="s">
        <v>29</v>
      </c>
      <c r="L644" s="6" t="str">
        <f>VLOOKUP(K644,'Structure type'!$A$1:$B$15,2,FALSE)</f>
        <v>Manhole</v>
      </c>
      <c r="M644" s="6" t="s">
        <v>52</v>
      </c>
      <c r="N644" s="6" t="str">
        <f>VLOOKUP(M644,'Excursion Cause'!$A$1:$B$34,2,FALSE)</f>
        <v>Collection system structural blockage</v>
      </c>
      <c r="O644" s="7">
        <v>44495.0</v>
      </c>
      <c r="P644" s="6" t="s">
        <v>478</v>
      </c>
      <c r="Q644" s="7">
        <v>44497.0</v>
      </c>
      <c r="R644" s="6" t="s">
        <v>1256</v>
      </c>
      <c r="S644" s="5">
        <v>0.0</v>
      </c>
      <c r="T644" s="6" t="s">
        <v>474</v>
      </c>
      <c r="U644" s="5">
        <v>2.0211026E7</v>
      </c>
      <c r="V644" s="5">
        <v>2.0211028E7</v>
      </c>
      <c r="W644" s="5">
        <v>29.7595656070001</v>
      </c>
      <c r="X644" s="5">
        <v>-95.217807798</v>
      </c>
    </row>
    <row r="645" ht="15.75" customHeight="1">
      <c r="A645" s="5">
        <v>12309.0</v>
      </c>
      <c r="B645" s="6">
        <v>2021.0</v>
      </c>
      <c r="C645" s="6" t="str">
        <f t="shared" si="1"/>
        <v>12015 CIRCLE DR,Houston,Texas</v>
      </c>
      <c r="D645" s="6" t="s">
        <v>1257</v>
      </c>
      <c r="E645" s="6" t="s">
        <v>25</v>
      </c>
      <c r="F645" s="6" t="s">
        <v>26</v>
      </c>
      <c r="G645" s="6" t="s">
        <v>656</v>
      </c>
      <c r="H645" s="6" t="s">
        <v>28</v>
      </c>
      <c r="I645" s="6" t="str">
        <f>VLOOKUP(H645,'Flow Location'!$A$1:$B$21,2,FALSE)</f>
        <v>Storm Sewer (not contained)</v>
      </c>
      <c r="J645" s="5">
        <v>1409.0</v>
      </c>
      <c r="K645" s="6" t="s">
        <v>29</v>
      </c>
      <c r="L645" s="6" t="str">
        <f>VLOOKUP(K645,'Structure type'!$A$1:$B$15,2,FALSE)</f>
        <v>Manhole</v>
      </c>
      <c r="M645" s="6" t="s">
        <v>30</v>
      </c>
      <c r="N645" s="6" t="str">
        <f>VLOOKUP(M645,'Excursion Cause'!$A$1:$B$34,2,FALSE)</f>
        <v>Grease Blockage</v>
      </c>
      <c r="O645" s="7">
        <v>44495.0</v>
      </c>
      <c r="P645" s="6" t="s">
        <v>1258</v>
      </c>
      <c r="Q645" s="7">
        <v>44496.0</v>
      </c>
      <c r="R645" s="6" t="s">
        <v>315</v>
      </c>
      <c r="S645" s="5">
        <v>1.0</v>
      </c>
      <c r="T645" s="6" t="s">
        <v>59</v>
      </c>
      <c r="U645" s="5">
        <v>2.0211026E7</v>
      </c>
      <c r="V645" s="5">
        <v>2.0211027E7</v>
      </c>
      <c r="W645" s="5">
        <v>29.6492488960001</v>
      </c>
      <c r="X645" s="5">
        <v>-95.5222522449999</v>
      </c>
    </row>
    <row r="646" ht="15.75" customHeight="1">
      <c r="A646" s="5">
        <v>12311.0</v>
      </c>
      <c r="B646" s="6">
        <v>2021.0</v>
      </c>
      <c r="C646" s="6" t="str">
        <f t="shared" si="1"/>
        <v>6800 SHAVELSON ST,Houston,Texas</v>
      </c>
      <c r="D646" s="6" t="s">
        <v>1259</v>
      </c>
      <c r="E646" s="6" t="s">
        <v>25</v>
      </c>
      <c r="F646" s="6" t="s">
        <v>26</v>
      </c>
      <c r="G646" s="6" t="s">
        <v>27</v>
      </c>
      <c r="H646" s="6" t="s">
        <v>28</v>
      </c>
      <c r="I646" s="6" t="str">
        <f>VLOOKUP(H646,'Flow Location'!$A$1:$B$21,2,FALSE)</f>
        <v>Storm Sewer (not contained)</v>
      </c>
      <c r="J646" s="5">
        <v>3122.0</v>
      </c>
      <c r="K646" s="6" t="s">
        <v>29</v>
      </c>
      <c r="L646" s="6" t="str">
        <f>VLOOKUP(K646,'Structure type'!$A$1:$B$15,2,FALSE)</f>
        <v>Manhole</v>
      </c>
      <c r="M646" s="6" t="s">
        <v>30</v>
      </c>
      <c r="N646" s="6" t="str">
        <f>VLOOKUP(M646,'Excursion Cause'!$A$1:$B$34,2,FALSE)</f>
        <v>Grease Blockage</v>
      </c>
      <c r="O646" s="7">
        <v>44496.0</v>
      </c>
      <c r="P646" s="6" t="s">
        <v>1176</v>
      </c>
      <c r="Q646" s="7">
        <v>44497.0</v>
      </c>
      <c r="R646" s="6" t="s">
        <v>125</v>
      </c>
      <c r="S646" s="5">
        <v>2.0</v>
      </c>
      <c r="T646" s="6" t="s">
        <v>59</v>
      </c>
      <c r="U646" s="5">
        <v>2.0211027E7</v>
      </c>
      <c r="V646" s="5">
        <v>2.0211028E7</v>
      </c>
      <c r="W646" s="5">
        <v>29.7870381220001</v>
      </c>
      <c r="X646" s="5">
        <v>-95.468859186</v>
      </c>
    </row>
    <row r="647" ht="15.75" customHeight="1">
      <c r="A647" s="5">
        <v>12315.0</v>
      </c>
      <c r="B647" s="6">
        <v>2021.0</v>
      </c>
      <c r="C647" s="6" t="str">
        <f t="shared" si="1"/>
        <v>12302 COULSON ST,Houston,Texas</v>
      </c>
      <c r="D647" s="6" t="s">
        <v>1260</v>
      </c>
      <c r="E647" s="6" t="s">
        <v>25</v>
      </c>
      <c r="F647" s="6" t="s">
        <v>26</v>
      </c>
      <c r="G647" s="6" t="s">
        <v>623</v>
      </c>
      <c r="H647" s="6" t="s">
        <v>50</v>
      </c>
      <c r="I647" s="6" t="str">
        <f>VLOOKUP(H647,'Flow Location'!$A$1:$B$21,2,FALSE)</f>
        <v>Contained On Site, not within 5 ft. of Bayou/Surface Water/Drainage Ditch</v>
      </c>
      <c r="J647" s="5">
        <v>4250.0</v>
      </c>
      <c r="K647" s="6" t="s">
        <v>29</v>
      </c>
      <c r="L647" s="6" t="str">
        <f>VLOOKUP(K647,'Structure type'!$A$1:$B$15,2,FALSE)</f>
        <v>Manhole</v>
      </c>
      <c r="M647" s="6" t="s">
        <v>52</v>
      </c>
      <c r="N647" s="6" t="str">
        <f>VLOOKUP(M647,'Excursion Cause'!$A$1:$B$34,2,FALSE)</f>
        <v>Collection system structural blockage</v>
      </c>
      <c r="O647" s="7">
        <v>44496.0</v>
      </c>
      <c r="P647" s="6" t="s">
        <v>496</v>
      </c>
      <c r="Q647" s="7">
        <v>44497.0</v>
      </c>
      <c r="R647" s="6" t="s">
        <v>800</v>
      </c>
      <c r="S647" s="5">
        <v>5.0</v>
      </c>
      <c r="T647" s="6" t="s">
        <v>1261</v>
      </c>
      <c r="U647" s="5">
        <v>2.0211027E7</v>
      </c>
      <c r="V647" s="5">
        <v>2.0211028E7</v>
      </c>
      <c r="W647" s="5">
        <v>29.762574322</v>
      </c>
      <c r="X647" s="5">
        <v>-95.220362076</v>
      </c>
    </row>
    <row r="648" ht="15.75" customHeight="1">
      <c r="A648" s="5">
        <v>12321.0</v>
      </c>
      <c r="B648" s="6">
        <v>2021.0</v>
      </c>
      <c r="C648" s="6" t="str">
        <f t="shared" si="1"/>
        <v>12355 KATY FWY,Houston,Texas</v>
      </c>
      <c r="D648" s="6" t="s">
        <v>1262</v>
      </c>
      <c r="E648" s="6" t="s">
        <v>25</v>
      </c>
      <c r="F648" s="6" t="s">
        <v>26</v>
      </c>
      <c r="G648" s="6" t="s">
        <v>520</v>
      </c>
      <c r="H648" s="6" t="s">
        <v>28</v>
      </c>
      <c r="I648" s="6" t="str">
        <f>VLOOKUP(H648,'Flow Location'!$A$1:$B$21,2,FALSE)</f>
        <v>Storm Sewer (not contained)</v>
      </c>
      <c r="J648" s="5">
        <v>0.0</v>
      </c>
      <c r="K648" s="6" t="s">
        <v>29</v>
      </c>
      <c r="L648" s="6" t="str">
        <f>VLOOKUP(K648,'Structure type'!$A$1:$B$15,2,FALSE)</f>
        <v>Manhole</v>
      </c>
      <c r="M648" s="6" t="s">
        <v>30</v>
      </c>
      <c r="N648" s="6" t="str">
        <f>VLOOKUP(M648,'Excursion Cause'!$A$1:$B$34,2,FALSE)</f>
        <v>Grease Blockage</v>
      </c>
      <c r="O648" s="7">
        <v>44497.0</v>
      </c>
      <c r="P648" s="6" t="s">
        <v>276</v>
      </c>
      <c r="Q648" s="7">
        <v>44497.0</v>
      </c>
      <c r="R648" s="6" t="s">
        <v>276</v>
      </c>
      <c r="S648" s="5">
        <v>0.0</v>
      </c>
      <c r="T648" s="6" t="s">
        <v>33</v>
      </c>
      <c r="U648" s="5">
        <v>2.0211028E7</v>
      </c>
      <c r="V648" s="5">
        <v>2.0211028E7</v>
      </c>
      <c r="W648" s="5">
        <v>29.7842425060001</v>
      </c>
      <c r="X648" s="5">
        <v>-95.6060649899999</v>
      </c>
    </row>
    <row r="649" ht="15.75" customHeight="1">
      <c r="A649" s="5">
        <v>12322.0</v>
      </c>
      <c r="B649" s="6">
        <v>2021.0</v>
      </c>
      <c r="C649" s="6" t="str">
        <f t="shared" si="1"/>
        <v>4907 BRADY ST,Houston,Texas</v>
      </c>
      <c r="D649" s="6" t="s">
        <v>1263</v>
      </c>
      <c r="E649" s="6" t="s">
        <v>25</v>
      </c>
      <c r="F649" s="6" t="s">
        <v>26</v>
      </c>
      <c r="G649" s="6" t="s">
        <v>227</v>
      </c>
      <c r="H649" s="6" t="s">
        <v>28</v>
      </c>
      <c r="I649" s="6" t="str">
        <f>VLOOKUP(H649,'Flow Location'!$A$1:$B$21,2,FALSE)</f>
        <v>Storm Sewer (not contained)</v>
      </c>
      <c r="J649" s="5">
        <v>0.0</v>
      </c>
      <c r="K649" s="6" t="s">
        <v>198</v>
      </c>
      <c r="L649" s="6" t="str">
        <f>VLOOKUP(K649,'Structure type'!$A$1:$B$15,2,FALSE)</f>
        <v>Service Lateral</v>
      </c>
      <c r="M649" s="6" t="s">
        <v>52</v>
      </c>
      <c r="N649" s="6" t="str">
        <f>VLOOKUP(M649,'Excursion Cause'!$A$1:$B$34,2,FALSE)</f>
        <v>Collection system structural blockage</v>
      </c>
      <c r="O649" s="7">
        <v>44497.0</v>
      </c>
      <c r="P649" s="6" t="s">
        <v>335</v>
      </c>
      <c r="Q649" s="7">
        <v>44497.0</v>
      </c>
      <c r="R649" s="6" t="s">
        <v>335</v>
      </c>
      <c r="S649" s="5">
        <v>0.0</v>
      </c>
      <c r="T649" s="6" t="s">
        <v>54</v>
      </c>
      <c r="U649" s="5">
        <v>2.0211028E7</v>
      </c>
      <c r="V649" s="5">
        <v>2.0211028E7</v>
      </c>
      <c r="W649" s="5">
        <v>29.7462788550001</v>
      </c>
      <c r="X649" s="5">
        <v>-95.32488684</v>
      </c>
    </row>
    <row r="650" ht="15.75" customHeight="1">
      <c r="A650" s="5">
        <v>12328.0</v>
      </c>
      <c r="B650" s="6">
        <v>2021.0</v>
      </c>
      <c r="C650" s="6" t="str">
        <f t="shared" si="1"/>
        <v>8007 CAPITOL ST,Houston,Texas</v>
      </c>
      <c r="D650" s="6" t="s">
        <v>1264</v>
      </c>
      <c r="E650" s="6" t="s">
        <v>25</v>
      </c>
      <c r="F650" s="6" t="s">
        <v>26</v>
      </c>
      <c r="G650" s="6" t="s">
        <v>365</v>
      </c>
      <c r="H650" s="6" t="s">
        <v>28</v>
      </c>
      <c r="I650" s="6" t="str">
        <f>VLOOKUP(H650,'Flow Location'!$A$1:$B$21,2,FALSE)</f>
        <v>Storm Sewer (not contained)</v>
      </c>
      <c r="J650" s="5">
        <v>2150.0</v>
      </c>
      <c r="K650" s="6" t="s">
        <v>29</v>
      </c>
      <c r="L650" s="6" t="str">
        <f>VLOOKUP(K650,'Structure type'!$A$1:$B$15,2,FALSE)</f>
        <v>Manhole</v>
      </c>
      <c r="M650" s="6" t="s">
        <v>764</v>
      </c>
      <c r="N650" s="6" t="str">
        <f>VLOOKUP(M650,'Excursion Cause'!$A$1:$B$34,2,FALSE)</f>
        <v>Power Outage</v>
      </c>
      <c r="O650" s="7">
        <v>44498.0</v>
      </c>
      <c r="P650" s="6" t="s">
        <v>1265</v>
      </c>
      <c r="Q650" s="7">
        <v>44498.0</v>
      </c>
      <c r="R650" s="6" t="s">
        <v>1266</v>
      </c>
      <c r="S650" s="5">
        <v>7.0</v>
      </c>
      <c r="T650" s="6" t="s">
        <v>439</v>
      </c>
      <c r="U650" s="5">
        <v>2.0211029E7</v>
      </c>
      <c r="V650" s="5">
        <v>2.0211029E7</v>
      </c>
      <c r="W650" s="5">
        <v>29.7279947810001</v>
      </c>
      <c r="X650" s="5">
        <v>-95.282328816</v>
      </c>
    </row>
    <row r="651" ht="15.75" customHeight="1">
      <c r="A651" s="5">
        <v>12330.0</v>
      </c>
      <c r="B651" s="6">
        <v>2021.0</v>
      </c>
      <c r="C651" s="6" t="str">
        <f t="shared" si="1"/>
        <v>402 S 80TH ST,Houston,Texas</v>
      </c>
      <c r="D651" s="6" t="s">
        <v>1267</v>
      </c>
      <c r="E651" s="6" t="s">
        <v>25</v>
      </c>
      <c r="F651" s="6" t="s">
        <v>26</v>
      </c>
      <c r="G651" s="6" t="s">
        <v>365</v>
      </c>
      <c r="H651" s="6" t="s">
        <v>28</v>
      </c>
      <c r="I651" s="6" t="str">
        <f>VLOOKUP(H651,'Flow Location'!$A$1:$B$21,2,FALSE)</f>
        <v>Storm Sewer (not contained)</v>
      </c>
      <c r="J651" s="5">
        <v>1880.0</v>
      </c>
      <c r="K651" s="6" t="s">
        <v>29</v>
      </c>
      <c r="L651" s="6" t="str">
        <f>VLOOKUP(K651,'Structure type'!$A$1:$B$15,2,FALSE)</f>
        <v>Manhole</v>
      </c>
      <c r="M651" s="6" t="s">
        <v>764</v>
      </c>
      <c r="N651" s="6" t="str">
        <f>VLOOKUP(M651,'Excursion Cause'!$A$1:$B$34,2,FALSE)</f>
        <v>Power Outage</v>
      </c>
      <c r="O651" s="7">
        <v>44498.0</v>
      </c>
      <c r="P651" s="6" t="s">
        <v>125</v>
      </c>
      <c r="Q651" s="7">
        <v>44498.0</v>
      </c>
      <c r="R651" s="6" t="s">
        <v>1268</v>
      </c>
      <c r="S651" s="5">
        <v>10.0</v>
      </c>
      <c r="T651" s="6" t="s">
        <v>443</v>
      </c>
      <c r="U651" s="5">
        <v>2.0211029E7</v>
      </c>
      <c r="V651" s="5">
        <v>2.0211029E7</v>
      </c>
      <c r="W651" s="5">
        <v>29.7272888570001</v>
      </c>
      <c r="X651" s="5">
        <v>-95.2831199</v>
      </c>
    </row>
    <row r="652" ht="15.75" customHeight="1">
      <c r="A652" s="5">
        <v>12331.0</v>
      </c>
      <c r="B652" s="6">
        <v>2021.0</v>
      </c>
      <c r="C652" s="6" t="str">
        <f t="shared" si="1"/>
        <v>1000 GREENS RD,Houston,Texas</v>
      </c>
      <c r="D652" s="6" t="s">
        <v>1269</v>
      </c>
      <c r="E652" s="6" t="s">
        <v>25</v>
      </c>
      <c r="F652" s="6" t="s">
        <v>26</v>
      </c>
      <c r="G652" s="6" t="s">
        <v>393</v>
      </c>
      <c r="H652" s="6" t="s">
        <v>50</v>
      </c>
      <c r="I652" s="6" t="str">
        <f>VLOOKUP(H652,'Flow Location'!$A$1:$B$21,2,FALSE)</f>
        <v>Contained On Site, not within 5 ft. of Bayou/Surface Water/Drainage Ditch</v>
      </c>
      <c r="J652" s="5">
        <v>0.0</v>
      </c>
      <c r="K652" s="6" t="s">
        <v>29</v>
      </c>
      <c r="L652" s="6" t="str">
        <f>VLOOKUP(K652,'Structure type'!$A$1:$B$15,2,FALSE)</f>
        <v>Manhole</v>
      </c>
      <c r="M652" s="6" t="s">
        <v>30</v>
      </c>
      <c r="N652" s="6" t="str">
        <f>VLOOKUP(M652,'Excursion Cause'!$A$1:$B$34,2,FALSE)</f>
        <v>Grease Blockage</v>
      </c>
      <c r="O652" s="7">
        <v>44498.0</v>
      </c>
      <c r="P652" s="6" t="s">
        <v>1270</v>
      </c>
      <c r="Q652" s="7">
        <v>44498.0</v>
      </c>
      <c r="R652" s="6" t="s">
        <v>1270</v>
      </c>
      <c r="S652" s="5">
        <v>0.0</v>
      </c>
      <c r="T652" s="6" t="s">
        <v>33</v>
      </c>
      <c r="U652" s="5">
        <v>2.0211029E7</v>
      </c>
      <c r="V652" s="5">
        <v>2.0211029E7</v>
      </c>
      <c r="W652" s="5">
        <v>29.950637408</v>
      </c>
      <c r="X652" s="5">
        <v>-95.3898658679999</v>
      </c>
    </row>
    <row r="653" ht="15.75" customHeight="1">
      <c r="A653" s="5">
        <v>12341.0</v>
      </c>
      <c r="B653" s="6">
        <v>2021.0</v>
      </c>
      <c r="C653" s="6" t="str">
        <f t="shared" si="1"/>
        <v>5420 LAWNDALE ST,Houston,Texas</v>
      </c>
      <c r="D653" s="6" t="s">
        <v>1271</v>
      </c>
      <c r="E653" s="6" t="s">
        <v>25</v>
      </c>
      <c r="F653" s="6" t="s">
        <v>26</v>
      </c>
      <c r="G653" s="6" t="s">
        <v>141</v>
      </c>
      <c r="H653" s="6" t="s">
        <v>50</v>
      </c>
      <c r="I653" s="6" t="str">
        <f>VLOOKUP(H653,'Flow Location'!$A$1:$B$21,2,FALSE)</f>
        <v>Contained On Site, not within 5 ft. of Bayou/Surface Water/Drainage Ditch</v>
      </c>
      <c r="J653" s="5">
        <v>160.0</v>
      </c>
      <c r="K653" s="6" t="s">
        <v>45</v>
      </c>
      <c r="L653" s="6" t="str">
        <f>VLOOKUP(K653,'Structure type'!$A$1:$B$15,2,FALSE)</f>
        <v>City Cleanout</v>
      </c>
      <c r="M653" s="6" t="s">
        <v>81</v>
      </c>
      <c r="N653" s="6" t="str">
        <f>VLOOKUP(M653,'Excursion Cause'!$A$1:$B$34,2,FALSE)</f>
        <v>Collection system structural failure</v>
      </c>
      <c r="O653" s="7">
        <v>44500.0</v>
      </c>
      <c r="P653" s="6" t="s">
        <v>70</v>
      </c>
      <c r="Q653" s="7">
        <v>44500.0</v>
      </c>
      <c r="R653" s="6" t="s">
        <v>1053</v>
      </c>
      <c r="S653" s="5">
        <v>2.0</v>
      </c>
      <c r="T653" s="6" t="s">
        <v>107</v>
      </c>
      <c r="U653" s="5">
        <v>2.0211031E7</v>
      </c>
      <c r="V653" s="5">
        <v>2.0211031E7</v>
      </c>
      <c r="W653" s="5">
        <v>29.727541823</v>
      </c>
      <c r="X653" s="5">
        <v>-95.320694798</v>
      </c>
    </row>
    <row r="654" ht="15.75" customHeight="1">
      <c r="A654" s="5">
        <v>12343.0</v>
      </c>
      <c r="B654" s="6">
        <v>2021.0</v>
      </c>
      <c r="C654" s="6" t="str">
        <f t="shared" si="1"/>
        <v>10206 HILLENBERG LN,Houston,Texas</v>
      </c>
      <c r="D654" s="6" t="s">
        <v>1272</v>
      </c>
      <c r="E654" s="6" t="s">
        <v>25</v>
      </c>
      <c r="F654" s="6" t="s">
        <v>26</v>
      </c>
      <c r="G654" s="6" t="s">
        <v>49</v>
      </c>
      <c r="H654" s="6" t="s">
        <v>50</v>
      </c>
      <c r="I654" s="6" t="str">
        <f>VLOOKUP(H654,'Flow Location'!$A$1:$B$21,2,FALSE)</f>
        <v>Contained On Site, not within 5 ft. of Bayou/Surface Water/Drainage Ditch</v>
      </c>
      <c r="J654" s="5">
        <v>313.0</v>
      </c>
      <c r="K654" s="6" t="s">
        <v>29</v>
      </c>
      <c r="L654" s="6" t="str">
        <f>VLOOKUP(K654,'Structure type'!$A$1:$B$15,2,FALSE)</f>
        <v>Manhole</v>
      </c>
      <c r="M654" s="6" t="s">
        <v>30</v>
      </c>
      <c r="N654" s="6" t="str">
        <f>VLOOKUP(M654,'Excursion Cause'!$A$1:$B$34,2,FALSE)</f>
        <v>Grease Blockage</v>
      </c>
      <c r="O654" s="10">
        <v>44501.0</v>
      </c>
      <c r="P654" s="6" t="s">
        <v>1273</v>
      </c>
      <c r="Q654" s="10">
        <v>44501.0</v>
      </c>
      <c r="R654" s="6" t="s">
        <v>1103</v>
      </c>
      <c r="S654" s="5">
        <v>1.0</v>
      </c>
      <c r="T654" s="6" t="s">
        <v>59</v>
      </c>
      <c r="U654" s="5">
        <v>2.0210111E7</v>
      </c>
      <c r="V654" s="5">
        <v>2.0210111E7</v>
      </c>
      <c r="W654" s="5">
        <v>29.6195303970001</v>
      </c>
      <c r="X654" s="5">
        <v>-95.1984463329999</v>
      </c>
    </row>
    <row r="655" ht="15.75" customHeight="1">
      <c r="A655" s="5">
        <v>12350.0</v>
      </c>
      <c r="B655" s="6">
        <v>2021.0</v>
      </c>
      <c r="C655" s="6" t="str">
        <f t="shared" si="1"/>
        <v>7711 BELLFORT ST,Houston,Texas</v>
      </c>
      <c r="D655" s="6" t="s">
        <v>489</v>
      </c>
      <c r="E655" s="6" t="s">
        <v>25</v>
      </c>
      <c r="F655" s="6" t="s">
        <v>26</v>
      </c>
      <c r="G655" s="6" t="s">
        <v>398</v>
      </c>
      <c r="H655" s="6" t="s">
        <v>28</v>
      </c>
      <c r="I655" s="6" t="str">
        <f>VLOOKUP(H655,'Flow Location'!$A$1:$B$21,2,FALSE)</f>
        <v>Storm Sewer (not contained)</v>
      </c>
      <c r="J655" s="5">
        <v>138.0</v>
      </c>
      <c r="K655" s="6" t="s">
        <v>45</v>
      </c>
      <c r="L655" s="6" t="str">
        <f>VLOOKUP(K655,'Structure type'!$A$1:$B$15,2,FALSE)</f>
        <v>City Cleanout</v>
      </c>
      <c r="M655" s="6" t="s">
        <v>30</v>
      </c>
      <c r="N655" s="6" t="str">
        <f>VLOOKUP(M655,'Excursion Cause'!$A$1:$B$34,2,FALSE)</f>
        <v>Grease Blockage</v>
      </c>
      <c r="O655" s="10">
        <v>44501.0</v>
      </c>
      <c r="P655" s="6" t="s">
        <v>1274</v>
      </c>
      <c r="Q655" s="10">
        <v>44501.0</v>
      </c>
      <c r="R655" s="6" t="s">
        <v>704</v>
      </c>
      <c r="S655" s="5">
        <v>1.0</v>
      </c>
      <c r="T655" s="6" t="s">
        <v>74</v>
      </c>
      <c r="U655" s="5">
        <v>2.0210111E7</v>
      </c>
      <c r="V655" s="5">
        <v>2.0210111E7</v>
      </c>
      <c r="W655" s="5">
        <v>29.6724375150001</v>
      </c>
      <c r="X655" s="5">
        <v>-95.280520504</v>
      </c>
    </row>
    <row r="656" ht="15.75" customHeight="1">
      <c r="A656" s="5">
        <v>12352.0</v>
      </c>
      <c r="B656" s="6">
        <v>2021.0</v>
      </c>
      <c r="C656" s="6" t="str">
        <f t="shared" si="1"/>
        <v>517 W 27TH ST,Houston,Texas</v>
      </c>
      <c r="D656" s="6" t="s">
        <v>1275</v>
      </c>
      <c r="E656" s="6" t="s">
        <v>25</v>
      </c>
      <c r="F656" s="6" t="s">
        <v>26</v>
      </c>
      <c r="G656" s="6" t="s">
        <v>232</v>
      </c>
      <c r="H656" s="6" t="s">
        <v>50</v>
      </c>
      <c r="I656" s="6" t="str">
        <f>VLOOKUP(H656,'Flow Location'!$A$1:$B$21,2,FALSE)</f>
        <v>Contained On Site, not within 5 ft. of Bayou/Surface Water/Drainage Ditch</v>
      </c>
      <c r="J656" s="5">
        <v>0.0</v>
      </c>
      <c r="K656" s="6" t="s">
        <v>198</v>
      </c>
      <c r="L656" s="6" t="str">
        <f>VLOOKUP(K656,'Structure type'!$A$1:$B$15,2,FALSE)</f>
        <v>Service Lateral</v>
      </c>
      <c r="M656" s="6" t="s">
        <v>52</v>
      </c>
      <c r="N656" s="6" t="str">
        <f>VLOOKUP(M656,'Excursion Cause'!$A$1:$B$34,2,FALSE)</f>
        <v>Collection system structural blockage</v>
      </c>
      <c r="O656" s="10">
        <v>44501.0</v>
      </c>
      <c r="P656" s="6" t="s">
        <v>1276</v>
      </c>
      <c r="Q656" s="10">
        <v>44501.0</v>
      </c>
      <c r="R656" s="6" t="s">
        <v>1276</v>
      </c>
      <c r="S656" s="5">
        <v>0.0</v>
      </c>
      <c r="T656" s="6" t="s">
        <v>118</v>
      </c>
      <c r="U656" s="5">
        <v>2.0210111E7</v>
      </c>
      <c r="V656" s="5">
        <v>2.0210111E7</v>
      </c>
      <c r="W656" s="5">
        <v>29.8110008520001</v>
      </c>
      <c r="X656" s="5">
        <v>-95.406972997</v>
      </c>
    </row>
    <row r="657" ht="15.75" customHeight="1">
      <c r="A657" s="5">
        <v>12355.0</v>
      </c>
      <c r="B657" s="6">
        <v>2021.0</v>
      </c>
      <c r="C657" s="6" t="str">
        <f t="shared" si="1"/>
        <v>6710 WINTON ST,Houston,Texas</v>
      </c>
      <c r="D657" s="6" t="s">
        <v>1277</v>
      </c>
      <c r="E657" s="6" t="s">
        <v>25</v>
      </c>
      <c r="F657" s="6" t="s">
        <v>26</v>
      </c>
      <c r="G657" s="6" t="s">
        <v>238</v>
      </c>
      <c r="H657" s="6" t="s">
        <v>50</v>
      </c>
      <c r="I657" s="6" t="str">
        <f>VLOOKUP(H657,'Flow Location'!$A$1:$B$21,2,FALSE)</f>
        <v>Contained On Site, not within 5 ft. of Bayou/Surface Water/Drainage Ditch</v>
      </c>
      <c r="J657" s="5">
        <v>0.0</v>
      </c>
      <c r="K657" s="6" t="s">
        <v>198</v>
      </c>
      <c r="L657" s="6" t="str">
        <f>VLOOKUP(K657,'Structure type'!$A$1:$B$15,2,FALSE)</f>
        <v>Service Lateral</v>
      </c>
      <c r="M657" s="6" t="s">
        <v>52</v>
      </c>
      <c r="N657" s="6" t="str">
        <f>VLOOKUP(M657,'Excursion Cause'!$A$1:$B$34,2,FALSE)</f>
        <v>Collection system structural blockage</v>
      </c>
      <c r="O657" s="10">
        <v>44502.0</v>
      </c>
      <c r="P657" s="6" t="s">
        <v>92</v>
      </c>
      <c r="Q657" s="10">
        <v>44502.0</v>
      </c>
      <c r="R657" s="6" t="s">
        <v>92</v>
      </c>
      <c r="S657" s="5">
        <v>0.0</v>
      </c>
      <c r="T657" s="6" t="s">
        <v>170</v>
      </c>
      <c r="U657" s="5">
        <v>2.0210211E7</v>
      </c>
      <c r="V657" s="5">
        <v>2.0210211E7</v>
      </c>
      <c r="W657" s="5">
        <v>29.697979144</v>
      </c>
      <c r="X657" s="5">
        <v>-95.366810521</v>
      </c>
    </row>
    <row r="658" ht="15.75" customHeight="1">
      <c r="A658" s="5">
        <v>12358.0</v>
      </c>
      <c r="B658" s="6">
        <v>2021.0</v>
      </c>
      <c r="C658" s="6" t="str">
        <f t="shared" si="1"/>
        <v>5110 PARKRIDGE DR,Houston,Texas</v>
      </c>
      <c r="D658" s="6" t="s">
        <v>1278</v>
      </c>
      <c r="E658" s="6" t="s">
        <v>25</v>
      </c>
      <c r="F658" s="6" t="s">
        <v>26</v>
      </c>
      <c r="G658" s="6" t="s">
        <v>517</v>
      </c>
      <c r="H658" s="6" t="s">
        <v>50</v>
      </c>
      <c r="I658" s="6" t="str">
        <f>VLOOKUP(H658,'Flow Location'!$A$1:$B$21,2,FALSE)</f>
        <v>Contained On Site, not within 5 ft. of Bayou/Surface Water/Drainage Ditch</v>
      </c>
      <c r="J658" s="5">
        <v>271.0</v>
      </c>
      <c r="K658" s="6" t="s">
        <v>29</v>
      </c>
      <c r="L658" s="6" t="str">
        <f>VLOOKUP(K658,'Structure type'!$A$1:$B$15,2,FALSE)</f>
        <v>Manhole</v>
      </c>
      <c r="M658" s="6" t="s">
        <v>30</v>
      </c>
      <c r="N658" s="6" t="str">
        <f>VLOOKUP(M658,'Excursion Cause'!$A$1:$B$34,2,FALSE)</f>
        <v>Grease Blockage</v>
      </c>
      <c r="O658" s="10">
        <v>44502.0</v>
      </c>
      <c r="P658" s="6" t="s">
        <v>607</v>
      </c>
      <c r="Q658" s="10">
        <v>44502.0</v>
      </c>
      <c r="R658" s="6" t="s">
        <v>1053</v>
      </c>
      <c r="S658" s="5">
        <v>1.0</v>
      </c>
      <c r="T658" s="6" t="s">
        <v>59</v>
      </c>
      <c r="U658" s="5">
        <v>2.0210211E7</v>
      </c>
      <c r="V658" s="5">
        <v>2.0210211E7</v>
      </c>
      <c r="W658" s="5">
        <v>29.583931449</v>
      </c>
      <c r="X658" s="5">
        <v>-95.464870574</v>
      </c>
    </row>
    <row r="659" ht="15.75" customHeight="1">
      <c r="A659" s="5">
        <v>12361.0</v>
      </c>
      <c r="B659" s="6">
        <v>2021.0</v>
      </c>
      <c r="C659" s="6" t="str">
        <f t="shared" si="1"/>
        <v>5530 ENCLAVE FOUNTAIN LN,Houston,Texas</v>
      </c>
      <c r="D659" s="6" t="s">
        <v>1279</v>
      </c>
      <c r="E659" s="6" t="s">
        <v>25</v>
      </c>
      <c r="F659" s="6" t="s">
        <v>26</v>
      </c>
      <c r="G659" s="6" t="s">
        <v>105</v>
      </c>
      <c r="H659" s="6" t="s">
        <v>28</v>
      </c>
      <c r="I659" s="6" t="str">
        <f>VLOOKUP(H659,'Flow Location'!$A$1:$B$21,2,FALSE)</f>
        <v>Storm Sewer (not contained)</v>
      </c>
      <c r="J659" s="5">
        <v>0.0</v>
      </c>
      <c r="K659" s="6" t="s">
        <v>29</v>
      </c>
      <c r="L659" s="6" t="str">
        <f>VLOOKUP(K659,'Structure type'!$A$1:$B$15,2,FALSE)</f>
        <v>Manhole</v>
      </c>
      <c r="M659" s="6" t="s">
        <v>30</v>
      </c>
      <c r="N659" s="6" t="str">
        <f>VLOOKUP(M659,'Excursion Cause'!$A$1:$B$34,2,FALSE)</f>
        <v>Grease Blockage</v>
      </c>
      <c r="O659" s="10">
        <v>44502.0</v>
      </c>
      <c r="P659" s="6" t="s">
        <v>1280</v>
      </c>
      <c r="Q659" s="10">
        <v>44502.0</v>
      </c>
      <c r="R659" s="6" t="s">
        <v>1280</v>
      </c>
      <c r="S659" s="5">
        <v>0.0</v>
      </c>
      <c r="T659" s="6" t="s">
        <v>59</v>
      </c>
      <c r="U659" s="5">
        <v>2.0210211E7</v>
      </c>
      <c r="V659" s="5">
        <v>2.0210211E7</v>
      </c>
      <c r="W659" s="5">
        <v>29.8461770170001</v>
      </c>
      <c r="X659" s="5">
        <v>-95.4447274349999</v>
      </c>
    </row>
    <row r="660" ht="15.75" customHeight="1">
      <c r="A660" s="5">
        <v>12364.0</v>
      </c>
      <c r="B660" s="6">
        <v>2021.0</v>
      </c>
      <c r="C660" s="6" t="str">
        <f t="shared" si="1"/>
        <v>6522 LEEDALE ST,Houston,Texas</v>
      </c>
      <c r="D660" s="6" t="s">
        <v>1281</v>
      </c>
      <c r="E660" s="6" t="s">
        <v>25</v>
      </c>
      <c r="F660" s="6" t="s">
        <v>26</v>
      </c>
      <c r="G660" s="6" t="s">
        <v>326</v>
      </c>
      <c r="H660" s="6" t="s">
        <v>50</v>
      </c>
      <c r="I660" s="6" t="str">
        <f>VLOOKUP(H660,'Flow Location'!$A$1:$B$21,2,FALSE)</f>
        <v>Contained On Site, not within 5 ft. of Bayou/Surface Water/Drainage Ditch</v>
      </c>
      <c r="J660" s="5">
        <v>0.0</v>
      </c>
      <c r="K660" s="6" t="s">
        <v>45</v>
      </c>
      <c r="L660" s="6" t="str">
        <f>VLOOKUP(K660,'Structure type'!$A$1:$B$15,2,FALSE)</f>
        <v>City Cleanout</v>
      </c>
      <c r="M660" s="6" t="s">
        <v>56</v>
      </c>
      <c r="N660" s="6" t="str">
        <f>VLOOKUP(M660,'Excursion Cause'!$A$1:$B$34,2,FALSE)</f>
        <v>Rags/Wipes</v>
      </c>
      <c r="O660" s="10">
        <v>44502.0</v>
      </c>
      <c r="P660" s="6" t="s">
        <v>492</v>
      </c>
      <c r="Q660" s="10">
        <v>44502.0</v>
      </c>
      <c r="R660" s="6" t="s">
        <v>492</v>
      </c>
      <c r="S660" s="5">
        <v>0.0</v>
      </c>
      <c r="T660" s="6" t="s">
        <v>89</v>
      </c>
      <c r="U660" s="5">
        <v>2.0210211E7</v>
      </c>
      <c r="V660" s="5">
        <v>2.0210211E7</v>
      </c>
      <c r="W660" s="5">
        <v>29.8755690830001</v>
      </c>
      <c r="X660" s="5">
        <v>-95.2918187229999</v>
      </c>
    </row>
    <row r="661" ht="15.75" customHeight="1">
      <c r="A661" s="5">
        <v>12369.0</v>
      </c>
      <c r="B661" s="6">
        <v>2021.0</v>
      </c>
      <c r="C661" s="6" t="str">
        <f t="shared" si="1"/>
        <v>2385 W BELLFORT AVE,Houston,Texas</v>
      </c>
      <c r="D661" s="6" t="s">
        <v>1282</v>
      </c>
      <c r="E661" s="6" t="s">
        <v>25</v>
      </c>
      <c r="F661" s="6" t="s">
        <v>26</v>
      </c>
      <c r="G661" s="6" t="s">
        <v>426</v>
      </c>
      <c r="H661" s="6" t="s">
        <v>50</v>
      </c>
      <c r="I661" s="6" t="str">
        <f>VLOOKUP(H661,'Flow Location'!$A$1:$B$21,2,FALSE)</f>
        <v>Contained On Site, not within 5 ft. of Bayou/Surface Water/Drainage Ditch</v>
      </c>
      <c r="J661" s="5">
        <v>0.0</v>
      </c>
      <c r="K661" s="6" t="s">
        <v>29</v>
      </c>
      <c r="L661" s="6" t="str">
        <f>VLOOKUP(K661,'Structure type'!$A$1:$B$15,2,FALSE)</f>
        <v>Manhole</v>
      </c>
      <c r="M661" s="6" t="s">
        <v>977</v>
      </c>
      <c r="N661" s="6" t="str">
        <f>VLOOKUP(M661,'Excursion Cause'!$A$1:$B$34,2,FALSE)</f>
        <v>Pump/Lift Station Electrical Failure</v>
      </c>
      <c r="O661" s="7">
        <v>44498.0</v>
      </c>
      <c r="P661" s="6" t="s">
        <v>219</v>
      </c>
      <c r="Q661" s="7">
        <v>44498.0</v>
      </c>
      <c r="R661" s="6" t="s">
        <v>219</v>
      </c>
      <c r="S661" s="5">
        <v>0.0</v>
      </c>
      <c r="T661" s="6" t="s">
        <v>98</v>
      </c>
      <c r="U661" s="5">
        <v>2.0211029E7</v>
      </c>
      <c r="V661" s="5">
        <v>2.0211029E7</v>
      </c>
      <c r="W661" s="5">
        <v>29.6730046600001</v>
      </c>
      <c r="X661" s="5">
        <v>-95.414231875</v>
      </c>
    </row>
    <row r="662" ht="15.75" customHeight="1">
      <c r="A662" s="5">
        <v>12372.0</v>
      </c>
      <c r="B662" s="6">
        <v>2021.0</v>
      </c>
      <c r="C662" s="6" t="str">
        <f t="shared" si="1"/>
        <v>5771 BELNEATH ST,Houston,Texas</v>
      </c>
      <c r="D662" s="6" t="s">
        <v>1283</v>
      </c>
      <c r="E662" s="6" t="s">
        <v>25</v>
      </c>
      <c r="F662" s="6" t="s">
        <v>26</v>
      </c>
      <c r="G662" s="6" t="s">
        <v>120</v>
      </c>
      <c r="H662" s="6" t="s">
        <v>50</v>
      </c>
      <c r="I662" s="6" t="str">
        <f>VLOOKUP(H662,'Flow Location'!$A$1:$B$21,2,FALSE)</f>
        <v>Contained On Site, not within 5 ft. of Bayou/Surface Water/Drainage Ditch</v>
      </c>
      <c r="J662" s="5">
        <v>107.0</v>
      </c>
      <c r="K662" s="6" t="s">
        <v>29</v>
      </c>
      <c r="L662" s="6" t="str">
        <f>VLOOKUP(K662,'Structure type'!$A$1:$B$15,2,FALSE)</f>
        <v>Manhole</v>
      </c>
      <c r="M662" s="6" t="s">
        <v>30</v>
      </c>
      <c r="N662" s="6" t="str">
        <f>VLOOKUP(M662,'Excursion Cause'!$A$1:$B$34,2,FALSE)</f>
        <v>Grease Blockage</v>
      </c>
      <c r="O662" s="10">
        <v>44503.0</v>
      </c>
      <c r="P662" s="6" t="s">
        <v>373</v>
      </c>
      <c r="Q662" s="10">
        <v>44503.0</v>
      </c>
      <c r="R662" s="6" t="s">
        <v>152</v>
      </c>
      <c r="S662" s="5">
        <v>1.0</v>
      </c>
      <c r="T662" s="6" t="s">
        <v>59</v>
      </c>
      <c r="U662" s="5">
        <v>2.0210311E7</v>
      </c>
      <c r="V662" s="5">
        <v>2.0210311E7</v>
      </c>
      <c r="W662" s="5">
        <v>29.6625139700001</v>
      </c>
      <c r="X662" s="5">
        <v>-95.333264803</v>
      </c>
    </row>
    <row r="663" ht="15.75" customHeight="1">
      <c r="A663" s="5">
        <v>12377.0</v>
      </c>
      <c r="B663" s="6">
        <v>2021.0</v>
      </c>
      <c r="C663" s="6" t="str">
        <f t="shared" si="1"/>
        <v>10118 VALENCIA DR,Houston,Texas</v>
      </c>
      <c r="D663" s="6" t="s">
        <v>1284</v>
      </c>
      <c r="E663" s="6" t="s">
        <v>25</v>
      </c>
      <c r="F663" s="6" t="s">
        <v>26</v>
      </c>
      <c r="G663" s="6" t="s">
        <v>656</v>
      </c>
      <c r="H663" s="6" t="s">
        <v>50</v>
      </c>
      <c r="I663" s="6" t="str">
        <f>VLOOKUP(H663,'Flow Location'!$A$1:$B$21,2,FALSE)</f>
        <v>Contained On Site, not within 5 ft. of Bayou/Surface Water/Drainage Ditch</v>
      </c>
      <c r="J663" s="5">
        <v>0.0</v>
      </c>
      <c r="K663" s="6" t="s">
        <v>45</v>
      </c>
      <c r="L663" s="6" t="str">
        <f>VLOOKUP(K663,'Structure type'!$A$1:$B$15,2,FALSE)</f>
        <v>City Cleanout</v>
      </c>
      <c r="M663" s="6" t="s">
        <v>56</v>
      </c>
      <c r="N663" s="6" t="str">
        <f>VLOOKUP(M663,'Excursion Cause'!$A$1:$B$34,2,FALSE)</f>
        <v>Rags/Wipes</v>
      </c>
      <c r="O663" s="10">
        <v>44503.0</v>
      </c>
      <c r="P663" s="6" t="s">
        <v>331</v>
      </c>
      <c r="Q663" s="10">
        <v>44503.0</v>
      </c>
      <c r="R663" s="6" t="s">
        <v>331</v>
      </c>
      <c r="S663" s="5">
        <v>0.0</v>
      </c>
      <c r="T663" s="6" t="s">
        <v>89</v>
      </c>
      <c r="U663" s="5">
        <v>2.0210311E7</v>
      </c>
      <c r="V663" s="5">
        <v>2.0210311E7</v>
      </c>
      <c r="W663" s="5">
        <v>29.7758153820001</v>
      </c>
      <c r="X663" s="5">
        <v>-95.250372307</v>
      </c>
    </row>
    <row r="664" ht="15.75" customHeight="1">
      <c r="A664" s="5">
        <v>12379.0</v>
      </c>
      <c r="B664" s="6">
        <v>2021.0</v>
      </c>
      <c r="C664" s="6" t="str">
        <f t="shared" si="1"/>
        <v>4200 W 34TH ST,Houston,Texas</v>
      </c>
      <c r="D664" s="6" t="s">
        <v>1222</v>
      </c>
      <c r="E664" s="6" t="s">
        <v>25</v>
      </c>
      <c r="F664" s="6" t="s">
        <v>26</v>
      </c>
      <c r="G664" s="6" t="s">
        <v>76</v>
      </c>
      <c r="H664" s="6" t="s">
        <v>28</v>
      </c>
      <c r="I664" s="6" t="str">
        <f>VLOOKUP(H664,'Flow Location'!$A$1:$B$21,2,FALSE)</f>
        <v>Storm Sewer (not contained)</v>
      </c>
      <c r="J664" s="5">
        <v>1292.0</v>
      </c>
      <c r="K664" s="6" t="s">
        <v>29</v>
      </c>
      <c r="L664" s="6" t="str">
        <f>VLOOKUP(K664,'Structure type'!$A$1:$B$15,2,FALSE)</f>
        <v>Manhole</v>
      </c>
      <c r="M664" s="6" t="s">
        <v>30</v>
      </c>
      <c r="N664" s="6" t="str">
        <f>VLOOKUP(M664,'Excursion Cause'!$A$1:$B$34,2,FALSE)</f>
        <v>Grease Blockage</v>
      </c>
      <c r="O664" s="10">
        <v>44503.0</v>
      </c>
      <c r="P664" s="6" t="s">
        <v>318</v>
      </c>
      <c r="Q664" s="10">
        <v>44503.0</v>
      </c>
      <c r="R664" s="6" t="s">
        <v>537</v>
      </c>
      <c r="S664" s="5">
        <v>4.0</v>
      </c>
      <c r="T664" s="6" t="s">
        <v>59</v>
      </c>
      <c r="U664" s="5">
        <v>2.0210311E7</v>
      </c>
      <c r="V664" s="5">
        <v>2.0210311E7</v>
      </c>
      <c r="W664" s="5">
        <v>29.8180949170001</v>
      </c>
      <c r="X664" s="5">
        <v>-95.453568332</v>
      </c>
    </row>
    <row r="665" ht="15.75" customHeight="1">
      <c r="A665" s="5">
        <v>12381.0</v>
      </c>
      <c r="B665" s="6">
        <v>2021.0</v>
      </c>
      <c r="C665" s="6" t="str">
        <f t="shared" si="1"/>
        <v>12502 OLD KATY RD,Houston,Texas</v>
      </c>
      <c r="D665" s="6" t="s">
        <v>1285</v>
      </c>
      <c r="E665" s="6" t="s">
        <v>25</v>
      </c>
      <c r="F665" s="6" t="s">
        <v>26</v>
      </c>
      <c r="G665" s="6" t="s">
        <v>520</v>
      </c>
      <c r="H665" s="6" t="s">
        <v>50</v>
      </c>
      <c r="I665" s="6" t="str">
        <f>VLOOKUP(H665,'Flow Location'!$A$1:$B$21,2,FALSE)</f>
        <v>Contained On Site, not within 5 ft. of Bayou/Surface Water/Drainage Ditch</v>
      </c>
      <c r="J665" s="5">
        <v>2196.0</v>
      </c>
      <c r="K665" s="6" t="s">
        <v>290</v>
      </c>
      <c r="L665" s="6" t="str">
        <f>VLOOKUP(K665,'Structure type'!$A$1:$B$15,2,FALSE)</f>
        <v>Gravity Main</v>
      </c>
      <c r="M665" s="6" t="s">
        <v>81</v>
      </c>
      <c r="N665" s="6" t="str">
        <f>VLOOKUP(M665,'Excursion Cause'!$A$1:$B$34,2,FALSE)</f>
        <v>Collection system structural failure</v>
      </c>
      <c r="O665" s="10">
        <v>44503.0</v>
      </c>
      <c r="P665" s="6" t="s">
        <v>466</v>
      </c>
      <c r="Q665" s="10">
        <v>44503.0</v>
      </c>
      <c r="R665" s="6" t="s">
        <v>537</v>
      </c>
      <c r="S665" s="5">
        <v>12.0</v>
      </c>
      <c r="T665" s="6" t="s">
        <v>107</v>
      </c>
      <c r="U665" s="5">
        <v>2.0210311E7</v>
      </c>
      <c r="V665" s="5">
        <v>2.0210311E7</v>
      </c>
      <c r="W665" s="5">
        <v>29.784140037</v>
      </c>
      <c r="X665" s="5">
        <v>-95.456839956</v>
      </c>
    </row>
    <row r="666" ht="15.75" customHeight="1">
      <c r="A666" s="5">
        <v>12390.0</v>
      </c>
      <c r="B666" s="6">
        <v>2021.0</v>
      </c>
      <c r="C666" s="6" t="str">
        <f t="shared" si="1"/>
        <v>4311 YELLOWSTONE BLVD,Houston,Texas</v>
      </c>
      <c r="D666" s="6" t="s">
        <v>1197</v>
      </c>
      <c r="E666" s="6" t="s">
        <v>25</v>
      </c>
      <c r="F666" s="6" t="s">
        <v>26</v>
      </c>
      <c r="G666" s="6" t="s">
        <v>238</v>
      </c>
      <c r="H666" s="6" t="s">
        <v>50</v>
      </c>
      <c r="I666" s="6" t="str">
        <f>VLOOKUP(H666,'Flow Location'!$A$1:$B$21,2,FALSE)</f>
        <v>Contained On Site, not within 5 ft. of Bayou/Surface Water/Drainage Ditch</v>
      </c>
      <c r="J666" s="5">
        <v>150.0</v>
      </c>
      <c r="K666" s="6" t="s">
        <v>45</v>
      </c>
      <c r="L666" s="6" t="str">
        <f>VLOOKUP(K666,'Structure type'!$A$1:$B$15,2,FALSE)</f>
        <v>City Cleanout</v>
      </c>
      <c r="M666" s="6" t="s">
        <v>56</v>
      </c>
      <c r="N666" s="6" t="str">
        <f>VLOOKUP(M666,'Excursion Cause'!$A$1:$B$34,2,FALSE)</f>
        <v>Rags/Wipes</v>
      </c>
      <c r="O666" s="10">
        <v>44503.0</v>
      </c>
      <c r="P666" s="6" t="s">
        <v>315</v>
      </c>
      <c r="Q666" s="10">
        <v>44503.0</v>
      </c>
      <c r="R666" s="6" t="s">
        <v>129</v>
      </c>
      <c r="S666" s="5">
        <v>3.0</v>
      </c>
      <c r="T666" s="6" t="s">
        <v>74</v>
      </c>
      <c r="U666" s="5">
        <v>2.0210311E7</v>
      </c>
      <c r="V666" s="5">
        <v>2.0210311E7</v>
      </c>
      <c r="W666" s="5">
        <v>29.691330367</v>
      </c>
      <c r="X666" s="5">
        <v>-95.3539229259999</v>
      </c>
    </row>
    <row r="667" ht="15.75" customHeight="1">
      <c r="A667" s="5">
        <v>12392.0</v>
      </c>
      <c r="B667" s="6">
        <v>2021.0</v>
      </c>
      <c r="C667" s="6" t="str">
        <f t="shared" si="1"/>
        <v>10202 HILLENBERG LN,Houston,Texas</v>
      </c>
      <c r="D667" s="6" t="s">
        <v>1286</v>
      </c>
      <c r="E667" s="6" t="s">
        <v>25</v>
      </c>
      <c r="F667" s="6" t="s">
        <v>26</v>
      </c>
      <c r="G667" s="6" t="s">
        <v>49</v>
      </c>
      <c r="H667" s="6" t="s">
        <v>28</v>
      </c>
      <c r="I667" s="6" t="str">
        <f>VLOOKUP(H667,'Flow Location'!$A$1:$B$21,2,FALSE)</f>
        <v>Storm Sewer (not contained)</v>
      </c>
      <c r="J667" s="5">
        <v>262.0</v>
      </c>
      <c r="K667" s="6" t="s">
        <v>29</v>
      </c>
      <c r="L667" s="6" t="str">
        <f>VLOOKUP(K667,'Structure type'!$A$1:$B$15,2,FALSE)</f>
        <v>Manhole</v>
      </c>
      <c r="M667" s="6" t="s">
        <v>30</v>
      </c>
      <c r="N667" s="6" t="str">
        <f>VLOOKUP(M667,'Excursion Cause'!$A$1:$B$34,2,FALSE)</f>
        <v>Grease Blockage</v>
      </c>
      <c r="O667" s="10">
        <v>44504.0</v>
      </c>
      <c r="P667" s="6" t="s">
        <v>732</v>
      </c>
      <c r="Q667" s="10">
        <v>44504.0</v>
      </c>
      <c r="R667" s="6" t="s">
        <v>374</v>
      </c>
      <c r="S667" s="5">
        <v>2.0</v>
      </c>
      <c r="T667" s="6" t="s">
        <v>33</v>
      </c>
      <c r="U667" s="5">
        <v>2.0210411E7</v>
      </c>
      <c r="V667" s="5">
        <v>2.0210411E7</v>
      </c>
      <c r="W667" s="5">
        <v>29.619618743</v>
      </c>
      <c r="X667" s="5">
        <v>-95.198451027</v>
      </c>
    </row>
    <row r="668" ht="15.75" customHeight="1">
      <c r="A668" s="5">
        <v>12395.0</v>
      </c>
      <c r="B668" s="6">
        <v>2021.0</v>
      </c>
      <c r="C668" s="6" t="str">
        <f t="shared" si="1"/>
        <v>13367 EMPORIA ST,Houston,Texas</v>
      </c>
      <c r="D668" s="6" t="s">
        <v>1287</v>
      </c>
      <c r="E668" s="6" t="s">
        <v>25</v>
      </c>
      <c r="F668" s="6" t="s">
        <v>26</v>
      </c>
      <c r="G668" s="6" t="s">
        <v>623</v>
      </c>
      <c r="H668" s="6" t="s">
        <v>50</v>
      </c>
      <c r="I668" s="6" t="str">
        <f>VLOOKUP(H668,'Flow Location'!$A$1:$B$21,2,FALSE)</f>
        <v>Contained On Site, not within 5 ft. of Bayou/Surface Water/Drainage Ditch</v>
      </c>
      <c r="J668" s="5">
        <v>0.0</v>
      </c>
      <c r="K668" s="6" t="s">
        <v>29</v>
      </c>
      <c r="L668" s="6" t="str">
        <f>VLOOKUP(K668,'Structure type'!$A$1:$B$15,2,FALSE)</f>
        <v>Manhole</v>
      </c>
      <c r="M668" s="6" t="s">
        <v>30</v>
      </c>
      <c r="N668" s="6" t="str">
        <f>VLOOKUP(M668,'Excursion Cause'!$A$1:$B$34,2,FALSE)</f>
        <v>Grease Blockage</v>
      </c>
      <c r="O668" s="10">
        <v>44504.0</v>
      </c>
      <c r="P668" s="6" t="s">
        <v>288</v>
      </c>
      <c r="Q668" s="10">
        <v>44504.0</v>
      </c>
      <c r="R668" s="6" t="s">
        <v>288</v>
      </c>
      <c r="S668" s="5">
        <v>0.0</v>
      </c>
      <c r="T668" s="6" t="s">
        <v>33</v>
      </c>
      <c r="U668" s="5">
        <v>2.0210411E7</v>
      </c>
      <c r="V668" s="5">
        <v>2.0210411E7</v>
      </c>
      <c r="W668" s="5">
        <v>29.779845863</v>
      </c>
      <c r="X668" s="5">
        <v>-95.1878635099999</v>
      </c>
    </row>
    <row r="669" ht="15.75" customHeight="1">
      <c r="A669" s="5">
        <v>12405.0</v>
      </c>
      <c r="B669" s="6">
        <v>2021.0</v>
      </c>
      <c r="C669" s="6" t="str">
        <f t="shared" si="1"/>
        <v>7438 DALLAS ST,Houston,Texas</v>
      </c>
      <c r="D669" s="6" t="s">
        <v>1288</v>
      </c>
      <c r="E669" s="6" t="s">
        <v>25</v>
      </c>
      <c r="F669" s="6" t="s">
        <v>26</v>
      </c>
      <c r="G669" s="6" t="s">
        <v>227</v>
      </c>
      <c r="H669" s="6" t="s">
        <v>28</v>
      </c>
      <c r="I669" s="6" t="str">
        <f>VLOOKUP(H669,'Flow Location'!$A$1:$B$21,2,FALSE)</f>
        <v>Storm Sewer (not contained)</v>
      </c>
      <c r="J669" s="5">
        <v>163.0</v>
      </c>
      <c r="K669" s="6" t="s">
        <v>29</v>
      </c>
      <c r="L669" s="6" t="str">
        <f>VLOOKUP(K669,'Structure type'!$A$1:$B$15,2,FALSE)</f>
        <v>Manhole</v>
      </c>
      <c r="M669" s="6" t="s">
        <v>30</v>
      </c>
      <c r="N669" s="6" t="str">
        <f>VLOOKUP(M669,'Excursion Cause'!$A$1:$B$34,2,FALSE)</f>
        <v>Grease Blockage</v>
      </c>
      <c r="O669" s="10">
        <v>44505.0</v>
      </c>
      <c r="P669" s="6" t="s">
        <v>113</v>
      </c>
      <c r="Q669" s="10">
        <v>44505.0</v>
      </c>
      <c r="R669" s="6" t="s">
        <v>215</v>
      </c>
      <c r="S669" s="5">
        <v>1.0</v>
      </c>
      <c r="T669" s="6" t="s">
        <v>33</v>
      </c>
      <c r="U669" s="5">
        <v>2.0210511E7</v>
      </c>
      <c r="V669" s="5">
        <v>2.0210511E7</v>
      </c>
      <c r="W669" s="5">
        <v>29.728718558</v>
      </c>
      <c r="X669" s="5">
        <v>-95.295361586</v>
      </c>
    </row>
    <row r="670" ht="15.75" customHeight="1">
      <c r="A670" s="5">
        <v>12409.0</v>
      </c>
      <c r="B670" s="6">
        <v>2021.0</v>
      </c>
      <c r="C670" s="6" t="str">
        <f t="shared" si="1"/>
        <v>11902 PANAY DR,Houston,Texas</v>
      </c>
      <c r="D670" s="6" t="s">
        <v>1289</v>
      </c>
      <c r="E670" s="6" t="s">
        <v>25</v>
      </c>
      <c r="F670" s="6" t="s">
        <v>26</v>
      </c>
      <c r="G670" s="6" t="s">
        <v>301</v>
      </c>
      <c r="H670" s="6" t="s">
        <v>50</v>
      </c>
      <c r="I670" s="6" t="str">
        <f>VLOOKUP(H670,'Flow Location'!$A$1:$B$21,2,FALSE)</f>
        <v>Contained On Site, not within 5 ft. of Bayou/Surface Water/Drainage Ditch</v>
      </c>
      <c r="J670" s="5">
        <v>167.0</v>
      </c>
      <c r="K670" s="6" t="s">
        <v>29</v>
      </c>
      <c r="L670" s="6" t="str">
        <f>VLOOKUP(K670,'Structure type'!$A$1:$B$15,2,FALSE)</f>
        <v>Manhole</v>
      </c>
      <c r="M670" s="6" t="s">
        <v>30</v>
      </c>
      <c r="N670" s="6" t="str">
        <f>VLOOKUP(M670,'Excursion Cause'!$A$1:$B$34,2,FALSE)</f>
        <v>Grease Blockage</v>
      </c>
      <c r="O670" s="10">
        <v>44506.0</v>
      </c>
      <c r="P670" s="6" t="s">
        <v>1290</v>
      </c>
      <c r="Q670" s="10">
        <v>44506.0</v>
      </c>
      <c r="R670" s="6" t="s">
        <v>549</v>
      </c>
      <c r="S670" s="5">
        <v>1.0</v>
      </c>
      <c r="T670" s="6" t="s">
        <v>59</v>
      </c>
      <c r="U670" s="5">
        <v>2.0210611E7</v>
      </c>
      <c r="V670" s="5">
        <v>2.0210611E7</v>
      </c>
      <c r="W670" s="5">
        <v>29.6306782030001</v>
      </c>
      <c r="X670" s="5">
        <v>-95.34746073</v>
      </c>
    </row>
    <row r="671" ht="15.75" customHeight="1">
      <c r="A671" s="5">
        <v>12413.0</v>
      </c>
      <c r="B671" s="6">
        <v>2021.0</v>
      </c>
      <c r="C671" s="6" t="str">
        <f t="shared" si="1"/>
        <v>317 EASTWOOD ST,Houston,Texas</v>
      </c>
      <c r="D671" s="6" t="s">
        <v>1291</v>
      </c>
      <c r="E671" s="6" t="s">
        <v>25</v>
      </c>
      <c r="F671" s="6" t="s">
        <v>26</v>
      </c>
      <c r="G671" s="6" t="s">
        <v>227</v>
      </c>
      <c r="H671" s="6" t="s">
        <v>50</v>
      </c>
      <c r="I671" s="6" t="str">
        <f>VLOOKUP(H671,'Flow Location'!$A$1:$B$21,2,FALSE)</f>
        <v>Contained On Site, not within 5 ft. of Bayou/Surface Water/Drainage Ditch</v>
      </c>
      <c r="J671" s="5">
        <v>212.0</v>
      </c>
      <c r="K671" s="6" t="s">
        <v>45</v>
      </c>
      <c r="L671" s="6" t="str">
        <f>VLOOKUP(K671,'Structure type'!$A$1:$B$15,2,FALSE)</f>
        <v>City Cleanout</v>
      </c>
      <c r="M671" s="6" t="s">
        <v>56</v>
      </c>
      <c r="N671" s="6" t="str">
        <f>VLOOKUP(M671,'Excursion Cause'!$A$1:$B$34,2,FALSE)</f>
        <v>Rags/Wipes</v>
      </c>
      <c r="O671" s="10">
        <v>44508.0</v>
      </c>
      <c r="P671" s="6" t="s">
        <v>1292</v>
      </c>
      <c r="Q671" s="10">
        <v>44508.0</v>
      </c>
      <c r="R671" s="6" t="s">
        <v>117</v>
      </c>
      <c r="S671" s="5">
        <v>1.0</v>
      </c>
      <c r="T671" s="6" t="s">
        <v>74</v>
      </c>
      <c r="U671" s="5">
        <v>2.0210811E7</v>
      </c>
      <c r="V671" s="5">
        <v>2.0210811E7</v>
      </c>
      <c r="W671" s="5">
        <v>29.745168462</v>
      </c>
      <c r="X671" s="5">
        <v>-95.331652376</v>
      </c>
    </row>
    <row r="672" ht="15.75" customHeight="1">
      <c r="A672" s="5">
        <v>12417.0</v>
      </c>
      <c r="B672" s="6">
        <v>2021.0</v>
      </c>
      <c r="C672" s="6" t="str">
        <f t="shared" si="1"/>
        <v>4121 VAUGHN ST,Houston,Texas</v>
      </c>
      <c r="D672" s="6" t="s">
        <v>1293</v>
      </c>
      <c r="E672" s="6" t="s">
        <v>25</v>
      </c>
      <c r="F672" s="6" t="s">
        <v>26</v>
      </c>
      <c r="G672" s="6" t="s">
        <v>326</v>
      </c>
      <c r="H672" s="6" t="s">
        <v>44</v>
      </c>
      <c r="I672" s="6" t="str">
        <f>VLOOKUP(H672,'Flow Location'!$A$1:$B$21,2,FALSE)</f>
        <v>Bayou/surface water/drainage ditch</v>
      </c>
      <c r="J672" s="5">
        <v>0.0</v>
      </c>
      <c r="K672" s="6" t="s">
        <v>198</v>
      </c>
      <c r="L672" s="6" t="str">
        <f>VLOOKUP(K672,'Structure type'!$A$1:$B$15,2,FALSE)</f>
        <v>Service Lateral</v>
      </c>
      <c r="M672" s="6" t="s">
        <v>81</v>
      </c>
      <c r="N672" s="6" t="str">
        <f>VLOOKUP(M672,'Excursion Cause'!$A$1:$B$34,2,FALSE)</f>
        <v>Collection system structural failure</v>
      </c>
      <c r="O672" s="10">
        <v>44508.0</v>
      </c>
      <c r="P672" s="6" t="s">
        <v>1294</v>
      </c>
      <c r="Q672" s="10">
        <v>44508.0</v>
      </c>
      <c r="R672" s="6" t="s">
        <v>1294</v>
      </c>
      <c r="S672" s="5">
        <v>0.0</v>
      </c>
      <c r="T672" s="6" t="s">
        <v>89</v>
      </c>
      <c r="U672" s="5">
        <v>2.0210811E7</v>
      </c>
      <c r="V672" s="5">
        <v>2.0210811E7</v>
      </c>
      <c r="W672" s="5">
        <v>29.826183706</v>
      </c>
      <c r="X672" s="5">
        <v>-95.32952748</v>
      </c>
    </row>
    <row r="673" ht="15.75" customHeight="1">
      <c r="A673" s="5">
        <v>12420.0</v>
      </c>
      <c r="B673" s="6">
        <v>2021.0</v>
      </c>
      <c r="C673" s="6" t="str">
        <f t="shared" si="1"/>
        <v>6043 WESTOVER ST,Houston,Texas</v>
      </c>
      <c r="D673" s="6" t="s">
        <v>1295</v>
      </c>
      <c r="E673" s="6" t="s">
        <v>25</v>
      </c>
      <c r="F673" s="6" t="s">
        <v>26</v>
      </c>
      <c r="G673" s="6" t="s">
        <v>120</v>
      </c>
      <c r="H673" s="6" t="s">
        <v>50</v>
      </c>
      <c r="I673" s="6" t="str">
        <f>VLOOKUP(H673,'Flow Location'!$A$1:$B$21,2,FALSE)</f>
        <v>Contained On Site, not within 5 ft. of Bayou/Surface Water/Drainage Ditch</v>
      </c>
      <c r="J673" s="5">
        <v>0.0</v>
      </c>
      <c r="K673" s="6" t="s">
        <v>45</v>
      </c>
      <c r="L673" s="6" t="str">
        <f>VLOOKUP(K673,'Structure type'!$A$1:$B$15,2,FALSE)</f>
        <v>City Cleanout</v>
      </c>
      <c r="M673" s="6" t="s">
        <v>52</v>
      </c>
      <c r="N673" s="6" t="str">
        <f>VLOOKUP(M673,'Excursion Cause'!$A$1:$B$34,2,FALSE)</f>
        <v>Collection system structural blockage</v>
      </c>
      <c r="O673" s="10">
        <v>44508.0</v>
      </c>
      <c r="P673" s="6" t="s">
        <v>40</v>
      </c>
      <c r="Q673" s="10">
        <v>44508.0</v>
      </c>
      <c r="R673" s="6" t="s">
        <v>40</v>
      </c>
      <c r="S673" s="5">
        <v>0.0</v>
      </c>
      <c r="T673" s="6" t="s">
        <v>74</v>
      </c>
      <c r="U673" s="5">
        <v>2.0210811E7</v>
      </c>
      <c r="V673" s="5">
        <v>2.0210811E7</v>
      </c>
      <c r="W673" s="5">
        <v>29.663231587</v>
      </c>
      <c r="X673" s="5">
        <v>-95.321599373</v>
      </c>
    </row>
    <row r="674" ht="15.75" customHeight="1">
      <c r="A674" s="5">
        <v>12427.0</v>
      </c>
      <c r="B674" s="6">
        <v>2021.0</v>
      </c>
      <c r="C674" s="6" t="str">
        <f t="shared" si="1"/>
        <v>6202 HERON DR,Houston,Texas</v>
      </c>
      <c r="D674" s="6" t="s">
        <v>1296</v>
      </c>
      <c r="E674" s="6" t="s">
        <v>25</v>
      </c>
      <c r="F674" s="6" t="s">
        <v>26</v>
      </c>
      <c r="G674" s="6" t="s">
        <v>35</v>
      </c>
      <c r="H674" s="6" t="s">
        <v>50</v>
      </c>
      <c r="I674" s="6" t="str">
        <f>VLOOKUP(H674,'Flow Location'!$A$1:$B$21,2,FALSE)</f>
        <v>Contained On Site, not within 5 ft. of Bayou/Surface Water/Drainage Ditch</v>
      </c>
      <c r="J674" s="5">
        <v>0.0</v>
      </c>
      <c r="K674" s="6" t="s">
        <v>29</v>
      </c>
      <c r="L674" s="6" t="str">
        <f>VLOOKUP(K674,'Structure type'!$A$1:$B$15,2,FALSE)</f>
        <v>Manhole</v>
      </c>
      <c r="M674" s="6" t="s">
        <v>30</v>
      </c>
      <c r="N674" s="6" t="str">
        <f>VLOOKUP(M674,'Excursion Cause'!$A$1:$B$34,2,FALSE)</f>
        <v>Grease Blockage</v>
      </c>
      <c r="O674" s="10">
        <v>44508.0</v>
      </c>
      <c r="P674" s="6" t="s">
        <v>888</v>
      </c>
      <c r="Q674" s="10">
        <v>44508.0</v>
      </c>
      <c r="R674" s="6" t="s">
        <v>888</v>
      </c>
      <c r="S674" s="5">
        <v>0.0</v>
      </c>
      <c r="T674" s="6" t="s">
        <v>33</v>
      </c>
      <c r="U674" s="5">
        <v>2.0210811E7</v>
      </c>
      <c r="V674" s="5">
        <v>2.0210811E7</v>
      </c>
      <c r="W674" s="5">
        <v>29.660288994</v>
      </c>
      <c r="X674" s="5">
        <v>-95.315278496</v>
      </c>
    </row>
    <row r="675" ht="15.75" customHeight="1">
      <c r="A675" s="5">
        <v>12430.0</v>
      </c>
      <c r="B675" s="6">
        <v>2021.0</v>
      </c>
      <c r="C675" s="6" t="str">
        <f t="shared" si="1"/>
        <v>2800 S DAIRY ASHFORD ST,Houston,Texas</v>
      </c>
      <c r="D675" s="6" t="s">
        <v>1297</v>
      </c>
      <c r="E675" s="6" t="s">
        <v>25</v>
      </c>
      <c r="F675" s="6" t="s">
        <v>26</v>
      </c>
      <c r="G675" s="6" t="s">
        <v>313</v>
      </c>
      <c r="H675" s="6" t="s">
        <v>50</v>
      </c>
      <c r="I675" s="6" t="str">
        <f>VLOOKUP(H675,'Flow Location'!$A$1:$B$21,2,FALSE)</f>
        <v>Contained On Site, not within 5 ft. of Bayou/Surface Water/Drainage Ditch</v>
      </c>
      <c r="J675" s="5">
        <v>320.0</v>
      </c>
      <c r="K675" s="6" t="s">
        <v>29</v>
      </c>
      <c r="L675" s="6" t="str">
        <f>VLOOKUP(K675,'Structure type'!$A$1:$B$15,2,FALSE)</f>
        <v>Manhole</v>
      </c>
      <c r="M675" s="6" t="s">
        <v>30</v>
      </c>
      <c r="N675" s="6" t="str">
        <f>VLOOKUP(M675,'Excursion Cause'!$A$1:$B$34,2,FALSE)</f>
        <v>Grease Blockage</v>
      </c>
      <c r="O675" s="10">
        <v>44509.0</v>
      </c>
      <c r="P675" s="6" t="s">
        <v>1298</v>
      </c>
      <c r="Q675" s="10">
        <v>44509.0</v>
      </c>
      <c r="R675" s="6" t="s">
        <v>192</v>
      </c>
      <c r="S675" s="5">
        <v>1.0</v>
      </c>
      <c r="T675" s="6" t="s">
        <v>33</v>
      </c>
      <c r="U675" s="5">
        <v>2.0210911E7</v>
      </c>
      <c r="V675" s="5">
        <v>2.0210911E7</v>
      </c>
      <c r="W675" s="5">
        <v>29.732767358</v>
      </c>
      <c r="X675" s="5">
        <v>-95.605935925</v>
      </c>
    </row>
    <row r="676" ht="15.75" customHeight="1">
      <c r="A676" s="5">
        <v>12431.0</v>
      </c>
      <c r="B676" s="6">
        <v>2021.0</v>
      </c>
      <c r="C676" s="6" t="str">
        <f t="shared" si="1"/>
        <v>1000 GREENS RD,Houston,Texas</v>
      </c>
      <c r="D676" s="6" t="s">
        <v>1269</v>
      </c>
      <c r="E676" s="6" t="s">
        <v>25</v>
      </c>
      <c r="F676" s="6" t="s">
        <v>26</v>
      </c>
      <c r="G676" s="6" t="s">
        <v>393</v>
      </c>
      <c r="H676" s="6" t="s">
        <v>28</v>
      </c>
      <c r="I676" s="6" t="str">
        <f>VLOOKUP(H676,'Flow Location'!$A$1:$B$21,2,FALSE)</f>
        <v>Storm Sewer (not contained)</v>
      </c>
      <c r="J676" s="5">
        <v>805.0</v>
      </c>
      <c r="K676" s="6" t="s">
        <v>29</v>
      </c>
      <c r="L676" s="6" t="str">
        <f>VLOOKUP(K676,'Structure type'!$A$1:$B$15,2,FALSE)</f>
        <v>Manhole</v>
      </c>
      <c r="M676" s="6" t="s">
        <v>30</v>
      </c>
      <c r="N676" s="6" t="str">
        <f>VLOOKUP(M676,'Excursion Cause'!$A$1:$B$34,2,FALSE)</f>
        <v>Grease Blockage</v>
      </c>
      <c r="O676" s="10">
        <v>44509.0</v>
      </c>
      <c r="P676" s="6" t="s">
        <v>732</v>
      </c>
      <c r="Q676" s="10">
        <v>44509.0</v>
      </c>
      <c r="R676" s="6" t="s">
        <v>125</v>
      </c>
      <c r="S676" s="5">
        <v>5.0</v>
      </c>
      <c r="T676" s="6" t="s">
        <v>59</v>
      </c>
      <c r="U676" s="5">
        <v>2.0210911E7</v>
      </c>
      <c r="V676" s="5">
        <v>2.0210911E7</v>
      </c>
      <c r="W676" s="5">
        <v>29.950637408</v>
      </c>
      <c r="X676" s="5">
        <v>-95.3898658679999</v>
      </c>
    </row>
    <row r="677" ht="15.75" customHeight="1">
      <c r="A677" s="5">
        <v>12439.0</v>
      </c>
      <c r="B677" s="6">
        <v>2021.0</v>
      </c>
      <c r="C677" s="6" t="str">
        <f t="shared" si="1"/>
        <v>11235 VAILVIEW DR,Houston,Texas</v>
      </c>
      <c r="D677" s="6" t="s">
        <v>1299</v>
      </c>
      <c r="E677" s="6" t="s">
        <v>25</v>
      </c>
      <c r="F677" s="6" t="s">
        <v>26</v>
      </c>
      <c r="G677" s="6" t="s">
        <v>326</v>
      </c>
      <c r="H677" s="6" t="s">
        <v>50</v>
      </c>
      <c r="I677" s="6" t="str">
        <f>VLOOKUP(H677,'Flow Location'!$A$1:$B$21,2,FALSE)</f>
        <v>Contained On Site, not within 5 ft. of Bayou/Surface Water/Drainage Ditch</v>
      </c>
      <c r="J677" s="5">
        <v>0.0</v>
      </c>
      <c r="K677" s="6" t="s">
        <v>190</v>
      </c>
      <c r="L677" s="6" t="str">
        <f>VLOOKUP(K677,'Structure type'!$A$1:$B$15,2,FALSE)</f>
        <v>Force Main</v>
      </c>
      <c r="M677" s="6" t="s">
        <v>81</v>
      </c>
      <c r="N677" s="6" t="str">
        <f>VLOOKUP(M677,'Excursion Cause'!$A$1:$B$34,2,FALSE)</f>
        <v>Collection system structural failure</v>
      </c>
      <c r="O677" s="10">
        <v>44510.0</v>
      </c>
      <c r="P677" s="6" t="s">
        <v>597</v>
      </c>
      <c r="Q677" s="10">
        <v>44510.0</v>
      </c>
      <c r="R677" s="6" t="s">
        <v>597</v>
      </c>
      <c r="S677" s="5">
        <v>0.0</v>
      </c>
      <c r="T677" s="6" t="s">
        <v>118</v>
      </c>
      <c r="U677" s="5">
        <v>2.0211011E7</v>
      </c>
      <c r="V677" s="5">
        <v>2.0211011E7</v>
      </c>
      <c r="W677" s="5">
        <v>29.882448949</v>
      </c>
      <c r="X677" s="5">
        <v>-95.288910286</v>
      </c>
    </row>
    <row r="678" ht="15.75" customHeight="1">
      <c r="A678" s="5">
        <v>12441.0</v>
      </c>
      <c r="B678" s="6">
        <v>2021.0</v>
      </c>
      <c r="C678" s="6" t="str">
        <f t="shared" si="1"/>
        <v>5170 CRIPPLE CREEK DR,Houston,Texas</v>
      </c>
      <c r="D678" s="6" t="s">
        <v>1300</v>
      </c>
      <c r="E678" s="6" t="s">
        <v>25</v>
      </c>
      <c r="F678" s="6" t="s">
        <v>26</v>
      </c>
      <c r="G678" s="6" t="s">
        <v>135</v>
      </c>
      <c r="H678" s="6" t="s">
        <v>28</v>
      </c>
      <c r="I678" s="6" t="str">
        <f>VLOOKUP(H678,'Flow Location'!$A$1:$B$21,2,FALSE)</f>
        <v>Storm Sewer (not contained)</v>
      </c>
      <c r="J678" s="5">
        <v>1220.0</v>
      </c>
      <c r="K678" s="6" t="s">
        <v>29</v>
      </c>
      <c r="L678" s="6" t="str">
        <f>VLOOKUP(K678,'Structure type'!$A$1:$B$15,2,FALSE)</f>
        <v>Manhole</v>
      </c>
      <c r="M678" s="6" t="s">
        <v>30</v>
      </c>
      <c r="N678" s="6" t="str">
        <f>VLOOKUP(M678,'Excursion Cause'!$A$1:$B$34,2,FALSE)</f>
        <v>Grease Blockage</v>
      </c>
      <c r="O678" s="10">
        <v>44510.0</v>
      </c>
      <c r="P678" s="6" t="s">
        <v>1301</v>
      </c>
      <c r="Q678" s="10">
        <v>44510.0</v>
      </c>
      <c r="R678" s="6" t="s">
        <v>780</v>
      </c>
      <c r="S678" s="5">
        <v>5.0</v>
      </c>
      <c r="T678" s="6" t="s">
        <v>54</v>
      </c>
      <c r="U678" s="5">
        <v>2.0211011E7</v>
      </c>
      <c r="V678" s="5">
        <v>2.0211011E7</v>
      </c>
      <c r="W678" s="5">
        <v>29.6815074890001</v>
      </c>
      <c r="X678" s="5">
        <v>-95.246832713</v>
      </c>
    </row>
    <row r="679" ht="15.75" customHeight="1">
      <c r="A679" s="5">
        <v>12442.0</v>
      </c>
      <c r="B679" s="6">
        <v>2021.0</v>
      </c>
      <c r="C679" s="6" t="str">
        <f t="shared" si="1"/>
        <v>12114 PECAN MEADOW DR,Houston,Texas</v>
      </c>
      <c r="D679" s="6" t="s">
        <v>1302</v>
      </c>
      <c r="E679" s="6" t="s">
        <v>25</v>
      </c>
      <c r="F679" s="6" t="s">
        <v>26</v>
      </c>
      <c r="G679" s="6" t="s">
        <v>148</v>
      </c>
      <c r="H679" s="6" t="s">
        <v>50</v>
      </c>
      <c r="I679" s="6" t="str">
        <f>VLOOKUP(H679,'Flow Location'!$A$1:$B$21,2,FALSE)</f>
        <v>Contained On Site, not within 5 ft. of Bayou/Surface Water/Drainage Ditch</v>
      </c>
      <c r="J679" s="5">
        <v>524.0</v>
      </c>
      <c r="K679" s="6" t="s">
        <v>29</v>
      </c>
      <c r="L679" s="6" t="str">
        <f>VLOOKUP(K679,'Structure type'!$A$1:$B$15,2,FALSE)</f>
        <v>Manhole</v>
      </c>
      <c r="M679" s="6" t="s">
        <v>30</v>
      </c>
      <c r="N679" s="6" t="str">
        <f>VLOOKUP(M679,'Excursion Cause'!$A$1:$B$34,2,FALSE)</f>
        <v>Grease Blockage</v>
      </c>
      <c r="O679" s="10">
        <v>44510.0</v>
      </c>
      <c r="P679" s="6" t="s">
        <v>369</v>
      </c>
      <c r="Q679" s="10">
        <v>44510.0</v>
      </c>
      <c r="R679" s="6" t="s">
        <v>1039</v>
      </c>
      <c r="S679" s="5">
        <v>2.0</v>
      </c>
      <c r="T679" s="6" t="s">
        <v>33</v>
      </c>
      <c r="U679" s="5">
        <v>2.0211011E7</v>
      </c>
      <c r="V679" s="5">
        <v>2.0211011E7</v>
      </c>
      <c r="W679" s="5">
        <v>29.6459201910001</v>
      </c>
      <c r="X679" s="5">
        <v>-95.530278336</v>
      </c>
    </row>
    <row r="680" ht="15.75" customHeight="1">
      <c r="A680" s="5">
        <v>12444.0</v>
      </c>
      <c r="B680" s="6">
        <v>2021.0</v>
      </c>
      <c r="C680" s="6" t="str">
        <f t="shared" si="1"/>
        <v>7019 SUR CT,Houston,Texas</v>
      </c>
      <c r="D680" s="6" t="s">
        <v>1303</v>
      </c>
      <c r="E680" s="6" t="s">
        <v>25</v>
      </c>
      <c r="F680" s="6" t="s">
        <v>26</v>
      </c>
      <c r="G680" s="6" t="s">
        <v>120</v>
      </c>
      <c r="H680" s="6" t="s">
        <v>50</v>
      </c>
      <c r="I680" s="6" t="str">
        <f>VLOOKUP(H680,'Flow Location'!$A$1:$B$21,2,FALSE)</f>
        <v>Contained On Site, not within 5 ft. of Bayou/Surface Water/Drainage Ditch</v>
      </c>
      <c r="J680" s="5">
        <v>308.0</v>
      </c>
      <c r="K680" s="6" t="s">
        <v>29</v>
      </c>
      <c r="L680" s="6" t="str">
        <f>VLOOKUP(K680,'Structure type'!$A$1:$B$15,2,FALSE)</f>
        <v>Manhole</v>
      </c>
      <c r="M680" s="6" t="s">
        <v>30</v>
      </c>
      <c r="N680" s="6" t="str">
        <f>VLOOKUP(M680,'Excursion Cause'!$A$1:$B$34,2,FALSE)</f>
        <v>Grease Blockage</v>
      </c>
      <c r="O680" s="10">
        <v>44510.0</v>
      </c>
      <c r="P680" s="6" t="s">
        <v>1021</v>
      </c>
      <c r="Q680" s="10">
        <v>44512.0</v>
      </c>
      <c r="R680" s="6" t="s">
        <v>1304</v>
      </c>
      <c r="S680" s="5">
        <v>0.0</v>
      </c>
      <c r="T680" s="6" t="s">
        <v>107</v>
      </c>
      <c r="U680" s="5">
        <v>2.0211011E7</v>
      </c>
      <c r="V680" s="5">
        <v>2.0211211E7</v>
      </c>
      <c r="W680" s="5">
        <v>29.675677665</v>
      </c>
      <c r="X680" s="5">
        <v>-95.337516775</v>
      </c>
    </row>
    <row r="681" ht="15.75" customHeight="1">
      <c r="A681" s="5">
        <v>12445.0</v>
      </c>
      <c r="B681" s="6">
        <v>2021.0</v>
      </c>
      <c r="C681" s="6" t="str">
        <f t="shared" si="1"/>
        <v>2461 TIM ST,Houston,Texas</v>
      </c>
      <c r="D681" s="6" t="s">
        <v>1305</v>
      </c>
      <c r="E681" s="6" t="s">
        <v>25</v>
      </c>
      <c r="F681" s="6" t="s">
        <v>26</v>
      </c>
      <c r="G681" s="6" t="s">
        <v>109</v>
      </c>
      <c r="H681" s="6" t="s">
        <v>44</v>
      </c>
      <c r="I681" s="6" t="str">
        <f>VLOOKUP(H681,'Flow Location'!$A$1:$B$21,2,FALSE)</f>
        <v>Bayou/surface water/drainage ditch</v>
      </c>
      <c r="J681" s="5">
        <v>0.0</v>
      </c>
      <c r="K681" s="6" t="s">
        <v>29</v>
      </c>
      <c r="L681" s="6" t="str">
        <f>VLOOKUP(K681,'Structure type'!$A$1:$B$15,2,FALSE)</f>
        <v>Manhole</v>
      </c>
      <c r="M681" s="6" t="s">
        <v>30</v>
      </c>
      <c r="N681" s="6" t="str">
        <f>VLOOKUP(M681,'Excursion Cause'!$A$1:$B$34,2,FALSE)</f>
        <v>Grease Blockage</v>
      </c>
      <c r="O681" s="10">
        <v>44510.0</v>
      </c>
      <c r="P681" s="6" t="s">
        <v>854</v>
      </c>
      <c r="Q681" s="10">
        <v>44510.0</v>
      </c>
      <c r="R681" s="6" t="s">
        <v>854</v>
      </c>
      <c r="S681" s="5">
        <v>0.0</v>
      </c>
      <c r="T681" s="6" t="s">
        <v>33</v>
      </c>
      <c r="U681" s="5">
        <v>2.0211011E7</v>
      </c>
      <c r="V681" s="5">
        <v>2.0211011E7</v>
      </c>
      <c r="W681" s="5">
        <v>29.850389259</v>
      </c>
      <c r="X681" s="5">
        <v>-95.345846878</v>
      </c>
    </row>
    <row r="682" ht="15.75" customHeight="1">
      <c r="A682" s="5">
        <v>12447.0</v>
      </c>
      <c r="B682" s="6">
        <v>2021.0</v>
      </c>
      <c r="C682" s="6" t="str">
        <f t="shared" si="1"/>
        <v>13367 EMPORIA ST,Houston,Texas</v>
      </c>
      <c r="D682" s="6" t="s">
        <v>1287</v>
      </c>
      <c r="E682" s="6" t="s">
        <v>25</v>
      </c>
      <c r="F682" s="6" t="s">
        <v>26</v>
      </c>
      <c r="G682" s="6" t="s">
        <v>623</v>
      </c>
      <c r="H682" s="6" t="s">
        <v>50</v>
      </c>
      <c r="I682" s="6" t="str">
        <f>VLOOKUP(H682,'Flow Location'!$A$1:$B$21,2,FALSE)</f>
        <v>Contained On Site, not within 5 ft. of Bayou/Surface Water/Drainage Ditch</v>
      </c>
      <c r="J682" s="5">
        <v>341.0</v>
      </c>
      <c r="K682" s="6" t="s">
        <v>29</v>
      </c>
      <c r="L682" s="6" t="str">
        <f>VLOOKUP(K682,'Structure type'!$A$1:$B$15,2,FALSE)</f>
        <v>Manhole</v>
      </c>
      <c r="M682" s="6" t="s">
        <v>30</v>
      </c>
      <c r="N682" s="6" t="str">
        <f>VLOOKUP(M682,'Excursion Cause'!$A$1:$B$34,2,FALSE)</f>
        <v>Grease Blockage</v>
      </c>
      <c r="O682" s="8">
        <v>44511.0</v>
      </c>
      <c r="P682" s="6" t="s">
        <v>573</v>
      </c>
      <c r="Q682" s="8">
        <v>44511.0</v>
      </c>
      <c r="R682" s="6" t="s">
        <v>1306</v>
      </c>
      <c r="S682" s="5">
        <v>1.0</v>
      </c>
      <c r="T682" s="6" t="s">
        <v>33</v>
      </c>
      <c r="U682" s="5">
        <v>2.0211111E7</v>
      </c>
      <c r="V682" s="5">
        <v>2.0211111E7</v>
      </c>
      <c r="W682" s="5">
        <v>29.779845863</v>
      </c>
      <c r="X682" s="5">
        <v>-95.1878635099999</v>
      </c>
    </row>
    <row r="683" ht="15.75" customHeight="1">
      <c r="A683" s="5">
        <v>12458.0</v>
      </c>
      <c r="B683" s="6">
        <v>2021.0</v>
      </c>
      <c r="C683" s="6" t="str">
        <f t="shared" si="1"/>
        <v>5551 ROYALTON ST,Houston,Texas</v>
      </c>
      <c r="D683" s="6" t="s">
        <v>611</v>
      </c>
      <c r="E683" s="6" t="s">
        <v>25</v>
      </c>
      <c r="F683" s="6" t="s">
        <v>26</v>
      </c>
      <c r="G683" s="6" t="s">
        <v>287</v>
      </c>
      <c r="H683" s="6" t="s">
        <v>28</v>
      </c>
      <c r="I683" s="6" t="str">
        <f>VLOOKUP(H683,'Flow Location'!$A$1:$B$21,2,FALSE)</f>
        <v>Storm Sewer (not contained)</v>
      </c>
      <c r="J683" s="5">
        <v>558.0</v>
      </c>
      <c r="K683" s="6" t="s">
        <v>29</v>
      </c>
      <c r="L683" s="6" t="str">
        <f>VLOOKUP(K683,'Structure type'!$A$1:$B$15,2,FALSE)</f>
        <v>Manhole</v>
      </c>
      <c r="M683" s="6" t="s">
        <v>30</v>
      </c>
      <c r="N683" s="6" t="str">
        <f>VLOOKUP(M683,'Excursion Cause'!$A$1:$B$34,2,FALSE)</f>
        <v>Grease Blockage</v>
      </c>
      <c r="O683" s="10">
        <v>44512.0</v>
      </c>
      <c r="P683" s="6" t="s">
        <v>1307</v>
      </c>
      <c r="Q683" s="10">
        <v>44512.0</v>
      </c>
      <c r="R683" s="6" t="s">
        <v>615</v>
      </c>
      <c r="S683" s="5">
        <v>3.0</v>
      </c>
      <c r="T683" s="6" t="s">
        <v>33</v>
      </c>
      <c r="U683" s="5">
        <v>2.0211211E7</v>
      </c>
      <c r="V683" s="5">
        <v>2.0211211E7</v>
      </c>
      <c r="W683" s="5">
        <v>29.721895031</v>
      </c>
      <c r="X683" s="5">
        <v>-95.4722613609999</v>
      </c>
    </row>
    <row r="684" ht="15.75" customHeight="1">
      <c r="A684" s="5">
        <v>12459.0</v>
      </c>
      <c r="B684" s="6">
        <v>2021.0</v>
      </c>
      <c r="C684" s="6" t="str">
        <f t="shared" si="1"/>
        <v>1314 ROXELLA ST,Houston,Texas</v>
      </c>
      <c r="D684" s="6" t="s">
        <v>1308</v>
      </c>
      <c r="E684" s="6" t="s">
        <v>25</v>
      </c>
      <c r="F684" s="6" t="s">
        <v>26</v>
      </c>
      <c r="G684" s="6" t="s">
        <v>275</v>
      </c>
      <c r="H684" s="6" t="s">
        <v>44</v>
      </c>
      <c r="I684" s="6" t="str">
        <f>VLOOKUP(H684,'Flow Location'!$A$1:$B$21,2,FALSE)</f>
        <v>Bayou/surface water/drainage ditch</v>
      </c>
      <c r="J684" s="5">
        <v>193.0</v>
      </c>
      <c r="K684" s="6" t="s">
        <v>29</v>
      </c>
      <c r="L684" s="6" t="str">
        <f>VLOOKUP(K684,'Structure type'!$A$1:$B$15,2,FALSE)</f>
        <v>Manhole</v>
      </c>
      <c r="M684" s="6" t="s">
        <v>30</v>
      </c>
      <c r="N684" s="6" t="str">
        <f>VLOOKUP(M684,'Excursion Cause'!$A$1:$B$34,2,FALSE)</f>
        <v>Grease Blockage</v>
      </c>
      <c r="O684" s="10">
        <v>44512.0</v>
      </c>
      <c r="P684" s="6" t="s">
        <v>82</v>
      </c>
      <c r="Q684" s="10">
        <v>44512.0</v>
      </c>
      <c r="R684" s="6" t="s">
        <v>562</v>
      </c>
      <c r="S684" s="5">
        <v>1.0</v>
      </c>
      <c r="T684" s="6" t="s">
        <v>33</v>
      </c>
      <c r="U684" s="5">
        <v>2.0211211E7</v>
      </c>
      <c r="V684" s="5">
        <v>2.0211211E7</v>
      </c>
      <c r="W684" s="5">
        <v>29.8564502130001</v>
      </c>
      <c r="X684" s="5">
        <v>-95.3624711259999</v>
      </c>
    </row>
    <row r="685" ht="15.75" customHeight="1">
      <c r="A685" s="5">
        <v>12460.0</v>
      </c>
      <c r="B685" s="6">
        <v>2021.0</v>
      </c>
      <c r="C685" s="6" t="str">
        <f t="shared" si="1"/>
        <v>8823 TIMBERSIDE DR,Houston,Texas</v>
      </c>
      <c r="D685" s="6" t="s">
        <v>1309</v>
      </c>
      <c r="E685" s="6" t="s">
        <v>25</v>
      </c>
      <c r="F685" s="6" t="s">
        <v>26</v>
      </c>
      <c r="G685" s="6" t="s">
        <v>65</v>
      </c>
      <c r="H685" s="6" t="s">
        <v>50</v>
      </c>
      <c r="I685" s="6" t="str">
        <f>VLOOKUP(H685,'Flow Location'!$A$1:$B$21,2,FALSE)</f>
        <v>Contained On Site, not within 5 ft. of Bayou/Surface Water/Drainage Ditch</v>
      </c>
      <c r="J685" s="5">
        <v>305.0</v>
      </c>
      <c r="K685" s="6" t="s">
        <v>29</v>
      </c>
      <c r="L685" s="6" t="str">
        <f>VLOOKUP(K685,'Structure type'!$A$1:$B$15,2,FALSE)</f>
        <v>Manhole</v>
      </c>
      <c r="M685" s="6" t="s">
        <v>30</v>
      </c>
      <c r="N685" s="6" t="str">
        <f>VLOOKUP(M685,'Excursion Cause'!$A$1:$B$34,2,FALSE)</f>
        <v>Grease Blockage</v>
      </c>
      <c r="O685" s="10">
        <v>44512.0</v>
      </c>
      <c r="P685" s="6" t="s">
        <v>780</v>
      </c>
      <c r="Q685" s="11">
        <v>44513.0</v>
      </c>
      <c r="R685" s="6" t="s">
        <v>374</v>
      </c>
      <c r="S685" s="5">
        <v>0.0</v>
      </c>
      <c r="T685" s="6" t="s">
        <v>33</v>
      </c>
      <c r="U685" s="5">
        <v>2.0211211E7</v>
      </c>
      <c r="V685" s="5">
        <v>2.0211113E7</v>
      </c>
      <c r="W685" s="5">
        <v>29.6874194280001</v>
      </c>
      <c r="X685" s="5">
        <v>-95.431346304</v>
      </c>
    </row>
    <row r="686" ht="15.75" customHeight="1">
      <c r="A686" s="5">
        <v>12464.0</v>
      </c>
      <c r="B686" s="6">
        <v>2021.0</v>
      </c>
      <c r="C686" s="6" t="str">
        <f t="shared" si="1"/>
        <v>1635 KIRKWOOD RD,Houston,Texas</v>
      </c>
      <c r="D686" s="6" t="s">
        <v>1310</v>
      </c>
      <c r="E686" s="6" t="s">
        <v>25</v>
      </c>
      <c r="F686" s="6" t="s">
        <v>26</v>
      </c>
      <c r="G686" s="6" t="s">
        <v>347</v>
      </c>
      <c r="H686" s="6" t="s">
        <v>44</v>
      </c>
      <c r="I686" s="6" t="str">
        <f>VLOOKUP(H686,'Flow Location'!$A$1:$B$21,2,FALSE)</f>
        <v>Bayou/surface water/drainage ditch</v>
      </c>
      <c r="J686" s="5">
        <v>226.0</v>
      </c>
      <c r="K686" s="6" t="s">
        <v>29</v>
      </c>
      <c r="L686" s="6" t="str">
        <f>VLOOKUP(K686,'Structure type'!$A$1:$B$15,2,FALSE)</f>
        <v>Manhole</v>
      </c>
      <c r="M686" s="6" t="s">
        <v>30</v>
      </c>
      <c r="N686" s="6" t="str">
        <f>VLOOKUP(M686,'Excursion Cause'!$A$1:$B$34,2,FALSE)</f>
        <v>Grease Blockage</v>
      </c>
      <c r="O686" s="7">
        <v>44513.0</v>
      </c>
      <c r="P686" s="6" t="s">
        <v>810</v>
      </c>
      <c r="Q686" s="7">
        <v>44513.0</v>
      </c>
      <c r="R686" s="6" t="s">
        <v>315</v>
      </c>
      <c r="S686" s="5">
        <v>1.0</v>
      </c>
      <c r="T686" s="6" t="s">
        <v>33</v>
      </c>
      <c r="U686" s="5">
        <v>2.0211113E7</v>
      </c>
      <c r="V686" s="5">
        <v>2.0211113E7</v>
      </c>
      <c r="W686" s="5">
        <v>29.752103607</v>
      </c>
      <c r="X686" s="5">
        <v>-95.585460009</v>
      </c>
    </row>
    <row r="687" ht="15.75" customHeight="1">
      <c r="A687" s="5">
        <v>12468.0</v>
      </c>
      <c r="B687" s="6">
        <v>2021.0</v>
      </c>
      <c r="C687" s="6" t="str">
        <f t="shared" si="1"/>
        <v>2247 STANMORE DR,Houston,Texas</v>
      </c>
      <c r="D687" s="6" t="s">
        <v>1311</v>
      </c>
      <c r="E687" s="6" t="s">
        <v>25</v>
      </c>
      <c r="F687" s="6" t="s">
        <v>26</v>
      </c>
      <c r="G687" s="6" t="s">
        <v>80</v>
      </c>
      <c r="H687" s="6" t="s">
        <v>50</v>
      </c>
      <c r="I687" s="6" t="str">
        <f>VLOOKUP(H687,'Flow Location'!$A$1:$B$21,2,FALSE)</f>
        <v>Contained On Site, not within 5 ft. of Bayou/Surface Water/Drainage Ditch</v>
      </c>
      <c r="J687" s="5">
        <v>0.0</v>
      </c>
      <c r="K687" s="6" t="s">
        <v>29</v>
      </c>
      <c r="L687" s="6" t="str">
        <f>VLOOKUP(K687,'Structure type'!$A$1:$B$15,2,FALSE)</f>
        <v>Manhole</v>
      </c>
      <c r="M687" s="6" t="s">
        <v>30</v>
      </c>
      <c r="N687" s="6" t="str">
        <f>VLOOKUP(M687,'Excursion Cause'!$A$1:$B$34,2,FALSE)</f>
        <v>Grease Blockage</v>
      </c>
      <c r="O687" s="7">
        <v>44513.0</v>
      </c>
      <c r="P687" s="6" t="s">
        <v>510</v>
      </c>
      <c r="Q687" s="7">
        <v>44513.0</v>
      </c>
      <c r="R687" s="6" t="s">
        <v>510</v>
      </c>
      <c r="S687" s="5">
        <v>0.0</v>
      </c>
      <c r="T687" s="6" t="s">
        <v>59</v>
      </c>
      <c r="U687" s="5">
        <v>2.0211113E7</v>
      </c>
      <c r="V687" s="5">
        <v>2.0211113E7</v>
      </c>
      <c r="W687" s="5">
        <v>29.74992733</v>
      </c>
      <c r="X687" s="5">
        <v>-95.4148912969999</v>
      </c>
    </row>
    <row r="688" ht="15.75" customHeight="1">
      <c r="A688" s="5">
        <v>12469.0</v>
      </c>
      <c r="B688" s="6">
        <v>2021.0</v>
      </c>
      <c r="C688" s="6" t="str">
        <f t="shared" si="1"/>
        <v>1740 PASADENA ST,Houston,Texas</v>
      </c>
      <c r="D688" s="6" t="s">
        <v>576</v>
      </c>
      <c r="E688" s="6" t="s">
        <v>25</v>
      </c>
      <c r="F688" s="6" t="s">
        <v>26</v>
      </c>
      <c r="G688" s="6" t="s">
        <v>141</v>
      </c>
      <c r="H688" s="6" t="s">
        <v>50</v>
      </c>
      <c r="I688" s="6" t="str">
        <f>VLOOKUP(H688,'Flow Location'!$A$1:$B$21,2,FALSE)</f>
        <v>Contained On Site, not within 5 ft. of Bayou/Surface Water/Drainage Ditch</v>
      </c>
      <c r="J688" s="5">
        <v>1128.0</v>
      </c>
      <c r="K688" s="6" t="s">
        <v>198</v>
      </c>
      <c r="L688" s="6" t="str">
        <f>VLOOKUP(K688,'Structure type'!$A$1:$B$15,2,FALSE)</f>
        <v>Service Lateral</v>
      </c>
      <c r="M688" s="6" t="s">
        <v>81</v>
      </c>
      <c r="N688" s="6" t="str">
        <f>VLOOKUP(M688,'Excursion Cause'!$A$1:$B$34,2,FALSE)</f>
        <v>Collection system structural failure</v>
      </c>
      <c r="O688" s="7">
        <v>44513.0</v>
      </c>
      <c r="P688" s="6" t="s">
        <v>488</v>
      </c>
      <c r="Q688" s="7">
        <v>44514.0</v>
      </c>
      <c r="R688" s="6" t="s">
        <v>1294</v>
      </c>
      <c r="S688" s="5">
        <v>1.0</v>
      </c>
      <c r="T688" s="6" t="s">
        <v>118</v>
      </c>
      <c r="U688" s="5">
        <v>2.0211113E7</v>
      </c>
      <c r="V688" s="5">
        <v>2.0211114E7</v>
      </c>
      <c r="W688" s="5">
        <v>29.7264284550001</v>
      </c>
      <c r="X688" s="5">
        <v>-95.2987350499999</v>
      </c>
    </row>
    <row r="689" ht="15.75" customHeight="1">
      <c r="A689" s="5">
        <v>12473.0</v>
      </c>
      <c r="B689" s="6">
        <v>2021.0</v>
      </c>
      <c r="C689" s="6" t="str">
        <f t="shared" si="1"/>
        <v>2019 WALKER ST,Houston,Texas</v>
      </c>
      <c r="D689" s="6" t="s">
        <v>1312</v>
      </c>
      <c r="E689" s="6" t="s">
        <v>25</v>
      </c>
      <c r="F689" s="6" t="s">
        <v>26</v>
      </c>
      <c r="G689" s="6" t="s">
        <v>172</v>
      </c>
      <c r="H689" s="6" t="s">
        <v>50</v>
      </c>
      <c r="I689" s="6" t="str">
        <f>VLOOKUP(H689,'Flow Location'!$A$1:$B$21,2,FALSE)</f>
        <v>Contained On Site, not within 5 ft. of Bayou/Surface Water/Drainage Ditch</v>
      </c>
      <c r="J689" s="5">
        <v>0.0</v>
      </c>
      <c r="K689" s="6" t="s">
        <v>45</v>
      </c>
      <c r="L689" s="6" t="str">
        <f>VLOOKUP(K689,'Structure type'!$A$1:$B$15,2,FALSE)</f>
        <v>City Cleanout</v>
      </c>
      <c r="M689" s="6" t="s">
        <v>56</v>
      </c>
      <c r="N689" s="6" t="str">
        <f>VLOOKUP(M689,'Excursion Cause'!$A$1:$B$34,2,FALSE)</f>
        <v>Rags/Wipes</v>
      </c>
      <c r="O689" s="7">
        <v>44514.0</v>
      </c>
      <c r="P689" s="6" t="s">
        <v>532</v>
      </c>
      <c r="Q689" s="7">
        <v>44514.0</v>
      </c>
      <c r="R689" s="6" t="s">
        <v>532</v>
      </c>
      <c r="S689" s="5">
        <v>0.0</v>
      </c>
      <c r="T689" s="6" t="s">
        <v>270</v>
      </c>
      <c r="U689" s="5">
        <v>2.0211114E7</v>
      </c>
      <c r="V689" s="5">
        <v>2.0211114E7</v>
      </c>
      <c r="W689" s="5">
        <v>29.7521093490001</v>
      </c>
      <c r="X689" s="5">
        <v>-95.354977537</v>
      </c>
    </row>
    <row r="690" ht="15.75" customHeight="1">
      <c r="A690" s="5">
        <v>12474.0</v>
      </c>
      <c r="B690" s="6">
        <v>2021.0</v>
      </c>
      <c r="C690" s="6" t="str">
        <f t="shared" si="1"/>
        <v>7207 STONEGATE DR,Houston,Texas</v>
      </c>
      <c r="D690" s="6" t="s">
        <v>1187</v>
      </c>
      <c r="E690" s="6" t="s">
        <v>25</v>
      </c>
      <c r="F690" s="6" t="s">
        <v>26</v>
      </c>
      <c r="G690" s="6" t="s">
        <v>253</v>
      </c>
      <c r="H690" s="6" t="s">
        <v>28</v>
      </c>
      <c r="I690" s="6" t="str">
        <f>VLOOKUP(H690,'Flow Location'!$A$1:$B$21,2,FALSE)</f>
        <v>Storm Sewer (not contained)</v>
      </c>
      <c r="J690" s="5">
        <v>189.0</v>
      </c>
      <c r="K690" s="6" t="s">
        <v>29</v>
      </c>
      <c r="L690" s="6" t="str">
        <f>VLOOKUP(K690,'Structure type'!$A$1:$B$15,2,FALSE)</f>
        <v>Manhole</v>
      </c>
      <c r="M690" s="6" t="s">
        <v>30</v>
      </c>
      <c r="N690" s="6" t="str">
        <f>VLOOKUP(M690,'Excursion Cause'!$A$1:$B$34,2,FALSE)</f>
        <v>Grease Blockage</v>
      </c>
      <c r="O690" s="7">
        <v>44514.0</v>
      </c>
      <c r="P690" s="6" t="s">
        <v>491</v>
      </c>
      <c r="Q690" s="7">
        <v>44514.0</v>
      </c>
      <c r="R690" s="6" t="s">
        <v>245</v>
      </c>
      <c r="S690" s="5">
        <v>1.0</v>
      </c>
      <c r="T690" s="6" t="s">
        <v>59</v>
      </c>
      <c r="U690" s="5">
        <v>2.0211114E7</v>
      </c>
      <c r="V690" s="5">
        <v>2.0211114E7</v>
      </c>
      <c r="W690" s="5">
        <v>29.8701825360001</v>
      </c>
      <c r="X690" s="5">
        <v>-95.497588997</v>
      </c>
    </row>
    <row r="691" ht="15.75" customHeight="1">
      <c r="A691" s="5">
        <v>12475.0</v>
      </c>
      <c r="B691" s="6">
        <v>2021.0</v>
      </c>
      <c r="C691" s="6" t="str">
        <f t="shared" si="1"/>
        <v>6802 HENDON LN,Houston,Texas</v>
      </c>
      <c r="D691" s="6" t="s">
        <v>1313</v>
      </c>
      <c r="E691" s="6" t="s">
        <v>25</v>
      </c>
      <c r="F691" s="6" t="s">
        <v>26</v>
      </c>
      <c r="G691" s="6" t="s">
        <v>471</v>
      </c>
      <c r="H691" s="6" t="s">
        <v>50</v>
      </c>
      <c r="I691" s="6" t="str">
        <f>VLOOKUP(H691,'Flow Location'!$A$1:$B$21,2,FALSE)</f>
        <v>Contained On Site, not within 5 ft. of Bayou/Surface Water/Drainage Ditch</v>
      </c>
      <c r="J691" s="5">
        <v>134.0</v>
      </c>
      <c r="K691" s="6" t="s">
        <v>29</v>
      </c>
      <c r="L691" s="6" t="str">
        <f>VLOOKUP(K691,'Structure type'!$A$1:$B$15,2,FALSE)</f>
        <v>Manhole</v>
      </c>
      <c r="M691" s="6" t="s">
        <v>30</v>
      </c>
      <c r="N691" s="6" t="str">
        <f>VLOOKUP(M691,'Excursion Cause'!$A$1:$B$34,2,FALSE)</f>
        <v>Grease Blockage</v>
      </c>
      <c r="O691" s="7">
        <v>44514.0</v>
      </c>
      <c r="P691" s="6" t="s">
        <v>206</v>
      </c>
      <c r="Q691" s="7">
        <v>44514.0</v>
      </c>
      <c r="R691" s="6" t="s">
        <v>149</v>
      </c>
      <c r="S691" s="5">
        <v>1.0</v>
      </c>
      <c r="T691" s="6" t="s">
        <v>59</v>
      </c>
      <c r="U691" s="5">
        <v>2.0211114E7</v>
      </c>
      <c r="V691" s="5">
        <v>2.0211114E7</v>
      </c>
      <c r="W691" s="5">
        <v>29.6942257270001</v>
      </c>
      <c r="X691" s="5">
        <v>-95.503024829</v>
      </c>
    </row>
    <row r="692" ht="15.75" customHeight="1">
      <c r="A692" s="5">
        <v>12476.0</v>
      </c>
      <c r="B692" s="6">
        <v>2021.0</v>
      </c>
      <c r="C692" s="6" t="str">
        <f t="shared" si="1"/>
        <v>10906 SAGETRAIL DR,Houston,Texas</v>
      </c>
      <c r="D692" s="6" t="s">
        <v>1314</v>
      </c>
      <c r="E692" s="6" t="s">
        <v>25</v>
      </c>
      <c r="F692" s="6" t="s">
        <v>26</v>
      </c>
      <c r="G692" s="6" t="s">
        <v>477</v>
      </c>
      <c r="H692" s="6" t="s">
        <v>28</v>
      </c>
      <c r="I692" s="6" t="str">
        <f>VLOOKUP(H692,'Flow Location'!$A$1:$B$21,2,FALSE)</f>
        <v>Storm Sewer (not contained)</v>
      </c>
      <c r="J692" s="5">
        <v>525.0</v>
      </c>
      <c r="K692" s="6" t="s">
        <v>29</v>
      </c>
      <c r="L692" s="6" t="str">
        <f>VLOOKUP(K692,'Structure type'!$A$1:$B$15,2,FALSE)</f>
        <v>Manhole</v>
      </c>
      <c r="M692" s="6" t="s">
        <v>30</v>
      </c>
      <c r="N692" s="6" t="str">
        <f>VLOOKUP(M692,'Excursion Cause'!$A$1:$B$34,2,FALSE)</f>
        <v>Grease Blockage</v>
      </c>
      <c r="O692" s="7">
        <v>44514.0</v>
      </c>
      <c r="P692" s="6" t="s">
        <v>159</v>
      </c>
      <c r="Q692" s="7">
        <v>44514.0</v>
      </c>
      <c r="R692" s="6" t="s">
        <v>549</v>
      </c>
      <c r="S692" s="5">
        <v>4.0</v>
      </c>
      <c r="T692" s="6" t="s">
        <v>59</v>
      </c>
      <c r="U692" s="5">
        <v>2.0211114E7</v>
      </c>
      <c r="V692" s="5">
        <v>2.0211114E7</v>
      </c>
      <c r="W692" s="5">
        <v>29.5900872440001</v>
      </c>
      <c r="X692" s="5">
        <v>-95.2318548389999</v>
      </c>
    </row>
    <row r="693" ht="15.75" customHeight="1">
      <c r="A693" s="5">
        <v>12479.0</v>
      </c>
      <c r="B693" s="6">
        <v>2021.0</v>
      </c>
      <c r="C693" s="6" t="str">
        <f t="shared" si="1"/>
        <v>6635 TUSKEGEE ST,Houston,Texas</v>
      </c>
      <c r="D693" s="6" t="s">
        <v>1315</v>
      </c>
      <c r="E693" s="6" t="s">
        <v>25</v>
      </c>
      <c r="F693" s="6" t="s">
        <v>26</v>
      </c>
      <c r="G693" s="6" t="s">
        <v>222</v>
      </c>
      <c r="H693" s="6" t="s">
        <v>50</v>
      </c>
      <c r="I693" s="6" t="str">
        <f>VLOOKUP(H693,'Flow Location'!$A$1:$B$21,2,FALSE)</f>
        <v>Contained On Site, not within 5 ft. of Bayou/Surface Water/Drainage Ditch</v>
      </c>
      <c r="J693" s="5">
        <v>0.0</v>
      </c>
      <c r="K693" s="6" t="s">
        <v>45</v>
      </c>
      <c r="L693" s="6" t="str">
        <f>VLOOKUP(K693,'Structure type'!$A$1:$B$15,2,FALSE)</f>
        <v>City Cleanout</v>
      </c>
      <c r="M693" s="6" t="s">
        <v>56</v>
      </c>
      <c r="N693" s="6" t="str">
        <f>VLOOKUP(M693,'Excursion Cause'!$A$1:$B$34,2,FALSE)</f>
        <v>Rags/Wipes</v>
      </c>
      <c r="O693" s="7">
        <v>44514.0</v>
      </c>
      <c r="P693" s="6" t="s">
        <v>549</v>
      </c>
      <c r="Q693" s="7">
        <v>44514.0</v>
      </c>
      <c r="R693" s="6" t="s">
        <v>549</v>
      </c>
      <c r="S693" s="5">
        <v>0.0</v>
      </c>
      <c r="T693" s="6" t="s">
        <v>270</v>
      </c>
      <c r="U693" s="5">
        <v>2.0211114E7</v>
      </c>
      <c r="V693" s="5">
        <v>2.0211114E7</v>
      </c>
      <c r="W693" s="5">
        <v>29.860796942</v>
      </c>
      <c r="X693" s="5">
        <v>-95.425974603</v>
      </c>
    </row>
    <row r="694" ht="15.75" customHeight="1">
      <c r="A694" s="5">
        <v>12481.0</v>
      </c>
      <c r="B694" s="6">
        <v>2021.0</v>
      </c>
      <c r="C694" s="6" t="str">
        <f t="shared" si="1"/>
        <v>5810 FONDREN RD,Houston,Texas</v>
      </c>
      <c r="D694" s="6" t="s">
        <v>1316</v>
      </c>
      <c r="E694" s="6" t="s">
        <v>25</v>
      </c>
      <c r="F694" s="6" t="s">
        <v>26</v>
      </c>
      <c r="G694" s="6" t="s">
        <v>100</v>
      </c>
      <c r="H694" s="6" t="s">
        <v>28</v>
      </c>
      <c r="I694" s="6" t="str">
        <f>VLOOKUP(H694,'Flow Location'!$A$1:$B$21,2,FALSE)</f>
        <v>Storm Sewer (not contained)</v>
      </c>
      <c r="J694" s="5">
        <v>146.0</v>
      </c>
      <c r="K694" s="6" t="s">
        <v>29</v>
      </c>
      <c r="L694" s="6" t="str">
        <f>VLOOKUP(K694,'Structure type'!$A$1:$B$15,2,FALSE)</f>
        <v>Manhole</v>
      </c>
      <c r="M694" s="6" t="s">
        <v>30</v>
      </c>
      <c r="N694" s="6" t="str">
        <f>VLOOKUP(M694,'Excursion Cause'!$A$1:$B$34,2,FALSE)</f>
        <v>Grease Blockage</v>
      </c>
      <c r="O694" s="7">
        <v>44515.0</v>
      </c>
      <c r="P694" s="6" t="s">
        <v>610</v>
      </c>
      <c r="Q694" s="7">
        <v>44515.0</v>
      </c>
      <c r="R694" s="6" t="s">
        <v>765</v>
      </c>
      <c r="S694" s="5">
        <v>1.0</v>
      </c>
      <c r="T694" s="6" t="s">
        <v>59</v>
      </c>
      <c r="U694" s="5">
        <v>2.0211115E7</v>
      </c>
      <c r="V694" s="5">
        <v>2.0211115E7</v>
      </c>
      <c r="W694" s="5">
        <v>29.7173551700001</v>
      </c>
      <c r="X694" s="5">
        <v>-95.520086361</v>
      </c>
    </row>
    <row r="695" ht="15.75" customHeight="1">
      <c r="A695" s="5">
        <v>12483.0</v>
      </c>
      <c r="B695" s="6">
        <v>2021.0</v>
      </c>
      <c r="C695" s="6" t="str">
        <f t="shared" si="1"/>
        <v>327 OXFORD ST,Houston,Texas</v>
      </c>
      <c r="D695" s="6" t="s">
        <v>983</v>
      </c>
      <c r="E695" s="6" t="s">
        <v>25</v>
      </c>
      <c r="F695" s="6" t="s">
        <v>26</v>
      </c>
      <c r="G695" s="6" t="s">
        <v>158</v>
      </c>
      <c r="H695" s="6" t="s">
        <v>28</v>
      </c>
      <c r="I695" s="6" t="str">
        <f>VLOOKUP(H695,'Flow Location'!$A$1:$B$21,2,FALSE)</f>
        <v>Storm Sewer (not contained)</v>
      </c>
      <c r="J695" s="5">
        <v>216.0</v>
      </c>
      <c r="K695" s="6" t="s">
        <v>29</v>
      </c>
      <c r="L695" s="6" t="str">
        <f>VLOOKUP(K695,'Structure type'!$A$1:$B$15,2,FALSE)</f>
        <v>Manhole</v>
      </c>
      <c r="M695" s="6" t="s">
        <v>30</v>
      </c>
      <c r="N695" s="6" t="str">
        <f>VLOOKUP(M695,'Excursion Cause'!$A$1:$B$34,2,FALSE)</f>
        <v>Grease Blockage</v>
      </c>
      <c r="O695" s="7">
        <v>44515.0</v>
      </c>
      <c r="P695" s="6" t="s">
        <v>1317</v>
      </c>
      <c r="Q695" s="7">
        <v>44515.0</v>
      </c>
      <c r="R695" s="6" t="s">
        <v>315</v>
      </c>
      <c r="S695" s="5">
        <v>2.0</v>
      </c>
      <c r="T695" s="6" t="s">
        <v>33</v>
      </c>
      <c r="U695" s="5">
        <v>2.0211115E7</v>
      </c>
      <c r="V695" s="5">
        <v>2.0211115E7</v>
      </c>
      <c r="W695" s="5">
        <v>29.777334582</v>
      </c>
      <c r="X695" s="5">
        <v>-95.39181192</v>
      </c>
    </row>
    <row r="696" ht="15.75" customHeight="1">
      <c r="A696" s="5">
        <v>12485.0</v>
      </c>
      <c r="B696" s="6">
        <v>2021.0</v>
      </c>
      <c r="C696" s="6" t="str">
        <f t="shared" si="1"/>
        <v>7207 STONEGATE DR,Houston,Texas</v>
      </c>
      <c r="D696" s="6" t="s">
        <v>1187</v>
      </c>
      <c r="E696" s="6" t="s">
        <v>25</v>
      </c>
      <c r="F696" s="6" t="s">
        <v>26</v>
      </c>
      <c r="G696" s="6" t="s">
        <v>253</v>
      </c>
      <c r="H696" s="6" t="s">
        <v>28</v>
      </c>
      <c r="I696" s="6" t="str">
        <f>VLOOKUP(H696,'Flow Location'!$A$1:$B$21,2,FALSE)</f>
        <v>Storm Sewer (not contained)</v>
      </c>
      <c r="J696" s="5">
        <v>109.0</v>
      </c>
      <c r="K696" s="6" t="s">
        <v>29</v>
      </c>
      <c r="L696" s="6" t="str">
        <f>VLOOKUP(K696,'Structure type'!$A$1:$B$15,2,FALSE)</f>
        <v>Manhole</v>
      </c>
      <c r="M696" s="6" t="s">
        <v>30</v>
      </c>
      <c r="N696" s="6" t="str">
        <f>VLOOKUP(M696,'Excursion Cause'!$A$1:$B$34,2,FALSE)</f>
        <v>Grease Blockage</v>
      </c>
      <c r="O696" s="7">
        <v>44515.0</v>
      </c>
      <c r="P696" s="6" t="s">
        <v>1318</v>
      </c>
      <c r="Q696" s="7">
        <v>44515.0</v>
      </c>
      <c r="R696" s="6" t="s">
        <v>637</v>
      </c>
      <c r="S696" s="5">
        <v>1.0</v>
      </c>
      <c r="T696" s="6" t="s">
        <v>33</v>
      </c>
      <c r="U696" s="5">
        <v>2.0211115E7</v>
      </c>
      <c r="V696" s="5">
        <v>2.0211115E7</v>
      </c>
      <c r="W696" s="5">
        <v>29.8701825360001</v>
      </c>
      <c r="X696" s="5">
        <v>-95.497588997</v>
      </c>
    </row>
    <row r="697" ht="15.75" customHeight="1">
      <c r="A697" s="5">
        <v>12487.0</v>
      </c>
      <c r="B697" s="6">
        <v>2021.0</v>
      </c>
      <c r="C697" s="6" t="str">
        <f t="shared" si="1"/>
        <v>12686 COULSON ST,Houston,Texas</v>
      </c>
      <c r="D697" s="6" t="s">
        <v>1319</v>
      </c>
      <c r="E697" s="6" t="s">
        <v>25</v>
      </c>
      <c r="F697" s="6" t="s">
        <v>26</v>
      </c>
      <c r="G697" s="6" t="s">
        <v>623</v>
      </c>
      <c r="H697" s="6" t="s">
        <v>44</v>
      </c>
      <c r="I697" s="6" t="str">
        <f>VLOOKUP(H697,'Flow Location'!$A$1:$B$21,2,FALSE)</f>
        <v>Bayou/surface water/drainage ditch</v>
      </c>
      <c r="J697" s="5">
        <v>0.0</v>
      </c>
      <c r="K697" s="6" t="s">
        <v>45</v>
      </c>
      <c r="L697" s="6" t="str">
        <f>VLOOKUP(K697,'Structure type'!$A$1:$B$15,2,FALSE)</f>
        <v>City Cleanout</v>
      </c>
      <c r="M697" s="6" t="s">
        <v>96</v>
      </c>
      <c r="N697" s="6" t="str">
        <f>VLOOKUP(M697,'Excursion Cause'!$A$1:$B$34,2,FALSE)</f>
        <v>Collection system temporary blockage</v>
      </c>
      <c r="O697" s="7">
        <v>44515.0</v>
      </c>
      <c r="P697" s="6" t="s">
        <v>1051</v>
      </c>
      <c r="Q697" s="7">
        <v>44515.0</v>
      </c>
      <c r="R697" s="6" t="s">
        <v>1051</v>
      </c>
      <c r="S697" s="5">
        <v>0.0</v>
      </c>
      <c r="T697" s="6" t="s">
        <v>74</v>
      </c>
      <c r="U697" s="5">
        <v>2.0211115E7</v>
      </c>
      <c r="V697" s="5">
        <v>2.0211115E7</v>
      </c>
      <c r="W697" s="5">
        <v>29.762675073</v>
      </c>
      <c r="X697" s="5">
        <v>-95.208853555</v>
      </c>
    </row>
    <row r="698" ht="15.75" customHeight="1">
      <c r="A698" s="5">
        <v>12495.0</v>
      </c>
      <c r="B698" s="6">
        <v>2021.0</v>
      </c>
      <c r="C698" s="6" t="str">
        <f t="shared" si="1"/>
        <v>851 LATHROP ST,Houston,Texas</v>
      </c>
      <c r="D698" s="6" t="s">
        <v>1320</v>
      </c>
      <c r="E698" s="6" t="s">
        <v>25</v>
      </c>
      <c r="F698" s="6" t="s">
        <v>26</v>
      </c>
      <c r="G698" s="6" t="s">
        <v>86</v>
      </c>
      <c r="H698" s="6" t="s">
        <v>28</v>
      </c>
      <c r="I698" s="6" t="str">
        <f>VLOOKUP(H698,'Flow Location'!$A$1:$B$21,2,FALSE)</f>
        <v>Storm Sewer (not contained)</v>
      </c>
      <c r="J698" s="5">
        <v>371.0</v>
      </c>
      <c r="K698" s="6" t="s">
        <v>29</v>
      </c>
      <c r="L698" s="6" t="str">
        <f>VLOOKUP(K698,'Structure type'!$A$1:$B$15,2,FALSE)</f>
        <v>Manhole</v>
      </c>
      <c r="M698" s="6" t="s">
        <v>52</v>
      </c>
      <c r="N698" s="6" t="str">
        <f>VLOOKUP(M698,'Excursion Cause'!$A$1:$B$34,2,FALSE)</f>
        <v>Collection system structural blockage</v>
      </c>
      <c r="O698" s="7">
        <v>44516.0</v>
      </c>
      <c r="P698" s="6" t="s">
        <v>284</v>
      </c>
      <c r="Q698" s="7">
        <v>44516.0</v>
      </c>
      <c r="R698" s="6" t="s">
        <v>1321</v>
      </c>
      <c r="S698" s="5">
        <v>1.0</v>
      </c>
      <c r="T698" s="6" t="s">
        <v>107</v>
      </c>
      <c r="U698" s="5">
        <v>2.0211116E7</v>
      </c>
      <c r="V698" s="5">
        <v>2.0211116E7</v>
      </c>
      <c r="W698" s="5">
        <v>29.773295734</v>
      </c>
      <c r="X698" s="5">
        <v>-95.300953948</v>
      </c>
    </row>
    <row r="699" ht="15.75" customHeight="1">
      <c r="A699" s="5">
        <v>12501.0</v>
      </c>
      <c r="B699" s="6">
        <v>2021.0</v>
      </c>
      <c r="C699" s="6" t="str">
        <f t="shared" si="1"/>
        <v>1740 PASADENA ST,Houston,Texas</v>
      </c>
      <c r="D699" s="6" t="s">
        <v>576</v>
      </c>
      <c r="E699" s="6" t="s">
        <v>25</v>
      </c>
      <c r="F699" s="6" t="s">
        <v>26</v>
      </c>
      <c r="G699" s="6" t="s">
        <v>141</v>
      </c>
      <c r="H699" s="6" t="s">
        <v>50</v>
      </c>
      <c r="I699" s="6" t="str">
        <f>VLOOKUP(H699,'Flow Location'!$A$1:$B$21,2,FALSE)</f>
        <v>Contained On Site, not within 5 ft. of Bayou/Surface Water/Drainage Ditch</v>
      </c>
      <c r="J699" s="5">
        <v>422.0</v>
      </c>
      <c r="K699" s="6" t="s">
        <v>198</v>
      </c>
      <c r="L699" s="6" t="str">
        <f>VLOOKUP(K699,'Structure type'!$A$1:$B$15,2,FALSE)</f>
        <v>Service Lateral</v>
      </c>
      <c r="M699" s="6" t="s">
        <v>81</v>
      </c>
      <c r="N699" s="6" t="str">
        <f>VLOOKUP(M699,'Excursion Cause'!$A$1:$B$34,2,FALSE)</f>
        <v>Collection system structural failure</v>
      </c>
      <c r="O699" s="7">
        <v>44515.0</v>
      </c>
      <c r="P699" s="6" t="s">
        <v>860</v>
      </c>
      <c r="Q699" s="7">
        <v>44516.0</v>
      </c>
      <c r="R699" s="6" t="s">
        <v>522</v>
      </c>
      <c r="S699" s="5">
        <v>0.0</v>
      </c>
      <c r="T699" s="6" t="s">
        <v>118</v>
      </c>
      <c r="U699" s="5">
        <v>2.0211115E7</v>
      </c>
      <c r="V699" s="5">
        <v>2.0211116E7</v>
      </c>
      <c r="W699" s="5">
        <v>29.7264284550001</v>
      </c>
      <c r="X699" s="5">
        <v>-95.2987350499999</v>
      </c>
    </row>
    <row r="700" ht="15.75" customHeight="1">
      <c r="A700" s="5">
        <v>12502.0</v>
      </c>
      <c r="B700" s="6">
        <v>2021.0</v>
      </c>
      <c r="C700" s="6" t="str">
        <f t="shared" si="1"/>
        <v>503 TAFT ST,Houston,Texas</v>
      </c>
      <c r="D700" s="6" t="s">
        <v>1322</v>
      </c>
      <c r="E700" s="6" t="s">
        <v>25</v>
      </c>
      <c r="F700" s="6" t="s">
        <v>26</v>
      </c>
      <c r="G700" s="6" t="s">
        <v>80</v>
      </c>
      <c r="H700" s="6" t="s">
        <v>50</v>
      </c>
      <c r="I700" s="6" t="str">
        <f>VLOOKUP(H700,'Flow Location'!$A$1:$B$21,2,FALSE)</f>
        <v>Contained On Site, not within 5 ft. of Bayou/Surface Water/Drainage Ditch</v>
      </c>
      <c r="J700" s="5">
        <v>484.0</v>
      </c>
      <c r="K700" s="6" t="s">
        <v>29</v>
      </c>
      <c r="L700" s="6" t="str">
        <f>VLOOKUP(K700,'Structure type'!$A$1:$B$15,2,FALSE)</f>
        <v>Manhole</v>
      </c>
      <c r="M700" s="6" t="s">
        <v>30</v>
      </c>
      <c r="N700" s="6" t="str">
        <f>VLOOKUP(M700,'Excursion Cause'!$A$1:$B$34,2,FALSE)</f>
        <v>Grease Blockage</v>
      </c>
      <c r="O700" s="7">
        <v>44516.0</v>
      </c>
      <c r="P700" s="6" t="s">
        <v>649</v>
      </c>
      <c r="Q700" s="7">
        <v>44516.0</v>
      </c>
      <c r="R700" s="6" t="s">
        <v>537</v>
      </c>
      <c r="S700" s="5">
        <v>13.0</v>
      </c>
      <c r="T700" s="6" t="s">
        <v>59</v>
      </c>
      <c r="U700" s="5">
        <v>2.0211116E7</v>
      </c>
      <c r="V700" s="5">
        <v>2.0211116E7</v>
      </c>
      <c r="W700" s="5">
        <v>29.76100058</v>
      </c>
      <c r="X700" s="5">
        <v>-95.3857128069999</v>
      </c>
    </row>
    <row r="701" ht="15.75" customHeight="1">
      <c r="A701" s="5">
        <v>12504.0</v>
      </c>
      <c r="B701" s="6">
        <v>2021.0</v>
      </c>
      <c r="C701" s="6" t="str">
        <f t="shared" si="1"/>
        <v>9305 W SAM HOUSTON PKWY,Houston,Texas</v>
      </c>
      <c r="D701" s="6" t="s">
        <v>1323</v>
      </c>
      <c r="E701" s="6" t="s">
        <v>25</v>
      </c>
      <c r="F701" s="6" t="s">
        <v>26</v>
      </c>
      <c r="G701" s="6" t="s">
        <v>154</v>
      </c>
      <c r="H701" s="6" t="s">
        <v>28</v>
      </c>
      <c r="I701" s="6" t="str">
        <f>VLOOKUP(H701,'Flow Location'!$A$1:$B$21,2,FALSE)</f>
        <v>Storm Sewer (not contained)</v>
      </c>
      <c r="J701" s="5">
        <v>314.0</v>
      </c>
      <c r="K701" s="6" t="s">
        <v>29</v>
      </c>
      <c r="L701" s="6" t="str">
        <f>VLOOKUP(K701,'Structure type'!$A$1:$B$15,2,FALSE)</f>
        <v>Manhole</v>
      </c>
      <c r="M701" s="6" t="s">
        <v>30</v>
      </c>
      <c r="N701" s="6" t="str">
        <f>VLOOKUP(M701,'Excursion Cause'!$A$1:$B$34,2,FALSE)</f>
        <v>Grease Blockage</v>
      </c>
      <c r="O701" s="7">
        <v>44516.0</v>
      </c>
      <c r="P701" s="6" t="s">
        <v>1274</v>
      </c>
      <c r="Q701" s="7">
        <v>44516.0</v>
      </c>
      <c r="R701" s="6" t="s">
        <v>1324</v>
      </c>
      <c r="S701" s="5">
        <v>2.0</v>
      </c>
      <c r="T701" s="6" t="s">
        <v>33</v>
      </c>
      <c r="U701" s="5">
        <v>2.0211116E7</v>
      </c>
      <c r="V701" s="5">
        <v>2.0211116E7</v>
      </c>
      <c r="W701" s="5">
        <v>29.6831446840001</v>
      </c>
      <c r="X701" s="5">
        <v>-95.558296189</v>
      </c>
    </row>
    <row r="702" ht="15.75" customHeight="1">
      <c r="A702" s="5">
        <v>12509.0</v>
      </c>
      <c r="B702" s="6">
        <v>2021.0</v>
      </c>
      <c r="C702" s="6" t="str">
        <f t="shared" si="1"/>
        <v>3425 NETTLETON ST,Houston,Texas</v>
      </c>
      <c r="D702" s="6" t="s">
        <v>1325</v>
      </c>
      <c r="E702" s="6" t="s">
        <v>25</v>
      </c>
      <c r="F702" s="6" t="s">
        <v>26</v>
      </c>
      <c r="G702" s="6" t="s">
        <v>308</v>
      </c>
      <c r="H702" s="6" t="s">
        <v>28</v>
      </c>
      <c r="I702" s="6" t="str">
        <f>VLOOKUP(H702,'Flow Location'!$A$1:$B$21,2,FALSE)</f>
        <v>Storm Sewer (not contained)</v>
      </c>
      <c r="J702" s="5">
        <v>0.0</v>
      </c>
      <c r="K702" s="6" t="s">
        <v>29</v>
      </c>
      <c r="L702" s="6" t="str">
        <f>VLOOKUP(K702,'Structure type'!$A$1:$B$15,2,FALSE)</f>
        <v>Manhole</v>
      </c>
      <c r="M702" s="6" t="s">
        <v>30</v>
      </c>
      <c r="N702" s="6" t="str">
        <f>VLOOKUP(M702,'Excursion Cause'!$A$1:$B$34,2,FALSE)</f>
        <v>Grease Blockage</v>
      </c>
      <c r="O702" s="7">
        <v>44516.0</v>
      </c>
      <c r="P702" s="6" t="s">
        <v>360</v>
      </c>
      <c r="Q702" s="7">
        <v>44516.0</v>
      </c>
      <c r="R702" s="6" t="s">
        <v>664</v>
      </c>
      <c r="S702" s="5">
        <v>0.0</v>
      </c>
      <c r="T702" s="6" t="s">
        <v>54</v>
      </c>
      <c r="U702" s="5">
        <v>2.0211116E7</v>
      </c>
      <c r="V702" s="5">
        <v>2.0211116E7</v>
      </c>
      <c r="W702" s="5">
        <v>29.727462153</v>
      </c>
      <c r="X702" s="5">
        <v>-95.356641847</v>
      </c>
    </row>
    <row r="703" ht="15.75" customHeight="1">
      <c r="A703" s="5">
        <v>12511.0</v>
      </c>
      <c r="B703" s="6">
        <v>2021.0</v>
      </c>
      <c r="C703" s="6" t="str">
        <f t="shared" si="1"/>
        <v>8511 CRESTMONT ST,Houston,Texas</v>
      </c>
      <c r="D703" s="6" t="s">
        <v>1326</v>
      </c>
      <c r="E703" s="6" t="s">
        <v>25</v>
      </c>
      <c r="F703" s="6" t="s">
        <v>26</v>
      </c>
      <c r="G703" s="6" t="s">
        <v>120</v>
      </c>
      <c r="H703" s="6" t="s">
        <v>28</v>
      </c>
      <c r="I703" s="6" t="str">
        <f>VLOOKUP(H703,'Flow Location'!$A$1:$B$21,2,FALSE)</f>
        <v>Storm Sewer (not contained)</v>
      </c>
      <c r="J703" s="5">
        <v>138.0</v>
      </c>
      <c r="K703" s="6" t="s">
        <v>29</v>
      </c>
      <c r="L703" s="6" t="str">
        <f>VLOOKUP(K703,'Structure type'!$A$1:$B$15,2,FALSE)</f>
        <v>Manhole</v>
      </c>
      <c r="M703" s="6" t="s">
        <v>30</v>
      </c>
      <c r="N703" s="6" t="str">
        <f>VLOOKUP(M703,'Excursion Cause'!$A$1:$B$34,2,FALSE)</f>
        <v>Grease Blockage</v>
      </c>
      <c r="O703" s="7">
        <v>44517.0</v>
      </c>
      <c r="P703" s="6" t="s">
        <v>1327</v>
      </c>
      <c r="Q703" s="7">
        <v>44517.0</v>
      </c>
      <c r="R703" s="6" t="s">
        <v>1232</v>
      </c>
      <c r="S703" s="5">
        <v>3.0</v>
      </c>
      <c r="T703" s="6" t="s">
        <v>33</v>
      </c>
      <c r="U703" s="5">
        <v>2.0211117E7</v>
      </c>
      <c r="V703" s="5">
        <v>2.0211117E7</v>
      </c>
      <c r="W703" s="5">
        <v>29.6596549870001</v>
      </c>
      <c r="X703" s="5">
        <v>-95.328502541</v>
      </c>
    </row>
    <row r="704" ht="15.75" customHeight="1">
      <c r="A704" s="5">
        <v>12520.0</v>
      </c>
      <c r="B704" s="6">
        <v>2021.0</v>
      </c>
      <c r="C704" s="6" t="str">
        <f t="shared" si="1"/>
        <v>777 COOLWOOD DR,Houston,Texas</v>
      </c>
      <c r="D704" s="6" t="s">
        <v>1328</v>
      </c>
      <c r="E704" s="6" t="s">
        <v>25</v>
      </c>
      <c r="F704" s="6" t="s">
        <v>26</v>
      </c>
      <c r="G704" s="6" t="s">
        <v>656</v>
      </c>
      <c r="H704" s="6" t="s">
        <v>28</v>
      </c>
      <c r="I704" s="6" t="str">
        <f>VLOOKUP(H704,'Flow Location'!$A$1:$B$21,2,FALSE)</f>
        <v>Storm Sewer (not contained)</v>
      </c>
      <c r="J704" s="5">
        <v>0.0</v>
      </c>
      <c r="K704" s="6" t="s">
        <v>29</v>
      </c>
      <c r="L704" s="6" t="str">
        <f>VLOOKUP(K704,'Structure type'!$A$1:$B$15,2,FALSE)</f>
        <v>Manhole</v>
      </c>
      <c r="M704" s="6" t="s">
        <v>30</v>
      </c>
      <c r="N704" s="6" t="str">
        <f>VLOOKUP(M704,'Excursion Cause'!$A$1:$B$34,2,FALSE)</f>
        <v>Grease Blockage</v>
      </c>
      <c r="O704" s="7">
        <v>44517.0</v>
      </c>
      <c r="P704" s="6" t="s">
        <v>411</v>
      </c>
      <c r="Q704" s="7">
        <v>44517.0</v>
      </c>
      <c r="R704" s="6" t="s">
        <v>1329</v>
      </c>
      <c r="S704" s="5">
        <v>0.0</v>
      </c>
      <c r="T704" s="6" t="s">
        <v>33</v>
      </c>
      <c r="U704" s="5">
        <v>2.0211117E7</v>
      </c>
      <c r="V704" s="5">
        <v>2.0211117E7</v>
      </c>
      <c r="W704" s="5">
        <v>29.776903186</v>
      </c>
      <c r="X704" s="5">
        <v>-95.224206604</v>
      </c>
    </row>
    <row r="705" ht="15.75" customHeight="1">
      <c r="A705" s="5">
        <v>12525.0</v>
      </c>
      <c r="B705" s="6">
        <v>2021.0</v>
      </c>
      <c r="C705" s="6" t="str">
        <f t="shared" si="1"/>
        <v>1640 DUNA WAY,Houston,Texas</v>
      </c>
      <c r="D705" s="6" t="s">
        <v>1255</v>
      </c>
      <c r="E705" s="6" t="s">
        <v>25</v>
      </c>
      <c r="F705" s="6" t="s">
        <v>26</v>
      </c>
      <c r="G705" s="6" t="s">
        <v>623</v>
      </c>
      <c r="H705" s="6" t="s">
        <v>50</v>
      </c>
      <c r="I705" s="6" t="str">
        <f>VLOOKUP(H705,'Flow Location'!$A$1:$B$21,2,FALSE)</f>
        <v>Contained On Site, not within 5 ft. of Bayou/Surface Water/Drainage Ditch</v>
      </c>
      <c r="J705" s="5">
        <v>964.0</v>
      </c>
      <c r="K705" s="6" t="s">
        <v>29</v>
      </c>
      <c r="L705" s="6" t="str">
        <f>VLOOKUP(K705,'Structure type'!$A$1:$B$15,2,FALSE)</f>
        <v>Manhole</v>
      </c>
      <c r="M705" s="6" t="s">
        <v>52</v>
      </c>
      <c r="N705" s="6" t="str">
        <f>VLOOKUP(M705,'Excursion Cause'!$A$1:$B$34,2,FALSE)</f>
        <v>Collection system structural blockage</v>
      </c>
      <c r="O705" s="7">
        <v>44518.0</v>
      </c>
      <c r="P705" s="6" t="s">
        <v>225</v>
      </c>
      <c r="Q705" s="7">
        <v>44518.0</v>
      </c>
      <c r="R705" s="6" t="s">
        <v>670</v>
      </c>
      <c r="S705" s="5">
        <v>2.0</v>
      </c>
      <c r="T705" s="6" t="s">
        <v>54</v>
      </c>
      <c r="U705" s="5">
        <v>2.0211118E7</v>
      </c>
      <c r="V705" s="5">
        <v>2.0211118E7</v>
      </c>
      <c r="W705" s="5">
        <v>29.7595656070001</v>
      </c>
      <c r="X705" s="5">
        <v>-95.217807798</v>
      </c>
    </row>
    <row r="706" ht="15.75" customHeight="1">
      <c r="A706" s="5">
        <v>12526.0</v>
      </c>
      <c r="B706" s="6">
        <v>2021.0</v>
      </c>
      <c r="C706" s="6" t="str">
        <f t="shared" si="1"/>
        <v>5300 S LAKE HOUSTON PKWY,Houston,Texas</v>
      </c>
      <c r="D706" s="6" t="s">
        <v>1247</v>
      </c>
      <c r="E706" s="6" t="s">
        <v>25</v>
      </c>
      <c r="F706" s="6" t="s">
        <v>26</v>
      </c>
      <c r="G706" s="6" t="s">
        <v>840</v>
      </c>
      <c r="H706" s="6" t="s">
        <v>28</v>
      </c>
      <c r="I706" s="6" t="str">
        <f>VLOOKUP(H706,'Flow Location'!$A$1:$B$21,2,FALSE)</f>
        <v>Storm Sewer (not contained)</v>
      </c>
      <c r="J706" s="5">
        <v>1176.0</v>
      </c>
      <c r="K706" s="6" t="s">
        <v>29</v>
      </c>
      <c r="L706" s="6" t="str">
        <f>VLOOKUP(K706,'Structure type'!$A$1:$B$15,2,FALSE)</f>
        <v>Manhole</v>
      </c>
      <c r="M706" s="6" t="s">
        <v>30</v>
      </c>
      <c r="N706" s="6" t="str">
        <f>VLOOKUP(M706,'Excursion Cause'!$A$1:$B$34,2,FALSE)</f>
        <v>Grease Blockage</v>
      </c>
      <c r="O706" s="7">
        <v>44518.0</v>
      </c>
      <c r="P706" s="6" t="s">
        <v>817</v>
      </c>
      <c r="Q706" s="7">
        <v>44518.0</v>
      </c>
      <c r="R706" s="6" t="s">
        <v>1330</v>
      </c>
      <c r="S706" s="5">
        <v>3.0</v>
      </c>
      <c r="T706" s="6" t="s">
        <v>33</v>
      </c>
      <c r="U706" s="5">
        <v>2.0211118E7</v>
      </c>
      <c r="V706" s="5">
        <v>2.0211118E7</v>
      </c>
      <c r="W706" s="5">
        <v>29.806254306</v>
      </c>
      <c r="X706" s="5">
        <v>-95.216173891</v>
      </c>
    </row>
    <row r="707" ht="15.75" customHeight="1">
      <c r="A707" s="5">
        <v>12534.0</v>
      </c>
      <c r="B707" s="6">
        <v>2021.0</v>
      </c>
      <c r="C707" s="6" t="str">
        <f t="shared" si="1"/>
        <v>4502 BEECHNUT ST,Houston,Texas</v>
      </c>
      <c r="D707" s="6" t="s">
        <v>1331</v>
      </c>
      <c r="E707" s="6" t="s">
        <v>25</v>
      </c>
      <c r="F707" s="6" t="s">
        <v>26</v>
      </c>
      <c r="G707" s="6" t="s">
        <v>69</v>
      </c>
      <c r="H707" s="6" t="s">
        <v>87</v>
      </c>
      <c r="I707" s="6" t="str">
        <f>VLOOKUP(H707,'Flow Location'!$A$1:$B$21,2,FALSE)</f>
        <v>Within 5 ft. of Bayou/Surface Water/Drainage Ditch</v>
      </c>
      <c r="J707" s="5">
        <v>104.0</v>
      </c>
      <c r="K707" s="6" t="s">
        <v>29</v>
      </c>
      <c r="L707" s="6" t="str">
        <f>VLOOKUP(K707,'Structure type'!$A$1:$B$15,2,FALSE)</f>
        <v>Manhole</v>
      </c>
      <c r="M707" s="6" t="s">
        <v>30</v>
      </c>
      <c r="N707" s="6" t="str">
        <f>VLOOKUP(M707,'Excursion Cause'!$A$1:$B$34,2,FALSE)</f>
        <v>Grease Blockage</v>
      </c>
      <c r="O707" s="7">
        <v>44518.0</v>
      </c>
      <c r="P707" s="6" t="s">
        <v>1332</v>
      </c>
      <c r="Q707" s="7">
        <v>44518.0</v>
      </c>
      <c r="R707" s="6" t="s">
        <v>1333</v>
      </c>
      <c r="S707" s="5">
        <v>2.0</v>
      </c>
      <c r="T707" s="6" t="s">
        <v>33</v>
      </c>
      <c r="U707" s="5">
        <v>2.0211118E7</v>
      </c>
      <c r="V707" s="5">
        <v>2.0211118E7</v>
      </c>
      <c r="W707" s="5">
        <v>29.6893343420001</v>
      </c>
      <c r="X707" s="5">
        <v>-95.4516098999999</v>
      </c>
    </row>
    <row r="708" ht="15.75" customHeight="1">
      <c r="A708" s="5">
        <v>12536.0</v>
      </c>
      <c r="B708" s="6">
        <v>2021.0</v>
      </c>
      <c r="C708" s="6" t="str">
        <f t="shared" si="1"/>
        <v>410 ARMSTRONG ST,Houston,Texas</v>
      </c>
      <c r="D708" s="6" t="s">
        <v>1334</v>
      </c>
      <c r="E708" s="6" t="s">
        <v>25</v>
      </c>
      <c r="F708" s="6" t="s">
        <v>26</v>
      </c>
      <c r="G708" s="6" t="s">
        <v>247</v>
      </c>
      <c r="H708" s="6" t="s">
        <v>44</v>
      </c>
      <c r="I708" s="6" t="str">
        <f>VLOOKUP(H708,'Flow Location'!$A$1:$B$21,2,FALSE)</f>
        <v>Bayou/surface water/drainage ditch</v>
      </c>
      <c r="J708" s="5">
        <v>444.0</v>
      </c>
      <c r="K708" s="6" t="s">
        <v>45</v>
      </c>
      <c r="L708" s="6" t="str">
        <f>VLOOKUP(K708,'Structure type'!$A$1:$B$15,2,FALSE)</f>
        <v>City Cleanout</v>
      </c>
      <c r="M708" s="6" t="s">
        <v>52</v>
      </c>
      <c r="N708" s="6" t="str">
        <f>VLOOKUP(M708,'Excursion Cause'!$A$1:$B$34,2,FALSE)</f>
        <v>Collection system structural blockage</v>
      </c>
      <c r="O708" s="7">
        <v>44519.0</v>
      </c>
      <c r="P708" s="6" t="s">
        <v>866</v>
      </c>
      <c r="Q708" s="7">
        <v>44519.0</v>
      </c>
      <c r="R708" s="6" t="s">
        <v>867</v>
      </c>
      <c r="S708" s="5">
        <v>11.0</v>
      </c>
      <c r="T708" s="6" t="s">
        <v>1335</v>
      </c>
      <c r="U708" s="5">
        <v>2.0211119E7</v>
      </c>
      <c r="V708" s="5">
        <v>2.0211119E7</v>
      </c>
      <c r="W708" s="5">
        <v>29.736821889</v>
      </c>
      <c r="X708" s="5">
        <v>-95.254597373</v>
      </c>
    </row>
    <row r="709" ht="15.75" customHeight="1">
      <c r="A709" s="5">
        <v>12538.0</v>
      </c>
      <c r="B709" s="6">
        <v>2021.0</v>
      </c>
      <c r="C709" s="6" t="str">
        <f t="shared" si="1"/>
        <v>5512 BELLAIRE BLVD,Houston,Texas</v>
      </c>
      <c r="D709" s="6" t="s">
        <v>1221</v>
      </c>
      <c r="E709" s="6" t="s">
        <v>25</v>
      </c>
      <c r="F709" s="6" t="s">
        <v>26</v>
      </c>
      <c r="G709" s="6" t="s">
        <v>287</v>
      </c>
      <c r="H709" s="6" t="s">
        <v>50</v>
      </c>
      <c r="I709" s="6" t="str">
        <f>VLOOKUP(H709,'Flow Location'!$A$1:$B$21,2,FALSE)</f>
        <v>Contained On Site, not within 5 ft. of Bayou/Surface Water/Drainage Ditch</v>
      </c>
      <c r="J709" s="5">
        <v>411.0</v>
      </c>
      <c r="K709" s="6" t="s">
        <v>45</v>
      </c>
      <c r="L709" s="6" t="str">
        <f>VLOOKUP(K709,'Structure type'!$A$1:$B$15,2,FALSE)</f>
        <v>City Cleanout</v>
      </c>
      <c r="M709" s="6" t="s">
        <v>52</v>
      </c>
      <c r="N709" s="6" t="str">
        <f>VLOOKUP(M709,'Excursion Cause'!$A$1:$B$34,2,FALSE)</f>
        <v>Collection system structural blockage</v>
      </c>
      <c r="O709" s="7">
        <v>44519.0</v>
      </c>
      <c r="P709" s="6" t="s">
        <v>1336</v>
      </c>
      <c r="Q709" s="7">
        <v>44519.0</v>
      </c>
      <c r="R709" s="6" t="s">
        <v>402</v>
      </c>
      <c r="S709" s="5">
        <v>8.0</v>
      </c>
      <c r="T709" s="6" t="s">
        <v>107</v>
      </c>
      <c r="U709" s="5">
        <v>2.0211119E7</v>
      </c>
      <c r="V709" s="5">
        <v>2.0211119E7</v>
      </c>
      <c r="W709" s="5">
        <v>29.705717903</v>
      </c>
      <c r="X709" s="5">
        <v>-95.477831427</v>
      </c>
    </row>
    <row r="710" ht="15.75" customHeight="1">
      <c r="A710" s="5">
        <v>12540.0</v>
      </c>
      <c r="B710" s="6">
        <v>2021.0</v>
      </c>
      <c r="C710" s="6" t="str">
        <f t="shared" si="1"/>
        <v>110 ZACHARY ST,Houston,Texas</v>
      </c>
      <c r="D710" s="6" t="s">
        <v>1337</v>
      </c>
      <c r="E710" s="6" t="s">
        <v>25</v>
      </c>
      <c r="F710" s="6" t="s">
        <v>26</v>
      </c>
      <c r="G710" s="6" t="s">
        <v>247</v>
      </c>
      <c r="H710" s="6" t="s">
        <v>50</v>
      </c>
      <c r="I710" s="6" t="str">
        <f>VLOOKUP(H710,'Flow Location'!$A$1:$B$21,2,FALSE)</f>
        <v>Contained On Site, not within 5 ft. of Bayou/Surface Water/Drainage Ditch</v>
      </c>
      <c r="J710" s="5">
        <v>1496.0</v>
      </c>
      <c r="K710" s="6" t="s">
        <v>29</v>
      </c>
      <c r="L710" s="6" t="str">
        <f>VLOOKUP(K710,'Structure type'!$A$1:$B$15,2,FALSE)</f>
        <v>Manhole</v>
      </c>
      <c r="M710" s="6" t="s">
        <v>30</v>
      </c>
      <c r="N710" s="6" t="str">
        <f>VLOOKUP(M710,'Excursion Cause'!$A$1:$B$34,2,FALSE)</f>
        <v>Grease Blockage</v>
      </c>
      <c r="O710" s="7">
        <v>44519.0</v>
      </c>
      <c r="P710" s="6" t="s">
        <v>1131</v>
      </c>
      <c r="Q710" s="7">
        <v>44519.0</v>
      </c>
      <c r="R710" s="6" t="s">
        <v>298</v>
      </c>
      <c r="S710" s="5">
        <v>27.0</v>
      </c>
      <c r="T710" s="6" t="s">
        <v>33</v>
      </c>
      <c r="U710" s="5">
        <v>2.0211119E7</v>
      </c>
      <c r="V710" s="5">
        <v>2.0211119E7</v>
      </c>
      <c r="W710" s="5">
        <v>29.7391028560001</v>
      </c>
      <c r="X710" s="5">
        <v>-95.262876095</v>
      </c>
    </row>
    <row r="711" ht="15.75" customHeight="1">
      <c r="A711" s="5">
        <v>12541.0</v>
      </c>
      <c r="B711" s="6">
        <v>2021.0</v>
      </c>
      <c r="C711" s="6" t="str">
        <f t="shared" si="1"/>
        <v>2620 SUMPTER ST,Houston,Texas</v>
      </c>
      <c r="D711" s="6" t="s">
        <v>1338</v>
      </c>
      <c r="E711" s="6" t="s">
        <v>25</v>
      </c>
      <c r="F711" s="6" t="s">
        <v>26</v>
      </c>
      <c r="G711" s="6" t="s">
        <v>43</v>
      </c>
      <c r="H711" s="6" t="s">
        <v>50</v>
      </c>
      <c r="I711" s="6" t="str">
        <f>VLOOKUP(H711,'Flow Location'!$A$1:$B$21,2,FALSE)</f>
        <v>Contained On Site, not within 5 ft. of Bayou/Surface Water/Drainage Ditch</v>
      </c>
      <c r="J711" s="5">
        <v>0.0</v>
      </c>
      <c r="K711" s="6" t="s">
        <v>45</v>
      </c>
      <c r="L711" s="6" t="str">
        <f>VLOOKUP(K711,'Structure type'!$A$1:$B$15,2,FALSE)</f>
        <v>City Cleanout</v>
      </c>
      <c r="M711" s="6" t="s">
        <v>56</v>
      </c>
      <c r="N711" s="6" t="str">
        <f>VLOOKUP(M711,'Excursion Cause'!$A$1:$B$34,2,FALSE)</f>
        <v>Rags/Wipes</v>
      </c>
      <c r="O711" s="7">
        <v>44519.0</v>
      </c>
      <c r="P711" s="6" t="s">
        <v>345</v>
      </c>
      <c r="Q711" s="7">
        <v>44519.0</v>
      </c>
      <c r="R711" s="6" t="s">
        <v>345</v>
      </c>
      <c r="S711" s="5">
        <v>0.0</v>
      </c>
      <c r="T711" s="6" t="s">
        <v>170</v>
      </c>
      <c r="U711" s="5">
        <v>2.0211119E7</v>
      </c>
      <c r="V711" s="5">
        <v>2.0211119E7</v>
      </c>
      <c r="W711" s="5">
        <v>29.7795310380001</v>
      </c>
      <c r="X711" s="5">
        <v>-95.343039108</v>
      </c>
    </row>
    <row r="712" ht="15.75" customHeight="1">
      <c r="A712" s="5">
        <v>12542.0</v>
      </c>
      <c r="B712" s="6">
        <v>2021.0</v>
      </c>
      <c r="C712" s="6" t="str">
        <f t="shared" si="1"/>
        <v>13045 HIGH STAR DR,Houston,Texas</v>
      </c>
      <c r="D712" s="6" t="s">
        <v>1339</v>
      </c>
      <c r="E712" s="6" t="s">
        <v>25</v>
      </c>
      <c r="F712" s="6" t="s">
        <v>26</v>
      </c>
      <c r="G712" s="6" t="s">
        <v>91</v>
      </c>
      <c r="H712" s="6" t="s">
        <v>50</v>
      </c>
      <c r="I712" s="6" t="str">
        <f>VLOOKUP(H712,'Flow Location'!$A$1:$B$21,2,FALSE)</f>
        <v>Contained On Site, not within 5 ft. of Bayou/Surface Water/Drainage Ditch</v>
      </c>
      <c r="J712" s="5">
        <v>516.0</v>
      </c>
      <c r="K712" s="6" t="s">
        <v>29</v>
      </c>
      <c r="L712" s="6" t="str">
        <f>VLOOKUP(K712,'Structure type'!$A$1:$B$15,2,FALSE)</f>
        <v>Manhole</v>
      </c>
      <c r="M712" s="6" t="s">
        <v>30</v>
      </c>
      <c r="N712" s="6" t="str">
        <f>VLOOKUP(M712,'Excursion Cause'!$A$1:$B$34,2,FALSE)</f>
        <v>Grease Blockage</v>
      </c>
      <c r="O712" s="7">
        <v>44519.0</v>
      </c>
      <c r="P712" s="6" t="s">
        <v>882</v>
      </c>
      <c r="Q712" s="7">
        <v>44519.0</v>
      </c>
      <c r="R712" s="6" t="s">
        <v>1144</v>
      </c>
      <c r="S712" s="5">
        <v>14.0</v>
      </c>
      <c r="T712" s="6" t="s">
        <v>33</v>
      </c>
      <c r="U712" s="5">
        <v>2.0211119E7</v>
      </c>
      <c r="V712" s="5">
        <v>2.0211119E7</v>
      </c>
      <c r="W712" s="5">
        <v>29.7106328840001</v>
      </c>
      <c r="X712" s="5">
        <v>-95.6106303609999</v>
      </c>
    </row>
    <row r="713" ht="15.75" customHeight="1">
      <c r="A713" s="5">
        <v>12543.0</v>
      </c>
      <c r="B713" s="6">
        <v>2021.0</v>
      </c>
      <c r="C713" s="6" t="str">
        <f t="shared" si="1"/>
        <v>5523 SONORA ST,Houston,Texas</v>
      </c>
      <c r="D713" s="6" t="s">
        <v>1340</v>
      </c>
      <c r="E713" s="6" t="s">
        <v>25</v>
      </c>
      <c r="F713" s="6" t="s">
        <v>26</v>
      </c>
      <c r="G713" s="6" t="s">
        <v>86</v>
      </c>
      <c r="H713" s="6" t="s">
        <v>50</v>
      </c>
      <c r="I713" s="6" t="str">
        <f>VLOOKUP(H713,'Flow Location'!$A$1:$B$21,2,FALSE)</f>
        <v>Contained On Site, not within 5 ft. of Bayou/Surface Water/Drainage Ditch</v>
      </c>
      <c r="J713" s="5">
        <v>0.0</v>
      </c>
      <c r="K713" s="6" t="s">
        <v>45</v>
      </c>
      <c r="L713" s="6" t="str">
        <f>VLOOKUP(K713,'Structure type'!$A$1:$B$15,2,FALSE)</f>
        <v>City Cleanout</v>
      </c>
      <c r="M713" s="6" t="s">
        <v>30</v>
      </c>
      <c r="N713" s="6" t="str">
        <f>VLOOKUP(M713,'Excursion Cause'!$A$1:$B$34,2,FALSE)</f>
        <v>Grease Blockage</v>
      </c>
      <c r="O713" s="7">
        <v>44519.0</v>
      </c>
      <c r="P713" s="6" t="s">
        <v>588</v>
      </c>
      <c r="Q713" s="7">
        <v>44519.0</v>
      </c>
      <c r="R713" s="6" t="s">
        <v>588</v>
      </c>
      <c r="S713" s="5">
        <v>0.0</v>
      </c>
      <c r="T713" s="6" t="s">
        <v>170</v>
      </c>
      <c r="U713" s="5">
        <v>2.0211119E7</v>
      </c>
      <c r="V713" s="5">
        <v>2.0211119E7</v>
      </c>
      <c r="W713" s="5">
        <v>29.7698374510001</v>
      </c>
      <c r="X713" s="5">
        <v>-95.314571986</v>
      </c>
    </row>
    <row r="714" ht="15.75" customHeight="1">
      <c r="A714" s="5">
        <v>12544.0</v>
      </c>
      <c r="B714" s="6">
        <v>2021.0</v>
      </c>
      <c r="C714" s="6" t="str">
        <f t="shared" si="1"/>
        <v>419 HAHLO ST,Houston,Texas</v>
      </c>
      <c r="D714" s="6" t="s">
        <v>1341</v>
      </c>
      <c r="E714" s="6" t="s">
        <v>25</v>
      </c>
      <c r="F714" s="6" t="s">
        <v>26</v>
      </c>
      <c r="G714" s="6" t="s">
        <v>86</v>
      </c>
      <c r="H714" s="6" t="s">
        <v>50</v>
      </c>
      <c r="I714" s="6" t="str">
        <f>VLOOKUP(H714,'Flow Location'!$A$1:$B$21,2,FALSE)</f>
        <v>Contained On Site, not within 5 ft. of Bayou/Surface Water/Drainage Ditch</v>
      </c>
      <c r="J714" s="5">
        <v>0.0</v>
      </c>
      <c r="K714" s="6" t="s">
        <v>45</v>
      </c>
      <c r="L714" s="6" t="str">
        <f>VLOOKUP(K714,'Structure type'!$A$1:$B$15,2,FALSE)</f>
        <v>City Cleanout</v>
      </c>
      <c r="M714" s="6" t="s">
        <v>30</v>
      </c>
      <c r="N714" s="6" t="str">
        <f>VLOOKUP(M714,'Excursion Cause'!$A$1:$B$34,2,FALSE)</f>
        <v>Grease Blockage</v>
      </c>
      <c r="O714" s="7">
        <v>44519.0</v>
      </c>
      <c r="P714" s="6" t="s">
        <v>1342</v>
      </c>
      <c r="Q714" s="7">
        <v>44519.0</v>
      </c>
      <c r="R714" s="6" t="s">
        <v>1342</v>
      </c>
      <c r="S714" s="5">
        <v>0.0</v>
      </c>
      <c r="T714" s="6" t="s">
        <v>270</v>
      </c>
      <c r="U714" s="5">
        <v>2.0211119E7</v>
      </c>
      <c r="V714" s="5">
        <v>2.0211119E7</v>
      </c>
      <c r="W714" s="5">
        <v>29.780980018</v>
      </c>
      <c r="X714" s="5">
        <v>-95.309432538</v>
      </c>
    </row>
    <row r="715" ht="15.75" customHeight="1">
      <c r="A715" s="5">
        <v>12545.0</v>
      </c>
      <c r="B715" s="6">
        <v>2021.0</v>
      </c>
      <c r="C715" s="6" t="str">
        <f t="shared" si="1"/>
        <v>6030 RIDGEWAY DR,Houston,Texas</v>
      </c>
      <c r="D715" s="6" t="s">
        <v>1343</v>
      </c>
      <c r="E715" s="6" t="s">
        <v>25</v>
      </c>
      <c r="F715" s="6" t="s">
        <v>26</v>
      </c>
      <c r="G715" s="6" t="s">
        <v>120</v>
      </c>
      <c r="H715" s="6" t="s">
        <v>28</v>
      </c>
      <c r="I715" s="6" t="str">
        <f>VLOOKUP(H715,'Flow Location'!$A$1:$B$21,2,FALSE)</f>
        <v>Storm Sewer (not contained)</v>
      </c>
      <c r="J715" s="5">
        <v>0.0</v>
      </c>
      <c r="K715" s="6" t="s">
        <v>45</v>
      </c>
      <c r="L715" s="6" t="str">
        <f>VLOOKUP(K715,'Structure type'!$A$1:$B$15,2,FALSE)</f>
        <v>City Cleanout</v>
      </c>
      <c r="M715" s="6" t="s">
        <v>56</v>
      </c>
      <c r="N715" s="6" t="str">
        <f>VLOOKUP(M715,'Excursion Cause'!$A$1:$B$34,2,FALSE)</f>
        <v>Rags/Wipes</v>
      </c>
      <c r="O715" s="7">
        <v>44519.0</v>
      </c>
      <c r="P715" s="6" t="s">
        <v>645</v>
      </c>
      <c r="Q715" s="7">
        <v>44519.0</v>
      </c>
      <c r="R715" s="6" t="s">
        <v>645</v>
      </c>
      <c r="S715" s="5">
        <v>0.0</v>
      </c>
      <c r="T715" s="6" t="s">
        <v>74</v>
      </c>
      <c r="U715" s="5">
        <v>2.0211119E7</v>
      </c>
      <c r="V715" s="5">
        <v>2.0211119E7</v>
      </c>
      <c r="W715" s="5">
        <v>29.6682415760001</v>
      </c>
      <c r="X715" s="5">
        <v>-95.327127322</v>
      </c>
    </row>
    <row r="716" ht="15.75" customHeight="1">
      <c r="A716" s="5">
        <v>12546.0</v>
      </c>
      <c r="B716" s="6">
        <v>2021.0</v>
      </c>
      <c r="C716" s="6" t="str">
        <f t="shared" si="1"/>
        <v>12021 DUMAS ST,Houston,Texas</v>
      </c>
      <c r="D716" s="6" t="s">
        <v>1344</v>
      </c>
      <c r="E716" s="6" t="s">
        <v>25</v>
      </c>
      <c r="F716" s="6" t="s">
        <v>26</v>
      </c>
      <c r="G716" s="6" t="s">
        <v>49</v>
      </c>
      <c r="H716" s="6" t="s">
        <v>50</v>
      </c>
      <c r="I716" s="6" t="str">
        <f>VLOOKUP(H716,'Flow Location'!$A$1:$B$21,2,FALSE)</f>
        <v>Contained On Site, not within 5 ft. of Bayou/Surface Water/Drainage Ditch</v>
      </c>
      <c r="J716" s="5">
        <v>0.0</v>
      </c>
      <c r="K716" s="6" t="s">
        <v>51</v>
      </c>
      <c r="L716" s="6" t="str">
        <f>VLOOKUP(K716,'Structure type'!$A$1:$B$15,2,FALSE)</f>
        <v>Private Cleanout</v>
      </c>
      <c r="M716" s="6" t="s">
        <v>56</v>
      </c>
      <c r="N716" s="6" t="str">
        <f>VLOOKUP(M716,'Excursion Cause'!$A$1:$B$34,2,FALSE)</f>
        <v>Rags/Wipes</v>
      </c>
      <c r="O716" s="7">
        <v>44519.0</v>
      </c>
      <c r="P716" s="6" t="s">
        <v>769</v>
      </c>
      <c r="Q716" s="7">
        <v>44519.0</v>
      </c>
      <c r="R716" s="6" t="s">
        <v>769</v>
      </c>
      <c r="S716" s="5">
        <v>0.0</v>
      </c>
      <c r="T716" s="6" t="s">
        <v>89</v>
      </c>
      <c r="U716" s="5">
        <v>2.0211119E7</v>
      </c>
      <c r="V716" s="5">
        <v>2.0211119E7</v>
      </c>
      <c r="W716" s="5">
        <v>29.627089491</v>
      </c>
      <c r="X716" s="5">
        <v>-95.2103933109999</v>
      </c>
    </row>
    <row r="717" ht="15.75" customHeight="1">
      <c r="A717" s="5">
        <v>12550.0</v>
      </c>
      <c r="B717" s="6">
        <v>2021.0</v>
      </c>
      <c r="C717" s="6" t="str">
        <f t="shared" si="1"/>
        <v>1410 HAROLD ST,Houston,Texas</v>
      </c>
      <c r="D717" s="6" t="s">
        <v>1345</v>
      </c>
      <c r="E717" s="6" t="s">
        <v>25</v>
      </c>
      <c r="F717" s="6" t="s">
        <v>26</v>
      </c>
      <c r="G717" s="6" t="s">
        <v>761</v>
      </c>
      <c r="H717" s="6" t="s">
        <v>50</v>
      </c>
      <c r="I717" s="6" t="str">
        <f>VLOOKUP(H717,'Flow Location'!$A$1:$B$21,2,FALSE)</f>
        <v>Contained On Site, not within 5 ft. of Bayou/Surface Water/Drainage Ditch</v>
      </c>
      <c r="J717" s="5">
        <v>151.0</v>
      </c>
      <c r="K717" s="6" t="s">
        <v>29</v>
      </c>
      <c r="L717" s="6" t="str">
        <f>VLOOKUP(K717,'Structure type'!$A$1:$B$15,2,FALSE)</f>
        <v>Manhole</v>
      </c>
      <c r="M717" s="6" t="s">
        <v>30</v>
      </c>
      <c r="N717" s="6" t="str">
        <f>VLOOKUP(M717,'Excursion Cause'!$A$1:$B$34,2,FALSE)</f>
        <v>Grease Blockage</v>
      </c>
      <c r="O717" s="7">
        <v>44520.0</v>
      </c>
      <c r="P717" s="6" t="s">
        <v>1101</v>
      </c>
      <c r="Q717" s="7">
        <v>44520.0</v>
      </c>
      <c r="R717" s="6" t="s">
        <v>1173</v>
      </c>
      <c r="S717" s="5">
        <v>1.0</v>
      </c>
      <c r="T717" s="6" t="s">
        <v>33</v>
      </c>
      <c r="U717" s="5">
        <v>2.021112E7</v>
      </c>
      <c r="V717" s="5">
        <v>2.021112E7</v>
      </c>
      <c r="W717" s="5">
        <v>29.741301848</v>
      </c>
      <c r="X717" s="5">
        <v>-95.396277437</v>
      </c>
    </row>
    <row r="718" ht="15.75" customHeight="1">
      <c r="A718" s="5">
        <v>12553.0</v>
      </c>
      <c r="B718" s="6">
        <v>2021.0</v>
      </c>
      <c r="C718" s="6" t="str">
        <f t="shared" si="1"/>
        <v>2121 PELHAM DR,Houston,Texas</v>
      </c>
      <c r="D718" s="6" t="s">
        <v>1346</v>
      </c>
      <c r="E718" s="6" t="s">
        <v>25</v>
      </c>
      <c r="F718" s="6" t="s">
        <v>26</v>
      </c>
      <c r="G718" s="6" t="s">
        <v>80</v>
      </c>
      <c r="H718" s="6" t="s">
        <v>50</v>
      </c>
      <c r="I718" s="6" t="str">
        <f>VLOOKUP(H718,'Flow Location'!$A$1:$B$21,2,FALSE)</f>
        <v>Contained On Site, not within 5 ft. of Bayou/Surface Water/Drainage Ditch</v>
      </c>
      <c r="J718" s="5">
        <v>1153.0</v>
      </c>
      <c r="K718" s="6" t="s">
        <v>29</v>
      </c>
      <c r="L718" s="6" t="str">
        <f>VLOOKUP(K718,'Structure type'!$A$1:$B$15,2,FALSE)</f>
        <v>Manhole</v>
      </c>
      <c r="M718" s="6" t="s">
        <v>30</v>
      </c>
      <c r="N718" s="6" t="str">
        <f>VLOOKUP(M718,'Excursion Cause'!$A$1:$B$34,2,FALSE)</f>
        <v>Grease Blockage</v>
      </c>
      <c r="O718" s="7">
        <v>44520.0</v>
      </c>
      <c r="P718" s="6" t="s">
        <v>640</v>
      </c>
      <c r="Q718" s="7">
        <v>44521.0</v>
      </c>
      <c r="R718" s="6" t="s">
        <v>594</v>
      </c>
      <c r="S718" s="5">
        <v>1.0</v>
      </c>
      <c r="T718" s="6" t="s">
        <v>59</v>
      </c>
      <c r="U718" s="5">
        <v>2.021112E7</v>
      </c>
      <c r="V718" s="5">
        <v>2.0211121E7</v>
      </c>
      <c r="W718" s="5">
        <v>29.7509253630001</v>
      </c>
      <c r="X718" s="5">
        <v>-95.411620678</v>
      </c>
    </row>
    <row r="719" ht="15.75" customHeight="1">
      <c r="A719" s="5">
        <v>12559.0</v>
      </c>
      <c r="B719" s="6">
        <v>2021.0</v>
      </c>
      <c r="C719" s="6" t="str">
        <f t="shared" si="1"/>
        <v>4402 FLOYD ST,Houston,Texas</v>
      </c>
      <c r="D719" s="6" t="s">
        <v>1347</v>
      </c>
      <c r="E719" s="6" t="s">
        <v>25</v>
      </c>
      <c r="F719" s="6" t="s">
        <v>26</v>
      </c>
      <c r="G719" s="6" t="s">
        <v>158</v>
      </c>
      <c r="H719" s="6" t="s">
        <v>50</v>
      </c>
      <c r="I719" s="6" t="str">
        <f>VLOOKUP(H719,'Flow Location'!$A$1:$B$21,2,FALSE)</f>
        <v>Contained On Site, not within 5 ft. of Bayou/Surface Water/Drainage Ditch</v>
      </c>
      <c r="J719" s="5">
        <v>0.0</v>
      </c>
      <c r="K719" s="6" t="s">
        <v>51</v>
      </c>
      <c r="L719" s="6" t="str">
        <f>VLOOKUP(K719,'Structure type'!$A$1:$B$15,2,FALSE)</f>
        <v>Private Cleanout</v>
      </c>
      <c r="M719" s="6" t="s">
        <v>52</v>
      </c>
      <c r="N719" s="6" t="str">
        <f>VLOOKUP(M719,'Excursion Cause'!$A$1:$B$34,2,FALSE)</f>
        <v>Collection system structural blockage</v>
      </c>
      <c r="O719" s="7">
        <v>44522.0</v>
      </c>
      <c r="P719" s="6" t="s">
        <v>424</v>
      </c>
      <c r="Q719" s="7">
        <v>44522.0</v>
      </c>
      <c r="R719" s="6" t="s">
        <v>424</v>
      </c>
      <c r="S719" s="5">
        <v>0.0</v>
      </c>
      <c r="T719" s="6" t="s">
        <v>54</v>
      </c>
      <c r="U719" s="5">
        <v>2.0211122E7</v>
      </c>
      <c r="V719" s="5">
        <v>2.0211122E7</v>
      </c>
      <c r="W719" s="5">
        <v>29.7683274510001</v>
      </c>
      <c r="X719" s="5">
        <v>-95.405016996</v>
      </c>
    </row>
    <row r="720" ht="15.75" customHeight="1">
      <c r="A720" s="5">
        <v>12562.0</v>
      </c>
      <c r="B720" s="6">
        <v>2021.0</v>
      </c>
      <c r="C720" s="6" t="str">
        <f t="shared" si="1"/>
        <v>9310 LONG POINT RD,Houston,Texas</v>
      </c>
      <c r="D720" s="6" t="s">
        <v>1348</v>
      </c>
      <c r="E720" s="6" t="s">
        <v>25</v>
      </c>
      <c r="F720" s="6" t="s">
        <v>26</v>
      </c>
      <c r="G720" s="6" t="s">
        <v>27</v>
      </c>
      <c r="H720" s="6" t="s">
        <v>28</v>
      </c>
      <c r="I720" s="6" t="str">
        <f>VLOOKUP(H720,'Flow Location'!$A$1:$B$21,2,FALSE)</f>
        <v>Storm Sewer (not contained)</v>
      </c>
      <c r="J720" s="5">
        <v>0.0</v>
      </c>
      <c r="K720" s="6" t="s">
        <v>29</v>
      </c>
      <c r="L720" s="6" t="str">
        <f>VLOOKUP(K720,'Structure type'!$A$1:$B$15,2,FALSE)</f>
        <v>Manhole</v>
      </c>
      <c r="M720" s="6" t="s">
        <v>30</v>
      </c>
      <c r="N720" s="6" t="str">
        <f>VLOOKUP(M720,'Excursion Cause'!$A$1:$B$34,2,FALSE)</f>
        <v>Grease Blockage</v>
      </c>
      <c r="O720" s="7">
        <v>44522.0</v>
      </c>
      <c r="P720" s="6" t="s">
        <v>736</v>
      </c>
      <c r="Q720" s="7">
        <v>44522.0</v>
      </c>
      <c r="R720" s="6" t="s">
        <v>736</v>
      </c>
      <c r="S720" s="5">
        <v>0.0</v>
      </c>
      <c r="T720" s="6" t="s">
        <v>37</v>
      </c>
      <c r="U720" s="5">
        <v>2.0211122E7</v>
      </c>
      <c r="V720" s="5">
        <v>2.0211122E7</v>
      </c>
      <c r="W720" s="5">
        <v>29.7987247580001</v>
      </c>
      <c r="X720" s="5">
        <v>-95.5214744039999</v>
      </c>
    </row>
    <row r="721" ht="15.75" customHeight="1">
      <c r="A721" s="5">
        <v>12566.0</v>
      </c>
      <c r="B721" s="6">
        <v>2021.0</v>
      </c>
      <c r="C721" s="6" t="str">
        <f t="shared" si="1"/>
        <v>6303 BRIAR GLADE DR,Houston,Texas</v>
      </c>
      <c r="D721" s="6" t="s">
        <v>404</v>
      </c>
      <c r="E721" s="6" t="s">
        <v>25</v>
      </c>
      <c r="F721" s="6" t="s">
        <v>26</v>
      </c>
      <c r="G721" s="6" t="s">
        <v>91</v>
      </c>
      <c r="H721" s="6" t="s">
        <v>28</v>
      </c>
      <c r="I721" s="6" t="str">
        <f>VLOOKUP(H721,'Flow Location'!$A$1:$B$21,2,FALSE)</f>
        <v>Storm Sewer (not contained)</v>
      </c>
      <c r="J721" s="5">
        <v>480.0</v>
      </c>
      <c r="K721" s="6" t="s">
        <v>29</v>
      </c>
      <c r="L721" s="6" t="str">
        <f>VLOOKUP(K721,'Structure type'!$A$1:$B$15,2,FALSE)</f>
        <v>Manhole</v>
      </c>
      <c r="M721" s="6" t="s">
        <v>30</v>
      </c>
      <c r="N721" s="6" t="str">
        <f>VLOOKUP(M721,'Excursion Cause'!$A$1:$B$34,2,FALSE)</f>
        <v>Grease Blockage</v>
      </c>
      <c r="O721" s="7">
        <v>44522.0</v>
      </c>
      <c r="P721" s="6" t="s">
        <v>791</v>
      </c>
      <c r="Q721" s="7">
        <v>44522.0</v>
      </c>
      <c r="R721" s="6" t="s">
        <v>380</v>
      </c>
      <c r="S721" s="5">
        <v>2.0</v>
      </c>
      <c r="T721" s="6" t="s">
        <v>33</v>
      </c>
      <c r="U721" s="5">
        <v>2.0211122E7</v>
      </c>
      <c r="V721" s="5">
        <v>2.0211122E7</v>
      </c>
      <c r="W721" s="5">
        <v>29.711572663</v>
      </c>
      <c r="X721" s="5">
        <v>-95.570300164</v>
      </c>
    </row>
    <row r="722" ht="15.75" customHeight="1">
      <c r="A722" s="5">
        <v>12567.0</v>
      </c>
      <c r="B722" s="6">
        <v>2021.0</v>
      </c>
      <c r="C722" s="6" t="str">
        <f t="shared" si="1"/>
        <v>6303 BRIAR GLADE DR,Houston,Texas</v>
      </c>
      <c r="D722" s="6" t="s">
        <v>404</v>
      </c>
      <c r="E722" s="6" t="s">
        <v>25</v>
      </c>
      <c r="F722" s="6" t="s">
        <v>26</v>
      </c>
      <c r="G722" s="6" t="s">
        <v>91</v>
      </c>
      <c r="H722" s="6" t="s">
        <v>28</v>
      </c>
      <c r="I722" s="6" t="str">
        <f>VLOOKUP(H722,'Flow Location'!$A$1:$B$21,2,FALSE)</f>
        <v>Storm Sewer (not contained)</v>
      </c>
      <c r="J722" s="5">
        <v>480.0</v>
      </c>
      <c r="K722" s="6" t="s">
        <v>29</v>
      </c>
      <c r="L722" s="6" t="str">
        <f>VLOOKUP(K722,'Structure type'!$A$1:$B$15,2,FALSE)</f>
        <v>Manhole</v>
      </c>
      <c r="M722" s="6" t="s">
        <v>30</v>
      </c>
      <c r="N722" s="6" t="str">
        <f>VLOOKUP(M722,'Excursion Cause'!$A$1:$B$34,2,FALSE)</f>
        <v>Grease Blockage</v>
      </c>
      <c r="O722" s="7">
        <v>44522.0</v>
      </c>
      <c r="P722" s="6" t="s">
        <v>791</v>
      </c>
      <c r="Q722" s="7">
        <v>44522.0</v>
      </c>
      <c r="R722" s="6" t="s">
        <v>380</v>
      </c>
      <c r="S722" s="5">
        <v>2.0</v>
      </c>
      <c r="T722" s="6" t="s">
        <v>33</v>
      </c>
      <c r="U722" s="5">
        <v>2.0211122E7</v>
      </c>
      <c r="V722" s="5">
        <v>2.0211122E7</v>
      </c>
      <c r="W722" s="5">
        <v>29.711572663</v>
      </c>
      <c r="X722" s="5">
        <v>-95.570300164</v>
      </c>
    </row>
    <row r="723" ht="15.75" customHeight="1">
      <c r="A723" s="5">
        <v>12571.0</v>
      </c>
      <c r="B723" s="6">
        <v>2021.0</v>
      </c>
      <c r="C723" s="6" t="str">
        <f t="shared" si="1"/>
        <v>11235 RIVERVIEW WAY,Houston,Texas</v>
      </c>
      <c r="D723" s="6" t="s">
        <v>1349</v>
      </c>
      <c r="E723" s="6" t="s">
        <v>25</v>
      </c>
      <c r="F723" s="6" t="s">
        <v>26</v>
      </c>
      <c r="G723" s="6" t="s">
        <v>401</v>
      </c>
      <c r="H723" s="6" t="s">
        <v>28</v>
      </c>
      <c r="I723" s="6" t="str">
        <f>VLOOKUP(H723,'Flow Location'!$A$1:$B$21,2,FALSE)</f>
        <v>Storm Sewer (not contained)</v>
      </c>
      <c r="J723" s="5">
        <v>311.0</v>
      </c>
      <c r="K723" s="6" t="s">
        <v>29</v>
      </c>
      <c r="L723" s="6" t="str">
        <f>VLOOKUP(K723,'Structure type'!$A$1:$B$15,2,FALSE)</f>
        <v>Manhole</v>
      </c>
      <c r="M723" s="6" t="s">
        <v>30</v>
      </c>
      <c r="N723" s="6" t="str">
        <f>VLOOKUP(M723,'Excursion Cause'!$A$1:$B$34,2,FALSE)</f>
        <v>Grease Blockage</v>
      </c>
      <c r="O723" s="7">
        <v>44523.0</v>
      </c>
      <c r="P723" s="6" t="s">
        <v>709</v>
      </c>
      <c r="Q723" s="7">
        <v>44523.0</v>
      </c>
      <c r="R723" s="6" t="s">
        <v>1173</v>
      </c>
      <c r="S723" s="5">
        <v>1.0</v>
      </c>
      <c r="T723" s="6" t="s">
        <v>33</v>
      </c>
      <c r="U723" s="5">
        <v>2.0211123E7</v>
      </c>
      <c r="V723" s="5">
        <v>2.0211123E7</v>
      </c>
      <c r="W723" s="5">
        <v>29.755624174</v>
      </c>
      <c r="X723" s="5">
        <v>-95.574020304</v>
      </c>
    </row>
    <row r="724" ht="15.75" customHeight="1">
      <c r="A724" s="5">
        <v>12573.0</v>
      </c>
      <c r="B724" s="6">
        <v>2021.0</v>
      </c>
      <c r="C724" s="6" t="str">
        <f t="shared" si="1"/>
        <v>8901 HARRELL ST,Houston,Texas</v>
      </c>
      <c r="D724" s="6" t="s">
        <v>1350</v>
      </c>
      <c r="E724" s="6" t="s">
        <v>25</v>
      </c>
      <c r="F724" s="6" t="s">
        <v>26</v>
      </c>
      <c r="G724" s="6" t="s">
        <v>109</v>
      </c>
      <c r="H724" s="6" t="s">
        <v>44</v>
      </c>
      <c r="I724" s="6" t="str">
        <f>VLOOKUP(H724,'Flow Location'!$A$1:$B$21,2,FALSE)</f>
        <v>Bayou/surface water/drainage ditch</v>
      </c>
      <c r="J724" s="5">
        <v>0.0</v>
      </c>
      <c r="K724" s="6" t="s">
        <v>45</v>
      </c>
      <c r="L724" s="6" t="str">
        <f>VLOOKUP(K724,'Structure type'!$A$1:$B$15,2,FALSE)</f>
        <v>City Cleanout</v>
      </c>
      <c r="M724" s="6" t="s">
        <v>30</v>
      </c>
      <c r="N724" s="6" t="str">
        <f>VLOOKUP(M724,'Excursion Cause'!$A$1:$B$34,2,FALSE)</f>
        <v>Grease Blockage</v>
      </c>
      <c r="O724" s="7">
        <v>44523.0</v>
      </c>
      <c r="P724" s="6" t="s">
        <v>191</v>
      </c>
      <c r="Q724" s="7">
        <v>44523.0</v>
      </c>
      <c r="R724" s="6" t="s">
        <v>191</v>
      </c>
      <c r="S724" s="5">
        <v>0.0</v>
      </c>
      <c r="T724" s="6" t="s">
        <v>170</v>
      </c>
      <c r="U724" s="5">
        <v>2.0211123E7</v>
      </c>
      <c r="V724" s="5">
        <v>2.0211123E7</v>
      </c>
      <c r="W724" s="5">
        <v>29.8414015540001</v>
      </c>
      <c r="X724" s="5">
        <v>-95.344954457</v>
      </c>
    </row>
    <row r="725" ht="15.75" customHeight="1">
      <c r="A725" s="5">
        <v>12574.0</v>
      </c>
      <c r="B725" s="6">
        <v>2021.0</v>
      </c>
      <c r="C725" s="6" t="str">
        <f t="shared" si="1"/>
        <v>12062 WHITE CAP LN,Houston,Texas</v>
      </c>
      <c r="D725" s="6" t="s">
        <v>434</v>
      </c>
      <c r="E725" s="6" t="s">
        <v>25</v>
      </c>
      <c r="F725" s="6" t="s">
        <v>26</v>
      </c>
      <c r="G725" s="6" t="s">
        <v>91</v>
      </c>
      <c r="H725" s="6" t="s">
        <v>28</v>
      </c>
      <c r="I725" s="6" t="str">
        <f>VLOOKUP(H725,'Flow Location'!$A$1:$B$21,2,FALSE)</f>
        <v>Storm Sewer (not contained)</v>
      </c>
      <c r="J725" s="5">
        <v>370.0</v>
      </c>
      <c r="K725" s="6" t="s">
        <v>29</v>
      </c>
      <c r="L725" s="6" t="str">
        <f>VLOOKUP(K725,'Structure type'!$A$1:$B$15,2,FALSE)</f>
        <v>Manhole</v>
      </c>
      <c r="M725" s="6" t="s">
        <v>30</v>
      </c>
      <c r="N725" s="6" t="str">
        <f>VLOOKUP(M725,'Excursion Cause'!$A$1:$B$34,2,FALSE)</f>
        <v>Grease Blockage</v>
      </c>
      <c r="O725" s="7">
        <v>44523.0</v>
      </c>
      <c r="P725" s="6" t="s">
        <v>710</v>
      </c>
      <c r="Q725" s="7">
        <v>44523.0</v>
      </c>
      <c r="R725" s="6" t="s">
        <v>1039</v>
      </c>
      <c r="S725" s="5">
        <v>2.0</v>
      </c>
      <c r="T725" s="6" t="s">
        <v>59</v>
      </c>
      <c r="U725" s="5">
        <v>2.0211123E7</v>
      </c>
      <c r="V725" s="5">
        <v>2.0211123E7</v>
      </c>
      <c r="W725" s="5">
        <v>29.6903903780001</v>
      </c>
      <c r="X725" s="5">
        <v>-95.591055432</v>
      </c>
    </row>
    <row r="726" ht="15.75" customHeight="1">
      <c r="A726" s="5">
        <v>12575.0</v>
      </c>
      <c r="B726" s="6">
        <v>2021.0</v>
      </c>
      <c r="C726" s="6" t="str">
        <f t="shared" si="1"/>
        <v>525 WEBSTER ST,Houston,Texas</v>
      </c>
      <c r="D726" s="6" t="s">
        <v>1351</v>
      </c>
      <c r="E726" s="6" t="s">
        <v>25</v>
      </c>
      <c r="F726" s="6" t="s">
        <v>26</v>
      </c>
      <c r="G726" s="6" t="s">
        <v>463</v>
      </c>
      <c r="H726" s="6" t="s">
        <v>28</v>
      </c>
      <c r="I726" s="6" t="str">
        <f>VLOOKUP(H726,'Flow Location'!$A$1:$B$21,2,FALSE)</f>
        <v>Storm Sewer (not contained)</v>
      </c>
      <c r="J726" s="5">
        <v>152.0</v>
      </c>
      <c r="K726" s="6" t="s">
        <v>29</v>
      </c>
      <c r="L726" s="6" t="str">
        <f>VLOOKUP(K726,'Structure type'!$A$1:$B$15,2,FALSE)</f>
        <v>Manhole</v>
      </c>
      <c r="M726" s="6" t="s">
        <v>30</v>
      </c>
      <c r="N726" s="6" t="str">
        <f>VLOOKUP(M726,'Excursion Cause'!$A$1:$B$34,2,FALSE)</f>
        <v>Grease Blockage</v>
      </c>
      <c r="O726" s="7">
        <v>44523.0</v>
      </c>
      <c r="P726" s="6" t="s">
        <v>1352</v>
      </c>
      <c r="Q726" s="7">
        <v>44523.0</v>
      </c>
      <c r="R726" s="6" t="s">
        <v>1353</v>
      </c>
      <c r="S726" s="5">
        <v>2.0</v>
      </c>
      <c r="T726" s="6" t="s">
        <v>33</v>
      </c>
      <c r="U726" s="5">
        <v>2.0211123E7</v>
      </c>
      <c r="V726" s="5">
        <v>2.0211123E7</v>
      </c>
      <c r="W726" s="5">
        <v>29.750271491</v>
      </c>
      <c r="X726" s="5">
        <v>-95.37568419</v>
      </c>
    </row>
    <row r="727" ht="15.75" customHeight="1">
      <c r="A727" s="5">
        <v>12588.0</v>
      </c>
      <c r="B727" s="6">
        <v>2021.0</v>
      </c>
      <c r="C727" s="6" t="str">
        <f t="shared" si="1"/>
        <v>7415 DILLON ST,Houston,Texas</v>
      </c>
      <c r="D727" s="6" t="s">
        <v>997</v>
      </c>
      <c r="E727" s="6" t="s">
        <v>25</v>
      </c>
      <c r="F727" s="6" t="s">
        <v>26</v>
      </c>
      <c r="G727" s="6" t="s">
        <v>398</v>
      </c>
      <c r="H727" s="6" t="s">
        <v>50</v>
      </c>
      <c r="I727" s="6" t="str">
        <f>VLOOKUP(H727,'Flow Location'!$A$1:$B$21,2,FALSE)</f>
        <v>Contained On Site, not within 5 ft. of Bayou/Surface Water/Drainage Ditch</v>
      </c>
      <c r="J727" s="5">
        <v>0.0</v>
      </c>
      <c r="K727" s="6" t="s">
        <v>29</v>
      </c>
      <c r="L727" s="6" t="str">
        <f>VLOOKUP(K727,'Structure type'!$A$1:$B$15,2,FALSE)</f>
        <v>Manhole</v>
      </c>
      <c r="M727" s="6" t="s">
        <v>30</v>
      </c>
      <c r="N727" s="6" t="str">
        <f>VLOOKUP(M727,'Excursion Cause'!$A$1:$B$34,2,FALSE)</f>
        <v>Grease Blockage</v>
      </c>
      <c r="O727" s="7">
        <v>44524.0</v>
      </c>
      <c r="P727" s="6" t="s">
        <v>1213</v>
      </c>
      <c r="Q727" s="7">
        <v>44524.0</v>
      </c>
      <c r="R727" s="6" t="s">
        <v>1213</v>
      </c>
      <c r="S727" s="5">
        <v>0.0</v>
      </c>
      <c r="T727" s="6" t="s">
        <v>33</v>
      </c>
      <c r="U727" s="5">
        <v>2.0211124E7</v>
      </c>
      <c r="V727" s="5">
        <v>2.0211124E7</v>
      </c>
      <c r="W727" s="5">
        <v>29.660047805</v>
      </c>
      <c r="X727" s="5">
        <v>-95.291911762</v>
      </c>
    </row>
    <row r="728" ht="15.75" customHeight="1">
      <c r="A728" s="5">
        <v>12594.0</v>
      </c>
      <c r="B728" s="6">
        <v>2021.0</v>
      </c>
      <c r="C728" s="6" t="str">
        <f t="shared" si="1"/>
        <v>4718 SALINA ST,Houston,Texas</v>
      </c>
      <c r="D728" s="6" t="s">
        <v>1354</v>
      </c>
      <c r="E728" s="6" t="s">
        <v>25</v>
      </c>
      <c r="F728" s="6" t="s">
        <v>26</v>
      </c>
      <c r="G728" s="6" t="s">
        <v>43</v>
      </c>
      <c r="H728" s="6" t="s">
        <v>50</v>
      </c>
      <c r="I728" s="6" t="str">
        <f>VLOOKUP(H728,'Flow Location'!$A$1:$B$21,2,FALSE)</f>
        <v>Contained On Site, not within 5 ft. of Bayou/Surface Water/Drainage Ditch</v>
      </c>
      <c r="J728" s="5">
        <v>0.0</v>
      </c>
      <c r="K728" s="6" t="s">
        <v>45</v>
      </c>
      <c r="L728" s="6" t="str">
        <f>VLOOKUP(K728,'Structure type'!$A$1:$B$15,2,FALSE)</f>
        <v>City Cleanout</v>
      </c>
      <c r="M728" s="6" t="s">
        <v>30</v>
      </c>
      <c r="N728" s="6" t="str">
        <f>VLOOKUP(M728,'Excursion Cause'!$A$1:$B$34,2,FALSE)</f>
        <v>Grease Blockage</v>
      </c>
      <c r="O728" s="7">
        <v>44524.0</v>
      </c>
      <c r="P728" s="6" t="s">
        <v>958</v>
      </c>
      <c r="Q728" s="7">
        <v>44524.0</v>
      </c>
      <c r="R728" s="6" t="s">
        <v>958</v>
      </c>
      <c r="S728" s="5">
        <v>0.0</v>
      </c>
      <c r="T728" s="6" t="s">
        <v>270</v>
      </c>
      <c r="U728" s="5">
        <v>2.0211124E7</v>
      </c>
      <c r="V728" s="5">
        <v>2.0211124E7</v>
      </c>
      <c r="W728" s="5">
        <v>29.791680355</v>
      </c>
      <c r="X728" s="5">
        <v>-95.322241176</v>
      </c>
    </row>
    <row r="729" ht="15.75" customHeight="1">
      <c r="A729" s="5">
        <v>12596.0</v>
      </c>
      <c r="B729" s="6">
        <v>2021.0</v>
      </c>
      <c r="C729" s="6" t="str">
        <f t="shared" si="1"/>
        <v>5820 W GULF BANK RD,Houston,Texas</v>
      </c>
      <c r="D729" s="6" t="s">
        <v>1355</v>
      </c>
      <c r="E729" s="6" t="s">
        <v>25</v>
      </c>
      <c r="F729" s="6" t="s">
        <v>26</v>
      </c>
      <c r="G729" s="6" t="s">
        <v>502</v>
      </c>
      <c r="H729" s="6" t="s">
        <v>50</v>
      </c>
      <c r="I729" s="6" t="str">
        <f>VLOOKUP(H729,'Flow Location'!$A$1:$B$21,2,FALSE)</f>
        <v>Contained On Site, not within 5 ft. of Bayou/Surface Water/Drainage Ditch</v>
      </c>
      <c r="J729" s="5">
        <v>25.0</v>
      </c>
      <c r="K729" s="6" t="s">
        <v>29</v>
      </c>
      <c r="L729" s="6" t="str">
        <f>VLOOKUP(K729,'Structure type'!$A$1:$B$15,2,FALSE)</f>
        <v>Manhole</v>
      </c>
      <c r="M729" s="6" t="s">
        <v>30</v>
      </c>
      <c r="N729" s="6" t="str">
        <f>VLOOKUP(M729,'Excursion Cause'!$A$1:$B$34,2,FALSE)</f>
        <v>Grease Blockage</v>
      </c>
      <c r="O729" s="7">
        <v>44524.0</v>
      </c>
      <c r="P729" s="6" t="s">
        <v>750</v>
      </c>
      <c r="Q729" s="7">
        <v>44524.0</v>
      </c>
      <c r="R729" s="6" t="s">
        <v>987</v>
      </c>
      <c r="S729" s="5">
        <v>1.0</v>
      </c>
      <c r="T729" s="6" t="s">
        <v>33</v>
      </c>
      <c r="U729" s="5">
        <v>2.0211124E7</v>
      </c>
      <c r="V729" s="5">
        <v>2.0211124E7</v>
      </c>
      <c r="W729" s="5">
        <v>29.88451337</v>
      </c>
      <c r="X729" s="5">
        <v>-95.475360023</v>
      </c>
    </row>
    <row r="730" ht="15.75" customHeight="1">
      <c r="A730" s="5">
        <v>12597.0</v>
      </c>
      <c r="B730" s="6">
        <v>2021.0</v>
      </c>
      <c r="C730" s="6" t="str">
        <f t="shared" si="1"/>
        <v>9018 PETERSHAM DR,Houston,Texas</v>
      </c>
      <c r="D730" s="6" t="s">
        <v>1356</v>
      </c>
      <c r="E730" s="6" t="s">
        <v>25</v>
      </c>
      <c r="F730" s="6" t="s">
        <v>26</v>
      </c>
      <c r="G730" s="6" t="s">
        <v>214</v>
      </c>
      <c r="H730" s="6" t="s">
        <v>50</v>
      </c>
      <c r="I730" s="6" t="str">
        <f>VLOOKUP(H730,'Flow Location'!$A$1:$B$21,2,FALSE)</f>
        <v>Contained On Site, not within 5 ft. of Bayou/Surface Water/Drainage Ditch</v>
      </c>
      <c r="J730" s="5">
        <v>1244.0</v>
      </c>
      <c r="K730" s="6" t="s">
        <v>45</v>
      </c>
      <c r="L730" s="6" t="str">
        <f>VLOOKUP(K730,'Structure type'!$A$1:$B$15,2,FALSE)</f>
        <v>City Cleanout</v>
      </c>
      <c r="M730" s="6" t="s">
        <v>56</v>
      </c>
      <c r="N730" s="6" t="str">
        <f>VLOOKUP(M730,'Excursion Cause'!$A$1:$B$34,2,FALSE)</f>
        <v>Rags/Wipes</v>
      </c>
      <c r="O730" s="7">
        <v>44524.0</v>
      </c>
      <c r="P730" s="6" t="s">
        <v>162</v>
      </c>
      <c r="Q730" s="7">
        <v>44525.0</v>
      </c>
      <c r="R730" s="6" t="s">
        <v>1201</v>
      </c>
      <c r="S730" s="5">
        <v>1.0</v>
      </c>
      <c r="T730" s="6" t="s">
        <v>74</v>
      </c>
      <c r="U730" s="5">
        <v>2.0211124E7</v>
      </c>
      <c r="V730" s="5">
        <v>2.0211125E7</v>
      </c>
      <c r="W730" s="5">
        <v>29.654873363</v>
      </c>
      <c r="X730" s="5">
        <v>-95.5424517929999</v>
      </c>
    </row>
    <row r="731" ht="15.75" customHeight="1">
      <c r="A731" s="5">
        <v>12600.0</v>
      </c>
      <c r="B731" s="6">
        <v>2021.0</v>
      </c>
      <c r="C731" s="6" t="str">
        <f t="shared" si="1"/>
        <v>2401 MILWAUKEE ST,Houston,Texas</v>
      </c>
      <c r="D731" s="6" t="s">
        <v>1073</v>
      </c>
      <c r="E731" s="6" t="s">
        <v>25</v>
      </c>
      <c r="F731" s="6" t="s">
        <v>26</v>
      </c>
      <c r="G731" s="6" t="s">
        <v>43</v>
      </c>
      <c r="H731" s="6" t="s">
        <v>50</v>
      </c>
      <c r="I731" s="6" t="str">
        <f>VLOOKUP(H731,'Flow Location'!$A$1:$B$21,2,FALSE)</f>
        <v>Contained On Site, not within 5 ft. of Bayou/Surface Water/Drainage Ditch</v>
      </c>
      <c r="J731" s="5">
        <v>0.0</v>
      </c>
      <c r="K731" s="6" t="s">
        <v>45</v>
      </c>
      <c r="L731" s="6" t="str">
        <f>VLOOKUP(K731,'Structure type'!$A$1:$B$15,2,FALSE)</f>
        <v>City Cleanout</v>
      </c>
      <c r="M731" s="6" t="s">
        <v>56</v>
      </c>
      <c r="N731" s="6" t="str">
        <f>VLOOKUP(M731,'Excursion Cause'!$A$1:$B$34,2,FALSE)</f>
        <v>Rags/Wipes</v>
      </c>
      <c r="O731" s="7">
        <v>44525.0</v>
      </c>
      <c r="P731" s="6" t="s">
        <v>199</v>
      </c>
      <c r="Q731" s="7">
        <v>44525.0</v>
      </c>
      <c r="R731" s="6" t="s">
        <v>199</v>
      </c>
      <c r="S731" s="5">
        <v>0.0</v>
      </c>
      <c r="T731" s="6" t="s">
        <v>270</v>
      </c>
      <c r="U731" s="5">
        <v>2.0211125E7</v>
      </c>
      <c r="V731" s="5">
        <v>2.0211125E7</v>
      </c>
      <c r="W731" s="5">
        <v>29.809492947</v>
      </c>
      <c r="X731" s="5">
        <v>-95.3479824189999</v>
      </c>
    </row>
    <row r="732" ht="15.75" customHeight="1">
      <c r="A732" s="5">
        <v>12604.0</v>
      </c>
      <c r="B732" s="6">
        <v>2021.0</v>
      </c>
      <c r="C732" s="6" t="str">
        <f t="shared" si="1"/>
        <v>6335 FRENCH CHATEAU DR,Houston,Texas</v>
      </c>
      <c r="D732" s="6" t="s">
        <v>1357</v>
      </c>
      <c r="E732" s="6" t="s">
        <v>25</v>
      </c>
      <c r="F732" s="6" t="s">
        <v>26</v>
      </c>
      <c r="G732" s="6" t="s">
        <v>502</v>
      </c>
      <c r="H732" s="6" t="s">
        <v>28</v>
      </c>
      <c r="I732" s="6" t="str">
        <f>VLOOKUP(H732,'Flow Location'!$A$1:$B$21,2,FALSE)</f>
        <v>Storm Sewer (not contained)</v>
      </c>
      <c r="J732" s="5">
        <v>230.0</v>
      </c>
      <c r="K732" s="6" t="s">
        <v>29</v>
      </c>
      <c r="L732" s="6" t="str">
        <f>VLOOKUP(K732,'Structure type'!$A$1:$B$15,2,FALSE)</f>
        <v>Manhole</v>
      </c>
      <c r="M732" s="6" t="s">
        <v>30</v>
      </c>
      <c r="N732" s="6" t="str">
        <f>VLOOKUP(M732,'Excursion Cause'!$A$1:$B$34,2,FALSE)</f>
        <v>Grease Blockage</v>
      </c>
      <c r="O732" s="7">
        <v>44525.0</v>
      </c>
      <c r="P732" s="6" t="s">
        <v>751</v>
      </c>
      <c r="Q732" s="7">
        <v>44526.0</v>
      </c>
      <c r="R732" s="6" t="s">
        <v>1186</v>
      </c>
      <c r="S732" s="5">
        <v>0.0</v>
      </c>
      <c r="T732" s="6" t="s">
        <v>59</v>
      </c>
      <c r="U732" s="5">
        <v>2.0211125E7</v>
      </c>
      <c r="V732" s="5">
        <v>2.0211126E7</v>
      </c>
      <c r="W732" s="5">
        <v>29.873117418</v>
      </c>
      <c r="X732" s="5">
        <v>-95.487007515</v>
      </c>
    </row>
    <row r="733" ht="15.75" customHeight="1">
      <c r="A733" s="5">
        <v>12610.0</v>
      </c>
      <c r="B733" s="6">
        <v>2021.0</v>
      </c>
      <c r="C733" s="6" t="str">
        <f t="shared" si="1"/>
        <v>9701 IRBY ST,Houston,Texas</v>
      </c>
      <c r="D733" s="6" t="s">
        <v>1358</v>
      </c>
      <c r="E733" s="6" t="s">
        <v>25</v>
      </c>
      <c r="F733" s="6" t="s">
        <v>26</v>
      </c>
      <c r="G733" s="6" t="s">
        <v>502</v>
      </c>
      <c r="H733" s="6" t="s">
        <v>50</v>
      </c>
      <c r="I733" s="6" t="str">
        <f>VLOOKUP(H733,'Flow Location'!$A$1:$B$21,2,FALSE)</f>
        <v>Contained On Site, not within 5 ft. of Bayou/Surface Water/Drainage Ditch</v>
      </c>
      <c r="J733" s="5">
        <v>0.0</v>
      </c>
      <c r="K733" s="6" t="s">
        <v>29</v>
      </c>
      <c r="L733" s="6" t="str">
        <f>VLOOKUP(K733,'Structure type'!$A$1:$B$15,2,FALSE)</f>
        <v>Manhole</v>
      </c>
      <c r="M733" s="6" t="s">
        <v>52</v>
      </c>
      <c r="N733" s="6" t="str">
        <f>VLOOKUP(M733,'Excursion Cause'!$A$1:$B$34,2,FALSE)</f>
        <v>Collection system structural blockage</v>
      </c>
      <c r="O733" s="7">
        <v>44526.0</v>
      </c>
      <c r="P733" s="6" t="s">
        <v>164</v>
      </c>
      <c r="Q733" s="7">
        <v>44526.0</v>
      </c>
      <c r="R733" s="6" t="s">
        <v>164</v>
      </c>
      <c r="S733" s="5">
        <v>0.0</v>
      </c>
      <c r="T733" s="6" t="s">
        <v>377</v>
      </c>
      <c r="U733" s="5">
        <v>2.0211126E7</v>
      </c>
      <c r="V733" s="5">
        <v>2.0211126E7</v>
      </c>
      <c r="W733" s="5">
        <v>29.884487302</v>
      </c>
      <c r="X733" s="5">
        <v>-95.433813276</v>
      </c>
    </row>
    <row r="734" ht="15.75" customHeight="1">
      <c r="A734" s="5">
        <v>12613.0</v>
      </c>
      <c r="B734" s="6">
        <v>2021.0</v>
      </c>
      <c r="C734" s="6" t="str">
        <f t="shared" si="1"/>
        <v>5019 DICKENS RD,Houston,Texas</v>
      </c>
      <c r="D734" s="6" t="s">
        <v>1359</v>
      </c>
      <c r="E734" s="6" t="s">
        <v>25</v>
      </c>
      <c r="F734" s="6" t="s">
        <v>26</v>
      </c>
      <c r="G734" s="6" t="s">
        <v>238</v>
      </c>
      <c r="H734" s="6" t="s">
        <v>50</v>
      </c>
      <c r="I734" s="6" t="str">
        <f>VLOOKUP(H734,'Flow Location'!$A$1:$B$21,2,FALSE)</f>
        <v>Contained On Site, not within 5 ft. of Bayou/Surface Water/Drainage Ditch</v>
      </c>
      <c r="J734" s="5">
        <v>0.0</v>
      </c>
      <c r="K734" s="6" t="s">
        <v>51</v>
      </c>
      <c r="L734" s="6" t="str">
        <f>VLOOKUP(K734,'Structure type'!$A$1:$B$15,2,FALSE)</f>
        <v>Private Cleanout</v>
      </c>
      <c r="M734" s="6" t="s">
        <v>759</v>
      </c>
      <c r="N734" s="6" t="str">
        <f>VLOOKUP(M734,'Excursion Cause'!$A$1:$B$34,2,FALSE)</f>
        <v>Roots</v>
      </c>
      <c r="O734" s="7">
        <v>44527.0</v>
      </c>
      <c r="P734" s="6" t="s">
        <v>1360</v>
      </c>
      <c r="Q734" s="7">
        <v>44527.0</v>
      </c>
      <c r="R734" s="6" t="s">
        <v>1360</v>
      </c>
      <c r="S734" s="5">
        <v>0.0</v>
      </c>
      <c r="T734" s="6" t="s">
        <v>170</v>
      </c>
      <c r="U734" s="5">
        <v>2.0211127E7</v>
      </c>
      <c r="V734" s="5">
        <v>2.0211127E7</v>
      </c>
      <c r="W734" s="5">
        <v>29.706589412</v>
      </c>
      <c r="X734" s="5">
        <v>-95.333548112</v>
      </c>
    </row>
    <row r="735" ht="15.75" customHeight="1">
      <c r="A735" s="5">
        <v>12616.0</v>
      </c>
      <c r="B735" s="6">
        <v>2021.0</v>
      </c>
      <c r="C735" s="6" t="str">
        <f t="shared" si="1"/>
        <v>7526 S HALL ST,Houston,Texas</v>
      </c>
      <c r="D735" s="6" t="s">
        <v>1361</v>
      </c>
      <c r="E735" s="6" t="s">
        <v>25</v>
      </c>
      <c r="F735" s="6" t="s">
        <v>26</v>
      </c>
      <c r="G735" s="6" t="s">
        <v>177</v>
      </c>
      <c r="H735" s="6" t="s">
        <v>50</v>
      </c>
      <c r="I735" s="6" t="str">
        <f>VLOOKUP(H735,'Flow Location'!$A$1:$B$21,2,FALSE)</f>
        <v>Contained On Site, not within 5 ft. of Bayou/Surface Water/Drainage Ditch</v>
      </c>
      <c r="J735" s="5">
        <v>0.0</v>
      </c>
      <c r="K735" s="6" t="s">
        <v>45</v>
      </c>
      <c r="L735" s="6" t="str">
        <f>VLOOKUP(K735,'Structure type'!$A$1:$B$15,2,FALSE)</f>
        <v>City Cleanout</v>
      </c>
      <c r="M735" s="6" t="s">
        <v>56</v>
      </c>
      <c r="N735" s="6" t="str">
        <f>VLOOKUP(M735,'Excursion Cause'!$A$1:$B$34,2,FALSE)</f>
        <v>Rags/Wipes</v>
      </c>
      <c r="O735" s="7">
        <v>44527.0</v>
      </c>
      <c r="P735" s="6" t="s">
        <v>142</v>
      </c>
      <c r="Q735" s="7">
        <v>44527.0</v>
      </c>
      <c r="R735" s="6" t="s">
        <v>142</v>
      </c>
      <c r="S735" s="5">
        <v>0.0</v>
      </c>
      <c r="T735" s="6" t="s">
        <v>170</v>
      </c>
      <c r="U735" s="5">
        <v>2.0211127E7</v>
      </c>
      <c r="V735" s="5">
        <v>2.0211127E7</v>
      </c>
      <c r="W735" s="5">
        <v>29.8357705490001</v>
      </c>
      <c r="X735" s="5">
        <v>-95.292456837</v>
      </c>
    </row>
    <row r="736" ht="15.75" customHeight="1">
      <c r="A736" s="5">
        <v>12617.0</v>
      </c>
      <c r="B736" s="6">
        <v>2021.0</v>
      </c>
      <c r="C736" s="6" t="str">
        <f t="shared" si="1"/>
        <v>5927 SOUTHURST ST,Houston,Texas</v>
      </c>
      <c r="D736" s="6" t="s">
        <v>1362</v>
      </c>
      <c r="E736" s="6" t="s">
        <v>25</v>
      </c>
      <c r="F736" s="6" t="s">
        <v>26</v>
      </c>
      <c r="G736" s="6" t="s">
        <v>120</v>
      </c>
      <c r="H736" s="6" t="s">
        <v>50</v>
      </c>
      <c r="I736" s="6" t="str">
        <f>VLOOKUP(H736,'Flow Location'!$A$1:$B$21,2,FALSE)</f>
        <v>Contained On Site, not within 5 ft. of Bayou/Surface Water/Drainage Ditch</v>
      </c>
      <c r="J736" s="5">
        <v>0.0</v>
      </c>
      <c r="K736" s="6" t="s">
        <v>198</v>
      </c>
      <c r="L736" s="6" t="str">
        <f>VLOOKUP(K736,'Structure type'!$A$1:$B$15,2,FALSE)</f>
        <v>Service Lateral</v>
      </c>
      <c r="M736" s="6" t="s">
        <v>56</v>
      </c>
      <c r="N736" s="6" t="str">
        <f>VLOOKUP(M736,'Excursion Cause'!$A$1:$B$34,2,FALSE)</f>
        <v>Rags/Wipes</v>
      </c>
      <c r="O736" s="7">
        <v>44527.0</v>
      </c>
      <c r="P736" s="6" t="s">
        <v>1363</v>
      </c>
      <c r="Q736" s="7">
        <v>44527.0</v>
      </c>
      <c r="R736" s="6" t="s">
        <v>1363</v>
      </c>
      <c r="S736" s="5">
        <v>0.0</v>
      </c>
      <c r="T736" s="6" t="s">
        <v>170</v>
      </c>
      <c r="U736" s="5">
        <v>2.0211127E7</v>
      </c>
      <c r="V736" s="5">
        <v>2.0211127E7</v>
      </c>
      <c r="W736" s="5">
        <v>29.685217445</v>
      </c>
      <c r="X736" s="5">
        <v>-95.329110564</v>
      </c>
    </row>
    <row r="737" ht="15.75" customHeight="1">
      <c r="A737" s="5">
        <v>12618.0</v>
      </c>
      <c r="B737" s="6">
        <v>2021.0</v>
      </c>
      <c r="C737" s="6" t="str">
        <f t="shared" si="1"/>
        <v>7560 ASHBURN ST,Houston,Texas</v>
      </c>
      <c r="D737" s="6" t="s">
        <v>1364</v>
      </c>
      <c r="E737" s="6" t="s">
        <v>25</v>
      </c>
      <c r="F737" s="6" t="s">
        <v>26</v>
      </c>
      <c r="G737" s="6" t="s">
        <v>398</v>
      </c>
      <c r="H737" s="6" t="s">
        <v>50</v>
      </c>
      <c r="I737" s="6" t="str">
        <f>VLOOKUP(H737,'Flow Location'!$A$1:$B$21,2,FALSE)</f>
        <v>Contained On Site, not within 5 ft. of Bayou/Surface Water/Drainage Ditch</v>
      </c>
      <c r="J737" s="5">
        <v>0.0</v>
      </c>
      <c r="K737" s="6" t="s">
        <v>45</v>
      </c>
      <c r="L737" s="6" t="str">
        <f>VLOOKUP(K737,'Structure type'!$A$1:$B$15,2,FALSE)</f>
        <v>City Cleanout</v>
      </c>
      <c r="M737" s="6" t="s">
        <v>56</v>
      </c>
      <c r="N737" s="6" t="str">
        <f>VLOOKUP(M737,'Excursion Cause'!$A$1:$B$34,2,FALSE)</f>
        <v>Rags/Wipes</v>
      </c>
      <c r="O737" s="7">
        <v>44527.0</v>
      </c>
      <c r="P737" s="6" t="s">
        <v>320</v>
      </c>
      <c r="Q737" s="7">
        <v>44527.0</v>
      </c>
      <c r="R737" s="6" t="s">
        <v>320</v>
      </c>
      <c r="S737" s="5">
        <v>0.0</v>
      </c>
      <c r="T737" s="6" t="s">
        <v>74</v>
      </c>
      <c r="U737" s="5">
        <v>2.0211127E7</v>
      </c>
      <c r="V737" s="5">
        <v>2.0211127E7</v>
      </c>
      <c r="W737" s="5">
        <v>29.6670879330001</v>
      </c>
      <c r="X737" s="5">
        <v>-95.290216941</v>
      </c>
    </row>
    <row r="738" ht="15.75" customHeight="1">
      <c r="A738" s="5">
        <v>12624.0</v>
      </c>
      <c r="B738" s="6">
        <v>2021.0</v>
      </c>
      <c r="C738" s="6" t="str">
        <f t="shared" si="1"/>
        <v>9806 ROSEHAVEN DR,Houston,Texas</v>
      </c>
      <c r="D738" s="6" t="s">
        <v>1365</v>
      </c>
      <c r="E738" s="6" t="s">
        <v>25</v>
      </c>
      <c r="F738" s="6" t="s">
        <v>26</v>
      </c>
      <c r="G738" s="6" t="s">
        <v>105</v>
      </c>
      <c r="H738" s="6" t="s">
        <v>50</v>
      </c>
      <c r="I738" s="6" t="str">
        <f>VLOOKUP(H738,'Flow Location'!$A$1:$B$21,2,FALSE)</f>
        <v>Contained On Site, not within 5 ft. of Bayou/Surface Water/Drainage Ditch</v>
      </c>
      <c r="J738" s="5">
        <v>119.0</v>
      </c>
      <c r="K738" s="6" t="s">
        <v>29</v>
      </c>
      <c r="L738" s="6" t="str">
        <f>VLOOKUP(K738,'Structure type'!$A$1:$B$15,2,FALSE)</f>
        <v>Manhole</v>
      </c>
      <c r="M738" s="6" t="s">
        <v>30</v>
      </c>
      <c r="N738" s="6" t="str">
        <f>VLOOKUP(M738,'Excursion Cause'!$A$1:$B$34,2,FALSE)</f>
        <v>Grease Blockage</v>
      </c>
      <c r="O738" s="7">
        <v>44528.0</v>
      </c>
      <c r="P738" s="6" t="s">
        <v>254</v>
      </c>
      <c r="Q738" s="7">
        <v>44528.0</v>
      </c>
      <c r="R738" s="6" t="s">
        <v>129</v>
      </c>
      <c r="S738" s="5">
        <v>1.0</v>
      </c>
      <c r="T738" s="6" t="s">
        <v>59</v>
      </c>
      <c r="U738" s="5">
        <v>2.0211128E7</v>
      </c>
      <c r="V738" s="5">
        <v>2.0211128E7</v>
      </c>
      <c r="W738" s="5">
        <v>29.651235281</v>
      </c>
      <c r="X738" s="5">
        <v>-95.3761772139999</v>
      </c>
    </row>
    <row r="739" ht="15.75" customHeight="1">
      <c r="A739" s="5">
        <v>12626.0</v>
      </c>
      <c r="B739" s="6">
        <v>2021.0</v>
      </c>
      <c r="C739" s="6" t="str">
        <f t="shared" si="1"/>
        <v>1039 YALE ST,Houston,Texas</v>
      </c>
      <c r="D739" s="6" t="s">
        <v>1366</v>
      </c>
      <c r="E739" s="6" t="s">
        <v>25</v>
      </c>
      <c r="F739" s="6" t="s">
        <v>26</v>
      </c>
      <c r="G739" s="6" t="s">
        <v>232</v>
      </c>
      <c r="H739" s="6" t="s">
        <v>50</v>
      </c>
      <c r="I739" s="6" t="str">
        <f>VLOOKUP(H739,'Flow Location'!$A$1:$B$21,2,FALSE)</f>
        <v>Contained On Site, not within 5 ft. of Bayou/Surface Water/Drainage Ditch</v>
      </c>
      <c r="J739" s="5">
        <v>0.0</v>
      </c>
      <c r="K739" s="6" t="s">
        <v>29</v>
      </c>
      <c r="L739" s="6" t="str">
        <f>VLOOKUP(K739,'Structure type'!$A$1:$B$15,2,FALSE)</f>
        <v>Manhole</v>
      </c>
      <c r="M739" s="6" t="s">
        <v>30</v>
      </c>
      <c r="N739" s="6" t="str">
        <f>VLOOKUP(M739,'Excursion Cause'!$A$1:$B$34,2,FALSE)</f>
        <v>Grease Blockage</v>
      </c>
      <c r="O739" s="7">
        <v>44528.0</v>
      </c>
      <c r="P739" s="6" t="s">
        <v>1059</v>
      </c>
      <c r="Q739" s="7">
        <v>44528.0</v>
      </c>
      <c r="R739" s="6" t="s">
        <v>1059</v>
      </c>
      <c r="S739" s="5">
        <v>0.0</v>
      </c>
      <c r="T739" s="6" t="s">
        <v>59</v>
      </c>
      <c r="U739" s="5">
        <v>2.0211128E7</v>
      </c>
      <c r="V739" s="5">
        <v>2.0211128E7</v>
      </c>
      <c r="W739" s="5">
        <v>29.790383214</v>
      </c>
      <c r="X739" s="5">
        <v>-95.3990101049999</v>
      </c>
    </row>
    <row r="740" ht="15.75" customHeight="1">
      <c r="A740" s="5">
        <v>12633.0</v>
      </c>
      <c r="B740" s="6">
        <v>2021.0</v>
      </c>
      <c r="C740" s="6" t="str">
        <f t="shared" si="1"/>
        <v>1107 JOCELYN ST,Houston,Texas</v>
      </c>
      <c r="D740" s="6" t="s">
        <v>1367</v>
      </c>
      <c r="E740" s="6" t="s">
        <v>25</v>
      </c>
      <c r="F740" s="6" t="s">
        <v>26</v>
      </c>
      <c r="G740" s="6" t="s">
        <v>141</v>
      </c>
      <c r="H740" s="6" t="s">
        <v>50</v>
      </c>
      <c r="I740" s="6" t="str">
        <f>VLOOKUP(H740,'Flow Location'!$A$1:$B$21,2,FALSE)</f>
        <v>Contained On Site, not within 5 ft. of Bayou/Surface Water/Drainage Ditch</v>
      </c>
      <c r="J740" s="5">
        <v>0.0</v>
      </c>
      <c r="K740" s="6" t="s">
        <v>45</v>
      </c>
      <c r="L740" s="6" t="str">
        <f>VLOOKUP(K740,'Structure type'!$A$1:$B$15,2,FALSE)</f>
        <v>City Cleanout</v>
      </c>
      <c r="M740" s="6" t="s">
        <v>56</v>
      </c>
      <c r="N740" s="6" t="str">
        <f>VLOOKUP(M740,'Excursion Cause'!$A$1:$B$34,2,FALSE)</f>
        <v>Rags/Wipes</v>
      </c>
      <c r="O740" s="7">
        <v>44529.0</v>
      </c>
      <c r="P740" s="6" t="s">
        <v>288</v>
      </c>
      <c r="Q740" s="7">
        <v>44529.0</v>
      </c>
      <c r="R740" s="6" t="s">
        <v>288</v>
      </c>
      <c r="S740" s="5">
        <v>0.0</v>
      </c>
      <c r="T740" s="6" t="s">
        <v>170</v>
      </c>
      <c r="U740" s="5">
        <v>2.0211129E7</v>
      </c>
      <c r="V740" s="5">
        <v>2.0211129E7</v>
      </c>
      <c r="W740" s="5">
        <v>29.727880745</v>
      </c>
      <c r="X740" s="5">
        <v>-95.3162674769999</v>
      </c>
    </row>
    <row r="741" ht="15.75" customHeight="1">
      <c r="A741" s="5">
        <v>12635.0</v>
      </c>
      <c r="B741" s="6">
        <v>2021.0</v>
      </c>
      <c r="C741" s="6" t="str">
        <f t="shared" si="1"/>
        <v>618 HEIDRICH ST,Houston,Texas</v>
      </c>
      <c r="D741" s="6" t="s">
        <v>1368</v>
      </c>
      <c r="E741" s="6" t="s">
        <v>25</v>
      </c>
      <c r="F741" s="6" t="s">
        <v>26</v>
      </c>
      <c r="G741" s="6" t="s">
        <v>218</v>
      </c>
      <c r="H741" s="6" t="s">
        <v>44</v>
      </c>
      <c r="I741" s="6" t="str">
        <f>VLOOKUP(H741,'Flow Location'!$A$1:$B$21,2,FALSE)</f>
        <v>Bayou/surface water/drainage ditch</v>
      </c>
      <c r="J741" s="5">
        <v>0.0</v>
      </c>
      <c r="K741" s="6" t="s">
        <v>45</v>
      </c>
      <c r="L741" s="6" t="str">
        <f>VLOOKUP(K741,'Structure type'!$A$1:$B$15,2,FALSE)</f>
        <v>City Cleanout</v>
      </c>
      <c r="M741" s="6" t="s">
        <v>30</v>
      </c>
      <c r="N741" s="6" t="str">
        <f>VLOOKUP(M741,'Excursion Cause'!$A$1:$B$34,2,FALSE)</f>
        <v>Grease Blockage</v>
      </c>
      <c r="O741" s="7">
        <v>44529.0</v>
      </c>
      <c r="P741" s="6" t="s">
        <v>1369</v>
      </c>
      <c r="Q741" s="7">
        <v>44529.0</v>
      </c>
      <c r="R741" s="6" t="s">
        <v>1369</v>
      </c>
      <c r="S741" s="5">
        <v>0.0</v>
      </c>
      <c r="T741" s="6" t="s">
        <v>270</v>
      </c>
      <c r="U741" s="5">
        <v>2.0211129E7</v>
      </c>
      <c r="V741" s="5">
        <v>2.0211129E7</v>
      </c>
      <c r="W741" s="5">
        <v>29.8309704010001</v>
      </c>
      <c r="X741" s="5">
        <v>-95.409086829</v>
      </c>
    </row>
    <row r="742" ht="15.75" customHeight="1">
      <c r="A742" s="5">
        <v>12636.0</v>
      </c>
      <c r="B742" s="6">
        <v>2021.0</v>
      </c>
      <c r="C742" s="6" t="str">
        <f t="shared" si="1"/>
        <v>3147 GOLFCREST BLVD,Houston,Texas</v>
      </c>
      <c r="D742" s="6" t="s">
        <v>1370</v>
      </c>
      <c r="E742" s="6" t="s">
        <v>25</v>
      </c>
      <c r="F742" s="6" t="s">
        <v>26</v>
      </c>
      <c r="G742" s="6" t="s">
        <v>35</v>
      </c>
      <c r="H742" s="6" t="s">
        <v>50</v>
      </c>
      <c r="I742" s="6" t="str">
        <f>VLOOKUP(H742,'Flow Location'!$A$1:$B$21,2,FALSE)</f>
        <v>Contained On Site, not within 5 ft. of Bayou/Surface Water/Drainage Ditch</v>
      </c>
      <c r="J742" s="5">
        <v>0.0</v>
      </c>
      <c r="K742" s="6" t="s">
        <v>45</v>
      </c>
      <c r="L742" s="6" t="str">
        <f>VLOOKUP(K742,'Structure type'!$A$1:$B$15,2,FALSE)</f>
        <v>City Cleanout</v>
      </c>
      <c r="M742" s="6" t="s">
        <v>52</v>
      </c>
      <c r="N742" s="6" t="str">
        <f>VLOOKUP(M742,'Excursion Cause'!$A$1:$B$34,2,FALSE)</f>
        <v>Collection system structural blockage</v>
      </c>
      <c r="O742" s="7">
        <v>44529.0</v>
      </c>
      <c r="P742" s="6" t="s">
        <v>265</v>
      </c>
      <c r="Q742" s="7">
        <v>44529.0</v>
      </c>
      <c r="R742" s="6" t="s">
        <v>265</v>
      </c>
      <c r="S742" s="5">
        <v>0.0</v>
      </c>
      <c r="T742" s="6" t="s">
        <v>270</v>
      </c>
      <c r="U742" s="5">
        <v>2.0211129E7</v>
      </c>
      <c r="V742" s="5">
        <v>2.0211129E7</v>
      </c>
      <c r="W742" s="5">
        <v>29.695353093</v>
      </c>
      <c r="X742" s="5">
        <v>-95.30721192</v>
      </c>
    </row>
    <row r="743" ht="15.75" customHeight="1">
      <c r="A743" s="5">
        <v>12638.0</v>
      </c>
      <c r="B743" s="6">
        <v>2021.0</v>
      </c>
      <c r="C743" s="6" t="str">
        <f t="shared" si="1"/>
        <v>3125 CRESTDALE DR,Houston,Texas</v>
      </c>
      <c r="D743" s="6" t="s">
        <v>1371</v>
      </c>
      <c r="E743" s="6" t="s">
        <v>25</v>
      </c>
      <c r="F743" s="6" t="s">
        <v>26</v>
      </c>
      <c r="G743" s="6" t="s">
        <v>294</v>
      </c>
      <c r="H743" s="6" t="s">
        <v>28</v>
      </c>
      <c r="I743" s="6" t="str">
        <f>VLOOKUP(H743,'Flow Location'!$A$1:$B$21,2,FALSE)</f>
        <v>Storm Sewer (not contained)</v>
      </c>
      <c r="J743" s="5">
        <v>384.0</v>
      </c>
      <c r="K743" s="6" t="s">
        <v>29</v>
      </c>
      <c r="L743" s="6" t="str">
        <f>VLOOKUP(K743,'Structure type'!$A$1:$B$15,2,FALSE)</f>
        <v>Manhole</v>
      </c>
      <c r="M743" s="6" t="s">
        <v>30</v>
      </c>
      <c r="N743" s="6" t="str">
        <f>VLOOKUP(M743,'Excursion Cause'!$A$1:$B$34,2,FALSE)</f>
        <v>Grease Blockage</v>
      </c>
      <c r="O743" s="7">
        <v>44529.0</v>
      </c>
      <c r="P743" s="6" t="s">
        <v>1372</v>
      </c>
      <c r="Q743" s="7">
        <v>44529.0</v>
      </c>
      <c r="R743" s="6" t="s">
        <v>629</v>
      </c>
      <c r="S743" s="5">
        <v>3.0</v>
      </c>
      <c r="T743" s="6" t="s">
        <v>33</v>
      </c>
      <c r="U743" s="5">
        <v>2.0211129E7</v>
      </c>
      <c r="V743" s="5">
        <v>2.0211129E7</v>
      </c>
      <c r="W743" s="5">
        <v>29.8189665520001</v>
      </c>
      <c r="X743" s="5">
        <v>-95.531481055</v>
      </c>
    </row>
    <row r="744" ht="15.75" customHeight="1">
      <c r="A744" s="5">
        <v>12640.0</v>
      </c>
      <c r="B744" s="6">
        <v>2021.0</v>
      </c>
      <c r="C744" s="6" t="str">
        <f t="shared" si="1"/>
        <v>1640 DUNA WAY,Houston,Texas</v>
      </c>
      <c r="D744" s="6" t="s">
        <v>1255</v>
      </c>
      <c r="E744" s="6" t="s">
        <v>25</v>
      </c>
      <c r="F744" s="6" t="s">
        <v>26</v>
      </c>
      <c r="G744" s="6" t="s">
        <v>623</v>
      </c>
      <c r="H744" s="6" t="s">
        <v>50</v>
      </c>
      <c r="I744" s="6" t="str">
        <f>VLOOKUP(H744,'Flow Location'!$A$1:$B$21,2,FALSE)</f>
        <v>Contained On Site, not within 5 ft. of Bayou/Surface Water/Drainage Ditch</v>
      </c>
      <c r="J744" s="5">
        <v>0.0</v>
      </c>
      <c r="K744" s="6" t="s">
        <v>29</v>
      </c>
      <c r="L744" s="6" t="str">
        <f>VLOOKUP(K744,'Structure type'!$A$1:$B$15,2,FALSE)</f>
        <v>Manhole</v>
      </c>
      <c r="M744" s="6" t="s">
        <v>52</v>
      </c>
      <c r="N744" s="6" t="str">
        <f>VLOOKUP(M744,'Excursion Cause'!$A$1:$B$34,2,FALSE)</f>
        <v>Collection system structural blockage</v>
      </c>
      <c r="O744" s="7">
        <v>44529.0</v>
      </c>
      <c r="P744" s="6" t="s">
        <v>649</v>
      </c>
      <c r="Q744" s="7">
        <v>44529.0</v>
      </c>
      <c r="R744" s="6" t="s">
        <v>649</v>
      </c>
      <c r="S744" s="5">
        <v>0.0</v>
      </c>
      <c r="T744" s="6" t="s">
        <v>107</v>
      </c>
      <c r="U744" s="5">
        <v>2.0211129E7</v>
      </c>
      <c r="V744" s="5">
        <v>2.0211129E7</v>
      </c>
      <c r="W744" s="5">
        <v>29.7595656070001</v>
      </c>
      <c r="X744" s="5">
        <v>-95.217807798</v>
      </c>
    </row>
    <row r="745" ht="15.75" customHeight="1">
      <c r="A745" s="5">
        <v>12643.0</v>
      </c>
      <c r="B745" s="6">
        <v>2021.0</v>
      </c>
      <c r="C745" s="6" t="str">
        <f t="shared" si="1"/>
        <v>11722 MOSSCREST DR,Houston,Texas</v>
      </c>
      <c r="D745" s="6" t="s">
        <v>1373</v>
      </c>
      <c r="E745" s="6" t="s">
        <v>25</v>
      </c>
      <c r="F745" s="6" t="s">
        <v>26</v>
      </c>
      <c r="G745" s="6" t="s">
        <v>301</v>
      </c>
      <c r="H745" s="6" t="s">
        <v>50</v>
      </c>
      <c r="I745" s="6" t="str">
        <f>VLOOKUP(H745,'Flow Location'!$A$1:$B$21,2,FALSE)</f>
        <v>Contained On Site, not within 5 ft. of Bayou/Surface Water/Drainage Ditch</v>
      </c>
      <c r="J745" s="5">
        <v>2296.0</v>
      </c>
      <c r="K745" s="6" t="s">
        <v>29</v>
      </c>
      <c r="L745" s="6" t="str">
        <f>VLOOKUP(K745,'Structure type'!$A$1:$B$15,2,FALSE)</f>
        <v>Manhole</v>
      </c>
      <c r="M745" s="6" t="s">
        <v>30</v>
      </c>
      <c r="N745" s="6" t="str">
        <f>VLOOKUP(M745,'Excursion Cause'!$A$1:$B$34,2,FALSE)</f>
        <v>Grease Blockage</v>
      </c>
      <c r="O745" s="7">
        <v>44529.0</v>
      </c>
      <c r="P745" s="6" t="s">
        <v>1266</v>
      </c>
      <c r="Q745" s="7">
        <v>44530.0</v>
      </c>
      <c r="R745" s="6" t="s">
        <v>617</v>
      </c>
      <c r="S745" s="5">
        <v>2.0</v>
      </c>
      <c r="T745" s="6" t="s">
        <v>33</v>
      </c>
      <c r="U745" s="5">
        <v>2.0211129E7</v>
      </c>
      <c r="V745" s="5">
        <v>2.021113E7</v>
      </c>
      <c r="W745" s="5">
        <v>29.633266576</v>
      </c>
      <c r="X745" s="5">
        <v>-95.351318584</v>
      </c>
    </row>
    <row r="746" ht="15.75" customHeight="1">
      <c r="A746" s="5">
        <v>12644.0</v>
      </c>
      <c r="B746" s="6">
        <v>2021.0</v>
      </c>
      <c r="C746" s="6" t="str">
        <f t="shared" si="1"/>
        <v>5396 ROYALTON ST,Houston,Texas</v>
      </c>
      <c r="D746" s="6" t="s">
        <v>1374</v>
      </c>
      <c r="E746" s="6" t="s">
        <v>25</v>
      </c>
      <c r="F746" s="6" t="s">
        <v>26</v>
      </c>
      <c r="G746" s="6" t="s">
        <v>287</v>
      </c>
      <c r="H746" s="6" t="s">
        <v>50</v>
      </c>
      <c r="I746" s="6" t="str">
        <f>VLOOKUP(H746,'Flow Location'!$A$1:$B$21,2,FALSE)</f>
        <v>Contained On Site, not within 5 ft. of Bayou/Surface Water/Drainage Ditch</v>
      </c>
      <c r="J746" s="5">
        <v>2260.0</v>
      </c>
      <c r="K746" s="6" t="s">
        <v>29</v>
      </c>
      <c r="L746" s="6" t="str">
        <f>VLOOKUP(K746,'Structure type'!$A$1:$B$15,2,FALSE)</f>
        <v>Manhole</v>
      </c>
      <c r="M746" s="6" t="s">
        <v>30</v>
      </c>
      <c r="N746" s="6" t="str">
        <f>VLOOKUP(M746,'Excursion Cause'!$A$1:$B$34,2,FALSE)</f>
        <v>Grease Blockage</v>
      </c>
      <c r="O746" s="7">
        <v>44529.0</v>
      </c>
      <c r="P746" s="6" t="s">
        <v>215</v>
      </c>
      <c r="Q746" s="7">
        <v>44530.0</v>
      </c>
      <c r="R746" s="6" t="s">
        <v>666</v>
      </c>
      <c r="S746" s="5">
        <v>2.0</v>
      </c>
      <c r="T746" s="6" t="s">
        <v>33</v>
      </c>
      <c r="U746" s="5">
        <v>2.0211129E7</v>
      </c>
      <c r="V746" s="5">
        <v>2.021113E7</v>
      </c>
      <c r="W746" s="5">
        <v>29.7223663990001</v>
      </c>
      <c r="X746" s="5">
        <v>-95.472376662</v>
      </c>
    </row>
    <row r="747" ht="15.75" customHeight="1">
      <c r="A747" s="5">
        <v>12645.0</v>
      </c>
      <c r="B747" s="6">
        <v>2021.0</v>
      </c>
      <c r="C747" s="6" t="str">
        <f t="shared" si="1"/>
        <v>5312 E HOUSTON RD,Houston,Texas</v>
      </c>
      <c r="D747" s="6" t="s">
        <v>1375</v>
      </c>
      <c r="E747" s="6" t="s">
        <v>25</v>
      </c>
      <c r="F747" s="6" t="s">
        <v>26</v>
      </c>
      <c r="G747" s="6" t="s">
        <v>177</v>
      </c>
      <c r="H747" s="6" t="s">
        <v>44</v>
      </c>
      <c r="I747" s="6" t="str">
        <f>VLOOKUP(H747,'Flow Location'!$A$1:$B$21,2,FALSE)</f>
        <v>Bayou/surface water/drainage ditch</v>
      </c>
      <c r="J747" s="5">
        <v>0.0</v>
      </c>
      <c r="K747" s="6" t="s">
        <v>29</v>
      </c>
      <c r="L747" s="6" t="str">
        <f>VLOOKUP(K747,'Structure type'!$A$1:$B$15,2,FALSE)</f>
        <v>Manhole</v>
      </c>
      <c r="M747" s="6" t="s">
        <v>30</v>
      </c>
      <c r="N747" s="6" t="str">
        <f>VLOOKUP(M747,'Excursion Cause'!$A$1:$B$34,2,FALSE)</f>
        <v>Grease Blockage</v>
      </c>
      <c r="O747" s="7">
        <v>44529.0</v>
      </c>
      <c r="P747" s="6" t="s">
        <v>71</v>
      </c>
      <c r="Q747" s="7">
        <v>44529.0</v>
      </c>
      <c r="R747" s="6" t="s">
        <v>71</v>
      </c>
      <c r="S747" s="5">
        <v>0.0</v>
      </c>
      <c r="T747" s="6" t="s">
        <v>33</v>
      </c>
      <c r="U747" s="5">
        <v>2.0211129E7</v>
      </c>
      <c r="V747" s="5">
        <v>2.0211129E7</v>
      </c>
      <c r="W747" s="5">
        <v>29.8095470110001</v>
      </c>
      <c r="X747" s="5">
        <v>-95.2697124589999</v>
      </c>
    </row>
    <row r="748" ht="15.75" customHeight="1">
      <c r="A748" s="5">
        <v>12649.0</v>
      </c>
      <c r="B748" s="6">
        <v>2021.0</v>
      </c>
      <c r="C748" s="6" t="str">
        <f t="shared" si="1"/>
        <v>5909 FONDREN RD,Houston,Texas</v>
      </c>
      <c r="D748" s="6" t="s">
        <v>1376</v>
      </c>
      <c r="E748" s="6" t="s">
        <v>25</v>
      </c>
      <c r="F748" s="6" t="s">
        <v>26</v>
      </c>
      <c r="G748" s="6" t="s">
        <v>100</v>
      </c>
      <c r="H748" s="6" t="s">
        <v>50</v>
      </c>
      <c r="I748" s="6" t="str">
        <f>VLOOKUP(H748,'Flow Location'!$A$1:$B$21,2,FALSE)</f>
        <v>Contained On Site, not within 5 ft. of Bayou/Surface Water/Drainage Ditch</v>
      </c>
      <c r="J748" s="5">
        <v>4125.0</v>
      </c>
      <c r="K748" s="6" t="s">
        <v>29</v>
      </c>
      <c r="L748" s="6" t="str">
        <f>VLOOKUP(K748,'Structure type'!$A$1:$B$15,2,FALSE)</f>
        <v>Manhole</v>
      </c>
      <c r="M748" s="6" t="s">
        <v>96</v>
      </c>
      <c r="N748" s="6" t="str">
        <f>VLOOKUP(M748,'Excursion Cause'!$A$1:$B$34,2,FALSE)</f>
        <v>Collection system temporary blockage</v>
      </c>
      <c r="O748" s="7">
        <v>44530.0</v>
      </c>
      <c r="P748" s="6" t="s">
        <v>732</v>
      </c>
      <c r="Q748" s="10">
        <v>44531.0</v>
      </c>
      <c r="R748" s="6" t="s">
        <v>1336</v>
      </c>
      <c r="S748" s="5">
        <v>3.0</v>
      </c>
      <c r="T748" s="6" t="s">
        <v>118</v>
      </c>
      <c r="U748" s="5">
        <v>2.021113E7</v>
      </c>
      <c r="V748" s="5">
        <v>2.0210112E7</v>
      </c>
      <c r="W748" s="5">
        <v>29.715415933</v>
      </c>
      <c r="X748" s="5">
        <v>-95.51991822</v>
      </c>
    </row>
    <row r="749" ht="15.75" customHeight="1">
      <c r="A749" s="5">
        <v>12650.0</v>
      </c>
      <c r="B749" s="6">
        <v>2021.0</v>
      </c>
      <c r="C749" s="6" t="str">
        <f t="shared" si="1"/>
        <v>419 HAHLO ST,Houston,Texas</v>
      </c>
      <c r="D749" s="6" t="s">
        <v>1341</v>
      </c>
      <c r="E749" s="6" t="s">
        <v>25</v>
      </c>
      <c r="F749" s="6" t="s">
        <v>26</v>
      </c>
      <c r="G749" s="6" t="s">
        <v>86</v>
      </c>
      <c r="H749" s="6" t="s">
        <v>44</v>
      </c>
      <c r="I749" s="6" t="str">
        <f>VLOOKUP(H749,'Flow Location'!$A$1:$B$21,2,FALSE)</f>
        <v>Bayou/surface water/drainage ditch</v>
      </c>
      <c r="J749" s="5">
        <v>0.0</v>
      </c>
      <c r="K749" s="6" t="s">
        <v>51</v>
      </c>
      <c r="L749" s="6" t="str">
        <f>VLOOKUP(K749,'Structure type'!$A$1:$B$15,2,FALSE)</f>
        <v>Private Cleanout</v>
      </c>
      <c r="M749" s="6" t="s">
        <v>52</v>
      </c>
      <c r="N749" s="6" t="str">
        <f>VLOOKUP(M749,'Excursion Cause'!$A$1:$B$34,2,FALSE)</f>
        <v>Collection system structural blockage</v>
      </c>
      <c r="O749" s="7">
        <v>44530.0</v>
      </c>
      <c r="P749" s="6" t="s">
        <v>88</v>
      </c>
      <c r="Q749" s="7">
        <v>44530.0</v>
      </c>
      <c r="R749" s="6" t="s">
        <v>88</v>
      </c>
      <c r="S749" s="5">
        <v>0.0</v>
      </c>
      <c r="T749" s="6" t="s">
        <v>204</v>
      </c>
      <c r="U749" s="5">
        <v>2.021113E7</v>
      </c>
      <c r="V749" s="5">
        <v>2.021113E7</v>
      </c>
      <c r="W749" s="5">
        <v>29.780980018</v>
      </c>
      <c r="X749" s="5">
        <v>-95.309432538</v>
      </c>
    </row>
    <row r="750" ht="15.75" customHeight="1">
      <c r="A750" s="5">
        <v>12651.0</v>
      </c>
      <c r="B750" s="6">
        <v>2021.0</v>
      </c>
      <c r="C750" s="6" t="str">
        <f t="shared" si="1"/>
        <v>3233 MANGUM RD,Houston,Texas</v>
      </c>
      <c r="D750" s="6" t="s">
        <v>1377</v>
      </c>
      <c r="E750" s="6" t="s">
        <v>25</v>
      </c>
      <c r="F750" s="6" t="s">
        <v>26</v>
      </c>
      <c r="G750" s="6" t="s">
        <v>76</v>
      </c>
      <c r="H750" s="6" t="s">
        <v>28</v>
      </c>
      <c r="I750" s="6" t="str">
        <f>VLOOKUP(H750,'Flow Location'!$A$1:$B$21,2,FALSE)</f>
        <v>Storm Sewer (not contained)</v>
      </c>
      <c r="J750" s="5">
        <v>1255.0</v>
      </c>
      <c r="K750" s="6" t="s">
        <v>29</v>
      </c>
      <c r="L750" s="6" t="str">
        <f>VLOOKUP(K750,'Structure type'!$A$1:$B$15,2,FALSE)</f>
        <v>Manhole</v>
      </c>
      <c r="M750" s="6" t="s">
        <v>30</v>
      </c>
      <c r="N750" s="6" t="str">
        <f>VLOOKUP(M750,'Excursion Cause'!$A$1:$B$34,2,FALSE)</f>
        <v>Grease Blockage</v>
      </c>
      <c r="O750" s="7">
        <v>44530.0</v>
      </c>
      <c r="P750" s="6" t="s">
        <v>1378</v>
      </c>
      <c r="Q750" s="7">
        <v>44530.0</v>
      </c>
      <c r="R750" s="6" t="s">
        <v>492</v>
      </c>
      <c r="S750" s="5">
        <v>5.0</v>
      </c>
      <c r="T750" s="6" t="s">
        <v>33</v>
      </c>
      <c r="U750" s="5">
        <v>2.021113E7</v>
      </c>
      <c r="V750" s="5">
        <v>2.021113E7</v>
      </c>
      <c r="W750" s="5">
        <v>29.81760202</v>
      </c>
      <c r="X750" s="5">
        <v>-95.461718978</v>
      </c>
    </row>
    <row r="751" ht="15.75" customHeight="1">
      <c r="A751" s="5">
        <v>12652.0</v>
      </c>
      <c r="B751" s="6">
        <v>2021.0</v>
      </c>
      <c r="C751" s="6" t="str">
        <f t="shared" si="1"/>
        <v>9950 BESSEMER ST,Houston,Texas</v>
      </c>
      <c r="D751" s="6" t="s">
        <v>1379</v>
      </c>
      <c r="E751" s="6" t="s">
        <v>25</v>
      </c>
      <c r="F751" s="6" t="s">
        <v>26</v>
      </c>
      <c r="G751" s="6" t="s">
        <v>49</v>
      </c>
      <c r="H751" s="6" t="s">
        <v>28</v>
      </c>
      <c r="I751" s="6" t="str">
        <f>VLOOKUP(H751,'Flow Location'!$A$1:$B$21,2,FALSE)</f>
        <v>Storm Sewer (not contained)</v>
      </c>
      <c r="J751" s="5">
        <v>330.0</v>
      </c>
      <c r="K751" s="6" t="s">
        <v>29</v>
      </c>
      <c r="L751" s="6" t="str">
        <f>VLOOKUP(K751,'Structure type'!$A$1:$B$15,2,FALSE)</f>
        <v>Manhole</v>
      </c>
      <c r="M751" s="6" t="s">
        <v>30</v>
      </c>
      <c r="N751" s="6" t="str">
        <f>VLOOKUP(M751,'Excursion Cause'!$A$1:$B$34,2,FALSE)</f>
        <v>Grease Blockage</v>
      </c>
      <c r="O751" s="7">
        <v>44530.0</v>
      </c>
      <c r="P751" s="6" t="s">
        <v>88</v>
      </c>
      <c r="Q751" s="7">
        <v>44530.0</v>
      </c>
      <c r="R751" s="6" t="s">
        <v>532</v>
      </c>
      <c r="S751" s="5">
        <v>2.0</v>
      </c>
      <c r="T751" s="6" t="s">
        <v>33</v>
      </c>
      <c r="U751" s="5">
        <v>2.021113E7</v>
      </c>
      <c r="V751" s="5">
        <v>2.021113E7</v>
      </c>
      <c r="W751" s="5">
        <v>29.637609282</v>
      </c>
      <c r="X751" s="5">
        <v>-95.2364873489999</v>
      </c>
    </row>
    <row r="752" ht="15.75" customHeight="1">
      <c r="A752" s="5">
        <v>12653.0</v>
      </c>
      <c r="B752" s="6">
        <v>2021.0</v>
      </c>
      <c r="C752" s="6" t="str">
        <f t="shared" si="1"/>
        <v>9726 GLENWOOD FOREST DR,Houston,Texas</v>
      </c>
      <c r="D752" s="6" t="s">
        <v>1380</v>
      </c>
      <c r="E752" s="6" t="s">
        <v>25</v>
      </c>
      <c r="F752" s="6" t="s">
        <v>26</v>
      </c>
      <c r="G752" s="6" t="s">
        <v>387</v>
      </c>
      <c r="H752" s="6" t="s">
        <v>28</v>
      </c>
      <c r="I752" s="6" t="str">
        <f>VLOOKUP(H752,'Flow Location'!$A$1:$B$21,2,FALSE)</f>
        <v>Storm Sewer (not contained)</v>
      </c>
      <c r="J752" s="5">
        <v>255.0</v>
      </c>
      <c r="K752" s="6" t="s">
        <v>29</v>
      </c>
      <c r="L752" s="6" t="str">
        <f>VLOOKUP(K752,'Structure type'!$A$1:$B$15,2,FALSE)</f>
        <v>Manhole</v>
      </c>
      <c r="M752" s="6" t="s">
        <v>30</v>
      </c>
      <c r="N752" s="6" t="str">
        <f>VLOOKUP(M752,'Excursion Cause'!$A$1:$B$34,2,FALSE)</f>
        <v>Grease Blockage</v>
      </c>
      <c r="O752" s="7">
        <v>44530.0</v>
      </c>
      <c r="P752" s="6" t="s">
        <v>169</v>
      </c>
      <c r="Q752" s="7">
        <v>44530.0</v>
      </c>
      <c r="R752" s="6" t="s">
        <v>537</v>
      </c>
      <c r="S752" s="5">
        <v>1.0</v>
      </c>
      <c r="T752" s="6" t="s">
        <v>59</v>
      </c>
      <c r="U752" s="5">
        <v>2.021113E7</v>
      </c>
      <c r="V752" s="5">
        <v>2.021113E7</v>
      </c>
      <c r="W752" s="5">
        <v>29.855012507</v>
      </c>
      <c r="X752" s="5">
        <v>-95.2702587909999</v>
      </c>
    </row>
    <row r="753" ht="15.75" customHeight="1">
      <c r="A753" s="5">
        <v>12655.0</v>
      </c>
      <c r="B753" s="6">
        <v>2021.0</v>
      </c>
      <c r="C753" s="6" t="str">
        <f t="shared" si="1"/>
        <v>10307 HOMESTEAD RD,Houston,Texas</v>
      </c>
      <c r="D753" s="6" t="s">
        <v>1381</v>
      </c>
      <c r="E753" s="6" t="s">
        <v>25</v>
      </c>
      <c r="F753" s="6" t="s">
        <v>26</v>
      </c>
      <c r="G753" s="6" t="s">
        <v>326</v>
      </c>
      <c r="H753" s="6" t="s">
        <v>50</v>
      </c>
      <c r="I753" s="6" t="str">
        <f>VLOOKUP(H753,'Flow Location'!$A$1:$B$21,2,FALSE)</f>
        <v>Contained On Site, not within 5 ft. of Bayou/Surface Water/Drainage Ditch</v>
      </c>
      <c r="J753" s="5">
        <v>0.0</v>
      </c>
      <c r="K753" s="6" t="s">
        <v>45</v>
      </c>
      <c r="L753" s="6" t="str">
        <f>VLOOKUP(K753,'Structure type'!$A$1:$B$15,2,FALSE)</f>
        <v>City Cleanout</v>
      </c>
      <c r="M753" s="6" t="s">
        <v>56</v>
      </c>
      <c r="N753" s="6" t="str">
        <f>VLOOKUP(M753,'Excursion Cause'!$A$1:$B$34,2,FALSE)</f>
        <v>Rags/Wipes</v>
      </c>
      <c r="O753" s="7">
        <v>44530.0</v>
      </c>
      <c r="P753" s="6" t="s">
        <v>178</v>
      </c>
      <c r="Q753" s="7">
        <v>44530.0</v>
      </c>
      <c r="R753" s="6" t="s">
        <v>178</v>
      </c>
      <c r="S753" s="5">
        <v>0.0</v>
      </c>
      <c r="T753" s="6" t="s">
        <v>270</v>
      </c>
      <c r="U753" s="5">
        <v>2.021113E7</v>
      </c>
      <c r="V753" s="5">
        <v>2.021113E7</v>
      </c>
      <c r="W753" s="5">
        <v>29.8611410190001</v>
      </c>
      <c r="X753" s="5">
        <v>-95.300637491</v>
      </c>
    </row>
    <row r="754" ht="15.75" customHeight="1">
      <c r="A754" s="5">
        <v>12656.0</v>
      </c>
      <c r="B754" s="6">
        <v>2021.0</v>
      </c>
      <c r="C754" s="6" t="str">
        <f t="shared" si="1"/>
        <v>3130 MANGUM RD,Houston,Texas</v>
      </c>
      <c r="D754" s="6" t="s">
        <v>182</v>
      </c>
      <c r="E754" s="6" t="s">
        <v>25</v>
      </c>
      <c r="F754" s="6" t="s">
        <v>26</v>
      </c>
      <c r="G754" s="6" t="s">
        <v>76</v>
      </c>
      <c r="H754" s="6" t="s">
        <v>28</v>
      </c>
      <c r="I754" s="6" t="str">
        <f>VLOOKUP(H754,'Flow Location'!$A$1:$B$21,2,FALSE)</f>
        <v>Storm Sewer (not contained)</v>
      </c>
      <c r="J754" s="5">
        <v>262.0</v>
      </c>
      <c r="K754" s="6" t="s">
        <v>29</v>
      </c>
      <c r="L754" s="6" t="str">
        <f>VLOOKUP(K754,'Structure type'!$A$1:$B$15,2,FALSE)</f>
        <v>Manhole</v>
      </c>
      <c r="M754" s="6" t="s">
        <v>30</v>
      </c>
      <c r="N754" s="6" t="str">
        <f>VLOOKUP(M754,'Excursion Cause'!$A$1:$B$34,2,FALSE)</f>
        <v>Grease Blockage</v>
      </c>
      <c r="O754" s="7">
        <v>44530.0</v>
      </c>
      <c r="P754" s="6" t="s">
        <v>458</v>
      </c>
      <c r="Q754" s="7">
        <v>44530.0</v>
      </c>
      <c r="R754" s="6" t="s">
        <v>192</v>
      </c>
      <c r="S754" s="5">
        <v>2.0</v>
      </c>
      <c r="T754" s="6" t="s">
        <v>33</v>
      </c>
      <c r="U754" s="5">
        <v>2.021113E7</v>
      </c>
      <c r="V754" s="5">
        <v>2.021113E7</v>
      </c>
      <c r="W754" s="5">
        <v>29.81683101</v>
      </c>
      <c r="X754" s="5">
        <v>-95.4592479089999</v>
      </c>
    </row>
    <row r="755" ht="15.75" customHeight="1">
      <c r="A755" s="5">
        <v>12657.0</v>
      </c>
      <c r="B755" s="6">
        <v>2021.0</v>
      </c>
      <c r="C755" s="6" t="str">
        <f t="shared" si="1"/>
        <v>1535 ELTON ST,Houston,Texas</v>
      </c>
      <c r="D755" s="6" t="s">
        <v>1382</v>
      </c>
      <c r="E755" s="6" t="s">
        <v>25</v>
      </c>
      <c r="F755" s="6" t="s">
        <v>26</v>
      </c>
      <c r="G755" s="6" t="s">
        <v>49</v>
      </c>
      <c r="H755" s="6" t="s">
        <v>28</v>
      </c>
      <c r="I755" s="6" t="str">
        <f>VLOOKUP(H755,'Flow Location'!$A$1:$B$21,2,FALSE)</f>
        <v>Storm Sewer (not contained)</v>
      </c>
      <c r="J755" s="5">
        <v>0.0</v>
      </c>
      <c r="K755" s="6" t="s">
        <v>1127</v>
      </c>
      <c r="L755" s="6" t="str">
        <f>VLOOKUP(K755,'Structure type'!$A$1:$B$15,2,FALSE)</f>
        <v>Private Sample Well</v>
      </c>
      <c r="M755" s="6" t="s">
        <v>30</v>
      </c>
      <c r="N755" s="6" t="str">
        <f>VLOOKUP(M755,'Excursion Cause'!$A$1:$B$34,2,FALSE)</f>
        <v>Grease Blockage</v>
      </c>
      <c r="O755" s="7">
        <v>44530.0</v>
      </c>
      <c r="P755" s="6" t="s">
        <v>1186</v>
      </c>
      <c r="Q755" s="7">
        <v>44530.0</v>
      </c>
      <c r="R755" s="6" t="s">
        <v>1186</v>
      </c>
      <c r="S755" s="5">
        <v>0.0</v>
      </c>
      <c r="T755" s="6" t="s">
        <v>59</v>
      </c>
      <c r="U755" s="5">
        <v>2.021113E7</v>
      </c>
      <c r="V755" s="5">
        <v>2.021113E7</v>
      </c>
      <c r="W755" s="5">
        <v>29.6492874950001</v>
      </c>
      <c r="X755" s="5">
        <v>-95.248673966</v>
      </c>
    </row>
    <row r="756" ht="15.75" customHeight="1">
      <c r="A756" s="5">
        <v>12658.0</v>
      </c>
      <c r="B756" s="6">
        <v>2021.0</v>
      </c>
      <c r="C756" s="6" t="str">
        <f t="shared" si="1"/>
        <v>12614 SKYVIEW CREEK CT,Houston,Texas</v>
      </c>
      <c r="D756" s="6" t="s">
        <v>1383</v>
      </c>
      <c r="E756" s="6" t="s">
        <v>25</v>
      </c>
      <c r="F756" s="6" t="s">
        <v>26</v>
      </c>
      <c r="G756" s="6" t="s">
        <v>419</v>
      </c>
      <c r="H756" s="6" t="s">
        <v>28</v>
      </c>
      <c r="I756" s="6" t="str">
        <f>VLOOKUP(H756,'Flow Location'!$A$1:$B$21,2,FALSE)</f>
        <v>Storm Sewer (not contained)</v>
      </c>
      <c r="J756" s="5">
        <v>2848.0</v>
      </c>
      <c r="K756" s="6" t="s">
        <v>29</v>
      </c>
      <c r="L756" s="6" t="str">
        <f>VLOOKUP(K756,'Structure type'!$A$1:$B$15,2,FALSE)</f>
        <v>Manhole</v>
      </c>
      <c r="M756" s="6" t="s">
        <v>30</v>
      </c>
      <c r="N756" s="6" t="str">
        <f>VLOOKUP(M756,'Excursion Cause'!$A$1:$B$34,2,FALSE)</f>
        <v>Grease Blockage</v>
      </c>
      <c r="O756" s="7">
        <v>44530.0</v>
      </c>
      <c r="P756" s="6" t="s">
        <v>728</v>
      </c>
      <c r="Q756" s="10">
        <v>44531.0</v>
      </c>
      <c r="R756" s="6" t="s">
        <v>125</v>
      </c>
      <c r="S756" s="5">
        <v>2.0</v>
      </c>
      <c r="T756" s="6" t="s">
        <v>474</v>
      </c>
      <c r="U756" s="5">
        <v>2.021113E7</v>
      </c>
      <c r="V756" s="5">
        <v>2.0210112E7</v>
      </c>
      <c r="W756" s="5">
        <v>29.6225867740001</v>
      </c>
      <c r="X756" s="5">
        <v>-95.383572316</v>
      </c>
    </row>
    <row r="757" ht="15.75" customHeight="1">
      <c r="A757" s="5">
        <v>12660.0</v>
      </c>
      <c r="B757" s="6">
        <v>2021.0</v>
      </c>
      <c r="C757" s="6" t="str">
        <f t="shared" si="1"/>
        <v>9001 BRAEBURN VALLEY DR,Houston,Texas</v>
      </c>
      <c r="D757" s="6" t="s">
        <v>1384</v>
      </c>
      <c r="E757" s="6" t="s">
        <v>25</v>
      </c>
      <c r="F757" s="6" t="s">
        <v>26</v>
      </c>
      <c r="G757" s="6" t="s">
        <v>471</v>
      </c>
      <c r="H757" s="6" t="s">
        <v>50</v>
      </c>
      <c r="I757" s="6" t="str">
        <f>VLOOKUP(H757,'Flow Location'!$A$1:$B$21,2,FALSE)</f>
        <v>Contained On Site, not within 5 ft. of Bayou/Surface Water/Drainage Ditch</v>
      </c>
      <c r="J757" s="5">
        <v>0.0</v>
      </c>
      <c r="K757" s="6" t="s">
        <v>29</v>
      </c>
      <c r="L757" s="6" t="str">
        <f>VLOOKUP(K757,'Structure type'!$A$1:$B$15,2,FALSE)</f>
        <v>Manhole</v>
      </c>
      <c r="M757" s="6" t="s">
        <v>30</v>
      </c>
      <c r="N757" s="6" t="str">
        <f>VLOOKUP(M757,'Excursion Cause'!$A$1:$B$34,2,FALSE)</f>
        <v>Grease Blockage</v>
      </c>
      <c r="O757" s="7">
        <v>44530.0</v>
      </c>
      <c r="P757" s="6" t="s">
        <v>212</v>
      </c>
      <c r="Q757" s="7">
        <v>44530.0</v>
      </c>
      <c r="R757" s="6" t="s">
        <v>212</v>
      </c>
      <c r="S757" s="5">
        <v>0.0</v>
      </c>
      <c r="T757" s="6" t="s">
        <v>33</v>
      </c>
      <c r="U757" s="5">
        <v>2.021113E7</v>
      </c>
      <c r="V757" s="5">
        <v>2.021113E7</v>
      </c>
      <c r="W757" s="5">
        <v>29.6818520460001</v>
      </c>
      <c r="X757" s="5">
        <v>-95.5183848039999</v>
      </c>
    </row>
    <row r="758" ht="15.75" customHeight="1">
      <c r="A758" s="5">
        <v>12661.0</v>
      </c>
      <c r="B758" s="6">
        <v>2021.0</v>
      </c>
      <c r="C758" s="6" t="str">
        <f t="shared" si="1"/>
        <v>8935 VALLEY VIEW LN,Houston,Texas</v>
      </c>
      <c r="D758" s="6" t="s">
        <v>1385</v>
      </c>
      <c r="E758" s="6" t="s">
        <v>25</v>
      </c>
      <c r="F758" s="6" t="s">
        <v>26</v>
      </c>
      <c r="G758" s="6" t="s">
        <v>471</v>
      </c>
      <c r="H758" s="6" t="s">
        <v>50</v>
      </c>
      <c r="I758" s="6" t="str">
        <f>VLOOKUP(H758,'Flow Location'!$A$1:$B$21,2,FALSE)</f>
        <v>Contained On Site, not within 5 ft. of Bayou/Surface Water/Drainage Ditch</v>
      </c>
      <c r="J758" s="5">
        <v>0.0</v>
      </c>
      <c r="K758" s="6" t="s">
        <v>29</v>
      </c>
      <c r="L758" s="6" t="str">
        <f>VLOOKUP(K758,'Structure type'!$A$1:$B$15,2,FALSE)</f>
        <v>Manhole</v>
      </c>
      <c r="M758" s="6" t="s">
        <v>30</v>
      </c>
      <c r="N758" s="6" t="str">
        <f>VLOOKUP(M758,'Excursion Cause'!$A$1:$B$34,2,FALSE)</f>
        <v>Grease Blockage</v>
      </c>
      <c r="O758" s="7">
        <v>44530.0</v>
      </c>
      <c r="P758" s="6" t="s">
        <v>304</v>
      </c>
      <c r="Q758" s="7">
        <v>44530.0</v>
      </c>
      <c r="R758" s="6" t="s">
        <v>304</v>
      </c>
      <c r="S758" s="5">
        <v>0.0</v>
      </c>
      <c r="T758" s="6" t="s">
        <v>59</v>
      </c>
      <c r="U758" s="5">
        <v>2.021113E7</v>
      </c>
      <c r="V758" s="5">
        <v>2.021113E7</v>
      </c>
      <c r="W758" s="5">
        <v>29.6808923410001</v>
      </c>
      <c r="X758" s="5">
        <v>-95.5351660749999</v>
      </c>
    </row>
    <row r="759" ht="15.75" customHeight="1">
      <c r="A759" s="5">
        <v>12662.0</v>
      </c>
      <c r="B759" s="6">
        <v>2021.0</v>
      </c>
      <c r="C759" s="6" t="str">
        <f t="shared" si="1"/>
        <v>607 DORCHESTER ST,Houston,Texas</v>
      </c>
      <c r="D759" s="6" t="s">
        <v>1386</v>
      </c>
      <c r="E759" s="6" t="s">
        <v>25</v>
      </c>
      <c r="F759" s="6" t="s">
        <v>26</v>
      </c>
      <c r="G759" s="6" t="s">
        <v>653</v>
      </c>
      <c r="H759" s="6" t="s">
        <v>50</v>
      </c>
      <c r="I759" s="6" t="str">
        <f>VLOOKUP(H759,'Flow Location'!$A$1:$B$21,2,FALSE)</f>
        <v>Contained On Site, not within 5 ft. of Bayou/Surface Water/Drainage Ditch</v>
      </c>
      <c r="J759" s="5">
        <v>0.0</v>
      </c>
      <c r="K759" s="6" t="s">
        <v>198</v>
      </c>
      <c r="L759" s="6" t="str">
        <f>VLOOKUP(K759,'Structure type'!$A$1:$B$15,2,FALSE)</f>
        <v>Service Lateral</v>
      </c>
      <c r="M759" s="6" t="s">
        <v>81</v>
      </c>
      <c r="N759" s="6" t="str">
        <f>VLOOKUP(M759,'Excursion Cause'!$A$1:$B$34,2,FALSE)</f>
        <v>Collection system structural failure</v>
      </c>
      <c r="O759" s="7">
        <v>44530.0</v>
      </c>
      <c r="P759" s="6" t="s">
        <v>131</v>
      </c>
      <c r="Q759" s="7">
        <v>44530.0</v>
      </c>
      <c r="R759" s="6" t="s">
        <v>131</v>
      </c>
      <c r="S759" s="5">
        <v>0.0</v>
      </c>
      <c r="T759" s="6" t="s">
        <v>118</v>
      </c>
      <c r="U759" s="5">
        <v>2.021113E7</v>
      </c>
      <c r="V759" s="5">
        <v>2.021113E7</v>
      </c>
      <c r="W759" s="5">
        <v>29.8229921280001</v>
      </c>
      <c r="X759" s="5">
        <v>-95.3651306199999</v>
      </c>
    </row>
    <row r="760" ht="15.75" customHeight="1">
      <c r="A760" s="12">
        <v>12663.0</v>
      </c>
      <c r="B760" s="13">
        <v>2021.0</v>
      </c>
      <c r="C760" s="14" t="str">
        <f t="shared" ref="C760:C764" si="2">CONCATENATE(D760,",",$E$1863,",",$F$1863)</f>
        <v>12610 SKYVIEW MANOR DR,Houston,TX</v>
      </c>
      <c r="D760" s="13" t="s">
        <v>1387</v>
      </c>
      <c r="E760" s="14" t="s">
        <v>25</v>
      </c>
      <c r="F760" s="14" t="s">
        <v>1388</v>
      </c>
      <c r="G760" s="15" t="s">
        <v>419</v>
      </c>
      <c r="H760" s="13" t="s">
        <v>28</v>
      </c>
      <c r="I760" s="14" t="str">
        <f>VLOOKUP(H760,'Flow Location'!$A$1:$B$21,2,FALSE)</f>
        <v>Storm Sewer (not contained)</v>
      </c>
      <c r="J760" s="16">
        <v>1552.0</v>
      </c>
      <c r="K760" s="13" t="s">
        <v>29</v>
      </c>
      <c r="L760" s="14" t="str">
        <f>VLOOKUP(K760,'Structure type'!$A$1:$B$15,2,FALSE)</f>
        <v>Manhole</v>
      </c>
      <c r="M760" s="13" t="s">
        <v>30</v>
      </c>
      <c r="N760" s="14" t="str">
        <f>VLOOKUP(M760,'Excursion Cause'!$A$1:$B$34,2,FALSE)</f>
        <v>Grease Blockage</v>
      </c>
      <c r="O760" s="17">
        <v>44531.0</v>
      </c>
      <c r="P760" s="18">
        <v>0.3659722222222222</v>
      </c>
      <c r="Q760" s="17">
        <v>44531.0</v>
      </c>
      <c r="R760" s="18">
        <v>0.9048611111111111</v>
      </c>
      <c r="S760" s="16">
        <v>2.0</v>
      </c>
      <c r="T760" s="13" t="s">
        <v>33</v>
      </c>
      <c r="U760" s="14"/>
      <c r="V760" s="14"/>
      <c r="W760" s="19">
        <v>29.6228337</v>
      </c>
      <c r="X760" s="19">
        <v>-95.3829332999999</v>
      </c>
    </row>
    <row r="761" ht="15.75" customHeight="1">
      <c r="A761" s="12">
        <v>12666.0</v>
      </c>
      <c r="B761" s="13">
        <v>2021.0</v>
      </c>
      <c r="C761" s="14" t="str">
        <f t="shared" si="2"/>
        <v>10434 BROADSTAIRS ST,Houston,TX</v>
      </c>
      <c r="D761" s="13" t="s">
        <v>1389</v>
      </c>
      <c r="E761" s="14" t="s">
        <v>25</v>
      </c>
      <c r="F761" s="14" t="s">
        <v>1388</v>
      </c>
      <c r="G761" s="15" t="s">
        <v>656</v>
      </c>
      <c r="H761" s="13" t="s">
        <v>28</v>
      </c>
      <c r="I761" s="14" t="str">
        <f>VLOOKUP(H761,'Flow Location'!$A$1:$B$21,2,FALSE)</f>
        <v>Storm Sewer (not contained)</v>
      </c>
      <c r="J761" s="16">
        <v>1417.0</v>
      </c>
      <c r="K761" s="13" t="s">
        <v>29</v>
      </c>
      <c r="L761" s="14" t="str">
        <f>VLOOKUP(K761,'Structure type'!$A$1:$B$15,2,FALSE)</f>
        <v>Manhole</v>
      </c>
      <c r="M761" s="13" t="s">
        <v>30</v>
      </c>
      <c r="N761" s="14" t="str">
        <f>VLOOKUP(M761,'Excursion Cause'!$A$1:$B$34,2,FALSE)</f>
        <v>Grease Blockage</v>
      </c>
      <c r="O761" s="17">
        <v>44531.0</v>
      </c>
      <c r="P761" s="18">
        <v>0.4951388888888889</v>
      </c>
      <c r="Q761" s="17">
        <v>44532.0</v>
      </c>
      <c r="R761" s="18">
        <v>0.4791666666666667</v>
      </c>
      <c r="S761" s="16">
        <v>1.0</v>
      </c>
      <c r="T761" s="13" t="s">
        <v>59</v>
      </c>
      <c r="U761" s="14"/>
      <c r="V761" s="14"/>
      <c r="W761" s="19">
        <v>29.7804625</v>
      </c>
      <c r="X761" s="19">
        <v>-95.2430194</v>
      </c>
    </row>
    <row r="762" ht="15.75" customHeight="1">
      <c r="A762" s="12">
        <v>12667.0</v>
      </c>
      <c r="B762" s="13">
        <v>2021.0</v>
      </c>
      <c r="C762" s="14" t="str">
        <f t="shared" si="2"/>
        <v>11701 S WILCREST DR,Houston,TX</v>
      </c>
      <c r="D762" s="13" t="s">
        <v>1390</v>
      </c>
      <c r="E762" s="14" t="s">
        <v>25</v>
      </c>
      <c r="F762" s="14" t="s">
        <v>1388</v>
      </c>
      <c r="G762" s="15" t="s">
        <v>154</v>
      </c>
      <c r="H762" s="13" t="s">
        <v>28</v>
      </c>
      <c r="I762" s="14" t="str">
        <f>VLOOKUP(H762,'Flow Location'!$A$1:$B$21,2,FALSE)</f>
        <v>Storm Sewer (not contained)</v>
      </c>
      <c r="J762" s="16">
        <v>885.0</v>
      </c>
      <c r="K762" s="13" t="s">
        <v>29</v>
      </c>
      <c r="L762" s="14" t="str">
        <f>VLOOKUP(K762,'Structure type'!$A$1:$B$15,2,FALSE)</f>
        <v>Manhole</v>
      </c>
      <c r="M762" s="13" t="s">
        <v>30</v>
      </c>
      <c r="N762" s="14" t="str">
        <f>VLOOKUP(M762,'Excursion Cause'!$A$1:$B$34,2,FALSE)</f>
        <v>Grease Blockage</v>
      </c>
      <c r="O762" s="17">
        <v>44531.0</v>
      </c>
      <c r="P762" s="18">
        <v>0.60625</v>
      </c>
      <c r="Q762" s="17">
        <v>44531.0</v>
      </c>
      <c r="R762" s="18">
        <v>0.8111111111111111</v>
      </c>
      <c r="S762" s="16">
        <v>3.0</v>
      </c>
      <c r="T762" s="13" t="s">
        <v>59</v>
      </c>
      <c r="U762" s="14"/>
      <c r="V762" s="14"/>
      <c r="W762" s="19">
        <v>29.6555623</v>
      </c>
      <c r="X762" s="19">
        <v>-95.5706515</v>
      </c>
    </row>
    <row r="763" ht="15.75" customHeight="1">
      <c r="A763" s="12">
        <v>12669.0</v>
      </c>
      <c r="B763" s="13">
        <v>2021.0</v>
      </c>
      <c r="C763" s="14" t="str">
        <f t="shared" si="2"/>
        <v>2612 MILLS ST,Houston,TX</v>
      </c>
      <c r="D763" s="13" t="s">
        <v>671</v>
      </c>
      <c r="E763" s="14" t="s">
        <v>25</v>
      </c>
      <c r="F763" s="14" t="s">
        <v>1388</v>
      </c>
      <c r="G763" s="15" t="s">
        <v>43</v>
      </c>
      <c r="H763" s="13" t="s">
        <v>50</v>
      </c>
      <c r="I763" s="14" t="str">
        <f>VLOOKUP(H763,'Flow Location'!$A$1:$B$21,2,FALSE)</f>
        <v>Contained On Site, not within 5 ft. of Bayou/Surface Water/Drainage Ditch</v>
      </c>
      <c r="J763" s="16">
        <v>0.0</v>
      </c>
      <c r="K763" s="13" t="s">
        <v>45</v>
      </c>
      <c r="L763" s="14" t="str">
        <f>VLOOKUP(K763,'Structure type'!$A$1:$B$15,2,FALSE)</f>
        <v>City Cleanout</v>
      </c>
      <c r="M763" s="13" t="s">
        <v>52</v>
      </c>
      <c r="N763" s="14" t="str">
        <f>VLOOKUP(M763,'Excursion Cause'!$A$1:$B$34,2,FALSE)</f>
        <v>Collection system structural blockage</v>
      </c>
      <c r="O763" s="17">
        <v>44531.0</v>
      </c>
      <c r="P763" s="18">
        <v>0.6756944444444445</v>
      </c>
      <c r="Q763" s="17">
        <v>44531.0</v>
      </c>
      <c r="R763" s="18">
        <v>0.6756944444444445</v>
      </c>
      <c r="S763" s="16">
        <v>0.0</v>
      </c>
      <c r="T763" s="13" t="s">
        <v>1391</v>
      </c>
      <c r="U763" s="14"/>
      <c r="V763" s="14"/>
      <c r="W763" s="19">
        <v>29.7773936</v>
      </c>
      <c r="X763" s="19">
        <v>-95.3433295999999</v>
      </c>
    </row>
    <row r="764" ht="15.75" customHeight="1">
      <c r="A764" s="12">
        <v>12671.0</v>
      </c>
      <c r="B764" s="13">
        <v>2021.0</v>
      </c>
      <c r="C764" s="14" t="str">
        <f t="shared" si="2"/>
        <v>910 REDWOOD ST,Houston,TX</v>
      </c>
      <c r="D764" s="13" t="s">
        <v>1087</v>
      </c>
      <c r="E764" s="14" t="s">
        <v>25</v>
      </c>
      <c r="F764" s="14" t="s">
        <v>1388</v>
      </c>
      <c r="G764" s="15" t="s">
        <v>141</v>
      </c>
      <c r="H764" s="13" t="s">
        <v>28</v>
      </c>
      <c r="I764" s="14" t="str">
        <f>VLOOKUP(H764,'Flow Location'!$A$1:$B$21,2,FALSE)</f>
        <v>Storm Sewer (not contained)</v>
      </c>
      <c r="J764" s="16">
        <v>900.0</v>
      </c>
      <c r="K764" s="13" t="s">
        <v>29</v>
      </c>
      <c r="L764" s="14" t="str">
        <f>VLOOKUP(K764,'Structure type'!$A$1:$B$15,2,FALSE)</f>
        <v>Manhole</v>
      </c>
      <c r="M764" s="13" t="s">
        <v>30</v>
      </c>
      <c r="N764" s="14" t="str">
        <f>VLOOKUP(M764,'Excursion Cause'!$A$1:$B$34,2,FALSE)</f>
        <v>Grease Blockage</v>
      </c>
      <c r="O764" s="17">
        <v>44532.0</v>
      </c>
      <c r="P764" s="18">
        <v>0.3715277777777778</v>
      </c>
      <c r="Q764" s="17">
        <v>44532.0</v>
      </c>
      <c r="R764" s="18">
        <v>0.5798611111111112</v>
      </c>
      <c r="S764" s="16">
        <v>3.0</v>
      </c>
      <c r="T764" s="13" t="s">
        <v>33</v>
      </c>
      <c r="U764" s="14"/>
      <c r="V764" s="14"/>
      <c r="W764" s="19">
        <v>29.7158261</v>
      </c>
      <c r="X764" s="19">
        <v>-95.2965292999999</v>
      </c>
    </row>
    <row r="765" ht="15.75" customHeight="1">
      <c r="A765" s="5">
        <v>12677.0</v>
      </c>
      <c r="B765" s="6">
        <v>2021.0</v>
      </c>
      <c r="C765" s="6" t="str">
        <f>CONCATENATE(D765,",",E765,",",F765)</f>
        <v>11722 MOSSCREST DR,Houston,Texas</v>
      </c>
      <c r="D765" s="6" t="s">
        <v>1373</v>
      </c>
      <c r="E765" s="6" t="s">
        <v>25</v>
      </c>
      <c r="F765" s="6" t="s">
        <v>26</v>
      </c>
      <c r="G765" s="6" t="s">
        <v>301</v>
      </c>
      <c r="H765" s="6" t="s">
        <v>50</v>
      </c>
      <c r="I765" s="6" t="str">
        <f>VLOOKUP(H765,'Flow Location'!$A$1:$B$21,2,FALSE)</f>
        <v>Contained On Site, not within 5 ft. of Bayou/Surface Water/Drainage Ditch</v>
      </c>
      <c r="J765" s="5">
        <v>2296.0</v>
      </c>
      <c r="K765" s="6" t="s">
        <v>29</v>
      </c>
      <c r="L765" s="6" t="str">
        <f>VLOOKUP(K765,'Structure type'!$A$1:$B$15,2,FALSE)</f>
        <v>Manhole</v>
      </c>
      <c r="M765" s="6" t="s">
        <v>30</v>
      </c>
      <c r="N765" s="6" t="str">
        <f>VLOOKUP(M765,'Excursion Cause'!$A$1:$B$34,2,FALSE)</f>
        <v>Grease Blockage</v>
      </c>
      <c r="O765" s="7">
        <v>44529.0</v>
      </c>
      <c r="P765" s="6" t="s">
        <v>1266</v>
      </c>
      <c r="Q765" s="7">
        <v>44530.0</v>
      </c>
      <c r="R765" s="6" t="s">
        <v>617</v>
      </c>
      <c r="S765" s="5">
        <v>2.0</v>
      </c>
      <c r="T765" s="6" t="s">
        <v>33</v>
      </c>
      <c r="U765" s="5">
        <v>2.0211129E7</v>
      </c>
      <c r="V765" s="5">
        <v>2.021113E7</v>
      </c>
      <c r="W765" s="5">
        <v>29.633266576</v>
      </c>
      <c r="X765" s="5">
        <v>-95.351318584</v>
      </c>
    </row>
    <row r="766" ht="15.75" customHeight="1">
      <c r="A766" s="12">
        <v>12679.0</v>
      </c>
      <c r="B766" s="13">
        <v>2021.0</v>
      </c>
      <c r="C766" s="14" t="str">
        <f t="shared" ref="C766:C874" si="3">CONCATENATE(D766,",",$E$1863,",",$F$1863)</f>
        <v>1343 TARBERRY RD,Houston,TX</v>
      </c>
      <c r="D766" s="13" t="s">
        <v>1392</v>
      </c>
      <c r="E766" s="14" t="s">
        <v>25</v>
      </c>
      <c r="F766" s="14" t="s">
        <v>1388</v>
      </c>
      <c r="G766" s="15" t="s">
        <v>502</v>
      </c>
      <c r="H766" s="13" t="s">
        <v>50</v>
      </c>
      <c r="I766" s="14" t="str">
        <f>VLOOKUP(H766,'Flow Location'!$A$1:$B$21,2,FALSE)</f>
        <v>Contained On Site, not within 5 ft. of Bayou/Surface Water/Drainage Ditch</v>
      </c>
      <c r="J766" s="16">
        <v>1461.0</v>
      </c>
      <c r="K766" s="13" t="s">
        <v>29</v>
      </c>
      <c r="L766" s="14" t="str">
        <f>VLOOKUP(K766,'Structure type'!$A$1:$B$15,2,FALSE)</f>
        <v>Manhole</v>
      </c>
      <c r="M766" s="13" t="s">
        <v>30</v>
      </c>
      <c r="N766" s="14" t="str">
        <f>VLOOKUP(M766,'Excursion Cause'!$A$1:$B$34,2,FALSE)</f>
        <v>Grease Blockage</v>
      </c>
      <c r="O766" s="17">
        <v>44532.0</v>
      </c>
      <c r="P766" s="18">
        <v>0.475</v>
      </c>
      <c r="Q766" s="17">
        <v>44533.0</v>
      </c>
      <c r="R766" s="18">
        <v>0.4583333333333333</v>
      </c>
      <c r="S766" s="16">
        <v>1.0</v>
      </c>
      <c r="T766" s="13" t="s">
        <v>59</v>
      </c>
      <c r="U766" s="14"/>
      <c r="V766" s="14"/>
      <c r="W766" s="19">
        <v>29.8832072</v>
      </c>
      <c r="X766" s="19">
        <v>-95.4209934</v>
      </c>
    </row>
    <row r="767" ht="15.75" customHeight="1">
      <c r="A767" s="12">
        <v>12680.0</v>
      </c>
      <c r="B767" s="13">
        <v>2021.0</v>
      </c>
      <c r="C767" s="14" t="str">
        <f t="shared" si="3"/>
        <v>6919 LIVERPOOL ST,Houston,TX</v>
      </c>
      <c r="D767" s="13" t="s">
        <v>1147</v>
      </c>
      <c r="E767" s="14" t="s">
        <v>25</v>
      </c>
      <c r="F767" s="14" t="s">
        <v>1388</v>
      </c>
      <c r="G767" s="15" t="s">
        <v>238</v>
      </c>
      <c r="H767" s="13" t="s">
        <v>50</v>
      </c>
      <c r="I767" s="14" t="str">
        <f>VLOOKUP(H767,'Flow Location'!$A$1:$B$21,2,FALSE)</f>
        <v>Contained On Site, not within 5 ft. of Bayou/Surface Water/Drainage Ditch</v>
      </c>
      <c r="J767" s="16">
        <v>0.0</v>
      </c>
      <c r="K767" s="13" t="s">
        <v>45</v>
      </c>
      <c r="L767" s="14" t="str">
        <f>VLOOKUP(K767,'Structure type'!$A$1:$B$15,2,FALSE)</f>
        <v>City Cleanout</v>
      </c>
      <c r="M767" s="13" t="s">
        <v>52</v>
      </c>
      <c r="N767" s="14" t="str">
        <f>VLOOKUP(M767,'Excursion Cause'!$A$1:$B$34,2,FALSE)</f>
        <v>Collection system structural blockage</v>
      </c>
      <c r="O767" s="17">
        <v>44532.0</v>
      </c>
      <c r="P767" s="18">
        <v>0.5034722222222222</v>
      </c>
      <c r="Q767" s="17">
        <v>44532.0</v>
      </c>
      <c r="R767" s="18">
        <v>0.5034722222222222</v>
      </c>
      <c r="S767" s="16">
        <v>0.0</v>
      </c>
      <c r="T767" s="13" t="s">
        <v>270</v>
      </c>
      <c r="U767" s="14"/>
      <c r="V767" s="14"/>
      <c r="W767" s="19">
        <v>29.686259</v>
      </c>
      <c r="X767" s="19">
        <v>-95.350371</v>
      </c>
    </row>
    <row r="768" ht="15.75" customHeight="1">
      <c r="A768" s="12">
        <v>12685.0</v>
      </c>
      <c r="B768" s="13">
        <v>2021.0</v>
      </c>
      <c r="C768" s="14" t="str">
        <f t="shared" si="3"/>
        <v>3818 BROADWAY ST,Houston,TX</v>
      </c>
      <c r="D768" s="13" t="s">
        <v>1393</v>
      </c>
      <c r="E768" s="14" t="s">
        <v>25</v>
      </c>
      <c r="F768" s="14" t="s">
        <v>1388</v>
      </c>
      <c r="G768" s="15" t="s">
        <v>135</v>
      </c>
      <c r="H768" s="13" t="s">
        <v>28</v>
      </c>
      <c r="I768" s="14" t="str">
        <f>VLOOKUP(H768,'Flow Location'!$A$1:$B$21,2,FALSE)</f>
        <v>Storm Sewer (not contained)</v>
      </c>
      <c r="J768" s="16">
        <v>212.0</v>
      </c>
      <c r="K768" s="13" t="s">
        <v>29</v>
      </c>
      <c r="L768" s="14" t="str">
        <f>VLOOKUP(K768,'Structure type'!$A$1:$B$15,2,FALSE)</f>
        <v>Manhole</v>
      </c>
      <c r="M768" s="13" t="s">
        <v>30</v>
      </c>
      <c r="N768" s="14" t="str">
        <f>VLOOKUP(M768,'Excursion Cause'!$A$1:$B$34,2,FALSE)</f>
        <v>Grease Blockage</v>
      </c>
      <c r="O768" s="17">
        <v>44532.0</v>
      </c>
      <c r="P768" s="18">
        <v>0.6743055555555556</v>
      </c>
      <c r="Q768" s="17">
        <v>44532.0</v>
      </c>
      <c r="R768" s="18">
        <v>0.7479166666666667</v>
      </c>
      <c r="S768" s="16">
        <v>2.0</v>
      </c>
      <c r="T768" s="13" t="s">
        <v>33</v>
      </c>
      <c r="U768" s="14"/>
      <c r="V768" s="14"/>
      <c r="W768" s="19">
        <v>29.6866735</v>
      </c>
      <c r="X768" s="19">
        <v>-95.2778925</v>
      </c>
    </row>
    <row r="769" ht="15.75" customHeight="1">
      <c r="A769" s="12">
        <v>12686.0</v>
      </c>
      <c r="B769" s="13">
        <v>2021.0</v>
      </c>
      <c r="C769" s="14" t="str">
        <f t="shared" si="3"/>
        <v>7442 DALLAS ST,Houston,TX</v>
      </c>
      <c r="D769" s="13" t="s">
        <v>1394</v>
      </c>
      <c r="E769" s="14" t="s">
        <v>25</v>
      </c>
      <c r="F769" s="14" t="s">
        <v>1388</v>
      </c>
      <c r="G769" s="15" t="s">
        <v>227</v>
      </c>
      <c r="H769" s="13" t="s">
        <v>50</v>
      </c>
      <c r="I769" s="14" t="str">
        <f>VLOOKUP(H769,'Flow Location'!$A$1:$B$21,2,FALSE)</f>
        <v>Contained On Site, not within 5 ft. of Bayou/Surface Water/Drainage Ditch</v>
      </c>
      <c r="J769" s="16">
        <v>0.0</v>
      </c>
      <c r="K769" s="13" t="s">
        <v>29</v>
      </c>
      <c r="L769" s="14" t="str">
        <f>VLOOKUP(K769,'Structure type'!$A$1:$B$15,2,FALSE)</f>
        <v>Manhole</v>
      </c>
      <c r="M769" s="13" t="s">
        <v>30</v>
      </c>
      <c r="N769" s="14" t="str">
        <f>VLOOKUP(M769,'Excursion Cause'!$A$1:$B$34,2,FALSE)</f>
        <v>Grease Blockage</v>
      </c>
      <c r="O769" s="17">
        <v>44532.0</v>
      </c>
      <c r="P769" s="18">
        <v>0.6847222222222222</v>
      </c>
      <c r="Q769" s="17">
        <v>44532.0</v>
      </c>
      <c r="R769" s="18">
        <v>0.6847222222222222</v>
      </c>
      <c r="S769" s="16">
        <v>0.0</v>
      </c>
      <c r="T769" s="13" t="s">
        <v>33</v>
      </c>
      <c r="U769" s="14"/>
      <c r="V769" s="14"/>
      <c r="W769" s="19">
        <v>29.7285251</v>
      </c>
      <c r="X769" s="19">
        <v>-95.2951793</v>
      </c>
    </row>
    <row r="770" ht="15.75" customHeight="1">
      <c r="A770" s="12">
        <v>12687.0</v>
      </c>
      <c r="B770" s="13">
        <v>2021.0</v>
      </c>
      <c r="C770" s="14" t="str">
        <f t="shared" si="3"/>
        <v>6001 REIMS RD,Houston,TX</v>
      </c>
      <c r="D770" s="13" t="s">
        <v>1395</v>
      </c>
      <c r="E770" s="14" t="s">
        <v>25</v>
      </c>
      <c r="F770" s="14" t="s">
        <v>1388</v>
      </c>
      <c r="G770" s="15" t="s">
        <v>100</v>
      </c>
      <c r="H770" s="13" t="s">
        <v>50</v>
      </c>
      <c r="I770" s="14" t="str">
        <f>VLOOKUP(H770,'Flow Location'!$A$1:$B$21,2,FALSE)</f>
        <v>Contained On Site, not within 5 ft. of Bayou/Surface Water/Drainage Ditch</v>
      </c>
      <c r="J770" s="16">
        <v>1058.0</v>
      </c>
      <c r="K770" s="13" t="s">
        <v>29</v>
      </c>
      <c r="L770" s="14" t="str">
        <f>VLOOKUP(K770,'Structure type'!$A$1:$B$15,2,FALSE)</f>
        <v>Manhole</v>
      </c>
      <c r="M770" s="13" t="s">
        <v>56</v>
      </c>
      <c r="N770" s="14" t="str">
        <f>VLOOKUP(M770,'Excursion Cause'!$A$1:$B$34,2,FALSE)</f>
        <v>Rags/Wipes</v>
      </c>
      <c r="O770" s="17">
        <v>44533.0</v>
      </c>
      <c r="P770" s="18">
        <v>0.33958333333333335</v>
      </c>
      <c r="Q770" s="17">
        <v>44533.0</v>
      </c>
      <c r="R770" s="18">
        <v>0.3736111111111111</v>
      </c>
      <c r="S770" s="16">
        <v>22.0</v>
      </c>
      <c r="T770" s="13" t="s">
        <v>33</v>
      </c>
      <c r="U770" s="14"/>
      <c r="V770" s="14"/>
      <c r="W770" s="19">
        <v>29.7154356</v>
      </c>
      <c r="X770" s="19">
        <v>-95.5152052</v>
      </c>
    </row>
    <row r="771" ht="15.75" customHeight="1">
      <c r="A771" s="12">
        <v>12688.0</v>
      </c>
      <c r="B771" s="13">
        <v>2021.0</v>
      </c>
      <c r="C771" s="14" t="str">
        <f t="shared" si="3"/>
        <v>1317 APACHE ST,Houston,TX</v>
      </c>
      <c r="D771" s="13" t="s">
        <v>1396</v>
      </c>
      <c r="E771" s="14" t="s">
        <v>25</v>
      </c>
      <c r="F771" s="14" t="s">
        <v>1388</v>
      </c>
      <c r="G771" s="15" t="s">
        <v>653</v>
      </c>
      <c r="H771" s="13" t="s">
        <v>1397</v>
      </c>
      <c r="I771" s="14" t="str">
        <f>VLOOKUP(H771,'Flow Location'!$A$1:$B$21,2,FALSE)</f>
        <v>Bayou/surface water/drainage ditch</v>
      </c>
      <c r="J771" s="16">
        <v>0.0</v>
      </c>
      <c r="K771" s="13" t="s">
        <v>29</v>
      </c>
      <c r="L771" s="14" t="str">
        <f>VLOOKUP(K771,'Structure type'!$A$1:$B$15,2,FALSE)</f>
        <v>Manhole</v>
      </c>
      <c r="M771" s="13" t="s">
        <v>30</v>
      </c>
      <c r="N771" s="14" t="str">
        <f>VLOOKUP(M771,'Excursion Cause'!$A$1:$B$34,2,FALSE)</f>
        <v>Grease Blockage</v>
      </c>
      <c r="O771" s="17">
        <v>44533.0</v>
      </c>
      <c r="P771" s="18">
        <v>0.38055555555555554</v>
      </c>
      <c r="Q771" s="17">
        <v>44533.0</v>
      </c>
      <c r="R771" s="18">
        <v>0.38055555555555554</v>
      </c>
      <c r="S771" s="16">
        <v>0.0</v>
      </c>
      <c r="T771" s="13" t="s">
        <v>33</v>
      </c>
      <c r="U771" s="14"/>
      <c r="V771" s="14"/>
      <c r="W771" s="19">
        <v>29.8338828</v>
      </c>
      <c r="X771" s="19">
        <v>-95.3565734</v>
      </c>
    </row>
    <row r="772" ht="15.75" customHeight="1">
      <c r="A772" s="12">
        <v>12690.0</v>
      </c>
      <c r="B772" s="13">
        <v>2021.0</v>
      </c>
      <c r="C772" s="14" t="str">
        <f t="shared" si="3"/>
        <v>1321 STUDEWOOD ST,Houston,TX</v>
      </c>
      <c r="D772" s="13" t="s">
        <v>1398</v>
      </c>
      <c r="E772" s="14" t="s">
        <v>25</v>
      </c>
      <c r="F772" s="14" t="s">
        <v>1388</v>
      </c>
      <c r="G772" s="15" t="s">
        <v>232</v>
      </c>
      <c r="H772" s="13" t="s">
        <v>50</v>
      </c>
      <c r="I772" s="14" t="str">
        <f>VLOOKUP(H772,'Flow Location'!$A$1:$B$21,2,FALSE)</f>
        <v>Contained On Site, not within 5 ft. of Bayou/Surface Water/Drainage Ditch</v>
      </c>
      <c r="J772" s="16">
        <v>0.0</v>
      </c>
      <c r="K772" s="13" t="s">
        <v>51</v>
      </c>
      <c r="L772" s="14" t="str">
        <f>VLOOKUP(K772,'Structure type'!$A$1:$B$15,2,FALSE)</f>
        <v>Private Cleanout</v>
      </c>
      <c r="M772" s="13" t="s">
        <v>52</v>
      </c>
      <c r="N772" s="14" t="str">
        <f>VLOOKUP(M772,'Excursion Cause'!$A$1:$B$34,2,FALSE)</f>
        <v>Collection system structural blockage</v>
      </c>
      <c r="O772" s="17">
        <v>44537.0</v>
      </c>
      <c r="P772" s="18">
        <v>0.4354166666666667</v>
      </c>
      <c r="Q772" s="17">
        <v>44537.0</v>
      </c>
      <c r="R772" s="18">
        <v>0.4354166666666667</v>
      </c>
      <c r="S772" s="16">
        <v>0.0</v>
      </c>
      <c r="T772" s="13" t="s">
        <v>89</v>
      </c>
      <c r="U772" s="14"/>
      <c r="V772" s="14"/>
      <c r="W772" s="19">
        <v>29.7951696</v>
      </c>
      <c r="X772" s="19">
        <v>-95.3881884</v>
      </c>
    </row>
    <row r="773" ht="15.75" customHeight="1">
      <c r="A773" s="12">
        <v>12698.0</v>
      </c>
      <c r="B773" s="13">
        <v>2021.0</v>
      </c>
      <c r="C773" s="14" t="str">
        <f t="shared" si="3"/>
        <v>1103 APACHE ST,Houston,TX</v>
      </c>
      <c r="D773" s="13" t="s">
        <v>1399</v>
      </c>
      <c r="E773" s="14" t="s">
        <v>25</v>
      </c>
      <c r="F773" s="14" t="s">
        <v>1388</v>
      </c>
      <c r="G773" s="15" t="s">
        <v>653</v>
      </c>
      <c r="H773" s="13" t="s">
        <v>28</v>
      </c>
      <c r="I773" s="14" t="str">
        <f>VLOOKUP(H773,'Flow Location'!$A$1:$B$21,2,FALSE)</f>
        <v>Storm Sewer (not contained)</v>
      </c>
      <c r="J773" s="16">
        <v>0.0</v>
      </c>
      <c r="K773" s="13" t="s">
        <v>45</v>
      </c>
      <c r="L773" s="14" t="str">
        <f>VLOOKUP(K773,'Structure type'!$A$1:$B$15,2,FALSE)</f>
        <v>City Cleanout</v>
      </c>
      <c r="M773" s="13" t="s">
        <v>30</v>
      </c>
      <c r="N773" s="14" t="str">
        <f>VLOOKUP(M773,'Excursion Cause'!$A$1:$B$34,2,FALSE)</f>
        <v>Grease Blockage</v>
      </c>
      <c r="O773" s="17">
        <v>44533.0</v>
      </c>
      <c r="P773" s="18">
        <v>0.5777777777777777</v>
      </c>
      <c r="Q773" s="17">
        <v>44533.0</v>
      </c>
      <c r="R773" s="18">
        <v>0.5777777777777777</v>
      </c>
      <c r="S773" s="16">
        <v>0.0</v>
      </c>
      <c r="T773" s="13" t="s">
        <v>33</v>
      </c>
      <c r="U773" s="14"/>
      <c r="V773" s="14"/>
      <c r="W773" s="19">
        <v>29.8339217</v>
      </c>
      <c r="X773" s="19">
        <v>-95.3581165</v>
      </c>
    </row>
    <row r="774" ht="15.75" customHeight="1">
      <c r="A774" s="12">
        <v>12699.0</v>
      </c>
      <c r="B774" s="13">
        <v>2021.0</v>
      </c>
      <c r="C774" s="14" t="str">
        <f t="shared" si="3"/>
        <v>910 REDWOOD ST,Houston,TX</v>
      </c>
      <c r="D774" s="13" t="s">
        <v>1087</v>
      </c>
      <c r="E774" s="14" t="s">
        <v>25</v>
      </c>
      <c r="F774" s="14" t="s">
        <v>1388</v>
      </c>
      <c r="G774" s="15" t="s">
        <v>141</v>
      </c>
      <c r="H774" s="13" t="s">
        <v>50</v>
      </c>
      <c r="I774" s="14" t="str">
        <f>VLOOKUP(H774,'Flow Location'!$A$1:$B$21,2,FALSE)</f>
        <v>Contained On Site, not within 5 ft. of Bayou/Surface Water/Drainage Ditch</v>
      </c>
      <c r="J774" s="16">
        <v>0.0</v>
      </c>
      <c r="K774" s="13" t="s">
        <v>29</v>
      </c>
      <c r="L774" s="14" t="str">
        <f>VLOOKUP(K774,'Structure type'!$A$1:$B$15,2,FALSE)</f>
        <v>Manhole</v>
      </c>
      <c r="M774" s="13" t="s">
        <v>30</v>
      </c>
      <c r="N774" s="14" t="str">
        <f>VLOOKUP(M774,'Excursion Cause'!$A$1:$B$34,2,FALSE)</f>
        <v>Grease Blockage</v>
      </c>
      <c r="O774" s="17">
        <v>44533.0</v>
      </c>
      <c r="P774" s="18">
        <v>0.5868055555555556</v>
      </c>
      <c r="Q774" s="17">
        <v>44533.0</v>
      </c>
      <c r="R774" s="18">
        <v>0.5868055555555556</v>
      </c>
      <c r="S774" s="16">
        <v>0.0</v>
      </c>
      <c r="T774" s="13" t="s">
        <v>33</v>
      </c>
      <c r="U774" s="14"/>
      <c r="V774" s="14"/>
      <c r="W774" s="19">
        <v>29.7158261</v>
      </c>
      <c r="X774" s="19">
        <v>-95.2965292999999</v>
      </c>
    </row>
    <row r="775" ht="15.75" customHeight="1">
      <c r="A775" s="12">
        <v>12705.0</v>
      </c>
      <c r="B775" s="13">
        <v>2021.0</v>
      </c>
      <c r="C775" s="14" t="str">
        <f t="shared" si="3"/>
        <v>6707 INDIAN FALLS DR,Houston,TX</v>
      </c>
      <c r="D775" s="13" t="s">
        <v>1400</v>
      </c>
      <c r="E775" s="14" t="s">
        <v>25</v>
      </c>
      <c r="F775" s="14" t="s">
        <v>1388</v>
      </c>
      <c r="G775" s="15" t="s">
        <v>166</v>
      </c>
      <c r="H775" s="13" t="s">
        <v>50</v>
      </c>
      <c r="I775" s="14" t="str">
        <f>VLOOKUP(H775,'Flow Location'!$A$1:$B$21,2,FALSE)</f>
        <v>Contained On Site, not within 5 ft. of Bayou/Surface Water/Drainage Ditch</v>
      </c>
      <c r="J775" s="16">
        <v>0.0</v>
      </c>
      <c r="K775" s="13" t="s">
        <v>51</v>
      </c>
      <c r="L775" s="14" t="str">
        <f>VLOOKUP(K775,'Structure type'!$A$1:$B$15,2,FALSE)</f>
        <v>Private Cleanout</v>
      </c>
      <c r="M775" s="13" t="s">
        <v>30</v>
      </c>
      <c r="N775" s="14" t="str">
        <f>VLOOKUP(M775,'Excursion Cause'!$A$1:$B$34,2,FALSE)</f>
        <v>Grease Blockage</v>
      </c>
      <c r="O775" s="17">
        <v>44534.0</v>
      </c>
      <c r="P775" s="18">
        <v>0.6076388888888888</v>
      </c>
      <c r="Q775" s="17">
        <v>44534.0</v>
      </c>
      <c r="R775" s="18">
        <v>0.6076388888888888</v>
      </c>
      <c r="S775" s="16">
        <v>0.0</v>
      </c>
      <c r="T775" s="13" t="s">
        <v>33</v>
      </c>
      <c r="U775" s="14"/>
      <c r="V775" s="14"/>
      <c r="W775" s="19">
        <v>29.5996625999999</v>
      </c>
      <c r="X775" s="19">
        <v>-95.4872115</v>
      </c>
    </row>
    <row r="776" ht="15.75" customHeight="1">
      <c r="A776" s="12">
        <v>12706.0</v>
      </c>
      <c r="B776" s="13">
        <v>2021.0</v>
      </c>
      <c r="C776" s="14" t="str">
        <f t="shared" si="3"/>
        <v>7840 CANAL ST,Houston,TX</v>
      </c>
      <c r="D776" s="13" t="s">
        <v>1401</v>
      </c>
      <c r="E776" s="14" t="s">
        <v>25</v>
      </c>
      <c r="F776" s="14" t="s">
        <v>1388</v>
      </c>
      <c r="G776" s="15" t="s">
        <v>365</v>
      </c>
      <c r="H776" s="13" t="s">
        <v>50</v>
      </c>
      <c r="I776" s="14" t="str">
        <f>VLOOKUP(H776,'Flow Location'!$A$1:$B$21,2,FALSE)</f>
        <v>Contained On Site, not within 5 ft. of Bayou/Surface Water/Drainage Ditch</v>
      </c>
      <c r="J776" s="16">
        <v>0.0</v>
      </c>
      <c r="K776" s="13" t="s">
        <v>198</v>
      </c>
      <c r="L776" s="14" t="str">
        <f>VLOOKUP(K776,'Structure type'!$A$1:$B$15,2,FALSE)</f>
        <v>Service Lateral</v>
      </c>
      <c r="M776" s="13" t="s">
        <v>81</v>
      </c>
      <c r="N776" s="14" t="str">
        <f>VLOOKUP(M776,'Excursion Cause'!$A$1:$B$34,2,FALSE)</f>
        <v>Collection system structural failure</v>
      </c>
      <c r="O776" s="17">
        <v>44534.0</v>
      </c>
      <c r="P776" s="18">
        <v>0.7173611111111111</v>
      </c>
      <c r="Q776" s="17">
        <v>44534.0</v>
      </c>
      <c r="R776" s="18">
        <v>0.7173611111111111</v>
      </c>
      <c r="S776" s="16">
        <v>0.0</v>
      </c>
      <c r="T776" s="13" t="s">
        <v>170</v>
      </c>
      <c r="U776" s="14"/>
      <c r="V776" s="14"/>
      <c r="W776" s="19">
        <v>29.7338304</v>
      </c>
      <c r="X776" s="19">
        <v>-95.2829228</v>
      </c>
    </row>
    <row r="777" ht="15.75" customHeight="1">
      <c r="A777" s="12">
        <v>12713.0</v>
      </c>
      <c r="B777" s="13">
        <v>2021.0</v>
      </c>
      <c r="C777" s="14" t="str">
        <f t="shared" si="3"/>
        <v>4807 FALVEY ST,Houston,TX</v>
      </c>
      <c r="D777" s="13" t="s">
        <v>1402</v>
      </c>
      <c r="E777" s="14" t="s">
        <v>25</v>
      </c>
      <c r="F777" s="14" t="s">
        <v>1388</v>
      </c>
      <c r="G777" s="15" t="s">
        <v>135</v>
      </c>
      <c r="H777" s="13" t="s">
        <v>50</v>
      </c>
      <c r="I777" s="14" t="str">
        <f>VLOOKUP(H777,'Flow Location'!$A$1:$B$21,2,FALSE)</f>
        <v>Contained On Site, not within 5 ft. of Bayou/Surface Water/Drainage Ditch</v>
      </c>
      <c r="J777" s="16">
        <v>0.0</v>
      </c>
      <c r="K777" s="13" t="s">
        <v>45</v>
      </c>
      <c r="L777" s="14" t="str">
        <f>VLOOKUP(K777,'Structure type'!$A$1:$B$15,2,FALSE)</f>
        <v>City Cleanout</v>
      </c>
      <c r="M777" s="13" t="s">
        <v>30</v>
      </c>
      <c r="N777" s="14" t="str">
        <f>VLOOKUP(M777,'Excursion Cause'!$A$1:$B$34,2,FALSE)</f>
        <v>Grease Blockage</v>
      </c>
      <c r="O777" s="17">
        <v>44536.0</v>
      </c>
      <c r="P777" s="18">
        <v>0.3548611111111111</v>
      </c>
      <c r="Q777" s="17">
        <v>44536.0</v>
      </c>
      <c r="R777" s="18">
        <v>0.3548611111111111</v>
      </c>
      <c r="S777" s="16">
        <v>0.0</v>
      </c>
      <c r="T777" s="13" t="s">
        <v>59</v>
      </c>
      <c r="U777" s="14"/>
      <c r="V777" s="14"/>
      <c r="W777" s="19">
        <v>29.7000701</v>
      </c>
      <c r="X777" s="19">
        <v>-95.2414795999999</v>
      </c>
    </row>
    <row r="778" ht="15.75" customHeight="1">
      <c r="A778" s="12">
        <v>12714.0</v>
      </c>
      <c r="B778" s="13">
        <v>2021.0</v>
      </c>
      <c r="C778" s="14" t="str">
        <f t="shared" si="3"/>
        <v>2618 PIERCE ST,Houston,TX</v>
      </c>
      <c r="D778" s="13" t="s">
        <v>1403</v>
      </c>
      <c r="E778" s="14" t="s">
        <v>25</v>
      </c>
      <c r="F778" s="14" t="s">
        <v>1388</v>
      </c>
      <c r="G778" s="15" t="s">
        <v>172</v>
      </c>
      <c r="H778" s="13" t="s">
        <v>50</v>
      </c>
      <c r="I778" s="14" t="str">
        <f>VLOOKUP(H778,'Flow Location'!$A$1:$B$21,2,FALSE)</f>
        <v>Contained On Site, not within 5 ft. of Bayou/Surface Water/Drainage Ditch</v>
      </c>
      <c r="J778" s="16">
        <v>836.0</v>
      </c>
      <c r="K778" s="13" t="s">
        <v>29</v>
      </c>
      <c r="L778" s="14" t="str">
        <f>VLOOKUP(K778,'Structure type'!$A$1:$B$15,2,FALSE)</f>
        <v>Manhole</v>
      </c>
      <c r="M778" s="13" t="s">
        <v>30</v>
      </c>
      <c r="N778" s="14" t="str">
        <f>VLOOKUP(M778,'Excursion Cause'!$A$1:$B$34,2,FALSE)</f>
        <v>Grease Blockage</v>
      </c>
      <c r="O778" s="17">
        <v>44536.0</v>
      </c>
      <c r="P778" s="18">
        <v>0.3506944444444444</v>
      </c>
      <c r="Q778" s="17">
        <v>44536.0</v>
      </c>
      <c r="R778" s="18">
        <v>0.3909722222222222</v>
      </c>
      <c r="S778" s="16">
        <v>14.0</v>
      </c>
      <c r="T778" s="13" t="s">
        <v>54</v>
      </c>
      <c r="U778" s="14"/>
      <c r="V778" s="14"/>
      <c r="W778" s="19">
        <v>29.7406439</v>
      </c>
      <c r="X778" s="19">
        <v>-95.3565885</v>
      </c>
    </row>
    <row r="779" ht="15.75" customHeight="1">
      <c r="A779" s="12">
        <v>12718.0</v>
      </c>
      <c r="B779" s="13">
        <v>2021.0</v>
      </c>
      <c r="C779" s="14" t="str">
        <f t="shared" si="3"/>
        <v>426 WYCLIFFE DR,Houston,TX</v>
      </c>
      <c r="D779" s="13" t="s">
        <v>626</v>
      </c>
      <c r="E779" s="14" t="s">
        <v>25</v>
      </c>
      <c r="F779" s="14" t="s">
        <v>1388</v>
      </c>
      <c r="G779" s="15" t="s">
        <v>520</v>
      </c>
      <c r="H779" s="13" t="s">
        <v>50</v>
      </c>
      <c r="I779" s="14" t="str">
        <f>VLOOKUP(H779,'Flow Location'!$A$1:$B$21,2,FALSE)</f>
        <v>Contained On Site, not within 5 ft. of Bayou/Surface Water/Drainage Ditch</v>
      </c>
      <c r="J779" s="16">
        <v>0.0</v>
      </c>
      <c r="K779" s="13" t="s">
        <v>29</v>
      </c>
      <c r="L779" s="14" t="str">
        <f>VLOOKUP(K779,'Structure type'!$A$1:$B$15,2,FALSE)</f>
        <v>Manhole</v>
      </c>
      <c r="M779" s="13" t="s">
        <v>30</v>
      </c>
      <c r="N779" s="14" t="str">
        <f>VLOOKUP(M779,'Excursion Cause'!$A$1:$B$34,2,FALSE)</f>
        <v>Grease Blockage</v>
      </c>
      <c r="O779" s="17">
        <v>44536.0</v>
      </c>
      <c r="P779" s="18">
        <v>0.4798611111111111</v>
      </c>
      <c r="Q779" s="17">
        <v>44536.0</v>
      </c>
      <c r="R779" s="18">
        <v>0.4798611111111111</v>
      </c>
      <c r="S779" s="16">
        <v>0.0</v>
      </c>
      <c r="T779" s="13" t="s">
        <v>33</v>
      </c>
      <c r="U779" s="14"/>
      <c r="V779" s="14"/>
      <c r="W779" s="19">
        <v>29.7710644</v>
      </c>
      <c r="X779" s="19">
        <v>-95.574158</v>
      </c>
    </row>
    <row r="780" ht="15.75" customHeight="1">
      <c r="A780" s="12">
        <v>12719.0</v>
      </c>
      <c r="B780" s="13">
        <v>2021.0</v>
      </c>
      <c r="C780" s="14" t="str">
        <f t="shared" si="3"/>
        <v>802 MARLEEN ST,Houston,TX</v>
      </c>
      <c r="D780" s="13" t="s">
        <v>1100</v>
      </c>
      <c r="E780" s="14" t="s">
        <v>25</v>
      </c>
      <c r="F780" s="14" t="s">
        <v>1388</v>
      </c>
      <c r="G780" s="15" t="s">
        <v>49</v>
      </c>
      <c r="H780" s="13" t="s">
        <v>28</v>
      </c>
      <c r="I780" s="14" t="str">
        <f>VLOOKUP(H780,'Flow Location'!$A$1:$B$21,2,FALSE)</f>
        <v>Storm Sewer (not contained)</v>
      </c>
      <c r="J780" s="16">
        <v>2099.0</v>
      </c>
      <c r="K780" s="13" t="s">
        <v>29</v>
      </c>
      <c r="L780" s="14" t="str">
        <f>VLOOKUP(K780,'Structure type'!$A$1:$B$15,2,FALSE)</f>
        <v>Manhole</v>
      </c>
      <c r="M780" s="13" t="s">
        <v>30</v>
      </c>
      <c r="N780" s="14" t="str">
        <f>VLOOKUP(M780,'Excursion Cause'!$A$1:$B$34,2,FALSE)</f>
        <v>Grease Blockage</v>
      </c>
      <c r="O780" s="17">
        <v>44536.0</v>
      </c>
      <c r="P780" s="18">
        <v>0.4548611111111111</v>
      </c>
      <c r="Q780" s="17">
        <v>44536.0</v>
      </c>
      <c r="R780" s="18">
        <v>0.4951388888888889</v>
      </c>
      <c r="S780" s="16">
        <v>36.0</v>
      </c>
      <c r="T780" s="13" t="s">
        <v>33</v>
      </c>
      <c r="U780" s="14"/>
      <c r="V780" s="14"/>
      <c r="W780" s="19">
        <v>29.6516059</v>
      </c>
      <c r="X780" s="19">
        <v>-95.2333647999999</v>
      </c>
    </row>
    <row r="781" ht="15.75" customHeight="1">
      <c r="A781" s="12">
        <v>12722.0</v>
      </c>
      <c r="B781" s="13">
        <v>2021.0</v>
      </c>
      <c r="C781" s="14" t="str">
        <f t="shared" si="3"/>
        <v>9615 KEMPWOOD DR,Houston,TX</v>
      </c>
      <c r="D781" s="13" t="s">
        <v>1404</v>
      </c>
      <c r="E781" s="14" t="s">
        <v>25</v>
      </c>
      <c r="F781" s="14" t="s">
        <v>1388</v>
      </c>
      <c r="G781" s="15" t="s">
        <v>294</v>
      </c>
      <c r="H781" s="13" t="s">
        <v>28</v>
      </c>
      <c r="I781" s="14" t="str">
        <f>VLOOKUP(H781,'Flow Location'!$A$1:$B$21,2,FALSE)</f>
        <v>Storm Sewer (not contained)</v>
      </c>
      <c r="J781" s="16">
        <v>442.0</v>
      </c>
      <c r="K781" s="13" t="s">
        <v>29</v>
      </c>
      <c r="L781" s="14" t="str">
        <f>VLOOKUP(K781,'Structure type'!$A$1:$B$15,2,FALSE)</f>
        <v>Manhole</v>
      </c>
      <c r="M781" s="13" t="s">
        <v>30</v>
      </c>
      <c r="N781" s="14" t="str">
        <f>VLOOKUP(M781,'Excursion Cause'!$A$1:$B$34,2,FALSE)</f>
        <v>Grease Blockage</v>
      </c>
      <c r="O781" s="17">
        <v>44536.0</v>
      </c>
      <c r="P781" s="18">
        <v>0.5201388888888889</v>
      </c>
      <c r="Q781" s="17">
        <v>44536.0</v>
      </c>
      <c r="R781" s="18">
        <v>0.5347222222222222</v>
      </c>
      <c r="S781" s="16">
        <v>21.0</v>
      </c>
      <c r="T781" s="13" t="s">
        <v>33</v>
      </c>
      <c r="U781" s="14"/>
      <c r="V781" s="14"/>
      <c r="W781" s="19">
        <v>29.8213931</v>
      </c>
      <c r="X781" s="19">
        <v>-95.5306847</v>
      </c>
    </row>
    <row r="782" ht="15.75" customHeight="1">
      <c r="A782" s="12">
        <v>12727.0</v>
      </c>
      <c r="B782" s="13">
        <v>2021.0</v>
      </c>
      <c r="C782" s="14" t="str">
        <f t="shared" si="3"/>
        <v>8307 ROSWELL ST,Houston,TX</v>
      </c>
      <c r="D782" s="13" t="s">
        <v>652</v>
      </c>
      <c r="E782" s="14" t="s">
        <v>25</v>
      </c>
      <c r="F782" s="14" t="s">
        <v>1388</v>
      </c>
      <c r="G782" s="15" t="s">
        <v>653</v>
      </c>
      <c r="H782" s="13" t="s">
        <v>1397</v>
      </c>
      <c r="I782" s="14" t="str">
        <f>VLOOKUP(H782,'Flow Location'!$A$1:$B$21,2,FALSE)</f>
        <v>Bayou/surface water/drainage ditch</v>
      </c>
      <c r="J782" s="16">
        <v>0.0</v>
      </c>
      <c r="K782" s="13" t="s">
        <v>45</v>
      </c>
      <c r="L782" s="14" t="str">
        <f>VLOOKUP(K782,'Structure type'!$A$1:$B$15,2,FALSE)</f>
        <v>City Cleanout</v>
      </c>
      <c r="M782" s="13" t="s">
        <v>56</v>
      </c>
      <c r="N782" s="14" t="str">
        <f>VLOOKUP(M782,'Excursion Cause'!$A$1:$B$34,2,FALSE)</f>
        <v>Rags/Wipes</v>
      </c>
      <c r="O782" s="17">
        <v>44536.0</v>
      </c>
      <c r="P782" s="18">
        <v>0.6069444444444444</v>
      </c>
      <c r="Q782" s="17">
        <v>44536.0</v>
      </c>
      <c r="R782" s="18">
        <v>0.6069444444444444</v>
      </c>
      <c r="S782" s="16">
        <v>0.0</v>
      </c>
      <c r="T782" s="13" t="s">
        <v>74</v>
      </c>
      <c r="U782" s="14"/>
      <c r="V782" s="14"/>
      <c r="W782" s="19">
        <v>29.8359839</v>
      </c>
      <c r="X782" s="19">
        <v>-95.3695219</v>
      </c>
    </row>
    <row r="783" ht="15.75" customHeight="1">
      <c r="A783" s="12">
        <v>12729.0</v>
      </c>
      <c r="B783" s="13">
        <v>2021.0</v>
      </c>
      <c r="C783" s="14" t="str">
        <f t="shared" si="3"/>
        <v>12114 PECAN MEADOW DR,Houston,TX</v>
      </c>
      <c r="D783" s="13" t="s">
        <v>1302</v>
      </c>
      <c r="E783" s="14" t="s">
        <v>25</v>
      </c>
      <c r="F783" s="14" t="s">
        <v>1388</v>
      </c>
      <c r="G783" s="15" t="s">
        <v>148</v>
      </c>
      <c r="H783" s="13" t="s">
        <v>50</v>
      </c>
      <c r="I783" s="14" t="str">
        <f>VLOOKUP(H783,'Flow Location'!$A$1:$B$21,2,FALSE)</f>
        <v>Contained On Site, not within 5 ft. of Bayou/Surface Water/Drainage Ditch</v>
      </c>
      <c r="J783" s="16">
        <v>0.0</v>
      </c>
      <c r="K783" s="13" t="s">
        <v>29</v>
      </c>
      <c r="L783" s="14" t="str">
        <f>VLOOKUP(K783,'Structure type'!$A$1:$B$15,2,FALSE)</f>
        <v>Manhole</v>
      </c>
      <c r="M783" s="13" t="s">
        <v>30</v>
      </c>
      <c r="N783" s="14" t="str">
        <f>VLOOKUP(M783,'Excursion Cause'!$A$1:$B$34,2,FALSE)</f>
        <v>Grease Blockage</v>
      </c>
      <c r="O783" s="17">
        <v>44536.0</v>
      </c>
      <c r="P783" s="18">
        <v>0.7333333333333333</v>
      </c>
      <c r="Q783" s="17">
        <v>44536.0</v>
      </c>
      <c r="R783" s="18">
        <v>0.7333333333333333</v>
      </c>
      <c r="S783" s="16">
        <v>0.0</v>
      </c>
      <c r="T783" s="13" t="s">
        <v>59</v>
      </c>
      <c r="U783" s="14"/>
      <c r="V783" s="14"/>
      <c r="W783" s="19">
        <v>29.6459319999999</v>
      </c>
      <c r="X783" s="19">
        <v>-95.5305412</v>
      </c>
    </row>
    <row r="784" ht="15.75" customHeight="1">
      <c r="A784" s="12">
        <v>12736.0</v>
      </c>
      <c r="B784" s="13">
        <v>2021.0</v>
      </c>
      <c r="C784" s="14" t="str">
        <f t="shared" si="3"/>
        <v>5806 BRAESHEATHER DR,Houston,TX</v>
      </c>
      <c r="D784" s="13" t="s">
        <v>1405</v>
      </c>
      <c r="E784" s="14" t="s">
        <v>25</v>
      </c>
      <c r="F784" s="14" t="s">
        <v>1388</v>
      </c>
      <c r="G784" s="15" t="s">
        <v>69</v>
      </c>
      <c r="H784" s="13" t="s">
        <v>28</v>
      </c>
      <c r="I784" s="14" t="str">
        <f>VLOOKUP(H784,'Flow Location'!$A$1:$B$21,2,FALSE)</f>
        <v>Storm Sewer (not contained)</v>
      </c>
      <c r="J784" s="16">
        <v>55.0</v>
      </c>
      <c r="K784" s="13" t="s">
        <v>29</v>
      </c>
      <c r="L784" s="14" t="str">
        <f>VLOOKUP(K784,'Structure type'!$A$1:$B$15,2,FALSE)</f>
        <v>Manhole</v>
      </c>
      <c r="M784" s="13" t="s">
        <v>30</v>
      </c>
      <c r="N784" s="14" t="str">
        <f>VLOOKUP(M784,'Excursion Cause'!$A$1:$B$34,2,FALSE)</f>
        <v>Grease Blockage</v>
      </c>
      <c r="O784" s="17">
        <v>44537.0</v>
      </c>
      <c r="P784" s="18">
        <v>0.4791666666666667</v>
      </c>
      <c r="Q784" s="17">
        <v>44537.0</v>
      </c>
      <c r="R784" s="18">
        <v>0.5173611111111112</v>
      </c>
      <c r="S784" s="16">
        <v>1.0</v>
      </c>
      <c r="T784" s="13" t="s">
        <v>33</v>
      </c>
      <c r="U784" s="14"/>
      <c r="V784" s="14"/>
      <c r="W784" s="19">
        <v>29.6748578</v>
      </c>
      <c r="X784" s="19">
        <v>-95.4895105</v>
      </c>
    </row>
    <row r="785" ht="15.75" customHeight="1">
      <c r="A785" s="12">
        <v>12738.0</v>
      </c>
      <c r="B785" s="13">
        <v>2021.0</v>
      </c>
      <c r="C785" s="14" t="str">
        <f t="shared" si="3"/>
        <v>8222 OLEANDER CT,Houston,TX</v>
      </c>
      <c r="D785" s="13" t="s">
        <v>1406</v>
      </c>
      <c r="E785" s="14" t="s">
        <v>25</v>
      </c>
      <c r="F785" s="14" t="s">
        <v>1388</v>
      </c>
      <c r="G785" s="15" t="s">
        <v>135</v>
      </c>
      <c r="H785" s="13" t="s">
        <v>50</v>
      </c>
      <c r="I785" s="14" t="str">
        <f>VLOOKUP(H785,'Flow Location'!$A$1:$B$21,2,FALSE)</f>
        <v>Contained On Site, not within 5 ft. of Bayou/Surface Water/Drainage Ditch</v>
      </c>
      <c r="J785" s="16">
        <v>0.0</v>
      </c>
      <c r="K785" s="13" t="s">
        <v>29</v>
      </c>
      <c r="L785" s="14" t="str">
        <f>VLOOKUP(K785,'Structure type'!$A$1:$B$15,2,FALSE)</f>
        <v>Manhole</v>
      </c>
      <c r="M785" s="13" t="s">
        <v>30</v>
      </c>
      <c r="N785" s="14" t="str">
        <f>VLOOKUP(M785,'Excursion Cause'!$A$1:$B$34,2,FALSE)</f>
        <v>Grease Blockage</v>
      </c>
      <c r="O785" s="17">
        <v>44537.0</v>
      </c>
      <c r="P785" s="18">
        <v>0.5479166666666667</v>
      </c>
      <c r="Q785" s="17">
        <v>44537.0</v>
      </c>
      <c r="R785" s="18">
        <v>0.5479166666666667</v>
      </c>
      <c r="S785" s="16">
        <v>0.0</v>
      </c>
      <c r="T785" s="13" t="s">
        <v>33</v>
      </c>
      <c r="U785" s="14"/>
      <c r="V785" s="14"/>
      <c r="W785" s="19">
        <v>29.6783044</v>
      </c>
      <c r="X785" s="19">
        <v>-95.2567727</v>
      </c>
    </row>
    <row r="786" ht="15.75" customHeight="1">
      <c r="A786" s="12">
        <v>12741.0</v>
      </c>
      <c r="B786" s="13">
        <v>2021.0</v>
      </c>
      <c r="C786" s="14" t="str">
        <f t="shared" si="3"/>
        <v>1820 MATTHEWS ST,Houston,TX</v>
      </c>
      <c r="D786" s="13" t="s">
        <v>1407</v>
      </c>
      <c r="E786" s="14" t="s">
        <v>25</v>
      </c>
      <c r="F786" s="14" t="s">
        <v>1388</v>
      </c>
      <c r="G786" s="15" t="s">
        <v>80</v>
      </c>
      <c r="H786" s="13" t="s">
        <v>28</v>
      </c>
      <c r="I786" s="14" t="str">
        <f>VLOOKUP(H786,'Flow Location'!$A$1:$B$21,2,FALSE)</f>
        <v>Storm Sewer (not contained)</v>
      </c>
      <c r="J786" s="16">
        <v>0.0</v>
      </c>
      <c r="K786" s="13" t="s">
        <v>290</v>
      </c>
      <c r="L786" s="14" t="str">
        <f>VLOOKUP(K786,'Structure type'!$A$1:$B$15,2,FALSE)</f>
        <v>Gravity Main</v>
      </c>
      <c r="M786" s="13" t="s">
        <v>81</v>
      </c>
      <c r="N786" s="14" t="str">
        <f>VLOOKUP(M786,'Excursion Cause'!$A$1:$B$34,2,FALSE)</f>
        <v>Collection system structural failure</v>
      </c>
      <c r="O786" s="17">
        <v>44539.0</v>
      </c>
      <c r="P786" s="18">
        <v>0.5965277777777778</v>
      </c>
      <c r="Q786" s="17">
        <v>44539.0</v>
      </c>
      <c r="R786" s="18">
        <v>0.5965277777777778</v>
      </c>
      <c r="S786" s="16">
        <v>0.0</v>
      </c>
      <c r="T786" s="13" t="s">
        <v>118</v>
      </c>
      <c r="U786" s="14"/>
      <c r="V786" s="14"/>
      <c r="W786" s="19">
        <v>29.7521644</v>
      </c>
      <c r="X786" s="19">
        <v>-95.3805874999999</v>
      </c>
    </row>
    <row r="787" ht="15.75" customHeight="1">
      <c r="A787" s="12">
        <v>12743.0</v>
      </c>
      <c r="B787" s="13">
        <v>2021.0</v>
      </c>
      <c r="C787" s="14" t="str">
        <f t="shared" si="3"/>
        <v>4901 WASHINGTON AVE,Houston,TX</v>
      </c>
      <c r="D787" s="13" t="s">
        <v>1408</v>
      </c>
      <c r="E787" s="14" t="s">
        <v>25</v>
      </c>
      <c r="F787" s="14" t="s">
        <v>1388</v>
      </c>
      <c r="G787" s="15" t="s">
        <v>158</v>
      </c>
      <c r="H787" s="13" t="s">
        <v>28</v>
      </c>
      <c r="I787" s="14" t="str">
        <f>VLOOKUP(H787,'Flow Location'!$A$1:$B$21,2,FALSE)</f>
        <v>Storm Sewer (not contained)</v>
      </c>
      <c r="J787" s="16">
        <v>1421.0</v>
      </c>
      <c r="K787" s="13" t="s">
        <v>29</v>
      </c>
      <c r="L787" s="14" t="str">
        <f>VLOOKUP(K787,'Structure type'!$A$1:$B$15,2,FALSE)</f>
        <v>Manhole</v>
      </c>
      <c r="M787" s="13" t="s">
        <v>30</v>
      </c>
      <c r="N787" s="14" t="str">
        <f>VLOOKUP(M787,'Excursion Cause'!$A$1:$B$34,2,FALSE)</f>
        <v>Grease Blockage</v>
      </c>
      <c r="O787" s="17">
        <v>44537.0</v>
      </c>
      <c r="P787" s="18">
        <v>0.6381944444444444</v>
      </c>
      <c r="Q787" s="17">
        <v>44537.0</v>
      </c>
      <c r="R787" s="18">
        <v>0.6666666666666666</v>
      </c>
      <c r="S787" s="16">
        <v>35.0</v>
      </c>
      <c r="T787" s="13" t="s">
        <v>59</v>
      </c>
      <c r="U787" s="14"/>
      <c r="V787" s="14"/>
      <c r="W787" s="19">
        <v>29.7702571</v>
      </c>
      <c r="X787" s="19">
        <v>-95.4108497</v>
      </c>
    </row>
    <row r="788" ht="15.75" customHeight="1">
      <c r="A788" s="12">
        <v>12744.0</v>
      </c>
      <c r="B788" s="13">
        <v>2021.0</v>
      </c>
      <c r="C788" s="14" t="str">
        <f t="shared" si="3"/>
        <v>4646 VICTORY DR,Houston,TX</v>
      </c>
      <c r="D788" s="13" t="s">
        <v>1409</v>
      </c>
      <c r="E788" s="14" t="s">
        <v>25</v>
      </c>
      <c r="F788" s="14" t="s">
        <v>1388</v>
      </c>
      <c r="G788" s="15" t="s">
        <v>502</v>
      </c>
      <c r="H788" s="13" t="s">
        <v>44</v>
      </c>
      <c r="I788" s="14" t="str">
        <f>VLOOKUP(H788,'Flow Location'!$A$1:$B$21,2,FALSE)</f>
        <v>Bayou/surface water/drainage ditch</v>
      </c>
      <c r="J788" s="16">
        <v>15.0</v>
      </c>
      <c r="K788" s="13" t="s">
        <v>290</v>
      </c>
      <c r="L788" s="14" t="str">
        <f>VLOOKUP(K788,'Structure type'!$A$1:$B$15,2,FALSE)</f>
        <v>Gravity Main</v>
      </c>
      <c r="M788" s="13" t="s">
        <v>81</v>
      </c>
      <c r="N788" s="14" t="str">
        <f>VLOOKUP(M788,'Excursion Cause'!$A$1:$B$34,2,FALSE)</f>
        <v>Collection system structural failure</v>
      </c>
      <c r="O788" s="17">
        <v>44537.0</v>
      </c>
      <c r="P788" s="18">
        <v>0.5</v>
      </c>
      <c r="Q788" s="17">
        <v>44537.0</v>
      </c>
      <c r="R788" s="18">
        <v>0.5006944444444444</v>
      </c>
      <c r="S788" s="16">
        <v>15.0</v>
      </c>
      <c r="T788" s="13" t="s">
        <v>193</v>
      </c>
      <c r="U788" s="14"/>
      <c r="V788" s="14"/>
      <c r="W788" s="19">
        <v>29.8670416</v>
      </c>
      <c r="X788" s="19">
        <v>-95.4735711</v>
      </c>
    </row>
    <row r="789" ht="15.75" customHeight="1">
      <c r="A789" s="12">
        <v>12747.0</v>
      </c>
      <c r="B789" s="13">
        <v>2021.0</v>
      </c>
      <c r="C789" s="14" t="str">
        <f t="shared" si="3"/>
        <v>1111 DAISY ST,Houston,TX</v>
      </c>
      <c r="D789" s="13" t="s">
        <v>1410</v>
      </c>
      <c r="E789" s="14" t="s">
        <v>25</v>
      </c>
      <c r="F789" s="14" t="s">
        <v>1388</v>
      </c>
      <c r="G789" s="15" t="s">
        <v>365</v>
      </c>
      <c r="H789" s="13" t="s">
        <v>50</v>
      </c>
      <c r="I789" s="14" t="str">
        <f>VLOOKUP(H789,'Flow Location'!$A$1:$B$21,2,FALSE)</f>
        <v>Contained On Site, not within 5 ft. of Bayou/Surface Water/Drainage Ditch</v>
      </c>
      <c r="J789" s="16">
        <v>0.0</v>
      </c>
      <c r="K789" s="13" t="s">
        <v>290</v>
      </c>
      <c r="L789" s="14" t="str">
        <f>VLOOKUP(K789,'Structure type'!$A$1:$B$15,2,FALSE)</f>
        <v>Gravity Main</v>
      </c>
      <c r="M789" s="13" t="s">
        <v>81</v>
      </c>
      <c r="N789" s="14" t="str">
        <f>VLOOKUP(M789,'Excursion Cause'!$A$1:$B$34,2,FALSE)</f>
        <v>Collection system structural failure</v>
      </c>
      <c r="O789" s="17">
        <v>44537.0</v>
      </c>
      <c r="P789" s="18">
        <v>0.7236111111111111</v>
      </c>
      <c r="Q789" s="17">
        <v>44537.0</v>
      </c>
      <c r="R789" s="18">
        <v>0.7236111111111111</v>
      </c>
      <c r="S789" s="16">
        <v>0.0</v>
      </c>
      <c r="T789" s="13" t="s">
        <v>118</v>
      </c>
      <c r="U789" s="14"/>
      <c r="V789" s="14"/>
      <c r="W789" s="19">
        <v>29.7148863999999</v>
      </c>
      <c r="X789" s="19">
        <v>-95.288992</v>
      </c>
    </row>
    <row r="790" ht="15.75" customHeight="1">
      <c r="A790" s="12">
        <v>12749.0</v>
      </c>
      <c r="B790" s="13">
        <v>2021.0</v>
      </c>
      <c r="C790" s="14" t="str">
        <f t="shared" si="3"/>
        <v>802 MARLEEN ST,Houston,TX</v>
      </c>
      <c r="D790" s="13" t="s">
        <v>1100</v>
      </c>
      <c r="E790" s="14" t="s">
        <v>25</v>
      </c>
      <c r="F790" s="14" t="s">
        <v>1388</v>
      </c>
      <c r="G790" s="15" t="s">
        <v>49</v>
      </c>
      <c r="H790" s="13" t="s">
        <v>50</v>
      </c>
      <c r="I790" s="14" t="str">
        <f>VLOOKUP(H790,'Flow Location'!$A$1:$B$21,2,FALSE)</f>
        <v>Contained On Site, not within 5 ft. of Bayou/Surface Water/Drainage Ditch</v>
      </c>
      <c r="J790" s="16">
        <v>544.0</v>
      </c>
      <c r="K790" s="13" t="s">
        <v>29</v>
      </c>
      <c r="L790" s="14" t="str">
        <f>VLOOKUP(K790,'Structure type'!$A$1:$B$15,2,FALSE)</f>
        <v>Manhole</v>
      </c>
      <c r="M790" s="13" t="s">
        <v>30</v>
      </c>
      <c r="N790" s="14" t="str">
        <f>VLOOKUP(M790,'Excursion Cause'!$A$1:$B$34,2,FALSE)</f>
        <v>Grease Blockage</v>
      </c>
      <c r="O790" s="17">
        <v>44538.0</v>
      </c>
      <c r="P790" s="18">
        <v>0.38263888888888886</v>
      </c>
      <c r="Q790" s="17">
        <v>44538.0</v>
      </c>
      <c r="R790" s="18">
        <v>0.4048611111111111</v>
      </c>
      <c r="S790" s="16">
        <v>17.0</v>
      </c>
      <c r="T790" s="13" t="s">
        <v>33</v>
      </c>
      <c r="U790" s="14"/>
      <c r="V790" s="14"/>
      <c r="W790" s="19">
        <v>29.6516059</v>
      </c>
      <c r="X790" s="19">
        <v>-95.2333647999999</v>
      </c>
    </row>
    <row r="791" ht="15.75" customHeight="1">
      <c r="A791" s="12">
        <v>12750.0</v>
      </c>
      <c r="B791" s="13">
        <v>2021.0</v>
      </c>
      <c r="C791" s="14" t="str">
        <f t="shared" si="3"/>
        <v>8815 N RYLANDER CIR,Houston,TX</v>
      </c>
      <c r="D791" s="13" t="s">
        <v>1411</v>
      </c>
      <c r="E791" s="14" t="s">
        <v>25</v>
      </c>
      <c r="F791" s="14" t="s">
        <v>1388</v>
      </c>
      <c r="G791" s="15" t="s">
        <v>148</v>
      </c>
      <c r="H791" s="13" t="s">
        <v>28</v>
      </c>
      <c r="I791" s="14" t="str">
        <f>VLOOKUP(H791,'Flow Location'!$A$1:$B$21,2,FALSE)</f>
        <v>Storm Sewer (not contained)</v>
      </c>
      <c r="J791" s="16">
        <v>765.0</v>
      </c>
      <c r="K791" s="13" t="s">
        <v>29</v>
      </c>
      <c r="L791" s="14" t="str">
        <f>VLOOKUP(K791,'Structure type'!$A$1:$B$15,2,FALSE)</f>
        <v>Manhole</v>
      </c>
      <c r="M791" s="13" t="s">
        <v>30</v>
      </c>
      <c r="N791" s="14" t="str">
        <f>VLOOKUP(M791,'Excursion Cause'!$A$1:$B$34,2,FALSE)</f>
        <v>Grease Blockage</v>
      </c>
      <c r="O791" s="17">
        <v>44538.0</v>
      </c>
      <c r="P791" s="18">
        <v>0.4236111111111111</v>
      </c>
      <c r="Q791" s="17">
        <v>44538.0</v>
      </c>
      <c r="R791" s="18">
        <v>0.4444444444444444</v>
      </c>
      <c r="S791" s="16">
        <v>26.0</v>
      </c>
      <c r="T791" s="13" t="s">
        <v>59</v>
      </c>
      <c r="U791" s="14"/>
      <c r="V791" s="14"/>
      <c r="W791" s="19">
        <v>29.6423756</v>
      </c>
      <c r="X791" s="19">
        <v>-95.5325597</v>
      </c>
    </row>
    <row r="792" ht="15.75" customHeight="1">
      <c r="A792" s="12">
        <v>12753.0</v>
      </c>
      <c r="B792" s="13">
        <v>2021.0</v>
      </c>
      <c r="C792" s="14" t="str">
        <f t="shared" si="3"/>
        <v>905 REINERMAN ST,Houston,TX</v>
      </c>
      <c r="D792" s="13" t="s">
        <v>1412</v>
      </c>
      <c r="E792" s="14" t="s">
        <v>25</v>
      </c>
      <c r="F792" s="14" t="s">
        <v>1388</v>
      </c>
      <c r="G792" s="15" t="s">
        <v>158</v>
      </c>
      <c r="H792" s="13" t="s">
        <v>28</v>
      </c>
      <c r="I792" s="14" t="str">
        <f>VLOOKUP(H792,'Flow Location'!$A$1:$B$21,2,FALSE)</f>
        <v>Storm Sewer (not contained)</v>
      </c>
      <c r="J792" s="16">
        <v>590.0</v>
      </c>
      <c r="K792" s="13" t="s">
        <v>29</v>
      </c>
      <c r="L792" s="14" t="str">
        <f>VLOOKUP(K792,'Structure type'!$A$1:$B$15,2,FALSE)</f>
        <v>Manhole</v>
      </c>
      <c r="M792" s="13" t="s">
        <v>30</v>
      </c>
      <c r="N792" s="14" t="str">
        <f>VLOOKUP(M792,'Excursion Cause'!$A$1:$B$34,2,FALSE)</f>
        <v>Grease Blockage</v>
      </c>
      <c r="O792" s="17">
        <v>44538.0</v>
      </c>
      <c r="P792" s="18">
        <v>0.45902777777777776</v>
      </c>
      <c r="Q792" s="17">
        <v>44538.0</v>
      </c>
      <c r="R792" s="18">
        <v>0.4965277777777778</v>
      </c>
      <c r="S792" s="16">
        <v>11.0</v>
      </c>
      <c r="T792" s="13" t="s">
        <v>59</v>
      </c>
      <c r="U792" s="14"/>
      <c r="V792" s="14"/>
      <c r="W792" s="19">
        <v>29.7699597</v>
      </c>
      <c r="X792" s="19">
        <v>-95.4137137</v>
      </c>
    </row>
    <row r="793" ht="15.75" customHeight="1">
      <c r="A793" s="12">
        <v>12754.0</v>
      </c>
      <c r="B793" s="13">
        <v>2021.0</v>
      </c>
      <c r="C793" s="14" t="str">
        <f t="shared" si="3"/>
        <v>4519 WERNER ST,Houston,TX</v>
      </c>
      <c r="D793" s="13" t="s">
        <v>1413</v>
      </c>
      <c r="E793" s="14" t="s">
        <v>25</v>
      </c>
      <c r="F793" s="14" t="s">
        <v>1388</v>
      </c>
      <c r="G793" s="15" t="s">
        <v>653</v>
      </c>
      <c r="H793" s="13" t="s">
        <v>1397</v>
      </c>
      <c r="I793" s="14" t="str">
        <f>VLOOKUP(H793,'Flow Location'!$A$1:$B$21,2,FALSE)</f>
        <v>Bayou/surface water/drainage ditch</v>
      </c>
      <c r="J793" s="16">
        <v>0.0</v>
      </c>
      <c r="K793" s="13" t="s">
        <v>45</v>
      </c>
      <c r="L793" s="14" t="str">
        <f>VLOOKUP(K793,'Structure type'!$A$1:$B$15,2,FALSE)</f>
        <v>City Cleanout</v>
      </c>
      <c r="M793" s="13" t="s">
        <v>30</v>
      </c>
      <c r="N793" s="14" t="str">
        <f>VLOOKUP(M793,'Excursion Cause'!$A$1:$B$34,2,FALSE)</f>
        <v>Grease Blockage</v>
      </c>
      <c r="O793" s="17">
        <v>44538.0</v>
      </c>
      <c r="P793" s="18">
        <v>0.48055555555555557</v>
      </c>
      <c r="Q793" s="17">
        <v>44538.0</v>
      </c>
      <c r="R793" s="18">
        <v>0.48055555555555557</v>
      </c>
      <c r="S793" s="16">
        <v>0.0</v>
      </c>
      <c r="T793" s="13" t="s">
        <v>270</v>
      </c>
      <c r="U793" s="14"/>
      <c r="V793" s="14"/>
      <c r="W793" s="19">
        <v>29.8315725</v>
      </c>
      <c r="X793" s="19">
        <v>-95.3970842</v>
      </c>
    </row>
    <row r="794" ht="15.75" customHeight="1">
      <c r="A794" s="12">
        <v>12755.0</v>
      </c>
      <c r="B794" s="13">
        <v>2021.0</v>
      </c>
      <c r="C794" s="14" t="str">
        <f t="shared" si="3"/>
        <v>2501 BEATTY ST,Houston,TX</v>
      </c>
      <c r="D794" s="13" t="s">
        <v>1414</v>
      </c>
      <c r="E794" s="14" t="s">
        <v>25</v>
      </c>
      <c r="F794" s="14" t="s">
        <v>1388</v>
      </c>
      <c r="G794" s="15" t="s">
        <v>141</v>
      </c>
      <c r="H794" s="13" t="s">
        <v>50</v>
      </c>
      <c r="I794" s="14" t="str">
        <f>VLOOKUP(H794,'Flow Location'!$A$1:$B$21,2,FALSE)</f>
        <v>Contained On Site, not within 5 ft. of Bayou/Surface Water/Drainage Ditch</v>
      </c>
      <c r="J794" s="16">
        <v>393.0</v>
      </c>
      <c r="K794" s="13" t="s">
        <v>51</v>
      </c>
      <c r="L794" s="14" t="str">
        <f>VLOOKUP(K794,'Structure type'!$A$1:$B$15,2,FALSE)</f>
        <v>Private Cleanout</v>
      </c>
      <c r="M794" s="13" t="s">
        <v>30</v>
      </c>
      <c r="N794" s="14" t="str">
        <f>VLOOKUP(M794,'Excursion Cause'!$A$1:$B$34,2,FALSE)</f>
        <v>Grease Blockage</v>
      </c>
      <c r="O794" s="17">
        <v>44538.0</v>
      </c>
      <c r="P794" s="18">
        <v>0.5</v>
      </c>
      <c r="Q794" s="17">
        <v>44538.0</v>
      </c>
      <c r="R794" s="18">
        <v>0.5229166666666667</v>
      </c>
      <c r="S794" s="16">
        <v>12.0</v>
      </c>
      <c r="T794" s="13" t="s">
        <v>33</v>
      </c>
      <c r="U794" s="14"/>
      <c r="V794" s="14"/>
      <c r="W794" s="19">
        <v>29.7097513999999</v>
      </c>
      <c r="X794" s="19">
        <v>-95.3102299999999</v>
      </c>
    </row>
    <row r="795" ht="15.75" customHeight="1">
      <c r="A795" s="12">
        <v>12765.0</v>
      </c>
      <c r="B795" s="13">
        <v>2021.0</v>
      </c>
      <c r="C795" s="14" t="str">
        <f t="shared" si="3"/>
        <v>8770 E RYLANDER CIR,Houston,TX</v>
      </c>
      <c r="D795" s="13" t="s">
        <v>1415</v>
      </c>
      <c r="E795" s="14" t="s">
        <v>25</v>
      </c>
      <c r="F795" s="14" t="s">
        <v>1388</v>
      </c>
      <c r="G795" s="15" t="s">
        <v>148</v>
      </c>
      <c r="H795" s="13" t="s">
        <v>28</v>
      </c>
      <c r="I795" s="14" t="str">
        <f>VLOOKUP(H795,'Flow Location'!$A$1:$B$21,2,FALSE)</f>
        <v>Storm Sewer (not contained)</v>
      </c>
      <c r="J795" s="16">
        <v>85.0</v>
      </c>
      <c r="K795" s="13" t="s">
        <v>29</v>
      </c>
      <c r="L795" s="14" t="str">
        <f>VLOOKUP(K795,'Structure type'!$A$1:$B$15,2,FALSE)</f>
        <v>Manhole</v>
      </c>
      <c r="M795" s="13" t="s">
        <v>30</v>
      </c>
      <c r="N795" s="14" t="str">
        <f>VLOOKUP(M795,'Excursion Cause'!$A$1:$B$34,2,FALSE)</f>
        <v>Grease Blockage</v>
      </c>
      <c r="O795" s="17">
        <v>44539.0</v>
      </c>
      <c r="P795" s="18">
        <v>0.4270833333333333</v>
      </c>
      <c r="Q795" s="17">
        <v>44539.0</v>
      </c>
      <c r="R795" s="18">
        <v>0.4444444444444444</v>
      </c>
      <c r="S795" s="16">
        <v>3.0</v>
      </c>
      <c r="T795" s="13" t="s">
        <v>59</v>
      </c>
      <c r="U795" s="14"/>
      <c r="V795" s="14"/>
      <c r="W795" s="19">
        <v>29.642718</v>
      </c>
      <c r="X795" s="19">
        <v>-95.5320404</v>
      </c>
    </row>
    <row r="796" ht="15.75" customHeight="1">
      <c r="A796" s="12">
        <v>12766.0</v>
      </c>
      <c r="B796" s="13">
        <v>2021.0</v>
      </c>
      <c r="C796" s="14" t="str">
        <f t="shared" si="3"/>
        <v>9707 TIMBERSIDE DR,Houston,TX</v>
      </c>
      <c r="D796" s="13" t="s">
        <v>1416</v>
      </c>
      <c r="E796" s="14" t="s">
        <v>25</v>
      </c>
      <c r="F796" s="14" t="s">
        <v>1388</v>
      </c>
      <c r="G796" s="15" t="s">
        <v>65</v>
      </c>
      <c r="H796" s="13" t="s">
        <v>50</v>
      </c>
      <c r="I796" s="14" t="str">
        <f>VLOOKUP(H796,'Flow Location'!$A$1:$B$21,2,FALSE)</f>
        <v>Contained On Site, not within 5 ft. of Bayou/Surface Water/Drainage Ditch</v>
      </c>
      <c r="J796" s="16">
        <v>0.0</v>
      </c>
      <c r="K796" s="13" t="s">
        <v>29</v>
      </c>
      <c r="L796" s="14" t="str">
        <f>VLOOKUP(K796,'Structure type'!$A$1:$B$15,2,FALSE)</f>
        <v>Manhole</v>
      </c>
      <c r="M796" s="13" t="s">
        <v>30</v>
      </c>
      <c r="N796" s="14" t="str">
        <f>VLOOKUP(M796,'Excursion Cause'!$A$1:$B$34,2,FALSE)</f>
        <v>Grease Blockage</v>
      </c>
      <c r="O796" s="17">
        <v>44539.0</v>
      </c>
      <c r="P796" s="18">
        <v>0.47847222222222224</v>
      </c>
      <c r="Q796" s="17">
        <v>44539.0</v>
      </c>
      <c r="R796" s="18">
        <v>0.47847222222222224</v>
      </c>
      <c r="S796" s="16">
        <v>0.0</v>
      </c>
      <c r="T796" s="13" t="s">
        <v>33</v>
      </c>
      <c r="U796" s="14"/>
      <c r="V796" s="14"/>
      <c r="W796" s="19">
        <v>29.6773525</v>
      </c>
      <c r="X796" s="19">
        <v>-95.4321945</v>
      </c>
    </row>
    <row r="797" ht="15.75" customHeight="1">
      <c r="A797" s="12">
        <v>12769.0</v>
      </c>
      <c r="B797" s="13">
        <v>2021.0</v>
      </c>
      <c r="C797" s="14" t="str">
        <f t="shared" si="3"/>
        <v>13631 BROKEN BRIDGE DR,Houston,TX</v>
      </c>
      <c r="D797" s="13" t="s">
        <v>677</v>
      </c>
      <c r="E797" s="14" t="s">
        <v>25</v>
      </c>
      <c r="F797" s="14" t="s">
        <v>1388</v>
      </c>
      <c r="G797" s="15" t="s">
        <v>384</v>
      </c>
      <c r="H797" s="13" t="s">
        <v>50</v>
      </c>
      <c r="I797" s="14" t="str">
        <f>VLOOKUP(H797,'Flow Location'!$A$1:$B$21,2,FALSE)</f>
        <v>Contained On Site, not within 5 ft. of Bayou/Surface Water/Drainage Ditch</v>
      </c>
      <c r="J797" s="16">
        <v>135.0</v>
      </c>
      <c r="K797" s="13" t="s">
        <v>29</v>
      </c>
      <c r="L797" s="14" t="str">
        <f>VLOOKUP(K797,'Structure type'!$A$1:$B$15,2,FALSE)</f>
        <v>Manhole</v>
      </c>
      <c r="M797" s="13" t="s">
        <v>30</v>
      </c>
      <c r="N797" s="14" t="str">
        <f>VLOOKUP(M797,'Excursion Cause'!$A$1:$B$34,2,FALSE)</f>
        <v>Grease Blockage</v>
      </c>
      <c r="O797" s="17">
        <v>44539.0</v>
      </c>
      <c r="P797" s="18">
        <v>0.5381944444444444</v>
      </c>
      <c r="Q797" s="17">
        <v>44539.0</v>
      </c>
      <c r="R797" s="18">
        <v>0.5486111111111112</v>
      </c>
      <c r="S797" s="16">
        <v>9.0</v>
      </c>
      <c r="T797" s="13" t="s">
        <v>33</v>
      </c>
      <c r="U797" s="14"/>
      <c r="V797" s="14"/>
      <c r="W797" s="19">
        <v>29.6288721</v>
      </c>
      <c r="X797" s="19">
        <v>-95.4869774</v>
      </c>
    </row>
    <row r="798" ht="15.75" customHeight="1">
      <c r="A798" s="12">
        <v>12772.0</v>
      </c>
      <c r="B798" s="13">
        <v>2021.0</v>
      </c>
      <c r="C798" s="14" t="str">
        <f t="shared" si="3"/>
        <v>6111 CHIMNEY ROCK RD,Houston,TX</v>
      </c>
      <c r="D798" s="13" t="s">
        <v>286</v>
      </c>
      <c r="E798" s="14" t="s">
        <v>25</v>
      </c>
      <c r="F798" s="14" t="s">
        <v>1388</v>
      </c>
      <c r="G798" s="15" t="s">
        <v>287</v>
      </c>
      <c r="H798" s="13" t="s">
        <v>28</v>
      </c>
      <c r="I798" s="14" t="str">
        <f>VLOOKUP(H798,'Flow Location'!$A$1:$B$21,2,FALSE)</f>
        <v>Storm Sewer (not contained)</v>
      </c>
      <c r="J798" s="16">
        <v>87.0</v>
      </c>
      <c r="K798" s="13" t="s">
        <v>29</v>
      </c>
      <c r="L798" s="14" t="str">
        <f>VLOOKUP(K798,'Structure type'!$A$1:$B$15,2,FALSE)</f>
        <v>Manhole</v>
      </c>
      <c r="M798" s="13" t="s">
        <v>30</v>
      </c>
      <c r="N798" s="14" t="str">
        <f>VLOOKUP(M798,'Excursion Cause'!$A$1:$B$34,2,FALSE)</f>
        <v>Grease Blockage</v>
      </c>
      <c r="O798" s="17">
        <v>44539.0</v>
      </c>
      <c r="P798" s="18">
        <v>0.5868055555555556</v>
      </c>
      <c r="Q798" s="17">
        <v>44539.0</v>
      </c>
      <c r="R798" s="18">
        <v>0.6055555555555555</v>
      </c>
      <c r="S798" s="16">
        <v>3.0</v>
      </c>
      <c r="T798" s="13" t="s">
        <v>33</v>
      </c>
      <c r="U798" s="14"/>
      <c r="V798" s="14"/>
      <c r="W798" s="19">
        <v>29.7141166</v>
      </c>
      <c r="X798" s="19">
        <v>-95.4753645</v>
      </c>
    </row>
    <row r="799" ht="15.75" customHeight="1">
      <c r="A799" s="12">
        <v>12773.0</v>
      </c>
      <c r="B799" s="13">
        <v>2021.0</v>
      </c>
      <c r="C799" s="14" t="str">
        <f t="shared" si="3"/>
        <v>409 W 21ST ST,Houston,TX</v>
      </c>
      <c r="D799" s="13" t="s">
        <v>1417</v>
      </c>
      <c r="E799" s="14" t="s">
        <v>25</v>
      </c>
      <c r="F799" s="14" t="s">
        <v>1388</v>
      </c>
      <c r="G799" s="15" t="s">
        <v>232</v>
      </c>
      <c r="H799" s="13" t="s">
        <v>50</v>
      </c>
      <c r="I799" s="14" t="str">
        <f>VLOOKUP(H799,'Flow Location'!$A$1:$B$21,2,FALSE)</f>
        <v>Contained On Site, not within 5 ft. of Bayou/Surface Water/Drainage Ditch</v>
      </c>
      <c r="J799" s="16">
        <v>142.0</v>
      </c>
      <c r="K799" s="13" t="s">
        <v>29</v>
      </c>
      <c r="L799" s="14" t="str">
        <f>VLOOKUP(K799,'Structure type'!$A$1:$B$15,2,FALSE)</f>
        <v>Manhole</v>
      </c>
      <c r="M799" s="13" t="s">
        <v>30</v>
      </c>
      <c r="N799" s="14" t="str">
        <f>VLOOKUP(M799,'Excursion Cause'!$A$1:$B$34,2,FALSE)</f>
        <v>Grease Blockage</v>
      </c>
      <c r="O799" s="17">
        <v>44539.0</v>
      </c>
      <c r="P799" s="18">
        <v>0.675</v>
      </c>
      <c r="Q799" s="17">
        <v>44539.0</v>
      </c>
      <c r="R799" s="18">
        <v>0.6902777777777778</v>
      </c>
      <c r="S799" s="16">
        <v>6.0</v>
      </c>
      <c r="T799" s="13" t="s">
        <v>33</v>
      </c>
      <c r="U799" s="14"/>
      <c r="V799" s="14"/>
      <c r="W799" s="19">
        <v>29.8051319</v>
      </c>
      <c r="X799" s="19">
        <v>-95.4042836</v>
      </c>
    </row>
    <row r="800" ht="15.75" customHeight="1">
      <c r="A800" s="12">
        <v>12776.0</v>
      </c>
      <c r="B800" s="13">
        <v>2021.0</v>
      </c>
      <c r="C800" s="14" t="str">
        <f t="shared" si="3"/>
        <v>7930 HOMEWOOD LN,Houston,TX</v>
      </c>
      <c r="D800" s="13" t="s">
        <v>1418</v>
      </c>
      <c r="E800" s="14" t="s">
        <v>25</v>
      </c>
      <c r="F800" s="14" t="s">
        <v>1388</v>
      </c>
      <c r="G800" s="15" t="s">
        <v>177</v>
      </c>
      <c r="H800" s="13" t="s">
        <v>50</v>
      </c>
      <c r="I800" s="14" t="str">
        <f>VLOOKUP(H800,'Flow Location'!$A$1:$B$21,2,FALSE)</f>
        <v>Contained On Site, not within 5 ft. of Bayou/Surface Water/Drainage Ditch</v>
      </c>
      <c r="J800" s="16">
        <v>0.0</v>
      </c>
      <c r="K800" s="13" t="s">
        <v>45</v>
      </c>
      <c r="L800" s="14" t="str">
        <f>VLOOKUP(K800,'Structure type'!$A$1:$B$15,2,FALSE)</f>
        <v>City Cleanout</v>
      </c>
      <c r="M800" s="13" t="s">
        <v>56</v>
      </c>
      <c r="N800" s="14" t="str">
        <f>VLOOKUP(M800,'Excursion Cause'!$A$1:$B$34,2,FALSE)</f>
        <v>Rags/Wipes</v>
      </c>
      <c r="O800" s="17">
        <v>44540.0</v>
      </c>
      <c r="P800" s="18">
        <v>0.4583333333333333</v>
      </c>
      <c r="Q800" s="17">
        <v>44540.0</v>
      </c>
      <c r="R800" s="18">
        <v>0.4583333333333333</v>
      </c>
      <c r="S800" s="16">
        <v>0.0</v>
      </c>
      <c r="T800" s="13" t="s">
        <v>270</v>
      </c>
      <c r="U800" s="14"/>
      <c r="V800" s="14"/>
      <c r="W800" s="19">
        <v>29.8420705</v>
      </c>
      <c r="X800" s="19">
        <v>-95.2829179</v>
      </c>
    </row>
    <row r="801" ht="15.75" customHeight="1">
      <c r="A801" s="12">
        <v>12778.0</v>
      </c>
      <c r="B801" s="13">
        <v>2021.0</v>
      </c>
      <c r="C801" s="14" t="str">
        <f t="shared" si="3"/>
        <v>309 GRACE ST,Houston,TX</v>
      </c>
      <c r="D801" s="13" t="s">
        <v>1419</v>
      </c>
      <c r="E801" s="14" t="s">
        <v>25</v>
      </c>
      <c r="F801" s="14" t="s">
        <v>1388</v>
      </c>
      <c r="G801" s="15" t="s">
        <v>172</v>
      </c>
      <c r="H801" s="13" t="s">
        <v>50</v>
      </c>
      <c r="I801" s="14" t="str">
        <f>VLOOKUP(H801,'Flow Location'!$A$1:$B$21,2,FALSE)</f>
        <v>Contained On Site, not within 5 ft. of Bayou/Surface Water/Drainage Ditch</v>
      </c>
      <c r="J801" s="16">
        <v>0.0</v>
      </c>
      <c r="K801" s="13" t="s">
        <v>45</v>
      </c>
      <c r="L801" s="14" t="str">
        <f>VLOOKUP(K801,'Structure type'!$A$1:$B$15,2,FALSE)</f>
        <v>City Cleanout</v>
      </c>
      <c r="M801" s="13" t="s">
        <v>52</v>
      </c>
      <c r="N801" s="14" t="str">
        <f>VLOOKUP(M801,'Excursion Cause'!$A$1:$B$34,2,FALSE)</f>
        <v>Collection system structural blockage</v>
      </c>
      <c r="O801" s="17">
        <v>44540.0</v>
      </c>
      <c r="P801" s="18">
        <v>0.5395833333333333</v>
      </c>
      <c r="Q801" s="17">
        <v>44540.0</v>
      </c>
      <c r="R801" s="18">
        <v>0.5395833333333333</v>
      </c>
      <c r="S801" s="16">
        <v>0.0</v>
      </c>
      <c r="T801" s="13" t="s">
        <v>170</v>
      </c>
      <c r="U801" s="14"/>
      <c r="V801" s="14"/>
      <c r="W801" s="19">
        <v>29.7463398</v>
      </c>
      <c r="X801" s="19">
        <v>-95.3349446</v>
      </c>
    </row>
    <row r="802" ht="15.75" customHeight="1">
      <c r="A802" s="12">
        <v>12786.0</v>
      </c>
      <c r="B802" s="13">
        <v>2021.0</v>
      </c>
      <c r="C802" s="14" t="str">
        <f t="shared" si="3"/>
        <v>7247 BROOK STONE DR,Houston,TX</v>
      </c>
      <c r="D802" s="13" t="s">
        <v>1420</v>
      </c>
      <c r="E802" s="14" t="s">
        <v>25</v>
      </c>
      <c r="F802" s="14" t="s">
        <v>1388</v>
      </c>
      <c r="G802" s="15" t="s">
        <v>253</v>
      </c>
      <c r="H802" s="13" t="s">
        <v>50</v>
      </c>
      <c r="I802" s="14" t="str">
        <f>VLOOKUP(H802,'Flow Location'!$A$1:$B$21,2,FALSE)</f>
        <v>Contained On Site, not within 5 ft. of Bayou/Surface Water/Drainage Ditch</v>
      </c>
      <c r="J802" s="16">
        <v>0.0</v>
      </c>
      <c r="K802" s="13" t="s">
        <v>198</v>
      </c>
      <c r="L802" s="14" t="str">
        <f>VLOOKUP(K802,'Structure type'!$A$1:$B$15,2,FALSE)</f>
        <v>Service Lateral</v>
      </c>
      <c r="M802" s="13" t="s">
        <v>52</v>
      </c>
      <c r="N802" s="14" t="str">
        <f>VLOOKUP(M802,'Excursion Cause'!$A$1:$B$34,2,FALSE)</f>
        <v>Collection system structural blockage</v>
      </c>
      <c r="O802" s="17">
        <v>44541.0</v>
      </c>
      <c r="P802" s="18">
        <v>0.5423611111111111</v>
      </c>
      <c r="Q802" s="17">
        <v>44541.0</v>
      </c>
      <c r="R802" s="18">
        <v>0.5423611111111111</v>
      </c>
      <c r="S802" s="16">
        <v>0.0</v>
      </c>
      <c r="T802" s="13" t="s">
        <v>170</v>
      </c>
      <c r="U802" s="14"/>
      <c r="V802" s="14"/>
      <c r="W802" s="19">
        <v>29.8692179</v>
      </c>
      <c r="X802" s="19">
        <v>-95.4996374999999</v>
      </c>
    </row>
    <row r="803" ht="15.75" customHeight="1">
      <c r="A803" s="12">
        <v>12790.0</v>
      </c>
      <c r="B803" s="13">
        <v>2021.0</v>
      </c>
      <c r="C803" s="14" t="str">
        <f t="shared" si="3"/>
        <v>1039 YALE ST,Houston,TX</v>
      </c>
      <c r="D803" s="13" t="s">
        <v>1366</v>
      </c>
      <c r="E803" s="14" t="s">
        <v>25</v>
      </c>
      <c r="F803" s="14" t="s">
        <v>1388</v>
      </c>
      <c r="G803" s="15" t="s">
        <v>232</v>
      </c>
      <c r="H803" s="13" t="s">
        <v>50</v>
      </c>
      <c r="I803" s="14" t="str">
        <f>VLOOKUP(H803,'Flow Location'!$A$1:$B$21,2,FALSE)</f>
        <v>Contained On Site, not within 5 ft. of Bayou/Surface Water/Drainage Ditch</v>
      </c>
      <c r="J803" s="16">
        <v>0.0</v>
      </c>
      <c r="K803" s="13" t="s">
        <v>29</v>
      </c>
      <c r="L803" s="14" t="str">
        <f>VLOOKUP(K803,'Structure type'!$A$1:$B$15,2,FALSE)</f>
        <v>Manhole</v>
      </c>
      <c r="M803" s="13" t="s">
        <v>30</v>
      </c>
      <c r="N803" s="14" t="str">
        <f>VLOOKUP(M803,'Excursion Cause'!$A$1:$B$34,2,FALSE)</f>
        <v>Grease Blockage</v>
      </c>
      <c r="O803" s="17">
        <v>44541.0</v>
      </c>
      <c r="P803" s="18">
        <v>0.6847222222222222</v>
      </c>
      <c r="Q803" s="17">
        <v>44541.0</v>
      </c>
      <c r="R803" s="18">
        <v>0.6847222222222222</v>
      </c>
      <c r="S803" s="16">
        <v>0.0</v>
      </c>
      <c r="T803" s="13" t="s">
        <v>33</v>
      </c>
      <c r="U803" s="14"/>
      <c r="V803" s="14"/>
      <c r="W803" s="19">
        <v>29.7903919</v>
      </c>
      <c r="X803" s="19">
        <v>-95.3992675</v>
      </c>
    </row>
    <row r="804" ht="15.75" customHeight="1">
      <c r="A804" s="12">
        <v>12793.0</v>
      </c>
      <c r="B804" s="13">
        <v>2021.0</v>
      </c>
      <c r="C804" s="14" t="str">
        <f t="shared" si="3"/>
        <v>10801 EAST FWY,Houston,TX</v>
      </c>
      <c r="D804" s="13" t="s">
        <v>1421</v>
      </c>
      <c r="E804" s="14" t="s">
        <v>25</v>
      </c>
      <c r="F804" s="14" t="s">
        <v>1388</v>
      </c>
      <c r="G804" s="15" t="s">
        <v>656</v>
      </c>
      <c r="H804" s="13" t="s">
        <v>50</v>
      </c>
      <c r="I804" s="14" t="str">
        <f>VLOOKUP(H804,'Flow Location'!$A$1:$B$21,2,FALSE)</f>
        <v>Contained On Site, not within 5 ft. of Bayou/Surface Water/Drainage Ditch</v>
      </c>
      <c r="J804" s="16">
        <v>352.0</v>
      </c>
      <c r="K804" s="13" t="s">
        <v>29</v>
      </c>
      <c r="L804" s="14" t="str">
        <f>VLOOKUP(K804,'Structure type'!$A$1:$B$15,2,FALSE)</f>
        <v>Manhole</v>
      </c>
      <c r="M804" s="13" t="s">
        <v>30</v>
      </c>
      <c r="N804" s="14" t="str">
        <f>VLOOKUP(M804,'Excursion Cause'!$A$1:$B$34,2,FALSE)</f>
        <v>Grease Blockage</v>
      </c>
      <c r="O804" s="17">
        <v>44542.0</v>
      </c>
      <c r="P804" s="18">
        <v>0.5166666666666667</v>
      </c>
      <c r="Q804" s="17">
        <v>44542.0</v>
      </c>
      <c r="R804" s="18">
        <v>0.5555555555555556</v>
      </c>
      <c r="S804" s="16">
        <v>6.0</v>
      </c>
      <c r="T804" s="13" t="s">
        <v>59</v>
      </c>
      <c r="U804" s="14"/>
      <c r="V804" s="14"/>
      <c r="W804" s="19">
        <v>29.7743362</v>
      </c>
      <c r="X804" s="19">
        <v>-95.2387306999999</v>
      </c>
    </row>
    <row r="805" ht="15.75" customHeight="1">
      <c r="A805" s="12">
        <v>12794.0</v>
      </c>
      <c r="B805" s="13">
        <v>2021.0</v>
      </c>
      <c r="C805" s="14" t="str">
        <f t="shared" si="3"/>
        <v>6618 INWOOD WEST DR,Houston,TX</v>
      </c>
      <c r="D805" s="13" t="s">
        <v>1422</v>
      </c>
      <c r="E805" s="14" t="s">
        <v>25</v>
      </c>
      <c r="F805" s="14" t="s">
        <v>1388</v>
      </c>
      <c r="G805" s="15" t="s">
        <v>502</v>
      </c>
      <c r="H805" s="13" t="s">
        <v>50</v>
      </c>
      <c r="I805" s="14" t="str">
        <f>VLOOKUP(H805,'Flow Location'!$A$1:$B$21,2,FALSE)</f>
        <v>Contained On Site, not within 5 ft. of Bayou/Surface Water/Drainage Ditch</v>
      </c>
      <c r="J805" s="16">
        <v>161.0</v>
      </c>
      <c r="K805" s="13" t="s">
        <v>29</v>
      </c>
      <c r="L805" s="14" t="str">
        <f>VLOOKUP(K805,'Structure type'!$A$1:$B$15,2,FALSE)</f>
        <v>Manhole</v>
      </c>
      <c r="M805" s="13" t="s">
        <v>30</v>
      </c>
      <c r="N805" s="14" t="str">
        <f>VLOOKUP(M805,'Excursion Cause'!$A$1:$B$34,2,FALSE)</f>
        <v>Grease Blockage</v>
      </c>
      <c r="O805" s="17">
        <v>44542.0</v>
      </c>
      <c r="P805" s="18">
        <v>0.5881944444444445</v>
      </c>
      <c r="Q805" s="17">
        <v>44542.0</v>
      </c>
      <c r="R805" s="18">
        <v>0.6159722222222223</v>
      </c>
      <c r="S805" s="16">
        <v>4.0</v>
      </c>
      <c r="T805" s="13" t="s">
        <v>33</v>
      </c>
      <c r="U805" s="14"/>
      <c r="V805" s="14"/>
      <c r="W805" s="19">
        <v>29.8864088</v>
      </c>
      <c r="X805" s="19">
        <v>-95.4882064</v>
      </c>
    </row>
    <row r="806" ht="15.75" customHeight="1">
      <c r="A806" s="12">
        <v>12795.0</v>
      </c>
      <c r="B806" s="13">
        <v>2021.0</v>
      </c>
      <c r="C806" s="14" t="str">
        <f t="shared" si="3"/>
        <v>4414 FRIAR POINT RD,Houston,TX</v>
      </c>
      <c r="D806" s="13" t="s">
        <v>1423</v>
      </c>
      <c r="E806" s="14" t="s">
        <v>25</v>
      </c>
      <c r="F806" s="14" t="s">
        <v>1388</v>
      </c>
      <c r="G806" s="15" t="s">
        <v>419</v>
      </c>
      <c r="H806" s="13" t="s">
        <v>28</v>
      </c>
      <c r="I806" s="14" t="str">
        <f>VLOOKUP(H806,'Flow Location'!$A$1:$B$21,2,FALSE)</f>
        <v>Storm Sewer (not contained)</v>
      </c>
      <c r="J806" s="16">
        <v>0.0</v>
      </c>
      <c r="K806" s="13" t="s">
        <v>29</v>
      </c>
      <c r="L806" s="14" t="str">
        <f>VLOOKUP(K806,'Structure type'!$A$1:$B$15,2,FALSE)</f>
        <v>Manhole</v>
      </c>
      <c r="M806" s="13" t="s">
        <v>30</v>
      </c>
      <c r="N806" s="14" t="str">
        <f>VLOOKUP(M806,'Excursion Cause'!$A$1:$B$34,2,FALSE)</f>
        <v>Grease Blockage</v>
      </c>
      <c r="O806" s="17">
        <v>44543.0</v>
      </c>
      <c r="P806" s="18">
        <v>0.40625</v>
      </c>
      <c r="Q806" s="17">
        <v>44543.0</v>
      </c>
      <c r="R806" s="18">
        <v>0.40625</v>
      </c>
      <c r="S806" s="16">
        <v>0.0</v>
      </c>
      <c r="T806" s="13" t="s">
        <v>33</v>
      </c>
      <c r="U806" s="14"/>
      <c r="V806" s="14"/>
      <c r="W806" s="19">
        <v>29.6404268</v>
      </c>
      <c r="X806" s="19">
        <v>-95.3577538999999</v>
      </c>
    </row>
    <row r="807" ht="15.75" customHeight="1">
      <c r="A807" s="12">
        <v>12796.0</v>
      </c>
      <c r="B807" s="13">
        <v>2021.0</v>
      </c>
      <c r="C807" s="14" t="str">
        <f t="shared" si="3"/>
        <v>415 GALE ST,Houston,TX</v>
      </c>
      <c r="D807" s="13" t="s">
        <v>1424</v>
      </c>
      <c r="E807" s="14" t="s">
        <v>25</v>
      </c>
      <c r="F807" s="14" t="s">
        <v>1388</v>
      </c>
      <c r="G807" s="15" t="s">
        <v>161</v>
      </c>
      <c r="H807" s="13" t="s">
        <v>50</v>
      </c>
      <c r="I807" s="14" t="str">
        <f>VLOOKUP(H807,'Flow Location'!$A$1:$B$21,2,FALSE)</f>
        <v>Contained On Site, not within 5 ft. of Bayou/Surface Water/Drainage Ditch</v>
      </c>
      <c r="J807" s="16">
        <v>0.0</v>
      </c>
      <c r="K807" s="13" t="s">
        <v>198</v>
      </c>
      <c r="L807" s="14" t="str">
        <f>VLOOKUP(K807,'Structure type'!$A$1:$B$15,2,FALSE)</f>
        <v>Service Lateral</v>
      </c>
      <c r="M807" s="13" t="s">
        <v>52</v>
      </c>
      <c r="N807" s="14" t="str">
        <f>VLOOKUP(M807,'Excursion Cause'!$A$1:$B$34,2,FALSE)</f>
        <v>Collection system structural blockage</v>
      </c>
      <c r="O807" s="17">
        <v>44543.0</v>
      </c>
      <c r="P807" s="18">
        <v>0.4486111111111111</v>
      </c>
      <c r="Q807" s="17">
        <v>44543.0</v>
      </c>
      <c r="R807" s="18">
        <v>0.4486111111111111</v>
      </c>
      <c r="S807" s="16">
        <v>0.0</v>
      </c>
      <c r="T807" s="13" t="s">
        <v>170</v>
      </c>
      <c r="U807" s="14"/>
      <c r="V807" s="14"/>
      <c r="W807" s="19">
        <v>29.8058156</v>
      </c>
      <c r="X807" s="19">
        <v>-95.3655194</v>
      </c>
    </row>
    <row r="808" ht="15.75" customHeight="1">
      <c r="A808" s="12">
        <v>12798.0</v>
      </c>
      <c r="B808" s="13">
        <v>2021.0</v>
      </c>
      <c r="C808" s="14" t="str">
        <f t="shared" si="3"/>
        <v>10306 ALTA LOMA WAY,Houston,TX</v>
      </c>
      <c r="D808" s="13" t="s">
        <v>1425</v>
      </c>
      <c r="E808" s="14" t="s">
        <v>25</v>
      </c>
      <c r="F808" s="14" t="s">
        <v>1388</v>
      </c>
      <c r="G808" s="15" t="s">
        <v>95</v>
      </c>
      <c r="H808" s="13" t="s">
        <v>28</v>
      </c>
      <c r="I808" s="14" t="str">
        <f>VLOOKUP(H808,'Flow Location'!$A$1:$B$21,2,FALSE)</f>
        <v>Storm Sewer (not contained)</v>
      </c>
      <c r="J808" s="16">
        <v>0.0</v>
      </c>
      <c r="K808" s="13" t="s">
        <v>29</v>
      </c>
      <c r="L808" s="14" t="str">
        <f>VLOOKUP(K808,'Structure type'!$A$1:$B$15,2,FALSE)</f>
        <v>Manhole</v>
      </c>
      <c r="M808" s="13" t="s">
        <v>30</v>
      </c>
      <c r="N808" s="14" t="str">
        <f>VLOOKUP(M808,'Excursion Cause'!$A$1:$B$34,2,FALSE)</f>
        <v>Grease Blockage</v>
      </c>
      <c r="O808" s="17">
        <v>44543.0</v>
      </c>
      <c r="P808" s="18">
        <v>0.5013888888888889</v>
      </c>
      <c r="Q808" s="17">
        <v>44543.0</v>
      </c>
      <c r="R808" s="18">
        <v>0.5013888888888889</v>
      </c>
      <c r="S808" s="16">
        <v>0.0</v>
      </c>
      <c r="T808" s="13" t="s">
        <v>59</v>
      </c>
      <c r="U808" s="14"/>
      <c r="V808" s="14"/>
      <c r="W808" s="19">
        <v>29.618716</v>
      </c>
      <c r="X808" s="19">
        <v>-95.2351468999999</v>
      </c>
    </row>
    <row r="809" ht="15.75" customHeight="1">
      <c r="A809" s="12">
        <v>12807.0</v>
      </c>
      <c r="B809" s="13">
        <v>2021.0</v>
      </c>
      <c r="C809" s="14" t="str">
        <f t="shared" si="3"/>
        <v>8000 S GESSNER RD,Houston,TX</v>
      </c>
      <c r="D809" s="13" t="s">
        <v>1426</v>
      </c>
      <c r="E809" s="14" t="s">
        <v>25</v>
      </c>
      <c r="F809" s="14" t="s">
        <v>1388</v>
      </c>
      <c r="G809" s="15" t="s">
        <v>100</v>
      </c>
      <c r="H809" s="13" t="s">
        <v>50</v>
      </c>
      <c r="I809" s="14" t="str">
        <f>VLOOKUP(H809,'Flow Location'!$A$1:$B$21,2,FALSE)</f>
        <v>Contained On Site, not within 5 ft. of Bayou/Surface Water/Drainage Ditch</v>
      </c>
      <c r="J809" s="16">
        <v>299.0</v>
      </c>
      <c r="K809" s="13" t="s">
        <v>45</v>
      </c>
      <c r="L809" s="14" t="str">
        <f>VLOOKUP(K809,'Structure type'!$A$1:$B$15,2,FALSE)</f>
        <v>City Cleanout</v>
      </c>
      <c r="M809" s="13" t="s">
        <v>30</v>
      </c>
      <c r="N809" s="14" t="str">
        <f>VLOOKUP(M809,'Excursion Cause'!$A$1:$B$34,2,FALSE)</f>
        <v>Grease Blockage</v>
      </c>
      <c r="O809" s="17">
        <v>44544.0</v>
      </c>
      <c r="P809" s="18">
        <v>0.37569444444444444</v>
      </c>
      <c r="Q809" s="17">
        <v>44544.0</v>
      </c>
      <c r="R809" s="18">
        <v>0.4166666666666667</v>
      </c>
      <c r="S809" s="16">
        <v>5.0</v>
      </c>
      <c r="T809" s="13" t="s">
        <v>89</v>
      </c>
      <c r="U809" s="14"/>
      <c r="V809" s="14"/>
      <c r="W809" s="19">
        <v>29.6899377</v>
      </c>
      <c r="X809" s="19">
        <v>-95.5358694999999</v>
      </c>
    </row>
    <row r="810" ht="15.75" customHeight="1">
      <c r="A810" s="12">
        <v>12808.0</v>
      </c>
      <c r="B810" s="13">
        <v>2021.0</v>
      </c>
      <c r="C810" s="14" t="str">
        <f t="shared" si="3"/>
        <v>9511 MISTY BRIDGE ST,Houston,TX</v>
      </c>
      <c r="D810" s="13" t="s">
        <v>1427</v>
      </c>
      <c r="E810" s="14" t="s">
        <v>25</v>
      </c>
      <c r="F810" s="14" t="s">
        <v>1388</v>
      </c>
      <c r="G810" s="15" t="s">
        <v>95</v>
      </c>
      <c r="H810" s="13" t="s">
        <v>1397</v>
      </c>
      <c r="I810" s="14" t="str">
        <f>VLOOKUP(H810,'Flow Location'!$A$1:$B$21,2,FALSE)</f>
        <v>Bayou/surface water/drainage ditch</v>
      </c>
      <c r="J810" s="16">
        <v>0.0</v>
      </c>
      <c r="K810" s="13" t="s">
        <v>51</v>
      </c>
      <c r="L810" s="14" t="str">
        <f>VLOOKUP(K810,'Structure type'!$A$1:$B$15,2,FALSE)</f>
        <v>Private Cleanout</v>
      </c>
      <c r="M810" s="13" t="s">
        <v>56</v>
      </c>
      <c r="N810" s="14" t="str">
        <f>VLOOKUP(M810,'Excursion Cause'!$A$1:$B$34,2,FALSE)</f>
        <v>Rags/Wipes</v>
      </c>
      <c r="O810" s="17">
        <v>44544.0</v>
      </c>
      <c r="P810" s="18">
        <v>0.43472222222222223</v>
      </c>
      <c r="Q810" s="17">
        <v>44544.0</v>
      </c>
      <c r="R810" s="18">
        <v>0.43472222222222223</v>
      </c>
      <c r="S810" s="16">
        <v>0.0</v>
      </c>
      <c r="T810" s="13" t="s">
        <v>906</v>
      </c>
      <c r="U810" s="14"/>
      <c r="V810" s="14"/>
      <c r="W810" s="19">
        <v>29.6104377</v>
      </c>
      <c r="X810" s="19">
        <v>-95.2465304999999</v>
      </c>
    </row>
    <row r="811" ht="15.75" customHeight="1">
      <c r="A811" s="12">
        <v>12810.0</v>
      </c>
      <c r="B811" s="13">
        <v>2021.0</v>
      </c>
      <c r="C811" s="14" t="str">
        <f t="shared" si="3"/>
        <v>1312 LAMONTE LN,Houston,TX</v>
      </c>
      <c r="D811" s="13" t="s">
        <v>1428</v>
      </c>
      <c r="E811" s="14" t="s">
        <v>25</v>
      </c>
      <c r="F811" s="14" t="s">
        <v>1388</v>
      </c>
      <c r="G811" s="15" t="s">
        <v>218</v>
      </c>
      <c r="H811" s="13" t="s">
        <v>50</v>
      </c>
      <c r="I811" s="14" t="str">
        <f>VLOOKUP(H811,'Flow Location'!$A$1:$B$21,2,FALSE)</f>
        <v>Contained On Site, not within 5 ft. of Bayou/Surface Water/Drainage Ditch</v>
      </c>
      <c r="J811" s="16">
        <v>109.0</v>
      </c>
      <c r="K811" s="13" t="s">
        <v>29</v>
      </c>
      <c r="L811" s="14" t="str">
        <f>VLOOKUP(K811,'Structure type'!$A$1:$B$15,2,FALSE)</f>
        <v>Manhole</v>
      </c>
      <c r="M811" s="13" t="s">
        <v>30</v>
      </c>
      <c r="N811" s="14" t="str">
        <f>VLOOKUP(M811,'Excursion Cause'!$A$1:$B$34,2,FALSE)</f>
        <v>Grease Blockage</v>
      </c>
      <c r="O811" s="17">
        <v>44544.0</v>
      </c>
      <c r="P811" s="18">
        <v>0.53125</v>
      </c>
      <c r="Q811" s="17">
        <v>44544.0</v>
      </c>
      <c r="R811" s="18">
        <v>0.53125</v>
      </c>
      <c r="S811" s="16">
        <v>0.0</v>
      </c>
      <c r="T811" s="13" t="s">
        <v>33</v>
      </c>
      <c r="U811" s="14"/>
      <c r="V811" s="14"/>
      <c r="W811" s="19">
        <v>29.8270125</v>
      </c>
      <c r="X811" s="19">
        <v>-95.4328015</v>
      </c>
    </row>
    <row r="812" ht="15.75" customHeight="1">
      <c r="A812" s="12">
        <v>12811.0</v>
      </c>
      <c r="B812" s="13">
        <v>2021.0</v>
      </c>
      <c r="C812" s="14" t="str">
        <f t="shared" si="3"/>
        <v>9406 BOB WHITE DR,Houston,TX</v>
      </c>
      <c r="D812" s="13" t="s">
        <v>1429</v>
      </c>
      <c r="E812" s="14" t="s">
        <v>25</v>
      </c>
      <c r="F812" s="14" t="s">
        <v>1388</v>
      </c>
      <c r="G812" s="15" t="s">
        <v>69</v>
      </c>
      <c r="H812" s="13" t="s">
        <v>28</v>
      </c>
      <c r="I812" s="14" t="str">
        <f>VLOOKUP(H812,'Flow Location'!$A$1:$B$21,2,FALSE)</f>
        <v>Storm Sewer (not contained)</v>
      </c>
      <c r="J812" s="16">
        <v>540.0</v>
      </c>
      <c r="K812" s="13" t="s">
        <v>29</v>
      </c>
      <c r="L812" s="14" t="str">
        <f>VLOOKUP(K812,'Structure type'!$A$1:$B$15,2,FALSE)</f>
        <v>Manhole</v>
      </c>
      <c r="M812" s="13" t="s">
        <v>30</v>
      </c>
      <c r="N812" s="14" t="str">
        <f>VLOOKUP(M812,'Excursion Cause'!$A$1:$B$34,2,FALSE)</f>
        <v>Grease Blockage</v>
      </c>
      <c r="O812" s="17">
        <v>44544.0</v>
      </c>
      <c r="P812" s="18">
        <v>0.5</v>
      </c>
      <c r="Q812" s="17">
        <v>44544.0</v>
      </c>
      <c r="R812" s="18">
        <v>0.5277777777777778</v>
      </c>
      <c r="S812" s="16">
        <v>14.0</v>
      </c>
      <c r="T812" s="13" t="s">
        <v>59</v>
      </c>
      <c r="U812" s="14"/>
      <c r="V812" s="14"/>
      <c r="W812" s="19">
        <v>29.6763537</v>
      </c>
      <c r="X812" s="19">
        <v>-95.5028228</v>
      </c>
    </row>
    <row r="813" ht="15.75" customHeight="1">
      <c r="A813" s="12">
        <v>12814.0</v>
      </c>
      <c r="B813" s="13">
        <v>2021.0</v>
      </c>
      <c r="C813" s="14" t="str">
        <f t="shared" si="3"/>
        <v>10210 ALTA LOMA WAY,Houston,TX</v>
      </c>
      <c r="D813" s="13" t="s">
        <v>1430</v>
      </c>
      <c r="E813" s="14" t="s">
        <v>25</v>
      </c>
      <c r="F813" s="14" t="s">
        <v>1388</v>
      </c>
      <c r="G813" s="15" t="s">
        <v>95</v>
      </c>
      <c r="H813" s="13" t="s">
        <v>50</v>
      </c>
      <c r="I813" s="14" t="str">
        <f>VLOOKUP(H813,'Flow Location'!$A$1:$B$21,2,FALSE)</f>
        <v>Contained On Site, not within 5 ft. of Bayou/Surface Water/Drainage Ditch</v>
      </c>
      <c r="J813" s="16">
        <v>0.0</v>
      </c>
      <c r="K813" s="13" t="s">
        <v>29</v>
      </c>
      <c r="L813" s="14" t="str">
        <f>VLOOKUP(K813,'Structure type'!$A$1:$B$15,2,FALSE)</f>
        <v>Manhole</v>
      </c>
      <c r="M813" s="13" t="s">
        <v>30</v>
      </c>
      <c r="N813" s="14" t="str">
        <f>VLOOKUP(M813,'Excursion Cause'!$A$1:$B$34,2,FALSE)</f>
        <v>Grease Blockage</v>
      </c>
      <c r="O813" s="17">
        <v>44543.0</v>
      </c>
      <c r="P813" s="18">
        <v>0.4305555555555556</v>
      </c>
      <c r="Q813" s="17">
        <v>44543.0</v>
      </c>
      <c r="R813" s="18">
        <v>0.4305555555555556</v>
      </c>
      <c r="S813" s="16">
        <v>0.0</v>
      </c>
      <c r="T813" s="13" t="s">
        <v>33</v>
      </c>
      <c r="U813" s="14"/>
      <c r="V813" s="14"/>
      <c r="W813" s="19">
        <v>29.6193943</v>
      </c>
      <c r="X813" s="19">
        <v>-95.2351626999999</v>
      </c>
    </row>
    <row r="814" ht="15.75" customHeight="1">
      <c r="A814" s="12">
        <v>12829.0</v>
      </c>
      <c r="B814" s="13">
        <v>2021.0</v>
      </c>
      <c r="C814" s="14" t="str">
        <f t="shared" si="3"/>
        <v>4102 GROTON DR,Houston,TX</v>
      </c>
      <c r="D814" s="13" t="s">
        <v>1431</v>
      </c>
      <c r="E814" s="14" t="s">
        <v>25</v>
      </c>
      <c r="F814" s="14" t="s">
        <v>1388</v>
      </c>
      <c r="G814" s="15" t="s">
        <v>419</v>
      </c>
      <c r="H814" s="13" t="s">
        <v>50</v>
      </c>
      <c r="I814" s="14" t="str">
        <f>VLOOKUP(H814,'Flow Location'!$A$1:$B$21,2,FALSE)</f>
        <v>Contained On Site, not within 5 ft. of Bayou/Surface Water/Drainage Ditch</v>
      </c>
      <c r="J814" s="16">
        <v>0.0</v>
      </c>
      <c r="K814" s="13" t="s">
        <v>51</v>
      </c>
      <c r="L814" s="14" t="str">
        <f>VLOOKUP(K814,'Structure type'!$A$1:$B$15,2,FALSE)</f>
        <v>Private Cleanout</v>
      </c>
      <c r="M814" s="13" t="s">
        <v>56</v>
      </c>
      <c r="N814" s="14" t="str">
        <f>VLOOKUP(M814,'Excursion Cause'!$A$1:$B$34,2,FALSE)</f>
        <v>Rags/Wipes</v>
      </c>
      <c r="O814" s="17">
        <v>44546.0</v>
      </c>
      <c r="P814" s="18">
        <v>0.3993055555555556</v>
      </c>
      <c r="Q814" s="17">
        <v>44546.0</v>
      </c>
      <c r="R814" s="18">
        <v>0.3993055555555556</v>
      </c>
      <c r="S814" s="16">
        <v>0.0</v>
      </c>
      <c r="T814" s="13" t="s">
        <v>170</v>
      </c>
      <c r="U814" s="14"/>
      <c r="V814" s="14"/>
      <c r="W814" s="19">
        <v>29.6396725999999</v>
      </c>
      <c r="X814" s="19">
        <v>-95.3631006</v>
      </c>
    </row>
    <row r="815" ht="15.75" customHeight="1">
      <c r="A815" s="12">
        <v>12830.0</v>
      </c>
      <c r="B815" s="13">
        <v>2021.0</v>
      </c>
      <c r="C815" s="14" t="str">
        <f t="shared" si="3"/>
        <v>9907 ALGIERS RD,Houston,TX</v>
      </c>
      <c r="D815" s="13" t="s">
        <v>1432</v>
      </c>
      <c r="E815" s="14" t="s">
        <v>25</v>
      </c>
      <c r="F815" s="14" t="s">
        <v>1388</v>
      </c>
      <c r="G815" s="15" t="s">
        <v>344</v>
      </c>
      <c r="H815" s="13" t="s">
        <v>87</v>
      </c>
      <c r="I815" s="14" t="str">
        <f>VLOOKUP(H815,'Flow Location'!$A$1:$B$21,2,FALSE)</f>
        <v>Within 5 ft. of Bayou/Surface Water/Drainage Ditch</v>
      </c>
      <c r="J815" s="16">
        <v>0.0</v>
      </c>
      <c r="K815" s="13" t="s">
        <v>29</v>
      </c>
      <c r="L815" s="14" t="str">
        <f>VLOOKUP(K815,'Structure type'!$A$1:$B$15,2,FALSE)</f>
        <v>Manhole</v>
      </c>
      <c r="M815" s="13" t="s">
        <v>30</v>
      </c>
      <c r="N815" s="14" t="str">
        <f>VLOOKUP(M815,'Excursion Cause'!$A$1:$B$34,2,FALSE)</f>
        <v>Grease Blockage</v>
      </c>
      <c r="O815" s="17">
        <v>44546.0</v>
      </c>
      <c r="P815" s="18">
        <v>0.40625</v>
      </c>
      <c r="Q815" s="17">
        <v>44546.0</v>
      </c>
      <c r="R815" s="18">
        <v>0.40625</v>
      </c>
      <c r="S815" s="16">
        <v>0.0</v>
      </c>
      <c r="T815" s="13" t="s">
        <v>33</v>
      </c>
      <c r="U815" s="14"/>
      <c r="V815" s="14"/>
      <c r="W815" s="19">
        <v>29.8451399999999</v>
      </c>
      <c r="X815" s="19">
        <v>-95.5377982</v>
      </c>
    </row>
    <row r="816" ht="15.75" customHeight="1">
      <c r="A816" s="12">
        <v>12831.0</v>
      </c>
      <c r="B816" s="13">
        <v>2021.0</v>
      </c>
      <c r="C816" s="14" t="str">
        <f t="shared" si="3"/>
        <v>425 BYRNE ST,Houston,TX</v>
      </c>
      <c r="D816" s="13" t="s">
        <v>1433</v>
      </c>
      <c r="E816" s="14" t="s">
        <v>25</v>
      </c>
      <c r="F816" s="14" t="s">
        <v>1388</v>
      </c>
      <c r="G816" s="15" t="s">
        <v>161</v>
      </c>
      <c r="H816" s="13" t="s">
        <v>50</v>
      </c>
      <c r="I816" s="14" t="str">
        <f>VLOOKUP(H816,'Flow Location'!$A$1:$B$21,2,FALSE)</f>
        <v>Contained On Site, not within 5 ft. of Bayou/Surface Water/Drainage Ditch</v>
      </c>
      <c r="J816" s="16">
        <v>0.0</v>
      </c>
      <c r="K816" s="13" t="s">
        <v>45</v>
      </c>
      <c r="L816" s="14" t="str">
        <f>VLOOKUP(K816,'Structure type'!$A$1:$B$15,2,FALSE)</f>
        <v>City Cleanout</v>
      </c>
      <c r="M816" s="13" t="s">
        <v>96</v>
      </c>
      <c r="N816" s="14" t="str">
        <f>VLOOKUP(M816,'Excursion Cause'!$A$1:$B$34,2,FALSE)</f>
        <v>Collection system temporary blockage</v>
      </c>
      <c r="O816" s="17">
        <v>44546.0</v>
      </c>
      <c r="P816" s="18">
        <v>0.47847222222222224</v>
      </c>
      <c r="Q816" s="17">
        <v>44546.0</v>
      </c>
      <c r="R816" s="18">
        <v>0.47847222222222224</v>
      </c>
      <c r="S816" s="16">
        <v>0.0</v>
      </c>
      <c r="T816" s="13" t="s">
        <v>170</v>
      </c>
      <c r="U816" s="14"/>
      <c r="V816" s="14"/>
      <c r="W816" s="19">
        <v>29.7848425</v>
      </c>
      <c r="X816" s="19">
        <v>-95.3760779</v>
      </c>
    </row>
    <row r="817" ht="15.75" customHeight="1">
      <c r="A817" s="12">
        <v>12832.0</v>
      </c>
      <c r="B817" s="13">
        <v>2021.0</v>
      </c>
      <c r="C817" s="14" t="str">
        <f t="shared" si="3"/>
        <v>6600 HARBOR TOWN DR,Houston,TX</v>
      </c>
      <c r="D817" s="13" t="s">
        <v>143</v>
      </c>
      <c r="E817" s="14" t="s">
        <v>25</v>
      </c>
      <c r="F817" s="14" t="s">
        <v>1388</v>
      </c>
      <c r="G817" s="15" t="s">
        <v>100</v>
      </c>
      <c r="H817" s="13" t="s">
        <v>1434</v>
      </c>
      <c r="I817" s="14" t="s">
        <v>144</v>
      </c>
      <c r="J817" s="16">
        <v>392.0</v>
      </c>
      <c r="K817" s="13" t="s">
        <v>29</v>
      </c>
      <c r="L817" s="14" t="str">
        <f>VLOOKUP(K817,'Structure type'!$A$1:$B$15,2,FALSE)</f>
        <v>Manhole</v>
      </c>
      <c r="M817" s="13" t="s">
        <v>30</v>
      </c>
      <c r="N817" s="14" t="str">
        <f>VLOOKUP(M817,'Excursion Cause'!$A$1:$B$34,2,FALSE)</f>
        <v>Grease Blockage</v>
      </c>
      <c r="O817" s="17">
        <v>44546.0</v>
      </c>
      <c r="P817" s="18">
        <v>0.5354166666666667</v>
      </c>
      <c r="Q817" s="17">
        <v>44546.0</v>
      </c>
      <c r="R817" s="18">
        <v>0.6708333333333333</v>
      </c>
      <c r="S817" s="16">
        <v>2.0</v>
      </c>
      <c r="T817" s="13" t="s">
        <v>33</v>
      </c>
      <c r="U817" s="14"/>
      <c r="V817" s="14"/>
      <c r="W817" s="19">
        <v>29.7065843</v>
      </c>
      <c r="X817" s="19">
        <v>-95.5302724</v>
      </c>
    </row>
    <row r="818" ht="15.75" customHeight="1">
      <c r="A818" s="12">
        <v>12835.0</v>
      </c>
      <c r="B818" s="13">
        <v>2021.0</v>
      </c>
      <c r="C818" s="14" t="str">
        <f t="shared" si="3"/>
        <v>7322 YOE ST,Houston,TX</v>
      </c>
      <c r="D818" s="13" t="s">
        <v>1435</v>
      </c>
      <c r="E818" s="14" t="s">
        <v>25</v>
      </c>
      <c r="F818" s="14" t="s">
        <v>1388</v>
      </c>
      <c r="G818" s="15" t="s">
        <v>326</v>
      </c>
      <c r="H818" s="13" t="s">
        <v>50</v>
      </c>
      <c r="I818" s="14" t="str">
        <f>VLOOKUP(H818,'Flow Location'!$A$1:$B$21,2,FALSE)</f>
        <v>Contained On Site, not within 5 ft. of Bayou/Surface Water/Drainage Ditch</v>
      </c>
      <c r="J818" s="16">
        <v>0.0</v>
      </c>
      <c r="K818" s="13" t="s">
        <v>45</v>
      </c>
      <c r="L818" s="14" t="str">
        <f>VLOOKUP(K818,'Structure type'!$A$1:$B$15,2,FALSE)</f>
        <v>City Cleanout</v>
      </c>
      <c r="M818" s="13" t="s">
        <v>56</v>
      </c>
      <c r="N818" s="14" t="str">
        <f>VLOOKUP(M818,'Excursion Cause'!$A$1:$B$34,2,FALSE)</f>
        <v>Rags/Wipes</v>
      </c>
      <c r="O818" s="17">
        <v>44546.0</v>
      </c>
      <c r="P818" s="18">
        <v>0.6625</v>
      </c>
      <c r="Q818" s="17">
        <v>44546.0</v>
      </c>
      <c r="R818" s="18">
        <v>0.6625</v>
      </c>
      <c r="S818" s="16">
        <v>0.0</v>
      </c>
      <c r="T818" s="13" t="s">
        <v>1436</v>
      </c>
      <c r="U818" s="14"/>
      <c r="V818" s="14"/>
      <c r="W818" s="19">
        <v>29.8581965</v>
      </c>
      <c r="X818" s="19">
        <v>-95.2949697</v>
      </c>
    </row>
    <row r="819" ht="15.75" customHeight="1">
      <c r="A819" s="12">
        <v>12836.0</v>
      </c>
      <c r="B819" s="13">
        <v>2021.0</v>
      </c>
      <c r="C819" s="14" t="str">
        <f t="shared" si="3"/>
        <v>7215 HILLSBORO ST,Houston,TX</v>
      </c>
      <c r="D819" s="13" t="s">
        <v>1437</v>
      </c>
      <c r="E819" s="14" t="s">
        <v>25</v>
      </c>
      <c r="F819" s="14" t="s">
        <v>1388</v>
      </c>
      <c r="G819" s="15" t="s">
        <v>86</v>
      </c>
      <c r="H819" s="13" t="s">
        <v>50</v>
      </c>
      <c r="I819" s="14" t="str">
        <f>VLOOKUP(H819,'Flow Location'!$A$1:$B$21,2,FALSE)</f>
        <v>Contained On Site, not within 5 ft. of Bayou/Surface Water/Drainage Ditch</v>
      </c>
      <c r="J819" s="16">
        <v>0.0</v>
      </c>
      <c r="K819" s="13" t="s">
        <v>51</v>
      </c>
      <c r="L819" s="14" t="str">
        <f>VLOOKUP(K819,'Structure type'!$A$1:$B$15,2,FALSE)</f>
        <v>Private Cleanout</v>
      </c>
      <c r="M819" s="13" t="s">
        <v>30</v>
      </c>
      <c r="N819" s="14" t="str">
        <f>VLOOKUP(M819,'Excursion Cause'!$A$1:$B$34,2,FALSE)</f>
        <v>Grease Blockage</v>
      </c>
      <c r="O819" s="17">
        <v>44546.0</v>
      </c>
      <c r="P819" s="18">
        <v>0.7166666666666667</v>
      </c>
      <c r="Q819" s="17">
        <v>44546.0</v>
      </c>
      <c r="R819" s="18">
        <v>0.7166666666666667</v>
      </c>
      <c r="S819" s="16">
        <v>0.0</v>
      </c>
      <c r="T819" s="13" t="s">
        <v>906</v>
      </c>
      <c r="U819" s="14"/>
      <c r="V819" s="14"/>
      <c r="W819" s="19">
        <v>29.7802338</v>
      </c>
      <c r="X819" s="19">
        <v>-95.2972846999999</v>
      </c>
    </row>
    <row r="820" ht="15.75" customHeight="1">
      <c r="A820" s="12">
        <v>12844.0</v>
      </c>
      <c r="B820" s="13">
        <v>2021.0</v>
      </c>
      <c r="C820" s="14" t="str">
        <f t="shared" si="3"/>
        <v>900 BROADWAY ST,Houston,TX</v>
      </c>
      <c r="D820" s="13" t="s">
        <v>1438</v>
      </c>
      <c r="E820" s="14" t="s">
        <v>25</v>
      </c>
      <c r="F820" s="14" t="s">
        <v>1388</v>
      </c>
      <c r="G820" s="15" t="s">
        <v>365</v>
      </c>
      <c r="H820" s="13" t="s">
        <v>1397</v>
      </c>
      <c r="I820" s="14" t="str">
        <f>VLOOKUP(H820,'Flow Location'!$A$1:$B$21,2,FALSE)</f>
        <v>Bayou/surface water/drainage ditch</v>
      </c>
      <c r="J820" s="16">
        <v>0.0</v>
      </c>
      <c r="K820" s="13" t="s">
        <v>198</v>
      </c>
      <c r="L820" s="14" t="str">
        <f>VLOOKUP(K820,'Structure type'!$A$1:$B$15,2,FALSE)</f>
        <v>Service Lateral</v>
      </c>
      <c r="M820" s="13" t="s">
        <v>30</v>
      </c>
      <c r="N820" s="14" t="str">
        <f>VLOOKUP(M820,'Excursion Cause'!$A$1:$B$34,2,FALSE)</f>
        <v>Grease Blockage</v>
      </c>
      <c r="O820" s="17">
        <v>44547.0</v>
      </c>
      <c r="P820" s="18">
        <v>0.4409722222222222</v>
      </c>
      <c r="Q820" s="17">
        <v>44547.0</v>
      </c>
      <c r="R820" s="18">
        <v>0.4409722222222222</v>
      </c>
      <c r="S820" s="16">
        <v>0.0</v>
      </c>
      <c r="T820" s="13" t="s">
        <v>1439</v>
      </c>
      <c r="U820" s="14"/>
      <c r="V820" s="14"/>
      <c r="W820" s="19">
        <v>29.7177052</v>
      </c>
      <c r="X820" s="19">
        <v>-95.2788109</v>
      </c>
    </row>
    <row r="821" ht="15.75" customHeight="1">
      <c r="A821" s="12">
        <v>12848.0</v>
      </c>
      <c r="B821" s="13">
        <v>2021.0</v>
      </c>
      <c r="C821" s="14" t="str">
        <f t="shared" si="3"/>
        <v>1350 LATHROP ST,Houston,TX</v>
      </c>
      <c r="D821" s="13" t="s">
        <v>1440</v>
      </c>
      <c r="E821" s="14" t="s">
        <v>25</v>
      </c>
      <c r="F821" s="14" t="s">
        <v>1388</v>
      </c>
      <c r="G821" s="15" t="s">
        <v>86</v>
      </c>
      <c r="H821" s="13" t="s">
        <v>50</v>
      </c>
      <c r="I821" s="14" t="str">
        <f>VLOOKUP(H821,'Flow Location'!$A$1:$B$21,2,FALSE)</f>
        <v>Contained On Site, not within 5 ft. of Bayou/Surface Water/Drainage Ditch</v>
      </c>
      <c r="J821" s="16">
        <v>0.0</v>
      </c>
      <c r="K821" s="13" t="s">
        <v>51</v>
      </c>
      <c r="L821" s="14" t="str">
        <f>VLOOKUP(K821,'Structure type'!$A$1:$B$15,2,FALSE)</f>
        <v>Private Cleanout</v>
      </c>
      <c r="M821" s="13" t="s">
        <v>96</v>
      </c>
      <c r="N821" s="14" t="str">
        <f>VLOOKUP(M821,'Excursion Cause'!$A$1:$B$34,2,FALSE)</f>
        <v>Collection system temporary blockage</v>
      </c>
      <c r="O821" s="17">
        <v>44547.0</v>
      </c>
      <c r="P821" s="18">
        <v>0.5277777777777778</v>
      </c>
      <c r="Q821" s="17">
        <v>44547.0</v>
      </c>
      <c r="R821" s="18">
        <v>0.5277777777777778</v>
      </c>
      <c r="S821" s="16">
        <v>0.0</v>
      </c>
      <c r="T821" s="13" t="s">
        <v>89</v>
      </c>
      <c r="U821" s="14"/>
      <c r="V821" s="14"/>
      <c r="W821" s="19">
        <v>29.7634322</v>
      </c>
      <c r="X821" s="19">
        <v>-95.3019273</v>
      </c>
    </row>
    <row r="822" ht="15.75" customHeight="1">
      <c r="A822" s="12">
        <v>12849.0</v>
      </c>
      <c r="B822" s="13">
        <v>2021.0</v>
      </c>
      <c r="C822" s="14" t="str">
        <f t="shared" si="3"/>
        <v>5214 NORTHRIDGE DR,Houston,TX</v>
      </c>
      <c r="D822" s="13" t="s">
        <v>1441</v>
      </c>
      <c r="E822" s="14" t="s">
        <v>25</v>
      </c>
      <c r="F822" s="14" t="s">
        <v>1388</v>
      </c>
      <c r="G822" s="15" t="s">
        <v>120</v>
      </c>
      <c r="H822" s="13" t="s">
        <v>50</v>
      </c>
      <c r="I822" s="14" t="str">
        <f>VLOOKUP(H822,'Flow Location'!$A$1:$B$21,2,FALSE)</f>
        <v>Contained On Site, not within 5 ft. of Bayou/Surface Water/Drainage Ditch</v>
      </c>
      <c r="J822" s="16">
        <v>0.0</v>
      </c>
      <c r="K822" s="13" t="s">
        <v>198</v>
      </c>
      <c r="L822" s="14" t="str">
        <f>VLOOKUP(K822,'Structure type'!$A$1:$B$15,2,FALSE)</f>
        <v>Service Lateral</v>
      </c>
      <c r="M822" s="13" t="s">
        <v>81</v>
      </c>
      <c r="N822" s="14" t="str">
        <f>VLOOKUP(M822,'Excursion Cause'!$A$1:$B$34,2,FALSE)</f>
        <v>Collection system structural failure</v>
      </c>
      <c r="O822" s="17">
        <v>44547.0</v>
      </c>
      <c r="P822" s="18">
        <v>0.5284722222222222</v>
      </c>
      <c r="Q822" s="17">
        <v>44547.0</v>
      </c>
      <c r="R822" s="18">
        <v>0.5284722222222222</v>
      </c>
      <c r="S822" s="16">
        <v>0.0</v>
      </c>
      <c r="T822" s="13" t="s">
        <v>170</v>
      </c>
      <c r="U822" s="14"/>
      <c r="V822" s="14"/>
      <c r="W822" s="19">
        <v>29.6701765</v>
      </c>
      <c r="X822" s="19">
        <v>-95.3450168999999</v>
      </c>
    </row>
    <row r="823" ht="15.75" customHeight="1">
      <c r="A823" s="12">
        <v>12850.0</v>
      </c>
      <c r="B823" s="13">
        <v>2021.0</v>
      </c>
      <c r="C823" s="14" t="str">
        <f t="shared" si="3"/>
        <v>11150 BEECHNUT ST,Houston,TX</v>
      </c>
      <c r="D823" s="13" t="s">
        <v>1442</v>
      </c>
      <c r="E823" s="14" t="s">
        <v>25</v>
      </c>
      <c r="F823" s="14" t="s">
        <v>1388</v>
      </c>
      <c r="G823" s="15" t="s">
        <v>91</v>
      </c>
      <c r="H823" s="13" t="s">
        <v>50</v>
      </c>
      <c r="I823" s="14" t="str">
        <f>VLOOKUP(H823,'Flow Location'!$A$1:$B$21,2,FALSE)</f>
        <v>Contained On Site, not within 5 ft. of Bayou/Surface Water/Drainage Ditch</v>
      </c>
      <c r="J823" s="16">
        <v>1112.0</v>
      </c>
      <c r="K823" s="13" t="s">
        <v>45</v>
      </c>
      <c r="L823" s="14" t="str">
        <f>VLOOKUP(K823,'Structure type'!$A$1:$B$15,2,FALSE)</f>
        <v>City Cleanout</v>
      </c>
      <c r="M823" s="13" t="s">
        <v>30</v>
      </c>
      <c r="N823" s="14" t="str">
        <f>VLOOKUP(M823,'Excursion Cause'!$A$1:$B$34,2,FALSE)</f>
        <v>Grease Blockage</v>
      </c>
      <c r="O823" s="17">
        <v>44547.0</v>
      </c>
      <c r="P823" s="18">
        <v>0.6756944444444445</v>
      </c>
      <c r="Q823" s="17">
        <v>44548.0</v>
      </c>
      <c r="R823" s="18">
        <v>0.4479166666666667</v>
      </c>
      <c r="S823" s="16">
        <v>1.0</v>
      </c>
      <c r="T823" s="13" t="s">
        <v>74</v>
      </c>
      <c r="U823" s="14"/>
      <c r="V823" s="14"/>
      <c r="W823" s="19">
        <v>29.6883639</v>
      </c>
      <c r="X823" s="19">
        <v>-95.5738298</v>
      </c>
    </row>
    <row r="824" ht="15.75" customHeight="1">
      <c r="A824" s="12">
        <v>12855.0</v>
      </c>
      <c r="B824" s="13">
        <v>2021.0</v>
      </c>
      <c r="C824" s="14" t="str">
        <f t="shared" si="3"/>
        <v>11426 SAGEDOWNE LN,Houston,TX</v>
      </c>
      <c r="D824" s="13" t="s">
        <v>1443</v>
      </c>
      <c r="E824" s="14" t="s">
        <v>25</v>
      </c>
      <c r="F824" s="14" t="s">
        <v>1388</v>
      </c>
      <c r="G824" s="15" t="s">
        <v>477</v>
      </c>
      <c r="H824" s="13" t="s">
        <v>50</v>
      </c>
      <c r="I824" s="14" t="str">
        <f>VLOOKUP(H824,'Flow Location'!$A$1:$B$21,2,FALSE)</f>
        <v>Contained On Site, not within 5 ft. of Bayou/Surface Water/Drainage Ditch</v>
      </c>
      <c r="J824" s="16">
        <v>0.0</v>
      </c>
      <c r="K824" s="13" t="s">
        <v>29</v>
      </c>
      <c r="L824" s="14" t="str">
        <f>VLOOKUP(K824,'Structure type'!$A$1:$B$15,2,FALSE)</f>
        <v>Manhole</v>
      </c>
      <c r="M824" s="13" t="s">
        <v>423</v>
      </c>
      <c r="N824" s="14" t="str">
        <f>VLOOKUP(M824,'Excursion Cause'!$A$1:$B$34,2,FALSE)</f>
        <v>Collection system ‐ wet weather</v>
      </c>
      <c r="O824" s="17">
        <v>44548.0</v>
      </c>
      <c r="P824" s="18">
        <v>0.6125</v>
      </c>
      <c r="Q824" s="17">
        <v>44548.0</v>
      </c>
      <c r="R824" s="18">
        <v>0.6125</v>
      </c>
      <c r="S824" s="16">
        <v>0.0</v>
      </c>
      <c r="T824" s="13" t="s">
        <v>118</v>
      </c>
      <c r="U824" s="14"/>
      <c r="V824" s="14"/>
      <c r="W824" s="19">
        <v>29.5967046</v>
      </c>
      <c r="X824" s="19">
        <v>-95.2125382999999</v>
      </c>
    </row>
    <row r="825" ht="15.75" customHeight="1">
      <c r="A825" s="12">
        <v>12864.0</v>
      </c>
      <c r="B825" s="13">
        <v>2021.0</v>
      </c>
      <c r="C825" s="14" t="str">
        <f t="shared" si="3"/>
        <v>6299 FAIRBANKS N HOUSTON RD,Houston,TX</v>
      </c>
      <c r="D825" s="13" t="s">
        <v>1444</v>
      </c>
      <c r="E825" s="14" t="s">
        <v>25</v>
      </c>
      <c r="F825" s="14" t="s">
        <v>1388</v>
      </c>
      <c r="G825" s="15" t="s">
        <v>253</v>
      </c>
      <c r="H825" s="13" t="s">
        <v>28</v>
      </c>
      <c r="I825" s="14" t="str">
        <f>VLOOKUP(H825,'Flow Location'!$A$1:$B$21,2,FALSE)</f>
        <v>Storm Sewer (not contained)</v>
      </c>
      <c r="J825" s="16">
        <v>1020.0</v>
      </c>
      <c r="K825" s="13" t="s">
        <v>29</v>
      </c>
      <c r="L825" s="14" t="str">
        <f>VLOOKUP(K825,'Structure type'!$A$1:$B$15,2,FALSE)</f>
        <v>Manhole</v>
      </c>
      <c r="M825" s="13" t="s">
        <v>30</v>
      </c>
      <c r="N825" s="14" t="str">
        <f>VLOOKUP(M825,'Excursion Cause'!$A$1:$B$34,2,FALSE)</f>
        <v>Grease Blockage</v>
      </c>
      <c r="O825" s="17">
        <v>44550.0</v>
      </c>
      <c r="P825" s="18">
        <v>0.4270833333333333</v>
      </c>
      <c r="Q825" s="17">
        <v>44552.0</v>
      </c>
      <c r="R825" s="18">
        <v>0.8305555555555556</v>
      </c>
      <c r="S825" s="16">
        <v>0.0</v>
      </c>
      <c r="T825" s="13" t="s">
        <v>33</v>
      </c>
      <c r="U825" s="14"/>
      <c r="V825" s="14"/>
      <c r="W825" s="19">
        <v>29.8578037</v>
      </c>
      <c r="X825" s="19">
        <v>-95.5245142</v>
      </c>
    </row>
    <row r="826" ht="15.75" customHeight="1">
      <c r="A826" s="12">
        <v>12866.0</v>
      </c>
      <c r="B826" s="13">
        <v>2021.0</v>
      </c>
      <c r="C826" s="14" t="str">
        <f t="shared" si="3"/>
        <v>2608 S CALUMET ST,Houston,TX</v>
      </c>
      <c r="D826" s="13" t="s">
        <v>1445</v>
      </c>
      <c r="E826" s="14" t="s">
        <v>25</v>
      </c>
      <c r="F826" s="14" t="s">
        <v>1388</v>
      </c>
      <c r="G826" s="15" t="s">
        <v>308</v>
      </c>
      <c r="H826" s="13" t="s">
        <v>50</v>
      </c>
      <c r="I826" s="14" t="str">
        <f>VLOOKUP(H826,'Flow Location'!$A$1:$B$21,2,FALSE)</f>
        <v>Contained On Site, not within 5 ft. of Bayou/Surface Water/Drainage Ditch</v>
      </c>
      <c r="J826" s="16">
        <v>566.0</v>
      </c>
      <c r="K826" s="13" t="s">
        <v>29</v>
      </c>
      <c r="L826" s="14" t="str">
        <f>VLOOKUP(K826,'Structure type'!$A$1:$B$15,2,FALSE)</f>
        <v>Manhole</v>
      </c>
      <c r="M826" s="13" t="s">
        <v>56</v>
      </c>
      <c r="N826" s="14" t="str">
        <f>VLOOKUP(M826,'Excursion Cause'!$A$1:$B$34,2,FALSE)</f>
        <v>Rags/Wipes</v>
      </c>
      <c r="O826" s="17">
        <v>44550.0</v>
      </c>
      <c r="P826" s="18">
        <v>0.45208333333333334</v>
      </c>
      <c r="Q826" s="17">
        <v>44550.0</v>
      </c>
      <c r="R826" s="18">
        <v>0.6479166666666667</v>
      </c>
      <c r="S826" s="16">
        <v>2.0</v>
      </c>
      <c r="T826" s="13" t="s">
        <v>33</v>
      </c>
      <c r="U826" s="14"/>
      <c r="V826" s="14"/>
      <c r="W826" s="19">
        <v>29.7164162</v>
      </c>
      <c r="X826" s="19">
        <v>-95.3744282</v>
      </c>
    </row>
    <row r="827" ht="15.75" customHeight="1">
      <c r="A827" s="12">
        <v>12870.0</v>
      </c>
      <c r="B827" s="13">
        <v>2021.0</v>
      </c>
      <c r="C827" s="14" t="str">
        <f t="shared" si="3"/>
        <v>117 CONOLY ST,Houston,TX</v>
      </c>
      <c r="D827" s="13" t="s">
        <v>1446</v>
      </c>
      <c r="E827" s="14" t="s">
        <v>25</v>
      </c>
      <c r="F827" s="14" t="s">
        <v>1388</v>
      </c>
      <c r="G827" s="15" t="s">
        <v>161</v>
      </c>
      <c r="H827" s="13" t="s">
        <v>28</v>
      </c>
      <c r="I827" s="14" t="str">
        <f>VLOOKUP(H827,'Flow Location'!$A$1:$B$21,2,FALSE)</f>
        <v>Storm Sewer (not contained)</v>
      </c>
      <c r="J827" s="16">
        <v>0.0</v>
      </c>
      <c r="K827" s="13" t="s">
        <v>29</v>
      </c>
      <c r="L827" s="14" t="str">
        <f>VLOOKUP(K827,'Structure type'!$A$1:$B$15,2,FALSE)</f>
        <v>Manhole</v>
      </c>
      <c r="M827" s="13" t="s">
        <v>30</v>
      </c>
      <c r="N827" s="14" t="str">
        <f>VLOOKUP(M827,'Excursion Cause'!$A$1:$B$34,2,FALSE)</f>
        <v>Grease Blockage</v>
      </c>
      <c r="O827" s="17">
        <v>44550.0</v>
      </c>
      <c r="P827" s="18">
        <v>0.50625</v>
      </c>
      <c r="Q827" s="17">
        <v>44550.0</v>
      </c>
      <c r="R827" s="18">
        <v>0.50625</v>
      </c>
      <c r="S827" s="16">
        <v>0.0</v>
      </c>
      <c r="T827" s="13" t="s">
        <v>33</v>
      </c>
      <c r="U827" s="14"/>
      <c r="V827" s="14"/>
      <c r="W827" s="19">
        <v>29.7992655</v>
      </c>
      <c r="X827" s="19">
        <v>-95.3831434</v>
      </c>
    </row>
    <row r="828" ht="15.75" customHeight="1">
      <c r="A828" s="12">
        <v>12875.0</v>
      </c>
      <c r="B828" s="13">
        <v>2021.0</v>
      </c>
      <c r="C828" s="14" t="str">
        <f t="shared" si="3"/>
        <v>4735 WILMINGTON ST,Houston,TX</v>
      </c>
      <c r="D828" s="13" t="s">
        <v>1447</v>
      </c>
      <c r="E828" s="14" t="s">
        <v>25</v>
      </c>
      <c r="F828" s="14" t="s">
        <v>1388</v>
      </c>
      <c r="G828" s="15" t="s">
        <v>120</v>
      </c>
      <c r="H828" s="13" t="s">
        <v>28</v>
      </c>
      <c r="I828" s="14" t="str">
        <f>VLOOKUP(H828,'Flow Location'!$A$1:$B$21,2,FALSE)</f>
        <v>Storm Sewer (not contained)</v>
      </c>
      <c r="J828" s="16">
        <v>525.0</v>
      </c>
      <c r="K828" s="13" t="s">
        <v>29</v>
      </c>
      <c r="L828" s="14" t="str">
        <f>VLOOKUP(K828,'Structure type'!$A$1:$B$15,2,FALSE)</f>
        <v>Manhole</v>
      </c>
      <c r="M828" s="13" t="s">
        <v>56</v>
      </c>
      <c r="N828" s="14" t="str">
        <f>VLOOKUP(M828,'Excursion Cause'!$A$1:$B$34,2,FALSE)</f>
        <v>Rags/Wipes</v>
      </c>
      <c r="O828" s="17">
        <v>44550.0</v>
      </c>
      <c r="P828" s="18">
        <v>0.5451388888888888</v>
      </c>
      <c r="Q828" s="17">
        <v>44550.0</v>
      </c>
      <c r="R828" s="18">
        <v>0.6666666666666666</v>
      </c>
      <c r="S828" s="16">
        <v>3.0</v>
      </c>
      <c r="T828" s="13" t="s">
        <v>59</v>
      </c>
      <c r="U828" s="14"/>
      <c r="V828" s="14"/>
      <c r="W828" s="19">
        <v>29.656281</v>
      </c>
      <c r="X828" s="19">
        <v>-95.3537755999999</v>
      </c>
    </row>
    <row r="829" ht="15.75" customHeight="1">
      <c r="A829" s="12">
        <v>12879.0</v>
      </c>
      <c r="B829" s="13">
        <v>2021.0</v>
      </c>
      <c r="C829" s="14" t="str">
        <f t="shared" si="3"/>
        <v>5601 ROYAL PALMS ST,Houston,TX</v>
      </c>
      <c r="D829" s="13" t="s">
        <v>1448</v>
      </c>
      <c r="E829" s="14" t="s">
        <v>25</v>
      </c>
      <c r="F829" s="14" t="s">
        <v>1388</v>
      </c>
      <c r="G829" s="15" t="s">
        <v>238</v>
      </c>
      <c r="H829" s="13" t="s">
        <v>28</v>
      </c>
      <c r="I829" s="14" t="str">
        <f>VLOOKUP(H829,'Flow Location'!$A$1:$B$21,2,FALSE)</f>
        <v>Storm Sewer (not contained)</v>
      </c>
      <c r="J829" s="16">
        <v>90.0</v>
      </c>
      <c r="K829" s="13" t="s">
        <v>29</v>
      </c>
      <c r="L829" s="14" t="str">
        <f>VLOOKUP(K829,'Structure type'!$A$1:$B$15,2,FALSE)</f>
        <v>Manhole</v>
      </c>
      <c r="M829" s="13" t="s">
        <v>30</v>
      </c>
      <c r="N829" s="14" t="str">
        <f>VLOOKUP(M829,'Excursion Cause'!$A$1:$B$34,2,FALSE)</f>
        <v>Grease Blockage</v>
      </c>
      <c r="O829" s="17">
        <v>44550.0</v>
      </c>
      <c r="P829" s="18">
        <v>0.6458333333333334</v>
      </c>
      <c r="Q829" s="17">
        <v>44550.0</v>
      </c>
      <c r="R829" s="18">
        <v>0.7083333333333334</v>
      </c>
      <c r="S829" s="16">
        <v>1.0</v>
      </c>
      <c r="T829" s="13" t="s">
        <v>59</v>
      </c>
      <c r="U829" s="14"/>
      <c r="V829" s="14"/>
      <c r="W829" s="19">
        <v>29.6975686</v>
      </c>
      <c r="X829" s="19">
        <v>-95.3304910999999</v>
      </c>
    </row>
    <row r="830" ht="15.75" customHeight="1">
      <c r="A830" s="12">
        <v>12882.0</v>
      </c>
      <c r="B830" s="13">
        <v>2021.0</v>
      </c>
      <c r="C830" s="14" t="str">
        <f t="shared" si="3"/>
        <v>2074 ANTOINE DR,Houston,TX</v>
      </c>
      <c r="D830" s="13" t="s">
        <v>72</v>
      </c>
      <c r="E830" s="14" t="s">
        <v>25</v>
      </c>
      <c r="F830" s="14" t="s">
        <v>1388</v>
      </c>
      <c r="G830" s="15" t="s">
        <v>27</v>
      </c>
      <c r="H830" s="13" t="s">
        <v>50</v>
      </c>
      <c r="I830" s="14" t="str">
        <f>VLOOKUP(H830,'Flow Location'!$A$1:$B$21,2,FALSE)</f>
        <v>Contained On Site, not within 5 ft. of Bayou/Surface Water/Drainage Ditch</v>
      </c>
      <c r="J830" s="16">
        <v>0.0</v>
      </c>
      <c r="K830" s="13" t="s">
        <v>45</v>
      </c>
      <c r="L830" s="14" t="str">
        <f>VLOOKUP(K830,'Structure type'!$A$1:$B$15,2,FALSE)</f>
        <v>City Cleanout</v>
      </c>
      <c r="M830" s="13" t="s">
        <v>56</v>
      </c>
      <c r="N830" s="14" t="str">
        <f>VLOOKUP(M830,'Excursion Cause'!$A$1:$B$34,2,FALSE)</f>
        <v>Rags/Wipes</v>
      </c>
      <c r="O830" s="17">
        <v>44551.0</v>
      </c>
      <c r="P830" s="18">
        <v>0.4388888888888889</v>
      </c>
      <c r="Q830" s="17">
        <v>44551.0</v>
      </c>
      <c r="R830" s="18">
        <v>0.4388888888888889</v>
      </c>
      <c r="S830" s="16">
        <v>0.0</v>
      </c>
      <c r="T830" s="13" t="s">
        <v>270</v>
      </c>
      <c r="U830" s="14"/>
      <c r="V830" s="14"/>
      <c r="W830" s="19">
        <v>29.8092179</v>
      </c>
      <c r="X830" s="19">
        <v>-95.4749344</v>
      </c>
    </row>
    <row r="831" ht="15.75" customHeight="1">
      <c r="A831" s="12">
        <v>12884.0</v>
      </c>
      <c r="B831" s="13">
        <v>2021.0</v>
      </c>
      <c r="C831" s="14" t="str">
        <f t="shared" si="3"/>
        <v>4831 GALVESTON RD,Houston,TX</v>
      </c>
      <c r="D831" s="13" t="s">
        <v>1449</v>
      </c>
      <c r="E831" s="14" t="s">
        <v>25</v>
      </c>
      <c r="F831" s="14" t="s">
        <v>1388</v>
      </c>
      <c r="G831" s="15" t="s">
        <v>135</v>
      </c>
      <c r="H831" s="13" t="s">
        <v>50</v>
      </c>
      <c r="I831" s="14" t="str">
        <f>VLOOKUP(H831,'Flow Location'!$A$1:$B$21,2,FALSE)</f>
        <v>Contained On Site, not within 5 ft. of Bayou/Surface Water/Drainage Ditch</v>
      </c>
      <c r="J831" s="16">
        <v>0.0</v>
      </c>
      <c r="K831" s="13" t="s">
        <v>45</v>
      </c>
      <c r="L831" s="14" t="str">
        <f>VLOOKUP(K831,'Structure type'!$A$1:$B$15,2,FALSE)</f>
        <v>City Cleanout</v>
      </c>
      <c r="M831" s="13" t="s">
        <v>52</v>
      </c>
      <c r="N831" s="14" t="str">
        <f>VLOOKUP(M831,'Excursion Cause'!$A$1:$B$34,2,FALSE)</f>
        <v>Collection system structural blockage</v>
      </c>
      <c r="O831" s="17">
        <v>44551.0</v>
      </c>
      <c r="P831" s="18">
        <v>0.4444444444444444</v>
      </c>
      <c r="Q831" s="17">
        <v>44551.0</v>
      </c>
      <c r="R831" s="18">
        <v>0.4444444444444444</v>
      </c>
      <c r="S831" s="16">
        <v>0.0</v>
      </c>
      <c r="T831" s="13" t="s">
        <v>89</v>
      </c>
      <c r="U831" s="14"/>
      <c r="V831" s="14"/>
      <c r="W831" s="19">
        <v>29.6836438</v>
      </c>
      <c r="X831" s="19">
        <v>-95.2531372999999</v>
      </c>
    </row>
    <row r="832" ht="15.75" customHeight="1">
      <c r="A832" s="12">
        <v>12887.0</v>
      </c>
      <c r="B832" s="13">
        <v>2021.0</v>
      </c>
      <c r="C832" s="14" t="str">
        <f t="shared" si="3"/>
        <v>7711 BELLFORT ST,Houston,TX</v>
      </c>
      <c r="D832" s="13" t="s">
        <v>489</v>
      </c>
      <c r="E832" s="14" t="s">
        <v>25</v>
      </c>
      <c r="F832" s="14" t="s">
        <v>1388</v>
      </c>
      <c r="G832" s="15" t="s">
        <v>148</v>
      </c>
      <c r="H832" s="13" t="s">
        <v>50</v>
      </c>
      <c r="I832" s="14" t="str">
        <f>VLOOKUP(H832,'Flow Location'!$A$1:$B$21,2,FALSE)</f>
        <v>Contained On Site, not within 5 ft. of Bayou/Surface Water/Drainage Ditch</v>
      </c>
      <c r="J832" s="16">
        <v>266.0</v>
      </c>
      <c r="K832" s="13" t="s">
        <v>45</v>
      </c>
      <c r="L832" s="14" t="str">
        <f>VLOOKUP(K832,'Structure type'!$A$1:$B$15,2,FALSE)</f>
        <v>City Cleanout</v>
      </c>
      <c r="M832" s="13" t="s">
        <v>52</v>
      </c>
      <c r="N832" s="14" t="str">
        <f>VLOOKUP(M832,'Excursion Cause'!$A$1:$B$34,2,FALSE)</f>
        <v>Collection system structural blockage</v>
      </c>
      <c r="O832" s="17">
        <v>44551.0</v>
      </c>
      <c r="P832" s="18">
        <v>0.5027777777777778</v>
      </c>
      <c r="Q832" s="17">
        <v>44551.0</v>
      </c>
      <c r="R832" s="18">
        <v>0.6875</v>
      </c>
      <c r="S832" s="16">
        <v>1.0</v>
      </c>
      <c r="T832" s="13" t="s">
        <v>107</v>
      </c>
      <c r="U832" s="14"/>
      <c r="V832" s="14"/>
      <c r="W832" s="19">
        <v>29.655164</v>
      </c>
      <c r="X832" s="19">
        <v>-95.512337</v>
      </c>
    </row>
    <row r="833" ht="15.75" customHeight="1">
      <c r="A833" s="12">
        <v>12891.0</v>
      </c>
      <c r="B833" s="13">
        <v>2021.0</v>
      </c>
      <c r="C833" s="14" t="str">
        <f t="shared" si="3"/>
        <v>1411 PRINCE ST,Houston,TX</v>
      </c>
      <c r="D833" s="13" t="s">
        <v>1450</v>
      </c>
      <c r="E833" s="14" t="s">
        <v>25</v>
      </c>
      <c r="F833" s="14" t="s">
        <v>1388</v>
      </c>
      <c r="G833" s="15" t="s">
        <v>232</v>
      </c>
      <c r="H833" s="13" t="s">
        <v>50</v>
      </c>
      <c r="I833" s="14" t="str">
        <f>VLOOKUP(H833,'Flow Location'!$A$1:$B$21,2,FALSE)</f>
        <v>Contained On Site, not within 5 ft. of Bayou/Surface Water/Drainage Ditch</v>
      </c>
      <c r="J833" s="16">
        <v>0.0</v>
      </c>
      <c r="K833" s="13" t="s">
        <v>45</v>
      </c>
      <c r="L833" s="14" t="str">
        <f>VLOOKUP(K833,'Structure type'!$A$1:$B$15,2,FALSE)</f>
        <v>City Cleanout</v>
      </c>
      <c r="M833" s="13" t="s">
        <v>30</v>
      </c>
      <c r="N833" s="14" t="str">
        <f>VLOOKUP(M833,'Excursion Cause'!$A$1:$B$34,2,FALSE)</f>
        <v>Grease Blockage</v>
      </c>
      <c r="O833" s="17">
        <v>44551.0</v>
      </c>
      <c r="P833" s="18">
        <v>0.5756944444444444</v>
      </c>
      <c r="Q833" s="17">
        <v>44551.0</v>
      </c>
      <c r="R833" s="18">
        <v>0.5756944444444444</v>
      </c>
      <c r="S833" s="16">
        <v>0.0</v>
      </c>
      <c r="T833" s="13" t="s">
        <v>270</v>
      </c>
      <c r="U833" s="14"/>
      <c r="V833" s="14"/>
      <c r="W833" s="19">
        <v>29.7965898</v>
      </c>
      <c r="X833" s="19">
        <v>-95.4134536999999</v>
      </c>
    </row>
    <row r="834" ht="15.75" customHeight="1">
      <c r="A834" s="12">
        <v>12894.0</v>
      </c>
      <c r="B834" s="13">
        <v>2021.0</v>
      </c>
      <c r="C834" s="14" t="str">
        <f t="shared" si="3"/>
        <v>11028 KEITH ST,Houston,TX</v>
      </c>
      <c r="D834" s="13" t="s">
        <v>1451</v>
      </c>
      <c r="E834" s="14" t="s">
        <v>25</v>
      </c>
      <c r="F834" s="14" t="s">
        <v>1388</v>
      </c>
      <c r="G834" s="15" t="s">
        <v>109</v>
      </c>
      <c r="H834" s="13" t="s">
        <v>1397</v>
      </c>
      <c r="I834" s="14" t="str">
        <f>VLOOKUP(H834,'Flow Location'!$A$1:$B$21,2,FALSE)</f>
        <v>Bayou/surface water/drainage ditch</v>
      </c>
      <c r="J834" s="16">
        <v>0.0</v>
      </c>
      <c r="K834" s="13" t="s">
        <v>29</v>
      </c>
      <c r="L834" s="14" t="str">
        <f>VLOOKUP(K834,'Structure type'!$A$1:$B$15,2,FALSE)</f>
        <v>Manhole</v>
      </c>
      <c r="M834" s="13" t="s">
        <v>30</v>
      </c>
      <c r="N834" s="14" t="str">
        <f>VLOOKUP(M834,'Excursion Cause'!$A$1:$B$34,2,FALSE)</f>
        <v>Grease Blockage</v>
      </c>
      <c r="O834" s="17">
        <v>44551.0</v>
      </c>
      <c r="P834" s="18">
        <v>0.6909722222222222</v>
      </c>
      <c r="Q834" s="17">
        <v>44551.0</v>
      </c>
      <c r="R834" s="18">
        <v>0.6909722222222222</v>
      </c>
      <c r="S834" s="16">
        <v>0.0</v>
      </c>
      <c r="T834" s="13" t="s">
        <v>59</v>
      </c>
      <c r="U834" s="14"/>
      <c r="V834" s="14"/>
      <c r="W834" s="19">
        <v>29.8750784</v>
      </c>
      <c r="X834" s="19">
        <v>-95.3202432</v>
      </c>
    </row>
    <row r="835" ht="15.75" customHeight="1">
      <c r="A835" s="12">
        <v>12895.0</v>
      </c>
      <c r="B835" s="13">
        <v>2021.0</v>
      </c>
      <c r="C835" s="14" t="str">
        <f t="shared" si="3"/>
        <v>3403 MEMEL ST,Houston,TX</v>
      </c>
      <c r="D835" s="13" t="s">
        <v>1452</v>
      </c>
      <c r="E835" s="14" t="s">
        <v>25</v>
      </c>
      <c r="F835" s="14" t="s">
        <v>1388</v>
      </c>
      <c r="G835" s="15" t="s">
        <v>43</v>
      </c>
      <c r="H835" s="13" t="s">
        <v>1397</v>
      </c>
      <c r="I835" s="14" t="str">
        <f>VLOOKUP(H835,'Flow Location'!$A$1:$B$21,2,FALSE)</f>
        <v>Bayou/surface water/drainage ditch</v>
      </c>
      <c r="J835" s="16">
        <v>0.0</v>
      </c>
      <c r="K835" s="13" t="s">
        <v>29</v>
      </c>
      <c r="L835" s="14" t="str">
        <f>VLOOKUP(K835,'Structure type'!$A$1:$B$15,2,FALSE)</f>
        <v>Manhole</v>
      </c>
      <c r="M835" s="13" t="s">
        <v>30</v>
      </c>
      <c r="N835" s="14" t="str">
        <f>VLOOKUP(M835,'Excursion Cause'!$A$1:$B$34,2,FALSE)</f>
        <v>Grease Blockage</v>
      </c>
      <c r="O835" s="17">
        <v>44551.0</v>
      </c>
      <c r="P835" s="18">
        <v>0.7090277777777778</v>
      </c>
      <c r="Q835" s="17">
        <v>44551.0</v>
      </c>
      <c r="R835" s="18">
        <v>0.7090277777777778</v>
      </c>
      <c r="S835" s="16">
        <v>0.0</v>
      </c>
      <c r="T835" s="13" t="s">
        <v>33</v>
      </c>
      <c r="U835" s="14"/>
      <c r="V835" s="14"/>
      <c r="W835" s="19">
        <v>29.8027402</v>
      </c>
      <c r="X835" s="19">
        <v>-95.3349394</v>
      </c>
    </row>
    <row r="836" ht="15.75" customHeight="1">
      <c r="A836" s="12">
        <v>12898.0</v>
      </c>
      <c r="B836" s="13">
        <v>2021.0</v>
      </c>
      <c r="C836" s="14" t="str">
        <f t="shared" si="3"/>
        <v>11818 WOOD SHADOWS DR,Houston,TX</v>
      </c>
      <c r="D836" s="13" t="s">
        <v>1453</v>
      </c>
      <c r="E836" s="14" t="s">
        <v>25</v>
      </c>
      <c r="F836" s="14" t="s">
        <v>1388</v>
      </c>
      <c r="G836" s="15" t="s">
        <v>656</v>
      </c>
      <c r="H836" s="13" t="s">
        <v>50</v>
      </c>
      <c r="I836" s="14" t="str">
        <f>VLOOKUP(H836,'Flow Location'!$A$1:$B$21,2,FALSE)</f>
        <v>Contained On Site, not within 5 ft. of Bayou/Surface Water/Drainage Ditch</v>
      </c>
      <c r="J836" s="16">
        <v>312.0</v>
      </c>
      <c r="K836" s="13" t="s">
        <v>29</v>
      </c>
      <c r="L836" s="14" t="str">
        <f>VLOOKUP(K836,'Structure type'!$A$1:$B$15,2,FALSE)</f>
        <v>Manhole</v>
      </c>
      <c r="M836" s="13" t="s">
        <v>30</v>
      </c>
      <c r="N836" s="14" t="str">
        <f>VLOOKUP(M836,'Excursion Cause'!$A$1:$B$34,2,FALSE)</f>
        <v>Grease Blockage</v>
      </c>
      <c r="O836" s="17">
        <v>44552.0</v>
      </c>
      <c r="P836" s="18">
        <v>0.3902777777777778</v>
      </c>
      <c r="Q836" s="17">
        <v>44552.0</v>
      </c>
      <c r="R836" s="18">
        <v>0.4986111111111111</v>
      </c>
      <c r="S836" s="16">
        <v>2.0</v>
      </c>
      <c r="T836" s="13" t="s">
        <v>33</v>
      </c>
      <c r="U836" s="14"/>
      <c r="V836" s="14"/>
      <c r="W836" s="19">
        <v>29.777203</v>
      </c>
      <c r="X836" s="19">
        <v>-95.225771</v>
      </c>
    </row>
    <row r="837" ht="15.75" customHeight="1">
      <c r="A837" s="12">
        <v>12908.0</v>
      </c>
      <c r="B837" s="13">
        <v>2021.0</v>
      </c>
      <c r="C837" s="14" t="str">
        <f t="shared" si="3"/>
        <v>7711 BELLFORT ST,Houston,TX</v>
      </c>
      <c r="D837" s="13" t="s">
        <v>489</v>
      </c>
      <c r="E837" s="14" t="s">
        <v>25</v>
      </c>
      <c r="F837" s="14" t="s">
        <v>1388</v>
      </c>
      <c r="G837" s="15" t="s">
        <v>148</v>
      </c>
      <c r="H837" s="13" t="s">
        <v>28</v>
      </c>
      <c r="I837" s="14" t="str">
        <f>VLOOKUP(H837,'Flow Location'!$A$1:$B$21,2,FALSE)</f>
        <v>Storm Sewer (not contained)</v>
      </c>
      <c r="J837" s="16">
        <v>70.0</v>
      </c>
      <c r="K837" s="13" t="s">
        <v>45</v>
      </c>
      <c r="L837" s="14" t="str">
        <f>VLOOKUP(K837,'Structure type'!$A$1:$B$15,2,FALSE)</f>
        <v>City Cleanout</v>
      </c>
      <c r="M837" s="13" t="s">
        <v>52</v>
      </c>
      <c r="N837" s="14" t="str">
        <f>VLOOKUP(M837,'Excursion Cause'!$A$1:$B$34,2,FALSE)</f>
        <v>Collection system structural blockage</v>
      </c>
      <c r="O837" s="17">
        <v>44552.0</v>
      </c>
      <c r="P837" s="18">
        <v>0.5694444444444444</v>
      </c>
      <c r="Q837" s="17">
        <v>44552.0</v>
      </c>
      <c r="R837" s="18">
        <v>0.6180555555555556</v>
      </c>
      <c r="S837" s="16">
        <v>1.0</v>
      </c>
      <c r="T837" s="13" t="s">
        <v>1454</v>
      </c>
      <c r="U837" s="14"/>
      <c r="V837" s="14"/>
      <c r="W837" s="19">
        <v>29.655164</v>
      </c>
      <c r="X837" s="19">
        <v>-95.512337</v>
      </c>
    </row>
    <row r="838" ht="15.75" customHeight="1">
      <c r="A838" s="12">
        <v>12910.0</v>
      </c>
      <c r="B838" s="13">
        <v>2021.0</v>
      </c>
      <c r="C838" s="14" t="str">
        <f t="shared" si="3"/>
        <v>12725 WESTPARK DR,Houston,TX</v>
      </c>
      <c r="D838" s="13" t="s">
        <v>1455</v>
      </c>
      <c r="E838" s="14" t="s">
        <v>25</v>
      </c>
      <c r="F838" s="14" t="s">
        <v>1388</v>
      </c>
      <c r="G838" s="15" t="s">
        <v>313</v>
      </c>
      <c r="H838" s="13" t="s">
        <v>50</v>
      </c>
      <c r="I838" s="14" t="str">
        <f>VLOOKUP(H838,'Flow Location'!$A$1:$B$21,2,FALSE)</f>
        <v>Contained On Site, not within 5 ft. of Bayou/Surface Water/Drainage Ditch</v>
      </c>
      <c r="J838" s="16">
        <v>99.0</v>
      </c>
      <c r="K838" s="13" t="s">
        <v>29</v>
      </c>
      <c r="L838" s="14" t="str">
        <f>VLOOKUP(K838,'Structure type'!$A$1:$B$15,2,FALSE)</f>
        <v>Manhole</v>
      </c>
      <c r="M838" s="13" t="s">
        <v>30</v>
      </c>
      <c r="N838" s="14" t="str">
        <f>VLOOKUP(M838,'Excursion Cause'!$A$1:$B$34,2,FALSE)</f>
        <v>Grease Blockage</v>
      </c>
      <c r="O838" s="17">
        <v>44552.0</v>
      </c>
      <c r="P838" s="18">
        <v>0.6534722222222222</v>
      </c>
      <c r="Q838" s="17">
        <v>44552.0</v>
      </c>
      <c r="R838" s="18">
        <v>0.7222222222222222</v>
      </c>
      <c r="S838" s="16">
        <v>1.0</v>
      </c>
      <c r="T838" s="13" t="s">
        <v>33</v>
      </c>
      <c r="U838" s="14"/>
      <c r="V838" s="14"/>
      <c r="W838" s="19">
        <v>29.7231739</v>
      </c>
      <c r="X838" s="19">
        <v>-95.6112318999999</v>
      </c>
    </row>
    <row r="839" ht="15.75" customHeight="1">
      <c r="A839" s="12">
        <v>12916.0</v>
      </c>
      <c r="B839" s="13">
        <v>2021.0</v>
      </c>
      <c r="C839" s="14" t="str">
        <f t="shared" si="3"/>
        <v>8007 CAPITOL ST,Houston,TX</v>
      </c>
      <c r="D839" s="13" t="s">
        <v>1264</v>
      </c>
      <c r="E839" s="14" t="s">
        <v>25</v>
      </c>
      <c r="F839" s="14" t="s">
        <v>1388</v>
      </c>
      <c r="G839" s="15" t="s">
        <v>365</v>
      </c>
      <c r="H839" s="13" t="s">
        <v>50</v>
      </c>
      <c r="I839" s="14" t="str">
        <f>VLOOKUP(H839,'Flow Location'!$A$1:$B$21,2,FALSE)</f>
        <v>Contained On Site, not within 5 ft. of Bayou/Surface Water/Drainage Ditch</v>
      </c>
      <c r="J839" s="16">
        <v>0.0</v>
      </c>
      <c r="K839" s="13" t="s">
        <v>29</v>
      </c>
      <c r="L839" s="14" t="str">
        <f>VLOOKUP(K839,'Structure type'!$A$1:$B$15,2,FALSE)</f>
        <v>Manhole</v>
      </c>
      <c r="M839" s="13" t="s">
        <v>30</v>
      </c>
      <c r="N839" s="14" t="str">
        <f>VLOOKUP(M839,'Excursion Cause'!$A$1:$B$34,2,FALSE)</f>
        <v>Grease Blockage</v>
      </c>
      <c r="O839" s="17">
        <v>44553.0</v>
      </c>
      <c r="P839" s="18">
        <v>0.4652777777777778</v>
      </c>
      <c r="Q839" s="17">
        <v>44553.0</v>
      </c>
      <c r="R839" s="18">
        <v>0.4652777777777778</v>
      </c>
      <c r="S839" s="16">
        <v>0.0</v>
      </c>
      <c r="T839" s="13" t="s">
        <v>89</v>
      </c>
      <c r="U839" s="14"/>
      <c r="V839" s="14"/>
      <c r="W839" s="19">
        <v>29.7281795</v>
      </c>
      <c r="X839" s="19">
        <v>-95.2822578999999</v>
      </c>
    </row>
    <row r="840" ht="15.75" customHeight="1">
      <c r="A840" s="12">
        <v>12918.0</v>
      </c>
      <c r="B840" s="13">
        <v>2021.0</v>
      </c>
      <c r="C840" s="14" t="str">
        <f t="shared" si="3"/>
        <v>10902 HAZEN ST,Houston,TX</v>
      </c>
      <c r="D840" s="13" t="s">
        <v>90</v>
      </c>
      <c r="E840" s="14" t="s">
        <v>25</v>
      </c>
      <c r="F840" s="14" t="s">
        <v>1388</v>
      </c>
      <c r="G840" s="15" t="s">
        <v>91</v>
      </c>
      <c r="H840" s="13" t="s">
        <v>50</v>
      </c>
      <c r="I840" s="14" t="str">
        <f>VLOOKUP(H840,'Flow Location'!$A$1:$B$21,2,FALSE)</f>
        <v>Contained On Site, not within 5 ft. of Bayou/Surface Water/Drainage Ditch</v>
      </c>
      <c r="J840" s="16">
        <v>220.0</v>
      </c>
      <c r="K840" s="13" t="s">
        <v>29</v>
      </c>
      <c r="L840" s="14" t="str">
        <f>VLOOKUP(K840,'Structure type'!$A$1:$B$15,2,FALSE)</f>
        <v>Manhole</v>
      </c>
      <c r="M840" s="13" t="s">
        <v>56</v>
      </c>
      <c r="N840" s="14" t="str">
        <f>VLOOKUP(M840,'Excursion Cause'!$A$1:$B$34,2,FALSE)</f>
        <v>Rags/Wipes</v>
      </c>
      <c r="O840" s="17">
        <v>44553.0</v>
      </c>
      <c r="P840" s="18">
        <v>0.4548611111111111</v>
      </c>
      <c r="Q840" s="17">
        <v>44553.0</v>
      </c>
      <c r="R840" s="18">
        <v>0.53125</v>
      </c>
      <c r="S840" s="16">
        <v>2.0</v>
      </c>
      <c r="T840" s="13" t="s">
        <v>33</v>
      </c>
      <c r="U840" s="14"/>
      <c r="V840" s="14"/>
      <c r="W840" s="19">
        <v>29.6926394</v>
      </c>
      <c r="X840" s="19">
        <v>-95.5713887</v>
      </c>
    </row>
    <row r="841" ht="15.75" customHeight="1">
      <c r="A841" s="12">
        <v>12921.0</v>
      </c>
      <c r="B841" s="13">
        <v>2021.0</v>
      </c>
      <c r="C841" s="14" t="str">
        <f t="shared" si="3"/>
        <v>5150 CRIPPLE CREEK DR,Houston,TX</v>
      </c>
      <c r="D841" s="13" t="s">
        <v>1456</v>
      </c>
      <c r="E841" s="14" t="s">
        <v>25</v>
      </c>
      <c r="F841" s="14" t="s">
        <v>1388</v>
      </c>
      <c r="G841" s="15" t="s">
        <v>135</v>
      </c>
      <c r="H841" s="13" t="s">
        <v>28</v>
      </c>
      <c r="I841" s="14" t="str">
        <f>VLOOKUP(H841,'Flow Location'!$A$1:$B$21,2,FALSE)</f>
        <v>Storm Sewer (not contained)</v>
      </c>
      <c r="J841" s="16">
        <v>366.0</v>
      </c>
      <c r="K841" s="13" t="s">
        <v>29</v>
      </c>
      <c r="L841" s="14" t="str">
        <f>VLOOKUP(K841,'Structure type'!$A$1:$B$15,2,FALSE)</f>
        <v>Manhole</v>
      </c>
      <c r="M841" s="13" t="s">
        <v>52</v>
      </c>
      <c r="N841" s="14" t="str">
        <f>VLOOKUP(M841,'Excursion Cause'!$A$1:$B$34,2,FALSE)</f>
        <v>Collection system structural blockage</v>
      </c>
      <c r="O841" s="17">
        <v>44553.0</v>
      </c>
      <c r="P841" s="18">
        <v>0.5263888888888889</v>
      </c>
      <c r="Q841" s="17">
        <v>44553.0</v>
      </c>
      <c r="R841" s="18">
        <v>0.6111111111111112</v>
      </c>
      <c r="S841" s="16">
        <v>3.0</v>
      </c>
      <c r="T841" s="13" t="s">
        <v>107</v>
      </c>
      <c r="U841" s="14"/>
      <c r="V841" s="14"/>
      <c r="W841" s="19">
        <v>29.6806066</v>
      </c>
      <c r="X841" s="19">
        <v>-95.2466664</v>
      </c>
    </row>
    <row r="842" ht="15.75" customHeight="1">
      <c r="A842" s="12">
        <v>12922.0</v>
      </c>
      <c r="B842" s="13">
        <v>2021.0</v>
      </c>
      <c r="C842" s="14" t="str">
        <f t="shared" si="3"/>
        <v>1129 NANTUCKET DR,Houston,TX</v>
      </c>
      <c r="D842" s="13" t="s">
        <v>1457</v>
      </c>
      <c r="E842" s="14" t="s">
        <v>25</v>
      </c>
      <c r="F842" s="14" t="s">
        <v>1388</v>
      </c>
      <c r="G842" s="15" t="s">
        <v>689</v>
      </c>
      <c r="H842" s="13" t="s">
        <v>50</v>
      </c>
      <c r="I842" s="14" t="str">
        <f>VLOOKUP(H842,'Flow Location'!$A$1:$B$21,2,FALSE)</f>
        <v>Contained On Site, not within 5 ft. of Bayou/Surface Water/Drainage Ditch</v>
      </c>
      <c r="J842" s="16">
        <v>1320.0</v>
      </c>
      <c r="K842" s="13" t="s">
        <v>198</v>
      </c>
      <c r="L842" s="14" t="str">
        <f>VLOOKUP(K842,'Structure type'!$A$1:$B$15,2,FALSE)</f>
        <v>Service Lateral</v>
      </c>
      <c r="M842" s="13" t="s">
        <v>52</v>
      </c>
      <c r="N842" s="14" t="str">
        <f>VLOOKUP(M842,'Excursion Cause'!$A$1:$B$34,2,FALSE)</f>
        <v>Collection system structural blockage</v>
      </c>
      <c r="O842" s="17">
        <v>44553.0</v>
      </c>
      <c r="P842" s="18">
        <v>0.5243055555555556</v>
      </c>
      <c r="Q842" s="17">
        <v>44554.0</v>
      </c>
      <c r="R842" s="18">
        <v>0.4409722222222222</v>
      </c>
      <c r="S842" s="16">
        <v>1.0</v>
      </c>
      <c r="T842" s="13" t="s">
        <v>89</v>
      </c>
      <c r="U842" s="14"/>
      <c r="V842" s="14"/>
      <c r="W842" s="19">
        <v>29.7554468</v>
      </c>
      <c r="X842" s="19">
        <v>-95.4872207</v>
      </c>
    </row>
    <row r="843" ht="15.75" customHeight="1">
      <c r="A843" s="12">
        <v>12925.0</v>
      </c>
      <c r="B843" s="13">
        <v>2021.0</v>
      </c>
      <c r="C843" s="14" t="str">
        <f t="shared" si="3"/>
        <v>4719 RAVEN RIDGE DR,Houston,TX</v>
      </c>
      <c r="D843" s="13" t="s">
        <v>1458</v>
      </c>
      <c r="E843" s="14" t="s">
        <v>25</v>
      </c>
      <c r="F843" s="14" t="s">
        <v>1388</v>
      </c>
      <c r="G843" s="15" t="s">
        <v>517</v>
      </c>
      <c r="H843" s="13" t="s">
        <v>50</v>
      </c>
      <c r="I843" s="14" t="str">
        <f>VLOOKUP(H843,'Flow Location'!$A$1:$B$21,2,FALSE)</f>
        <v>Contained On Site, not within 5 ft. of Bayou/Surface Water/Drainage Ditch</v>
      </c>
      <c r="J843" s="16">
        <v>1259.0</v>
      </c>
      <c r="K843" s="13" t="s">
        <v>29</v>
      </c>
      <c r="L843" s="14" t="str">
        <f>VLOOKUP(K843,'Structure type'!$A$1:$B$15,2,FALSE)</f>
        <v>Manhole</v>
      </c>
      <c r="M843" s="13" t="s">
        <v>30</v>
      </c>
      <c r="N843" s="14" t="str">
        <f>VLOOKUP(M843,'Excursion Cause'!$A$1:$B$34,2,FALSE)</f>
        <v>Grease Blockage</v>
      </c>
      <c r="O843" s="17">
        <v>44553.0</v>
      </c>
      <c r="P843" s="18">
        <v>0.5805555555555556</v>
      </c>
      <c r="Q843" s="17">
        <v>44554.0</v>
      </c>
      <c r="R843" s="18">
        <v>0.4548611111111111</v>
      </c>
      <c r="S843" s="16">
        <v>1.0</v>
      </c>
      <c r="T843" s="13" t="s">
        <v>59</v>
      </c>
      <c r="U843" s="14"/>
      <c r="V843" s="14"/>
      <c r="W843" s="19">
        <v>29.58656</v>
      </c>
      <c r="X843" s="19">
        <v>-95.4554658</v>
      </c>
    </row>
    <row r="844" ht="15.75" customHeight="1">
      <c r="A844" s="12">
        <v>12927.0</v>
      </c>
      <c r="B844" s="13">
        <v>2021.0</v>
      </c>
      <c r="C844" s="14" t="str">
        <f t="shared" si="3"/>
        <v>710 BACA ST,Houston,TX</v>
      </c>
      <c r="D844" s="13" t="s">
        <v>1459</v>
      </c>
      <c r="E844" s="14" t="s">
        <v>25</v>
      </c>
      <c r="F844" s="14" t="s">
        <v>1388</v>
      </c>
      <c r="G844" s="15" t="s">
        <v>656</v>
      </c>
      <c r="H844" s="13" t="s">
        <v>50</v>
      </c>
      <c r="I844" s="14" t="str">
        <f>VLOOKUP(H844,'Flow Location'!$A$1:$B$21,2,FALSE)</f>
        <v>Contained On Site, not within 5 ft. of Bayou/Surface Water/Drainage Ditch</v>
      </c>
      <c r="J844" s="16">
        <v>0.0</v>
      </c>
      <c r="K844" s="13" t="s">
        <v>29</v>
      </c>
      <c r="L844" s="14" t="str">
        <f>VLOOKUP(K844,'Structure type'!$A$1:$B$15,2,FALSE)</f>
        <v>Manhole</v>
      </c>
      <c r="M844" s="13" t="s">
        <v>30</v>
      </c>
      <c r="N844" s="14" t="str">
        <f>VLOOKUP(M844,'Excursion Cause'!$A$1:$B$34,2,FALSE)</f>
        <v>Grease Blockage</v>
      </c>
      <c r="O844" s="17">
        <v>44553.0</v>
      </c>
      <c r="P844" s="18">
        <v>0.6333333333333333</v>
      </c>
      <c r="Q844" s="17">
        <v>44553.0</v>
      </c>
      <c r="R844" s="18">
        <v>0.6333333333333333</v>
      </c>
      <c r="S844" s="16">
        <v>0.0</v>
      </c>
      <c r="T844" s="13" t="s">
        <v>59</v>
      </c>
      <c r="U844" s="14"/>
      <c r="V844" s="14"/>
      <c r="W844" s="19">
        <v>29.7763216</v>
      </c>
      <c r="X844" s="19">
        <v>-95.2379857</v>
      </c>
    </row>
    <row r="845" ht="15.75" customHeight="1">
      <c r="A845" s="12">
        <v>12930.0</v>
      </c>
      <c r="B845" s="13">
        <v>2021.0</v>
      </c>
      <c r="C845" s="14" t="str">
        <f t="shared" si="3"/>
        <v>2000 WILLOWBROOK MALL,Houston,TX</v>
      </c>
      <c r="D845" s="13" t="s">
        <v>1460</v>
      </c>
      <c r="E845" s="14" t="s">
        <v>25</v>
      </c>
      <c r="F845" s="14" t="s">
        <v>1388</v>
      </c>
      <c r="G845" s="15" t="s">
        <v>1461</v>
      </c>
      <c r="H845" s="13" t="s">
        <v>50</v>
      </c>
      <c r="I845" s="14" t="str">
        <f>VLOOKUP(H845,'Flow Location'!$A$1:$B$21,2,FALSE)</f>
        <v>Contained On Site, not within 5 ft. of Bayou/Surface Water/Drainage Ditch</v>
      </c>
      <c r="J845" s="16">
        <v>1808.0</v>
      </c>
      <c r="K845" s="13" t="s">
        <v>29</v>
      </c>
      <c r="L845" s="14" t="str">
        <f>VLOOKUP(K845,'Structure type'!$A$1:$B$15,2,FALSE)</f>
        <v>Manhole</v>
      </c>
      <c r="M845" s="13" t="s">
        <v>30</v>
      </c>
      <c r="N845" s="14" t="str">
        <f>VLOOKUP(M845,'Excursion Cause'!$A$1:$B$34,2,FALSE)</f>
        <v>Grease Blockage</v>
      </c>
      <c r="O845" s="17">
        <v>44553.0</v>
      </c>
      <c r="P845" s="18">
        <v>0.6847222222222222</v>
      </c>
      <c r="Q845" s="17">
        <v>44554.0</v>
      </c>
      <c r="R845" s="18">
        <v>0.3125</v>
      </c>
      <c r="S845" s="16">
        <v>2.0</v>
      </c>
      <c r="T845" s="13" t="s">
        <v>1462</v>
      </c>
      <c r="U845" s="14"/>
      <c r="V845" s="14"/>
      <c r="W845" s="19">
        <v>29.9601115</v>
      </c>
      <c r="X845" s="19">
        <v>-95.5390898</v>
      </c>
    </row>
    <row r="846" ht="15.75" customHeight="1">
      <c r="A846" s="12">
        <v>12934.0</v>
      </c>
      <c r="B846" s="13">
        <v>2021.0</v>
      </c>
      <c r="C846" s="14" t="str">
        <f t="shared" si="3"/>
        <v>2726 SKYVIEW LONG DR,Houston,TX</v>
      </c>
      <c r="D846" s="13" t="s">
        <v>1463</v>
      </c>
      <c r="E846" s="14" t="s">
        <v>25</v>
      </c>
      <c r="F846" s="14" t="s">
        <v>1388</v>
      </c>
      <c r="G846" s="15" t="s">
        <v>419</v>
      </c>
      <c r="H846" s="13" t="s">
        <v>28</v>
      </c>
      <c r="I846" s="14" t="str">
        <f>VLOOKUP(H846,'Flow Location'!$A$1:$B$21,2,FALSE)</f>
        <v>Storm Sewer (not contained)</v>
      </c>
      <c r="J846" s="16">
        <v>223.0</v>
      </c>
      <c r="K846" s="13" t="s">
        <v>29</v>
      </c>
      <c r="L846" s="14" t="str">
        <f>VLOOKUP(K846,'Structure type'!$A$1:$B$15,2,FALSE)</f>
        <v>Manhole</v>
      </c>
      <c r="M846" s="13" t="s">
        <v>30</v>
      </c>
      <c r="N846" s="14" t="str">
        <f>VLOOKUP(M846,'Excursion Cause'!$A$1:$B$34,2,FALSE)</f>
        <v>Grease Blockage</v>
      </c>
      <c r="O846" s="17">
        <v>44554.0</v>
      </c>
      <c r="P846" s="18">
        <v>0.9791666666666666</v>
      </c>
      <c r="Q846" s="17">
        <v>44555.0</v>
      </c>
      <c r="R846" s="18">
        <v>0.13333333333333333</v>
      </c>
      <c r="S846" s="16">
        <v>1.0</v>
      </c>
      <c r="T846" s="13" t="s">
        <v>33</v>
      </c>
      <c r="U846" s="14"/>
      <c r="V846" s="14"/>
      <c r="W846" s="19">
        <v>29.6262581</v>
      </c>
      <c r="X846" s="19">
        <v>-95.3809636</v>
      </c>
    </row>
    <row r="847" ht="15.75" customHeight="1">
      <c r="A847" s="12">
        <v>12936.0</v>
      </c>
      <c r="B847" s="13">
        <v>2021.0</v>
      </c>
      <c r="C847" s="14" t="str">
        <f t="shared" si="3"/>
        <v>2019 WALKER ST,Houston,TX</v>
      </c>
      <c r="D847" s="13" t="s">
        <v>1312</v>
      </c>
      <c r="E847" s="14" t="s">
        <v>25</v>
      </c>
      <c r="F847" s="14" t="s">
        <v>1388</v>
      </c>
      <c r="G847" s="15" t="s">
        <v>172</v>
      </c>
      <c r="H847" s="13" t="s">
        <v>50</v>
      </c>
      <c r="I847" s="14" t="str">
        <f>VLOOKUP(H847,'Flow Location'!$A$1:$B$21,2,FALSE)</f>
        <v>Contained On Site, not within 5 ft. of Bayou/Surface Water/Drainage Ditch</v>
      </c>
      <c r="J847" s="16">
        <v>0.0</v>
      </c>
      <c r="K847" s="13" t="s">
        <v>45</v>
      </c>
      <c r="L847" s="14" t="str">
        <f>VLOOKUP(K847,'Structure type'!$A$1:$B$15,2,FALSE)</f>
        <v>City Cleanout</v>
      </c>
      <c r="M847" s="13" t="s">
        <v>56</v>
      </c>
      <c r="N847" s="14" t="str">
        <f>VLOOKUP(M847,'Excursion Cause'!$A$1:$B$34,2,FALSE)</f>
        <v>Rags/Wipes</v>
      </c>
      <c r="O847" s="17">
        <v>44554.0</v>
      </c>
      <c r="P847" s="18">
        <v>0.6472222222222223</v>
      </c>
      <c r="Q847" s="17">
        <v>44554.0</v>
      </c>
      <c r="R847" s="18">
        <v>0.6472222222222223</v>
      </c>
      <c r="S847" s="16">
        <v>0.0</v>
      </c>
      <c r="T847" s="13" t="s">
        <v>270</v>
      </c>
      <c r="U847" s="14"/>
      <c r="V847" s="14"/>
      <c r="W847" s="19">
        <v>29.7523125</v>
      </c>
      <c r="X847" s="19">
        <v>-95.354895</v>
      </c>
    </row>
    <row r="848" ht="15.75" customHeight="1">
      <c r="A848" s="12">
        <v>12941.0</v>
      </c>
      <c r="B848" s="13">
        <v>2021.0</v>
      </c>
      <c r="C848" s="14" t="str">
        <f t="shared" si="3"/>
        <v>8627 FRIENDSHIP RD,Houston,TX</v>
      </c>
      <c r="D848" s="13" t="s">
        <v>1464</v>
      </c>
      <c r="E848" s="14" t="s">
        <v>25</v>
      </c>
      <c r="F848" s="14" t="s">
        <v>1388</v>
      </c>
      <c r="G848" s="15" t="s">
        <v>294</v>
      </c>
      <c r="H848" s="13" t="s">
        <v>50</v>
      </c>
      <c r="I848" s="14" t="str">
        <f>VLOOKUP(H848,'Flow Location'!$A$1:$B$21,2,FALSE)</f>
        <v>Contained On Site, not within 5 ft. of Bayou/Surface Water/Drainage Ditch</v>
      </c>
      <c r="J848" s="16">
        <v>0.0</v>
      </c>
      <c r="K848" s="13" t="s">
        <v>29</v>
      </c>
      <c r="L848" s="14" t="str">
        <f>VLOOKUP(K848,'Structure type'!$A$1:$B$15,2,FALSE)</f>
        <v>Manhole</v>
      </c>
      <c r="M848" s="13" t="s">
        <v>30</v>
      </c>
      <c r="N848" s="14" t="str">
        <f>VLOOKUP(M848,'Excursion Cause'!$A$1:$B$34,2,FALSE)</f>
        <v>Grease Blockage</v>
      </c>
      <c r="O848" s="17">
        <v>44555.0</v>
      </c>
      <c r="P848" s="18">
        <v>0.5027777777777778</v>
      </c>
      <c r="Q848" s="17">
        <v>44555.0</v>
      </c>
      <c r="R848" s="18">
        <v>0.5027777777777778</v>
      </c>
      <c r="S848" s="16">
        <v>0.0</v>
      </c>
      <c r="T848" s="13" t="s">
        <v>33</v>
      </c>
      <c r="U848" s="14"/>
      <c r="V848" s="14"/>
      <c r="W848" s="19">
        <v>29.81901</v>
      </c>
      <c r="X848" s="19">
        <v>-95.5042306</v>
      </c>
    </row>
    <row r="849" ht="15.75" customHeight="1">
      <c r="A849" s="12">
        <v>12945.0</v>
      </c>
      <c r="B849" s="13">
        <v>2021.0</v>
      </c>
      <c r="C849" s="14" t="str">
        <f t="shared" si="3"/>
        <v>8309 MONTRIDGE DR,Houston,TX</v>
      </c>
      <c r="D849" s="13" t="s">
        <v>1465</v>
      </c>
      <c r="E849" s="14" t="s">
        <v>25</v>
      </c>
      <c r="F849" s="14" t="s">
        <v>1388</v>
      </c>
      <c r="G849" s="15" t="s">
        <v>27</v>
      </c>
      <c r="H849" s="13" t="s">
        <v>50</v>
      </c>
      <c r="I849" s="14" t="str">
        <f>VLOOKUP(H849,'Flow Location'!$A$1:$B$21,2,FALSE)</f>
        <v>Contained On Site, not within 5 ft. of Bayou/Surface Water/Drainage Ditch</v>
      </c>
      <c r="J849" s="16">
        <v>0.0</v>
      </c>
      <c r="K849" s="13" t="s">
        <v>51</v>
      </c>
      <c r="L849" s="14" t="str">
        <f>VLOOKUP(K849,'Structure type'!$A$1:$B$15,2,FALSE)</f>
        <v>Private Cleanout</v>
      </c>
      <c r="M849" s="13" t="s">
        <v>81</v>
      </c>
      <c r="N849" s="14" t="str">
        <f>VLOOKUP(M849,'Excursion Cause'!$A$1:$B$34,2,FALSE)</f>
        <v>Collection system structural failure</v>
      </c>
      <c r="O849" s="17">
        <v>44555.0</v>
      </c>
      <c r="P849" s="18">
        <v>0.6145833333333334</v>
      </c>
      <c r="Q849" s="17">
        <v>44555.0</v>
      </c>
      <c r="R849" s="18">
        <v>0.6145833333333334</v>
      </c>
      <c r="S849" s="16">
        <v>0.0</v>
      </c>
      <c r="T849" s="13" t="s">
        <v>107</v>
      </c>
      <c r="U849" s="14"/>
      <c r="V849" s="14"/>
      <c r="W849" s="19">
        <v>29.8080422</v>
      </c>
      <c r="X849" s="19">
        <v>-95.494648</v>
      </c>
    </row>
    <row r="850" ht="15.75" customHeight="1">
      <c r="A850" s="12">
        <v>12952.0</v>
      </c>
      <c r="B850" s="13">
        <v>2021.0</v>
      </c>
      <c r="C850" s="14" t="str">
        <f t="shared" si="3"/>
        <v>4730 WARD ST,Houston,TX</v>
      </c>
      <c r="D850" s="13" t="s">
        <v>1466</v>
      </c>
      <c r="E850" s="14" t="s">
        <v>25</v>
      </c>
      <c r="F850" s="14" t="s">
        <v>1388</v>
      </c>
      <c r="G850" s="15" t="s">
        <v>238</v>
      </c>
      <c r="H850" s="13" t="s">
        <v>50</v>
      </c>
      <c r="I850" s="14" t="str">
        <f>VLOOKUP(H850,'Flow Location'!$A$1:$B$21,2,FALSE)</f>
        <v>Contained On Site, not within 5 ft. of Bayou/Surface Water/Drainage Ditch</v>
      </c>
      <c r="J850" s="16">
        <v>0.0</v>
      </c>
      <c r="K850" s="13" t="s">
        <v>29</v>
      </c>
      <c r="L850" s="14" t="str">
        <f>VLOOKUP(K850,'Structure type'!$A$1:$B$15,2,FALSE)</f>
        <v>Manhole</v>
      </c>
      <c r="M850" s="13" t="s">
        <v>30</v>
      </c>
      <c r="N850" s="14" t="str">
        <f>VLOOKUP(M850,'Excursion Cause'!$A$1:$B$34,2,FALSE)</f>
        <v>Grease Blockage</v>
      </c>
      <c r="O850" s="17">
        <v>44556.0</v>
      </c>
      <c r="P850" s="18">
        <v>0.6361111111111111</v>
      </c>
      <c r="Q850" s="17">
        <v>44556.0</v>
      </c>
      <c r="R850" s="18">
        <v>0.7333333333333333</v>
      </c>
      <c r="S850" s="16">
        <v>0.0</v>
      </c>
      <c r="T850" s="13" t="s">
        <v>33</v>
      </c>
      <c r="U850" s="14"/>
      <c r="V850" s="14"/>
      <c r="W850" s="19">
        <v>29.6879769</v>
      </c>
      <c r="X850" s="19">
        <v>-95.3493235</v>
      </c>
    </row>
    <row r="851" ht="15.75" customHeight="1">
      <c r="A851" s="12">
        <v>12953.0</v>
      </c>
      <c r="B851" s="13">
        <v>2021.0</v>
      </c>
      <c r="C851" s="14" t="str">
        <f t="shared" si="3"/>
        <v>1903 STONEY BROOK DR,Houston,TX</v>
      </c>
      <c r="D851" s="13" t="s">
        <v>1467</v>
      </c>
      <c r="E851" s="14" t="s">
        <v>25</v>
      </c>
      <c r="F851" s="14" t="s">
        <v>1388</v>
      </c>
      <c r="G851" s="15" t="s">
        <v>482</v>
      </c>
      <c r="H851" s="13" t="s">
        <v>50</v>
      </c>
      <c r="I851" s="14" t="str">
        <f>VLOOKUP(H851,'Flow Location'!$A$1:$B$21,2,FALSE)</f>
        <v>Contained On Site, not within 5 ft. of Bayou/Surface Water/Drainage Ditch</v>
      </c>
      <c r="J851" s="16">
        <v>0.0</v>
      </c>
      <c r="K851" s="13" t="s">
        <v>29</v>
      </c>
      <c r="L851" s="14" t="str">
        <f>VLOOKUP(K851,'Structure type'!$A$1:$B$15,2,FALSE)</f>
        <v>Manhole</v>
      </c>
      <c r="M851" s="13" t="s">
        <v>30</v>
      </c>
      <c r="N851" s="14" t="str">
        <f>VLOOKUP(M851,'Excursion Cause'!$A$1:$B$34,2,FALSE)</f>
        <v>Grease Blockage</v>
      </c>
      <c r="O851" s="17">
        <v>44556.0</v>
      </c>
      <c r="P851" s="18">
        <v>0.8076388888888889</v>
      </c>
      <c r="Q851" s="17">
        <v>44556.0</v>
      </c>
      <c r="R851" s="18">
        <v>0.8076388888888889</v>
      </c>
      <c r="S851" s="16">
        <v>0.0</v>
      </c>
      <c r="T851" s="13" t="s">
        <v>33</v>
      </c>
      <c r="U851" s="14"/>
      <c r="V851" s="14"/>
      <c r="W851" s="19">
        <v>29.7471477</v>
      </c>
      <c r="X851" s="19">
        <v>-95.5052394</v>
      </c>
    </row>
    <row r="852" ht="15.75" customHeight="1">
      <c r="A852" s="12">
        <v>12957.0</v>
      </c>
      <c r="B852" s="13">
        <v>2021.0</v>
      </c>
      <c r="C852" s="14" t="str">
        <f t="shared" si="3"/>
        <v>10223 SILVERCREST ST,Houston,TX</v>
      </c>
      <c r="D852" s="13" t="s">
        <v>1468</v>
      </c>
      <c r="E852" s="14" t="s">
        <v>25</v>
      </c>
      <c r="F852" s="14" t="s">
        <v>1388</v>
      </c>
      <c r="G852" s="15" t="s">
        <v>275</v>
      </c>
      <c r="H852" s="13" t="s">
        <v>28</v>
      </c>
      <c r="I852" s="14" t="str">
        <f>VLOOKUP(H852,'Flow Location'!$A$1:$B$21,2,FALSE)</f>
        <v>Storm Sewer (not contained)</v>
      </c>
      <c r="J852" s="16">
        <v>0.0</v>
      </c>
      <c r="K852" s="13" t="s">
        <v>45</v>
      </c>
      <c r="L852" s="14" t="str">
        <f>VLOOKUP(K852,'Structure type'!$A$1:$B$15,2,FALSE)</f>
        <v>City Cleanout</v>
      </c>
      <c r="M852" s="13" t="s">
        <v>56</v>
      </c>
      <c r="N852" s="14" t="str">
        <f>VLOOKUP(M852,'Excursion Cause'!$A$1:$B$34,2,FALSE)</f>
        <v>Rags/Wipes</v>
      </c>
      <c r="O852" s="17">
        <v>44557.0</v>
      </c>
      <c r="P852" s="18">
        <v>0.49166666666666664</v>
      </c>
      <c r="Q852" s="17">
        <v>44557.0</v>
      </c>
      <c r="R852" s="18">
        <v>0.49166666666666664</v>
      </c>
      <c r="S852" s="16">
        <v>0.0</v>
      </c>
      <c r="T852" s="13" t="s">
        <v>170</v>
      </c>
      <c r="U852" s="14"/>
      <c r="V852" s="14"/>
      <c r="W852" s="19">
        <v>29.8543478</v>
      </c>
      <c r="X852" s="19">
        <v>-95.3649652</v>
      </c>
    </row>
    <row r="853" ht="15.75" customHeight="1">
      <c r="A853" s="12">
        <v>12960.0</v>
      </c>
      <c r="B853" s="13">
        <v>2021.0</v>
      </c>
      <c r="C853" s="14" t="str">
        <f t="shared" si="3"/>
        <v>15603 GULF FWY,Houston,TX</v>
      </c>
      <c r="D853" s="13" t="s">
        <v>1469</v>
      </c>
      <c r="E853" s="14" t="s">
        <v>25</v>
      </c>
      <c r="F853" s="14" t="s">
        <v>1388</v>
      </c>
      <c r="G853" s="15" t="s">
        <v>211</v>
      </c>
      <c r="H853" s="13" t="s">
        <v>28</v>
      </c>
      <c r="I853" s="14" t="str">
        <f>VLOOKUP(H853,'Flow Location'!$A$1:$B$21,2,FALSE)</f>
        <v>Storm Sewer (not contained)</v>
      </c>
      <c r="J853" s="16">
        <v>270.0</v>
      </c>
      <c r="K853" s="13" t="s">
        <v>29</v>
      </c>
      <c r="L853" s="14" t="str">
        <f>VLOOKUP(K853,'Structure type'!$A$1:$B$15,2,FALSE)</f>
        <v>Manhole</v>
      </c>
      <c r="M853" s="13" t="s">
        <v>30</v>
      </c>
      <c r="N853" s="14" t="str">
        <f>VLOOKUP(M853,'Excursion Cause'!$A$1:$B$34,2,FALSE)</f>
        <v>Grease Blockage</v>
      </c>
      <c r="O853" s="17">
        <v>44557.0</v>
      </c>
      <c r="P853" s="18">
        <v>0.6361111111111111</v>
      </c>
      <c r="Q853" s="17">
        <v>44557.0</v>
      </c>
      <c r="R853" s="18">
        <v>0.8236111111111111</v>
      </c>
      <c r="S853" s="16">
        <v>1.0</v>
      </c>
      <c r="T853" s="13" t="s">
        <v>33</v>
      </c>
      <c r="U853" s="14"/>
      <c r="V853" s="14"/>
      <c r="W853" s="19">
        <v>29.5853942</v>
      </c>
      <c r="X853" s="19">
        <v>-95.1819606999999</v>
      </c>
    </row>
    <row r="854" ht="15.75" customHeight="1">
      <c r="A854" s="12">
        <v>12962.0</v>
      </c>
      <c r="B854" s="13">
        <v>2021.0</v>
      </c>
      <c r="C854" s="14" t="str">
        <f t="shared" si="3"/>
        <v>5820 KATY FWY,Houston,TX</v>
      </c>
      <c r="D854" s="13" t="s">
        <v>1470</v>
      </c>
      <c r="E854" s="14" t="s">
        <v>25</v>
      </c>
      <c r="F854" s="14" t="s">
        <v>1388</v>
      </c>
      <c r="G854" s="15" t="s">
        <v>158</v>
      </c>
      <c r="H854" s="13" t="s">
        <v>28</v>
      </c>
      <c r="I854" s="14" t="str">
        <f>VLOOKUP(H854,'Flow Location'!$A$1:$B$21,2,FALSE)</f>
        <v>Storm Sewer (not contained)</v>
      </c>
      <c r="J854" s="16">
        <v>6275.0</v>
      </c>
      <c r="K854" s="13" t="s">
        <v>29</v>
      </c>
      <c r="L854" s="14" t="str">
        <f>VLOOKUP(K854,'Structure type'!$A$1:$B$15,2,FALSE)</f>
        <v>Manhole</v>
      </c>
      <c r="M854" s="13" t="s">
        <v>30</v>
      </c>
      <c r="N854" s="14" t="str">
        <f>VLOOKUP(M854,'Excursion Cause'!$A$1:$B$34,2,FALSE)</f>
        <v>Grease Blockage</v>
      </c>
      <c r="O854" s="17">
        <v>44557.0</v>
      </c>
      <c r="P854" s="18">
        <v>0.6493055555555556</v>
      </c>
      <c r="Q854" s="17">
        <v>44558.0</v>
      </c>
      <c r="R854" s="18">
        <v>0.5208333333333334</v>
      </c>
      <c r="S854" s="16">
        <v>5.0</v>
      </c>
      <c r="T854" s="13" t="s">
        <v>33</v>
      </c>
      <c r="U854" s="14"/>
      <c r="V854" s="14"/>
      <c r="W854" s="19">
        <v>29.7782945</v>
      </c>
      <c r="X854" s="19">
        <v>-95.4282746999999</v>
      </c>
    </row>
    <row r="855" ht="15.75" customHeight="1">
      <c r="A855" s="12">
        <v>12964.0</v>
      </c>
      <c r="B855" s="13">
        <v>2021.0</v>
      </c>
      <c r="C855" s="14" t="str">
        <f t="shared" si="3"/>
        <v>7930 HOMEWOOD LN,Houston,TX</v>
      </c>
      <c r="D855" s="13" t="s">
        <v>1418</v>
      </c>
      <c r="E855" s="14" t="s">
        <v>25</v>
      </c>
      <c r="F855" s="14" t="s">
        <v>1388</v>
      </c>
      <c r="G855" s="15" t="s">
        <v>177</v>
      </c>
      <c r="H855" s="13" t="s">
        <v>50</v>
      </c>
      <c r="I855" s="14" t="str">
        <f>VLOOKUP(H855,'Flow Location'!$A$1:$B$21,2,FALSE)</f>
        <v>Contained On Site, not within 5 ft. of Bayou/Surface Water/Drainage Ditch</v>
      </c>
      <c r="J855" s="16">
        <v>0.0</v>
      </c>
      <c r="K855" s="13" t="s">
        <v>45</v>
      </c>
      <c r="L855" s="14" t="str">
        <f>VLOOKUP(K855,'Structure type'!$A$1:$B$15,2,FALSE)</f>
        <v>City Cleanout</v>
      </c>
      <c r="M855" s="13" t="s">
        <v>56</v>
      </c>
      <c r="N855" s="14" t="str">
        <f>VLOOKUP(M855,'Excursion Cause'!$A$1:$B$34,2,FALSE)</f>
        <v>Rags/Wipes</v>
      </c>
      <c r="O855" s="17">
        <v>44558.0</v>
      </c>
      <c r="P855" s="18">
        <v>0.3909722222222222</v>
      </c>
      <c r="Q855" s="17">
        <v>44558.0</v>
      </c>
      <c r="R855" s="18">
        <v>0.3909722222222222</v>
      </c>
      <c r="S855" s="16">
        <v>0.0</v>
      </c>
      <c r="T855" s="13" t="s">
        <v>170</v>
      </c>
      <c r="U855" s="14"/>
      <c r="V855" s="14"/>
      <c r="W855" s="19">
        <v>29.8420705</v>
      </c>
      <c r="X855" s="19">
        <v>-95.2829179</v>
      </c>
    </row>
    <row r="856" ht="15.75" customHeight="1">
      <c r="A856" s="12">
        <v>12971.0</v>
      </c>
      <c r="B856" s="13">
        <v>2021.0</v>
      </c>
      <c r="C856" s="14" t="str">
        <f t="shared" si="3"/>
        <v>11717 BAUMAN RD,Houston,TX</v>
      </c>
      <c r="D856" s="13" t="s">
        <v>1471</v>
      </c>
      <c r="E856" s="14" t="s">
        <v>25</v>
      </c>
      <c r="F856" s="14" t="s">
        <v>1388</v>
      </c>
      <c r="G856" s="15" t="s">
        <v>275</v>
      </c>
      <c r="H856" s="13" t="s">
        <v>1397</v>
      </c>
      <c r="I856" s="14" t="str">
        <f>VLOOKUP(H856,'Flow Location'!$A$1:$B$21,2,FALSE)</f>
        <v>Bayou/surface water/drainage ditch</v>
      </c>
      <c r="J856" s="16">
        <v>0.0</v>
      </c>
      <c r="K856" s="13" t="s">
        <v>29</v>
      </c>
      <c r="L856" s="14" t="str">
        <f>VLOOKUP(K856,'Structure type'!$A$1:$B$15,2,FALSE)</f>
        <v>Manhole</v>
      </c>
      <c r="M856" s="13" t="s">
        <v>30</v>
      </c>
      <c r="N856" s="14" t="str">
        <f>VLOOKUP(M856,'Excursion Cause'!$A$1:$B$34,2,FALSE)</f>
        <v>Grease Blockage</v>
      </c>
      <c r="O856" s="17">
        <v>44558.0</v>
      </c>
      <c r="P856" s="18">
        <v>0.4777777777777778</v>
      </c>
      <c r="Q856" s="17">
        <v>44558.0</v>
      </c>
      <c r="R856" s="18">
        <v>0.4777777777777778</v>
      </c>
      <c r="S856" s="16">
        <v>0.0</v>
      </c>
      <c r="T856" s="13" t="s">
        <v>59</v>
      </c>
      <c r="U856" s="14"/>
      <c r="V856" s="14"/>
      <c r="W856" s="19">
        <v>29.8708064999999</v>
      </c>
      <c r="X856" s="19">
        <v>-95.37222</v>
      </c>
    </row>
    <row r="857" ht="15.75" customHeight="1">
      <c r="A857" s="12">
        <v>12976.0</v>
      </c>
      <c r="B857" s="13">
        <v>2021.0</v>
      </c>
      <c r="C857" s="14" t="str">
        <f t="shared" si="3"/>
        <v>1203 W 11TH St,Houston,TX</v>
      </c>
      <c r="D857" s="13" t="s">
        <v>1472</v>
      </c>
      <c r="E857" s="14" t="s">
        <v>25</v>
      </c>
      <c r="F857" s="14" t="s">
        <v>1388</v>
      </c>
      <c r="G857" s="15" t="s">
        <v>232</v>
      </c>
      <c r="H857" s="13" t="s">
        <v>50</v>
      </c>
      <c r="I857" s="14" t="str">
        <f>VLOOKUP(H857,'Flow Location'!$A$1:$B$21,2,FALSE)</f>
        <v>Contained On Site, not within 5 ft. of Bayou/Surface Water/Drainage Ditch</v>
      </c>
      <c r="J857" s="16">
        <v>0.0</v>
      </c>
      <c r="K857" s="13" t="s">
        <v>198</v>
      </c>
      <c r="L857" s="14" t="str">
        <f>VLOOKUP(K857,'Structure type'!$A$1:$B$15,2,FALSE)</f>
        <v>Service Lateral</v>
      </c>
      <c r="M857" s="13" t="s">
        <v>52</v>
      </c>
      <c r="N857" s="14" t="str">
        <f>VLOOKUP(M857,'Excursion Cause'!$A$1:$B$34,2,FALSE)</f>
        <v>Collection system structural blockage</v>
      </c>
      <c r="O857" s="17">
        <v>44558.0</v>
      </c>
      <c r="P857" s="18">
        <v>0.6875</v>
      </c>
      <c r="Q857" s="17">
        <v>44558.0</v>
      </c>
      <c r="R857" s="18">
        <v>0.6875</v>
      </c>
      <c r="S857" s="16">
        <v>0.0</v>
      </c>
      <c r="T857" s="13" t="s">
        <v>1473</v>
      </c>
      <c r="U857" s="14"/>
      <c r="V857" s="14"/>
      <c r="W857" s="19">
        <v>29.7907255</v>
      </c>
      <c r="X857" s="19">
        <v>-95.4092752</v>
      </c>
    </row>
    <row r="858" ht="15.75" customHeight="1">
      <c r="A858" s="12">
        <v>12978.0</v>
      </c>
      <c r="B858" s="13">
        <v>2021.0</v>
      </c>
      <c r="C858" s="14" t="str">
        <f t="shared" si="3"/>
        <v>11622 LEADER ST,Houston,TX</v>
      </c>
      <c r="D858" s="13" t="s">
        <v>1474</v>
      </c>
      <c r="E858" s="14" t="s">
        <v>25</v>
      </c>
      <c r="F858" s="14" t="s">
        <v>1388</v>
      </c>
      <c r="G858" s="15" t="s">
        <v>91</v>
      </c>
      <c r="H858" s="13" t="s">
        <v>50</v>
      </c>
      <c r="I858" s="14" t="str">
        <f>VLOOKUP(H858,'Flow Location'!$A$1:$B$21,2,FALSE)</f>
        <v>Contained On Site, not within 5 ft. of Bayou/Surface Water/Drainage Ditch</v>
      </c>
      <c r="J858" s="16">
        <v>1356.0</v>
      </c>
      <c r="K858" s="13" t="s">
        <v>45</v>
      </c>
      <c r="L858" s="14" t="str">
        <f>VLOOKUP(K858,'Structure type'!$A$1:$B$15,2,FALSE)</f>
        <v>City Cleanout</v>
      </c>
      <c r="M858" s="13" t="s">
        <v>30</v>
      </c>
      <c r="N858" s="14" t="str">
        <f>VLOOKUP(M858,'Excursion Cause'!$A$1:$B$34,2,FALSE)</f>
        <v>Grease Blockage</v>
      </c>
      <c r="O858" s="17">
        <v>44558.0</v>
      </c>
      <c r="P858" s="18">
        <v>0.725</v>
      </c>
      <c r="Q858" s="17">
        <v>44559.0</v>
      </c>
      <c r="R858" s="18">
        <v>0.6666666666666666</v>
      </c>
      <c r="S858" s="16">
        <v>1.0</v>
      </c>
      <c r="T858" s="13" t="s">
        <v>59</v>
      </c>
      <c r="U858" s="14"/>
      <c r="V858" s="14"/>
      <c r="W858" s="19">
        <v>29.7033235</v>
      </c>
      <c r="X858" s="19">
        <v>-95.5844364</v>
      </c>
    </row>
    <row r="859" ht="15.75" customHeight="1">
      <c r="A859" s="12">
        <v>12981.0</v>
      </c>
      <c r="B859" s="13">
        <v>2021.0</v>
      </c>
      <c r="C859" s="14" t="str">
        <f t="shared" si="3"/>
        <v>5012 CHENEVERT ST,Houston,TX</v>
      </c>
      <c r="D859" s="13" t="s">
        <v>1475</v>
      </c>
      <c r="E859" s="14" t="s">
        <v>25</v>
      </c>
      <c r="F859" s="14" t="s">
        <v>1388</v>
      </c>
      <c r="G859" s="15" t="s">
        <v>308</v>
      </c>
      <c r="H859" s="13" t="s">
        <v>50</v>
      </c>
      <c r="I859" s="14" t="str">
        <f>VLOOKUP(H859,'Flow Location'!$A$1:$B$21,2,FALSE)</f>
        <v>Contained On Site, not within 5 ft. of Bayou/Surface Water/Drainage Ditch</v>
      </c>
      <c r="J859" s="16">
        <v>0.0</v>
      </c>
      <c r="K859" s="13" t="s">
        <v>45</v>
      </c>
      <c r="L859" s="14" t="str">
        <f>VLOOKUP(K859,'Structure type'!$A$1:$B$15,2,FALSE)</f>
        <v>City Cleanout</v>
      </c>
      <c r="M859" s="13" t="s">
        <v>56</v>
      </c>
      <c r="N859" s="14" t="str">
        <f>VLOOKUP(M859,'Excursion Cause'!$A$1:$B$34,2,FALSE)</f>
        <v>Rags/Wipes</v>
      </c>
      <c r="O859" s="17">
        <v>44558.0</v>
      </c>
      <c r="P859" s="18">
        <v>0.8520833333333333</v>
      </c>
      <c r="Q859" s="17">
        <v>44558.0</v>
      </c>
      <c r="R859" s="18">
        <v>0.8520833333333333</v>
      </c>
      <c r="S859" s="16">
        <v>0.0</v>
      </c>
      <c r="T859" s="13" t="s">
        <v>89</v>
      </c>
      <c r="U859" s="14"/>
      <c r="V859" s="14"/>
      <c r="W859" s="19">
        <v>29.7253504999999</v>
      </c>
      <c r="X859" s="19">
        <v>-95.3801732</v>
      </c>
    </row>
    <row r="860" ht="15.75" customHeight="1">
      <c r="A860" s="12">
        <v>12988.0</v>
      </c>
      <c r="B860" s="13">
        <v>2021.0</v>
      </c>
      <c r="C860" s="14" t="str">
        <f t="shared" si="3"/>
        <v>5102 MADDEN LN,Houston,TX</v>
      </c>
      <c r="D860" s="13" t="s">
        <v>1476</v>
      </c>
      <c r="E860" s="14" t="s">
        <v>25</v>
      </c>
      <c r="F860" s="14" t="s">
        <v>1388</v>
      </c>
      <c r="G860" s="15" t="s">
        <v>301</v>
      </c>
      <c r="H860" s="13" t="s">
        <v>50</v>
      </c>
      <c r="I860" s="14" t="str">
        <f>VLOOKUP(H860,'Flow Location'!$A$1:$B$21,2,FALSE)</f>
        <v>Contained On Site, not within 5 ft. of Bayou/Surface Water/Drainage Ditch</v>
      </c>
      <c r="J860" s="16">
        <v>265.0</v>
      </c>
      <c r="K860" s="13" t="s">
        <v>29</v>
      </c>
      <c r="L860" s="14" t="str">
        <f>VLOOKUP(K860,'Structure type'!$A$1:$B$15,2,FALSE)</f>
        <v>Manhole</v>
      </c>
      <c r="M860" s="13" t="s">
        <v>30</v>
      </c>
      <c r="N860" s="14" t="str">
        <f>VLOOKUP(M860,'Excursion Cause'!$A$1:$B$34,2,FALSE)</f>
        <v>Grease Blockage</v>
      </c>
      <c r="O860" s="17">
        <v>44559.0</v>
      </c>
      <c r="P860" s="18">
        <v>0.59375</v>
      </c>
      <c r="Q860" s="17">
        <v>44559.0</v>
      </c>
      <c r="R860" s="18">
        <v>0.7777777777777778</v>
      </c>
      <c r="S860" s="16">
        <v>1.0</v>
      </c>
      <c r="T860" s="13" t="s">
        <v>59</v>
      </c>
      <c r="U860" s="14"/>
      <c r="V860" s="14"/>
      <c r="W860" s="19">
        <v>29.63266</v>
      </c>
      <c r="X860" s="19">
        <v>-95.3486341</v>
      </c>
    </row>
    <row r="861" ht="15.75" customHeight="1">
      <c r="A861" s="12">
        <v>12994.0</v>
      </c>
      <c r="B861" s="13">
        <v>2021.0</v>
      </c>
      <c r="C861" s="14" t="str">
        <f t="shared" si="3"/>
        <v>3802 DABNEY ST,Houston,TX</v>
      </c>
      <c r="D861" s="13" t="s">
        <v>1477</v>
      </c>
      <c r="E861" s="14" t="s">
        <v>25</v>
      </c>
      <c r="F861" s="14" t="s">
        <v>1388</v>
      </c>
      <c r="G861" s="15" t="s">
        <v>43</v>
      </c>
      <c r="H861" s="13" t="s">
        <v>28</v>
      </c>
      <c r="I861" s="14" t="str">
        <f>VLOOKUP(H861,'Flow Location'!$A$1:$B$21,2,FALSE)</f>
        <v>Storm Sewer (not contained)</v>
      </c>
      <c r="J861" s="16">
        <v>501.0</v>
      </c>
      <c r="K861" s="13" t="s">
        <v>51</v>
      </c>
      <c r="L861" s="14" t="str">
        <f>VLOOKUP(K861,'Structure type'!$A$1:$B$15,2,FALSE)</f>
        <v>Private Cleanout</v>
      </c>
      <c r="M861" s="13" t="s">
        <v>30</v>
      </c>
      <c r="N861" s="14" t="str">
        <f>VLOOKUP(M861,'Excursion Cause'!$A$1:$B$34,2,FALSE)</f>
        <v>Grease Blockage</v>
      </c>
      <c r="O861" s="17">
        <v>44560.0</v>
      </c>
      <c r="P861" s="18">
        <v>0.42291666666666666</v>
      </c>
      <c r="Q861" s="17">
        <v>44560.0</v>
      </c>
      <c r="R861" s="18">
        <v>0.7708333333333334</v>
      </c>
      <c r="S861" s="16">
        <v>1.0</v>
      </c>
      <c r="T861" s="13" t="s">
        <v>33</v>
      </c>
      <c r="U861" s="14"/>
      <c r="V861" s="14"/>
      <c r="W861" s="19">
        <v>29.7947823</v>
      </c>
      <c r="X861" s="19">
        <v>-95.3098186</v>
      </c>
    </row>
    <row r="862" ht="15.75" customHeight="1">
      <c r="A862" s="12">
        <v>12996.0</v>
      </c>
      <c r="B862" s="13">
        <v>2021.0</v>
      </c>
      <c r="C862" s="14" t="str">
        <f t="shared" si="3"/>
        <v>5930 GREEN FALLS DR,Houston,TX</v>
      </c>
      <c r="D862" s="13" t="s">
        <v>1478</v>
      </c>
      <c r="E862" s="14" t="s">
        <v>25</v>
      </c>
      <c r="F862" s="14" t="s">
        <v>1388</v>
      </c>
      <c r="G862" s="15" t="s">
        <v>502</v>
      </c>
      <c r="H862" s="13" t="s">
        <v>50</v>
      </c>
      <c r="I862" s="14" t="str">
        <f>VLOOKUP(H862,'Flow Location'!$A$1:$B$21,2,FALSE)</f>
        <v>Contained On Site, not within 5 ft. of Bayou/Surface Water/Drainage Ditch</v>
      </c>
      <c r="J862" s="16">
        <v>0.0</v>
      </c>
      <c r="K862" s="13" t="s">
        <v>45</v>
      </c>
      <c r="L862" s="14" t="str">
        <f>VLOOKUP(K862,'Structure type'!$A$1:$B$15,2,FALSE)</f>
        <v>City Cleanout</v>
      </c>
      <c r="M862" s="13" t="s">
        <v>56</v>
      </c>
      <c r="N862" s="14" t="str">
        <f>VLOOKUP(M862,'Excursion Cause'!$A$1:$B$34,2,FALSE)</f>
        <v>Rags/Wipes</v>
      </c>
      <c r="O862" s="17">
        <v>44560.0</v>
      </c>
      <c r="P862" s="18">
        <v>0.46805555555555556</v>
      </c>
      <c r="Q862" s="17">
        <v>44560.0</v>
      </c>
      <c r="R862" s="18">
        <v>0.46805555555555556</v>
      </c>
      <c r="S862" s="16">
        <v>0.0</v>
      </c>
      <c r="T862" s="13" t="s">
        <v>89</v>
      </c>
      <c r="U862" s="14"/>
      <c r="V862" s="14"/>
      <c r="W862" s="19">
        <v>29.8832666</v>
      </c>
      <c r="X862" s="19">
        <v>-95.4782927</v>
      </c>
    </row>
    <row r="863" ht="15.75" customHeight="1">
      <c r="A863" s="12">
        <v>12997.0</v>
      </c>
      <c r="B863" s="13">
        <v>2021.0</v>
      </c>
      <c r="C863" s="14" t="str">
        <f t="shared" si="3"/>
        <v>7147 AVENUE N,Houston,TX</v>
      </c>
      <c r="D863" s="13" t="s">
        <v>1479</v>
      </c>
      <c r="E863" s="14" t="s">
        <v>25</v>
      </c>
      <c r="F863" s="14" t="s">
        <v>1388</v>
      </c>
      <c r="G863" s="15" t="s">
        <v>227</v>
      </c>
      <c r="H863" s="13" t="s">
        <v>50</v>
      </c>
      <c r="I863" s="14" t="str">
        <f>VLOOKUP(H863,'Flow Location'!$A$1:$B$21,2,FALSE)</f>
        <v>Contained On Site, not within 5 ft. of Bayou/Surface Water/Drainage Ditch</v>
      </c>
      <c r="J863" s="16">
        <v>0.0</v>
      </c>
      <c r="K863" s="13" t="s">
        <v>198</v>
      </c>
      <c r="L863" s="14" t="str">
        <f>VLOOKUP(K863,'Structure type'!$A$1:$B$15,2,FALSE)</f>
        <v>Service Lateral</v>
      </c>
      <c r="M863" s="13" t="s">
        <v>81</v>
      </c>
      <c r="N863" s="14" t="str">
        <f>VLOOKUP(M863,'Excursion Cause'!$A$1:$B$34,2,FALSE)</f>
        <v>Collection system structural failure</v>
      </c>
      <c r="O863" s="17">
        <v>44560.0</v>
      </c>
      <c r="P863" s="18">
        <v>0.5034722222222222</v>
      </c>
      <c r="Q863" s="17">
        <v>44560.0</v>
      </c>
      <c r="R863" s="18">
        <v>0.5034722222222222</v>
      </c>
      <c r="S863" s="16">
        <v>0.0</v>
      </c>
      <c r="T863" s="13" t="s">
        <v>118</v>
      </c>
      <c r="U863" s="14"/>
      <c r="V863" s="14"/>
      <c r="W863" s="19">
        <v>29.7434162</v>
      </c>
      <c r="X863" s="19">
        <v>-95.2944879</v>
      </c>
    </row>
    <row r="864" ht="15.75" customHeight="1">
      <c r="A864" s="12">
        <v>13000.0</v>
      </c>
      <c r="B864" s="13">
        <v>2021.0</v>
      </c>
      <c r="C864" s="14" t="str">
        <f t="shared" si="3"/>
        <v>7814 BALTIMORE ST,Houston,TX</v>
      </c>
      <c r="D864" s="13" t="s">
        <v>1480</v>
      </c>
      <c r="E864" s="14" t="s">
        <v>25</v>
      </c>
      <c r="F864" s="14" t="s">
        <v>1388</v>
      </c>
      <c r="G864" s="15" t="s">
        <v>365</v>
      </c>
      <c r="H864" s="13" t="s">
        <v>50</v>
      </c>
      <c r="I864" s="14" t="str">
        <f>VLOOKUP(H864,'Flow Location'!$A$1:$B$21,2,FALSE)</f>
        <v>Contained On Site, not within 5 ft. of Bayou/Surface Water/Drainage Ditch</v>
      </c>
      <c r="J864" s="16">
        <v>0.0</v>
      </c>
      <c r="K864" s="13" t="s">
        <v>45</v>
      </c>
      <c r="L864" s="14" t="str">
        <f>VLOOKUP(K864,'Structure type'!$A$1:$B$15,2,FALSE)</f>
        <v>City Cleanout</v>
      </c>
      <c r="M864" s="13" t="s">
        <v>52</v>
      </c>
      <c r="N864" s="14" t="str">
        <f>VLOOKUP(M864,'Excursion Cause'!$A$1:$B$34,2,FALSE)</f>
        <v>Collection system structural blockage</v>
      </c>
      <c r="O864" s="17">
        <v>44560.0</v>
      </c>
      <c r="P864" s="18">
        <v>0.5333333333333333</v>
      </c>
      <c r="Q864" s="17">
        <v>44560.0</v>
      </c>
      <c r="R864" s="18">
        <v>0.5333333333333333</v>
      </c>
      <c r="S864" s="16">
        <v>0.0</v>
      </c>
      <c r="T864" s="13" t="s">
        <v>1481</v>
      </c>
      <c r="U864" s="14"/>
      <c r="V864" s="14"/>
      <c r="W864" s="19">
        <v>29.7295846</v>
      </c>
      <c r="X864" s="19">
        <v>-95.2858792999999</v>
      </c>
    </row>
    <row r="865" ht="15.75" customHeight="1">
      <c r="A865" s="12">
        <v>13002.0</v>
      </c>
      <c r="B865" s="13">
        <v>2021.0</v>
      </c>
      <c r="C865" s="14" t="str">
        <f t="shared" si="3"/>
        <v>6131 TOWNSAN RD,Houston,TX</v>
      </c>
      <c r="D865" s="13" t="s">
        <v>1482</v>
      </c>
      <c r="E865" s="14" t="s">
        <v>25</v>
      </c>
      <c r="F865" s="14" t="s">
        <v>1388</v>
      </c>
      <c r="G865" s="15" t="s">
        <v>853</v>
      </c>
      <c r="H865" s="13" t="s">
        <v>50</v>
      </c>
      <c r="I865" s="14" t="str">
        <f>VLOOKUP(H865,'Flow Location'!$A$1:$B$21,2,FALSE)</f>
        <v>Contained On Site, not within 5 ft. of Bayou/Surface Water/Drainage Ditch</v>
      </c>
      <c r="J865" s="16">
        <v>0.0</v>
      </c>
      <c r="K865" s="13" t="s">
        <v>51</v>
      </c>
      <c r="L865" s="14" t="str">
        <f>VLOOKUP(K865,'Structure type'!$A$1:$B$15,2,FALSE)</f>
        <v>Private Cleanout</v>
      </c>
      <c r="M865" s="13" t="s">
        <v>52</v>
      </c>
      <c r="N865" s="14" t="str">
        <f>VLOOKUP(M865,'Excursion Cause'!$A$1:$B$34,2,FALSE)</f>
        <v>Collection system structural blockage</v>
      </c>
      <c r="O865" s="17">
        <v>44560.0</v>
      </c>
      <c r="P865" s="18">
        <v>0.5472222222222223</v>
      </c>
      <c r="Q865" s="17">
        <v>44560.0</v>
      </c>
      <c r="R865" s="18">
        <v>0.5472222222222223</v>
      </c>
      <c r="S865" s="16">
        <v>0.0</v>
      </c>
      <c r="T865" s="13" t="s">
        <v>170</v>
      </c>
      <c r="U865" s="14"/>
      <c r="V865" s="14"/>
      <c r="W865" s="19">
        <v>29.9587237</v>
      </c>
      <c r="X865" s="19">
        <v>-95.2967669</v>
      </c>
    </row>
    <row r="866" ht="15.75" customHeight="1">
      <c r="A866" s="12">
        <v>13003.0</v>
      </c>
      <c r="B866" s="13">
        <v>2021.0</v>
      </c>
      <c r="C866" s="14" t="str">
        <f t="shared" si="3"/>
        <v>1511 HOTCHKISS ST,Houston,TX</v>
      </c>
      <c r="D866" s="13" t="s">
        <v>1483</v>
      </c>
      <c r="E866" s="14" t="s">
        <v>25</v>
      </c>
      <c r="F866" s="14" t="s">
        <v>1388</v>
      </c>
      <c r="G866" s="15" t="s">
        <v>365</v>
      </c>
      <c r="H866" s="13" t="s">
        <v>28</v>
      </c>
      <c r="I866" s="14" t="str">
        <f>VLOOKUP(H866,'Flow Location'!$A$1:$B$21,2,FALSE)</f>
        <v>Storm Sewer (not contained)</v>
      </c>
      <c r="J866" s="16">
        <v>0.0</v>
      </c>
      <c r="K866" s="13" t="s">
        <v>198</v>
      </c>
      <c r="L866" s="14" t="str">
        <f>VLOOKUP(K866,'Structure type'!$A$1:$B$15,2,FALSE)</f>
        <v>Service Lateral</v>
      </c>
      <c r="M866" s="13" t="s">
        <v>81</v>
      </c>
      <c r="N866" s="14" t="str">
        <f>VLOOKUP(M866,'Excursion Cause'!$A$1:$B$34,2,FALSE)</f>
        <v>Collection system structural failure</v>
      </c>
      <c r="O866" s="17">
        <v>44560.0</v>
      </c>
      <c r="P866" s="18">
        <v>0.5777777777777777</v>
      </c>
      <c r="Q866" s="17">
        <v>44560.0</v>
      </c>
      <c r="R866" s="18">
        <v>0.5777777777777777</v>
      </c>
      <c r="S866" s="16">
        <v>0.0</v>
      </c>
      <c r="T866" s="13" t="s">
        <v>74</v>
      </c>
      <c r="U866" s="14"/>
      <c r="V866" s="14"/>
      <c r="W866" s="19">
        <v>29.7121676</v>
      </c>
      <c r="X866" s="19">
        <v>-95.2722598</v>
      </c>
    </row>
    <row r="867" ht="15.75" customHeight="1">
      <c r="A867" s="12">
        <v>13007.0</v>
      </c>
      <c r="B867" s="13">
        <v>2021.0</v>
      </c>
      <c r="C867" s="14" t="str">
        <f t="shared" si="3"/>
        <v>12979 MCNAIR ST,Houston,TX</v>
      </c>
      <c r="D867" s="13" t="s">
        <v>1484</v>
      </c>
      <c r="E867" s="14" t="s">
        <v>25</v>
      </c>
      <c r="F867" s="14" t="s">
        <v>1388</v>
      </c>
      <c r="G867" s="15" t="s">
        <v>623</v>
      </c>
      <c r="H867" s="13" t="s">
        <v>50</v>
      </c>
      <c r="I867" s="14" t="str">
        <f>VLOOKUP(H867,'Flow Location'!$A$1:$B$21,2,FALSE)</f>
        <v>Contained On Site, not within 5 ft. of Bayou/Surface Water/Drainage Ditch</v>
      </c>
      <c r="J867" s="16">
        <v>0.0</v>
      </c>
      <c r="K867" s="13" t="s">
        <v>45</v>
      </c>
      <c r="L867" s="14" t="str">
        <f>VLOOKUP(K867,'Structure type'!$A$1:$B$15,2,FALSE)</f>
        <v>City Cleanout</v>
      </c>
      <c r="M867" s="13" t="s">
        <v>81</v>
      </c>
      <c r="N867" s="14" t="str">
        <f>VLOOKUP(M867,'Excursion Cause'!$A$1:$B$34,2,FALSE)</f>
        <v>Collection system structural failure</v>
      </c>
      <c r="O867" s="17">
        <v>44561.0</v>
      </c>
      <c r="P867" s="18">
        <v>0.4201388888888889</v>
      </c>
      <c r="Q867" s="17">
        <v>44561.0</v>
      </c>
      <c r="R867" s="18">
        <v>0.4201388888888889</v>
      </c>
      <c r="S867" s="16">
        <v>0.0</v>
      </c>
      <c r="T867" s="13" t="s">
        <v>54</v>
      </c>
      <c r="U867" s="14"/>
      <c r="V867" s="14"/>
      <c r="W867" s="19">
        <v>29.773102</v>
      </c>
      <c r="X867" s="19">
        <v>-95.200043</v>
      </c>
    </row>
    <row r="868" ht="15.75" customHeight="1">
      <c r="A868" s="12">
        <v>13009.0</v>
      </c>
      <c r="B868" s="13">
        <v>2021.0</v>
      </c>
      <c r="C868" s="14" t="str">
        <f t="shared" si="3"/>
        <v>1103 ALEXANDER ST,Houston,TX</v>
      </c>
      <c r="D868" s="13" t="s">
        <v>1485</v>
      </c>
      <c r="E868" s="14" t="s">
        <v>25</v>
      </c>
      <c r="F868" s="14" t="s">
        <v>1388</v>
      </c>
      <c r="G868" s="15" t="s">
        <v>232</v>
      </c>
      <c r="H868" s="13" t="s">
        <v>50</v>
      </c>
      <c r="I868" s="14" t="str">
        <f>VLOOKUP(H868,'Flow Location'!$A$1:$B$21,2,FALSE)</f>
        <v>Contained On Site, not within 5 ft. of Bayou/Surface Water/Drainage Ditch</v>
      </c>
      <c r="J868" s="16">
        <v>0.0</v>
      </c>
      <c r="K868" s="13" t="s">
        <v>45</v>
      </c>
      <c r="L868" s="14" t="str">
        <f>VLOOKUP(K868,'Structure type'!$A$1:$B$15,2,FALSE)</f>
        <v>City Cleanout</v>
      </c>
      <c r="M868" s="13" t="s">
        <v>81</v>
      </c>
      <c r="N868" s="14" t="str">
        <f>VLOOKUP(M868,'Excursion Cause'!$A$1:$B$34,2,FALSE)</f>
        <v>Collection system structural failure</v>
      </c>
      <c r="O868" s="17">
        <v>44561.0</v>
      </c>
      <c r="P868" s="18">
        <v>0.4215277777777778</v>
      </c>
      <c r="Q868" s="17">
        <v>44561.0</v>
      </c>
      <c r="R868" s="18">
        <v>0.4215277777777778</v>
      </c>
      <c r="S868" s="16">
        <v>0.0</v>
      </c>
      <c r="T868" s="13" t="s">
        <v>89</v>
      </c>
      <c r="U868" s="14"/>
      <c r="V868" s="14"/>
      <c r="W868" s="19">
        <v>29.7906915</v>
      </c>
      <c r="X868" s="19">
        <v>-95.4081801999999</v>
      </c>
    </row>
    <row r="869" ht="15.75" customHeight="1">
      <c r="A869" s="12">
        <v>13010.0</v>
      </c>
      <c r="B869" s="13">
        <v>2021.0</v>
      </c>
      <c r="C869" s="14" t="str">
        <f t="shared" si="3"/>
        <v>513 VINCENT ST,Houston,TX</v>
      </c>
      <c r="D869" s="13" t="s">
        <v>1486</v>
      </c>
      <c r="E869" s="14" t="s">
        <v>25</v>
      </c>
      <c r="F869" s="14" t="s">
        <v>1388</v>
      </c>
      <c r="G869" s="15" t="s">
        <v>161</v>
      </c>
      <c r="H869" s="13" t="s">
        <v>50</v>
      </c>
      <c r="I869" s="14" t="str">
        <f>VLOOKUP(H869,'Flow Location'!$A$1:$B$21,2,FALSE)</f>
        <v>Contained On Site, not within 5 ft. of Bayou/Surface Water/Drainage Ditch</v>
      </c>
      <c r="J869" s="16">
        <v>0.0</v>
      </c>
      <c r="K869" s="13" t="s">
        <v>45</v>
      </c>
      <c r="L869" s="14" t="str">
        <f>VLOOKUP(K869,'Structure type'!$A$1:$B$15,2,FALSE)</f>
        <v>City Cleanout</v>
      </c>
      <c r="M869" s="13" t="s">
        <v>30</v>
      </c>
      <c r="N869" s="14" t="str">
        <f>VLOOKUP(M869,'Excursion Cause'!$A$1:$B$34,2,FALSE)</f>
        <v>Grease Blockage</v>
      </c>
      <c r="O869" s="17">
        <v>44561.0</v>
      </c>
      <c r="P869" s="18">
        <v>0.42986111111111114</v>
      </c>
      <c r="Q869" s="17">
        <v>44561.0</v>
      </c>
      <c r="R869" s="18">
        <v>0.42986111111111114</v>
      </c>
      <c r="S869" s="16">
        <v>0.0</v>
      </c>
      <c r="T869" s="13" t="s">
        <v>170</v>
      </c>
      <c r="U869" s="14"/>
      <c r="V869" s="14"/>
      <c r="W869" s="19">
        <v>29.796028</v>
      </c>
      <c r="X869" s="19">
        <v>-95.3731607</v>
      </c>
    </row>
    <row r="870" ht="15.75" customHeight="1">
      <c r="A870" s="12">
        <v>13012.0</v>
      </c>
      <c r="B870" s="13">
        <v>2021.0</v>
      </c>
      <c r="C870" s="14" t="str">
        <f t="shared" si="3"/>
        <v>6101 WESTVIEW DR,Houston,TX</v>
      </c>
      <c r="D870" s="13" t="s">
        <v>1487</v>
      </c>
      <c r="E870" s="14" t="s">
        <v>25</v>
      </c>
      <c r="F870" s="14" t="s">
        <v>1388</v>
      </c>
      <c r="G870" s="15" t="s">
        <v>27</v>
      </c>
      <c r="H870" s="13" t="s">
        <v>28</v>
      </c>
      <c r="I870" s="14" t="str">
        <f>VLOOKUP(H870,'Flow Location'!$A$1:$B$21,2,FALSE)</f>
        <v>Storm Sewer (not contained)</v>
      </c>
      <c r="J870" s="16">
        <v>146.0</v>
      </c>
      <c r="K870" s="13" t="s">
        <v>29</v>
      </c>
      <c r="L870" s="14" t="str">
        <f>VLOOKUP(K870,'Structure type'!$A$1:$B$15,2,FALSE)</f>
        <v>Manhole</v>
      </c>
      <c r="M870" s="13" t="s">
        <v>30</v>
      </c>
      <c r="N870" s="14" t="str">
        <f>VLOOKUP(M870,'Excursion Cause'!$A$1:$B$34,2,FALSE)</f>
        <v>Grease Blockage</v>
      </c>
      <c r="O870" s="17">
        <v>44561.0</v>
      </c>
      <c r="P870" s="18">
        <v>0.4701388888888889</v>
      </c>
      <c r="Q870" s="17">
        <v>44561.0</v>
      </c>
      <c r="R870" s="18">
        <v>0.5208333333333334</v>
      </c>
      <c r="S870" s="16">
        <v>2.0</v>
      </c>
      <c r="T870" s="13" t="s">
        <v>33</v>
      </c>
      <c r="U870" s="14"/>
      <c r="V870" s="14"/>
      <c r="W870" s="19">
        <v>29.7937671</v>
      </c>
      <c r="X870" s="19">
        <v>-95.4598843</v>
      </c>
    </row>
    <row r="871" ht="15.75" customHeight="1">
      <c r="A871" s="12">
        <v>13013.0</v>
      </c>
      <c r="B871" s="13">
        <v>2021.0</v>
      </c>
      <c r="C871" s="14" t="str">
        <f t="shared" si="3"/>
        <v>7401 CAROTHERS ST,Houston,TX</v>
      </c>
      <c r="D871" s="13" t="s">
        <v>1488</v>
      </c>
      <c r="E871" s="14" t="s">
        <v>25</v>
      </c>
      <c r="F871" s="14" t="s">
        <v>1388</v>
      </c>
      <c r="G871" s="15" t="s">
        <v>177</v>
      </c>
      <c r="H871" s="13" t="s">
        <v>1397</v>
      </c>
      <c r="I871" s="14" t="str">
        <f>VLOOKUP(H871,'Flow Location'!$A$1:$B$21,2,FALSE)</f>
        <v>Bayou/surface water/drainage ditch</v>
      </c>
      <c r="J871" s="16">
        <v>0.0</v>
      </c>
      <c r="K871" s="13" t="s">
        <v>45</v>
      </c>
      <c r="L871" s="14" t="str">
        <f>VLOOKUP(K871,'Structure type'!$A$1:$B$15,2,FALSE)</f>
        <v>City Cleanout</v>
      </c>
      <c r="M871" s="13" t="s">
        <v>56</v>
      </c>
      <c r="N871" s="14" t="str">
        <f>VLOOKUP(M871,'Excursion Cause'!$A$1:$B$34,2,FALSE)</f>
        <v>Rags/Wipes</v>
      </c>
      <c r="O871" s="17">
        <v>44561.0</v>
      </c>
      <c r="P871" s="18">
        <v>0.5486111111111112</v>
      </c>
      <c r="Q871" s="17">
        <v>44561.0</v>
      </c>
      <c r="R871" s="18">
        <v>0.5486111111111112</v>
      </c>
      <c r="S871" s="16">
        <v>0.0</v>
      </c>
      <c r="T871" s="13" t="s">
        <v>270</v>
      </c>
      <c r="U871" s="14"/>
      <c r="V871" s="14"/>
      <c r="W871" s="19">
        <v>29.8342149</v>
      </c>
      <c r="X871" s="19">
        <v>-95.2959372</v>
      </c>
    </row>
    <row r="872" ht="15.75" customHeight="1">
      <c r="A872" s="12">
        <v>13014.0</v>
      </c>
      <c r="B872" s="13">
        <v>2021.0</v>
      </c>
      <c r="C872" s="14" t="str">
        <f t="shared" si="3"/>
        <v>6811 JETTY LN,Houston,TX</v>
      </c>
      <c r="D872" s="13" t="s">
        <v>1489</v>
      </c>
      <c r="E872" s="14" t="s">
        <v>25</v>
      </c>
      <c r="F872" s="14" t="s">
        <v>1388</v>
      </c>
      <c r="G872" s="15" t="s">
        <v>91</v>
      </c>
      <c r="H872" s="13" t="s">
        <v>28</v>
      </c>
      <c r="I872" s="14" t="str">
        <f>VLOOKUP(H872,'Flow Location'!$A$1:$B$21,2,FALSE)</f>
        <v>Storm Sewer (not contained)</v>
      </c>
      <c r="J872" s="16">
        <v>1155.0</v>
      </c>
      <c r="K872" s="13" t="s">
        <v>29</v>
      </c>
      <c r="L872" s="14" t="str">
        <f>VLOOKUP(K872,'Structure type'!$A$1:$B$15,2,FALSE)</f>
        <v>Manhole</v>
      </c>
      <c r="M872" s="13" t="s">
        <v>81</v>
      </c>
      <c r="N872" s="14" t="str">
        <f>VLOOKUP(M872,'Excursion Cause'!$A$1:$B$34,2,FALSE)</f>
        <v>Collection system structural failure</v>
      </c>
      <c r="O872" s="17">
        <v>44561.0</v>
      </c>
      <c r="P872" s="18">
        <v>0.5791666666666667</v>
      </c>
      <c r="Q872" s="17">
        <v>44561.0</v>
      </c>
      <c r="R872" s="18">
        <v>0.7395833333333334</v>
      </c>
      <c r="S872" s="16">
        <v>5.0</v>
      </c>
      <c r="T872" s="13" t="s">
        <v>54</v>
      </c>
      <c r="U872" s="14"/>
      <c r="V872" s="14"/>
      <c r="W872" s="19">
        <v>29.7031088</v>
      </c>
      <c r="X872" s="19">
        <v>-95.592213</v>
      </c>
    </row>
    <row r="873" ht="15.75" customHeight="1">
      <c r="A873" s="12">
        <v>13017.0</v>
      </c>
      <c r="B873" s="13">
        <v>2021.0</v>
      </c>
      <c r="C873" s="14" t="str">
        <f t="shared" si="3"/>
        <v>4706 COLLINGSWORTH ST,Houston,TX</v>
      </c>
      <c r="D873" s="13" t="s">
        <v>1490</v>
      </c>
      <c r="E873" s="14" t="s">
        <v>25</v>
      </c>
      <c r="F873" s="14" t="s">
        <v>1388</v>
      </c>
      <c r="G873" s="15" t="s">
        <v>43</v>
      </c>
      <c r="H873" s="13" t="s">
        <v>50</v>
      </c>
      <c r="I873" s="14" t="str">
        <f>VLOOKUP(H873,'Flow Location'!$A$1:$B$21,2,FALSE)</f>
        <v>Contained On Site, not within 5 ft. of Bayou/Surface Water/Drainage Ditch</v>
      </c>
      <c r="J873" s="16">
        <v>0.0</v>
      </c>
      <c r="K873" s="13" t="s">
        <v>45</v>
      </c>
      <c r="L873" s="14" t="str">
        <f>VLOOKUP(K873,'Structure type'!$A$1:$B$15,2,FALSE)</f>
        <v>City Cleanout</v>
      </c>
      <c r="M873" s="13" t="s">
        <v>56</v>
      </c>
      <c r="N873" s="14" t="str">
        <f>VLOOKUP(M873,'Excursion Cause'!$A$1:$B$34,2,FALSE)</f>
        <v>Rags/Wipes</v>
      </c>
      <c r="O873" s="17">
        <v>44561.0</v>
      </c>
      <c r="P873" s="18">
        <v>0.7236111111111111</v>
      </c>
      <c r="Q873" s="17">
        <v>44561.0</v>
      </c>
      <c r="R873" s="18">
        <v>0.7236111111111111</v>
      </c>
      <c r="S873" s="16">
        <v>0.0</v>
      </c>
      <c r="T873" s="13" t="s">
        <v>1491</v>
      </c>
      <c r="U873" s="14"/>
      <c r="V873" s="14"/>
      <c r="W873" s="19">
        <v>29.7937885</v>
      </c>
      <c r="X873" s="19">
        <v>-95.3225753999999</v>
      </c>
    </row>
    <row r="874" ht="15.75" customHeight="1">
      <c r="A874" s="12">
        <v>13019.0</v>
      </c>
      <c r="B874" s="13">
        <v>2021.0</v>
      </c>
      <c r="C874" s="14" t="str">
        <f t="shared" si="3"/>
        <v>8210 TARBELL RD,Houston,TX</v>
      </c>
      <c r="D874" s="13" t="s">
        <v>1492</v>
      </c>
      <c r="E874" s="14" t="s">
        <v>25</v>
      </c>
      <c r="F874" s="14" t="s">
        <v>1388</v>
      </c>
      <c r="G874" s="15" t="s">
        <v>49</v>
      </c>
      <c r="H874" s="13" t="s">
        <v>28</v>
      </c>
      <c r="I874" s="14" t="str">
        <f>VLOOKUP(H874,'Flow Location'!$A$1:$B$21,2,FALSE)</f>
        <v>Storm Sewer (not contained)</v>
      </c>
      <c r="J874" s="16">
        <v>864.0</v>
      </c>
      <c r="K874" s="13" t="s">
        <v>29</v>
      </c>
      <c r="L874" s="14" t="str">
        <f>VLOOKUP(K874,'Structure type'!$A$1:$B$15,2,FALSE)</f>
        <v>Manhole</v>
      </c>
      <c r="M874" s="13" t="s">
        <v>30</v>
      </c>
      <c r="N874" s="14" t="str">
        <f>VLOOKUP(M874,'Excursion Cause'!$A$1:$B$34,2,FALSE)</f>
        <v>Grease Blockage</v>
      </c>
      <c r="O874" s="17">
        <v>44561.0</v>
      </c>
      <c r="P874" s="18">
        <v>0.9694444444444444</v>
      </c>
      <c r="Q874" s="17">
        <v>44562.0</v>
      </c>
      <c r="R874" s="18">
        <v>0.16944444444444445</v>
      </c>
      <c r="S874" s="16">
        <v>3.0</v>
      </c>
      <c r="T874" s="13" t="s">
        <v>59</v>
      </c>
      <c r="U874" s="14"/>
      <c r="V874" s="14"/>
      <c r="W874" s="19">
        <v>29.6397787999999</v>
      </c>
      <c r="X874" s="19">
        <v>-95.2241186999999</v>
      </c>
    </row>
    <row r="875" ht="15.75" customHeight="1">
      <c r="A875" s="6">
        <v>13020.0</v>
      </c>
      <c r="B875" s="6">
        <v>2022.0</v>
      </c>
      <c r="C875" s="6" t="str">
        <f t="shared" ref="C875:C878" si="4">CONCATENATE(D875,",",E875,",",F875)</f>
        <v>3802 DABNEY ST,Houston,Texas</v>
      </c>
      <c r="D875" s="6" t="s">
        <v>1477</v>
      </c>
      <c r="E875" s="6" t="s">
        <v>25</v>
      </c>
      <c r="F875" s="6" t="s">
        <v>26</v>
      </c>
      <c r="G875" s="6" t="s">
        <v>43</v>
      </c>
      <c r="H875" s="6" t="s">
        <v>1493</v>
      </c>
      <c r="I875" s="6" t="str">
        <f>VLOOKUP(H875,'Flow Location'!$A$1:$B$21,2,FALSE)</f>
        <v>Contained On Site, not within 5 ft. of Bayou/Surface Water/Drainage Ditch</v>
      </c>
      <c r="J875" s="20">
        <v>0.0</v>
      </c>
      <c r="K875" s="6" t="s">
        <v>1494</v>
      </c>
      <c r="L875" s="6" t="str">
        <f>VLOOKUP(K875,'Structure type'!$A$1:$B$15,2,FALSE)</f>
        <v>Private Cleanout</v>
      </c>
      <c r="M875" s="6" t="s">
        <v>30</v>
      </c>
      <c r="N875" s="6" t="str">
        <f>VLOOKUP(M875,'Excursion Cause'!$A$1:$B$34,2,FALSE)</f>
        <v>Grease Blockage</v>
      </c>
      <c r="O875" s="21">
        <v>44562.0</v>
      </c>
      <c r="P875" s="6" t="s">
        <v>341</v>
      </c>
      <c r="Q875" s="21">
        <v>44562.0</v>
      </c>
      <c r="R875" s="6" t="s">
        <v>341</v>
      </c>
      <c r="S875" s="20">
        <v>0.0</v>
      </c>
      <c r="T875" s="6" t="s">
        <v>1495</v>
      </c>
      <c r="U875" s="6"/>
      <c r="V875" s="6"/>
      <c r="W875" s="6">
        <v>29.794734</v>
      </c>
      <c r="X875" s="6">
        <v>-95.309799</v>
      </c>
    </row>
    <row r="876" ht="15.75" customHeight="1">
      <c r="A876" s="6">
        <v>13022.0</v>
      </c>
      <c r="B876" s="6">
        <v>2022.0</v>
      </c>
      <c r="C876" s="6" t="str">
        <f t="shared" si="4"/>
        <v>7303 AUTUMN GROVE DR,Houston,Texas</v>
      </c>
      <c r="D876" s="6" t="s">
        <v>1496</v>
      </c>
      <c r="E876" s="6" t="s">
        <v>25</v>
      </c>
      <c r="F876" s="6" t="s">
        <v>26</v>
      </c>
      <c r="G876" s="6" t="s">
        <v>91</v>
      </c>
      <c r="H876" s="6" t="s">
        <v>1493</v>
      </c>
      <c r="I876" s="6" t="str">
        <f>VLOOKUP(H876,'Flow Location'!$A$1:$B$21,2,FALSE)</f>
        <v>Contained On Site, not within 5 ft. of Bayou/Surface Water/Drainage Ditch</v>
      </c>
      <c r="J876" s="20">
        <v>0.0</v>
      </c>
      <c r="K876" s="6" t="s">
        <v>45</v>
      </c>
      <c r="L876" s="6" t="str">
        <f>VLOOKUP(K876,'Structure type'!$A$1:$B$15,2,FALSE)</f>
        <v>City Cleanout</v>
      </c>
      <c r="M876" s="6" t="s">
        <v>30</v>
      </c>
      <c r="N876" s="6" t="str">
        <f>VLOOKUP(M876,'Excursion Cause'!$A$1:$B$34,2,FALSE)</f>
        <v>Grease Blockage</v>
      </c>
      <c r="O876" s="21">
        <v>44562.0</v>
      </c>
      <c r="P876" s="6" t="s">
        <v>442</v>
      </c>
      <c r="Q876" s="21">
        <v>44562.0</v>
      </c>
      <c r="R876" s="6" t="s">
        <v>442</v>
      </c>
      <c r="S876" s="20">
        <v>0.0</v>
      </c>
      <c r="T876" s="6" t="s">
        <v>1497</v>
      </c>
      <c r="U876" s="6"/>
      <c r="V876" s="6"/>
      <c r="W876" s="6">
        <v>29.6976459</v>
      </c>
      <c r="X876" s="6">
        <v>-95.6021632</v>
      </c>
    </row>
    <row r="877" ht="15.75" customHeight="1">
      <c r="A877" s="6">
        <v>13023.0</v>
      </c>
      <c r="B877" s="6">
        <v>2022.0</v>
      </c>
      <c r="C877" s="6" t="str">
        <f t="shared" si="4"/>
        <v>8407 SULTAN DR,Houston,Texas</v>
      </c>
      <c r="D877" s="6" t="s">
        <v>1498</v>
      </c>
      <c r="E877" s="6" t="s">
        <v>25</v>
      </c>
      <c r="F877" s="6" t="s">
        <v>26</v>
      </c>
      <c r="G877" s="6" t="s">
        <v>387</v>
      </c>
      <c r="H877" s="6" t="s">
        <v>44</v>
      </c>
      <c r="I877" s="6" t="str">
        <f>VLOOKUP(H877,'Flow Location'!$A$1:$B$21,2,FALSE)</f>
        <v>Bayou/surface water/drainage ditch</v>
      </c>
      <c r="J877" s="20">
        <v>0.0</v>
      </c>
      <c r="K877" s="6" t="s">
        <v>29</v>
      </c>
      <c r="L877" s="6" t="str">
        <f>VLOOKUP(K877,'Structure type'!$A$1:$B$15,2,FALSE)</f>
        <v>Manhole</v>
      </c>
      <c r="M877" s="6" t="s">
        <v>30</v>
      </c>
      <c r="N877" s="6" t="str">
        <f>VLOOKUP(M877,'Excursion Cause'!$A$1:$B$34,2,FALSE)</f>
        <v>Grease Blockage</v>
      </c>
      <c r="O877" s="21">
        <v>44562.0</v>
      </c>
      <c r="P877" s="6" t="s">
        <v>219</v>
      </c>
      <c r="Q877" s="21">
        <v>44562.0</v>
      </c>
      <c r="R877" s="6" t="s">
        <v>219</v>
      </c>
      <c r="S877" s="20">
        <v>0.0</v>
      </c>
      <c r="T877" s="6" t="s">
        <v>1499</v>
      </c>
      <c r="U877" s="6"/>
      <c r="V877" s="6"/>
      <c r="W877" s="6">
        <v>29.8380507</v>
      </c>
      <c r="X877" s="6">
        <v>-95.2539777</v>
      </c>
    </row>
    <row r="878" ht="15.75" customHeight="1">
      <c r="A878" s="6">
        <v>13026.0</v>
      </c>
      <c r="B878" s="6">
        <v>2022.0</v>
      </c>
      <c r="C878" s="6" t="str">
        <f t="shared" si="4"/>
        <v>5855 ETTRICK DR,Houston,Texas</v>
      </c>
      <c r="D878" s="6" t="s">
        <v>1500</v>
      </c>
      <c r="E878" s="6" t="s">
        <v>25</v>
      </c>
      <c r="F878" s="6" t="s">
        <v>26</v>
      </c>
      <c r="G878" s="6" t="s">
        <v>127</v>
      </c>
      <c r="H878" s="6" t="s">
        <v>1493</v>
      </c>
      <c r="I878" s="6" t="str">
        <f>VLOOKUP(H878,'Flow Location'!$A$1:$B$21,2,FALSE)</f>
        <v>Contained On Site, not within 5 ft. of Bayou/Surface Water/Drainage Ditch</v>
      </c>
      <c r="J878" s="20">
        <v>0.0</v>
      </c>
      <c r="K878" s="6" t="s">
        <v>1501</v>
      </c>
      <c r="L878" s="6" t="str">
        <f>VLOOKUP(K878,'Structure type'!$A$1:$B$15,2,FALSE)</f>
        <v>Private Cleanout</v>
      </c>
      <c r="M878" s="6" t="s">
        <v>30</v>
      </c>
      <c r="N878" s="6" t="str">
        <f>VLOOKUP(M878,'Excursion Cause'!$A$1:$B$34,2,FALSE)</f>
        <v>Grease Blockage</v>
      </c>
      <c r="O878" s="21">
        <v>44562.0</v>
      </c>
      <c r="P878" s="6" t="s">
        <v>1502</v>
      </c>
      <c r="Q878" s="21">
        <v>44562.0</v>
      </c>
      <c r="R878" s="6" t="s">
        <v>1502</v>
      </c>
      <c r="S878" s="20">
        <v>0.0</v>
      </c>
      <c r="T878" s="6" t="s">
        <v>1503</v>
      </c>
      <c r="U878" s="6"/>
      <c r="V878" s="6"/>
      <c r="W878" s="6">
        <v>29.6451916</v>
      </c>
      <c r="X878" s="6">
        <v>-95.4918117</v>
      </c>
    </row>
    <row r="879" ht="15.75" customHeight="1">
      <c r="A879" s="12">
        <v>13029.0</v>
      </c>
      <c r="B879" s="13">
        <v>2021.0</v>
      </c>
      <c r="C879" s="14" t="str">
        <f>CONCATENATE(D879,",",$E$1863,",",$F$1863)</f>
        <v>9233 CLINTON DR,Houston,TX</v>
      </c>
      <c r="D879" s="13" t="s">
        <v>1504</v>
      </c>
      <c r="E879" s="14" t="s">
        <v>25</v>
      </c>
      <c r="F879" s="14" t="s">
        <v>1388</v>
      </c>
      <c r="G879" s="15" t="s">
        <v>247</v>
      </c>
      <c r="H879" s="13" t="s">
        <v>50</v>
      </c>
      <c r="I879" s="14" t="str">
        <f>VLOOKUP(H879,'Flow Location'!$A$1:$B$21,2,FALSE)</f>
        <v>Contained On Site, not within 5 ft. of Bayou/Surface Water/Drainage Ditch</v>
      </c>
      <c r="J879" s="16">
        <v>0.0</v>
      </c>
      <c r="K879" s="13" t="s">
        <v>29</v>
      </c>
      <c r="L879" s="14" t="str">
        <f>VLOOKUP(K879,'Structure type'!$A$1:$B$15,2,FALSE)</f>
        <v>Manhole</v>
      </c>
      <c r="M879" s="13" t="s">
        <v>30</v>
      </c>
      <c r="N879" s="14" t="str">
        <f>VLOOKUP(M879,'Excursion Cause'!$A$1:$B$34,2,FALSE)</f>
        <v>Grease Blockage</v>
      </c>
      <c r="O879" s="17">
        <v>44561.0</v>
      </c>
      <c r="P879" s="18">
        <v>0.43472222222222223</v>
      </c>
      <c r="Q879" s="17">
        <v>44561.0</v>
      </c>
      <c r="R879" s="18">
        <v>0.43472222222222223</v>
      </c>
      <c r="S879" s="16">
        <v>0.0</v>
      </c>
      <c r="T879" s="13" t="s">
        <v>33</v>
      </c>
      <c r="U879" s="14"/>
      <c r="V879" s="14"/>
      <c r="W879" s="19">
        <v>29.7365237</v>
      </c>
      <c r="X879" s="19">
        <v>-95.2620166</v>
      </c>
    </row>
    <row r="880" ht="15.75" customHeight="1">
      <c r="A880" s="6">
        <v>13031.0</v>
      </c>
      <c r="B880" s="6">
        <v>2022.0</v>
      </c>
      <c r="C880" s="6" t="str">
        <f t="shared" ref="C880:C1975" si="5">CONCATENATE(D880,",",E880,",",F880)</f>
        <v>4410 NINA LEE LN,Houston,Texas</v>
      </c>
      <c r="D880" s="6" t="s">
        <v>1505</v>
      </c>
      <c r="E880" s="6" t="s">
        <v>25</v>
      </c>
      <c r="F880" s="6" t="s">
        <v>26</v>
      </c>
      <c r="G880" s="6" t="s">
        <v>76</v>
      </c>
      <c r="H880" s="6" t="s">
        <v>50</v>
      </c>
      <c r="I880" s="6" t="str">
        <f>VLOOKUP(H880,'Flow Location'!$A$1:$B$21,2,FALSE)</f>
        <v>Contained On Site, not within 5 ft. of Bayou/Surface Water/Drainage Ditch</v>
      </c>
      <c r="J880" s="20">
        <v>0.0</v>
      </c>
      <c r="K880" s="6" t="s">
        <v>51</v>
      </c>
      <c r="L880" s="6" t="str">
        <f>VLOOKUP(K880,'Structure type'!$A$1:$B$15,2,FALSE)</f>
        <v>Private Cleanout</v>
      </c>
      <c r="M880" s="6" t="s">
        <v>81</v>
      </c>
      <c r="N880" s="6" t="str">
        <f>VLOOKUP(M880,'Excursion Cause'!$A$1:$B$34,2,FALSE)</f>
        <v>Collection system structural failure</v>
      </c>
      <c r="O880" s="21">
        <v>44564.0</v>
      </c>
      <c r="P880" s="6" t="s">
        <v>610</v>
      </c>
      <c r="Q880" s="21">
        <v>44564.0</v>
      </c>
      <c r="R880" s="6" t="s">
        <v>610</v>
      </c>
      <c r="S880" s="20">
        <v>0.0</v>
      </c>
      <c r="T880" s="6" t="s">
        <v>107</v>
      </c>
      <c r="U880" s="6"/>
      <c r="V880" s="6"/>
      <c r="W880" s="6">
        <v>29.8319192</v>
      </c>
      <c r="X880" s="6">
        <v>-95.4567928</v>
      </c>
    </row>
    <row r="881" ht="15.75" customHeight="1">
      <c r="A881" s="6">
        <v>13032.0</v>
      </c>
      <c r="B881" s="6">
        <v>2022.0</v>
      </c>
      <c r="C881" s="6" t="str">
        <f t="shared" si="5"/>
        <v>1520 BAILEY ST,Houston,Texas</v>
      </c>
      <c r="D881" s="6" t="s">
        <v>1506</v>
      </c>
      <c r="E881" s="6" t="s">
        <v>25</v>
      </c>
      <c r="F881" s="6" t="s">
        <v>26</v>
      </c>
      <c r="G881" s="6" t="s">
        <v>80</v>
      </c>
      <c r="H881" s="6" t="s">
        <v>28</v>
      </c>
      <c r="I881" s="6" t="str">
        <f>VLOOKUP(H881,'Flow Location'!$A$1:$B$21,2,FALSE)</f>
        <v>Storm Sewer (not contained)</v>
      </c>
      <c r="J881" s="20">
        <v>176.0</v>
      </c>
      <c r="K881" s="6" t="s">
        <v>29</v>
      </c>
      <c r="L881" s="6" t="str">
        <f>VLOOKUP(K881,'Structure type'!$A$1:$B$15,2,FALSE)</f>
        <v>Manhole</v>
      </c>
      <c r="M881" s="6" t="s">
        <v>30</v>
      </c>
      <c r="N881" s="6" t="str">
        <f>VLOOKUP(M881,'Excursion Cause'!$A$1:$B$34,2,FALSE)</f>
        <v>Grease Blockage</v>
      </c>
      <c r="O881" s="21">
        <v>44564.0</v>
      </c>
      <c r="P881" s="6" t="s">
        <v>427</v>
      </c>
      <c r="Q881" s="21">
        <v>44564.0</v>
      </c>
      <c r="R881" s="6" t="s">
        <v>315</v>
      </c>
      <c r="S881" s="20">
        <v>1.0</v>
      </c>
      <c r="T881" s="6" t="s">
        <v>1507</v>
      </c>
      <c r="U881" s="6"/>
      <c r="V881" s="6"/>
      <c r="W881" s="6">
        <v>29.7540854</v>
      </c>
      <c r="X881" s="6">
        <v>-95.3829357</v>
      </c>
    </row>
    <row r="882" ht="15.75" customHeight="1">
      <c r="A882" s="6">
        <v>13035.0</v>
      </c>
      <c r="B882" s="6">
        <v>2022.0</v>
      </c>
      <c r="C882" s="6" t="str">
        <f t="shared" si="5"/>
        <v>2450 ALDINE WESTFIELD RD,Houston,Texas</v>
      </c>
      <c r="D882" s="6" t="s">
        <v>1508</v>
      </c>
      <c r="E882" s="6" t="s">
        <v>25</v>
      </c>
      <c r="F882" s="6" t="s">
        <v>26</v>
      </c>
      <c r="G882" s="6" t="s">
        <v>109</v>
      </c>
      <c r="H882" s="6" t="s">
        <v>1493</v>
      </c>
      <c r="I882" s="6" t="str">
        <f>VLOOKUP(H882,'Flow Location'!$A$1:$B$21,2,FALSE)</f>
        <v>Contained On Site, not within 5 ft. of Bayou/Surface Water/Drainage Ditch</v>
      </c>
      <c r="J882" s="20">
        <v>0.0</v>
      </c>
      <c r="K882" s="6" t="s">
        <v>29</v>
      </c>
      <c r="L882" s="6" t="str">
        <f>VLOOKUP(K882,'Structure type'!$A$1:$B$15,2,FALSE)</f>
        <v>Manhole</v>
      </c>
      <c r="M882" s="6" t="s">
        <v>30</v>
      </c>
      <c r="N882" s="6" t="str">
        <f>VLOOKUP(M882,'Excursion Cause'!$A$1:$B$34,2,FALSE)</f>
        <v>Grease Blockage</v>
      </c>
      <c r="O882" s="21">
        <v>44564.0</v>
      </c>
      <c r="P882" s="6" t="s">
        <v>239</v>
      </c>
      <c r="Q882" s="21">
        <v>44564.0</v>
      </c>
      <c r="R882" s="6" t="s">
        <v>239</v>
      </c>
      <c r="S882" s="20">
        <v>0.0</v>
      </c>
      <c r="T882" s="6" t="s">
        <v>1509</v>
      </c>
      <c r="U882" s="6"/>
      <c r="V882" s="6"/>
      <c r="W882" s="6">
        <v>29.8475887</v>
      </c>
      <c r="X882" s="6">
        <v>-95.3473058</v>
      </c>
    </row>
    <row r="883" ht="15.75" customHeight="1">
      <c r="A883" s="6">
        <v>13036.0</v>
      </c>
      <c r="B883" s="6">
        <v>2022.0</v>
      </c>
      <c r="C883" s="6" t="str">
        <f t="shared" si="5"/>
        <v>2001 WOODHEAD ST,Houston,Texas</v>
      </c>
      <c r="D883" s="6" t="s">
        <v>1510</v>
      </c>
      <c r="E883" s="6" t="s">
        <v>25</v>
      </c>
      <c r="F883" s="6" t="s">
        <v>26</v>
      </c>
      <c r="G883" s="6" t="s">
        <v>80</v>
      </c>
      <c r="H883" s="6" t="s">
        <v>1493</v>
      </c>
      <c r="I883" s="6" t="str">
        <f>VLOOKUP(H883,'Flow Location'!$A$1:$B$21,2,FALSE)</f>
        <v>Contained On Site, not within 5 ft. of Bayou/Surface Water/Drainage Ditch</v>
      </c>
      <c r="J883" s="20">
        <v>1305.0</v>
      </c>
      <c r="K883" s="6" t="s">
        <v>29</v>
      </c>
      <c r="L883" s="6" t="str">
        <f>VLOOKUP(K883,'Structure type'!$A$1:$B$15,2,FALSE)</f>
        <v>Manhole</v>
      </c>
      <c r="M883" s="6" t="s">
        <v>30</v>
      </c>
      <c r="N883" s="6" t="str">
        <f>VLOOKUP(M883,'Excursion Cause'!$A$1:$B$34,2,FALSE)</f>
        <v>Grease Blockage</v>
      </c>
      <c r="O883" s="21">
        <v>44564.0</v>
      </c>
      <c r="P883" s="6" t="s">
        <v>958</v>
      </c>
      <c r="Q883" s="21">
        <v>44565.0</v>
      </c>
      <c r="R883" s="6" t="s">
        <v>428</v>
      </c>
      <c r="S883" s="20">
        <v>1.0</v>
      </c>
      <c r="T883" s="6" t="s">
        <v>1511</v>
      </c>
      <c r="U883" s="6"/>
      <c r="V883" s="6"/>
      <c r="W883" s="6">
        <v>29.7480327</v>
      </c>
      <c r="X883" s="6">
        <v>-95.404529</v>
      </c>
    </row>
    <row r="884" ht="15.75" customHeight="1">
      <c r="A884" s="6">
        <v>13042.0</v>
      </c>
      <c r="B884" s="6">
        <v>2022.0</v>
      </c>
      <c r="C884" s="6" t="str">
        <f t="shared" si="5"/>
        <v>9226 TALTON ST,Houston,Texas</v>
      </c>
      <c r="D884" s="6" t="s">
        <v>1512</v>
      </c>
      <c r="E884" s="6" t="s">
        <v>25</v>
      </c>
      <c r="F884" s="6" t="s">
        <v>26</v>
      </c>
      <c r="G884" s="6" t="s">
        <v>387</v>
      </c>
      <c r="H884" s="6" t="s">
        <v>1493</v>
      </c>
      <c r="I884" s="6" t="str">
        <f>VLOOKUP(H884,'Flow Location'!$A$1:$B$21,2,FALSE)</f>
        <v>Contained On Site, not within 5 ft. of Bayou/Surface Water/Drainage Ditch</v>
      </c>
      <c r="J884" s="20">
        <v>0.0</v>
      </c>
      <c r="K884" s="6" t="s">
        <v>1513</v>
      </c>
      <c r="L884" s="6" t="str">
        <f>VLOOKUP(K884,'Structure type'!$A$1:$B$15,2,FALSE)</f>
        <v>Private Cleanout</v>
      </c>
      <c r="M884" s="6" t="s">
        <v>30</v>
      </c>
      <c r="N884" s="6" t="str">
        <f>VLOOKUP(M884,'Excursion Cause'!$A$1:$B$34,2,FALSE)</f>
        <v>Grease Blockage</v>
      </c>
      <c r="O884" s="21">
        <v>44565.0</v>
      </c>
      <c r="P884" s="6" t="s">
        <v>374</v>
      </c>
      <c r="Q884" s="21">
        <v>44565.0</v>
      </c>
      <c r="R884" s="6" t="s">
        <v>374</v>
      </c>
      <c r="S884" s="20">
        <v>0.0</v>
      </c>
      <c r="T884" s="6" t="s">
        <v>1514</v>
      </c>
      <c r="U884" s="6"/>
      <c r="V884" s="6"/>
      <c r="W884" s="6">
        <v>29.8438026</v>
      </c>
      <c r="X884" s="6">
        <v>-95.2535732</v>
      </c>
    </row>
    <row r="885" ht="15.75" customHeight="1">
      <c r="A885" s="6">
        <v>13044.0</v>
      </c>
      <c r="B885" s="6">
        <v>2022.0</v>
      </c>
      <c r="C885" s="6" t="str">
        <f t="shared" si="5"/>
        <v>2345 MARGARET ST,Houston,Texas</v>
      </c>
      <c r="D885" s="6" t="s">
        <v>1515</v>
      </c>
      <c r="E885" s="6" t="s">
        <v>25</v>
      </c>
      <c r="F885" s="6" t="s">
        <v>26</v>
      </c>
      <c r="G885" s="6" t="s">
        <v>109</v>
      </c>
      <c r="H885" s="6" t="s">
        <v>44</v>
      </c>
      <c r="I885" s="6" t="str">
        <f>VLOOKUP(H885,'Flow Location'!$A$1:$B$21,2,FALSE)</f>
        <v>Bayou/surface water/drainage ditch</v>
      </c>
      <c r="J885" s="20">
        <v>0.0</v>
      </c>
      <c r="K885" s="6" t="s">
        <v>45</v>
      </c>
      <c r="L885" s="6" t="str">
        <f>VLOOKUP(K885,'Structure type'!$A$1:$B$15,2,FALSE)</f>
        <v>City Cleanout</v>
      </c>
      <c r="M885" s="6" t="s">
        <v>56</v>
      </c>
      <c r="N885" s="6" t="str">
        <f>VLOOKUP(M885,'Excursion Cause'!$A$1:$B$34,2,FALSE)</f>
        <v>Rags/Wipes</v>
      </c>
      <c r="O885" s="21">
        <v>44565.0</v>
      </c>
      <c r="P885" s="6" t="s">
        <v>826</v>
      </c>
      <c r="Q885" s="21">
        <v>44565.0</v>
      </c>
      <c r="R885" s="6" t="s">
        <v>826</v>
      </c>
      <c r="S885" s="20">
        <v>0.0</v>
      </c>
      <c r="T885" s="6" t="s">
        <v>1516</v>
      </c>
      <c r="U885" s="6"/>
      <c r="V885" s="6"/>
      <c r="W885" s="6">
        <v>29.8655157</v>
      </c>
      <c r="X885" s="6">
        <v>-95.3481436</v>
      </c>
    </row>
    <row r="886" ht="15.75" customHeight="1">
      <c r="A886" s="6">
        <v>13048.0</v>
      </c>
      <c r="B886" s="6">
        <v>2022.0</v>
      </c>
      <c r="C886" s="6" t="str">
        <f t="shared" si="5"/>
        <v>5314 NEWKIRK LN,Houston,Texas</v>
      </c>
      <c r="D886" s="6" t="s">
        <v>1517</v>
      </c>
      <c r="E886" s="6" t="s">
        <v>25</v>
      </c>
      <c r="F886" s="6" t="s">
        <v>26</v>
      </c>
      <c r="G886" s="6" t="s">
        <v>238</v>
      </c>
      <c r="H886" s="6" t="s">
        <v>1493</v>
      </c>
      <c r="I886" s="6" t="str">
        <f>VLOOKUP(H886,'Flow Location'!$A$1:$B$21,2,FALSE)</f>
        <v>Contained On Site, not within 5 ft. of Bayou/Surface Water/Drainage Ditch</v>
      </c>
      <c r="J886" s="20">
        <v>2880.0</v>
      </c>
      <c r="K886" s="6" t="s">
        <v>29</v>
      </c>
      <c r="L886" s="6" t="str">
        <f>VLOOKUP(K886,'Structure type'!$A$1:$B$15,2,FALSE)</f>
        <v>Manhole</v>
      </c>
      <c r="M886" s="6" t="s">
        <v>30</v>
      </c>
      <c r="N886" s="6" t="str">
        <f>VLOOKUP(M886,'Excursion Cause'!$A$1:$B$34,2,FALSE)</f>
        <v>Grease Blockage</v>
      </c>
      <c r="O886" s="21">
        <v>44565.0</v>
      </c>
      <c r="P886" s="6" t="s">
        <v>712</v>
      </c>
      <c r="Q886" s="21">
        <v>44567.0</v>
      </c>
      <c r="R886" s="6" t="s">
        <v>710</v>
      </c>
      <c r="S886" s="20">
        <v>1.0</v>
      </c>
      <c r="T886" s="6" t="s">
        <v>1518</v>
      </c>
      <c r="U886" s="6"/>
      <c r="V886" s="6"/>
      <c r="W886" s="6">
        <v>29.6987808</v>
      </c>
      <c r="X886" s="6">
        <v>-95.3312061</v>
      </c>
    </row>
    <row r="887" ht="15.75" customHeight="1">
      <c r="A887" s="6">
        <v>13050.0</v>
      </c>
      <c r="B887" s="6">
        <v>2022.0</v>
      </c>
      <c r="C887" s="6" t="str">
        <f t="shared" si="5"/>
        <v>513 VINCENT ST,TX,Houston,Texas</v>
      </c>
      <c r="D887" s="6" t="s">
        <v>1519</v>
      </c>
      <c r="E887" s="6" t="s">
        <v>25</v>
      </c>
      <c r="F887" s="6" t="s">
        <v>26</v>
      </c>
      <c r="G887" s="6" t="s">
        <v>161</v>
      </c>
      <c r="H887" s="6" t="s">
        <v>50</v>
      </c>
      <c r="I887" s="6" t="str">
        <f>VLOOKUP(H887,'Flow Location'!$A$1:$B$21,2,FALSE)</f>
        <v>Contained On Site, not within 5 ft. of Bayou/Surface Water/Drainage Ditch</v>
      </c>
      <c r="J887" s="20">
        <v>0.0</v>
      </c>
      <c r="K887" s="6" t="s">
        <v>45</v>
      </c>
      <c r="L887" s="6" t="str">
        <f>VLOOKUP(K887,'Structure type'!$A$1:$B$15,2,FALSE)</f>
        <v>City Cleanout</v>
      </c>
      <c r="M887" s="6" t="s">
        <v>30</v>
      </c>
      <c r="N887" s="6" t="str">
        <f>VLOOKUP(M887,'Excursion Cause'!$A$1:$B$34,2,FALSE)</f>
        <v>Grease Blockage</v>
      </c>
      <c r="O887" s="21">
        <v>44565.0</v>
      </c>
      <c r="P887" s="6" t="s">
        <v>1520</v>
      </c>
      <c r="Q887" s="21">
        <v>44565.0</v>
      </c>
      <c r="R887" s="6" t="s">
        <v>1520</v>
      </c>
      <c r="S887" s="20">
        <v>0.0</v>
      </c>
      <c r="T887" s="6" t="s">
        <v>1521</v>
      </c>
      <c r="U887" s="6"/>
      <c r="V887" s="6"/>
      <c r="W887" s="6">
        <v>29.796028</v>
      </c>
      <c r="X887" s="6">
        <v>-95.3731607</v>
      </c>
    </row>
    <row r="888" ht="15.75" customHeight="1">
      <c r="A888" s="6">
        <v>13060.0</v>
      </c>
      <c r="B888" s="6">
        <v>2022.0</v>
      </c>
      <c r="C888" s="6" t="str">
        <f t="shared" si="5"/>
        <v>1520 BAILEY ST,Houston,Texas</v>
      </c>
      <c r="D888" s="6" t="s">
        <v>1506</v>
      </c>
      <c r="E888" s="6" t="s">
        <v>25</v>
      </c>
      <c r="F888" s="6" t="s">
        <v>26</v>
      </c>
      <c r="G888" s="6" t="s">
        <v>80</v>
      </c>
      <c r="H888" s="6" t="s">
        <v>1493</v>
      </c>
      <c r="I888" s="6" t="str">
        <f>VLOOKUP(H888,'Flow Location'!$A$1:$B$21,2,FALSE)</f>
        <v>Contained On Site, not within 5 ft. of Bayou/Surface Water/Drainage Ditch</v>
      </c>
      <c r="J888" s="20">
        <v>0.0</v>
      </c>
      <c r="K888" s="6" t="s">
        <v>29</v>
      </c>
      <c r="L888" s="6" t="str">
        <f>VLOOKUP(K888,'Structure type'!$A$1:$B$15,2,FALSE)</f>
        <v>Manhole</v>
      </c>
      <c r="M888" s="6" t="s">
        <v>30</v>
      </c>
      <c r="N888" s="6" t="str">
        <f>VLOOKUP(M888,'Excursion Cause'!$A$1:$B$34,2,FALSE)</f>
        <v>Grease Blockage</v>
      </c>
      <c r="O888" s="21">
        <v>44566.0</v>
      </c>
      <c r="P888" s="6" t="s">
        <v>352</v>
      </c>
      <c r="Q888" s="21">
        <v>44566.0</v>
      </c>
      <c r="R888" s="6" t="s">
        <v>352</v>
      </c>
      <c r="S888" s="20">
        <v>0.0</v>
      </c>
      <c r="T888" s="6" t="s">
        <v>1522</v>
      </c>
      <c r="U888" s="6"/>
      <c r="V888" s="6"/>
      <c r="W888" s="6">
        <v>29.7540854</v>
      </c>
      <c r="X888" s="6">
        <v>-95.3829357</v>
      </c>
    </row>
    <row r="889" ht="15.75" customHeight="1">
      <c r="A889" s="6">
        <v>13063.0</v>
      </c>
      <c r="B889" s="6">
        <v>2022.0</v>
      </c>
      <c r="C889" s="6" t="str">
        <f t="shared" si="5"/>
        <v>8565 W SAM HOUSTON PKWY,Houston,Texas</v>
      </c>
      <c r="D889" s="6" t="s">
        <v>1523</v>
      </c>
      <c r="E889" s="6" t="s">
        <v>25</v>
      </c>
      <c r="F889" s="6" t="s">
        <v>26</v>
      </c>
      <c r="G889" s="6" t="s">
        <v>100</v>
      </c>
      <c r="H889" s="6" t="s">
        <v>1493</v>
      </c>
      <c r="I889" s="6" t="str">
        <f>VLOOKUP(H889,'Flow Location'!$A$1:$B$21,2,FALSE)</f>
        <v>Contained On Site, not within 5 ft. of Bayou/Surface Water/Drainage Ditch</v>
      </c>
      <c r="J889" s="20">
        <v>554.0</v>
      </c>
      <c r="K889" s="6" t="s">
        <v>29</v>
      </c>
      <c r="L889" s="6" t="str">
        <f>VLOOKUP(K889,'Structure type'!$A$1:$B$15,2,FALSE)</f>
        <v>Manhole</v>
      </c>
      <c r="M889" s="6" t="s">
        <v>30</v>
      </c>
      <c r="N889" s="6" t="str">
        <f>VLOOKUP(M889,'Excursion Cause'!$A$1:$B$34,2,FALSE)</f>
        <v>Grease Blockage</v>
      </c>
      <c r="O889" s="21">
        <v>44566.0</v>
      </c>
      <c r="P889" s="6" t="s">
        <v>219</v>
      </c>
      <c r="Q889" s="21">
        <v>44566.0</v>
      </c>
      <c r="R889" s="6" t="s">
        <v>537</v>
      </c>
      <c r="S889" s="20">
        <v>2.0</v>
      </c>
      <c r="T889" s="6" t="s">
        <v>1524</v>
      </c>
      <c r="U889" s="6"/>
      <c r="V889" s="6"/>
      <c r="W889" s="6">
        <v>29.6860459</v>
      </c>
      <c r="X889" s="6">
        <v>-95.5559445</v>
      </c>
    </row>
    <row r="890" ht="15.75" customHeight="1">
      <c r="A890" s="6">
        <v>13067.0</v>
      </c>
      <c r="B890" s="6">
        <v>2022.0</v>
      </c>
      <c r="C890" s="6" t="str">
        <f t="shared" si="5"/>
        <v>1422 LAWRENCE ST,Houston,Texas</v>
      </c>
      <c r="D890" s="6" t="s">
        <v>1525</v>
      </c>
      <c r="E890" s="6" t="s">
        <v>25</v>
      </c>
      <c r="F890" s="6" t="s">
        <v>26</v>
      </c>
      <c r="G890" s="6" t="s">
        <v>232</v>
      </c>
      <c r="H890" s="6" t="s">
        <v>44</v>
      </c>
      <c r="I890" s="6" t="str">
        <f>VLOOKUP(H890,'Flow Location'!$A$1:$B$21,2,FALSE)</f>
        <v>Bayou/surface water/drainage ditch</v>
      </c>
      <c r="J890" s="20">
        <v>0.0</v>
      </c>
      <c r="K890" s="6" t="s">
        <v>29</v>
      </c>
      <c r="L890" s="6" t="str">
        <f>VLOOKUP(K890,'Structure type'!$A$1:$B$15,2,FALSE)</f>
        <v>Manhole</v>
      </c>
      <c r="M890" s="6" t="s">
        <v>30</v>
      </c>
      <c r="N890" s="6" t="str">
        <f>VLOOKUP(M890,'Excursion Cause'!$A$1:$B$34,2,FALSE)</f>
        <v>Grease Blockage</v>
      </c>
      <c r="O890" s="21">
        <v>44566.0</v>
      </c>
      <c r="P890" s="6" t="s">
        <v>1526</v>
      </c>
      <c r="Q890" s="21">
        <v>44566.0</v>
      </c>
      <c r="R890" s="6" t="s">
        <v>1526</v>
      </c>
      <c r="S890" s="20">
        <v>0.0</v>
      </c>
      <c r="T890" s="6" t="s">
        <v>1527</v>
      </c>
      <c r="U890" s="6"/>
      <c r="V890" s="6"/>
      <c r="W890" s="6">
        <v>29.7970034</v>
      </c>
      <c r="X890" s="6">
        <v>-95.4074125</v>
      </c>
    </row>
    <row r="891" ht="15.75" customHeight="1">
      <c r="A891" s="6">
        <v>13069.0</v>
      </c>
      <c r="B891" s="6">
        <v>2022.0</v>
      </c>
      <c r="C891" s="6" t="str">
        <f t="shared" si="5"/>
        <v>8602 VALLEY SONG DR,Houston,Texas</v>
      </c>
      <c r="D891" s="6" t="s">
        <v>1528</v>
      </c>
      <c r="E891" s="6" t="s">
        <v>25</v>
      </c>
      <c r="F891" s="6" t="s">
        <v>26</v>
      </c>
      <c r="G891" s="6" t="s">
        <v>387</v>
      </c>
      <c r="H891" s="6" t="s">
        <v>1493</v>
      </c>
      <c r="I891" s="6" t="str">
        <f>VLOOKUP(H891,'Flow Location'!$A$1:$B$21,2,FALSE)</f>
        <v>Contained On Site, not within 5 ft. of Bayou/Surface Water/Drainage Ditch</v>
      </c>
      <c r="J891" s="20">
        <v>0.0</v>
      </c>
      <c r="K891" s="6" t="s">
        <v>29</v>
      </c>
      <c r="L891" s="6" t="str">
        <f>VLOOKUP(K891,'Structure type'!$A$1:$B$15,2,FALSE)</f>
        <v>Manhole</v>
      </c>
      <c r="M891" s="6" t="s">
        <v>30</v>
      </c>
      <c r="N891" s="6" t="str">
        <f>VLOOKUP(M891,'Excursion Cause'!$A$1:$B$34,2,FALSE)</f>
        <v>Grease Blockage</v>
      </c>
      <c r="O891" s="21">
        <v>44566.0</v>
      </c>
      <c r="P891" s="6" t="s">
        <v>1353</v>
      </c>
      <c r="Q891" s="21">
        <v>44566.0</v>
      </c>
      <c r="R891" s="6" t="s">
        <v>1353</v>
      </c>
      <c r="S891" s="20">
        <v>0.0</v>
      </c>
      <c r="T891" s="6" t="s">
        <v>1529</v>
      </c>
      <c r="U891" s="6"/>
      <c r="V891" s="6"/>
      <c r="W891" s="6">
        <v>29.847896</v>
      </c>
      <c r="X891" s="6">
        <v>-95.2307663</v>
      </c>
    </row>
    <row r="892" ht="15.75" customHeight="1">
      <c r="A892" s="6">
        <v>13071.0</v>
      </c>
      <c r="B892" s="6">
        <v>2022.0</v>
      </c>
      <c r="C892" s="6" t="str">
        <f t="shared" si="5"/>
        <v>711 LENOX ST,Houston,Texas</v>
      </c>
      <c r="D892" s="6" t="s">
        <v>1530</v>
      </c>
      <c r="E892" s="6" t="s">
        <v>25</v>
      </c>
      <c r="F892" s="6" t="s">
        <v>26</v>
      </c>
      <c r="G892" s="6" t="s">
        <v>141</v>
      </c>
      <c r="H892" s="6" t="s">
        <v>50</v>
      </c>
      <c r="I892" s="6" t="str">
        <f>VLOOKUP(H892,'Flow Location'!$A$1:$B$21,2,FALSE)</f>
        <v>Contained On Site, not within 5 ft. of Bayou/Surface Water/Drainage Ditch</v>
      </c>
      <c r="J892" s="20">
        <v>0.0</v>
      </c>
      <c r="K892" s="6" t="s">
        <v>45</v>
      </c>
      <c r="L892" s="6" t="str">
        <f>VLOOKUP(K892,'Structure type'!$A$1:$B$15,2,FALSE)</f>
        <v>City Cleanout</v>
      </c>
      <c r="M892" s="6" t="s">
        <v>81</v>
      </c>
      <c r="N892" s="6" t="str">
        <f>VLOOKUP(M892,'Excursion Cause'!$A$1:$B$34,2,FALSE)</f>
        <v>Collection system structural failure</v>
      </c>
      <c r="O892" s="21">
        <v>44567.0</v>
      </c>
      <c r="P892" s="6" t="s">
        <v>824</v>
      </c>
      <c r="Q892" s="21">
        <v>44567.0</v>
      </c>
      <c r="R892" s="6" t="s">
        <v>824</v>
      </c>
      <c r="S892" s="20">
        <v>0.0</v>
      </c>
      <c r="T892" s="6" t="s">
        <v>89</v>
      </c>
      <c r="U892" s="6"/>
      <c r="V892" s="6"/>
      <c r="W892" s="6">
        <v>29.7389106</v>
      </c>
      <c r="X892" s="6">
        <v>-95.3244902</v>
      </c>
    </row>
    <row r="893" ht="15.75" customHeight="1">
      <c r="A893" s="6">
        <v>13076.0</v>
      </c>
      <c r="B893" s="6">
        <v>2022.0</v>
      </c>
      <c r="C893" s="6" t="str">
        <f t="shared" si="5"/>
        <v>3802 DABNEY ST,Houston,Texas</v>
      </c>
      <c r="D893" s="6" t="s">
        <v>1477</v>
      </c>
      <c r="E893" s="6" t="s">
        <v>25</v>
      </c>
      <c r="F893" s="6" t="s">
        <v>26</v>
      </c>
      <c r="G893" s="6" t="s">
        <v>43</v>
      </c>
      <c r="H893" s="6" t="s">
        <v>1493</v>
      </c>
      <c r="I893" s="6" t="str">
        <f>VLOOKUP(H893,'Flow Location'!$A$1:$B$21,2,FALSE)</f>
        <v>Contained On Site, not within 5 ft. of Bayou/Surface Water/Drainage Ditch</v>
      </c>
      <c r="J893" s="20">
        <v>0.0</v>
      </c>
      <c r="K893" s="6" t="s">
        <v>1531</v>
      </c>
      <c r="L893" s="6" t="str">
        <f>VLOOKUP(K893,'Structure type'!$A$1:$B$15,2,FALSE)</f>
        <v>Private Cleanout</v>
      </c>
      <c r="M893" s="6" t="s">
        <v>30</v>
      </c>
      <c r="N893" s="6" t="str">
        <f>VLOOKUP(M893,'Excursion Cause'!$A$1:$B$34,2,FALSE)</f>
        <v>Grease Blockage</v>
      </c>
      <c r="O893" s="21">
        <v>44567.0</v>
      </c>
      <c r="P893" s="6" t="s">
        <v>958</v>
      </c>
      <c r="Q893" s="21">
        <v>44567.0</v>
      </c>
      <c r="R893" s="6" t="s">
        <v>958</v>
      </c>
      <c r="S893" s="20">
        <v>0.0</v>
      </c>
      <c r="T893" s="6" t="s">
        <v>1532</v>
      </c>
      <c r="U893" s="6"/>
      <c r="V893" s="6"/>
      <c r="W893" s="6">
        <v>29.794734</v>
      </c>
      <c r="X893" s="6">
        <v>-95.309799</v>
      </c>
    </row>
    <row r="894" ht="15.75" customHeight="1">
      <c r="A894" s="6">
        <v>13077.0</v>
      </c>
      <c r="B894" s="6">
        <v>2022.0</v>
      </c>
      <c r="C894" s="6" t="str">
        <f t="shared" si="5"/>
        <v>10004 BELLAIRE BLVD,Houston,Texas</v>
      </c>
      <c r="D894" s="6" t="s">
        <v>1533</v>
      </c>
      <c r="E894" s="6" t="s">
        <v>25</v>
      </c>
      <c r="F894" s="6" t="s">
        <v>26</v>
      </c>
      <c r="G894" s="6" t="s">
        <v>91</v>
      </c>
      <c r="H894" s="6" t="s">
        <v>28</v>
      </c>
      <c r="I894" s="6" t="str">
        <f>VLOOKUP(H894,'Flow Location'!$A$1:$B$21,2,FALSE)</f>
        <v>Storm Sewer (not contained)</v>
      </c>
      <c r="J894" s="20">
        <v>6202.0</v>
      </c>
      <c r="K894" s="6" t="s">
        <v>190</v>
      </c>
      <c r="L894" s="6" t="str">
        <f>VLOOKUP(K894,'Structure type'!$A$1:$B$15,2,FALSE)</f>
        <v>Force Main</v>
      </c>
      <c r="M894" s="6" t="s">
        <v>81</v>
      </c>
      <c r="N894" s="6" t="str">
        <f>VLOOKUP(M894,'Excursion Cause'!$A$1:$B$34,2,FALSE)</f>
        <v>Collection system structural failure</v>
      </c>
      <c r="O894" s="21">
        <v>44567.0</v>
      </c>
      <c r="P894" s="6" t="s">
        <v>323</v>
      </c>
      <c r="Q894" s="21">
        <v>44569.0</v>
      </c>
      <c r="R894" s="6" t="s">
        <v>331</v>
      </c>
      <c r="S894" s="20">
        <v>2.0</v>
      </c>
      <c r="T894" s="6" t="s">
        <v>1534</v>
      </c>
      <c r="U894" s="6"/>
      <c r="V894" s="6"/>
      <c r="W894" s="6">
        <v>29.7050419</v>
      </c>
      <c r="X894" s="6">
        <v>-95.558549</v>
      </c>
    </row>
    <row r="895" ht="15.75" customHeight="1">
      <c r="A895" s="6">
        <v>13079.0</v>
      </c>
      <c r="B895" s="6">
        <v>2022.0</v>
      </c>
      <c r="C895" s="6" t="str">
        <f t="shared" si="5"/>
        <v>8407 SULTAN DR,Houston,Texas</v>
      </c>
      <c r="D895" s="6" t="s">
        <v>1498</v>
      </c>
      <c r="E895" s="6" t="s">
        <v>25</v>
      </c>
      <c r="F895" s="6" t="s">
        <v>26</v>
      </c>
      <c r="G895" s="6" t="s">
        <v>387</v>
      </c>
      <c r="H895" s="6" t="s">
        <v>44</v>
      </c>
      <c r="I895" s="6" t="str">
        <f>VLOOKUP(H895,'Flow Location'!$A$1:$B$21,2,FALSE)</f>
        <v>Bayou/surface water/drainage ditch</v>
      </c>
      <c r="J895" s="20">
        <v>0.0</v>
      </c>
      <c r="K895" s="6" t="s">
        <v>29</v>
      </c>
      <c r="L895" s="6" t="str">
        <f>VLOOKUP(K895,'Structure type'!$A$1:$B$15,2,FALSE)</f>
        <v>Manhole</v>
      </c>
      <c r="M895" s="6" t="s">
        <v>30</v>
      </c>
      <c r="N895" s="6" t="str">
        <f>VLOOKUP(M895,'Excursion Cause'!$A$1:$B$34,2,FALSE)</f>
        <v>Grease Blockage</v>
      </c>
      <c r="O895" s="21">
        <v>44567.0</v>
      </c>
      <c r="P895" s="6" t="s">
        <v>1055</v>
      </c>
      <c r="Q895" s="21">
        <v>44567.0</v>
      </c>
      <c r="R895" s="6" t="s">
        <v>1055</v>
      </c>
      <c r="S895" s="20">
        <v>0.0</v>
      </c>
      <c r="T895" s="6" t="s">
        <v>1535</v>
      </c>
      <c r="U895" s="6"/>
      <c r="V895" s="6"/>
      <c r="W895" s="6">
        <v>29.8380507</v>
      </c>
      <c r="X895" s="6">
        <v>-95.2539777</v>
      </c>
    </row>
    <row r="896" ht="15.75" customHeight="1">
      <c r="A896" s="6">
        <v>13083.0</v>
      </c>
      <c r="B896" s="6">
        <v>2022.0</v>
      </c>
      <c r="C896" s="6" t="str">
        <f t="shared" si="5"/>
        <v>8565 W SAM HOUSTON PKWY,Houston,Texas</v>
      </c>
      <c r="D896" s="6" t="s">
        <v>1523</v>
      </c>
      <c r="E896" s="6" t="s">
        <v>25</v>
      </c>
      <c r="F896" s="6" t="s">
        <v>26</v>
      </c>
      <c r="G896" s="6" t="s">
        <v>100</v>
      </c>
      <c r="H896" s="6" t="s">
        <v>1493</v>
      </c>
      <c r="I896" s="6" t="str">
        <f>VLOOKUP(H896,'Flow Location'!$A$1:$B$21,2,FALSE)</f>
        <v>Contained On Site, not within 5 ft. of Bayou/Surface Water/Drainage Ditch</v>
      </c>
      <c r="J896" s="20">
        <v>780.0</v>
      </c>
      <c r="K896" s="6" t="s">
        <v>29</v>
      </c>
      <c r="L896" s="6" t="str">
        <f>VLOOKUP(K896,'Structure type'!$A$1:$B$15,2,FALSE)</f>
        <v>Manhole</v>
      </c>
      <c r="M896" s="6" t="s">
        <v>30</v>
      </c>
      <c r="N896" s="6" t="str">
        <f>VLOOKUP(M896,'Excursion Cause'!$A$1:$B$34,2,FALSE)</f>
        <v>Grease Blockage</v>
      </c>
      <c r="O896" s="21">
        <v>44566.0</v>
      </c>
      <c r="P896" s="6" t="s">
        <v>219</v>
      </c>
      <c r="Q896" s="21">
        <v>44566.0</v>
      </c>
      <c r="R896" s="6" t="s">
        <v>537</v>
      </c>
      <c r="S896" s="20">
        <v>3.0</v>
      </c>
      <c r="T896" s="6" t="s">
        <v>1536</v>
      </c>
      <c r="U896" s="6"/>
      <c r="V896" s="6"/>
      <c r="W896" s="6">
        <v>29.6860459</v>
      </c>
      <c r="X896" s="6">
        <v>-95.5559445</v>
      </c>
    </row>
    <row r="897" ht="15.75" customHeight="1">
      <c r="A897" s="6">
        <v>13084.0</v>
      </c>
      <c r="B897" s="6">
        <v>2022.0</v>
      </c>
      <c r="C897" s="6" t="str">
        <f t="shared" si="5"/>
        <v>3026 DAWSON LN,Houston,Texas</v>
      </c>
      <c r="D897" s="6" t="s">
        <v>1537</v>
      </c>
      <c r="E897" s="6" t="s">
        <v>25</v>
      </c>
      <c r="F897" s="6" t="s">
        <v>26</v>
      </c>
      <c r="G897" s="6" t="s">
        <v>105</v>
      </c>
      <c r="H897" s="6" t="s">
        <v>44</v>
      </c>
      <c r="I897" s="6" t="str">
        <f>VLOOKUP(H897,'Flow Location'!$A$1:$B$21,2,FALSE)</f>
        <v>Bayou/surface water/drainage ditch</v>
      </c>
      <c r="J897" s="20">
        <v>3138.0</v>
      </c>
      <c r="K897" s="6" t="s">
        <v>29</v>
      </c>
      <c r="L897" s="6" t="str">
        <f>VLOOKUP(K897,'Structure type'!$A$1:$B$15,2,FALSE)</f>
        <v>Manhole</v>
      </c>
      <c r="M897" s="6" t="s">
        <v>30</v>
      </c>
      <c r="N897" s="6" t="str">
        <f>VLOOKUP(M897,'Excursion Cause'!$A$1:$B$34,2,FALSE)</f>
        <v>Grease Blockage</v>
      </c>
      <c r="O897" s="21">
        <v>44568.0</v>
      </c>
      <c r="P897" s="6" t="s">
        <v>1538</v>
      </c>
      <c r="Q897" s="21">
        <v>44568.0</v>
      </c>
      <c r="R897" s="6" t="s">
        <v>451</v>
      </c>
      <c r="S897" s="20">
        <v>6.0</v>
      </c>
      <c r="T897" s="6" t="s">
        <v>1539</v>
      </c>
      <c r="U897" s="6"/>
      <c r="V897" s="6"/>
      <c r="W897" s="6">
        <v>29.6549823</v>
      </c>
      <c r="X897" s="6">
        <v>-95.3794885</v>
      </c>
    </row>
    <row r="898" ht="15.75" customHeight="1">
      <c r="A898" s="6">
        <v>13085.0</v>
      </c>
      <c r="B898" s="6">
        <v>2022.0</v>
      </c>
      <c r="C898" s="6" t="str">
        <f t="shared" si="5"/>
        <v>12023 BISSONNET ST,Houston,Texas</v>
      </c>
      <c r="D898" s="6" t="s">
        <v>153</v>
      </c>
      <c r="E898" s="6" t="s">
        <v>25</v>
      </c>
      <c r="F898" s="6" t="s">
        <v>26</v>
      </c>
      <c r="G898" s="6" t="s">
        <v>154</v>
      </c>
      <c r="H898" s="6" t="s">
        <v>1493</v>
      </c>
      <c r="I898" s="6" t="str">
        <f>VLOOKUP(H898,'Flow Location'!$A$1:$B$21,2,FALSE)</f>
        <v>Contained On Site, not within 5 ft. of Bayou/Surface Water/Drainage Ditch</v>
      </c>
      <c r="J898" s="20">
        <v>570.0</v>
      </c>
      <c r="K898" s="6" t="s">
        <v>29</v>
      </c>
      <c r="L898" s="6" t="str">
        <f>VLOOKUP(K898,'Structure type'!$A$1:$B$15,2,FALSE)</f>
        <v>Manhole</v>
      </c>
      <c r="M898" s="6" t="s">
        <v>30</v>
      </c>
      <c r="N898" s="6" t="str">
        <f>VLOOKUP(M898,'Excursion Cause'!$A$1:$B$34,2,FALSE)</f>
        <v>Grease Blockage</v>
      </c>
      <c r="O898" s="21">
        <v>44568.0</v>
      </c>
      <c r="P898" s="6" t="s">
        <v>1540</v>
      </c>
      <c r="Q898" s="21">
        <v>44568.0</v>
      </c>
      <c r="R898" s="6" t="s">
        <v>1317</v>
      </c>
      <c r="S898" s="20">
        <v>3.0</v>
      </c>
      <c r="T898" s="6" t="s">
        <v>1541</v>
      </c>
      <c r="U898" s="6"/>
      <c r="V898" s="6"/>
      <c r="W898" s="6">
        <v>29.674508</v>
      </c>
      <c r="X898" s="6">
        <v>-95.5905919</v>
      </c>
    </row>
    <row r="899" ht="15.75" customHeight="1">
      <c r="A899" s="6">
        <v>13090.0</v>
      </c>
      <c r="B899" s="6">
        <v>2022.0</v>
      </c>
      <c r="C899" s="6" t="str">
        <f t="shared" si="5"/>
        <v>4121 WIPPRECHT ST,Houston,Texas</v>
      </c>
      <c r="D899" s="6" t="s">
        <v>1542</v>
      </c>
      <c r="E899" s="6" t="s">
        <v>25</v>
      </c>
      <c r="F899" s="6" t="s">
        <v>26</v>
      </c>
      <c r="G899" s="6" t="s">
        <v>43</v>
      </c>
      <c r="H899" s="6" t="s">
        <v>44</v>
      </c>
      <c r="I899" s="6" t="str">
        <f>VLOOKUP(H899,'Flow Location'!$A$1:$B$21,2,FALSE)</f>
        <v>Bayou/surface water/drainage ditch</v>
      </c>
      <c r="J899" s="20">
        <v>0.0</v>
      </c>
      <c r="K899" s="6" t="s">
        <v>45</v>
      </c>
      <c r="L899" s="6" t="str">
        <f>VLOOKUP(K899,'Structure type'!$A$1:$B$15,2,FALSE)</f>
        <v>City Cleanout</v>
      </c>
      <c r="M899" s="6" t="s">
        <v>56</v>
      </c>
      <c r="N899" s="6" t="str">
        <f>VLOOKUP(M899,'Excursion Cause'!$A$1:$B$34,2,FALSE)</f>
        <v>Rags/Wipes</v>
      </c>
      <c r="O899" s="21">
        <v>44568.0</v>
      </c>
      <c r="P899" s="6" t="s">
        <v>648</v>
      </c>
      <c r="Q899" s="21">
        <v>44568.0</v>
      </c>
      <c r="R899" s="6" t="s">
        <v>648</v>
      </c>
      <c r="S899" s="20">
        <v>0.0</v>
      </c>
      <c r="T899" s="6" t="s">
        <v>1543</v>
      </c>
      <c r="U899" s="6"/>
      <c r="V899" s="6"/>
      <c r="W899" s="6">
        <v>29.7985998</v>
      </c>
      <c r="X899" s="6">
        <v>-95.3225878</v>
      </c>
    </row>
    <row r="900" ht="15.75" customHeight="1">
      <c r="A900" s="6">
        <v>13092.0</v>
      </c>
      <c r="B900" s="6">
        <v>2022.0</v>
      </c>
      <c r="C900" s="6" t="str">
        <f t="shared" si="5"/>
        <v>1845 PASADENA ST,Houston,Texas</v>
      </c>
      <c r="D900" s="6" t="s">
        <v>1544</v>
      </c>
      <c r="E900" s="6" t="s">
        <v>25</v>
      </c>
      <c r="F900" s="6" t="s">
        <v>26</v>
      </c>
      <c r="G900" s="6" t="s">
        <v>141</v>
      </c>
      <c r="H900" s="6" t="s">
        <v>1493</v>
      </c>
      <c r="I900" s="6" t="str">
        <f>VLOOKUP(H900,'Flow Location'!$A$1:$B$21,2,FALSE)</f>
        <v>Contained On Site, not within 5 ft. of Bayou/Surface Water/Drainage Ditch</v>
      </c>
      <c r="J900" s="20">
        <v>0.0</v>
      </c>
      <c r="K900" s="6" t="s">
        <v>45</v>
      </c>
      <c r="L900" s="6" t="str">
        <f>VLOOKUP(K900,'Structure type'!$A$1:$B$15,2,FALSE)</f>
        <v>City Cleanout</v>
      </c>
      <c r="M900" s="6" t="s">
        <v>759</v>
      </c>
      <c r="N900" s="6" t="str">
        <f>VLOOKUP(M900,'Excursion Cause'!$A$1:$B$34,2,FALSE)</f>
        <v>Roots</v>
      </c>
      <c r="O900" s="21">
        <v>44568.0</v>
      </c>
      <c r="P900" s="6" t="s">
        <v>1545</v>
      </c>
      <c r="Q900" s="21">
        <v>44568.0</v>
      </c>
      <c r="R900" s="6" t="s">
        <v>1545</v>
      </c>
      <c r="S900" s="20">
        <v>0.0</v>
      </c>
      <c r="T900" s="6" t="s">
        <v>1546</v>
      </c>
      <c r="U900" s="6"/>
      <c r="V900" s="6"/>
      <c r="W900" s="6">
        <v>29.7233759</v>
      </c>
      <c r="X900" s="6">
        <v>-95.2978993</v>
      </c>
    </row>
    <row r="901" ht="15.75" customHeight="1">
      <c r="A901" s="6">
        <v>13093.0</v>
      </c>
      <c r="B901" s="6">
        <v>2022.0</v>
      </c>
      <c r="C901" s="6" t="str">
        <f t="shared" si="5"/>
        <v>2823 COCHRAN ST,Houston,Texas</v>
      </c>
      <c r="D901" s="6" t="s">
        <v>1547</v>
      </c>
      <c r="E901" s="6" t="s">
        <v>25</v>
      </c>
      <c r="F901" s="6" t="s">
        <v>26</v>
      </c>
      <c r="G901" s="6" t="s">
        <v>161</v>
      </c>
      <c r="H901" s="6" t="s">
        <v>1493</v>
      </c>
      <c r="I901" s="6" t="str">
        <f>VLOOKUP(H901,'Flow Location'!$A$1:$B$21,2,FALSE)</f>
        <v>Contained On Site, not within 5 ft. of Bayou/Surface Water/Drainage Ditch</v>
      </c>
      <c r="J901" s="20">
        <v>0.0</v>
      </c>
      <c r="K901" s="6" t="s">
        <v>1548</v>
      </c>
      <c r="L901" s="6" t="str">
        <f>VLOOKUP(K901,'Structure type'!$A$1:$B$15,2,FALSE)</f>
        <v>Private Cleanout</v>
      </c>
      <c r="M901" s="6" t="s">
        <v>56</v>
      </c>
      <c r="N901" s="6" t="str">
        <f>VLOOKUP(M901,'Excursion Cause'!$A$1:$B$34,2,FALSE)</f>
        <v>Rags/Wipes</v>
      </c>
      <c r="O901" s="21">
        <v>44568.0</v>
      </c>
      <c r="P901" s="6" t="s">
        <v>206</v>
      </c>
      <c r="Q901" s="21">
        <v>44568.0</v>
      </c>
      <c r="R901" s="6" t="s">
        <v>206</v>
      </c>
      <c r="S901" s="20">
        <v>0.0</v>
      </c>
      <c r="T901" s="6" t="s">
        <v>1549</v>
      </c>
      <c r="U901" s="6"/>
      <c r="V901" s="6"/>
      <c r="W901" s="6">
        <v>29.7875548</v>
      </c>
      <c r="X901" s="6">
        <v>-95.3563588</v>
      </c>
    </row>
    <row r="902" ht="15.75" customHeight="1">
      <c r="A902" s="6">
        <v>13094.0</v>
      </c>
      <c r="B902" s="6">
        <v>2022.0</v>
      </c>
      <c r="C902" s="6" t="str">
        <f t="shared" si="5"/>
        <v>3401 BLALOCK RD,Houston,Texas</v>
      </c>
      <c r="D902" s="6" t="s">
        <v>1550</v>
      </c>
      <c r="E902" s="6" t="s">
        <v>25</v>
      </c>
      <c r="F902" s="6" t="s">
        <v>26</v>
      </c>
      <c r="G902" s="6" t="s">
        <v>294</v>
      </c>
      <c r="H902" s="6" t="s">
        <v>28</v>
      </c>
      <c r="I902" s="6" t="str">
        <f>VLOOKUP(H902,'Flow Location'!$A$1:$B$21,2,FALSE)</f>
        <v>Storm Sewer (not contained)</v>
      </c>
      <c r="J902" s="20">
        <v>436.0</v>
      </c>
      <c r="K902" s="6" t="s">
        <v>29</v>
      </c>
      <c r="L902" s="6" t="str">
        <f>VLOOKUP(K902,'Structure type'!$A$1:$B$15,2,FALSE)</f>
        <v>Manhole</v>
      </c>
      <c r="M902" s="6" t="s">
        <v>30</v>
      </c>
      <c r="N902" s="6" t="str">
        <f>VLOOKUP(M902,'Excursion Cause'!$A$1:$B$34,2,FALSE)</f>
        <v>Grease Blockage</v>
      </c>
      <c r="O902" s="21">
        <v>44568.0</v>
      </c>
      <c r="P902" s="6" t="s">
        <v>53</v>
      </c>
      <c r="Q902" s="21">
        <v>44568.0</v>
      </c>
      <c r="R902" s="6" t="s">
        <v>1551</v>
      </c>
      <c r="S902" s="20">
        <v>1.0</v>
      </c>
      <c r="T902" s="6" t="s">
        <v>1552</v>
      </c>
      <c r="U902" s="6"/>
      <c r="V902" s="6"/>
      <c r="W902" s="6">
        <v>29.8247675</v>
      </c>
      <c r="X902" s="6">
        <v>-95.5237131</v>
      </c>
    </row>
    <row r="903" ht="15.75" customHeight="1">
      <c r="A903" s="6">
        <v>13096.0</v>
      </c>
      <c r="B903" s="6">
        <v>2022.0</v>
      </c>
      <c r="C903" s="6" t="str">
        <f t="shared" si="5"/>
        <v>7832 GROVE RIDGE DR,Houston,Texas</v>
      </c>
      <c r="D903" s="6" t="s">
        <v>1553</v>
      </c>
      <c r="E903" s="6" t="s">
        <v>25</v>
      </c>
      <c r="F903" s="6" t="s">
        <v>26</v>
      </c>
      <c r="G903" s="6" t="s">
        <v>398</v>
      </c>
      <c r="H903" s="6" t="s">
        <v>28</v>
      </c>
      <c r="I903" s="6" t="str">
        <f>VLOOKUP(H903,'Flow Location'!$A$1:$B$21,2,FALSE)</f>
        <v>Storm Sewer (not contained)</v>
      </c>
      <c r="J903" s="20">
        <v>489.0</v>
      </c>
      <c r="K903" s="6" t="s">
        <v>29</v>
      </c>
      <c r="L903" s="6" t="str">
        <f>VLOOKUP(K903,'Structure type'!$A$1:$B$15,2,FALSE)</f>
        <v>Manhole</v>
      </c>
      <c r="M903" s="6" t="s">
        <v>759</v>
      </c>
      <c r="N903" s="6" t="str">
        <f>VLOOKUP(M903,'Excursion Cause'!$A$1:$B$34,2,FALSE)</f>
        <v>Roots</v>
      </c>
      <c r="O903" s="21">
        <v>44568.0</v>
      </c>
      <c r="P903" s="6" t="s">
        <v>133</v>
      </c>
      <c r="Q903" s="21">
        <v>44568.0</v>
      </c>
      <c r="R903" s="6" t="s">
        <v>1554</v>
      </c>
      <c r="S903" s="20">
        <v>3.0</v>
      </c>
      <c r="T903" s="6" t="s">
        <v>1555</v>
      </c>
      <c r="U903" s="6"/>
      <c r="V903" s="6"/>
      <c r="W903" s="6">
        <v>29.6770677</v>
      </c>
      <c r="X903" s="6">
        <v>-95.2847625</v>
      </c>
    </row>
    <row r="904" ht="15.75" customHeight="1">
      <c r="A904" s="6">
        <v>13104.0</v>
      </c>
      <c r="B904" s="6">
        <v>2022.0</v>
      </c>
      <c r="C904" s="6" t="str">
        <f t="shared" si="5"/>
        <v>3502 MELBOURNE ST,Houston,Texas</v>
      </c>
      <c r="D904" s="6" t="s">
        <v>1556</v>
      </c>
      <c r="E904" s="6" t="s">
        <v>25</v>
      </c>
      <c r="F904" s="6" t="s">
        <v>26</v>
      </c>
      <c r="G904" s="6" t="s">
        <v>43</v>
      </c>
      <c r="H904" s="6" t="s">
        <v>1493</v>
      </c>
      <c r="I904" s="6" t="str">
        <f>VLOOKUP(H904,'Flow Location'!$A$1:$B$21,2,FALSE)</f>
        <v>Contained On Site, not within 5 ft. of Bayou/Surface Water/Drainage Ditch</v>
      </c>
      <c r="J904" s="20">
        <v>0.0</v>
      </c>
      <c r="K904" s="6" t="s">
        <v>1557</v>
      </c>
      <c r="L904" s="6" t="str">
        <f>VLOOKUP(K904,'Structure type'!$A$1:$B$15,2,FALSE)</f>
        <v>Private Cleanout</v>
      </c>
      <c r="M904" s="6" t="s">
        <v>30</v>
      </c>
      <c r="N904" s="6" t="str">
        <f>VLOOKUP(M904,'Excursion Cause'!$A$1:$B$34,2,FALSE)</f>
        <v>Grease Blockage</v>
      </c>
      <c r="O904" s="21">
        <v>44569.0</v>
      </c>
      <c r="P904" s="6" t="s">
        <v>184</v>
      </c>
      <c r="Q904" s="21">
        <v>44569.0</v>
      </c>
      <c r="R904" s="6" t="s">
        <v>184</v>
      </c>
      <c r="S904" s="20">
        <v>0.0</v>
      </c>
      <c r="T904" s="6" t="s">
        <v>1558</v>
      </c>
      <c r="U904" s="6"/>
      <c r="V904" s="6"/>
      <c r="W904" s="6">
        <v>29.8167653</v>
      </c>
      <c r="X904" s="6">
        <v>-95.3364371</v>
      </c>
    </row>
    <row r="905" ht="15.75" customHeight="1">
      <c r="A905" s="6">
        <v>13108.0</v>
      </c>
      <c r="B905" s="6">
        <v>2022.0</v>
      </c>
      <c r="C905" s="6" t="str">
        <f t="shared" si="5"/>
        <v>12110 JUTLAND RD,Houston,Texas</v>
      </c>
      <c r="D905" s="6" t="s">
        <v>1559</v>
      </c>
      <c r="E905" s="6" t="s">
        <v>25</v>
      </c>
      <c r="F905" s="6" t="s">
        <v>26</v>
      </c>
      <c r="G905" s="6" t="s">
        <v>301</v>
      </c>
      <c r="H905" s="6" t="s">
        <v>50</v>
      </c>
      <c r="I905" s="6" t="str">
        <f>VLOOKUP(H905,'Flow Location'!$A$1:$B$21,2,FALSE)</f>
        <v>Contained On Site, not within 5 ft. of Bayou/Surface Water/Drainage Ditch</v>
      </c>
      <c r="J905" s="20">
        <v>0.0</v>
      </c>
      <c r="K905" s="6" t="s">
        <v>51</v>
      </c>
      <c r="L905" s="6" t="str">
        <f>VLOOKUP(K905,'Structure type'!$A$1:$B$15,2,FALSE)</f>
        <v>Private Cleanout</v>
      </c>
      <c r="M905" s="6" t="s">
        <v>52</v>
      </c>
      <c r="N905" s="6" t="str">
        <f>VLOOKUP(M905,'Excursion Cause'!$A$1:$B$34,2,FALSE)</f>
        <v>Collection system structural blockage</v>
      </c>
      <c r="O905" s="21">
        <v>44570.0</v>
      </c>
      <c r="P905" s="6" t="s">
        <v>251</v>
      </c>
      <c r="Q905" s="21">
        <v>44570.0</v>
      </c>
      <c r="R905" s="6" t="s">
        <v>251</v>
      </c>
      <c r="S905" s="20">
        <v>0.0</v>
      </c>
      <c r="T905" s="6" t="s">
        <v>118</v>
      </c>
      <c r="U905" s="6"/>
      <c r="V905" s="6"/>
      <c r="W905" s="6">
        <v>29.6269567</v>
      </c>
      <c r="X905" s="6">
        <v>-95.3484502</v>
      </c>
    </row>
    <row r="906" ht="15.75" customHeight="1">
      <c r="A906" s="6">
        <v>13109.0</v>
      </c>
      <c r="B906" s="6">
        <v>2022.0</v>
      </c>
      <c r="C906" s="6" t="str">
        <f t="shared" si="5"/>
        <v>13339 EMPORIA ST,Houston,Texas</v>
      </c>
      <c r="D906" s="6" t="s">
        <v>1560</v>
      </c>
      <c r="E906" s="6" t="s">
        <v>25</v>
      </c>
      <c r="F906" s="6" t="s">
        <v>26</v>
      </c>
      <c r="G906" s="6" t="s">
        <v>623</v>
      </c>
      <c r="H906" s="6" t="s">
        <v>1493</v>
      </c>
      <c r="I906" s="6" t="str">
        <f>VLOOKUP(H906,'Flow Location'!$A$1:$B$21,2,FALSE)</f>
        <v>Contained On Site, not within 5 ft. of Bayou/Surface Water/Drainage Ditch</v>
      </c>
      <c r="J906" s="20">
        <v>0.0</v>
      </c>
      <c r="K906" s="6" t="s">
        <v>1561</v>
      </c>
      <c r="L906" s="6" t="str">
        <f>VLOOKUP(K906,'Structure type'!$A$1:$B$15,2,FALSE)</f>
        <v>Private Cleanout</v>
      </c>
      <c r="M906" s="6" t="s">
        <v>30</v>
      </c>
      <c r="N906" s="6" t="str">
        <f>VLOOKUP(M906,'Excursion Cause'!$A$1:$B$34,2,FALSE)</f>
        <v>Grease Blockage</v>
      </c>
      <c r="O906" s="21">
        <v>44570.0</v>
      </c>
      <c r="P906" s="6" t="s">
        <v>1144</v>
      </c>
      <c r="Q906" s="21">
        <v>44572.0</v>
      </c>
      <c r="R906" s="6" t="s">
        <v>1562</v>
      </c>
      <c r="S906" s="20">
        <v>0.0</v>
      </c>
      <c r="T906" s="6" t="s">
        <v>1563</v>
      </c>
      <c r="U906" s="6"/>
      <c r="V906" s="6"/>
      <c r="W906" s="6">
        <v>29.7800002</v>
      </c>
      <c r="X906" s="6">
        <v>-95.1891807</v>
      </c>
    </row>
    <row r="907" ht="15.75" customHeight="1">
      <c r="A907" s="6">
        <v>13114.0</v>
      </c>
      <c r="B907" s="6">
        <v>2022.0</v>
      </c>
      <c r="C907" s="6" t="str">
        <f t="shared" si="5"/>
        <v>7710 BARBERTON DR,Houston,Texas</v>
      </c>
      <c r="D907" s="6" t="s">
        <v>1564</v>
      </c>
      <c r="E907" s="6" t="s">
        <v>25</v>
      </c>
      <c r="F907" s="6" t="s">
        <v>26</v>
      </c>
      <c r="G907" s="6" t="s">
        <v>100</v>
      </c>
      <c r="H907" s="6" t="s">
        <v>1493</v>
      </c>
      <c r="I907" s="6" t="str">
        <f>VLOOKUP(H907,'Flow Location'!$A$1:$B$21,2,FALSE)</f>
        <v>Contained On Site, not within 5 ft. of Bayou/Surface Water/Drainage Ditch</v>
      </c>
      <c r="J907" s="20">
        <v>60.0</v>
      </c>
      <c r="K907" s="6" t="s">
        <v>45</v>
      </c>
      <c r="L907" s="6" t="str">
        <f>VLOOKUP(K907,'Structure type'!$A$1:$B$15,2,FALSE)</f>
        <v>City Cleanout</v>
      </c>
      <c r="M907" s="6" t="s">
        <v>30</v>
      </c>
      <c r="N907" s="6" t="str">
        <f>VLOOKUP(M907,'Excursion Cause'!$A$1:$B$34,2,FALSE)</f>
        <v>Grease Blockage</v>
      </c>
      <c r="O907" s="21">
        <v>44570.0</v>
      </c>
      <c r="P907" s="6" t="s">
        <v>872</v>
      </c>
      <c r="Q907" s="21">
        <v>44571.0</v>
      </c>
      <c r="R907" s="6" t="s">
        <v>503</v>
      </c>
      <c r="S907" s="20">
        <v>0.0</v>
      </c>
      <c r="T907" s="6" t="s">
        <v>1565</v>
      </c>
      <c r="U907" s="6"/>
      <c r="V907" s="6"/>
      <c r="W907" s="6">
        <v>29.6969103</v>
      </c>
      <c r="X907" s="6">
        <v>-95.5233255</v>
      </c>
    </row>
    <row r="908" ht="15.75" customHeight="1">
      <c r="A908" s="6">
        <v>13115.0</v>
      </c>
      <c r="B908" s="6">
        <v>2022.0</v>
      </c>
      <c r="C908" s="6" t="str">
        <f t="shared" si="5"/>
        <v>16100 GALVESTON RD,Houston,Texas</v>
      </c>
      <c r="D908" s="6" t="s">
        <v>1566</v>
      </c>
      <c r="E908" s="6" t="s">
        <v>25</v>
      </c>
      <c r="F908" s="6" t="s">
        <v>26</v>
      </c>
      <c r="G908" s="6" t="s">
        <v>211</v>
      </c>
      <c r="H908" s="6" t="s">
        <v>28</v>
      </c>
      <c r="I908" s="6" t="str">
        <f>VLOOKUP(H908,'Flow Location'!$A$1:$B$21,2,FALSE)</f>
        <v>Storm Sewer (not contained)</v>
      </c>
      <c r="J908" s="20">
        <v>3350.0</v>
      </c>
      <c r="K908" s="6" t="s">
        <v>29</v>
      </c>
      <c r="L908" s="6" t="str">
        <f>VLOOKUP(K908,'Structure type'!$A$1:$B$15,2,FALSE)</f>
        <v>Manhole</v>
      </c>
      <c r="M908" s="6" t="s">
        <v>30</v>
      </c>
      <c r="N908" s="6" t="str">
        <f>VLOOKUP(M908,'Excursion Cause'!$A$1:$B$34,2,FALSE)</f>
        <v>Grease Blockage</v>
      </c>
      <c r="O908" s="21">
        <v>44570.0</v>
      </c>
      <c r="P908" s="6" t="s">
        <v>451</v>
      </c>
      <c r="Q908" s="21">
        <v>44570.0</v>
      </c>
      <c r="R908" s="6" t="s">
        <v>1567</v>
      </c>
      <c r="S908" s="20">
        <v>25.0</v>
      </c>
      <c r="T908" s="6" t="s">
        <v>1568</v>
      </c>
      <c r="U908" s="6"/>
      <c r="V908" s="6"/>
      <c r="W908" s="6">
        <v>29.5561417</v>
      </c>
      <c r="X908" s="6">
        <v>-95.136036</v>
      </c>
    </row>
    <row r="909" ht="15.75" customHeight="1">
      <c r="A909" s="6">
        <v>13118.0</v>
      </c>
      <c r="B909" s="6">
        <v>2022.0</v>
      </c>
      <c r="C909" s="6" t="str">
        <f t="shared" si="5"/>
        <v>10004 BELLAIRE BLVD,Houston,Texas</v>
      </c>
      <c r="D909" s="6" t="s">
        <v>1533</v>
      </c>
      <c r="E909" s="6" t="s">
        <v>25</v>
      </c>
      <c r="F909" s="6" t="s">
        <v>26</v>
      </c>
      <c r="G909" s="6" t="s">
        <v>91</v>
      </c>
      <c r="H909" s="6" t="s">
        <v>28</v>
      </c>
      <c r="I909" s="6" t="str">
        <f>VLOOKUP(H909,'Flow Location'!$A$1:$B$21,2,FALSE)</f>
        <v>Storm Sewer (not contained)</v>
      </c>
      <c r="J909" s="20">
        <v>12000.0</v>
      </c>
      <c r="K909" s="6" t="s">
        <v>190</v>
      </c>
      <c r="L909" s="6" t="str">
        <f>VLOOKUP(K909,'Structure type'!$A$1:$B$15,2,FALSE)</f>
        <v>Force Main</v>
      </c>
      <c r="M909" s="6" t="s">
        <v>81</v>
      </c>
      <c r="N909" s="6" t="str">
        <f>VLOOKUP(M909,'Excursion Cause'!$A$1:$B$34,2,FALSE)</f>
        <v>Collection system structural failure</v>
      </c>
      <c r="O909" s="21">
        <v>44571.0</v>
      </c>
      <c r="P909" s="6" t="s">
        <v>1569</v>
      </c>
      <c r="Q909" s="21">
        <v>44572.0</v>
      </c>
      <c r="R909" s="6" t="s">
        <v>885</v>
      </c>
      <c r="S909" s="20">
        <v>5.0</v>
      </c>
      <c r="T909" s="6" t="s">
        <v>1570</v>
      </c>
      <c r="U909" s="6"/>
      <c r="V909" s="6"/>
      <c r="W909" s="6">
        <v>29.7050419</v>
      </c>
      <c r="X909" s="6">
        <v>-95.558549</v>
      </c>
    </row>
    <row r="910" ht="15.75" customHeight="1">
      <c r="A910" s="6">
        <v>13120.0</v>
      </c>
      <c r="B910" s="6">
        <v>2022.0</v>
      </c>
      <c r="C910" s="6" t="str">
        <f t="shared" si="5"/>
        <v>5510 ROSSLYN RD,Houston,Texas</v>
      </c>
      <c r="D910" s="6" t="s">
        <v>1571</v>
      </c>
      <c r="E910" s="6" t="s">
        <v>25</v>
      </c>
      <c r="F910" s="6" t="s">
        <v>26</v>
      </c>
      <c r="G910" s="6" t="s">
        <v>222</v>
      </c>
      <c r="H910" s="6" t="s">
        <v>1493</v>
      </c>
      <c r="I910" s="6" t="str">
        <f>VLOOKUP(H910,'Flow Location'!$A$1:$B$21,2,FALSE)</f>
        <v>Contained On Site, not within 5 ft. of Bayou/Surface Water/Drainage Ditch</v>
      </c>
      <c r="J910" s="20">
        <v>0.0</v>
      </c>
      <c r="K910" s="6" t="s">
        <v>45</v>
      </c>
      <c r="L910" s="6" t="str">
        <f>VLOOKUP(K910,'Structure type'!$A$1:$B$15,2,FALSE)</f>
        <v>City Cleanout</v>
      </c>
      <c r="M910" s="6" t="s">
        <v>56</v>
      </c>
      <c r="N910" s="6" t="str">
        <f>VLOOKUP(M910,'Excursion Cause'!$A$1:$B$34,2,FALSE)</f>
        <v>Rags/Wipes</v>
      </c>
      <c r="O910" s="21">
        <v>44571.0</v>
      </c>
      <c r="P910" s="6" t="s">
        <v>1572</v>
      </c>
      <c r="Q910" s="21">
        <v>44571.0</v>
      </c>
      <c r="R910" s="6" t="s">
        <v>1572</v>
      </c>
      <c r="S910" s="20">
        <v>0.0</v>
      </c>
      <c r="T910" s="6" t="s">
        <v>1573</v>
      </c>
      <c r="U910" s="6"/>
      <c r="V910" s="6"/>
      <c r="W910" s="6">
        <v>29.8460341</v>
      </c>
      <c r="X910" s="6">
        <v>-95.4423818</v>
      </c>
    </row>
    <row r="911" ht="15.75" customHeight="1">
      <c r="A911" s="6">
        <v>13129.0</v>
      </c>
      <c r="B911" s="6">
        <v>2022.0</v>
      </c>
      <c r="C911" s="6" t="str">
        <f t="shared" si="5"/>
        <v>5935 SOUTHSEAS ST,Houston,Texas</v>
      </c>
      <c r="D911" s="6" t="s">
        <v>1574</v>
      </c>
      <c r="E911" s="6" t="s">
        <v>25</v>
      </c>
      <c r="F911" s="6" t="s">
        <v>26</v>
      </c>
      <c r="G911" s="6" t="s">
        <v>120</v>
      </c>
      <c r="H911" s="6" t="s">
        <v>1493</v>
      </c>
      <c r="I911" s="6" t="str">
        <f>VLOOKUP(H911,'Flow Location'!$A$1:$B$21,2,FALSE)</f>
        <v>Contained On Site, not within 5 ft. of Bayou/Surface Water/Drainage Ditch</v>
      </c>
      <c r="J911" s="20">
        <v>0.0</v>
      </c>
      <c r="K911" s="6" t="s">
        <v>1575</v>
      </c>
      <c r="L911" s="6" t="str">
        <f>VLOOKUP(K911,'Structure type'!$A$1:$B$15,2,FALSE)</f>
        <v>Private Cleanout</v>
      </c>
      <c r="M911" s="6" t="s">
        <v>30</v>
      </c>
      <c r="N911" s="6" t="str">
        <f>VLOOKUP(M911,'Excursion Cause'!$A$1:$B$34,2,FALSE)</f>
        <v>Grease Blockage</v>
      </c>
      <c r="O911" s="21">
        <v>44572.0</v>
      </c>
      <c r="P911" s="6" t="s">
        <v>1182</v>
      </c>
      <c r="Q911" s="21">
        <v>44572.0</v>
      </c>
      <c r="R911" s="6" t="s">
        <v>1182</v>
      </c>
      <c r="S911" s="20">
        <v>0.0</v>
      </c>
      <c r="T911" s="6" t="s">
        <v>1576</v>
      </c>
      <c r="U911" s="6"/>
      <c r="V911" s="6"/>
      <c r="W911" s="6">
        <v>29.6765766</v>
      </c>
      <c r="X911" s="6">
        <v>-95.3306954</v>
      </c>
    </row>
    <row r="912" ht="15.75" customHeight="1">
      <c r="A912" s="6">
        <v>13130.0</v>
      </c>
      <c r="B912" s="6">
        <v>2022.0</v>
      </c>
      <c r="C912" s="6" t="str">
        <f t="shared" si="5"/>
        <v>5970 DOOLITTLE BLVD,Houston,Texas</v>
      </c>
      <c r="D912" s="6" t="s">
        <v>1577</v>
      </c>
      <c r="E912" s="6" t="s">
        <v>25</v>
      </c>
      <c r="F912" s="6" t="s">
        <v>26</v>
      </c>
      <c r="G912" s="6" t="s">
        <v>120</v>
      </c>
      <c r="H912" s="6" t="s">
        <v>1493</v>
      </c>
      <c r="I912" s="6" t="str">
        <f>VLOOKUP(H912,'Flow Location'!$A$1:$B$21,2,FALSE)</f>
        <v>Contained On Site, not within 5 ft. of Bayou/Surface Water/Drainage Ditch</v>
      </c>
      <c r="J912" s="20">
        <v>0.0</v>
      </c>
      <c r="K912" s="6" t="s">
        <v>29</v>
      </c>
      <c r="L912" s="6" t="str">
        <f>VLOOKUP(K912,'Structure type'!$A$1:$B$15,2,FALSE)</f>
        <v>Manhole</v>
      </c>
      <c r="M912" s="6" t="s">
        <v>30</v>
      </c>
      <c r="N912" s="6" t="str">
        <f>VLOOKUP(M912,'Excursion Cause'!$A$1:$B$34,2,FALSE)</f>
        <v>Grease Blockage</v>
      </c>
      <c r="O912" s="21">
        <v>44572.0</v>
      </c>
      <c r="P912" s="6" t="s">
        <v>152</v>
      </c>
      <c r="Q912" s="21">
        <v>44572.0</v>
      </c>
      <c r="R912" s="6" t="s">
        <v>152</v>
      </c>
      <c r="S912" s="20">
        <v>0.0</v>
      </c>
      <c r="T912" s="6" t="s">
        <v>1578</v>
      </c>
      <c r="U912" s="6"/>
      <c r="V912" s="6"/>
      <c r="W912" s="6">
        <v>29.6772354</v>
      </c>
      <c r="X912" s="6">
        <v>-95.3288977</v>
      </c>
    </row>
    <row r="913" ht="15.75" customHeight="1">
      <c r="A913" s="6">
        <v>13136.0</v>
      </c>
      <c r="B913" s="6">
        <v>2022.0</v>
      </c>
      <c r="C913" s="6" t="str">
        <f t="shared" si="5"/>
        <v>10513 MURR WAY,Houston,Texas</v>
      </c>
      <c r="D913" s="6" t="s">
        <v>1579</v>
      </c>
      <c r="E913" s="6" t="s">
        <v>25</v>
      </c>
      <c r="F913" s="6" t="s">
        <v>26</v>
      </c>
      <c r="G913" s="6" t="s">
        <v>301</v>
      </c>
      <c r="H913" s="6" t="s">
        <v>50</v>
      </c>
      <c r="I913" s="6" t="str">
        <f>VLOOKUP(H913,'Flow Location'!$A$1:$B$21,2,FALSE)</f>
        <v>Contained On Site, not within 5 ft. of Bayou/Surface Water/Drainage Ditch</v>
      </c>
      <c r="J913" s="20">
        <v>0.0</v>
      </c>
      <c r="K913" s="6" t="s">
        <v>51</v>
      </c>
      <c r="L913" s="6" t="str">
        <f>VLOOKUP(K913,'Structure type'!$A$1:$B$15,2,FALSE)</f>
        <v>Private Cleanout</v>
      </c>
      <c r="M913" s="6" t="s">
        <v>52</v>
      </c>
      <c r="N913" s="6" t="str">
        <f>VLOOKUP(M913,'Excursion Cause'!$A$1:$B$34,2,FALSE)</f>
        <v>Collection system structural blockage</v>
      </c>
      <c r="O913" s="21">
        <v>44572.0</v>
      </c>
      <c r="P913" s="6" t="s">
        <v>53</v>
      </c>
      <c r="Q913" s="21">
        <v>44572.0</v>
      </c>
      <c r="R913" s="6" t="s">
        <v>53</v>
      </c>
      <c r="S913" s="20">
        <v>0.0</v>
      </c>
      <c r="T913" s="6" t="s">
        <v>54</v>
      </c>
      <c r="U913" s="6"/>
      <c r="V913" s="6"/>
      <c r="W913" s="6">
        <v>29.6454809</v>
      </c>
      <c r="X913" s="6">
        <v>-95.3491744</v>
      </c>
    </row>
    <row r="914" ht="15.75" customHeight="1">
      <c r="A914" s="6">
        <v>13138.0</v>
      </c>
      <c r="B914" s="6">
        <v>2022.0</v>
      </c>
      <c r="C914" s="6" t="str">
        <f t="shared" si="5"/>
        <v>302 HAHLO ST,Houston,Texas</v>
      </c>
      <c r="D914" s="6" t="s">
        <v>1580</v>
      </c>
      <c r="E914" s="6" t="s">
        <v>25</v>
      </c>
      <c r="F914" s="6" t="s">
        <v>26</v>
      </c>
      <c r="G914" s="6" t="s">
        <v>86</v>
      </c>
      <c r="H914" s="6" t="s">
        <v>28</v>
      </c>
      <c r="I914" s="6" t="str">
        <f>VLOOKUP(H914,'Flow Location'!$A$1:$B$21,2,FALSE)</f>
        <v>Storm Sewer (not contained)</v>
      </c>
      <c r="J914" s="20">
        <v>0.0</v>
      </c>
      <c r="K914" s="6" t="s">
        <v>290</v>
      </c>
      <c r="L914" s="6" t="str">
        <f>VLOOKUP(K914,'Structure type'!$A$1:$B$15,2,FALSE)</f>
        <v>Gravity Main</v>
      </c>
      <c r="M914" s="6" t="s">
        <v>56</v>
      </c>
      <c r="N914" s="6" t="str">
        <f>VLOOKUP(M914,'Excursion Cause'!$A$1:$B$34,2,FALSE)</f>
        <v>Rags/Wipes</v>
      </c>
      <c r="O914" s="21">
        <v>44572.0</v>
      </c>
      <c r="P914" s="6" t="s">
        <v>1581</v>
      </c>
      <c r="Q914" s="21">
        <v>44572.0</v>
      </c>
      <c r="R914" s="6" t="s">
        <v>1581</v>
      </c>
      <c r="S914" s="20">
        <v>0.0</v>
      </c>
      <c r="T914" s="6" t="s">
        <v>1582</v>
      </c>
      <c r="U914" s="6"/>
      <c r="V914" s="6"/>
      <c r="W914" s="6">
        <v>29.7836594</v>
      </c>
      <c r="X914" s="6">
        <v>-95.3096976</v>
      </c>
    </row>
    <row r="915" ht="15.75" customHeight="1">
      <c r="A915" s="6">
        <v>13142.0</v>
      </c>
      <c r="B915" s="6">
        <v>2022.0</v>
      </c>
      <c r="C915" s="6" t="str">
        <f t="shared" si="5"/>
        <v>10938 CHEEVES DR,Houston,Texas</v>
      </c>
      <c r="D915" s="6" t="s">
        <v>1583</v>
      </c>
      <c r="E915" s="6" t="s">
        <v>25</v>
      </c>
      <c r="F915" s="6" t="s">
        <v>26</v>
      </c>
      <c r="G915" s="6" t="s">
        <v>326</v>
      </c>
      <c r="H915" s="6" t="s">
        <v>1493</v>
      </c>
      <c r="I915" s="6" t="str">
        <f>VLOOKUP(H915,'Flow Location'!$A$1:$B$21,2,FALSE)</f>
        <v>Contained On Site, not within 5 ft. of Bayou/Surface Water/Drainage Ditch</v>
      </c>
      <c r="J915" s="20">
        <v>0.0</v>
      </c>
      <c r="K915" s="6" t="s">
        <v>1584</v>
      </c>
      <c r="L915" s="6" t="str">
        <f>VLOOKUP(K915,'Structure type'!$A$1:$B$15,2,FALSE)</f>
        <v>Private Cleanout</v>
      </c>
      <c r="M915" s="6" t="s">
        <v>30</v>
      </c>
      <c r="N915" s="6" t="str">
        <f>VLOOKUP(M915,'Excursion Cause'!$A$1:$B$34,2,FALSE)</f>
        <v>Grease Blockage</v>
      </c>
      <c r="O915" s="21">
        <v>44573.0</v>
      </c>
      <c r="P915" s="6" t="s">
        <v>1032</v>
      </c>
      <c r="Q915" s="21">
        <v>44573.0</v>
      </c>
      <c r="R915" s="6" t="s">
        <v>1032</v>
      </c>
      <c r="S915" s="20">
        <v>0.0</v>
      </c>
      <c r="T915" s="6" t="s">
        <v>1585</v>
      </c>
      <c r="U915" s="6"/>
      <c r="V915" s="6"/>
      <c r="W915" s="6">
        <v>29.8749109</v>
      </c>
      <c r="X915" s="6">
        <v>-95.2927116</v>
      </c>
    </row>
    <row r="916" ht="15.75" customHeight="1">
      <c r="A916" s="6">
        <v>13145.0</v>
      </c>
      <c r="B916" s="6">
        <v>2022.0</v>
      </c>
      <c r="C916" s="6" t="str">
        <f t="shared" si="5"/>
        <v>10223 SILVERCREST ST,Houston,Texas</v>
      </c>
      <c r="D916" s="6" t="s">
        <v>1468</v>
      </c>
      <c r="E916" s="6" t="s">
        <v>25</v>
      </c>
      <c r="F916" s="6" t="s">
        <v>26</v>
      </c>
      <c r="G916" s="6" t="s">
        <v>275</v>
      </c>
      <c r="H916" s="6" t="s">
        <v>44</v>
      </c>
      <c r="I916" s="6" t="str">
        <f>VLOOKUP(H916,'Flow Location'!$A$1:$B$21,2,FALSE)</f>
        <v>Bayou/surface water/drainage ditch</v>
      </c>
      <c r="J916" s="20">
        <v>0.0</v>
      </c>
      <c r="K916" s="6" t="s">
        <v>45</v>
      </c>
      <c r="L916" s="6" t="str">
        <f>VLOOKUP(K916,'Structure type'!$A$1:$B$15,2,FALSE)</f>
        <v>City Cleanout</v>
      </c>
      <c r="M916" s="6" t="s">
        <v>56</v>
      </c>
      <c r="N916" s="6" t="str">
        <f>VLOOKUP(M916,'Excursion Cause'!$A$1:$B$34,2,FALSE)</f>
        <v>Rags/Wipes</v>
      </c>
      <c r="O916" s="21">
        <v>44573.0</v>
      </c>
      <c r="P916" s="6" t="s">
        <v>195</v>
      </c>
      <c r="Q916" s="21">
        <v>44573.0</v>
      </c>
      <c r="R916" s="6" t="s">
        <v>195</v>
      </c>
      <c r="S916" s="20">
        <v>0.0</v>
      </c>
      <c r="T916" s="6" t="s">
        <v>1586</v>
      </c>
      <c r="U916" s="6"/>
      <c r="V916" s="6"/>
      <c r="W916" s="6">
        <v>29.8543478</v>
      </c>
      <c r="X916" s="6">
        <v>-95.3649652</v>
      </c>
    </row>
    <row r="917" ht="15.75" customHeight="1">
      <c r="A917" s="6">
        <v>13150.0</v>
      </c>
      <c r="B917" s="6">
        <v>2022.0</v>
      </c>
      <c r="C917" s="6" t="str">
        <f t="shared" si="5"/>
        <v>9211 SHOREHAM ST,Houston,Texas</v>
      </c>
      <c r="D917" s="6" t="s">
        <v>1587</v>
      </c>
      <c r="E917" s="6" t="s">
        <v>25</v>
      </c>
      <c r="F917" s="6" t="s">
        <v>26</v>
      </c>
      <c r="G917" s="6" t="s">
        <v>109</v>
      </c>
      <c r="H917" s="6" t="s">
        <v>1493</v>
      </c>
      <c r="I917" s="6" t="str">
        <f>VLOOKUP(H917,'Flow Location'!$A$1:$B$21,2,FALSE)</f>
        <v>Contained On Site, not within 5 ft. of Bayou/Surface Water/Drainage Ditch</v>
      </c>
      <c r="J917" s="20">
        <v>0.0</v>
      </c>
      <c r="K917" s="6" t="s">
        <v>1588</v>
      </c>
      <c r="L917" s="6" t="str">
        <f>VLOOKUP(K917,'Structure type'!$A$1:$B$15,2,FALSE)</f>
        <v>Private Cleanout</v>
      </c>
      <c r="M917" s="6" t="s">
        <v>30</v>
      </c>
      <c r="N917" s="6" t="str">
        <f>VLOOKUP(M917,'Excursion Cause'!$A$1:$B$34,2,FALSE)</f>
        <v>Grease Blockage</v>
      </c>
      <c r="O917" s="21">
        <v>44573.0</v>
      </c>
      <c r="P917" s="6" t="s">
        <v>1027</v>
      </c>
      <c r="Q917" s="21">
        <v>44573.0</v>
      </c>
      <c r="R917" s="6" t="s">
        <v>1027</v>
      </c>
      <c r="S917" s="20">
        <v>0.0</v>
      </c>
      <c r="T917" s="6" t="s">
        <v>1589</v>
      </c>
      <c r="U917" s="6"/>
      <c r="V917" s="6"/>
      <c r="W917" s="6">
        <v>29.8456861</v>
      </c>
      <c r="X917" s="6">
        <v>-95.3447516</v>
      </c>
    </row>
    <row r="918" ht="15.75" customHeight="1">
      <c r="A918" s="6">
        <v>13152.0</v>
      </c>
      <c r="B918" s="6">
        <v>2022.0</v>
      </c>
      <c r="C918" s="6" t="str">
        <f t="shared" si="5"/>
        <v>16100 GALVESTON RD,Houston,Texas</v>
      </c>
      <c r="D918" s="6" t="s">
        <v>1566</v>
      </c>
      <c r="E918" s="6" t="s">
        <v>25</v>
      </c>
      <c r="F918" s="6" t="s">
        <v>26</v>
      </c>
      <c r="G918" s="6" t="s">
        <v>211</v>
      </c>
      <c r="H918" s="6" t="s">
        <v>28</v>
      </c>
      <c r="I918" s="6" t="str">
        <f>VLOOKUP(H918,'Flow Location'!$A$1:$B$21,2,FALSE)</f>
        <v>Storm Sewer (not contained)</v>
      </c>
      <c r="J918" s="20">
        <v>3350.0</v>
      </c>
      <c r="K918" s="6" t="s">
        <v>29</v>
      </c>
      <c r="L918" s="6" t="str">
        <f>VLOOKUP(K918,'Structure type'!$A$1:$B$15,2,FALSE)</f>
        <v>Manhole</v>
      </c>
      <c r="M918" s="6" t="s">
        <v>30</v>
      </c>
      <c r="N918" s="6" t="str">
        <f>VLOOKUP(M918,'Excursion Cause'!$A$1:$B$34,2,FALSE)</f>
        <v>Grease Blockage</v>
      </c>
      <c r="O918" s="21">
        <v>44570.0</v>
      </c>
      <c r="P918" s="6" t="s">
        <v>451</v>
      </c>
      <c r="Q918" s="21">
        <v>44570.0</v>
      </c>
      <c r="R918" s="6" t="s">
        <v>1567</v>
      </c>
      <c r="S918" s="20">
        <v>25.0</v>
      </c>
      <c r="T918" s="6" t="s">
        <v>1590</v>
      </c>
      <c r="U918" s="6"/>
      <c r="V918" s="6"/>
      <c r="W918" s="6">
        <v>29.5561417</v>
      </c>
      <c r="X918" s="6">
        <v>-95.136036</v>
      </c>
    </row>
    <row r="919" ht="15.75" customHeight="1">
      <c r="A919" s="6">
        <v>13158.0</v>
      </c>
      <c r="B919" s="6">
        <v>2022.0</v>
      </c>
      <c r="C919" s="6" t="str">
        <f t="shared" si="5"/>
        <v>8015 BEECHNUT ST,Houston,Texas</v>
      </c>
      <c r="D919" s="6" t="s">
        <v>1165</v>
      </c>
      <c r="E919" s="6" t="s">
        <v>25</v>
      </c>
      <c r="F919" s="6" t="s">
        <v>26</v>
      </c>
      <c r="G919" s="6" t="s">
        <v>471</v>
      </c>
      <c r="H919" s="6" t="s">
        <v>1493</v>
      </c>
      <c r="I919" s="6" t="str">
        <f>VLOOKUP(H919,'Flow Location'!$A$1:$B$21,2,FALSE)</f>
        <v>Contained On Site, not within 5 ft. of Bayou/Surface Water/Drainage Ditch</v>
      </c>
      <c r="J919" s="20">
        <v>1648.0</v>
      </c>
      <c r="K919" s="6" t="s">
        <v>29</v>
      </c>
      <c r="L919" s="6" t="str">
        <f>VLOOKUP(K919,'Structure type'!$A$1:$B$15,2,FALSE)</f>
        <v>Manhole</v>
      </c>
      <c r="M919" s="6" t="s">
        <v>56</v>
      </c>
      <c r="N919" s="6" t="str">
        <f>VLOOKUP(M919,'Excursion Cause'!$A$1:$B$34,2,FALSE)</f>
        <v>Rags/Wipes</v>
      </c>
      <c r="O919" s="21">
        <v>44573.0</v>
      </c>
      <c r="P919" s="6" t="s">
        <v>577</v>
      </c>
      <c r="Q919" s="21">
        <v>44574.0</v>
      </c>
      <c r="R919" s="6" t="s">
        <v>1069</v>
      </c>
      <c r="S919" s="20">
        <v>1.0</v>
      </c>
      <c r="T919" s="6" t="s">
        <v>1591</v>
      </c>
      <c r="U919" s="6"/>
      <c r="V919" s="6"/>
      <c r="W919" s="6">
        <v>29.6919969</v>
      </c>
      <c r="X919" s="6">
        <v>-95.5284914</v>
      </c>
    </row>
    <row r="920" ht="15.75" customHeight="1">
      <c r="A920" s="6">
        <v>13160.0</v>
      </c>
      <c r="B920" s="6">
        <v>2022.0</v>
      </c>
      <c r="C920" s="6" t="str">
        <f t="shared" si="5"/>
        <v>10004 BELLAIRE BLVD,Houston,Texas</v>
      </c>
      <c r="D920" s="6" t="s">
        <v>1533</v>
      </c>
      <c r="E920" s="6" t="s">
        <v>25</v>
      </c>
      <c r="F920" s="6" t="s">
        <v>26</v>
      </c>
      <c r="G920" s="6" t="s">
        <v>91</v>
      </c>
      <c r="H920" s="6" t="s">
        <v>28</v>
      </c>
      <c r="I920" s="6" t="str">
        <f>VLOOKUP(H920,'Flow Location'!$A$1:$B$21,2,FALSE)</f>
        <v>Storm Sewer (not contained)</v>
      </c>
      <c r="J920" s="20">
        <v>1200.0</v>
      </c>
      <c r="K920" s="6" t="s">
        <v>190</v>
      </c>
      <c r="L920" s="6" t="str">
        <f>VLOOKUP(K920,'Structure type'!$A$1:$B$15,2,FALSE)</f>
        <v>Force Main</v>
      </c>
      <c r="M920" s="6" t="s">
        <v>81</v>
      </c>
      <c r="N920" s="6" t="str">
        <f>VLOOKUP(M920,'Excursion Cause'!$A$1:$B$34,2,FALSE)</f>
        <v>Collection system structural failure</v>
      </c>
      <c r="O920" s="21">
        <v>44573.0</v>
      </c>
      <c r="P920" s="6" t="s">
        <v>1090</v>
      </c>
      <c r="Q920" s="21">
        <v>44573.0</v>
      </c>
      <c r="R920" s="6" t="s">
        <v>1592</v>
      </c>
      <c r="S920" s="20">
        <v>18.0</v>
      </c>
      <c r="T920" s="6" t="s">
        <v>1593</v>
      </c>
      <c r="U920" s="6"/>
      <c r="V920" s="6"/>
      <c r="W920" s="6">
        <v>29.7050419</v>
      </c>
      <c r="X920" s="6">
        <v>-95.558549</v>
      </c>
    </row>
    <row r="921" ht="15.75" customHeight="1">
      <c r="A921" s="6">
        <v>13166.0</v>
      </c>
      <c r="B921" s="6">
        <v>2022.0</v>
      </c>
      <c r="C921" s="6" t="str">
        <f t="shared" si="5"/>
        <v>3774 TANGLEWILDE ST,Houston,Texas</v>
      </c>
      <c r="D921" s="6" t="s">
        <v>1594</v>
      </c>
      <c r="E921" s="6" t="s">
        <v>25</v>
      </c>
      <c r="F921" s="6" t="s">
        <v>26</v>
      </c>
      <c r="G921" s="6" t="s">
        <v>482</v>
      </c>
      <c r="H921" s="6" t="s">
        <v>28</v>
      </c>
      <c r="I921" s="6" t="str">
        <f>VLOOKUP(H921,'Flow Location'!$A$1:$B$21,2,FALSE)</f>
        <v>Storm Sewer (not contained)</v>
      </c>
      <c r="J921" s="20">
        <v>330.0</v>
      </c>
      <c r="K921" s="6" t="s">
        <v>29</v>
      </c>
      <c r="L921" s="6" t="str">
        <f>VLOOKUP(K921,'Structure type'!$A$1:$B$15,2,FALSE)</f>
        <v>Manhole</v>
      </c>
      <c r="M921" s="6" t="s">
        <v>30</v>
      </c>
      <c r="N921" s="6" t="str">
        <f>VLOOKUP(M921,'Excursion Cause'!$A$1:$B$34,2,FALSE)</f>
        <v>Grease Blockage</v>
      </c>
      <c r="O921" s="21">
        <v>44574.0</v>
      </c>
      <c r="P921" s="6" t="s">
        <v>1378</v>
      </c>
      <c r="Q921" s="21">
        <v>44574.0</v>
      </c>
      <c r="R921" s="6" t="s">
        <v>679</v>
      </c>
      <c r="S921" s="20">
        <v>2.0</v>
      </c>
      <c r="T921" s="6" t="s">
        <v>1595</v>
      </c>
      <c r="U921" s="6"/>
      <c r="V921" s="6"/>
      <c r="W921" s="6">
        <v>29.7235744</v>
      </c>
      <c r="X921" s="6">
        <v>-95.5350802</v>
      </c>
    </row>
    <row r="922" ht="15.75" customHeight="1">
      <c r="A922" s="6">
        <v>13167.0</v>
      </c>
      <c r="B922" s="6">
        <v>2022.0</v>
      </c>
      <c r="C922" s="6" t="str">
        <f t="shared" si="5"/>
        <v>9510 BEECHNUT ST,Houston,Texas</v>
      </c>
      <c r="D922" s="6" t="s">
        <v>1596</v>
      </c>
      <c r="E922" s="6" t="s">
        <v>25</v>
      </c>
      <c r="F922" s="6" t="s">
        <v>26</v>
      </c>
      <c r="G922" s="6" t="s">
        <v>100</v>
      </c>
      <c r="H922" s="6" t="s">
        <v>28</v>
      </c>
      <c r="I922" s="6" t="str">
        <f>VLOOKUP(H922,'Flow Location'!$A$1:$B$21,2,FALSE)</f>
        <v>Storm Sewer (not contained)</v>
      </c>
      <c r="J922" s="20">
        <v>4552.0</v>
      </c>
      <c r="K922" s="6" t="s">
        <v>29</v>
      </c>
      <c r="L922" s="6" t="str">
        <f>VLOOKUP(K922,'Structure type'!$A$1:$B$15,2,FALSE)</f>
        <v>Manhole</v>
      </c>
      <c r="M922" s="6" t="s">
        <v>81</v>
      </c>
      <c r="N922" s="6" t="str">
        <f>VLOOKUP(M922,'Excursion Cause'!$A$1:$B$34,2,FALSE)</f>
        <v>Collection system structural failure</v>
      </c>
      <c r="O922" s="21">
        <v>44574.0</v>
      </c>
      <c r="P922" s="6" t="s">
        <v>329</v>
      </c>
      <c r="Q922" s="21">
        <v>44574.0</v>
      </c>
      <c r="R922" s="6" t="s">
        <v>1597</v>
      </c>
      <c r="S922" s="20">
        <v>9.0</v>
      </c>
      <c r="T922" s="6" t="s">
        <v>767</v>
      </c>
      <c r="U922" s="6"/>
      <c r="V922" s="6"/>
      <c r="W922" s="6">
        <v>29.6908878</v>
      </c>
      <c r="X922" s="6">
        <v>-95.5502027</v>
      </c>
    </row>
    <row r="923" ht="15.75" customHeight="1">
      <c r="A923" s="6">
        <v>13170.0</v>
      </c>
      <c r="B923" s="6">
        <v>2022.0</v>
      </c>
      <c r="C923" s="6" t="str">
        <f t="shared" si="5"/>
        <v>2150 BENTWORTH DR,Houston,Texas</v>
      </c>
      <c r="D923" s="6" t="s">
        <v>1598</v>
      </c>
      <c r="E923" s="6" t="s">
        <v>25</v>
      </c>
      <c r="F923" s="6" t="s">
        <v>26</v>
      </c>
      <c r="G923" s="6" t="s">
        <v>347</v>
      </c>
      <c r="H923" s="6" t="s">
        <v>28</v>
      </c>
      <c r="I923" s="6" t="str">
        <f>VLOOKUP(H923,'Flow Location'!$A$1:$B$21,2,FALSE)</f>
        <v>Storm Sewer (not contained)</v>
      </c>
      <c r="J923" s="20">
        <v>466.0</v>
      </c>
      <c r="K923" s="6" t="s">
        <v>45</v>
      </c>
      <c r="L923" s="6" t="str">
        <f>VLOOKUP(K923,'Structure type'!$A$1:$B$15,2,FALSE)</f>
        <v>City Cleanout</v>
      </c>
      <c r="M923" s="6" t="s">
        <v>56</v>
      </c>
      <c r="N923" s="6" t="str">
        <f>VLOOKUP(M923,'Excursion Cause'!$A$1:$B$34,2,FALSE)</f>
        <v>Rags/Wipes</v>
      </c>
      <c r="O923" s="21">
        <v>44574.0</v>
      </c>
      <c r="P923" s="6" t="s">
        <v>1599</v>
      </c>
      <c r="Q923" s="21">
        <v>44574.0</v>
      </c>
      <c r="R923" s="6" t="s">
        <v>411</v>
      </c>
      <c r="S923" s="20">
        <v>2.0</v>
      </c>
      <c r="T923" s="6" t="s">
        <v>1600</v>
      </c>
      <c r="U923" s="6"/>
      <c r="V923" s="6"/>
      <c r="W923" s="6">
        <v>29.743965</v>
      </c>
      <c r="X923" s="6">
        <v>-95.5870011</v>
      </c>
    </row>
    <row r="924" ht="15.75" customHeight="1">
      <c r="A924" s="6">
        <v>13172.0</v>
      </c>
      <c r="B924" s="6">
        <v>2022.0</v>
      </c>
      <c r="C924" s="6" t="str">
        <f t="shared" si="5"/>
        <v>302 GREENPARK DR,Houston,Texas</v>
      </c>
      <c r="D924" s="6" t="s">
        <v>1601</v>
      </c>
      <c r="E924" s="6" t="s">
        <v>25</v>
      </c>
      <c r="F924" s="6" t="s">
        <v>26</v>
      </c>
      <c r="G924" s="6" t="s">
        <v>520</v>
      </c>
      <c r="H924" s="6" t="s">
        <v>1493</v>
      </c>
      <c r="I924" s="6" t="str">
        <f>VLOOKUP(H924,'Flow Location'!$A$1:$B$21,2,FALSE)</f>
        <v>Contained On Site, not within 5 ft. of Bayou/Surface Water/Drainage Ditch</v>
      </c>
      <c r="J924" s="20">
        <v>0.0</v>
      </c>
      <c r="K924" s="6" t="s">
        <v>45</v>
      </c>
      <c r="L924" s="6" t="str">
        <f>VLOOKUP(K924,'Structure type'!$A$1:$B$15,2,FALSE)</f>
        <v>City Cleanout</v>
      </c>
      <c r="M924" s="6" t="s">
        <v>56</v>
      </c>
      <c r="N924" s="6" t="str">
        <f>VLOOKUP(M924,'Excursion Cause'!$A$1:$B$34,2,FALSE)</f>
        <v>Rags/Wipes</v>
      </c>
      <c r="O924" s="21">
        <v>44574.0</v>
      </c>
      <c r="P924" s="6" t="s">
        <v>192</v>
      </c>
      <c r="Q924" s="21">
        <v>44574.0</v>
      </c>
      <c r="R924" s="6" t="s">
        <v>192</v>
      </c>
      <c r="S924" s="20">
        <v>0.0</v>
      </c>
      <c r="T924" s="6" t="s">
        <v>1602</v>
      </c>
      <c r="U924" s="6"/>
      <c r="V924" s="6"/>
      <c r="W924" s="6">
        <v>29.7622213</v>
      </c>
      <c r="X924" s="6">
        <v>-95.6122236</v>
      </c>
    </row>
    <row r="925" ht="15.75" customHeight="1">
      <c r="A925" s="6">
        <v>13173.0</v>
      </c>
      <c r="B925" s="6">
        <v>2022.0</v>
      </c>
      <c r="C925" s="6" t="str">
        <f t="shared" si="5"/>
        <v>6805 NORDLING RD,Houston,Texas</v>
      </c>
      <c r="D925" s="6" t="s">
        <v>1603</v>
      </c>
      <c r="E925" s="6" t="s">
        <v>25</v>
      </c>
      <c r="F925" s="6" t="s">
        <v>26</v>
      </c>
      <c r="G925" s="6" t="s">
        <v>275</v>
      </c>
      <c r="H925" s="6" t="s">
        <v>28</v>
      </c>
      <c r="I925" s="6" t="str">
        <f>VLOOKUP(H925,'Flow Location'!$A$1:$B$21,2,FALSE)</f>
        <v>Storm Sewer (not contained)</v>
      </c>
      <c r="J925" s="20">
        <v>0.0</v>
      </c>
      <c r="K925" s="6" t="s">
        <v>45</v>
      </c>
      <c r="L925" s="6" t="str">
        <f>VLOOKUP(K925,'Structure type'!$A$1:$B$15,2,FALSE)</f>
        <v>City Cleanout</v>
      </c>
      <c r="M925" s="6" t="s">
        <v>52</v>
      </c>
      <c r="N925" s="6" t="str">
        <f>VLOOKUP(M925,'Excursion Cause'!$A$1:$B$34,2,FALSE)</f>
        <v>Collection system structural blockage</v>
      </c>
      <c r="O925" s="21">
        <v>44574.0</v>
      </c>
      <c r="P925" s="6" t="s">
        <v>890</v>
      </c>
      <c r="Q925" s="21">
        <v>44574.0</v>
      </c>
      <c r="R925" s="6" t="s">
        <v>890</v>
      </c>
      <c r="S925" s="20">
        <v>0.0</v>
      </c>
      <c r="T925" s="6" t="s">
        <v>89</v>
      </c>
      <c r="U925" s="6"/>
      <c r="V925" s="6"/>
      <c r="W925" s="6">
        <v>29.8608407</v>
      </c>
      <c r="X925" s="6">
        <v>-95.3917125</v>
      </c>
    </row>
    <row r="926" ht="15.75" customHeight="1">
      <c r="A926" s="6">
        <v>13183.0</v>
      </c>
      <c r="B926" s="6">
        <v>2022.0</v>
      </c>
      <c r="C926" s="6" t="str">
        <f t="shared" si="5"/>
        <v>8675 CLINTON DR,Houston,Texas</v>
      </c>
      <c r="D926" s="6" t="s">
        <v>1604</v>
      </c>
      <c r="E926" s="6" t="s">
        <v>25</v>
      </c>
      <c r="F926" s="6" t="s">
        <v>26</v>
      </c>
      <c r="G926" s="6" t="s">
        <v>247</v>
      </c>
      <c r="H926" s="6" t="s">
        <v>50</v>
      </c>
      <c r="I926" s="6" t="str">
        <f>VLOOKUP(H926,'Flow Location'!$A$1:$B$21,2,FALSE)</f>
        <v>Contained On Site, not within 5 ft. of Bayou/Surface Water/Drainage Ditch</v>
      </c>
      <c r="J926" s="20">
        <v>0.0</v>
      </c>
      <c r="K926" s="6" t="s">
        <v>782</v>
      </c>
      <c r="L926" s="6" t="str">
        <f>VLOOKUP(K926,'Structure type'!$A$1:$B$15,2,FALSE)</f>
        <v>Private Sample Well</v>
      </c>
      <c r="M926" s="6" t="s">
        <v>81</v>
      </c>
      <c r="N926" s="6" t="str">
        <f>VLOOKUP(M926,'Excursion Cause'!$A$1:$B$34,2,FALSE)</f>
        <v>Collection system structural failure</v>
      </c>
      <c r="O926" s="21">
        <v>44575.0</v>
      </c>
      <c r="P926" s="6" t="s">
        <v>518</v>
      </c>
      <c r="Q926" s="21">
        <v>44575.0</v>
      </c>
      <c r="R926" s="6" t="s">
        <v>518</v>
      </c>
      <c r="S926" s="20">
        <v>0.0</v>
      </c>
      <c r="T926" s="6" t="s">
        <v>118</v>
      </c>
      <c r="U926" s="6"/>
      <c r="V926" s="6"/>
      <c r="W926" s="6">
        <v>29.7436174</v>
      </c>
      <c r="X926" s="6">
        <v>-95.2728087</v>
      </c>
    </row>
    <row r="927" ht="15.75" customHeight="1">
      <c r="A927" s="6">
        <v>13185.0</v>
      </c>
      <c r="B927" s="6">
        <v>2022.0</v>
      </c>
      <c r="C927" s="6" t="str">
        <f t="shared" si="5"/>
        <v>5551 ROYALTON ST,Houston,Texas</v>
      </c>
      <c r="D927" s="6" t="s">
        <v>611</v>
      </c>
      <c r="E927" s="6" t="s">
        <v>25</v>
      </c>
      <c r="F927" s="6" t="s">
        <v>26</v>
      </c>
      <c r="G927" s="6" t="s">
        <v>287</v>
      </c>
      <c r="H927" s="6" t="s">
        <v>28</v>
      </c>
      <c r="I927" s="6" t="str">
        <f>VLOOKUP(H927,'Flow Location'!$A$1:$B$21,2,FALSE)</f>
        <v>Storm Sewer (not contained)</v>
      </c>
      <c r="J927" s="20">
        <v>480.0</v>
      </c>
      <c r="K927" s="6" t="s">
        <v>29</v>
      </c>
      <c r="L927" s="6" t="str">
        <f>VLOOKUP(K927,'Structure type'!$A$1:$B$15,2,FALSE)</f>
        <v>Manhole</v>
      </c>
      <c r="M927" s="6" t="s">
        <v>52</v>
      </c>
      <c r="N927" s="6" t="str">
        <f>VLOOKUP(M927,'Excursion Cause'!$A$1:$B$34,2,FALSE)</f>
        <v>Collection system structural blockage</v>
      </c>
      <c r="O927" s="21">
        <v>44575.0</v>
      </c>
      <c r="P927" s="6" t="s">
        <v>1605</v>
      </c>
      <c r="Q927" s="21">
        <v>44575.0</v>
      </c>
      <c r="R927" s="6" t="s">
        <v>1606</v>
      </c>
      <c r="S927" s="20">
        <v>3.0</v>
      </c>
      <c r="T927" s="6" t="s">
        <v>107</v>
      </c>
      <c r="U927" s="6"/>
      <c r="V927" s="6"/>
      <c r="W927" s="6">
        <v>29.7220351</v>
      </c>
      <c r="X927" s="6">
        <v>-95.4723035</v>
      </c>
    </row>
    <row r="928" ht="15.75" customHeight="1">
      <c r="A928" s="6">
        <v>13188.0</v>
      </c>
      <c r="B928" s="6">
        <v>2022.0</v>
      </c>
      <c r="C928" s="6" t="str">
        <f t="shared" si="5"/>
        <v>3608 FARMER ST,Houston,Texas</v>
      </c>
      <c r="D928" s="6" t="s">
        <v>1607</v>
      </c>
      <c r="E928" s="6" t="s">
        <v>25</v>
      </c>
      <c r="F928" s="6" t="s">
        <v>26</v>
      </c>
      <c r="G928" s="6" t="s">
        <v>86</v>
      </c>
      <c r="H928" s="6" t="s">
        <v>1493</v>
      </c>
      <c r="I928" s="6" t="str">
        <f>VLOOKUP(H928,'Flow Location'!$A$1:$B$21,2,FALSE)</f>
        <v>Contained On Site, not within 5 ft. of Bayou/Surface Water/Drainage Ditch</v>
      </c>
      <c r="J928" s="20">
        <v>0.0</v>
      </c>
      <c r="K928" s="6" t="s">
        <v>45</v>
      </c>
      <c r="L928" s="6" t="str">
        <f>VLOOKUP(K928,'Structure type'!$A$1:$B$15,2,FALSE)</f>
        <v>City Cleanout</v>
      </c>
      <c r="M928" s="6" t="s">
        <v>56</v>
      </c>
      <c r="N928" s="6" t="str">
        <f>VLOOKUP(M928,'Excursion Cause'!$A$1:$B$34,2,FALSE)</f>
        <v>Rags/Wipes</v>
      </c>
      <c r="O928" s="21">
        <v>44575.0</v>
      </c>
      <c r="P928" s="6" t="s">
        <v>1608</v>
      </c>
      <c r="Q928" s="21">
        <v>44575.0</v>
      </c>
      <c r="R928" s="6" t="s">
        <v>1608</v>
      </c>
      <c r="S928" s="20">
        <v>0.0</v>
      </c>
      <c r="T928" s="6" t="s">
        <v>1609</v>
      </c>
      <c r="U928" s="6"/>
      <c r="V928" s="6"/>
      <c r="W928" s="6">
        <v>29.7749469</v>
      </c>
      <c r="X928" s="6">
        <v>-95.3335678</v>
      </c>
    </row>
    <row r="929" ht="15.75" customHeight="1">
      <c r="A929" s="6">
        <v>13198.0</v>
      </c>
      <c r="B929" s="6">
        <v>2022.0</v>
      </c>
      <c r="C929" s="6" t="str">
        <f t="shared" si="5"/>
        <v>6926 S LOOP FWY,Houston,Texas</v>
      </c>
      <c r="D929" s="6" t="s">
        <v>1610</v>
      </c>
      <c r="E929" s="6" t="s">
        <v>25</v>
      </c>
      <c r="F929" s="6" t="s">
        <v>26</v>
      </c>
      <c r="G929" s="6" t="s">
        <v>135</v>
      </c>
      <c r="H929" s="6" t="s">
        <v>1493</v>
      </c>
      <c r="I929" s="6" t="str">
        <f>VLOOKUP(H929,'Flow Location'!$A$1:$B$21,2,FALSE)</f>
        <v>Contained On Site, not within 5 ft. of Bayou/Surface Water/Drainage Ditch</v>
      </c>
      <c r="J929" s="20">
        <v>42.0</v>
      </c>
      <c r="K929" s="6" t="s">
        <v>29</v>
      </c>
      <c r="L929" s="6" t="str">
        <f>VLOOKUP(K929,'Structure type'!$A$1:$B$15,2,FALSE)</f>
        <v>Manhole</v>
      </c>
      <c r="M929" s="6" t="s">
        <v>30</v>
      </c>
      <c r="N929" s="6" t="str">
        <f>VLOOKUP(M929,'Excursion Cause'!$A$1:$B$34,2,FALSE)</f>
        <v>Grease Blockage</v>
      </c>
      <c r="O929" s="21">
        <v>44577.0</v>
      </c>
      <c r="P929" s="6" t="s">
        <v>352</v>
      </c>
      <c r="Q929" s="21">
        <v>44577.0</v>
      </c>
      <c r="R929" s="6" t="s">
        <v>125</v>
      </c>
      <c r="S929" s="20">
        <v>0.0</v>
      </c>
      <c r="T929" s="6" t="s">
        <v>1611</v>
      </c>
      <c r="U929" s="6"/>
      <c r="V929" s="6"/>
      <c r="W929" s="6">
        <v>29.7085112</v>
      </c>
      <c r="X929" s="6">
        <v>-95.2709665</v>
      </c>
    </row>
    <row r="930" ht="15.75" customHeight="1">
      <c r="A930" s="6">
        <v>13204.0</v>
      </c>
      <c r="B930" s="6">
        <v>2022.0</v>
      </c>
      <c r="C930" s="6" t="str">
        <f t="shared" si="5"/>
        <v>5910 PAR FOUR DR,Houston,Texas</v>
      </c>
      <c r="D930" s="6" t="s">
        <v>1612</v>
      </c>
      <c r="E930" s="6" t="s">
        <v>25</v>
      </c>
      <c r="F930" s="6" t="s">
        <v>26</v>
      </c>
      <c r="G930" s="6" t="s">
        <v>502</v>
      </c>
      <c r="H930" s="6" t="s">
        <v>1493</v>
      </c>
      <c r="I930" s="6" t="str">
        <f>VLOOKUP(H930,'Flow Location'!$A$1:$B$21,2,FALSE)</f>
        <v>Contained On Site, not within 5 ft. of Bayou/Surface Water/Drainage Ditch</v>
      </c>
      <c r="J930" s="20">
        <v>0.0</v>
      </c>
      <c r="K930" s="6" t="s">
        <v>29</v>
      </c>
      <c r="L930" s="6" t="str">
        <f>VLOOKUP(K930,'Structure type'!$A$1:$B$15,2,FALSE)</f>
        <v>Manhole</v>
      </c>
      <c r="M930" s="6" t="s">
        <v>30</v>
      </c>
      <c r="N930" s="6" t="str">
        <f>VLOOKUP(M930,'Excursion Cause'!$A$1:$B$34,2,FALSE)</f>
        <v>Grease Blockage</v>
      </c>
      <c r="O930" s="21">
        <v>44578.0</v>
      </c>
      <c r="P930" s="6" t="s">
        <v>66</v>
      </c>
      <c r="Q930" s="21">
        <v>44578.0</v>
      </c>
      <c r="R930" s="6" t="s">
        <v>66</v>
      </c>
      <c r="S930" s="20">
        <v>0.0</v>
      </c>
      <c r="T930" s="6" t="s">
        <v>1613</v>
      </c>
      <c r="U930" s="6"/>
      <c r="V930" s="6"/>
      <c r="W930" s="6">
        <v>29.8671712</v>
      </c>
      <c r="X930" s="6">
        <v>-95.4762432</v>
      </c>
    </row>
    <row r="931" ht="15.75" customHeight="1">
      <c r="A931" s="6">
        <v>13206.0</v>
      </c>
      <c r="B931" s="6">
        <v>2022.0</v>
      </c>
      <c r="C931" s="6" t="str">
        <f t="shared" si="5"/>
        <v>15111 BATHURST DR,Houston,Texas</v>
      </c>
      <c r="D931" s="6" t="s">
        <v>1614</v>
      </c>
      <c r="E931" s="6" t="s">
        <v>25</v>
      </c>
      <c r="F931" s="6" t="s">
        <v>26</v>
      </c>
      <c r="G931" s="6" t="s">
        <v>39</v>
      </c>
      <c r="H931" s="6" t="s">
        <v>1493</v>
      </c>
      <c r="I931" s="6" t="str">
        <f>VLOOKUP(H931,'Flow Location'!$A$1:$B$21,2,FALSE)</f>
        <v>Contained On Site, not within 5 ft. of Bayou/Surface Water/Drainage Ditch</v>
      </c>
      <c r="J931" s="20">
        <v>326.0</v>
      </c>
      <c r="K931" s="6" t="s">
        <v>29</v>
      </c>
      <c r="L931" s="6" t="str">
        <f>VLOOKUP(K931,'Structure type'!$A$1:$B$15,2,FALSE)</f>
        <v>Manhole</v>
      </c>
      <c r="M931" s="6" t="s">
        <v>30</v>
      </c>
      <c r="N931" s="6" t="str">
        <f>VLOOKUP(M931,'Excursion Cause'!$A$1:$B$34,2,FALSE)</f>
        <v>Grease Blockage</v>
      </c>
      <c r="O931" s="21">
        <v>44578.0</v>
      </c>
      <c r="P931" s="6" t="s">
        <v>1615</v>
      </c>
      <c r="Q931" s="21">
        <v>44578.0</v>
      </c>
      <c r="R931" s="6" t="s">
        <v>547</v>
      </c>
      <c r="S931" s="20">
        <v>1.0</v>
      </c>
      <c r="T931" s="6" t="s">
        <v>1616</v>
      </c>
      <c r="U931" s="6"/>
      <c r="V931" s="6"/>
      <c r="W931" s="6">
        <v>29.6072875</v>
      </c>
      <c r="X931" s="6">
        <v>-95.4345156</v>
      </c>
    </row>
    <row r="932" ht="15.75" customHeight="1">
      <c r="A932" s="6">
        <v>13219.0</v>
      </c>
      <c r="B932" s="6">
        <v>2022.0</v>
      </c>
      <c r="C932" s="6" t="str">
        <f t="shared" si="5"/>
        <v>6030 RIDGEWAY DR,Houston,Texas</v>
      </c>
      <c r="D932" s="6" t="s">
        <v>1343</v>
      </c>
      <c r="E932" s="6" t="s">
        <v>25</v>
      </c>
      <c r="F932" s="6" t="s">
        <v>26</v>
      </c>
      <c r="G932" s="6" t="s">
        <v>120</v>
      </c>
      <c r="H932" s="6" t="s">
        <v>1493</v>
      </c>
      <c r="I932" s="6" t="str">
        <f>VLOOKUP(H932,'Flow Location'!$A$1:$B$21,2,FALSE)</f>
        <v>Contained On Site, not within 5 ft. of Bayou/Surface Water/Drainage Ditch</v>
      </c>
      <c r="J932" s="20">
        <v>0.0</v>
      </c>
      <c r="K932" s="6" t="s">
        <v>45</v>
      </c>
      <c r="L932" s="6" t="str">
        <f>VLOOKUP(K932,'Structure type'!$A$1:$B$15,2,FALSE)</f>
        <v>City Cleanout</v>
      </c>
      <c r="M932" s="6" t="s">
        <v>30</v>
      </c>
      <c r="N932" s="6" t="str">
        <f>VLOOKUP(M932,'Excursion Cause'!$A$1:$B$34,2,FALSE)</f>
        <v>Grease Blockage</v>
      </c>
      <c r="O932" s="21">
        <v>44579.0</v>
      </c>
      <c r="P932" s="6" t="s">
        <v>427</v>
      </c>
      <c r="Q932" s="21">
        <v>44579.0</v>
      </c>
      <c r="R932" s="6" t="s">
        <v>427</v>
      </c>
      <c r="S932" s="20">
        <v>0.0</v>
      </c>
      <c r="T932" s="6" t="s">
        <v>1617</v>
      </c>
      <c r="U932" s="6"/>
      <c r="V932" s="6"/>
      <c r="W932" s="6">
        <v>29.6680498</v>
      </c>
      <c r="X932" s="6">
        <v>-95.3271796</v>
      </c>
    </row>
    <row r="933" ht="15.75" customHeight="1">
      <c r="A933" s="6">
        <v>13229.0</v>
      </c>
      <c r="B933" s="6">
        <v>2022.0</v>
      </c>
      <c r="C933" s="6" t="str">
        <f t="shared" si="5"/>
        <v>3801 TELEPHONE RD,Houston,Texas</v>
      </c>
      <c r="D933" s="6" t="s">
        <v>1618</v>
      </c>
      <c r="E933" s="6" t="s">
        <v>25</v>
      </c>
      <c r="F933" s="6" t="s">
        <v>26</v>
      </c>
      <c r="G933" s="6" t="s">
        <v>141</v>
      </c>
      <c r="H933" s="6" t="s">
        <v>28</v>
      </c>
      <c r="I933" s="6" t="str">
        <f>VLOOKUP(H933,'Flow Location'!$A$1:$B$21,2,FALSE)</f>
        <v>Storm Sewer (not contained)</v>
      </c>
      <c r="J933" s="20">
        <v>95.0</v>
      </c>
      <c r="K933" s="6" t="s">
        <v>29</v>
      </c>
      <c r="L933" s="6" t="str">
        <f>VLOOKUP(K933,'Structure type'!$A$1:$B$15,2,FALSE)</f>
        <v>Manhole</v>
      </c>
      <c r="M933" s="6" t="s">
        <v>30</v>
      </c>
      <c r="N933" s="6" t="str">
        <f>VLOOKUP(M933,'Excursion Cause'!$A$1:$B$34,2,FALSE)</f>
        <v>Grease Blockage</v>
      </c>
      <c r="O933" s="21">
        <v>44579.0</v>
      </c>
      <c r="P933" s="6" t="s">
        <v>257</v>
      </c>
      <c r="Q933" s="21">
        <v>44579.0</v>
      </c>
      <c r="R933" s="6" t="s">
        <v>411</v>
      </c>
      <c r="S933" s="20">
        <v>1.0</v>
      </c>
      <c r="T933" s="6" t="s">
        <v>1619</v>
      </c>
      <c r="U933" s="6"/>
      <c r="V933" s="6"/>
      <c r="W933" s="6">
        <v>29.7075402</v>
      </c>
      <c r="X933" s="6">
        <v>-95.31087</v>
      </c>
    </row>
    <row r="934" ht="15.75" customHeight="1">
      <c r="A934" s="6">
        <v>13230.0</v>
      </c>
      <c r="B934" s="6">
        <v>2022.0</v>
      </c>
      <c r="C934" s="6" t="str">
        <f t="shared" si="5"/>
        <v>2511 WILLOWICK RD,Houston,Texas</v>
      </c>
      <c r="D934" s="6" t="s">
        <v>1620</v>
      </c>
      <c r="E934" s="6" t="s">
        <v>25</v>
      </c>
      <c r="F934" s="6" t="s">
        <v>26</v>
      </c>
      <c r="G934" s="6" t="s">
        <v>1621</v>
      </c>
      <c r="H934" s="6" t="s">
        <v>28</v>
      </c>
      <c r="I934" s="6" t="str">
        <f>VLOOKUP(H934,'Flow Location'!$A$1:$B$21,2,FALSE)</f>
        <v>Storm Sewer (not contained)</v>
      </c>
      <c r="J934" s="20">
        <v>752.0</v>
      </c>
      <c r="K934" s="6" t="s">
        <v>29</v>
      </c>
      <c r="L934" s="6" t="str">
        <f>VLOOKUP(K934,'Structure type'!$A$1:$B$15,2,FALSE)</f>
        <v>Manhole</v>
      </c>
      <c r="M934" s="6" t="s">
        <v>30</v>
      </c>
      <c r="N934" s="6" t="str">
        <f>VLOOKUP(M934,'Excursion Cause'!$A$1:$B$34,2,FALSE)</f>
        <v>Grease Blockage</v>
      </c>
      <c r="O934" s="21">
        <v>44579.0</v>
      </c>
      <c r="P934" s="6" t="s">
        <v>543</v>
      </c>
      <c r="Q934" s="21">
        <v>44579.0</v>
      </c>
      <c r="R934" s="6" t="s">
        <v>786</v>
      </c>
      <c r="S934" s="20">
        <v>4.0</v>
      </c>
      <c r="T934" s="6" t="s">
        <v>1622</v>
      </c>
      <c r="U934" s="6"/>
      <c r="V934" s="6"/>
      <c r="W934" s="6">
        <v>29.7425171</v>
      </c>
      <c r="X934" s="6">
        <v>-95.4411043</v>
      </c>
    </row>
    <row r="935" ht="15.75" customHeight="1">
      <c r="A935" s="6">
        <v>13232.0</v>
      </c>
      <c r="B935" s="6">
        <v>2022.0</v>
      </c>
      <c r="C935" s="6" t="str">
        <f t="shared" si="5"/>
        <v>1545 MUNGER ST,Houston,Texas</v>
      </c>
      <c r="D935" s="6" t="s">
        <v>1623</v>
      </c>
      <c r="E935" s="6" t="s">
        <v>25</v>
      </c>
      <c r="F935" s="6" t="s">
        <v>26</v>
      </c>
      <c r="G935" s="6" t="s">
        <v>141</v>
      </c>
      <c r="H935" s="6" t="s">
        <v>1493</v>
      </c>
      <c r="I935" s="6" t="str">
        <f>VLOOKUP(H935,'Flow Location'!$A$1:$B$21,2,FALSE)</f>
        <v>Contained On Site, not within 5 ft. of Bayou/Surface Water/Drainage Ditch</v>
      </c>
      <c r="J935" s="20">
        <v>0.0</v>
      </c>
      <c r="K935" s="6" t="s">
        <v>45</v>
      </c>
      <c r="L935" s="6" t="str">
        <f>VLOOKUP(K935,'Structure type'!$A$1:$B$15,2,FALSE)</f>
        <v>City Cleanout</v>
      </c>
      <c r="M935" s="6" t="s">
        <v>30</v>
      </c>
      <c r="N935" s="6" t="str">
        <f>VLOOKUP(M935,'Excursion Cause'!$A$1:$B$34,2,FALSE)</f>
        <v>Grease Blockage</v>
      </c>
      <c r="O935" s="21">
        <v>44579.0</v>
      </c>
      <c r="P935" s="6" t="s">
        <v>1624</v>
      </c>
      <c r="Q935" s="21">
        <v>44579.0</v>
      </c>
      <c r="R935" s="6" t="s">
        <v>1624</v>
      </c>
      <c r="S935" s="20">
        <v>0.0</v>
      </c>
      <c r="T935" s="6" t="s">
        <v>1625</v>
      </c>
      <c r="U935" s="6"/>
      <c r="V935" s="6"/>
      <c r="W935" s="6">
        <v>29.7257401</v>
      </c>
      <c r="X935" s="6">
        <v>-95.3278616</v>
      </c>
    </row>
    <row r="936" ht="15.75" customHeight="1">
      <c r="A936" s="6">
        <v>13233.0</v>
      </c>
      <c r="B936" s="6">
        <v>2022.0</v>
      </c>
      <c r="C936" s="6" t="str">
        <f t="shared" si="5"/>
        <v>9523 GULF BRIDGE ST,Houston,Texas</v>
      </c>
      <c r="D936" s="6" t="s">
        <v>1626</v>
      </c>
      <c r="E936" s="6" t="s">
        <v>25</v>
      </c>
      <c r="F936" s="6" t="s">
        <v>26</v>
      </c>
      <c r="G936" s="6" t="s">
        <v>95</v>
      </c>
      <c r="H936" s="6" t="s">
        <v>1493</v>
      </c>
      <c r="I936" s="6" t="str">
        <f>VLOOKUP(H936,'Flow Location'!$A$1:$B$21,2,FALSE)</f>
        <v>Contained On Site, not within 5 ft. of Bayou/Surface Water/Drainage Ditch</v>
      </c>
      <c r="J936" s="20">
        <v>0.0</v>
      </c>
      <c r="K936" s="6" t="s">
        <v>45</v>
      </c>
      <c r="L936" s="6" t="str">
        <f>VLOOKUP(K936,'Structure type'!$A$1:$B$15,2,FALSE)</f>
        <v>City Cleanout</v>
      </c>
      <c r="M936" s="6" t="s">
        <v>30</v>
      </c>
      <c r="N936" s="6" t="str">
        <f>VLOOKUP(M936,'Excursion Cause'!$A$1:$B$34,2,FALSE)</f>
        <v>Grease Blockage</v>
      </c>
      <c r="O936" s="21">
        <v>44579.0</v>
      </c>
      <c r="P936" s="6" t="s">
        <v>1627</v>
      </c>
      <c r="Q936" s="21">
        <v>44579.0</v>
      </c>
      <c r="R936" s="6" t="s">
        <v>1627</v>
      </c>
      <c r="S936" s="20">
        <v>0.0</v>
      </c>
      <c r="T936" s="6" t="s">
        <v>1628</v>
      </c>
      <c r="U936" s="6"/>
      <c r="V936" s="6"/>
      <c r="W936" s="6">
        <v>29.6088284</v>
      </c>
      <c r="X936" s="6">
        <v>-95.2464165</v>
      </c>
    </row>
    <row r="937" ht="15.75" customHeight="1">
      <c r="A937" s="6">
        <v>13234.0</v>
      </c>
      <c r="B937" s="6">
        <v>2022.0</v>
      </c>
      <c r="C937" s="6" t="str">
        <f t="shared" si="5"/>
        <v>6805 NORDLING RD,Houston,Texas</v>
      </c>
      <c r="D937" s="6" t="s">
        <v>1603</v>
      </c>
      <c r="E937" s="6" t="s">
        <v>25</v>
      </c>
      <c r="F937" s="6" t="s">
        <v>26</v>
      </c>
      <c r="G937" s="6" t="s">
        <v>275</v>
      </c>
      <c r="H937" s="6" t="s">
        <v>44</v>
      </c>
      <c r="I937" s="6" t="str">
        <f>VLOOKUP(H937,'Flow Location'!$A$1:$B$21,2,FALSE)</f>
        <v>Bayou/surface water/drainage ditch</v>
      </c>
      <c r="J937" s="20">
        <v>2668.0</v>
      </c>
      <c r="K937" s="6" t="s">
        <v>45</v>
      </c>
      <c r="L937" s="6" t="str">
        <f>VLOOKUP(K937,'Structure type'!$A$1:$B$15,2,FALSE)</f>
        <v>City Cleanout</v>
      </c>
      <c r="M937" s="6" t="s">
        <v>52</v>
      </c>
      <c r="N937" s="6" t="str">
        <f>VLOOKUP(M937,'Excursion Cause'!$A$1:$B$34,2,FALSE)</f>
        <v>Collection system structural blockage</v>
      </c>
      <c r="O937" s="21">
        <v>44579.0</v>
      </c>
      <c r="P937" s="6" t="s">
        <v>1086</v>
      </c>
      <c r="Q937" s="21">
        <v>44580.0</v>
      </c>
      <c r="R937" s="6" t="s">
        <v>149</v>
      </c>
      <c r="S937" s="20">
        <v>2.0</v>
      </c>
      <c r="T937" s="6" t="s">
        <v>107</v>
      </c>
      <c r="U937" s="6"/>
      <c r="V937" s="6"/>
      <c r="W937" s="6">
        <v>29.8608407</v>
      </c>
      <c r="X937" s="6">
        <v>-95.3917125</v>
      </c>
    </row>
    <row r="938" ht="15.75" customHeight="1">
      <c r="A938" s="6">
        <v>13238.0</v>
      </c>
      <c r="B938" s="6">
        <v>2022.0</v>
      </c>
      <c r="C938" s="6" t="str">
        <f t="shared" si="5"/>
        <v>13910 LOCKE LN,Houston,Texas</v>
      </c>
      <c r="D938" s="6" t="s">
        <v>1629</v>
      </c>
      <c r="E938" s="6" t="s">
        <v>25</v>
      </c>
      <c r="F938" s="6" t="s">
        <v>26</v>
      </c>
      <c r="G938" s="6" t="s">
        <v>347</v>
      </c>
      <c r="H938" s="6" t="s">
        <v>1493</v>
      </c>
      <c r="I938" s="6" t="str">
        <f>VLOOKUP(H938,'Flow Location'!$A$1:$B$21,2,FALSE)</f>
        <v>Contained On Site, not within 5 ft. of Bayou/Surface Water/Drainage Ditch</v>
      </c>
      <c r="J938" s="20">
        <v>0.0</v>
      </c>
      <c r="K938" s="6" t="s">
        <v>29</v>
      </c>
      <c r="L938" s="6" t="str">
        <f>VLOOKUP(K938,'Structure type'!$A$1:$B$15,2,FALSE)</f>
        <v>Manhole</v>
      </c>
      <c r="M938" s="6" t="s">
        <v>30</v>
      </c>
      <c r="N938" s="6" t="str">
        <f>VLOOKUP(M938,'Excursion Cause'!$A$1:$B$34,2,FALSE)</f>
        <v>Grease Blockage</v>
      </c>
      <c r="O938" s="21">
        <v>44580.0</v>
      </c>
      <c r="P938" s="6" t="s">
        <v>195</v>
      </c>
      <c r="Q938" s="21">
        <v>44580.0</v>
      </c>
      <c r="R938" s="6" t="s">
        <v>195</v>
      </c>
      <c r="S938" s="20">
        <v>0.0</v>
      </c>
      <c r="T938" s="6" t="s">
        <v>1630</v>
      </c>
      <c r="U938" s="6"/>
      <c r="V938" s="6"/>
      <c r="W938" s="6">
        <v>29.7369492</v>
      </c>
      <c r="X938" s="6">
        <v>-95.6360399</v>
      </c>
    </row>
    <row r="939" ht="15.75" customHeight="1">
      <c r="A939" s="6">
        <v>13240.0</v>
      </c>
      <c r="B939" s="6">
        <v>2022.0</v>
      </c>
      <c r="C939" s="6" t="str">
        <f t="shared" si="5"/>
        <v>301 N DRENNAN ST,Houston,Texas</v>
      </c>
      <c r="D939" s="6" t="s">
        <v>1631</v>
      </c>
      <c r="E939" s="6" t="s">
        <v>25</v>
      </c>
      <c r="F939" s="6" t="s">
        <v>26</v>
      </c>
      <c r="G939" s="6" t="s">
        <v>172</v>
      </c>
      <c r="H939" s="6" t="s">
        <v>1493</v>
      </c>
      <c r="I939" s="6" t="str">
        <f>VLOOKUP(H939,'Flow Location'!$A$1:$B$21,2,FALSE)</f>
        <v>Contained On Site, not within 5 ft. of Bayou/Surface Water/Drainage Ditch</v>
      </c>
      <c r="J939" s="20">
        <v>0.0</v>
      </c>
      <c r="K939" s="6" t="s">
        <v>29</v>
      </c>
      <c r="L939" s="6" t="str">
        <f>VLOOKUP(K939,'Structure type'!$A$1:$B$15,2,FALSE)</f>
        <v>Manhole</v>
      </c>
      <c r="M939" s="6" t="s">
        <v>30</v>
      </c>
      <c r="N939" s="6" t="str">
        <f>VLOOKUP(M939,'Excursion Cause'!$A$1:$B$34,2,FALSE)</f>
        <v>Grease Blockage</v>
      </c>
      <c r="O939" s="21">
        <v>44580.0</v>
      </c>
      <c r="P939" s="6" t="s">
        <v>485</v>
      </c>
      <c r="Q939" s="21">
        <v>44580.0</v>
      </c>
      <c r="R939" s="6" t="s">
        <v>485</v>
      </c>
      <c r="S939" s="20">
        <v>0.0</v>
      </c>
      <c r="T939" s="6" t="s">
        <v>1632</v>
      </c>
      <c r="U939" s="6"/>
      <c r="V939" s="6"/>
      <c r="W939" s="6">
        <v>29.7522002</v>
      </c>
      <c r="X939" s="6">
        <v>-95.3322275</v>
      </c>
    </row>
    <row r="940" ht="15.75" customHeight="1">
      <c r="A940" s="6">
        <v>13243.0</v>
      </c>
      <c r="B940" s="6">
        <v>2022.0</v>
      </c>
      <c r="C940" s="6" t="str">
        <f t="shared" si="5"/>
        <v>6705 NAVIGATION BLVD,Houston,Texas</v>
      </c>
      <c r="D940" s="6" t="s">
        <v>1633</v>
      </c>
      <c r="E940" s="6" t="s">
        <v>25</v>
      </c>
      <c r="F940" s="6" t="s">
        <v>26</v>
      </c>
      <c r="G940" s="6" t="s">
        <v>227</v>
      </c>
      <c r="H940" s="6" t="s">
        <v>1493</v>
      </c>
      <c r="I940" s="6" t="str">
        <f>VLOOKUP(H940,'Flow Location'!$A$1:$B$21,2,FALSE)</f>
        <v>Contained On Site, not within 5 ft. of Bayou/Surface Water/Drainage Ditch</v>
      </c>
      <c r="J940" s="20">
        <v>0.0</v>
      </c>
      <c r="K940" s="6" t="s">
        <v>45</v>
      </c>
      <c r="L940" s="6" t="str">
        <f>VLOOKUP(K940,'Structure type'!$A$1:$B$15,2,FALSE)</f>
        <v>City Cleanout</v>
      </c>
      <c r="M940" s="6" t="s">
        <v>30</v>
      </c>
      <c r="N940" s="6" t="str">
        <f>VLOOKUP(M940,'Excursion Cause'!$A$1:$B$34,2,FALSE)</f>
        <v>Grease Blockage</v>
      </c>
      <c r="O940" s="21">
        <v>44580.0</v>
      </c>
      <c r="P940" s="6" t="s">
        <v>353</v>
      </c>
      <c r="Q940" s="21">
        <v>44580.0</v>
      </c>
      <c r="R940" s="6" t="s">
        <v>353</v>
      </c>
      <c r="S940" s="20">
        <v>0.0</v>
      </c>
      <c r="T940" s="6" t="s">
        <v>1634</v>
      </c>
      <c r="U940" s="6"/>
      <c r="V940" s="6"/>
      <c r="W940" s="6">
        <v>29.7458961</v>
      </c>
      <c r="X940" s="6">
        <v>-95.3044391</v>
      </c>
    </row>
    <row r="941" ht="15.75" customHeight="1">
      <c r="A941" s="6">
        <v>13244.0</v>
      </c>
      <c r="B941" s="6">
        <v>2022.0</v>
      </c>
      <c r="C941" s="6" t="str">
        <f t="shared" si="5"/>
        <v>3505 BLODGETT ST,Houston,Texas</v>
      </c>
      <c r="D941" s="6" t="s">
        <v>1635</v>
      </c>
      <c r="E941" s="6" t="s">
        <v>25</v>
      </c>
      <c r="F941" s="6" t="s">
        <v>26</v>
      </c>
      <c r="G941" s="6" t="s">
        <v>308</v>
      </c>
      <c r="H941" s="6" t="s">
        <v>28</v>
      </c>
      <c r="I941" s="6" t="str">
        <f>VLOOKUP(H941,'Flow Location'!$A$1:$B$21,2,FALSE)</f>
        <v>Storm Sewer (not contained)</v>
      </c>
      <c r="J941" s="20">
        <v>160.0</v>
      </c>
      <c r="K941" s="6" t="s">
        <v>29</v>
      </c>
      <c r="L941" s="6" t="str">
        <f>VLOOKUP(K941,'Structure type'!$A$1:$B$15,2,FALSE)</f>
        <v>Manhole</v>
      </c>
      <c r="M941" s="6" t="s">
        <v>30</v>
      </c>
      <c r="N941" s="6" t="str">
        <f>VLOOKUP(M941,'Excursion Cause'!$A$1:$B$34,2,FALSE)</f>
        <v>Grease Blockage</v>
      </c>
      <c r="O941" s="21">
        <v>44580.0</v>
      </c>
      <c r="P941" s="6" t="s">
        <v>403</v>
      </c>
      <c r="Q941" s="21">
        <v>44580.0</v>
      </c>
      <c r="R941" s="6" t="s">
        <v>203</v>
      </c>
      <c r="S941" s="20">
        <v>3.0</v>
      </c>
      <c r="T941" s="6" t="s">
        <v>1636</v>
      </c>
      <c r="U941" s="6"/>
      <c r="V941" s="6"/>
      <c r="W941" s="6">
        <v>29.718456</v>
      </c>
      <c r="X941" s="6">
        <v>-95.3580143</v>
      </c>
    </row>
    <row r="942" ht="15.75" customHeight="1">
      <c r="A942" s="6">
        <v>13248.0</v>
      </c>
      <c r="B942" s="6">
        <v>2022.0</v>
      </c>
      <c r="C942" s="6" t="str">
        <f t="shared" si="5"/>
        <v>5305 WENDA ST,Houston,Texas</v>
      </c>
      <c r="D942" s="6" t="s">
        <v>1637</v>
      </c>
      <c r="E942" s="6" t="s">
        <v>25</v>
      </c>
      <c r="F942" s="6" t="s">
        <v>26</v>
      </c>
      <c r="G942" s="6" t="s">
        <v>120</v>
      </c>
      <c r="H942" s="6" t="s">
        <v>50</v>
      </c>
      <c r="I942" s="6" t="str">
        <f>VLOOKUP(H942,'Flow Location'!$A$1:$B$21,2,FALSE)</f>
        <v>Contained On Site, not within 5 ft. of Bayou/Surface Water/Drainage Ditch</v>
      </c>
      <c r="J942" s="20">
        <v>0.0</v>
      </c>
      <c r="K942" s="6" t="s">
        <v>45</v>
      </c>
      <c r="L942" s="6" t="str">
        <f>VLOOKUP(K942,'Structure type'!$A$1:$B$15,2,FALSE)</f>
        <v>City Cleanout</v>
      </c>
      <c r="M942" s="6" t="s">
        <v>52</v>
      </c>
      <c r="N942" s="6" t="str">
        <f>VLOOKUP(M942,'Excursion Cause'!$A$1:$B$34,2,FALSE)</f>
        <v>Collection system structural blockage</v>
      </c>
      <c r="O942" s="21">
        <v>44580.0</v>
      </c>
      <c r="P942" s="6" t="s">
        <v>1502</v>
      </c>
      <c r="Q942" s="21">
        <v>44580.0</v>
      </c>
      <c r="R942" s="6" t="s">
        <v>1502</v>
      </c>
      <c r="S942" s="20">
        <v>0.0</v>
      </c>
      <c r="T942" s="6" t="s">
        <v>89</v>
      </c>
      <c r="U942" s="6"/>
      <c r="V942" s="6"/>
      <c r="W942" s="6">
        <v>29.6529832</v>
      </c>
      <c r="X942" s="6">
        <v>-95.3416459</v>
      </c>
    </row>
    <row r="943" ht="15.75" customHeight="1">
      <c r="A943" s="6">
        <v>13250.0</v>
      </c>
      <c r="B943" s="6">
        <v>2022.0</v>
      </c>
      <c r="C943" s="6" t="str">
        <f t="shared" si="5"/>
        <v>6606 KELLER ST,Houston,Texas</v>
      </c>
      <c r="D943" s="6" t="s">
        <v>1030</v>
      </c>
      <c r="E943" s="6" t="s">
        <v>25</v>
      </c>
      <c r="F943" s="6" t="s">
        <v>26</v>
      </c>
      <c r="G943" s="6" t="s">
        <v>35</v>
      </c>
      <c r="H943" s="6" t="s">
        <v>28</v>
      </c>
      <c r="I943" s="6" t="str">
        <f>VLOOKUP(H943,'Flow Location'!$A$1:$B$21,2,FALSE)</f>
        <v>Storm Sewer (not contained)</v>
      </c>
      <c r="J943" s="20">
        <v>1260.0</v>
      </c>
      <c r="K943" s="6" t="s">
        <v>29</v>
      </c>
      <c r="L943" s="6" t="str">
        <f>VLOOKUP(K943,'Structure type'!$A$1:$B$15,2,FALSE)</f>
        <v>Manhole</v>
      </c>
      <c r="M943" s="6" t="s">
        <v>96</v>
      </c>
      <c r="N943" s="6" t="str">
        <f>VLOOKUP(M943,'Excursion Cause'!$A$1:$B$34,2,FALSE)</f>
        <v>Collection system temporary blockage</v>
      </c>
      <c r="O943" s="21">
        <v>44580.0</v>
      </c>
      <c r="P943" s="6" t="s">
        <v>490</v>
      </c>
      <c r="Q943" s="21">
        <v>44581.0</v>
      </c>
      <c r="R943" s="6" t="s">
        <v>678</v>
      </c>
      <c r="S943" s="20">
        <v>1.0</v>
      </c>
      <c r="T943" s="6" t="s">
        <v>118</v>
      </c>
      <c r="U943" s="6"/>
      <c r="V943" s="6"/>
      <c r="W943" s="6">
        <v>29.7057697</v>
      </c>
      <c r="X943" s="6">
        <v>-95.3003472</v>
      </c>
    </row>
    <row r="944" ht="15.75" customHeight="1">
      <c r="A944" s="6">
        <v>13253.0</v>
      </c>
      <c r="B944" s="6">
        <v>2022.0</v>
      </c>
      <c r="C944" s="6" t="str">
        <f t="shared" si="5"/>
        <v>14506 PLAYER ST,Houston,Texas</v>
      </c>
      <c r="D944" s="6" t="s">
        <v>1638</v>
      </c>
      <c r="E944" s="6" t="s">
        <v>25</v>
      </c>
      <c r="F944" s="6" t="s">
        <v>26</v>
      </c>
      <c r="G944" s="6" t="s">
        <v>39</v>
      </c>
      <c r="H944" s="6" t="s">
        <v>1493</v>
      </c>
      <c r="I944" s="6" t="str">
        <f>VLOOKUP(H944,'Flow Location'!$A$1:$B$21,2,FALSE)</f>
        <v>Contained On Site, not within 5 ft. of Bayou/Surface Water/Drainage Ditch</v>
      </c>
      <c r="J944" s="20">
        <v>0.0</v>
      </c>
      <c r="K944" s="6" t="s">
        <v>1639</v>
      </c>
      <c r="L944" s="6" t="str">
        <f>VLOOKUP(K944,'Structure type'!$A$1:$B$15,2,FALSE)</f>
        <v>Private Cleanout</v>
      </c>
      <c r="M944" s="6" t="s">
        <v>30</v>
      </c>
      <c r="N944" s="6" t="str">
        <f>VLOOKUP(M944,'Excursion Cause'!$A$1:$B$34,2,FALSE)</f>
        <v>Grease Blockage</v>
      </c>
      <c r="O944" s="21">
        <v>44580.0</v>
      </c>
      <c r="P944" s="6" t="s">
        <v>1108</v>
      </c>
      <c r="Q944" s="21">
        <v>44580.0</v>
      </c>
      <c r="R944" s="6" t="s">
        <v>1108</v>
      </c>
      <c r="S944" s="20">
        <v>0.0</v>
      </c>
      <c r="T944" s="6" t="s">
        <v>1640</v>
      </c>
      <c r="U944" s="6"/>
      <c r="V944" s="6"/>
      <c r="W944" s="6">
        <v>29.6154171</v>
      </c>
      <c r="X944" s="6">
        <v>-95.4498648</v>
      </c>
    </row>
    <row r="945" ht="15.75" customHeight="1">
      <c r="A945" s="6">
        <v>13254.0</v>
      </c>
      <c r="B945" s="6">
        <v>2022.0</v>
      </c>
      <c r="C945" s="6" t="str">
        <f t="shared" si="5"/>
        <v>8630 KEMPWOOD DR,Houston,Texas</v>
      </c>
      <c r="D945" s="6" t="s">
        <v>1641</v>
      </c>
      <c r="E945" s="6" t="s">
        <v>25</v>
      </c>
      <c r="F945" s="6" t="s">
        <v>26</v>
      </c>
      <c r="G945" s="6" t="s">
        <v>294</v>
      </c>
      <c r="H945" s="6" t="s">
        <v>1493</v>
      </c>
      <c r="I945" s="6" t="str">
        <f>VLOOKUP(H945,'Flow Location'!$A$1:$B$21,2,FALSE)</f>
        <v>Contained On Site, not within 5 ft. of Bayou/Surface Water/Drainage Ditch</v>
      </c>
      <c r="J945" s="20">
        <v>0.0</v>
      </c>
      <c r="K945" s="6" t="s">
        <v>29</v>
      </c>
      <c r="L945" s="6" t="str">
        <f>VLOOKUP(K945,'Structure type'!$A$1:$B$15,2,FALSE)</f>
        <v>Manhole</v>
      </c>
      <c r="M945" s="6" t="s">
        <v>30</v>
      </c>
      <c r="N945" s="6" t="str">
        <f>VLOOKUP(M945,'Excursion Cause'!$A$1:$B$34,2,FALSE)</f>
        <v>Grease Blockage</v>
      </c>
      <c r="O945" s="21">
        <v>44580.0</v>
      </c>
      <c r="P945" s="6" t="s">
        <v>1642</v>
      </c>
      <c r="Q945" s="21">
        <v>44580.0</v>
      </c>
      <c r="R945" s="6" t="s">
        <v>1642</v>
      </c>
      <c r="S945" s="20">
        <v>0.0</v>
      </c>
      <c r="T945" s="6" t="s">
        <v>1643</v>
      </c>
      <c r="U945" s="6"/>
      <c r="V945" s="6"/>
      <c r="W945" s="6">
        <v>29.8212018</v>
      </c>
      <c r="X945" s="6">
        <v>-95.5034991</v>
      </c>
    </row>
    <row r="946" ht="15.75" customHeight="1">
      <c r="A946" s="6">
        <v>13255.0</v>
      </c>
      <c r="B946" s="6">
        <v>2022.0</v>
      </c>
      <c r="C946" s="6" t="str">
        <f t="shared" si="5"/>
        <v>3852 TELEPHONE RD,Houston,Texas</v>
      </c>
      <c r="D946" s="6" t="s">
        <v>1644</v>
      </c>
      <c r="E946" s="6" t="s">
        <v>25</v>
      </c>
      <c r="F946" s="6" t="s">
        <v>26</v>
      </c>
      <c r="G946" s="6" t="s">
        <v>141</v>
      </c>
      <c r="H946" s="6" t="s">
        <v>1493</v>
      </c>
      <c r="I946" s="6" t="str">
        <f>VLOOKUP(H946,'Flow Location'!$A$1:$B$21,2,FALSE)</f>
        <v>Contained On Site, not within 5 ft. of Bayou/Surface Water/Drainage Ditch</v>
      </c>
      <c r="J946" s="20">
        <v>0.0</v>
      </c>
      <c r="K946" s="6" t="s">
        <v>29</v>
      </c>
      <c r="L946" s="6" t="str">
        <f>VLOOKUP(K946,'Structure type'!$A$1:$B$15,2,FALSE)</f>
        <v>Manhole</v>
      </c>
      <c r="M946" s="6" t="s">
        <v>30</v>
      </c>
      <c r="N946" s="6" t="str">
        <f>VLOOKUP(M946,'Excursion Cause'!$A$1:$B$34,2,FALSE)</f>
        <v>Grease Blockage</v>
      </c>
      <c r="O946" s="21">
        <v>44581.0</v>
      </c>
      <c r="P946" s="6" t="s">
        <v>1645</v>
      </c>
      <c r="Q946" s="21">
        <v>44581.0</v>
      </c>
      <c r="R946" s="6" t="s">
        <v>1645</v>
      </c>
      <c r="S946" s="20">
        <v>0.0</v>
      </c>
      <c r="T946" s="6" t="s">
        <v>1646</v>
      </c>
      <c r="U946" s="6"/>
      <c r="V946" s="6"/>
      <c r="W946" s="6">
        <v>29.7066846</v>
      </c>
      <c r="X946" s="6">
        <v>-95.3115375</v>
      </c>
    </row>
    <row r="947" ht="15.75" customHeight="1">
      <c r="A947" s="6">
        <v>13263.0</v>
      </c>
      <c r="B947" s="6">
        <v>2022.0</v>
      </c>
      <c r="C947" s="6" t="str">
        <f t="shared" si="5"/>
        <v>926 RUELL ST,Houston,Texas</v>
      </c>
      <c r="D947" s="6" t="s">
        <v>636</v>
      </c>
      <c r="E947" s="6" t="s">
        <v>25</v>
      </c>
      <c r="F947" s="6" t="s">
        <v>26</v>
      </c>
      <c r="G947" s="6" t="s">
        <v>135</v>
      </c>
      <c r="H947" s="6" t="s">
        <v>28</v>
      </c>
      <c r="I947" s="6" t="str">
        <f>VLOOKUP(H947,'Flow Location'!$A$1:$B$21,2,FALSE)</f>
        <v>Storm Sewer (not contained)</v>
      </c>
      <c r="J947" s="20">
        <v>1440.0</v>
      </c>
      <c r="K947" s="6" t="s">
        <v>29</v>
      </c>
      <c r="L947" s="6" t="str">
        <f>VLOOKUP(K947,'Structure type'!$A$1:$B$15,2,FALSE)</f>
        <v>Manhole</v>
      </c>
      <c r="M947" s="6" t="s">
        <v>30</v>
      </c>
      <c r="N947" s="6" t="str">
        <f>VLOOKUP(M947,'Excursion Cause'!$A$1:$B$34,2,FALSE)</f>
        <v>Grease Blockage</v>
      </c>
      <c r="O947" s="21">
        <v>44581.0</v>
      </c>
      <c r="P947" s="6" t="s">
        <v>219</v>
      </c>
      <c r="Q947" s="21">
        <v>44582.0</v>
      </c>
      <c r="R947" s="6" t="s">
        <v>219</v>
      </c>
      <c r="S947" s="20">
        <v>1.0</v>
      </c>
      <c r="T947" s="6" t="s">
        <v>1647</v>
      </c>
      <c r="U947" s="6"/>
      <c r="V947" s="6"/>
      <c r="W947" s="6">
        <v>29.6962482</v>
      </c>
      <c r="X947" s="6">
        <v>-95.2481026</v>
      </c>
    </row>
    <row r="948" ht="15.75" customHeight="1">
      <c r="A948" s="6">
        <v>13265.0</v>
      </c>
      <c r="B948" s="6">
        <v>2022.0</v>
      </c>
      <c r="C948" s="6" t="str">
        <f t="shared" si="5"/>
        <v>3102 TILSON LN,Houston,Texas</v>
      </c>
      <c r="D948" s="6" t="s">
        <v>1648</v>
      </c>
      <c r="E948" s="6" t="s">
        <v>25</v>
      </c>
      <c r="F948" s="6" t="s">
        <v>26</v>
      </c>
      <c r="G948" s="6" t="s">
        <v>294</v>
      </c>
      <c r="H948" s="6" t="s">
        <v>1493</v>
      </c>
      <c r="I948" s="6" t="str">
        <f>VLOOKUP(H948,'Flow Location'!$A$1:$B$21,2,FALSE)</f>
        <v>Contained On Site, not within 5 ft. of Bayou/Surface Water/Drainage Ditch</v>
      </c>
      <c r="J948" s="20">
        <v>0.0</v>
      </c>
      <c r="K948" s="6" t="s">
        <v>45</v>
      </c>
      <c r="L948" s="6" t="str">
        <f>VLOOKUP(K948,'Structure type'!$A$1:$B$15,2,FALSE)</f>
        <v>City Cleanout</v>
      </c>
      <c r="M948" s="6" t="s">
        <v>56</v>
      </c>
      <c r="N948" s="6" t="str">
        <f>VLOOKUP(M948,'Excursion Cause'!$A$1:$B$34,2,FALSE)</f>
        <v>Rags/Wipes</v>
      </c>
      <c r="O948" s="21">
        <v>44581.0</v>
      </c>
      <c r="P948" s="6" t="s">
        <v>70</v>
      </c>
      <c r="Q948" s="21">
        <v>44581.0</v>
      </c>
      <c r="R948" s="6" t="s">
        <v>70</v>
      </c>
      <c r="S948" s="20">
        <v>0.0</v>
      </c>
      <c r="T948" s="6" t="s">
        <v>1649</v>
      </c>
      <c r="U948" s="6"/>
      <c r="V948" s="6"/>
      <c r="W948" s="6">
        <v>29.8220704</v>
      </c>
      <c r="X948" s="6">
        <v>-95.5171771</v>
      </c>
    </row>
    <row r="949" ht="15.75" customHeight="1">
      <c r="A949" s="6">
        <v>13270.0</v>
      </c>
      <c r="B949" s="6">
        <v>2022.0</v>
      </c>
      <c r="C949" s="6" t="str">
        <f t="shared" si="5"/>
        <v>4700 WENDA ST,Houston,Texas</v>
      </c>
      <c r="D949" s="6" t="s">
        <v>1650</v>
      </c>
      <c r="E949" s="6" t="s">
        <v>25</v>
      </c>
      <c r="F949" s="6" t="s">
        <v>26</v>
      </c>
      <c r="G949" s="6" t="s">
        <v>120</v>
      </c>
      <c r="H949" s="6" t="s">
        <v>28</v>
      </c>
      <c r="I949" s="6" t="str">
        <f>VLOOKUP(H949,'Flow Location'!$A$1:$B$21,2,FALSE)</f>
        <v>Storm Sewer (not contained)</v>
      </c>
      <c r="J949" s="20">
        <v>336.0</v>
      </c>
      <c r="K949" s="6" t="s">
        <v>29</v>
      </c>
      <c r="L949" s="6" t="str">
        <f>VLOOKUP(K949,'Structure type'!$A$1:$B$15,2,FALSE)</f>
        <v>Manhole</v>
      </c>
      <c r="M949" s="6" t="s">
        <v>30</v>
      </c>
      <c r="N949" s="6" t="str">
        <f>VLOOKUP(M949,'Excursion Cause'!$A$1:$B$34,2,FALSE)</f>
        <v>Grease Blockage</v>
      </c>
      <c r="O949" s="21">
        <v>44581.0</v>
      </c>
      <c r="P949" s="6" t="s">
        <v>71</v>
      </c>
      <c r="Q949" s="21">
        <v>44581.0</v>
      </c>
      <c r="R949" s="6" t="s">
        <v>1651</v>
      </c>
      <c r="S949" s="20">
        <v>3.0</v>
      </c>
      <c r="T949" s="6" t="s">
        <v>1652</v>
      </c>
      <c r="U949" s="6"/>
      <c r="V949" s="6"/>
      <c r="W949" s="6">
        <v>29.6516572</v>
      </c>
      <c r="X949" s="6">
        <v>-95.3538451</v>
      </c>
    </row>
    <row r="950" ht="15.75" customHeight="1">
      <c r="A950" s="6">
        <v>13271.0</v>
      </c>
      <c r="B950" s="6">
        <v>2022.0</v>
      </c>
      <c r="C950" s="6" t="str">
        <f t="shared" si="5"/>
        <v>4700 WENDA ST,Houston,Texas</v>
      </c>
      <c r="D950" s="6" t="s">
        <v>1650</v>
      </c>
      <c r="E950" s="6" t="s">
        <v>25</v>
      </c>
      <c r="F950" s="6" t="s">
        <v>26</v>
      </c>
      <c r="G950" s="6" t="s">
        <v>120</v>
      </c>
      <c r="H950" s="6" t="s">
        <v>28</v>
      </c>
      <c r="I950" s="6" t="str">
        <f>VLOOKUP(H950,'Flow Location'!$A$1:$B$21,2,FALSE)</f>
        <v>Storm Sewer (not contained)</v>
      </c>
      <c r="J950" s="20">
        <v>336.0</v>
      </c>
      <c r="K950" s="6" t="s">
        <v>29</v>
      </c>
      <c r="L950" s="6" t="str">
        <f>VLOOKUP(K950,'Structure type'!$A$1:$B$15,2,FALSE)</f>
        <v>Manhole</v>
      </c>
      <c r="M950" s="6" t="s">
        <v>30</v>
      </c>
      <c r="N950" s="6" t="str">
        <f>VLOOKUP(M950,'Excursion Cause'!$A$1:$B$34,2,FALSE)</f>
        <v>Grease Blockage</v>
      </c>
      <c r="O950" s="21">
        <v>44581.0</v>
      </c>
      <c r="P950" s="6" t="s">
        <v>71</v>
      </c>
      <c r="Q950" s="21">
        <v>44581.0</v>
      </c>
      <c r="R950" s="6" t="s">
        <v>1651</v>
      </c>
      <c r="S950" s="20">
        <v>3.0</v>
      </c>
      <c r="T950" s="6" t="s">
        <v>1653</v>
      </c>
      <c r="U950" s="6"/>
      <c r="V950" s="6"/>
      <c r="W950" s="6">
        <v>29.6516572</v>
      </c>
      <c r="X950" s="6">
        <v>-95.3538451</v>
      </c>
    </row>
    <row r="951" ht="15.75" customHeight="1">
      <c r="A951" s="6">
        <v>13274.0</v>
      </c>
      <c r="B951" s="6">
        <v>2022.0</v>
      </c>
      <c r="C951" s="6" t="str">
        <f t="shared" si="5"/>
        <v>7902 CANDLE LN,Houston,Texas</v>
      </c>
      <c r="D951" s="6" t="s">
        <v>1654</v>
      </c>
      <c r="E951" s="6" t="s">
        <v>25</v>
      </c>
      <c r="F951" s="6" t="s">
        <v>26</v>
      </c>
      <c r="G951" s="6" t="s">
        <v>148</v>
      </c>
      <c r="H951" s="6" t="s">
        <v>28</v>
      </c>
      <c r="I951" s="6" t="str">
        <f>VLOOKUP(H951,'Flow Location'!$A$1:$B$21,2,FALSE)</f>
        <v>Storm Sewer (not contained)</v>
      </c>
      <c r="J951" s="20">
        <v>169.0</v>
      </c>
      <c r="K951" s="6" t="s">
        <v>29</v>
      </c>
      <c r="L951" s="6" t="str">
        <f>VLOOKUP(K951,'Structure type'!$A$1:$B$15,2,FALSE)</f>
        <v>Manhole</v>
      </c>
      <c r="M951" s="6" t="s">
        <v>30</v>
      </c>
      <c r="N951" s="6" t="str">
        <f>VLOOKUP(M951,'Excursion Cause'!$A$1:$B$34,2,FALSE)</f>
        <v>Grease Blockage</v>
      </c>
      <c r="O951" s="21">
        <v>44582.0</v>
      </c>
      <c r="P951" s="6" t="s">
        <v>854</v>
      </c>
      <c r="Q951" s="21">
        <v>44582.0</v>
      </c>
      <c r="R951" s="6" t="s">
        <v>1059</v>
      </c>
      <c r="S951" s="20">
        <v>1.0</v>
      </c>
      <c r="T951" s="6" t="s">
        <v>1655</v>
      </c>
      <c r="U951" s="6"/>
      <c r="V951" s="6"/>
      <c r="W951" s="6">
        <v>29.6595198</v>
      </c>
      <c r="X951" s="6">
        <v>-95.5172325</v>
      </c>
    </row>
    <row r="952" ht="15.75" customHeight="1">
      <c r="A952" s="6">
        <v>13277.0</v>
      </c>
      <c r="B952" s="6">
        <v>2022.0</v>
      </c>
      <c r="C952" s="6" t="str">
        <f t="shared" si="5"/>
        <v>2108 BANKS ST,Houston,Texas</v>
      </c>
      <c r="D952" s="6" t="s">
        <v>1656</v>
      </c>
      <c r="E952" s="6" t="s">
        <v>25</v>
      </c>
      <c r="F952" s="6" t="s">
        <v>26</v>
      </c>
      <c r="G952" s="6" t="s">
        <v>112</v>
      </c>
      <c r="H952" s="6" t="s">
        <v>50</v>
      </c>
      <c r="I952" s="6" t="str">
        <f>VLOOKUP(H952,'Flow Location'!$A$1:$B$21,2,FALSE)</f>
        <v>Contained On Site, not within 5 ft. of Bayou/Surface Water/Drainage Ditch</v>
      </c>
      <c r="J952" s="20">
        <v>0.0</v>
      </c>
      <c r="K952" s="6" t="s">
        <v>290</v>
      </c>
      <c r="L952" s="6" t="str">
        <f>VLOOKUP(K952,'Structure type'!$A$1:$B$15,2,FALSE)</f>
        <v>Gravity Main</v>
      </c>
      <c r="M952" s="6" t="s">
        <v>52</v>
      </c>
      <c r="N952" s="6" t="str">
        <f>VLOOKUP(M952,'Excursion Cause'!$A$1:$B$34,2,FALSE)</f>
        <v>Collection system structural blockage</v>
      </c>
      <c r="O952" s="21">
        <v>44582.0</v>
      </c>
      <c r="P952" s="6" t="s">
        <v>649</v>
      </c>
      <c r="Q952" s="21">
        <v>44582.0</v>
      </c>
      <c r="R952" s="6" t="s">
        <v>649</v>
      </c>
      <c r="S952" s="20">
        <v>0.0</v>
      </c>
      <c r="T952" s="6" t="s">
        <v>98</v>
      </c>
      <c r="U952" s="6"/>
      <c r="V952" s="6"/>
      <c r="W952" s="6">
        <v>29.7297454</v>
      </c>
      <c r="X952" s="6">
        <v>-95.4096077</v>
      </c>
    </row>
    <row r="953" ht="15.75" customHeight="1">
      <c r="A953" s="6">
        <v>13279.0</v>
      </c>
      <c r="B953" s="6">
        <v>2022.0</v>
      </c>
      <c r="C953" s="6" t="str">
        <f t="shared" si="5"/>
        <v>406 HUTCHESON ST,Houston,Texas</v>
      </c>
      <c r="D953" s="6" t="s">
        <v>1657</v>
      </c>
      <c r="E953" s="6" t="s">
        <v>25</v>
      </c>
      <c r="F953" s="6" t="s">
        <v>26</v>
      </c>
      <c r="G953" s="6" t="s">
        <v>172</v>
      </c>
      <c r="H953" s="6" t="s">
        <v>50</v>
      </c>
      <c r="I953" s="6" t="str">
        <f>VLOOKUP(H953,'Flow Location'!$A$1:$B$21,2,FALSE)</f>
        <v>Contained On Site, not within 5 ft. of Bayou/Surface Water/Drainage Ditch</v>
      </c>
      <c r="J953" s="20">
        <v>0.0</v>
      </c>
      <c r="K953" s="6" t="s">
        <v>29</v>
      </c>
      <c r="L953" s="6" t="str">
        <f>VLOOKUP(K953,'Structure type'!$A$1:$B$15,2,FALSE)</f>
        <v>Manhole</v>
      </c>
      <c r="M953" s="6" t="s">
        <v>52</v>
      </c>
      <c r="N953" s="6" t="str">
        <f>VLOOKUP(M953,'Excursion Cause'!$A$1:$B$34,2,FALSE)</f>
        <v>Collection system structural blockage</v>
      </c>
      <c r="O953" s="21">
        <v>44582.0</v>
      </c>
      <c r="P953" s="6" t="s">
        <v>958</v>
      </c>
      <c r="Q953" s="21">
        <v>44582.0</v>
      </c>
      <c r="R953" s="6" t="s">
        <v>958</v>
      </c>
      <c r="S953" s="20">
        <v>0.0</v>
      </c>
      <c r="T953" s="6" t="s">
        <v>474</v>
      </c>
      <c r="U953" s="6"/>
      <c r="V953" s="6"/>
      <c r="W953" s="6">
        <v>29.7479644</v>
      </c>
      <c r="X953" s="6">
        <v>-95.3395492</v>
      </c>
    </row>
    <row r="954" ht="15.75" customHeight="1">
      <c r="A954" s="6">
        <v>13280.0</v>
      </c>
      <c r="B954" s="6">
        <v>2022.0</v>
      </c>
      <c r="C954" s="6" t="str">
        <f t="shared" si="5"/>
        <v>1910 TIDWELL,Houston,Texas</v>
      </c>
      <c r="D954" s="6" t="s">
        <v>1658</v>
      </c>
      <c r="E954" s="6" t="s">
        <v>25</v>
      </c>
      <c r="F954" s="6" t="s">
        <v>26</v>
      </c>
      <c r="G954" s="6" t="s">
        <v>222</v>
      </c>
      <c r="H954" s="6" t="s">
        <v>28</v>
      </c>
      <c r="I954" s="6" t="str">
        <f>VLOOKUP(H954,'Flow Location'!$A$1:$B$21,2,FALSE)</f>
        <v>Storm Sewer (not contained)</v>
      </c>
      <c r="J954" s="20">
        <v>3672.0</v>
      </c>
      <c r="K954" s="6" t="s">
        <v>29</v>
      </c>
      <c r="L954" s="6" t="str">
        <f>VLOOKUP(K954,'Structure type'!$A$1:$B$15,2,FALSE)</f>
        <v>Manhole</v>
      </c>
      <c r="M954" s="6" t="s">
        <v>30</v>
      </c>
      <c r="N954" s="6" t="str">
        <f>VLOOKUP(M954,'Excursion Cause'!$A$1:$B$34,2,FALSE)</f>
        <v>Grease Blockage</v>
      </c>
      <c r="O954" s="21">
        <v>44582.0</v>
      </c>
      <c r="P954" s="6" t="s">
        <v>162</v>
      </c>
      <c r="Q954" s="21">
        <v>44583.0</v>
      </c>
      <c r="R954" s="6" t="s">
        <v>901</v>
      </c>
      <c r="S954" s="20">
        <v>3.0</v>
      </c>
      <c r="T954" s="6" t="s">
        <v>1659</v>
      </c>
      <c r="U954" s="6"/>
      <c r="V954" s="6"/>
      <c r="W954" s="6">
        <v>29.8473598</v>
      </c>
      <c r="X954" s="6">
        <v>-95.4393799</v>
      </c>
    </row>
    <row r="955" ht="15.75" customHeight="1">
      <c r="A955" s="6">
        <v>13282.0</v>
      </c>
      <c r="B955" s="6">
        <v>2022.0</v>
      </c>
      <c r="C955" s="6" t="str">
        <f t="shared" si="5"/>
        <v>7531 GLENHEATH ST,Houston,Texas</v>
      </c>
      <c r="D955" s="6" t="s">
        <v>1660</v>
      </c>
      <c r="E955" s="6" t="s">
        <v>25</v>
      </c>
      <c r="F955" s="6" t="s">
        <v>26</v>
      </c>
      <c r="G955" s="6" t="s">
        <v>398</v>
      </c>
      <c r="H955" s="6" t="s">
        <v>28</v>
      </c>
      <c r="I955" s="6" t="str">
        <f>VLOOKUP(H955,'Flow Location'!$A$1:$B$21,2,FALSE)</f>
        <v>Storm Sewer (not contained)</v>
      </c>
      <c r="J955" s="20">
        <v>125.0</v>
      </c>
      <c r="K955" s="6" t="s">
        <v>29</v>
      </c>
      <c r="L955" s="6" t="str">
        <f>VLOOKUP(K955,'Structure type'!$A$1:$B$15,2,FALSE)</f>
        <v>Manhole</v>
      </c>
      <c r="M955" s="6" t="s">
        <v>30</v>
      </c>
      <c r="N955" s="6" t="str">
        <f>VLOOKUP(M955,'Excursion Cause'!$A$1:$B$34,2,FALSE)</f>
        <v>Grease Blockage</v>
      </c>
      <c r="O955" s="21">
        <v>44582.0</v>
      </c>
      <c r="P955" s="6" t="s">
        <v>751</v>
      </c>
      <c r="Q955" s="21">
        <v>44582.0</v>
      </c>
      <c r="R955" s="6" t="s">
        <v>786</v>
      </c>
      <c r="S955" s="20">
        <v>1.0</v>
      </c>
      <c r="T955" s="6" t="s">
        <v>1661</v>
      </c>
      <c r="U955" s="6"/>
      <c r="V955" s="6"/>
      <c r="W955" s="6">
        <v>29.6658723</v>
      </c>
      <c r="X955" s="6">
        <v>-95.2835601</v>
      </c>
    </row>
    <row r="956" ht="15.75" customHeight="1">
      <c r="A956" s="6">
        <v>13283.0</v>
      </c>
      <c r="B956" s="6">
        <v>2022.0</v>
      </c>
      <c r="C956" s="6" t="str">
        <f t="shared" si="5"/>
        <v>5334 RIPPLEBROOK DR,Houston,Texas</v>
      </c>
      <c r="D956" s="6" t="s">
        <v>1662</v>
      </c>
      <c r="E956" s="6" t="s">
        <v>25</v>
      </c>
      <c r="F956" s="6" t="s">
        <v>26</v>
      </c>
      <c r="G956" s="6" t="s">
        <v>39</v>
      </c>
      <c r="H956" s="6" t="s">
        <v>28</v>
      </c>
      <c r="I956" s="6" t="str">
        <f>VLOOKUP(H956,'Flow Location'!$A$1:$B$21,2,FALSE)</f>
        <v>Storm Sewer (not contained)</v>
      </c>
      <c r="J956" s="20">
        <v>1205.0</v>
      </c>
      <c r="K956" s="6" t="s">
        <v>29</v>
      </c>
      <c r="L956" s="6" t="str">
        <f>VLOOKUP(K956,'Structure type'!$A$1:$B$15,2,FALSE)</f>
        <v>Manhole</v>
      </c>
      <c r="M956" s="6" t="s">
        <v>30</v>
      </c>
      <c r="N956" s="6" t="str">
        <f>VLOOKUP(M956,'Excursion Cause'!$A$1:$B$34,2,FALSE)</f>
        <v>Grease Blockage</v>
      </c>
      <c r="O956" s="21">
        <v>44582.0</v>
      </c>
      <c r="P956" s="6" t="s">
        <v>411</v>
      </c>
      <c r="Q956" s="21">
        <v>44583.0</v>
      </c>
      <c r="R956" s="6" t="s">
        <v>901</v>
      </c>
      <c r="S956" s="20">
        <v>1.0</v>
      </c>
      <c r="T956" s="6" t="s">
        <v>1663</v>
      </c>
      <c r="U956" s="6"/>
      <c r="V956" s="6"/>
      <c r="W956" s="6">
        <v>29.6257683</v>
      </c>
      <c r="X956" s="6">
        <v>-95.4627361</v>
      </c>
    </row>
    <row r="957" ht="15.75" customHeight="1">
      <c r="A957" s="6">
        <v>13287.0</v>
      </c>
      <c r="B957" s="6">
        <v>2022.0</v>
      </c>
      <c r="C957" s="6" t="str">
        <f t="shared" si="5"/>
        <v>5002 RAINDROP HOLLOW DR,Houston,Texas</v>
      </c>
      <c r="D957" s="6" t="s">
        <v>1664</v>
      </c>
      <c r="E957" s="6" t="s">
        <v>25</v>
      </c>
      <c r="F957" s="6" t="s">
        <v>26</v>
      </c>
      <c r="G957" s="6" t="s">
        <v>344</v>
      </c>
      <c r="H957" s="6" t="s">
        <v>1493</v>
      </c>
      <c r="I957" s="6" t="str">
        <f>VLOOKUP(H957,'Flow Location'!$A$1:$B$21,2,FALSE)</f>
        <v>Contained On Site, not within 5 ft. of Bayou/Surface Water/Drainage Ditch</v>
      </c>
      <c r="J957" s="20">
        <v>987.0</v>
      </c>
      <c r="K957" s="6" t="s">
        <v>29</v>
      </c>
      <c r="L957" s="6" t="str">
        <f>VLOOKUP(K957,'Structure type'!$A$1:$B$15,2,FALSE)</f>
        <v>Manhole</v>
      </c>
      <c r="M957" s="6" t="s">
        <v>30</v>
      </c>
      <c r="N957" s="6" t="str">
        <f>VLOOKUP(M957,'Excursion Cause'!$A$1:$B$34,2,FALSE)</f>
        <v>Grease Blockage</v>
      </c>
      <c r="O957" s="21">
        <v>44583.0</v>
      </c>
      <c r="P957" s="6" t="s">
        <v>92</v>
      </c>
      <c r="Q957" s="21">
        <v>44583.0</v>
      </c>
      <c r="R957" s="6" t="s">
        <v>522</v>
      </c>
      <c r="S957" s="20">
        <v>3.0</v>
      </c>
      <c r="T957" s="6" t="s">
        <v>1665</v>
      </c>
      <c r="U957" s="6"/>
      <c r="V957" s="6"/>
      <c r="W957" s="6">
        <v>29.8418454</v>
      </c>
      <c r="X957" s="6">
        <v>-95.5526748</v>
      </c>
    </row>
    <row r="958" ht="15.75" customHeight="1">
      <c r="A958" s="6">
        <v>13290.0</v>
      </c>
      <c r="B958" s="6">
        <v>2022.0</v>
      </c>
      <c r="C958" s="6" t="str">
        <f t="shared" si="5"/>
        <v>9012 BEECHNUT ST,Houston,Texas</v>
      </c>
      <c r="D958" s="6" t="s">
        <v>1666</v>
      </c>
      <c r="E958" s="6" t="s">
        <v>25</v>
      </c>
      <c r="F958" s="6" t="s">
        <v>26</v>
      </c>
      <c r="G958" s="6" t="s">
        <v>100</v>
      </c>
      <c r="H958" s="6" t="s">
        <v>28</v>
      </c>
      <c r="I958" s="6" t="str">
        <f>VLOOKUP(H958,'Flow Location'!$A$1:$B$21,2,FALSE)</f>
        <v>Storm Sewer (not contained)</v>
      </c>
      <c r="J958" s="20">
        <v>402.0</v>
      </c>
      <c r="K958" s="6" t="s">
        <v>29</v>
      </c>
      <c r="L958" s="6" t="str">
        <f>VLOOKUP(K958,'Structure type'!$A$1:$B$15,2,FALSE)</f>
        <v>Manhole</v>
      </c>
      <c r="M958" s="6" t="s">
        <v>30</v>
      </c>
      <c r="N958" s="6" t="str">
        <f>VLOOKUP(M958,'Excursion Cause'!$A$1:$B$34,2,FALSE)</f>
        <v>Grease Blockage</v>
      </c>
      <c r="O958" s="21">
        <v>44583.0</v>
      </c>
      <c r="P958" s="6" t="s">
        <v>414</v>
      </c>
      <c r="Q958" s="21">
        <v>44583.0</v>
      </c>
      <c r="R958" s="6" t="s">
        <v>786</v>
      </c>
      <c r="S958" s="20">
        <v>2.0</v>
      </c>
      <c r="T958" s="6" t="s">
        <v>1667</v>
      </c>
      <c r="U958" s="6"/>
      <c r="V958" s="6"/>
      <c r="W958" s="6">
        <v>29.6906577</v>
      </c>
      <c r="X958" s="6">
        <v>-95.5429065</v>
      </c>
    </row>
    <row r="959" ht="15.75" customHeight="1">
      <c r="A959" s="6">
        <v>13291.0</v>
      </c>
      <c r="B959" s="6">
        <v>2022.0</v>
      </c>
      <c r="C959" s="6" t="str">
        <f t="shared" si="5"/>
        <v>13003 GREENWAY CHASE CT,Houston,Texas</v>
      </c>
      <c r="D959" s="6" t="s">
        <v>1668</v>
      </c>
      <c r="E959" s="6" t="s">
        <v>25</v>
      </c>
      <c r="F959" s="6" t="s">
        <v>26</v>
      </c>
      <c r="G959" s="6" t="s">
        <v>91</v>
      </c>
      <c r="H959" s="6" t="s">
        <v>1493</v>
      </c>
      <c r="I959" s="6" t="str">
        <f>VLOOKUP(H959,'Flow Location'!$A$1:$B$21,2,FALSE)</f>
        <v>Contained On Site, not within 5 ft. of Bayou/Surface Water/Drainage Ditch</v>
      </c>
      <c r="J959" s="20">
        <v>1885.0</v>
      </c>
      <c r="K959" s="6" t="s">
        <v>29</v>
      </c>
      <c r="L959" s="6" t="str">
        <f>VLOOKUP(K959,'Structure type'!$A$1:$B$15,2,FALSE)</f>
        <v>Manhole</v>
      </c>
      <c r="M959" s="6" t="s">
        <v>30</v>
      </c>
      <c r="N959" s="6" t="str">
        <f>VLOOKUP(M959,'Excursion Cause'!$A$1:$B$34,2,FALSE)</f>
        <v>Grease Blockage</v>
      </c>
      <c r="O959" s="21">
        <v>44584.0</v>
      </c>
      <c r="P959" s="6" t="s">
        <v>1669</v>
      </c>
      <c r="Q959" s="21">
        <v>44585.0</v>
      </c>
      <c r="R959" s="6" t="s">
        <v>654</v>
      </c>
      <c r="S959" s="20">
        <v>1.0</v>
      </c>
      <c r="T959" s="6" t="s">
        <v>1670</v>
      </c>
      <c r="U959" s="6"/>
      <c r="V959" s="6"/>
      <c r="W959" s="6">
        <v>29.7002059</v>
      </c>
      <c r="X959" s="6">
        <v>-95.60988</v>
      </c>
    </row>
    <row r="960" ht="15.75" customHeight="1">
      <c r="A960" s="6">
        <v>13293.0</v>
      </c>
      <c r="B960" s="6">
        <v>2022.0</v>
      </c>
      <c r="C960" s="6" t="str">
        <f t="shared" si="5"/>
        <v>1960 INDIANA ST,Houston,Texas</v>
      </c>
      <c r="D960" s="6" t="s">
        <v>1671</v>
      </c>
      <c r="E960" s="6" t="s">
        <v>25</v>
      </c>
      <c r="F960" s="6" t="s">
        <v>26</v>
      </c>
      <c r="G960" s="6" t="s">
        <v>80</v>
      </c>
      <c r="H960" s="6" t="s">
        <v>1493</v>
      </c>
      <c r="I960" s="6" t="str">
        <f>VLOOKUP(H960,'Flow Location'!$A$1:$B$21,2,FALSE)</f>
        <v>Contained On Site, not within 5 ft. of Bayou/Surface Water/Drainage Ditch</v>
      </c>
      <c r="J960" s="20">
        <v>526.0</v>
      </c>
      <c r="K960" s="6" t="s">
        <v>29</v>
      </c>
      <c r="L960" s="6" t="str">
        <f>VLOOKUP(K960,'Structure type'!$A$1:$B$15,2,FALSE)</f>
        <v>Manhole</v>
      </c>
      <c r="M960" s="6" t="s">
        <v>30</v>
      </c>
      <c r="N960" s="6" t="str">
        <f>VLOOKUP(M960,'Excursion Cause'!$A$1:$B$34,2,FALSE)</f>
        <v>Grease Blockage</v>
      </c>
      <c r="O960" s="21">
        <v>44584.0</v>
      </c>
      <c r="P960" s="6" t="s">
        <v>280</v>
      </c>
      <c r="Q960" s="21">
        <v>44584.0</v>
      </c>
      <c r="R960" s="6" t="s">
        <v>492</v>
      </c>
      <c r="S960" s="20">
        <v>2.0</v>
      </c>
      <c r="T960" s="6" t="s">
        <v>1672</v>
      </c>
      <c r="U960" s="6"/>
      <c r="V960" s="6"/>
      <c r="W960" s="6">
        <v>29.7471124</v>
      </c>
      <c r="X960" s="6">
        <v>-95.4060836</v>
      </c>
    </row>
    <row r="961" ht="15.75" customHeight="1">
      <c r="A961" s="6">
        <v>13300.0</v>
      </c>
      <c r="B961" s="6">
        <v>2022.0</v>
      </c>
      <c r="C961" s="6" t="str">
        <f t="shared" si="5"/>
        <v>10006 WESTVIEW DR,Houston,Texas</v>
      </c>
      <c r="D961" s="6" t="s">
        <v>1673</v>
      </c>
      <c r="E961" s="6" t="s">
        <v>25</v>
      </c>
      <c r="F961" s="6" t="s">
        <v>26</v>
      </c>
      <c r="G961" s="6" t="s">
        <v>27</v>
      </c>
      <c r="H961" s="6" t="s">
        <v>1493</v>
      </c>
      <c r="I961" s="6" t="str">
        <f>VLOOKUP(H961,'Flow Location'!$A$1:$B$21,2,FALSE)</f>
        <v>Contained On Site, not within 5 ft. of Bayou/Surface Water/Drainage Ditch</v>
      </c>
      <c r="J961" s="20">
        <v>0.0</v>
      </c>
      <c r="K961" s="6" t="s">
        <v>45</v>
      </c>
      <c r="L961" s="6" t="str">
        <f>VLOOKUP(K961,'Structure type'!$A$1:$B$15,2,FALSE)</f>
        <v>City Cleanout</v>
      </c>
      <c r="M961" s="6" t="s">
        <v>30</v>
      </c>
      <c r="N961" s="6" t="str">
        <f>VLOOKUP(M961,'Excursion Cause'!$A$1:$B$34,2,FALSE)</f>
        <v>Grease Blockage</v>
      </c>
      <c r="O961" s="21">
        <v>44585.0</v>
      </c>
      <c r="P961" s="6" t="s">
        <v>457</v>
      </c>
      <c r="Q961" s="21">
        <v>44585.0</v>
      </c>
      <c r="R961" s="6" t="s">
        <v>457</v>
      </c>
      <c r="S961" s="20">
        <v>0.0</v>
      </c>
      <c r="T961" s="6" t="s">
        <v>1674</v>
      </c>
      <c r="U961" s="6"/>
      <c r="V961" s="6"/>
      <c r="W961" s="6">
        <v>29.7911516</v>
      </c>
      <c r="X961" s="6">
        <v>-95.5407914</v>
      </c>
    </row>
    <row r="962" ht="15.75" customHeight="1">
      <c r="A962" s="6">
        <v>13301.0</v>
      </c>
      <c r="B962" s="6">
        <v>2022.0</v>
      </c>
      <c r="C962" s="6" t="str">
        <f t="shared" si="5"/>
        <v>5551 ROYALTON ST,Houston,Texas</v>
      </c>
      <c r="D962" s="6" t="s">
        <v>611</v>
      </c>
      <c r="E962" s="6" t="s">
        <v>25</v>
      </c>
      <c r="F962" s="6" t="s">
        <v>26</v>
      </c>
      <c r="G962" s="6" t="s">
        <v>287</v>
      </c>
      <c r="H962" s="6" t="s">
        <v>28</v>
      </c>
      <c r="I962" s="6" t="str">
        <f>VLOOKUP(H962,'Flow Location'!$A$1:$B$21,2,FALSE)</f>
        <v>Storm Sewer (not contained)</v>
      </c>
      <c r="J962" s="20">
        <v>127.0</v>
      </c>
      <c r="K962" s="6" t="s">
        <v>29</v>
      </c>
      <c r="L962" s="6" t="str">
        <f>VLOOKUP(K962,'Structure type'!$A$1:$B$15,2,FALSE)</f>
        <v>Manhole</v>
      </c>
      <c r="M962" s="6" t="s">
        <v>52</v>
      </c>
      <c r="N962" s="6" t="str">
        <f>VLOOKUP(M962,'Excursion Cause'!$A$1:$B$34,2,FALSE)</f>
        <v>Collection system structural blockage</v>
      </c>
      <c r="O962" s="21">
        <v>44585.0</v>
      </c>
      <c r="P962" s="6" t="s">
        <v>833</v>
      </c>
      <c r="Q962" s="21">
        <v>44585.0</v>
      </c>
      <c r="R962" s="6" t="s">
        <v>826</v>
      </c>
      <c r="S962" s="20">
        <v>1.0</v>
      </c>
      <c r="T962" s="6" t="s">
        <v>118</v>
      </c>
      <c r="U962" s="6"/>
      <c r="V962" s="6"/>
      <c r="W962" s="6">
        <v>29.7220351</v>
      </c>
      <c r="X962" s="6">
        <v>-95.4723035</v>
      </c>
    </row>
    <row r="963" ht="15.75" customHeight="1">
      <c r="A963" s="6">
        <v>13307.0</v>
      </c>
      <c r="B963" s="6">
        <v>2022.0</v>
      </c>
      <c r="C963" s="6" t="str">
        <f t="shared" si="5"/>
        <v>5806 SOUTHSEAS ST,Houston,Texas</v>
      </c>
      <c r="D963" s="6" t="s">
        <v>1675</v>
      </c>
      <c r="E963" s="6" t="s">
        <v>25</v>
      </c>
      <c r="F963" s="6" t="s">
        <v>26</v>
      </c>
      <c r="G963" s="6" t="s">
        <v>120</v>
      </c>
      <c r="H963" s="6" t="s">
        <v>1493</v>
      </c>
      <c r="I963" s="6" t="str">
        <f>VLOOKUP(H963,'Flow Location'!$A$1:$B$21,2,FALSE)</f>
        <v>Contained On Site, not within 5 ft. of Bayou/Surface Water/Drainage Ditch</v>
      </c>
      <c r="J963" s="20">
        <v>0.0</v>
      </c>
      <c r="K963" s="6" t="s">
        <v>45</v>
      </c>
      <c r="L963" s="6" t="str">
        <f>VLOOKUP(K963,'Structure type'!$A$1:$B$15,2,FALSE)</f>
        <v>City Cleanout</v>
      </c>
      <c r="M963" s="6" t="s">
        <v>56</v>
      </c>
      <c r="N963" s="6" t="str">
        <f>VLOOKUP(M963,'Excursion Cause'!$A$1:$B$34,2,FALSE)</f>
        <v>Rags/Wipes</v>
      </c>
      <c r="O963" s="21">
        <v>44585.0</v>
      </c>
      <c r="P963" s="6" t="s">
        <v>145</v>
      </c>
      <c r="Q963" s="21">
        <v>44585.0</v>
      </c>
      <c r="R963" s="6" t="s">
        <v>145</v>
      </c>
      <c r="S963" s="20">
        <v>0.0</v>
      </c>
      <c r="T963" s="6" t="s">
        <v>1676</v>
      </c>
      <c r="U963" s="6"/>
      <c r="V963" s="6"/>
      <c r="W963" s="6">
        <v>29.676119</v>
      </c>
      <c r="X963" s="6">
        <v>-95.3342168</v>
      </c>
    </row>
    <row r="964" ht="15.75" customHeight="1">
      <c r="A964" s="6">
        <v>13322.0</v>
      </c>
      <c r="B964" s="6">
        <v>2022.0</v>
      </c>
      <c r="C964" s="6" t="str">
        <f t="shared" si="5"/>
        <v>7969 BLUE ST,Houston,Texas</v>
      </c>
      <c r="D964" s="6" t="s">
        <v>1677</v>
      </c>
      <c r="E964" s="6" t="s">
        <v>25</v>
      </c>
      <c r="F964" s="6" t="s">
        <v>26</v>
      </c>
      <c r="G964" s="6" t="s">
        <v>177</v>
      </c>
      <c r="H964" s="6" t="s">
        <v>44</v>
      </c>
      <c r="I964" s="6" t="str">
        <f>VLOOKUP(H964,'Flow Location'!$A$1:$B$21,2,FALSE)</f>
        <v>Bayou/surface water/drainage ditch</v>
      </c>
      <c r="J964" s="20">
        <v>0.0</v>
      </c>
      <c r="K964" s="6" t="s">
        <v>45</v>
      </c>
      <c r="L964" s="6" t="str">
        <f>VLOOKUP(K964,'Structure type'!$A$1:$B$15,2,FALSE)</f>
        <v>City Cleanout</v>
      </c>
      <c r="M964" s="6" t="s">
        <v>52</v>
      </c>
      <c r="N964" s="6" t="str">
        <f>VLOOKUP(M964,'Excursion Cause'!$A$1:$B$34,2,FALSE)</f>
        <v>Collection system structural blockage</v>
      </c>
      <c r="O964" s="21">
        <v>44586.0</v>
      </c>
      <c r="P964" s="6" t="s">
        <v>298</v>
      </c>
      <c r="Q964" s="21">
        <v>44586.0</v>
      </c>
      <c r="R964" s="6" t="s">
        <v>298</v>
      </c>
      <c r="S964" s="20">
        <v>0.0</v>
      </c>
      <c r="T964" s="6" t="s">
        <v>170</v>
      </c>
      <c r="U964" s="6"/>
      <c r="V964" s="6"/>
      <c r="W964" s="6">
        <v>29.8194609</v>
      </c>
      <c r="X964" s="6">
        <v>-95.2818264</v>
      </c>
    </row>
    <row r="965" ht="15.75" customHeight="1">
      <c r="A965" s="6">
        <v>13324.0</v>
      </c>
      <c r="B965" s="6">
        <v>2022.0</v>
      </c>
      <c r="C965" s="6" t="str">
        <f t="shared" si="5"/>
        <v>6100 BELLAIRE BLVD,Houston,Texas</v>
      </c>
      <c r="D965" s="6" t="s">
        <v>1678</v>
      </c>
      <c r="E965" s="6" t="s">
        <v>25</v>
      </c>
      <c r="F965" s="6" t="s">
        <v>26</v>
      </c>
      <c r="G965" s="6" t="s">
        <v>287</v>
      </c>
      <c r="H965" s="6" t="s">
        <v>28</v>
      </c>
      <c r="I965" s="6" t="str">
        <f>VLOOKUP(H965,'Flow Location'!$A$1:$B$21,2,FALSE)</f>
        <v>Storm Sewer (not contained)</v>
      </c>
      <c r="J965" s="20">
        <v>0.0</v>
      </c>
      <c r="K965" s="6" t="s">
        <v>29</v>
      </c>
      <c r="L965" s="6" t="str">
        <f>VLOOKUP(K965,'Structure type'!$A$1:$B$15,2,FALSE)</f>
        <v>Manhole</v>
      </c>
      <c r="M965" s="6" t="s">
        <v>30</v>
      </c>
      <c r="N965" s="6" t="str">
        <f>VLOOKUP(M965,'Excursion Cause'!$A$1:$B$34,2,FALSE)</f>
        <v>Grease Blockage</v>
      </c>
      <c r="O965" s="21">
        <v>44586.0</v>
      </c>
      <c r="P965" s="6" t="s">
        <v>860</v>
      </c>
      <c r="Q965" s="21">
        <v>44586.0</v>
      </c>
      <c r="R965" s="6" t="s">
        <v>860</v>
      </c>
      <c r="S965" s="20">
        <v>0.0</v>
      </c>
      <c r="T965" s="6" t="s">
        <v>1679</v>
      </c>
      <c r="U965" s="6"/>
      <c r="V965" s="6"/>
      <c r="W965" s="6">
        <v>29.706158</v>
      </c>
      <c r="X965" s="6">
        <v>-95.4891999</v>
      </c>
    </row>
    <row r="966" ht="15.75" customHeight="1">
      <c r="A966" s="6">
        <v>13329.0</v>
      </c>
      <c r="B966" s="6">
        <v>2022.0</v>
      </c>
      <c r="C966" s="6" t="str">
        <f t="shared" si="5"/>
        <v>7030 CAYTON ST,Houston,Texas</v>
      </c>
      <c r="D966" s="6" t="s">
        <v>1680</v>
      </c>
      <c r="E966" s="6" t="s">
        <v>25</v>
      </c>
      <c r="F966" s="6" t="s">
        <v>26</v>
      </c>
      <c r="G966" s="6" t="s">
        <v>398</v>
      </c>
      <c r="H966" s="6" t="s">
        <v>50</v>
      </c>
      <c r="I966" s="6" t="str">
        <f>VLOOKUP(H966,'Flow Location'!$A$1:$B$21,2,FALSE)</f>
        <v>Contained On Site, not within 5 ft. of Bayou/Surface Water/Drainage Ditch</v>
      </c>
      <c r="J966" s="20">
        <v>0.0</v>
      </c>
      <c r="K966" s="6" t="s">
        <v>51</v>
      </c>
      <c r="L966" s="6" t="str">
        <f>VLOOKUP(K966,'Structure type'!$A$1:$B$15,2,FALSE)</f>
        <v>Private Cleanout</v>
      </c>
      <c r="M966" s="6" t="s">
        <v>52</v>
      </c>
      <c r="N966" s="6" t="str">
        <f>VLOOKUP(M966,'Excursion Cause'!$A$1:$B$34,2,FALSE)</f>
        <v>Collection system structural blockage</v>
      </c>
      <c r="O966" s="21">
        <v>44586.0</v>
      </c>
      <c r="P966" s="6" t="s">
        <v>606</v>
      </c>
      <c r="Q966" s="21">
        <v>44586.0</v>
      </c>
      <c r="R966" s="6" t="s">
        <v>606</v>
      </c>
      <c r="S966" s="20">
        <v>0.0</v>
      </c>
      <c r="T966" s="6" t="s">
        <v>118</v>
      </c>
      <c r="U966" s="6"/>
      <c r="V966" s="6"/>
      <c r="W966" s="6">
        <v>29.6556005</v>
      </c>
      <c r="X966" s="6">
        <v>-95.3032743</v>
      </c>
    </row>
    <row r="967" ht="15.75" customHeight="1">
      <c r="A967" s="6">
        <v>13331.0</v>
      </c>
      <c r="B967" s="6">
        <v>2022.0</v>
      </c>
      <c r="C967" s="6" t="str">
        <f t="shared" si="5"/>
        <v>955 W 23RD ST,Houston,Texas</v>
      </c>
      <c r="D967" s="6" t="s">
        <v>1681</v>
      </c>
      <c r="E967" s="6" t="s">
        <v>25</v>
      </c>
      <c r="F967" s="6" t="s">
        <v>26</v>
      </c>
      <c r="G967" s="6" t="s">
        <v>232</v>
      </c>
      <c r="H967" s="6" t="s">
        <v>1493</v>
      </c>
      <c r="I967" s="6" t="str">
        <f>VLOOKUP(H967,'Flow Location'!$A$1:$B$21,2,FALSE)</f>
        <v>Contained On Site, not within 5 ft. of Bayou/Surface Water/Drainage Ditch</v>
      </c>
      <c r="J967" s="20">
        <v>0.0</v>
      </c>
      <c r="K967" s="6" t="s">
        <v>1682</v>
      </c>
      <c r="L967" s="6" t="str">
        <f>VLOOKUP(K967,'Structure type'!$A$1:$B$15,2,FALSE)</f>
        <v>Private Cleanout</v>
      </c>
      <c r="M967" s="6" t="s">
        <v>30</v>
      </c>
      <c r="N967" s="6" t="str">
        <f>VLOOKUP(M967,'Excursion Cause'!$A$1:$B$34,2,FALSE)</f>
        <v>Grease Blockage</v>
      </c>
      <c r="O967" s="21">
        <v>44587.0</v>
      </c>
      <c r="P967" s="6" t="s">
        <v>152</v>
      </c>
      <c r="Q967" s="21">
        <v>44587.0</v>
      </c>
      <c r="R967" s="6" t="s">
        <v>152</v>
      </c>
      <c r="S967" s="20">
        <v>0.0</v>
      </c>
      <c r="T967" s="6" t="s">
        <v>1683</v>
      </c>
      <c r="U967" s="6"/>
      <c r="V967" s="6"/>
      <c r="W967" s="6">
        <v>29.8069477</v>
      </c>
      <c r="X967" s="6">
        <v>-95.4161511</v>
      </c>
    </row>
    <row r="968" ht="15.75" customHeight="1">
      <c r="A968" s="6">
        <v>13333.0</v>
      </c>
      <c r="B968" s="6">
        <v>2022.0</v>
      </c>
      <c r="C968" s="6" t="str">
        <f t="shared" si="5"/>
        <v>9410 BOB WHITE DR,Houston,Texas</v>
      </c>
      <c r="D968" s="6" t="s">
        <v>1684</v>
      </c>
      <c r="E968" s="6" t="s">
        <v>25</v>
      </c>
      <c r="F968" s="6" t="s">
        <v>26</v>
      </c>
      <c r="G968" s="6" t="s">
        <v>69</v>
      </c>
      <c r="H968" s="6" t="s">
        <v>28</v>
      </c>
      <c r="I968" s="6" t="str">
        <f>VLOOKUP(H968,'Flow Location'!$A$1:$B$21,2,FALSE)</f>
        <v>Storm Sewer (not contained)</v>
      </c>
      <c r="J968" s="20">
        <v>1078.0</v>
      </c>
      <c r="K968" s="6" t="s">
        <v>29</v>
      </c>
      <c r="L968" s="6" t="str">
        <f>VLOOKUP(K968,'Structure type'!$A$1:$B$15,2,FALSE)</f>
        <v>Manhole</v>
      </c>
      <c r="M968" s="6" t="s">
        <v>30</v>
      </c>
      <c r="N968" s="6" t="str">
        <f>VLOOKUP(M968,'Excursion Cause'!$A$1:$B$34,2,FALSE)</f>
        <v>Grease Blockage</v>
      </c>
      <c r="O968" s="21">
        <v>44587.0</v>
      </c>
      <c r="P968" s="6" t="s">
        <v>88</v>
      </c>
      <c r="Q968" s="21">
        <v>44587.0</v>
      </c>
      <c r="R968" s="6" t="s">
        <v>1597</v>
      </c>
      <c r="S968" s="20">
        <v>2.0</v>
      </c>
      <c r="T968" s="6" t="s">
        <v>1685</v>
      </c>
      <c r="U968" s="6"/>
      <c r="V968" s="6"/>
      <c r="W968" s="6">
        <v>29.6761732</v>
      </c>
      <c r="X968" s="6">
        <v>-95.5028228</v>
      </c>
    </row>
    <row r="969" ht="15.75" customHeight="1">
      <c r="A969" s="6">
        <v>13336.0</v>
      </c>
      <c r="B969" s="6">
        <v>2022.0</v>
      </c>
      <c r="C969" s="6" t="str">
        <f t="shared" si="5"/>
        <v>5850 KIAM ST,Houston,Texas</v>
      </c>
      <c r="D969" s="6" t="s">
        <v>1686</v>
      </c>
      <c r="E969" s="6" t="s">
        <v>25</v>
      </c>
      <c r="F969" s="6" t="s">
        <v>26</v>
      </c>
      <c r="G969" s="6" t="s">
        <v>158</v>
      </c>
      <c r="H969" s="6" t="s">
        <v>44</v>
      </c>
      <c r="I969" s="6" t="str">
        <f>VLOOKUP(H969,'Flow Location'!$A$1:$B$21,2,FALSE)</f>
        <v>Bayou/surface water/drainage ditch</v>
      </c>
      <c r="J969" s="20">
        <v>392.0</v>
      </c>
      <c r="K969" s="6" t="s">
        <v>29</v>
      </c>
      <c r="L969" s="6" t="str">
        <f>VLOOKUP(K969,'Structure type'!$A$1:$B$15,2,FALSE)</f>
        <v>Manhole</v>
      </c>
      <c r="M969" s="6" t="s">
        <v>30</v>
      </c>
      <c r="N969" s="6" t="str">
        <f>VLOOKUP(M969,'Excursion Cause'!$A$1:$B$34,2,FALSE)</f>
        <v>Grease Blockage</v>
      </c>
      <c r="O969" s="21">
        <v>44587.0</v>
      </c>
      <c r="P969" s="6" t="s">
        <v>870</v>
      </c>
      <c r="Q969" s="21">
        <v>44587.0</v>
      </c>
      <c r="R969" s="6" t="s">
        <v>944</v>
      </c>
      <c r="S969" s="20">
        <v>1.0</v>
      </c>
      <c r="T969" s="6" t="s">
        <v>1687</v>
      </c>
      <c r="U969" s="6"/>
      <c r="V969" s="6"/>
      <c r="W969" s="6">
        <v>29.7813672</v>
      </c>
      <c r="X969" s="6">
        <v>-95.4286219</v>
      </c>
    </row>
    <row r="970" ht="15.75" customHeight="1">
      <c r="A970" s="6">
        <v>13338.0</v>
      </c>
      <c r="B970" s="6">
        <v>2022.0</v>
      </c>
      <c r="C970" s="6" t="str">
        <f t="shared" si="5"/>
        <v>4106 WORRELL DR,Houston,Texas</v>
      </c>
      <c r="D970" s="6" t="s">
        <v>1688</v>
      </c>
      <c r="E970" s="6" t="s">
        <v>25</v>
      </c>
      <c r="F970" s="6" t="s">
        <v>26</v>
      </c>
      <c r="G970" s="6" t="s">
        <v>39</v>
      </c>
      <c r="H970" s="6" t="s">
        <v>87</v>
      </c>
      <c r="I970" s="6" t="str">
        <f>VLOOKUP(H970,'Flow Location'!$A$1:$B$21,2,FALSE)</f>
        <v>Within 5 ft. of Bayou/Surface Water/Drainage Ditch</v>
      </c>
      <c r="J970" s="20">
        <v>424.0</v>
      </c>
      <c r="K970" s="6" t="s">
        <v>29</v>
      </c>
      <c r="L970" s="6" t="str">
        <f>VLOOKUP(K970,'Structure type'!$A$1:$B$15,2,FALSE)</f>
        <v>Manhole</v>
      </c>
      <c r="M970" s="6" t="s">
        <v>30</v>
      </c>
      <c r="N970" s="6" t="str">
        <f>VLOOKUP(M970,'Excursion Cause'!$A$1:$B$34,2,FALSE)</f>
        <v>Grease Blockage</v>
      </c>
      <c r="O970" s="21">
        <v>44587.0</v>
      </c>
      <c r="P970" s="6" t="s">
        <v>1689</v>
      </c>
      <c r="Q970" s="21">
        <v>44587.0</v>
      </c>
      <c r="R970" s="6" t="s">
        <v>1690</v>
      </c>
      <c r="S970" s="20">
        <v>2.0</v>
      </c>
      <c r="T970" s="6" t="s">
        <v>1691</v>
      </c>
      <c r="U970" s="6"/>
      <c r="V970" s="6"/>
      <c r="W970" s="6">
        <v>29.6412946</v>
      </c>
      <c r="X970" s="6">
        <v>-95.440069</v>
      </c>
    </row>
    <row r="971" ht="15.75" customHeight="1">
      <c r="A971" s="6">
        <v>13339.0</v>
      </c>
      <c r="B971" s="6">
        <v>2022.0</v>
      </c>
      <c r="C971" s="6" t="str">
        <f t="shared" si="5"/>
        <v>927 MAROBY ST,Houston,Texas</v>
      </c>
      <c r="D971" s="6" t="s">
        <v>1692</v>
      </c>
      <c r="E971" s="6" t="s">
        <v>25</v>
      </c>
      <c r="F971" s="6" t="s">
        <v>26</v>
      </c>
      <c r="G971" s="6" t="s">
        <v>135</v>
      </c>
      <c r="H971" s="6" t="s">
        <v>28</v>
      </c>
      <c r="I971" s="6" t="str">
        <f>VLOOKUP(H971,'Flow Location'!$A$1:$B$21,2,FALSE)</f>
        <v>Storm Sewer (not contained)</v>
      </c>
      <c r="J971" s="20">
        <v>1735.0</v>
      </c>
      <c r="K971" s="6" t="s">
        <v>29</v>
      </c>
      <c r="L971" s="6" t="str">
        <f>VLOOKUP(K971,'Structure type'!$A$1:$B$15,2,FALSE)</f>
        <v>Manhole</v>
      </c>
      <c r="M971" s="6" t="s">
        <v>30</v>
      </c>
      <c r="N971" s="6" t="str">
        <f>VLOOKUP(M971,'Excursion Cause'!$A$1:$B$34,2,FALSE)</f>
        <v>Grease Blockage</v>
      </c>
      <c r="O971" s="21">
        <v>44587.0</v>
      </c>
      <c r="P971" s="6" t="s">
        <v>604</v>
      </c>
      <c r="Q971" s="21">
        <v>44588.0</v>
      </c>
      <c r="R971" s="6" t="s">
        <v>314</v>
      </c>
      <c r="S971" s="20">
        <v>1.0</v>
      </c>
      <c r="T971" s="6" t="s">
        <v>1693</v>
      </c>
      <c r="U971" s="6"/>
      <c r="V971" s="6"/>
      <c r="W971" s="6">
        <v>29.6940708</v>
      </c>
      <c r="X971" s="6">
        <v>-95.2461035</v>
      </c>
    </row>
    <row r="972" ht="15.75" customHeight="1">
      <c r="A972" s="6">
        <v>13340.0</v>
      </c>
      <c r="B972" s="6">
        <v>2022.0</v>
      </c>
      <c r="C972" s="6" t="str">
        <f t="shared" si="5"/>
        <v>10030 LAZY OAKS ST,Houston,Texas</v>
      </c>
      <c r="D972" s="6" t="s">
        <v>1694</v>
      </c>
      <c r="E972" s="6" t="s">
        <v>25</v>
      </c>
      <c r="F972" s="6" t="s">
        <v>26</v>
      </c>
      <c r="G972" s="6" t="s">
        <v>294</v>
      </c>
      <c r="H972" s="6" t="s">
        <v>1493</v>
      </c>
      <c r="I972" s="6" t="str">
        <f>VLOOKUP(H972,'Flow Location'!$A$1:$B$21,2,FALSE)</f>
        <v>Contained On Site, not within 5 ft. of Bayou/Surface Water/Drainage Ditch</v>
      </c>
      <c r="J972" s="20">
        <v>0.0</v>
      </c>
      <c r="K972" s="6" t="s">
        <v>45</v>
      </c>
      <c r="L972" s="6" t="str">
        <f>VLOOKUP(K972,'Structure type'!$A$1:$B$15,2,FALSE)</f>
        <v>City Cleanout</v>
      </c>
      <c r="M972" s="6" t="s">
        <v>56</v>
      </c>
      <c r="N972" s="6" t="str">
        <f>VLOOKUP(M972,'Excursion Cause'!$A$1:$B$34,2,FALSE)</f>
        <v>Rags/Wipes</v>
      </c>
      <c r="O972" s="21">
        <v>44588.0</v>
      </c>
      <c r="P972" s="6" t="s">
        <v>984</v>
      </c>
      <c r="Q972" s="21">
        <v>44588.0</v>
      </c>
      <c r="R972" s="6" t="s">
        <v>984</v>
      </c>
      <c r="S972" s="20">
        <v>0.0</v>
      </c>
      <c r="T972" s="6" t="s">
        <v>1695</v>
      </c>
      <c r="U972" s="6"/>
      <c r="V972" s="6"/>
      <c r="W972" s="6">
        <v>29.7994265</v>
      </c>
      <c r="X972" s="6">
        <v>-95.5422683</v>
      </c>
    </row>
    <row r="973" ht="15.75" customHeight="1">
      <c r="A973" s="6">
        <v>13341.0</v>
      </c>
      <c r="B973" s="6">
        <v>2022.0</v>
      </c>
      <c r="C973" s="6" t="str">
        <f t="shared" si="5"/>
        <v>1003 KELLEY ST,Houston,Texas</v>
      </c>
      <c r="D973" s="6" t="s">
        <v>1696</v>
      </c>
      <c r="E973" s="6" t="s">
        <v>25</v>
      </c>
      <c r="F973" s="6" t="s">
        <v>26</v>
      </c>
      <c r="G973" s="6" t="s">
        <v>161</v>
      </c>
      <c r="H973" s="6" t="s">
        <v>50</v>
      </c>
      <c r="I973" s="6" t="str">
        <f>VLOOKUP(H973,'Flow Location'!$A$1:$B$21,2,FALSE)</f>
        <v>Contained On Site, not within 5 ft. of Bayou/Surface Water/Drainage Ditch</v>
      </c>
      <c r="J973" s="20">
        <v>0.0</v>
      </c>
      <c r="K973" s="6" t="s">
        <v>51</v>
      </c>
      <c r="L973" s="6" t="str">
        <f>VLOOKUP(K973,'Structure type'!$A$1:$B$15,2,FALSE)</f>
        <v>Private Cleanout</v>
      </c>
      <c r="M973" s="6" t="s">
        <v>30</v>
      </c>
      <c r="N973" s="6" t="str">
        <f>VLOOKUP(M973,'Excursion Cause'!$A$1:$B$34,2,FALSE)</f>
        <v>Grease Blockage</v>
      </c>
      <c r="O973" s="21">
        <v>44588.0</v>
      </c>
      <c r="P973" s="6" t="s">
        <v>672</v>
      </c>
      <c r="Q973" s="21">
        <v>44588.0</v>
      </c>
      <c r="R973" s="6" t="s">
        <v>672</v>
      </c>
      <c r="S973" s="20">
        <v>0.0</v>
      </c>
      <c r="T973" s="6" t="s">
        <v>942</v>
      </c>
      <c r="U973" s="6"/>
      <c r="V973" s="6"/>
      <c r="W973" s="6">
        <v>29.8134749</v>
      </c>
      <c r="X973" s="6">
        <v>-95.3584535</v>
      </c>
    </row>
    <row r="974" ht="15.75" customHeight="1">
      <c r="A974" s="6">
        <v>13343.0</v>
      </c>
      <c r="B974" s="6">
        <v>2022.0</v>
      </c>
      <c r="C974" s="6" t="str">
        <f t="shared" si="5"/>
        <v>2103 DAVIS ST,Houston,Texas</v>
      </c>
      <c r="D974" s="6" t="s">
        <v>1697</v>
      </c>
      <c r="E974" s="6" t="s">
        <v>25</v>
      </c>
      <c r="F974" s="6" t="s">
        <v>26</v>
      </c>
      <c r="G974" s="6" t="s">
        <v>43</v>
      </c>
      <c r="H974" s="6" t="s">
        <v>1493</v>
      </c>
      <c r="I974" s="6" t="str">
        <f>VLOOKUP(H974,'Flow Location'!$A$1:$B$21,2,FALSE)</f>
        <v>Contained On Site, not within 5 ft. of Bayou/Surface Water/Drainage Ditch</v>
      </c>
      <c r="J974" s="20">
        <v>0.0</v>
      </c>
      <c r="K974" s="6" t="s">
        <v>45</v>
      </c>
      <c r="L974" s="6" t="str">
        <f>VLOOKUP(K974,'Structure type'!$A$1:$B$15,2,FALSE)</f>
        <v>City Cleanout</v>
      </c>
      <c r="M974" s="6" t="s">
        <v>30</v>
      </c>
      <c r="N974" s="6" t="str">
        <f>VLOOKUP(M974,'Excursion Cause'!$A$1:$B$34,2,FALSE)</f>
        <v>Grease Blockage</v>
      </c>
      <c r="O974" s="21">
        <v>44588.0</v>
      </c>
      <c r="P974" s="6" t="s">
        <v>714</v>
      </c>
      <c r="Q974" s="21">
        <v>44588.0</v>
      </c>
      <c r="R974" s="6" t="s">
        <v>714</v>
      </c>
      <c r="S974" s="20">
        <v>0.0</v>
      </c>
      <c r="T974" s="6" t="s">
        <v>1698</v>
      </c>
      <c r="U974" s="6"/>
      <c r="V974" s="6"/>
      <c r="W974" s="6">
        <v>29.7808694</v>
      </c>
      <c r="X974" s="6">
        <v>-95.3431432</v>
      </c>
    </row>
    <row r="975" ht="15.75" customHeight="1">
      <c r="A975" s="6">
        <v>13354.0</v>
      </c>
      <c r="B975" s="6">
        <v>2022.0</v>
      </c>
      <c r="C975" s="6" t="str">
        <f t="shared" si="5"/>
        <v>617 WARNER ST,Houston,Texas</v>
      </c>
      <c r="D975" s="6" t="s">
        <v>1061</v>
      </c>
      <c r="E975" s="6" t="s">
        <v>25</v>
      </c>
      <c r="F975" s="6" t="s">
        <v>26</v>
      </c>
      <c r="G975" s="6" t="s">
        <v>653</v>
      </c>
      <c r="H975" s="6" t="s">
        <v>44</v>
      </c>
      <c r="I975" s="6" t="str">
        <f>VLOOKUP(H975,'Flow Location'!$A$1:$B$21,2,FALSE)</f>
        <v>Bayou/surface water/drainage ditch</v>
      </c>
      <c r="J975" s="20">
        <v>255.0</v>
      </c>
      <c r="K975" s="6" t="s">
        <v>29</v>
      </c>
      <c r="L975" s="6" t="str">
        <f>VLOOKUP(K975,'Structure type'!$A$1:$B$15,2,FALSE)</f>
        <v>Manhole</v>
      </c>
      <c r="M975" s="6" t="s">
        <v>30</v>
      </c>
      <c r="N975" s="6" t="str">
        <f>VLOOKUP(M975,'Excursion Cause'!$A$1:$B$34,2,FALSE)</f>
        <v>Grease Blockage</v>
      </c>
      <c r="O975" s="21">
        <v>44589.0</v>
      </c>
      <c r="P975" s="6" t="s">
        <v>1699</v>
      </c>
      <c r="Q975" s="21">
        <v>44589.0</v>
      </c>
      <c r="R975" s="6" t="s">
        <v>1699</v>
      </c>
      <c r="S975" s="20">
        <v>0.0</v>
      </c>
      <c r="T975" s="6" t="s">
        <v>1700</v>
      </c>
      <c r="U975" s="6"/>
      <c r="V975" s="6"/>
      <c r="W975" s="6">
        <v>29.8409649</v>
      </c>
      <c r="X975" s="6">
        <v>-95.3667419</v>
      </c>
    </row>
    <row r="976" ht="15.75" customHeight="1">
      <c r="A976" s="6">
        <v>13358.0</v>
      </c>
      <c r="B976" s="6">
        <v>2022.0</v>
      </c>
      <c r="C976" s="6" t="str">
        <f t="shared" si="5"/>
        <v>10000 HAMMERLY BLVD,Houston,Texas</v>
      </c>
      <c r="D976" s="6" t="s">
        <v>920</v>
      </c>
      <c r="E976" s="6" t="s">
        <v>25</v>
      </c>
      <c r="F976" s="6" t="s">
        <v>26</v>
      </c>
      <c r="G976" s="6" t="s">
        <v>294</v>
      </c>
      <c r="H976" s="6" t="s">
        <v>28</v>
      </c>
      <c r="I976" s="6" t="str">
        <f>VLOOKUP(H976,'Flow Location'!$A$1:$B$21,2,FALSE)</f>
        <v>Storm Sewer (not contained)</v>
      </c>
      <c r="J976" s="20">
        <v>104.0</v>
      </c>
      <c r="K976" s="6" t="s">
        <v>29</v>
      </c>
      <c r="L976" s="6" t="str">
        <f>VLOOKUP(K976,'Structure type'!$A$1:$B$15,2,FALSE)</f>
        <v>Manhole</v>
      </c>
      <c r="M976" s="6" t="s">
        <v>30</v>
      </c>
      <c r="N976" s="6" t="str">
        <f>VLOOKUP(M976,'Excursion Cause'!$A$1:$B$34,2,FALSE)</f>
        <v>Grease Blockage</v>
      </c>
      <c r="O976" s="21">
        <v>44589.0</v>
      </c>
      <c r="P976" s="6" t="s">
        <v>1363</v>
      </c>
      <c r="Q976" s="21">
        <v>44589.0</v>
      </c>
      <c r="R976" s="6" t="s">
        <v>1363</v>
      </c>
      <c r="S976" s="20">
        <v>0.0</v>
      </c>
      <c r="T976" s="6" t="s">
        <v>1701</v>
      </c>
      <c r="U976" s="6"/>
      <c r="V976" s="6"/>
      <c r="W976" s="6">
        <v>29.8147108</v>
      </c>
      <c r="X976" s="6">
        <v>-95.540368</v>
      </c>
    </row>
    <row r="977" ht="15.75" customHeight="1">
      <c r="A977" s="6">
        <v>13364.0</v>
      </c>
      <c r="B977" s="6">
        <v>2022.0</v>
      </c>
      <c r="C977" s="6" t="str">
        <f t="shared" si="5"/>
        <v>8030 W AIRPORT BLVD,Houston,Texas</v>
      </c>
      <c r="D977" s="6" t="s">
        <v>179</v>
      </c>
      <c r="E977" s="6" t="s">
        <v>25</v>
      </c>
      <c r="F977" s="6" t="s">
        <v>26</v>
      </c>
      <c r="G977" s="6" t="s">
        <v>148</v>
      </c>
      <c r="H977" s="6" t="s">
        <v>1493</v>
      </c>
      <c r="I977" s="6" t="str">
        <f>VLOOKUP(H977,'Flow Location'!$A$1:$B$21,2,FALSE)</f>
        <v>Contained On Site, not within 5 ft. of Bayou/Surface Water/Drainage Ditch</v>
      </c>
      <c r="J977" s="20">
        <v>0.0</v>
      </c>
      <c r="K977" s="6" t="s">
        <v>29</v>
      </c>
      <c r="L977" s="6" t="str">
        <f>VLOOKUP(K977,'Structure type'!$A$1:$B$15,2,FALSE)</f>
        <v>Manhole</v>
      </c>
      <c r="M977" s="6" t="s">
        <v>56</v>
      </c>
      <c r="N977" s="6" t="str">
        <f>VLOOKUP(M977,'Excursion Cause'!$A$1:$B$34,2,FALSE)</f>
        <v>Rags/Wipes</v>
      </c>
      <c r="O977" s="21">
        <v>44589.0</v>
      </c>
      <c r="P977" s="6" t="s">
        <v>302</v>
      </c>
      <c r="Q977" s="21">
        <v>44589.0</v>
      </c>
      <c r="R977" s="6" t="s">
        <v>302</v>
      </c>
      <c r="S977" s="20">
        <v>0.0</v>
      </c>
      <c r="T977" s="6" t="s">
        <v>1702</v>
      </c>
      <c r="U977" s="6"/>
      <c r="V977" s="6"/>
      <c r="W977" s="6">
        <v>29.6423565</v>
      </c>
      <c r="X977" s="6">
        <v>-95.5202336</v>
      </c>
    </row>
    <row r="978" ht="15.75" customHeight="1">
      <c r="A978" s="6">
        <v>13381.0</v>
      </c>
      <c r="B978" s="6">
        <v>2022.0</v>
      </c>
      <c r="C978" s="6" t="str">
        <f t="shared" si="5"/>
        <v>7054 HENDON LN,Houston,Texas</v>
      </c>
      <c r="D978" s="6" t="s">
        <v>1703</v>
      </c>
      <c r="E978" s="6" t="s">
        <v>25</v>
      </c>
      <c r="F978" s="6" t="s">
        <v>26</v>
      </c>
      <c r="G978" s="6" t="s">
        <v>471</v>
      </c>
      <c r="H978" s="6" t="s">
        <v>28</v>
      </c>
      <c r="I978" s="6" t="str">
        <f>VLOOKUP(H978,'Flow Location'!$A$1:$B$21,2,FALSE)</f>
        <v>Storm Sewer (not contained)</v>
      </c>
      <c r="J978" s="20">
        <v>4185.0</v>
      </c>
      <c r="K978" s="6" t="s">
        <v>29</v>
      </c>
      <c r="L978" s="6" t="str">
        <f>VLOOKUP(K978,'Structure type'!$A$1:$B$15,2,FALSE)</f>
        <v>Manhole</v>
      </c>
      <c r="M978" s="6" t="s">
        <v>30</v>
      </c>
      <c r="N978" s="6" t="str">
        <f>VLOOKUP(M978,'Excursion Cause'!$A$1:$B$34,2,FALSE)</f>
        <v>Grease Blockage</v>
      </c>
      <c r="O978" s="21">
        <v>44590.0</v>
      </c>
      <c r="P978" s="6" t="s">
        <v>1704</v>
      </c>
      <c r="Q978" s="21">
        <v>44590.0</v>
      </c>
      <c r="R978" s="6" t="s">
        <v>1704</v>
      </c>
      <c r="S978" s="20">
        <v>0.0</v>
      </c>
      <c r="T978" s="6" t="s">
        <v>1705</v>
      </c>
      <c r="U978" s="6"/>
      <c r="V978" s="6"/>
      <c r="W978" s="6">
        <v>29.6958565</v>
      </c>
      <c r="X978" s="6">
        <v>-95.5085339</v>
      </c>
    </row>
    <row r="979" ht="15.75" customHeight="1">
      <c r="A979" s="6">
        <v>13390.0</v>
      </c>
      <c r="B979" s="6">
        <v>2022.0</v>
      </c>
      <c r="C979" s="6" t="str">
        <f t="shared" si="5"/>
        <v>6815 CRESTMONT ST,Houston,Texas</v>
      </c>
      <c r="D979" s="6" t="s">
        <v>1706</v>
      </c>
      <c r="E979" s="6" t="s">
        <v>25</v>
      </c>
      <c r="F979" s="6" t="s">
        <v>26</v>
      </c>
      <c r="G979" s="6" t="s">
        <v>120</v>
      </c>
      <c r="H979" s="6" t="s">
        <v>1493</v>
      </c>
      <c r="I979" s="6" t="str">
        <f>VLOOKUP(H979,'Flow Location'!$A$1:$B$21,2,FALSE)</f>
        <v>Contained On Site, not within 5 ft. of Bayou/Surface Water/Drainage Ditch</v>
      </c>
      <c r="J979" s="20">
        <v>0.0</v>
      </c>
      <c r="K979" s="6" t="s">
        <v>29</v>
      </c>
      <c r="L979" s="6" t="str">
        <f>VLOOKUP(K979,'Structure type'!$A$1:$B$15,2,FALSE)</f>
        <v>Manhole</v>
      </c>
      <c r="M979" s="6" t="s">
        <v>30</v>
      </c>
      <c r="N979" s="6" t="str">
        <f>VLOOKUP(M979,'Excursion Cause'!$A$1:$B$34,2,FALSE)</f>
        <v>Grease Blockage</v>
      </c>
      <c r="O979" s="21">
        <v>44591.0</v>
      </c>
      <c r="P979" s="6" t="s">
        <v>424</v>
      </c>
      <c r="Q979" s="21">
        <v>44591.0</v>
      </c>
      <c r="R979" s="6" t="s">
        <v>424</v>
      </c>
      <c r="S979" s="20">
        <v>0.0</v>
      </c>
      <c r="T979" s="6" t="s">
        <v>1707</v>
      </c>
      <c r="U979" s="6"/>
      <c r="V979" s="6"/>
      <c r="W979" s="6">
        <v>29.6803274</v>
      </c>
      <c r="X979" s="6">
        <v>-95.3285556</v>
      </c>
    </row>
    <row r="980" ht="15.75" customHeight="1">
      <c r="A980" s="6">
        <v>13393.0</v>
      </c>
      <c r="B980" s="6">
        <v>2022.0</v>
      </c>
      <c r="C980" s="6" t="str">
        <f t="shared" si="5"/>
        <v>8300 SANDS POINT DR,Houston,Texas</v>
      </c>
      <c r="D980" s="6" t="s">
        <v>1708</v>
      </c>
      <c r="E980" s="6" t="s">
        <v>25</v>
      </c>
      <c r="F980" s="6" t="s">
        <v>26</v>
      </c>
      <c r="G980" s="6" t="s">
        <v>100</v>
      </c>
      <c r="H980" s="6" t="s">
        <v>28</v>
      </c>
      <c r="I980" s="6" t="str">
        <f>VLOOKUP(H980,'Flow Location'!$A$1:$B$21,2,FALSE)</f>
        <v>Storm Sewer (not contained)</v>
      </c>
      <c r="J980" s="20">
        <v>1025.0</v>
      </c>
      <c r="K980" s="6" t="s">
        <v>29</v>
      </c>
      <c r="L980" s="6" t="str">
        <f>VLOOKUP(K980,'Structure type'!$A$1:$B$15,2,FALSE)</f>
        <v>Manhole</v>
      </c>
      <c r="M980" s="6" t="s">
        <v>30</v>
      </c>
      <c r="N980" s="6" t="str">
        <f>VLOOKUP(M980,'Excursion Cause'!$A$1:$B$34,2,FALSE)</f>
        <v>Grease Blockage</v>
      </c>
      <c r="O980" s="21">
        <v>44591.0</v>
      </c>
      <c r="P980" s="6" t="s">
        <v>1079</v>
      </c>
      <c r="Q980" s="21">
        <v>44591.0</v>
      </c>
      <c r="R980" s="6" t="s">
        <v>1079</v>
      </c>
      <c r="S980" s="20">
        <v>0.0</v>
      </c>
      <c r="T980" s="6" t="s">
        <v>1709</v>
      </c>
      <c r="U980" s="6"/>
      <c r="V980" s="6"/>
      <c r="W980" s="6">
        <v>29.7150611</v>
      </c>
      <c r="X980" s="6">
        <v>-95.5330626</v>
      </c>
    </row>
    <row r="981" ht="15.75" customHeight="1">
      <c r="A981" s="6">
        <v>13397.0</v>
      </c>
      <c r="B981" s="6">
        <v>2022.0</v>
      </c>
      <c r="C981" s="6" t="str">
        <f t="shared" si="5"/>
        <v>10004 WESTVIEW DR,Houston,Texas</v>
      </c>
      <c r="D981" s="6" t="s">
        <v>1710</v>
      </c>
      <c r="E981" s="6" t="s">
        <v>25</v>
      </c>
      <c r="F981" s="6" t="s">
        <v>26</v>
      </c>
      <c r="G981" s="6" t="s">
        <v>27</v>
      </c>
      <c r="H981" s="6" t="s">
        <v>1493</v>
      </c>
      <c r="I981" s="6" t="str">
        <f>VLOOKUP(H981,'Flow Location'!$A$1:$B$21,2,FALSE)</f>
        <v>Contained On Site, not within 5 ft. of Bayou/Surface Water/Drainage Ditch</v>
      </c>
      <c r="J981" s="20">
        <v>92.0</v>
      </c>
      <c r="K981" s="6" t="s">
        <v>45</v>
      </c>
      <c r="L981" s="6" t="str">
        <f>VLOOKUP(K981,'Structure type'!$A$1:$B$15,2,FALSE)</f>
        <v>City Cleanout</v>
      </c>
      <c r="M981" s="6" t="s">
        <v>56</v>
      </c>
      <c r="N981" s="6" t="str">
        <f>VLOOKUP(M981,'Excursion Cause'!$A$1:$B$34,2,FALSE)</f>
        <v>Rags/Wipes</v>
      </c>
      <c r="O981" s="21">
        <v>44591.0</v>
      </c>
      <c r="P981" s="6" t="s">
        <v>304</v>
      </c>
      <c r="Q981" s="21">
        <v>44591.0</v>
      </c>
      <c r="R981" s="6" t="s">
        <v>304</v>
      </c>
      <c r="S981" s="20">
        <v>0.0</v>
      </c>
      <c r="T981" s="6" t="s">
        <v>1711</v>
      </c>
      <c r="U981" s="6"/>
      <c r="V981" s="6"/>
      <c r="W981" s="6">
        <v>29.7910093</v>
      </c>
      <c r="X981" s="6">
        <v>-95.5405478</v>
      </c>
    </row>
    <row r="982" ht="15.75" customHeight="1">
      <c r="A982" s="6">
        <v>13400.0</v>
      </c>
      <c r="B982" s="6">
        <v>2022.0</v>
      </c>
      <c r="C982" s="6" t="str">
        <f t="shared" si="5"/>
        <v>222 HOHLDALE ST,Houston,Texas</v>
      </c>
      <c r="D982" s="6" t="s">
        <v>1712</v>
      </c>
      <c r="E982" s="6" t="s">
        <v>25</v>
      </c>
      <c r="F982" s="6" t="s">
        <v>26</v>
      </c>
      <c r="G982" s="6" t="s">
        <v>653</v>
      </c>
      <c r="H982" s="6" t="s">
        <v>28</v>
      </c>
      <c r="I982" s="6" t="str">
        <f>VLOOKUP(H982,'Flow Location'!$A$1:$B$21,2,FALSE)</f>
        <v>Storm Sewer (not contained)</v>
      </c>
      <c r="J982" s="20">
        <v>0.0</v>
      </c>
      <c r="K982" s="6" t="s">
        <v>29</v>
      </c>
      <c r="L982" s="6" t="str">
        <f>VLOOKUP(K982,'Structure type'!$A$1:$B$15,2,FALSE)</f>
        <v>Manhole</v>
      </c>
      <c r="M982" s="6" t="s">
        <v>30</v>
      </c>
      <c r="N982" s="6" t="str">
        <f>VLOOKUP(M982,'Excursion Cause'!$A$1:$B$34,2,FALSE)</f>
        <v>Grease Blockage</v>
      </c>
      <c r="O982" s="21">
        <v>44591.0</v>
      </c>
      <c r="P982" s="6" t="s">
        <v>1306</v>
      </c>
      <c r="Q982" s="21">
        <v>44591.0</v>
      </c>
      <c r="R982" s="6" t="s">
        <v>1306</v>
      </c>
      <c r="S982" s="20">
        <v>0.0</v>
      </c>
      <c r="T982" s="6" t="s">
        <v>1713</v>
      </c>
      <c r="U982" s="6"/>
      <c r="V982" s="6"/>
      <c r="W982" s="6">
        <v>29.8420965</v>
      </c>
      <c r="X982" s="6">
        <v>-95.4010676</v>
      </c>
    </row>
    <row r="983" ht="15.75" customHeight="1">
      <c r="A983" s="6">
        <v>13405.0</v>
      </c>
      <c r="B983" s="6">
        <v>2022.0</v>
      </c>
      <c r="C983" s="6" t="str">
        <f t="shared" si="5"/>
        <v>701 LINK RD,Houston,Texas</v>
      </c>
      <c r="D983" s="6" t="s">
        <v>1714</v>
      </c>
      <c r="E983" s="6" t="s">
        <v>25</v>
      </c>
      <c r="F983" s="6" t="s">
        <v>26</v>
      </c>
      <c r="G983" s="6" t="s">
        <v>161</v>
      </c>
      <c r="H983" s="6" t="s">
        <v>44</v>
      </c>
      <c r="I983" s="6" t="str">
        <f>VLOOKUP(H983,'Flow Location'!$A$1:$B$21,2,FALSE)</f>
        <v>Bayou/surface water/drainage ditch</v>
      </c>
      <c r="J983" s="20">
        <v>0.0</v>
      </c>
      <c r="K983" s="6" t="s">
        <v>51</v>
      </c>
      <c r="L983" s="6" t="str">
        <f>VLOOKUP(K983,'Structure type'!$A$1:$B$15,2,FALSE)</f>
        <v>Private Cleanout</v>
      </c>
      <c r="M983" s="6" t="s">
        <v>52</v>
      </c>
      <c r="N983" s="6" t="str">
        <f>VLOOKUP(M983,'Excursion Cause'!$A$1:$B$34,2,FALSE)</f>
        <v>Collection system structural blockage</v>
      </c>
      <c r="O983" s="21">
        <v>44592.0</v>
      </c>
      <c r="P983" s="6" t="s">
        <v>874</v>
      </c>
      <c r="Q983" s="21">
        <v>44592.0</v>
      </c>
      <c r="R983" s="6" t="s">
        <v>874</v>
      </c>
      <c r="S983" s="20">
        <v>0.0</v>
      </c>
      <c r="T983" s="6" t="s">
        <v>118</v>
      </c>
      <c r="U983" s="6"/>
      <c r="V983" s="6"/>
      <c r="W983" s="6">
        <v>29.8083351</v>
      </c>
      <c r="X983" s="6">
        <v>-95.3797256</v>
      </c>
    </row>
    <row r="984" ht="15.75" customHeight="1">
      <c r="A984" s="6">
        <v>13406.0</v>
      </c>
      <c r="B984" s="6">
        <v>2022.0</v>
      </c>
      <c r="C984" s="6" t="str">
        <f t="shared" si="5"/>
        <v>2201 PRESTON ST,Houston,Texas</v>
      </c>
      <c r="D984" s="6" t="s">
        <v>1715</v>
      </c>
      <c r="E984" s="6" t="s">
        <v>25</v>
      </c>
      <c r="F984" s="6" t="s">
        <v>26</v>
      </c>
      <c r="G984" s="6" t="s">
        <v>172</v>
      </c>
      <c r="H984" s="6" t="s">
        <v>50</v>
      </c>
      <c r="I984" s="6" t="str">
        <f>VLOOKUP(H984,'Flow Location'!$A$1:$B$21,2,FALSE)</f>
        <v>Contained On Site, not within 5 ft. of Bayou/Surface Water/Drainage Ditch</v>
      </c>
      <c r="J984" s="20">
        <v>0.0</v>
      </c>
      <c r="K984" s="6" t="s">
        <v>45</v>
      </c>
      <c r="L984" s="6" t="str">
        <f>VLOOKUP(K984,'Structure type'!$A$1:$B$15,2,FALSE)</f>
        <v>City Cleanout</v>
      </c>
      <c r="M984" s="6" t="s">
        <v>52</v>
      </c>
      <c r="N984" s="6" t="str">
        <f>VLOOKUP(M984,'Excursion Cause'!$A$1:$B$34,2,FALSE)</f>
        <v>Collection system structural blockage</v>
      </c>
      <c r="O984" s="21">
        <v>44592.0</v>
      </c>
      <c r="P984" s="6" t="s">
        <v>560</v>
      </c>
      <c r="Q984" s="21">
        <v>44592.0</v>
      </c>
      <c r="R984" s="6" t="s">
        <v>560</v>
      </c>
      <c r="S984" s="20">
        <v>0.0</v>
      </c>
      <c r="T984" s="6" t="s">
        <v>89</v>
      </c>
      <c r="U984" s="6"/>
      <c r="V984" s="6"/>
      <c r="W984" s="6">
        <v>29.7552992</v>
      </c>
      <c r="X984" s="6">
        <v>-95.3505047</v>
      </c>
    </row>
    <row r="985" ht="15.75" customHeight="1">
      <c r="A985" s="6">
        <v>13411.0</v>
      </c>
      <c r="B985" s="6">
        <v>2022.0</v>
      </c>
      <c r="C985" s="6" t="str">
        <f t="shared" si="5"/>
        <v>13202 LEA ST,Houston,Texas</v>
      </c>
      <c r="D985" s="6" t="s">
        <v>1716</v>
      </c>
      <c r="E985" s="6" t="s">
        <v>25</v>
      </c>
      <c r="F985" s="6" t="s">
        <v>26</v>
      </c>
      <c r="G985" s="6" t="s">
        <v>301</v>
      </c>
      <c r="H985" s="6" t="s">
        <v>1493</v>
      </c>
      <c r="I985" s="6" t="str">
        <f>VLOOKUP(H985,'Flow Location'!$A$1:$B$21,2,FALSE)</f>
        <v>Contained On Site, not within 5 ft. of Bayou/Surface Water/Drainage Ditch</v>
      </c>
      <c r="J985" s="20">
        <v>0.0</v>
      </c>
      <c r="K985" s="6" t="s">
        <v>45</v>
      </c>
      <c r="L985" s="6" t="str">
        <f>VLOOKUP(K985,'Structure type'!$A$1:$B$15,2,FALSE)</f>
        <v>City Cleanout</v>
      </c>
      <c r="M985" s="6" t="s">
        <v>30</v>
      </c>
      <c r="N985" s="6" t="str">
        <f>VLOOKUP(M985,'Excursion Cause'!$A$1:$B$34,2,FALSE)</f>
        <v>Grease Blockage</v>
      </c>
      <c r="O985" s="21">
        <v>44592.0</v>
      </c>
      <c r="P985" s="6" t="s">
        <v>573</v>
      </c>
      <c r="Q985" s="21">
        <v>44592.0</v>
      </c>
      <c r="R985" s="6" t="s">
        <v>573</v>
      </c>
      <c r="S985" s="20">
        <v>0.0</v>
      </c>
      <c r="T985" s="6" t="s">
        <v>1717</v>
      </c>
      <c r="U985" s="6"/>
      <c r="V985" s="6"/>
      <c r="W985" s="6">
        <v>29.6177293</v>
      </c>
      <c r="X985" s="6">
        <v>-95.344956</v>
      </c>
    </row>
    <row r="986" ht="15.75" customHeight="1">
      <c r="A986" s="6">
        <v>13416.0</v>
      </c>
      <c r="B986" s="6">
        <v>2022.0</v>
      </c>
      <c r="C986" s="6" t="str">
        <f t="shared" si="5"/>
        <v>995 JUNELL ST,Houston,Texas</v>
      </c>
      <c r="D986" s="6" t="s">
        <v>1718</v>
      </c>
      <c r="E986" s="6" t="s">
        <v>25</v>
      </c>
      <c r="F986" s="6" t="s">
        <v>26</v>
      </c>
      <c r="G986" s="6" t="s">
        <v>502</v>
      </c>
      <c r="H986" s="6" t="s">
        <v>1493</v>
      </c>
      <c r="I986" s="6" t="str">
        <f>VLOOKUP(H986,'Flow Location'!$A$1:$B$21,2,FALSE)</f>
        <v>Contained On Site, not within 5 ft. of Bayou/Surface Water/Drainage Ditch</v>
      </c>
      <c r="J986" s="20">
        <v>0.0</v>
      </c>
      <c r="K986" s="6" t="s">
        <v>45</v>
      </c>
      <c r="L986" s="6" t="str">
        <f>VLOOKUP(K986,'Structure type'!$A$1:$B$15,2,FALSE)</f>
        <v>City Cleanout</v>
      </c>
      <c r="M986" s="6" t="s">
        <v>30</v>
      </c>
      <c r="N986" s="6" t="str">
        <f>VLOOKUP(M986,'Excursion Cause'!$A$1:$B$34,2,FALSE)</f>
        <v>Grease Blockage</v>
      </c>
      <c r="O986" s="21">
        <v>44592.0</v>
      </c>
      <c r="P986" s="6" t="s">
        <v>276</v>
      </c>
      <c r="Q986" s="21">
        <v>44592.0</v>
      </c>
      <c r="R986" s="6" t="s">
        <v>276</v>
      </c>
      <c r="S986" s="20">
        <v>0.0</v>
      </c>
      <c r="T986" s="6" t="s">
        <v>1719</v>
      </c>
      <c r="U986" s="6"/>
      <c r="V986" s="6"/>
      <c r="W986" s="6">
        <v>29.8738584</v>
      </c>
      <c r="X986" s="6">
        <v>-95.424333</v>
      </c>
    </row>
    <row r="987" ht="15.75" customHeight="1">
      <c r="A987" s="6">
        <v>13418.0</v>
      </c>
      <c r="B987" s="6">
        <v>2022.0</v>
      </c>
      <c r="C987" s="6" t="str">
        <f t="shared" si="5"/>
        <v>6426 SPRINGHAVEN DR,Houston,Texas</v>
      </c>
      <c r="D987" s="6" t="s">
        <v>852</v>
      </c>
      <c r="E987" s="6" t="s">
        <v>25</v>
      </c>
      <c r="F987" s="6" t="s">
        <v>26</v>
      </c>
      <c r="G987" s="6" t="s">
        <v>853</v>
      </c>
      <c r="H987" s="6" t="s">
        <v>44</v>
      </c>
      <c r="I987" s="6" t="str">
        <f>VLOOKUP(H987,'Flow Location'!$A$1:$B$21,2,FALSE)</f>
        <v>Bayou/surface water/drainage ditch</v>
      </c>
      <c r="J987" s="20">
        <v>5622.0</v>
      </c>
      <c r="K987" s="6" t="s">
        <v>29</v>
      </c>
      <c r="L987" s="6" t="str">
        <f>VLOOKUP(K987,'Structure type'!$A$1:$B$15,2,FALSE)</f>
        <v>Manhole</v>
      </c>
      <c r="M987" s="6" t="s">
        <v>30</v>
      </c>
      <c r="N987" s="6" t="str">
        <f>VLOOKUP(M987,'Excursion Cause'!$A$1:$B$34,2,FALSE)</f>
        <v>Grease Blockage</v>
      </c>
      <c r="O987" s="21">
        <v>44592.0</v>
      </c>
      <c r="P987" s="6" t="s">
        <v>291</v>
      </c>
      <c r="Q987" s="21">
        <v>44592.0</v>
      </c>
      <c r="R987" s="6" t="s">
        <v>291</v>
      </c>
      <c r="S987" s="20">
        <v>0.0</v>
      </c>
      <c r="T987" s="6" t="s">
        <v>1720</v>
      </c>
      <c r="U987" s="6"/>
      <c r="V987" s="6"/>
      <c r="W987" s="6">
        <v>29.9647173</v>
      </c>
      <c r="X987" s="6">
        <v>-95.2912009</v>
      </c>
    </row>
    <row r="988" ht="15.75" customHeight="1">
      <c r="A988" s="6">
        <v>13423.0</v>
      </c>
      <c r="B988" s="6">
        <v>2022.0</v>
      </c>
      <c r="C988" s="6" t="str">
        <f t="shared" si="5"/>
        <v>4324 WALKER ST,Houston,Texas</v>
      </c>
      <c r="D988" s="6" t="s">
        <v>1721</v>
      </c>
      <c r="E988" s="6" t="s">
        <v>25</v>
      </c>
      <c r="F988" s="6" t="s">
        <v>26</v>
      </c>
      <c r="G988" s="6" t="s">
        <v>141</v>
      </c>
      <c r="H988" s="6" t="s">
        <v>50</v>
      </c>
      <c r="I988" s="6" t="str">
        <f>VLOOKUP(H988,'Flow Location'!$A$1:$B$21,2,FALSE)</f>
        <v>Contained On Site, not within 5 ft. of Bayou/Surface Water/Drainage Ditch</v>
      </c>
      <c r="J988" s="20">
        <v>1589.0</v>
      </c>
      <c r="K988" s="6" t="s">
        <v>45</v>
      </c>
      <c r="L988" s="6" t="str">
        <f>VLOOKUP(K988,'Structure type'!$A$1:$B$15,2,FALSE)</f>
        <v>City Cleanout</v>
      </c>
      <c r="M988" s="6" t="s">
        <v>52</v>
      </c>
      <c r="N988" s="6" t="str">
        <f>VLOOKUP(M988,'Excursion Cause'!$A$1:$B$34,2,FALSE)</f>
        <v>Collection system structural blockage</v>
      </c>
      <c r="O988" s="21">
        <v>44593.0</v>
      </c>
      <c r="P988" s="6" t="s">
        <v>208</v>
      </c>
      <c r="Q988" s="21">
        <v>44593.0</v>
      </c>
      <c r="R988" s="6" t="s">
        <v>208</v>
      </c>
      <c r="S988" s="20">
        <v>0.0</v>
      </c>
      <c r="T988" s="6" t="s">
        <v>59</v>
      </c>
      <c r="U988" s="6"/>
      <c r="V988" s="6"/>
      <c r="W988" s="6">
        <v>29.7419589</v>
      </c>
      <c r="X988" s="6">
        <v>-95.3346902</v>
      </c>
    </row>
    <row r="989" ht="15.75" customHeight="1">
      <c r="A989" s="6">
        <v>13424.0</v>
      </c>
      <c r="B989" s="6">
        <v>2022.0</v>
      </c>
      <c r="C989" s="6" t="str">
        <f t="shared" si="5"/>
        <v>6442 CROSSWELL ST,Houston,Texas</v>
      </c>
      <c r="D989" s="6" t="s">
        <v>1722</v>
      </c>
      <c r="E989" s="6" t="s">
        <v>25</v>
      </c>
      <c r="F989" s="6" t="s">
        <v>26</v>
      </c>
      <c r="G989" s="6" t="s">
        <v>35</v>
      </c>
      <c r="H989" s="6" t="s">
        <v>50</v>
      </c>
      <c r="I989" s="6" t="str">
        <f>VLOOKUP(H989,'Flow Location'!$A$1:$B$21,2,FALSE)</f>
        <v>Contained On Site, not within 5 ft. of Bayou/Surface Water/Drainage Ditch</v>
      </c>
      <c r="J989" s="20">
        <v>498.0</v>
      </c>
      <c r="K989" s="6" t="s">
        <v>29</v>
      </c>
      <c r="L989" s="6" t="str">
        <f>VLOOKUP(K989,'Structure type'!$A$1:$B$15,2,FALSE)</f>
        <v>Manhole</v>
      </c>
      <c r="M989" s="6" t="s">
        <v>52</v>
      </c>
      <c r="N989" s="6" t="str">
        <f>VLOOKUP(M989,'Excursion Cause'!$A$1:$B$34,2,FALSE)</f>
        <v>Collection system structural blockage</v>
      </c>
      <c r="O989" s="21">
        <v>44593.0</v>
      </c>
      <c r="P989" s="6" t="s">
        <v>1176</v>
      </c>
      <c r="Q989" s="21">
        <v>44593.0</v>
      </c>
      <c r="R989" s="6" t="s">
        <v>1176</v>
      </c>
      <c r="S989" s="20">
        <v>0.0</v>
      </c>
      <c r="T989" s="6" t="s">
        <v>107</v>
      </c>
      <c r="U989" s="6"/>
      <c r="V989" s="6"/>
      <c r="W989" s="6">
        <v>29.6667614</v>
      </c>
      <c r="X989" s="6">
        <v>-95.3176983</v>
      </c>
    </row>
    <row r="990" ht="15.75" customHeight="1">
      <c r="A990" s="6">
        <v>13425.0</v>
      </c>
      <c r="B990" s="6">
        <v>2022.0</v>
      </c>
      <c r="C990" s="6" t="str">
        <f t="shared" si="5"/>
        <v>7102 HAVERTON DR,Houston,Texas</v>
      </c>
      <c r="D990" s="6" t="s">
        <v>1723</v>
      </c>
      <c r="E990" s="6" t="s">
        <v>25</v>
      </c>
      <c r="F990" s="6" t="s">
        <v>26</v>
      </c>
      <c r="G990" s="6" t="s">
        <v>326</v>
      </c>
      <c r="H990" s="6" t="s">
        <v>50</v>
      </c>
      <c r="I990" s="6" t="str">
        <f>VLOOKUP(H990,'Flow Location'!$A$1:$B$21,2,FALSE)</f>
        <v>Contained On Site, not within 5 ft. of Bayou/Surface Water/Drainage Ditch</v>
      </c>
      <c r="J990" s="20">
        <v>0.0</v>
      </c>
      <c r="K990" s="6" t="s">
        <v>51</v>
      </c>
      <c r="L990" s="6" t="str">
        <f>VLOOKUP(K990,'Structure type'!$A$1:$B$15,2,FALSE)</f>
        <v>Private Cleanout</v>
      </c>
      <c r="M990" s="6" t="s">
        <v>56</v>
      </c>
      <c r="N990" s="6" t="str">
        <f>VLOOKUP(M990,'Excursion Cause'!$A$1:$B$34,2,FALSE)</f>
        <v>Rags/Wipes</v>
      </c>
      <c r="O990" s="21">
        <v>44593.0</v>
      </c>
      <c r="P990" s="6" t="s">
        <v>199</v>
      </c>
      <c r="Q990" s="21">
        <v>44593.0</v>
      </c>
      <c r="R990" s="6" t="s">
        <v>199</v>
      </c>
      <c r="S990" s="20">
        <v>0.0</v>
      </c>
      <c r="T990" s="6" t="s">
        <v>33</v>
      </c>
      <c r="U990" s="6"/>
      <c r="V990" s="6"/>
      <c r="W990" s="6">
        <v>29.8789238</v>
      </c>
      <c r="X990" s="6">
        <v>-95.2837166</v>
      </c>
    </row>
    <row r="991" ht="15.75" customHeight="1">
      <c r="A991" s="6">
        <v>13426.0</v>
      </c>
      <c r="B991" s="6">
        <v>2022.0</v>
      </c>
      <c r="C991" s="6" t="str">
        <f t="shared" si="5"/>
        <v>9410 BOB WHITE DR,Houston,Texas</v>
      </c>
      <c r="D991" s="6" t="s">
        <v>1684</v>
      </c>
      <c r="E991" s="6" t="s">
        <v>25</v>
      </c>
      <c r="F991" s="6" t="s">
        <v>26</v>
      </c>
      <c r="G991" s="6" t="s">
        <v>69</v>
      </c>
      <c r="H991" s="6" t="s">
        <v>1724</v>
      </c>
      <c r="I991" s="6" t="str">
        <f>VLOOKUP(H991,'Flow Location'!$A$1:$B$21,2,FALSE)</f>
        <v>Storm Sewer (not contained)</v>
      </c>
      <c r="J991" s="20">
        <v>5085.0</v>
      </c>
      <c r="K991" s="6" t="s">
        <v>29</v>
      </c>
      <c r="L991" s="6" t="str">
        <f>VLOOKUP(K991,'Structure type'!$A$1:$B$15,2,FALSE)</f>
        <v>Manhole</v>
      </c>
      <c r="M991" s="6" t="s">
        <v>1725</v>
      </c>
      <c r="N991" s="6" t="str">
        <f>VLOOKUP(M991,'Excursion Cause'!$A$1:$B$34,2,FALSE)</f>
        <v>Grease Blockage</v>
      </c>
      <c r="O991" s="21">
        <v>44593.0</v>
      </c>
      <c r="P991" s="6" t="s">
        <v>106</v>
      </c>
      <c r="Q991" s="21">
        <v>44593.0</v>
      </c>
      <c r="R991" s="6" t="s">
        <v>106</v>
      </c>
      <c r="S991" s="20">
        <v>0.0</v>
      </c>
      <c r="T991" s="6" t="s">
        <v>1726</v>
      </c>
      <c r="U991" s="6"/>
      <c r="V991" s="6"/>
      <c r="W991" s="6">
        <v>29.6761732</v>
      </c>
      <c r="X991" s="6">
        <v>-95.5028228</v>
      </c>
    </row>
    <row r="992" ht="15.75" customHeight="1">
      <c r="A992" s="6">
        <v>13436.0</v>
      </c>
      <c r="B992" s="6">
        <v>2022.0</v>
      </c>
      <c r="C992" s="6" t="str">
        <f t="shared" si="5"/>
        <v>7054 HENDON LN,Houston,Texas</v>
      </c>
      <c r="D992" s="6" t="s">
        <v>1703</v>
      </c>
      <c r="E992" s="6" t="s">
        <v>25</v>
      </c>
      <c r="F992" s="6" t="s">
        <v>26</v>
      </c>
      <c r="G992" s="6" t="s">
        <v>471</v>
      </c>
      <c r="H992" s="6" t="s">
        <v>1724</v>
      </c>
      <c r="I992" s="6" t="str">
        <f>VLOOKUP(H992,'Flow Location'!$A$1:$B$21,2,FALSE)</f>
        <v>Storm Sewer (not contained)</v>
      </c>
      <c r="J992" s="20">
        <v>672.0</v>
      </c>
      <c r="K992" s="6" t="s">
        <v>29</v>
      </c>
      <c r="L992" s="6" t="str">
        <f>VLOOKUP(K992,'Structure type'!$A$1:$B$15,2,FALSE)</f>
        <v>Manhole</v>
      </c>
      <c r="M992" s="6" t="s">
        <v>1727</v>
      </c>
      <c r="N992" s="6" t="str">
        <f>VLOOKUP(M992,'Excursion Cause'!$A$1:$B$34,2,FALSE)</f>
        <v>Grease Blockage</v>
      </c>
      <c r="O992" s="21">
        <v>44593.0</v>
      </c>
      <c r="P992" s="6" t="s">
        <v>296</v>
      </c>
      <c r="Q992" s="21">
        <v>44593.0</v>
      </c>
      <c r="R992" s="6" t="s">
        <v>296</v>
      </c>
      <c r="S992" s="20">
        <v>0.0</v>
      </c>
      <c r="T992" s="6" t="s">
        <v>1728</v>
      </c>
      <c r="U992" s="6"/>
      <c r="V992" s="6"/>
      <c r="W992" s="6">
        <v>29.6958565</v>
      </c>
      <c r="X992" s="6">
        <v>-95.5085339</v>
      </c>
    </row>
    <row r="993" ht="15.75" customHeight="1">
      <c r="A993" s="6">
        <v>13437.0</v>
      </c>
      <c r="B993" s="6">
        <v>2022.0</v>
      </c>
      <c r="C993" s="6" t="str">
        <f t="shared" si="5"/>
        <v>7103 BELLE PARK DR,Houston,Texas</v>
      </c>
      <c r="D993" s="6" t="s">
        <v>1729</v>
      </c>
      <c r="E993" s="6" t="s">
        <v>25</v>
      </c>
      <c r="F993" s="6" t="s">
        <v>26</v>
      </c>
      <c r="G993" s="6" t="s">
        <v>91</v>
      </c>
      <c r="H993" s="6" t="s">
        <v>1724</v>
      </c>
      <c r="I993" s="6" t="str">
        <f>VLOOKUP(H993,'Flow Location'!$A$1:$B$21,2,FALSE)</f>
        <v>Storm Sewer (not contained)</v>
      </c>
      <c r="J993" s="20">
        <v>630.0</v>
      </c>
      <c r="K993" s="6" t="s">
        <v>29</v>
      </c>
      <c r="L993" s="6" t="str">
        <f>VLOOKUP(K993,'Structure type'!$A$1:$B$15,2,FALSE)</f>
        <v>Manhole</v>
      </c>
      <c r="M993" s="6" t="s">
        <v>1730</v>
      </c>
      <c r="N993" s="6" t="str">
        <f>VLOOKUP(M993,'Excursion Cause'!$A$1:$B$34,2,FALSE)</f>
        <v>Grease Blockage</v>
      </c>
      <c r="O993" s="21">
        <v>44593.0</v>
      </c>
      <c r="P993" s="6" t="s">
        <v>872</v>
      </c>
      <c r="Q993" s="21">
        <v>44593.0</v>
      </c>
      <c r="R993" s="6" t="s">
        <v>872</v>
      </c>
      <c r="S993" s="20">
        <v>0.0</v>
      </c>
      <c r="T993" s="6" t="s">
        <v>1731</v>
      </c>
      <c r="U993" s="6"/>
      <c r="V993" s="6"/>
      <c r="W993" s="6">
        <v>29.7014581</v>
      </c>
      <c r="X993" s="6">
        <v>-95.5826719</v>
      </c>
    </row>
    <row r="994" ht="15.75" customHeight="1">
      <c r="A994" s="6">
        <v>13441.0</v>
      </c>
      <c r="B994" s="6">
        <v>2022.0</v>
      </c>
      <c r="C994" s="6" t="str">
        <f t="shared" si="5"/>
        <v>1418 GLOBE ST,Houston,Texas</v>
      </c>
      <c r="D994" s="6" t="s">
        <v>1732</v>
      </c>
      <c r="E994" s="6" t="s">
        <v>25</v>
      </c>
      <c r="F994" s="6" t="s">
        <v>26</v>
      </c>
      <c r="G994" s="6" t="s">
        <v>49</v>
      </c>
      <c r="H994" s="6" t="s">
        <v>50</v>
      </c>
      <c r="I994" s="6" t="str">
        <f>VLOOKUP(H994,'Flow Location'!$A$1:$B$21,2,FALSE)</f>
        <v>Contained On Site, not within 5 ft. of Bayou/Surface Water/Drainage Ditch</v>
      </c>
      <c r="J994" s="20">
        <v>0.0</v>
      </c>
      <c r="K994" s="6" t="s">
        <v>29</v>
      </c>
      <c r="L994" s="6" t="str">
        <f>VLOOKUP(K994,'Structure type'!$A$1:$B$15,2,FALSE)</f>
        <v>Manhole</v>
      </c>
      <c r="M994" s="6" t="s">
        <v>30</v>
      </c>
      <c r="N994" s="6" t="str">
        <f>VLOOKUP(M994,'Excursion Cause'!$A$1:$B$34,2,FALSE)</f>
        <v>Grease Blockage</v>
      </c>
      <c r="O994" s="21">
        <v>44594.0</v>
      </c>
      <c r="P994" s="6" t="s">
        <v>88</v>
      </c>
      <c r="Q994" s="21">
        <v>44594.0</v>
      </c>
      <c r="R994" s="6" t="s">
        <v>88</v>
      </c>
      <c r="S994" s="20">
        <v>0.0</v>
      </c>
      <c r="T994" s="6" t="s">
        <v>33</v>
      </c>
      <c r="U994" s="6"/>
      <c r="V994" s="6"/>
      <c r="W994" s="6">
        <v>29.649869</v>
      </c>
      <c r="X994" s="6">
        <v>-95.2453243</v>
      </c>
    </row>
    <row r="995" ht="15.75" customHeight="1">
      <c r="A995" s="6">
        <v>13454.0</v>
      </c>
      <c r="B995" s="6">
        <v>2022.0</v>
      </c>
      <c r="C995" s="6" t="str">
        <f t="shared" si="5"/>
        <v>1510 JENSEN DR,Houston,Texas</v>
      </c>
      <c r="D995" s="6" t="s">
        <v>1733</v>
      </c>
      <c r="E995" s="6" t="s">
        <v>25</v>
      </c>
      <c r="F995" s="6" t="s">
        <v>26</v>
      </c>
      <c r="G995" s="6" t="s">
        <v>86</v>
      </c>
      <c r="H995" s="6" t="s">
        <v>50</v>
      </c>
      <c r="I995" s="6" t="str">
        <f>VLOOKUP(H995,'Flow Location'!$A$1:$B$21,2,FALSE)</f>
        <v>Contained On Site, not within 5 ft. of Bayou/Surface Water/Drainage Ditch</v>
      </c>
      <c r="J995" s="20">
        <v>0.0</v>
      </c>
      <c r="K995" s="6" t="s">
        <v>198</v>
      </c>
      <c r="L995" s="6" t="str">
        <f>VLOOKUP(K995,'Structure type'!$A$1:$B$15,2,FALSE)</f>
        <v>Service Lateral</v>
      </c>
      <c r="M995" s="6" t="s">
        <v>30</v>
      </c>
      <c r="N995" s="6" t="str">
        <f>VLOOKUP(M995,'Excursion Cause'!$A$1:$B$34,2,FALSE)</f>
        <v>Grease Blockage</v>
      </c>
      <c r="O995" s="21">
        <v>44594.0</v>
      </c>
      <c r="P995" s="6" t="s">
        <v>78</v>
      </c>
      <c r="Q995" s="21">
        <v>44594.0</v>
      </c>
      <c r="R995" s="6" t="s">
        <v>78</v>
      </c>
      <c r="S995" s="20">
        <v>0.0</v>
      </c>
      <c r="T995" s="6" t="s">
        <v>59</v>
      </c>
      <c r="U995" s="6"/>
      <c r="V995" s="6"/>
      <c r="W995" s="6">
        <v>29.7749172</v>
      </c>
      <c r="X995" s="6">
        <v>-95.3415437</v>
      </c>
    </row>
    <row r="996" ht="15.75" customHeight="1">
      <c r="A996" s="6">
        <v>13455.0</v>
      </c>
      <c r="B996" s="6">
        <v>2022.0</v>
      </c>
      <c r="C996" s="6" t="str">
        <f t="shared" si="5"/>
        <v>5626 SOUTHWEST FWY,Houston,Texas</v>
      </c>
      <c r="D996" s="6" t="s">
        <v>1734</v>
      </c>
      <c r="E996" s="6" t="s">
        <v>25</v>
      </c>
      <c r="F996" s="6" t="s">
        <v>26</v>
      </c>
      <c r="G996" s="6" t="s">
        <v>689</v>
      </c>
      <c r="H996" s="6" t="s">
        <v>50</v>
      </c>
      <c r="I996" s="6" t="str">
        <f>VLOOKUP(H996,'Flow Location'!$A$1:$B$21,2,FALSE)</f>
        <v>Contained On Site, not within 5 ft. of Bayou/Surface Water/Drainage Ditch</v>
      </c>
      <c r="J996" s="20">
        <v>65.0</v>
      </c>
      <c r="K996" s="6" t="s">
        <v>29</v>
      </c>
      <c r="L996" s="6" t="str">
        <f>VLOOKUP(K996,'Structure type'!$A$1:$B$15,2,FALSE)</f>
        <v>Manhole</v>
      </c>
      <c r="M996" s="6" t="s">
        <v>30</v>
      </c>
      <c r="N996" s="6" t="str">
        <f>VLOOKUP(M996,'Excursion Cause'!$A$1:$B$34,2,FALSE)</f>
        <v>Grease Blockage</v>
      </c>
      <c r="O996" s="21">
        <v>44594.0</v>
      </c>
      <c r="P996" s="6" t="s">
        <v>1053</v>
      </c>
      <c r="Q996" s="21">
        <v>44594.0</v>
      </c>
      <c r="R996" s="6" t="s">
        <v>1053</v>
      </c>
      <c r="S996" s="20">
        <v>0.0</v>
      </c>
      <c r="T996" s="6" t="s">
        <v>33</v>
      </c>
      <c r="U996" s="6"/>
      <c r="V996" s="6"/>
      <c r="W996" s="6">
        <v>29.7265418</v>
      </c>
      <c r="X996" s="6">
        <v>-95.4781498</v>
      </c>
    </row>
    <row r="997" ht="15.75" customHeight="1">
      <c r="A997" s="6">
        <v>13462.0</v>
      </c>
      <c r="B997" s="6">
        <v>2022.0</v>
      </c>
      <c r="C997" s="6" t="str">
        <f t="shared" si="5"/>
        <v>1201 SHEPHERD DR,Houston,Texas</v>
      </c>
      <c r="D997" s="6" t="s">
        <v>1735</v>
      </c>
      <c r="E997" s="6" t="s">
        <v>25</v>
      </c>
      <c r="F997" s="6" t="s">
        <v>26</v>
      </c>
      <c r="G997" s="6" t="s">
        <v>158</v>
      </c>
      <c r="H997" s="6" t="s">
        <v>1724</v>
      </c>
      <c r="I997" s="6" t="str">
        <f>VLOOKUP(H997,'Flow Location'!$A$1:$B$21,2,FALSE)</f>
        <v>Storm Sewer (not contained)</v>
      </c>
      <c r="J997" s="20">
        <v>0.0</v>
      </c>
      <c r="K997" s="6" t="s">
        <v>290</v>
      </c>
      <c r="L997" s="6" t="str">
        <f>VLOOKUP(K997,'Structure type'!$A$1:$B$15,2,FALSE)</f>
        <v>Gravity Main</v>
      </c>
      <c r="M997" s="6" t="s">
        <v>1736</v>
      </c>
      <c r="N997" s="6" t="str">
        <f>VLOOKUP(M997,'Excursion Cause'!$A$1:$B$34,2,FALSE)</f>
        <v>Grease Blockage</v>
      </c>
      <c r="O997" s="21">
        <v>44594.0</v>
      </c>
      <c r="P997" s="6" t="s">
        <v>428</v>
      </c>
      <c r="Q997" s="21">
        <v>44594.0</v>
      </c>
      <c r="R997" s="6" t="s">
        <v>428</v>
      </c>
      <c r="S997" s="20">
        <v>0.0</v>
      </c>
      <c r="T997" s="6" t="s">
        <v>1737</v>
      </c>
      <c r="U997" s="6"/>
      <c r="V997" s="6"/>
      <c r="W997" s="6">
        <v>29.7720915</v>
      </c>
      <c r="X997" s="6">
        <v>-95.4098182</v>
      </c>
    </row>
    <row r="998" ht="15.75" customHeight="1">
      <c r="A998" s="6">
        <v>13466.0</v>
      </c>
      <c r="B998" s="6">
        <v>2022.0</v>
      </c>
      <c r="C998" s="6" t="str">
        <f t="shared" si="5"/>
        <v>1927 FAIRVIEW AVE,Houston,Texas</v>
      </c>
      <c r="D998" s="6" t="s">
        <v>1738</v>
      </c>
      <c r="E998" s="6" t="s">
        <v>25</v>
      </c>
      <c r="F998" s="6" t="s">
        <v>26</v>
      </c>
      <c r="G998" s="6" t="s">
        <v>80</v>
      </c>
      <c r="H998" s="6" t="s">
        <v>50</v>
      </c>
      <c r="I998" s="6" t="str">
        <f>VLOOKUP(H998,'Flow Location'!$A$1:$B$21,2,FALSE)</f>
        <v>Contained On Site, not within 5 ft. of Bayou/Surface Water/Drainage Ditch</v>
      </c>
      <c r="J998" s="20">
        <v>0.0</v>
      </c>
      <c r="K998" s="6" t="s">
        <v>29</v>
      </c>
      <c r="L998" s="6" t="str">
        <f>VLOOKUP(K998,'Structure type'!$A$1:$B$15,2,FALSE)</f>
        <v>Manhole</v>
      </c>
      <c r="M998" s="6" t="s">
        <v>30</v>
      </c>
      <c r="N998" s="6" t="str">
        <f>VLOOKUP(M998,'Excursion Cause'!$A$1:$B$34,2,FALSE)</f>
        <v>Grease Blockage</v>
      </c>
      <c r="O998" s="21">
        <v>44594.0</v>
      </c>
      <c r="P998" s="6" t="s">
        <v>1739</v>
      </c>
      <c r="Q998" s="21">
        <v>44594.0</v>
      </c>
      <c r="R998" s="6" t="s">
        <v>1739</v>
      </c>
      <c r="S998" s="20">
        <v>0.0</v>
      </c>
      <c r="T998" s="6" t="s">
        <v>59</v>
      </c>
      <c r="U998" s="6"/>
      <c r="V998" s="6"/>
      <c r="W998" s="6">
        <v>29.7445498</v>
      </c>
      <c r="X998" s="6">
        <v>-95.4049185</v>
      </c>
    </row>
    <row r="999" ht="15.75" customHeight="1">
      <c r="A999" s="6">
        <v>13471.0</v>
      </c>
      <c r="B999" s="6">
        <v>2022.0</v>
      </c>
      <c r="C999" s="6" t="str">
        <f t="shared" si="5"/>
        <v>3401 BROADWAY ST,Houston,Texas</v>
      </c>
      <c r="D999" s="6" t="s">
        <v>1740</v>
      </c>
      <c r="E999" s="6" t="s">
        <v>25</v>
      </c>
      <c r="F999" s="6" t="s">
        <v>26</v>
      </c>
      <c r="G999" s="6" t="s">
        <v>135</v>
      </c>
      <c r="H999" s="6" t="s">
        <v>1724</v>
      </c>
      <c r="I999" s="6" t="str">
        <f>VLOOKUP(H999,'Flow Location'!$A$1:$B$21,2,FALSE)</f>
        <v>Storm Sewer (not contained)</v>
      </c>
      <c r="J999" s="20">
        <v>4395.0</v>
      </c>
      <c r="K999" s="6" t="s">
        <v>29</v>
      </c>
      <c r="L999" s="6" t="str">
        <f>VLOOKUP(K999,'Structure type'!$A$1:$B$15,2,FALSE)</f>
        <v>Manhole</v>
      </c>
      <c r="M999" s="6" t="s">
        <v>1741</v>
      </c>
      <c r="N999" s="6" t="str">
        <f>VLOOKUP(M999,'Excursion Cause'!$A$1:$B$34,2,FALSE)</f>
        <v>Grease Blockage</v>
      </c>
      <c r="O999" s="21">
        <v>44595.0</v>
      </c>
      <c r="P999" s="6" t="s">
        <v>844</v>
      </c>
      <c r="Q999" s="21">
        <v>44595.0</v>
      </c>
      <c r="R999" s="6" t="s">
        <v>844</v>
      </c>
      <c r="S999" s="20">
        <v>0.0</v>
      </c>
      <c r="T999" s="6" t="s">
        <v>1742</v>
      </c>
      <c r="U999" s="6"/>
      <c r="V999" s="6"/>
      <c r="W999" s="6">
        <v>29.6922487</v>
      </c>
      <c r="X999" s="6">
        <v>-95.2772802</v>
      </c>
    </row>
    <row r="1000" ht="15.75" customHeight="1">
      <c r="A1000" s="6">
        <v>13474.0</v>
      </c>
      <c r="B1000" s="6">
        <v>2022.0</v>
      </c>
      <c r="C1000" s="6" t="str">
        <f t="shared" si="5"/>
        <v>8211 FAWNDALE LN,Houston,Texas</v>
      </c>
      <c r="D1000" s="6" t="s">
        <v>1743</v>
      </c>
      <c r="E1000" s="6" t="s">
        <v>25</v>
      </c>
      <c r="F1000" s="6" t="s">
        <v>26</v>
      </c>
      <c r="G1000" s="6" t="s">
        <v>253</v>
      </c>
      <c r="H1000" s="6" t="s">
        <v>50</v>
      </c>
      <c r="I1000" s="6" t="str">
        <f>VLOOKUP(H1000,'Flow Location'!$A$1:$B$21,2,FALSE)</f>
        <v>Contained On Site, not within 5 ft. of Bayou/Surface Water/Drainage Ditch</v>
      </c>
      <c r="J1000" s="20">
        <v>445.0</v>
      </c>
      <c r="K1000" s="6" t="s">
        <v>198</v>
      </c>
      <c r="L1000" s="6" t="str">
        <f>VLOOKUP(K1000,'Structure type'!$A$1:$B$15,2,FALSE)</f>
        <v>Service Lateral</v>
      </c>
      <c r="M1000" s="6" t="s">
        <v>52</v>
      </c>
      <c r="N1000" s="6" t="str">
        <f>VLOOKUP(M1000,'Excursion Cause'!$A$1:$B$34,2,FALSE)</f>
        <v>Collection system structural blockage</v>
      </c>
      <c r="O1000" s="21">
        <v>44595.0</v>
      </c>
      <c r="P1000" s="6" t="s">
        <v>1744</v>
      </c>
      <c r="Q1000" s="21">
        <v>44595.0</v>
      </c>
      <c r="R1000" s="6" t="s">
        <v>1744</v>
      </c>
      <c r="S1000" s="20">
        <v>0.0</v>
      </c>
      <c r="T1000" s="6" t="s">
        <v>107</v>
      </c>
      <c r="U1000" s="6"/>
      <c r="V1000" s="6"/>
      <c r="W1000" s="6">
        <v>29.8516318</v>
      </c>
      <c r="X1000" s="6">
        <v>-95.5178425</v>
      </c>
    </row>
    <row r="1001" ht="15.75" customHeight="1">
      <c r="A1001" s="6">
        <v>13476.0</v>
      </c>
      <c r="B1001" s="6">
        <v>2022.0</v>
      </c>
      <c r="C1001" s="6" t="str">
        <f t="shared" si="5"/>
        <v>1202 DAIRY ASHFORD ST,Houston,Texas</v>
      </c>
      <c r="D1001" s="6" t="s">
        <v>1745</v>
      </c>
      <c r="E1001" s="6" t="s">
        <v>25</v>
      </c>
      <c r="F1001" s="6" t="s">
        <v>26</v>
      </c>
      <c r="G1001" s="6" t="s">
        <v>347</v>
      </c>
      <c r="H1001" s="6" t="s">
        <v>1724</v>
      </c>
      <c r="I1001" s="6" t="str">
        <f>VLOOKUP(H1001,'Flow Location'!$A$1:$B$21,2,FALSE)</f>
        <v>Storm Sewer (not contained)</v>
      </c>
      <c r="J1001" s="20">
        <v>172.0</v>
      </c>
      <c r="K1001" s="6" t="s">
        <v>29</v>
      </c>
      <c r="L1001" s="6" t="str">
        <f>VLOOKUP(K1001,'Structure type'!$A$1:$B$15,2,FALSE)</f>
        <v>Manhole</v>
      </c>
      <c r="M1001" s="6" t="s">
        <v>1746</v>
      </c>
      <c r="N1001" s="6" t="str">
        <f>VLOOKUP(M1001,'Excursion Cause'!$A$1:$B$34,2,FALSE)</f>
        <v>Grease Blockage</v>
      </c>
      <c r="O1001" s="21">
        <v>44595.0</v>
      </c>
      <c r="P1001" s="6" t="s">
        <v>342</v>
      </c>
      <c r="Q1001" s="21">
        <v>44595.0</v>
      </c>
      <c r="R1001" s="6" t="s">
        <v>342</v>
      </c>
      <c r="S1001" s="20">
        <v>0.0</v>
      </c>
      <c r="T1001" s="6" t="s">
        <v>1747</v>
      </c>
      <c r="U1001" s="6"/>
      <c r="V1001" s="6"/>
      <c r="W1001" s="6">
        <v>29.7599182</v>
      </c>
      <c r="X1001" s="6">
        <v>-95.606299</v>
      </c>
    </row>
    <row r="1002" ht="15.75" customHeight="1">
      <c r="A1002" s="6">
        <v>13477.0</v>
      </c>
      <c r="B1002" s="6">
        <v>2022.0</v>
      </c>
      <c r="C1002" s="6" t="str">
        <f t="shared" si="5"/>
        <v>10222 FORUM WEST DR,Houston,Texas</v>
      </c>
      <c r="D1002" s="6" t="s">
        <v>1748</v>
      </c>
      <c r="E1002" s="6" t="s">
        <v>25</v>
      </c>
      <c r="F1002" s="6" t="s">
        <v>26</v>
      </c>
      <c r="G1002" s="6" t="s">
        <v>100</v>
      </c>
      <c r="H1002" s="6" t="s">
        <v>1724</v>
      </c>
      <c r="I1002" s="6" t="str">
        <f>VLOOKUP(H1002,'Flow Location'!$A$1:$B$21,2,FALSE)</f>
        <v>Storm Sewer (not contained)</v>
      </c>
      <c r="J1002" s="20">
        <v>202.0</v>
      </c>
      <c r="K1002" s="6" t="s">
        <v>29</v>
      </c>
      <c r="L1002" s="6" t="str">
        <f>VLOOKUP(K1002,'Structure type'!$A$1:$B$15,2,FALSE)</f>
        <v>Manhole</v>
      </c>
      <c r="M1002" s="6" t="s">
        <v>1749</v>
      </c>
      <c r="N1002" s="6" t="str">
        <f>VLOOKUP(M1002,'Excursion Cause'!$A$1:$B$34,2,FALSE)</f>
        <v>Grease Blockage</v>
      </c>
      <c r="O1002" s="21">
        <v>44595.0</v>
      </c>
      <c r="P1002" s="6" t="s">
        <v>532</v>
      </c>
      <c r="Q1002" s="21">
        <v>44595.0</v>
      </c>
      <c r="R1002" s="6" t="s">
        <v>532</v>
      </c>
      <c r="S1002" s="20">
        <v>0.0</v>
      </c>
      <c r="T1002" s="6" t="s">
        <v>1750</v>
      </c>
      <c r="U1002" s="6"/>
      <c r="V1002" s="6"/>
      <c r="W1002" s="6">
        <v>29.6687604</v>
      </c>
      <c r="X1002" s="6">
        <v>-95.5576877</v>
      </c>
    </row>
    <row r="1003" ht="15.75" customHeight="1">
      <c r="A1003" s="6">
        <v>13481.0</v>
      </c>
      <c r="B1003" s="6">
        <v>2022.0</v>
      </c>
      <c r="C1003" s="6" t="str">
        <f t="shared" si="5"/>
        <v>5730 ORIOLE ST,Houston,Texas</v>
      </c>
      <c r="D1003" s="6" t="s">
        <v>1751</v>
      </c>
      <c r="E1003" s="6" t="s">
        <v>25</v>
      </c>
      <c r="F1003" s="6" t="s">
        <v>26</v>
      </c>
      <c r="G1003" s="6" t="s">
        <v>135</v>
      </c>
      <c r="H1003" s="6" t="s">
        <v>50</v>
      </c>
      <c r="I1003" s="6" t="str">
        <f>VLOOKUP(H1003,'Flow Location'!$A$1:$B$21,2,FALSE)</f>
        <v>Contained On Site, not within 5 ft. of Bayou/Surface Water/Drainage Ditch</v>
      </c>
      <c r="J1003" s="20">
        <v>0.0</v>
      </c>
      <c r="K1003" s="6" t="s">
        <v>51</v>
      </c>
      <c r="L1003" s="6" t="str">
        <f>VLOOKUP(K1003,'Structure type'!$A$1:$B$15,2,FALSE)</f>
        <v>Private Cleanout</v>
      </c>
      <c r="M1003" s="6" t="s">
        <v>30</v>
      </c>
      <c r="N1003" s="6" t="str">
        <f>VLOOKUP(M1003,'Excursion Cause'!$A$1:$B$34,2,FALSE)</f>
        <v>Grease Blockage</v>
      </c>
      <c r="O1003" s="21">
        <v>44595.0</v>
      </c>
      <c r="P1003" s="6" t="s">
        <v>1752</v>
      </c>
      <c r="Q1003" s="21">
        <v>44595.0</v>
      </c>
      <c r="R1003" s="6" t="s">
        <v>1752</v>
      </c>
      <c r="S1003" s="20">
        <v>0.0</v>
      </c>
      <c r="T1003" s="6" t="s">
        <v>89</v>
      </c>
      <c r="U1003" s="6"/>
      <c r="V1003" s="6"/>
      <c r="W1003" s="6">
        <v>29.6871637</v>
      </c>
      <c r="X1003" s="6">
        <v>-95.2326762</v>
      </c>
    </row>
    <row r="1004" ht="15.75" customHeight="1">
      <c r="A1004" s="6">
        <v>13485.0</v>
      </c>
      <c r="B1004" s="6">
        <v>2022.0</v>
      </c>
      <c r="C1004" s="6" t="str">
        <f t="shared" si="5"/>
        <v>5315 LEELAND ST,Houston,Texas</v>
      </c>
      <c r="D1004" s="6" t="s">
        <v>1753</v>
      </c>
      <c r="E1004" s="6" t="s">
        <v>25</v>
      </c>
      <c r="F1004" s="6" t="s">
        <v>26</v>
      </c>
      <c r="G1004" s="6" t="s">
        <v>141</v>
      </c>
      <c r="H1004" s="6" t="s">
        <v>50</v>
      </c>
      <c r="I1004" s="6" t="str">
        <f>VLOOKUP(H1004,'Flow Location'!$A$1:$B$21,2,FALSE)</f>
        <v>Contained On Site, not within 5 ft. of Bayou/Surface Water/Drainage Ditch</v>
      </c>
      <c r="J1004" s="20">
        <v>395.0</v>
      </c>
      <c r="K1004" s="6" t="s">
        <v>45</v>
      </c>
      <c r="L1004" s="6" t="str">
        <f>VLOOKUP(K1004,'Structure type'!$A$1:$B$15,2,FALSE)</f>
        <v>City Cleanout</v>
      </c>
      <c r="M1004" s="6" t="s">
        <v>30</v>
      </c>
      <c r="N1004" s="6" t="str">
        <f>VLOOKUP(M1004,'Excursion Cause'!$A$1:$B$34,2,FALSE)</f>
        <v>Grease Blockage</v>
      </c>
      <c r="O1004" s="21">
        <v>44596.0</v>
      </c>
      <c r="P1004" s="6" t="s">
        <v>1141</v>
      </c>
      <c r="Q1004" s="21">
        <v>44596.0</v>
      </c>
      <c r="R1004" s="6" t="s">
        <v>556</v>
      </c>
      <c r="S1004" s="20">
        <v>1.0</v>
      </c>
      <c r="T1004" s="6" t="s">
        <v>74</v>
      </c>
      <c r="U1004" s="6"/>
      <c r="V1004" s="6"/>
      <c r="W1004" s="6">
        <v>29.7324208</v>
      </c>
      <c r="X1004" s="6">
        <v>-95.320854</v>
      </c>
    </row>
    <row r="1005" ht="15.75" customHeight="1">
      <c r="A1005" s="6">
        <v>13494.0</v>
      </c>
      <c r="B1005" s="6">
        <v>2022.0</v>
      </c>
      <c r="C1005" s="6" t="str">
        <f t="shared" si="5"/>
        <v>3702 ASCOT LN,Houston,Texas</v>
      </c>
      <c r="D1005" s="6" t="s">
        <v>1754</v>
      </c>
      <c r="E1005" s="6" t="s">
        <v>25</v>
      </c>
      <c r="F1005" s="6" t="s">
        <v>26</v>
      </c>
      <c r="G1005" s="6" t="s">
        <v>76</v>
      </c>
      <c r="H1005" s="6" t="s">
        <v>50</v>
      </c>
      <c r="I1005" s="6" t="str">
        <f>VLOOKUP(H1005,'Flow Location'!$A$1:$B$21,2,FALSE)</f>
        <v>Contained On Site, not within 5 ft. of Bayou/Surface Water/Drainage Ditch</v>
      </c>
      <c r="J1005" s="20">
        <v>0.0</v>
      </c>
      <c r="K1005" s="6" t="s">
        <v>51</v>
      </c>
      <c r="L1005" s="6" t="str">
        <f>VLOOKUP(K1005,'Structure type'!$A$1:$B$15,2,FALSE)</f>
        <v>Private Cleanout</v>
      </c>
      <c r="M1005" s="6" t="s">
        <v>52</v>
      </c>
      <c r="N1005" s="6" t="str">
        <f>VLOOKUP(M1005,'Excursion Cause'!$A$1:$B$34,2,FALSE)</f>
        <v>Collection system structural blockage</v>
      </c>
      <c r="O1005" s="21">
        <v>44596.0</v>
      </c>
      <c r="P1005" s="6" t="s">
        <v>841</v>
      </c>
      <c r="Q1005" s="21">
        <v>44596.0</v>
      </c>
      <c r="R1005" s="6" t="s">
        <v>841</v>
      </c>
      <c r="S1005" s="20">
        <v>0.0</v>
      </c>
      <c r="T1005" s="6" t="s">
        <v>89</v>
      </c>
      <c r="U1005" s="6"/>
      <c r="V1005" s="6"/>
      <c r="W1005" s="6">
        <v>29.8115612</v>
      </c>
      <c r="X1005" s="6">
        <v>-95.4457441</v>
      </c>
    </row>
    <row r="1006" ht="15.75" customHeight="1">
      <c r="A1006" s="6">
        <v>13496.0</v>
      </c>
      <c r="B1006" s="6">
        <v>2022.0</v>
      </c>
      <c r="C1006" s="6" t="str">
        <f t="shared" si="5"/>
        <v>10827 CHEEVES DR,Houston,Texas</v>
      </c>
      <c r="D1006" s="6" t="s">
        <v>1755</v>
      </c>
      <c r="E1006" s="6" t="s">
        <v>25</v>
      </c>
      <c r="F1006" s="6" t="s">
        <v>26</v>
      </c>
      <c r="G1006" s="6" t="s">
        <v>326</v>
      </c>
      <c r="H1006" s="6" t="s">
        <v>28</v>
      </c>
      <c r="I1006" s="6" t="str">
        <f>VLOOKUP(H1006,'Flow Location'!$A$1:$B$21,2,FALSE)</f>
        <v>Storm Sewer (not contained)</v>
      </c>
      <c r="J1006" s="20">
        <v>468.0</v>
      </c>
      <c r="K1006" s="6" t="s">
        <v>29</v>
      </c>
      <c r="L1006" s="6" t="str">
        <f>VLOOKUP(K1006,'Structure type'!$A$1:$B$15,2,FALSE)</f>
        <v>Manhole</v>
      </c>
      <c r="M1006" s="6" t="s">
        <v>1756</v>
      </c>
      <c r="N1006" s="6" t="str">
        <f>VLOOKUP(M1006,'Excursion Cause'!$A$1:$B$34,2,FALSE)</f>
        <v>Collection system structural failure</v>
      </c>
      <c r="O1006" s="21">
        <v>44596.0</v>
      </c>
      <c r="P1006" s="6" t="s">
        <v>726</v>
      </c>
      <c r="Q1006" s="21">
        <v>44596.0</v>
      </c>
      <c r="R1006" s="6" t="s">
        <v>755</v>
      </c>
      <c r="S1006" s="20">
        <v>2.0</v>
      </c>
      <c r="T1006" s="6" t="s">
        <v>33</v>
      </c>
      <c r="U1006" s="6"/>
      <c r="V1006" s="6"/>
      <c r="W1006" s="6">
        <v>29.8725996</v>
      </c>
      <c r="X1006" s="6">
        <v>-95.2931485</v>
      </c>
    </row>
    <row r="1007" ht="15.75" customHeight="1">
      <c r="A1007" s="6">
        <v>13499.0</v>
      </c>
      <c r="B1007" s="6">
        <v>2022.0</v>
      </c>
      <c r="C1007" s="6" t="str">
        <f t="shared" si="5"/>
        <v>4913 CHENNAULT RD,Houston,Texas</v>
      </c>
      <c r="D1007" s="6" t="s">
        <v>1757</v>
      </c>
      <c r="E1007" s="6" t="s">
        <v>25</v>
      </c>
      <c r="F1007" s="6" t="s">
        <v>26</v>
      </c>
      <c r="G1007" s="6" t="s">
        <v>120</v>
      </c>
      <c r="H1007" s="6" t="s">
        <v>50</v>
      </c>
      <c r="I1007" s="6" t="str">
        <f>VLOOKUP(H1007,'Flow Location'!$A$1:$B$21,2,FALSE)</f>
        <v>Contained On Site, not within 5 ft. of Bayou/Surface Water/Drainage Ditch</v>
      </c>
      <c r="J1007" s="20">
        <v>0.0</v>
      </c>
      <c r="K1007" s="6" t="s">
        <v>51</v>
      </c>
      <c r="L1007" s="6" t="str">
        <f>VLOOKUP(K1007,'Structure type'!$A$1:$B$15,2,FALSE)</f>
        <v>Private Cleanout</v>
      </c>
      <c r="M1007" s="6" t="s">
        <v>30</v>
      </c>
      <c r="N1007" s="6" t="str">
        <f>VLOOKUP(M1007,'Excursion Cause'!$A$1:$B$34,2,FALSE)</f>
        <v>Grease Blockage</v>
      </c>
      <c r="O1007" s="21">
        <v>44596.0</v>
      </c>
      <c r="P1007" s="6" t="s">
        <v>1211</v>
      </c>
      <c r="Q1007" s="21">
        <v>44596.0</v>
      </c>
      <c r="R1007" s="6" t="s">
        <v>1211</v>
      </c>
      <c r="S1007" s="20">
        <v>0.0</v>
      </c>
      <c r="T1007" s="6" t="s">
        <v>33</v>
      </c>
      <c r="U1007" s="6"/>
      <c r="V1007" s="6"/>
      <c r="W1007" s="6">
        <v>29.6817408</v>
      </c>
      <c r="X1007" s="6">
        <v>-95.3459323</v>
      </c>
    </row>
    <row r="1008" ht="15.75" customHeight="1">
      <c r="A1008" s="6">
        <v>13502.0</v>
      </c>
      <c r="B1008" s="6">
        <v>2022.0</v>
      </c>
      <c r="C1008" s="6" t="str">
        <f t="shared" si="5"/>
        <v>10222 FORUM WEST DR,Houston,Texas</v>
      </c>
      <c r="D1008" s="6" t="s">
        <v>1748</v>
      </c>
      <c r="E1008" s="6" t="s">
        <v>25</v>
      </c>
      <c r="F1008" s="6" t="s">
        <v>26</v>
      </c>
      <c r="G1008" s="6" t="s">
        <v>100</v>
      </c>
      <c r="H1008" s="6" t="s">
        <v>1724</v>
      </c>
      <c r="I1008" s="6" t="str">
        <f>VLOOKUP(H1008,'Flow Location'!$A$1:$B$21,2,FALSE)</f>
        <v>Storm Sewer (not contained)</v>
      </c>
      <c r="J1008" s="20">
        <v>1228.0</v>
      </c>
      <c r="K1008" s="6" t="s">
        <v>29</v>
      </c>
      <c r="L1008" s="6" t="str">
        <f>VLOOKUP(K1008,'Structure type'!$A$1:$B$15,2,FALSE)</f>
        <v>Manhole</v>
      </c>
      <c r="M1008" s="6" t="s">
        <v>1758</v>
      </c>
      <c r="N1008" s="6" t="str">
        <f>VLOOKUP(M1008,'Excursion Cause'!$A$1:$B$34,2,FALSE)</f>
        <v>Grease Blockage</v>
      </c>
      <c r="O1008" s="21">
        <v>44597.0</v>
      </c>
      <c r="P1008" s="6" t="s">
        <v>1759</v>
      </c>
      <c r="Q1008" s="21">
        <v>44597.0</v>
      </c>
      <c r="R1008" s="6" t="s">
        <v>1690</v>
      </c>
      <c r="S1008" s="20">
        <v>2.0</v>
      </c>
      <c r="T1008" s="6" t="s">
        <v>1760</v>
      </c>
      <c r="U1008" s="6"/>
      <c r="V1008" s="6"/>
      <c r="W1008" s="6">
        <v>29.6687604</v>
      </c>
      <c r="X1008" s="6">
        <v>-95.5576877</v>
      </c>
    </row>
    <row r="1009" ht="15.75" customHeight="1">
      <c r="A1009" s="6">
        <v>13505.0</v>
      </c>
      <c r="B1009" s="6">
        <v>2022.0</v>
      </c>
      <c r="C1009" s="6" t="str">
        <f t="shared" si="5"/>
        <v>10906 CHEEVES DR,Houston,Texas</v>
      </c>
      <c r="D1009" s="6" t="s">
        <v>1761</v>
      </c>
      <c r="E1009" s="6" t="s">
        <v>25</v>
      </c>
      <c r="F1009" s="6" t="s">
        <v>26</v>
      </c>
      <c r="G1009" s="6" t="s">
        <v>326</v>
      </c>
      <c r="H1009" s="6" t="s">
        <v>50</v>
      </c>
      <c r="I1009" s="6" t="str">
        <f>VLOOKUP(H1009,'Flow Location'!$A$1:$B$21,2,FALSE)</f>
        <v>Contained On Site, not within 5 ft. of Bayou/Surface Water/Drainage Ditch</v>
      </c>
      <c r="J1009" s="20">
        <v>0.0</v>
      </c>
      <c r="K1009" s="6" t="s">
        <v>51</v>
      </c>
      <c r="L1009" s="6" t="str">
        <f>VLOOKUP(K1009,'Structure type'!$A$1:$B$15,2,FALSE)</f>
        <v>Private Cleanout</v>
      </c>
      <c r="M1009" s="6" t="s">
        <v>52</v>
      </c>
      <c r="N1009" s="6" t="str">
        <f>VLOOKUP(M1009,'Excursion Cause'!$A$1:$B$34,2,FALSE)</f>
        <v>Collection system structural blockage</v>
      </c>
      <c r="O1009" s="21">
        <v>44597.0</v>
      </c>
      <c r="P1009" s="6" t="s">
        <v>1744</v>
      </c>
      <c r="Q1009" s="21">
        <v>44597.0</v>
      </c>
      <c r="R1009" s="6" t="s">
        <v>1744</v>
      </c>
      <c r="S1009" s="20">
        <v>0.0</v>
      </c>
      <c r="T1009" s="6" t="s">
        <v>107</v>
      </c>
      <c r="U1009" s="6"/>
      <c r="V1009" s="6"/>
      <c r="W1009" s="6">
        <v>29.873427</v>
      </c>
      <c r="X1009" s="6">
        <v>-95.29263</v>
      </c>
    </row>
    <row r="1010" ht="15.75" customHeight="1">
      <c r="A1010" s="6">
        <v>13511.0</v>
      </c>
      <c r="B1010" s="6">
        <v>2022.0</v>
      </c>
      <c r="C1010" s="6" t="str">
        <f t="shared" si="5"/>
        <v>7622 TEESDALE DR,Houston,Texas</v>
      </c>
      <c r="D1010" s="6" t="s">
        <v>1762</v>
      </c>
      <c r="E1010" s="6" t="s">
        <v>25</v>
      </c>
      <c r="F1010" s="6" t="s">
        <v>26</v>
      </c>
      <c r="G1010" s="6" t="s">
        <v>177</v>
      </c>
      <c r="H1010" s="6" t="s">
        <v>1724</v>
      </c>
      <c r="I1010" s="6" t="str">
        <f>VLOOKUP(H1010,'Flow Location'!$A$1:$B$21,2,FALSE)</f>
        <v>Storm Sewer (not contained)</v>
      </c>
      <c r="J1010" s="20">
        <v>0.0</v>
      </c>
      <c r="K1010" s="6" t="s">
        <v>45</v>
      </c>
      <c r="L1010" s="6" t="str">
        <f>VLOOKUP(K1010,'Structure type'!$A$1:$B$15,2,FALSE)</f>
        <v>City Cleanout</v>
      </c>
      <c r="M1010" s="6" t="s">
        <v>56</v>
      </c>
      <c r="N1010" s="6" t="str">
        <f>VLOOKUP(M1010,'Excursion Cause'!$A$1:$B$34,2,FALSE)</f>
        <v>Rags/Wipes</v>
      </c>
      <c r="O1010" s="21">
        <v>44597.0</v>
      </c>
      <c r="P1010" s="6" t="s">
        <v>1763</v>
      </c>
      <c r="Q1010" s="21">
        <v>44597.0</v>
      </c>
      <c r="R1010" s="6" t="s">
        <v>1763</v>
      </c>
      <c r="S1010" s="20">
        <v>0.0</v>
      </c>
      <c r="T1010" s="6" t="s">
        <v>1764</v>
      </c>
      <c r="U1010" s="6"/>
      <c r="V1010" s="6"/>
      <c r="W1010" s="6">
        <v>29.8457068</v>
      </c>
      <c r="X1010" s="6">
        <v>-95.2903844</v>
      </c>
    </row>
    <row r="1011" ht="15.75" customHeight="1">
      <c r="A1011" s="6">
        <v>13512.0</v>
      </c>
      <c r="B1011" s="6">
        <v>2022.0</v>
      </c>
      <c r="C1011" s="6" t="str">
        <f t="shared" si="5"/>
        <v>8017 DARIEN ST,Houston,Texas</v>
      </c>
      <c r="D1011" s="6" t="s">
        <v>1765</v>
      </c>
      <c r="E1011" s="6" t="s">
        <v>25</v>
      </c>
      <c r="F1011" s="6" t="s">
        <v>26</v>
      </c>
      <c r="G1011" s="6" t="s">
        <v>177</v>
      </c>
      <c r="H1011" s="6" t="s">
        <v>1724</v>
      </c>
      <c r="I1011" s="6" t="str">
        <f>VLOOKUP(H1011,'Flow Location'!$A$1:$B$21,2,FALSE)</f>
        <v>Storm Sewer (not contained)</v>
      </c>
      <c r="J1011" s="20">
        <v>0.0</v>
      </c>
      <c r="K1011" s="6" t="s">
        <v>45</v>
      </c>
      <c r="L1011" s="6" t="str">
        <f>VLOOKUP(K1011,'Structure type'!$A$1:$B$15,2,FALSE)</f>
        <v>City Cleanout</v>
      </c>
      <c r="M1011" s="6" t="s">
        <v>1766</v>
      </c>
      <c r="N1011" s="6" t="str">
        <f>VLOOKUP(M1011,'Excursion Cause'!$A$1:$B$34,2,FALSE)</f>
        <v>Grease Blockage</v>
      </c>
      <c r="O1011" s="21">
        <v>44597.0</v>
      </c>
      <c r="P1011" s="6" t="s">
        <v>1036</v>
      </c>
      <c r="Q1011" s="21">
        <v>44597.0</v>
      </c>
      <c r="R1011" s="6" t="s">
        <v>1036</v>
      </c>
      <c r="S1011" s="20">
        <v>0.0</v>
      </c>
      <c r="T1011" s="6" t="s">
        <v>1767</v>
      </c>
      <c r="U1011" s="6"/>
      <c r="V1011" s="6"/>
      <c r="W1011" s="6">
        <v>29.8355193</v>
      </c>
      <c r="X1011" s="6">
        <v>-95.2982647</v>
      </c>
    </row>
    <row r="1012" ht="15.75" customHeight="1">
      <c r="A1012" s="6">
        <v>13516.0</v>
      </c>
      <c r="B1012" s="6">
        <v>2022.0</v>
      </c>
      <c r="C1012" s="6" t="str">
        <f t="shared" si="5"/>
        <v>5519 CARTAGENA ST,Houston,Texas</v>
      </c>
      <c r="D1012" s="6" t="s">
        <v>1768</v>
      </c>
      <c r="E1012" s="6" t="s">
        <v>25</v>
      </c>
      <c r="F1012" s="6" t="s">
        <v>26</v>
      </c>
      <c r="G1012" s="6" t="s">
        <v>127</v>
      </c>
      <c r="H1012" s="6" t="s">
        <v>50</v>
      </c>
      <c r="I1012" s="6" t="str">
        <f>VLOOKUP(H1012,'Flow Location'!$A$1:$B$21,2,FALSE)</f>
        <v>Contained On Site, not within 5 ft. of Bayou/Surface Water/Drainage Ditch</v>
      </c>
      <c r="J1012" s="20">
        <v>0.0</v>
      </c>
      <c r="K1012" s="6" t="s">
        <v>51</v>
      </c>
      <c r="L1012" s="6" t="str">
        <f>VLOOKUP(K1012,'Structure type'!$A$1:$B$15,2,FALSE)</f>
        <v>Private Cleanout</v>
      </c>
      <c r="M1012" s="6" t="s">
        <v>52</v>
      </c>
      <c r="N1012" s="6" t="str">
        <f>VLOOKUP(M1012,'Excursion Cause'!$A$1:$B$34,2,FALSE)</f>
        <v>Collection system structural blockage</v>
      </c>
      <c r="O1012" s="21">
        <v>44597.0</v>
      </c>
      <c r="P1012" s="6" t="s">
        <v>1769</v>
      </c>
      <c r="Q1012" s="21">
        <v>44597.0</v>
      </c>
      <c r="R1012" s="6" t="s">
        <v>1769</v>
      </c>
      <c r="S1012" s="20">
        <v>0.0</v>
      </c>
      <c r="T1012" s="6" t="s">
        <v>107</v>
      </c>
      <c r="U1012" s="6"/>
      <c r="V1012" s="6"/>
      <c r="W1012" s="6">
        <v>29.6520774</v>
      </c>
      <c r="X1012" s="6">
        <v>-95.4835363</v>
      </c>
    </row>
    <row r="1013" ht="15.75" customHeight="1">
      <c r="A1013" s="6">
        <v>13521.0</v>
      </c>
      <c r="B1013" s="6">
        <v>2022.0</v>
      </c>
      <c r="C1013" s="6" t="str">
        <f t="shared" si="5"/>
        <v>6306 LEEDALE ST,Houston,Texas</v>
      </c>
      <c r="D1013" s="6" t="s">
        <v>1770</v>
      </c>
      <c r="E1013" s="6" t="s">
        <v>25</v>
      </c>
      <c r="F1013" s="6" t="s">
        <v>26</v>
      </c>
      <c r="G1013" s="6" t="s">
        <v>326</v>
      </c>
      <c r="H1013" s="6" t="s">
        <v>50</v>
      </c>
      <c r="I1013" s="6" t="str">
        <f>VLOOKUP(H1013,'Flow Location'!$A$1:$B$21,2,FALSE)</f>
        <v>Contained On Site, not within 5 ft. of Bayou/Surface Water/Drainage Ditch</v>
      </c>
      <c r="J1013" s="20">
        <v>0.0</v>
      </c>
      <c r="K1013" s="6" t="s">
        <v>51</v>
      </c>
      <c r="L1013" s="6" t="str">
        <f>VLOOKUP(K1013,'Structure type'!$A$1:$B$15,2,FALSE)</f>
        <v>Private Cleanout</v>
      </c>
      <c r="M1013" s="6" t="s">
        <v>52</v>
      </c>
      <c r="N1013" s="6" t="str">
        <f>VLOOKUP(M1013,'Excursion Cause'!$A$1:$B$34,2,FALSE)</f>
        <v>Collection system structural blockage</v>
      </c>
      <c r="O1013" s="21">
        <v>44598.0</v>
      </c>
      <c r="P1013" s="6" t="s">
        <v>152</v>
      </c>
      <c r="Q1013" s="21">
        <v>44598.0</v>
      </c>
      <c r="R1013" s="6" t="s">
        <v>152</v>
      </c>
      <c r="S1013" s="20">
        <v>0.0</v>
      </c>
      <c r="T1013" s="6" t="s">
        <v>1083</v>
      </c>
      <c r="U1013" s="6"/>
      <c r="V1013" s="6"/>
      <c r="W1013" s="6">
        <v>29.8753472</v>
      </c>
      <c r="X1013" s="6">
        <v>-95.2955433</v>
      </c>
    </row>
    <row r="1014" ht="15.75" customHeight="1">
      <c r="A1014" s="6">
        <v>13523.0</v>
      </c>
      <c r="B1014" s="6">
        <v>2022.0</v>
      </c>
      <c r="C1014" s="6" t="str">
        <f t="shared" si="5"/>
        <v>11514 RIVERVIEW DR,Houston,Texas</v>
      </c>
      <c r="D1014" s="6" t="s">
        <v>1771</v>
      </c>
      <c r="E1014" s="6" t="s">
        <v>25</v>
      </c>
      <c r="F1014" s="6" t="s">
        <v>26</v>
      </c>
      <c r="G1014" s="6" t="s">
        <v>347</v>
      </c>
      <c r="H1014" s="6" t="s">
        <v>50</v>
      </c>
      <c r="I1014" s="6" t="str">
        <f>VLOOKUP(H1014,'Flow Location'!$A$1:$B$21,2,FALSE)</f>
        <v>Contained On Site, not within 5 ft. of Bayou/Surface Water/Drainage Ditch</v>
      </c>
      <c r="J1014" s="20">
        <v>0.0</v>
      </c>
      <c r="K1014" s="6" t="s">
        <v>198</v>
      </c>
      <c r="L1014" s="6" t="str">
        <f>VLOOKUP(K1014,'Structure type'!$A$1:$B$15,2,FALSE)</f>
        <v>Service Lateral</v>
      </c>
      <c r="M1014" s="6" t="s">
        <v>30</v>
      </c>
      <c r="N1014" s="6" t="str">
        <f>VLOOKUP(M1014,'Excursion Cause'!$A$1:$B$34,2,FALSE)</f>
        <v>Grease Blockage</v>
      </c>
      <c r="O1014" s="21">
        <v>44598.0</v>
      </c>
      <c r="P1014" s="6" t="s">
        <v>485</v>
      </c>
      <c r="Q1014" s="21">
        <v>44598.0</v>
      </c>
      <c r="R1014" s="6" t="s">
        <v>485</v>
      </c>
      <c r="S1014" s="20">
        <v>0.0</v>
      </c>
      <c r="T1014" s="6" t="s">
        <v>89</v>
      </c>
      <c r="U1014" s="6"/>
      <c r="V1014" s="6"/>
      <c r="W1014" s="6">
        <v>29.7569176</v>
      </c>
      <c r="X1014" s="6">
        <v>-95.5831113</v>
      </c>
    </row>
    <row r="1015" ht="15.75" customHeight="1">
      <c r="A1015" s="6">
        <v>13524.0</v>
      </c>
      <c r="B1015" s="6">
        <v>2022.0</v>
      </c>
      <c r="C1015" s="6" t="str">
        <f t="shared" si="5"/>
        <v>13702 MONARCH RD,Houston,Texas</v>
      </c>
      <c r="D1015" s="6" t="s">
        <v>1772</v>
      </c>
      <c r="E1015" s="6" t="s">
        <v>25</v>
      </c>
      <c r="F1015" s="6" t="s">
        <v>26</v>
      </c>
      <c r="G1015" s="6" t="s">
        <v>419</v>
      </c>
      <c r="H1015" s="6" t="s">
        <v>50</v>
      </c>
      <c r="I1015" s="6" t="str">
        <f>VLOOKUP(H1015,'Flow Location'!$A$1:$B$21,2,FALSE)</f>
        <v>Contained On Site, not within 5 ft. of Bayou/Surface Water/Drainage Ditch</v>
      </c>
      <c r="J1015" s="20">
        <v>360.0</v>
      </c>
      <c r="K1015" s="6" t="s">
        <v>51</v>
      </c>
      <c r="L1015" s="6" t="str">
        <f>VLOOKUP(K1015,'Structure type'!$A$1:$B$15,2,FALSE)</f>
        <v>Private Cleanout</v>
      </c>
      <c r="M1015" s="6" t="s">
        <v>30</v>
      </c>
      <c r="N1015" s="6" t="str">
        <f>VLOOKUP(M1015,'Excursion Cause'!$A$1:$B$34,2,FALSE)</f>
        <v>Grease Blockage</v>
      </c>
      <c r="O1015" s="21">
        <v>44598.0</v>
      </c>
      <c r="P1015" s="6" t="s">
        <v>458</v>
      </c>
      <c r="Q1015" s="21">
        <v>44599.0</v>
      </c>
      <c r="R1015" s="6" t="s">
        <v>503</v>
      </c>
      <c r="S1015" s="20">
        <v>0.0</v>
      </c>
      <c r="T1015" s="6" t="s">
        <v>59</v>
      </c>
      <c r="U1015" s="6"/>
      <c r="V1015" s="6"/>
      <c r="W1015" s="6">
        <v>29.6083257</v>
      </c>
      <c r="X1015" s="6">
        <v>-95.4066972</v>
      </c>
    </row>
    <row r="1016" ht="15.75" customHeight="1">
      <c r="A1016" s="6">
        <v>13529.0</v>
      </c>
      <c r="B1016" s="6">
        <v>2022.0</v>
      </c>
      <c r="C1016" s="6" t="str">
        <f t="shared" si="5"/>
        <v>8482 SONNEVILLE DR,Houston,Texas</v>
      </c>
      <c r="D1016" s="6" t="s">
        <v>1773</v>
      </c>
      <c r="E1016" s="6" t="s">
        <v>25</v>
      </c>
      <c r="F1016" s="6" t="s">
        <v>26</v>
      </c>
      <c r="G1016" s="6" t="s">
        <v>294</v>
      </c>
      <c r="H1016" s="6" t="s">
        <v>1724</v>
      </c>
      <c r="I1016" s="6" t="str">
        <f>VLOOKUP(H1016,'Flow Location'!$A$1:$B$21,2,FALSE)</f>
        <v>Storm Sewer (not contained)</v>
      </c>
      <c r="J1016" s="20">
        <v>2790.0</v>
      </c>
      <c r="K1016" s="6" t="s">
        <v>29</v>
      </c>
      <c r="L1016" s="6" t="str">
        <f>VLOOKUP(K1016,'Structure type'!$A$1:$B$15,2,FALSE)</f>
        <v>Manhole</v>
      </c>
      <c r="M1016" s="6" t="s">
        <v>1774</v>
      </c>
      <c r="N1016" s="6" t="str">
        <f>VLOOKUP(M1016,'Excursion Cause'!$A$1:$B$34,2,FALSE)</f>
        <v>Grease Blockage</v>
      </c>
      <c r="O1016" s="21">
        <v>44598.0</v>
      </c>
      <c r="P1016" s="6" t="s">
        <v>276</v>
      </c>
      <c r="Q1016" s="21">
        <v>44600.0</v>
      </c>
      <c r="R1016" s="6" t="s">
        <v>841</v>
      </c>
      <c r="S1016" s="20">
        <v>1.0</v>
      </c>
      <c r="T1016" s="6" t="s">
        <v>1775</v>
      </c>
      <c r="U1016" s="6"/>
      <c r="V1016" s="6"/>
      <c r="W1016" s="6">
        <v>29.8247519</v>
      </c>
      <c r="X1016" s="6">
        <v>-95.4992916</v>
      </c>
    </row>
    <row r="1017" ht="15.75" customHeight="1">
      <c r="A1017" s="6">
        <v>13530.0</v>
      </c>
      <c r="B1017" s="6">
        <v>2022.0</v>
      </c>
      <c r="C1017" s="6" t="str">
        <f t="shared" si="5"/>
        <v>10440 HOLLY SPRINGS DR,Houston,Texas</v>
      </c>
      <c r="D1017" s="6" t="s">
        <v>1776</v>
      </c>
      <c r="E1017" s="6" t="s">
        <v>25</v>
      </c>
      <c r="F1017" s="6" t="s">
        <v>26</v>
      </c>
      <c r="G1017" s="6" t="s">
        <v>401</v>
      </c>
      <c r="H1017" s="6" t="s">
        <v>50</v>
      </c>
      <c r="I1017" s="6" t="str">
        <f>VLOOKUP(H1017,'Flow Location'!$A$1:$B$21,2,FALSE)</f>
        <v>Contained On Site, not within 5 ft. of Bayou/Surface Water/Drainage Ditch</v>
      </c>
      <c r="J1017" s="20">
        <v>0.0</v>
      </c>
      <c r="K1017" s="6" t="s">
        <v>51</v>
      </c>
      <c r="L1017" s="6" t="str">
        <f>VLOOKUP(K1017,'Structure type'!$A$1:$B$15,2,FALSE)</f>
        <v>Private Cleanout</v>
      </c>
      <c r="M1017" s="6" t="s">
        <v>52</v>
      </c>
      <c r="N1017" s="6" t="str">
        <f>VLOOKUP(M1017,'Excursion Cause'!$A$1:$B$34,2,FALSE)</f>
        <v>Collection system structural blockage</v>
      </c>
      <c r="O1017" s="21">
        <v>44598.0</v>
      </c>
      <c r="P1017" s="6" t="s">
        <v>1777</v>
      </c>
      <c r="Q1017" s="21">
        <v>44598.0</v>
      </c>
      <c r="R1017" s="6" t="s">
        <v>1777</v>
      </c>
      <c r="S1017" s="20">
        <v>0.0</v>
      </c>
      <c r="T1017" s="6" t="s">
        <v>118</v>
      </c>
      <c r="U1017" s="6"/>
      <c r="V1017" s="6"/>
      <c r="W1017" s="6">
        <v>29.7540024</v>
      </c>
      <c r="X1017" s="6">
        <v>-95.5595539</v>
      </c>
    </row>
    <row r="1018" ht="15.75" customHeight="1">
      <c r="A1018" s="6">
        <v>13535.0</v>
      </c>
      <c r="B1018" s="6">
        <v>2022.0</v>
      </c>
      <c r="C1018" s="6" t="str">
        <f t="shared" si="5"/>
        <v>406 HUTCHESON ST,Houston,Texas</v>
      </c>
      <c r="D1018" s="6" t="s">
        <v>1657</v>
      </c>
      <c r="E1018" s="6" t="s">
        <v>25</v>
      </c>
      <c r="F1018" s="6" t="s">
        <v>26</v>
      </c>
      <c r="G1018" s="6" t="s">
        <v>172</v>
      </c>
      <c r="H1018" s="6" t="s">
        <v>28</v>
      </c>
      <c r="I1018" s="6" t="str">
        <f>VLOOKUP(H1018,'Flow Location'!$A$1:$B$21,2,FALSE)</f>
        <v>Storm Sewer (not contained)</v>
      </c>
      <c r="J1018" s="20">
        <v>876.0</v>
      </c>
      <c r="K1018" s="6" t="s">
        <v>29</v>
      </c>
      <c r="L1018" s="6" t="str">
        <f>VLOOKUP(K1018,'Structure type'!$A$1:$B$15,2,FALSE)</f>
        <v>Manhole</v>
      </c>
      <c r="M1018" s="6" t="s">
        <v>1778</v>
      </c>
      <c r="N1018" s="6" t="str">
        <f>VLOOKUP(M1018,'Excursion Cause'!$A$1:$B$34,2,FALSE)</f>
        <v>Collection system structural failure</v>
      </c>
      <c r="O1018" s="21">
        <v>44599.0</v>
      </c>
      <c r="P1018" s="6" t="s">
        <v>1779</v>
      </c>
      <c r="Q1018" s="21">
        <v>44599.0</v>
      </c>
      <c r="R1018" s="6" t="s">
        <v>480</v>
      </c>
      <c r="S1018" s="20">
        <v>2.0</v>
      </c>
      <c r="T1018" s="6" t="s">
        <v>377</v>
      </c>
      <c r="U1018" s="6"/>
      <c r="V1018" s="6"/>
      <c r="W1018" s="6">
        <v>29.7479644</v>
      </c>
      <c r="X1018" s="6">
        <v>-95.3395492</v>
      </c>
    </row>
    <row r="1019" ht="15.75" customHeight="1">
      <c r="A1019" s="6">
        <v>13540.0</v>
      </c>
      <c r="B1019" s="6">
        <v>2022.0</v>
      </c>
      <c r="C1019" s="6" t="str">
        <f t="shared" si="5"/>
        <v>1011 W 10TH ST,Houston,Texas</v>
      </c>
      <c r="D1019" s="6" t="s">
        <v>1780</v>
      </c>
      <c r="E1019" s="6" t="s">
        <v>25</v>
      </c>
      <c r="F1019" s="6" t="s">
        <v>26</v>
      </c>
      <c r="G1019" s="6" t="s">
        <v>232</v>
      </c>
      <c r="H1019" s="6" t="s">
        <v>50</v>
      </c>
      <c r="I1019" s="6" t="str">
        <f>VLOOKUP(H1019,'Flow Location'!$A$1:$B$21,2,FALSE)</f>
        <v>Contained On Site, not within 5 ft. of Bayou/Surface Water/Drainage Ditch</v>
      </c>
      <c r="J1019" s="20">
        <v>165.0</v>
      </c>
      <c r="K1019" s="6" t="s">
        <v>29</v>
      </c>
      <c r="L1019" s="6" t="str">
        <f>VLOOKUP(K1019,'Structure type'!$A$1:$B$15,2,FALSE)</f>
        <v>Manhole</v>
      </c>
      <c r="M1019" s="6" t="s">
        <v>30</v>
      </c>
      <c r="N1019" s="6" t="str">
        <f>VLOOKUP(M1019,'Excursion Cause'!$A$1:$B$34,2,FALSE)</f>
        <v>Grease Blockage</v>
      </c>
      <c r="O1019" s="21">
        <v>44599.0</v>
      </c>
      <c r="P1019" s="6" t="s">
        <v>175</v>
      </c>
      <c r="Q1019" s="21">
        <v>44599.0</v>
      </c>
      <c r="R1019" s="6" t="s">
        <v>129</v>
      </c>
      <c r="S1019" s="20">
        <v>1.0</v>
      </c>
      <c r="T1019" s="6" t="s">
        <v>59</v>
      </c>
      <c r="U1019" s="6"/>
      <c r="V1019" s="6"/>
      <c r="W1019" s="6">
        <v>29.7889475</v>
      </c>
      <c r="X1019" s="6">
        <v>-95.4076466</v>
      </c>
    </row>
    <row r="1020" ht="15.75" customHeight="1">
      <c r="A1020" s="6">
        <v>13541.0</v>
      </c>
      <c r="B1020" s="6">
        <v>2022.0</v>
      </c>
      <c r="C1020" s="6" t="str">
        <f t="shared" si="5"/>
        <v>4933 CHENNAULT RD,Houston,Texas</v>
      </c>
      <c r="D1020" s="6" t="s">
        <v>1781</v>
      </c>
      <c r="E1020" s="6" t="s">
        <v>25</v>
      </c>
      <c r="F1020" s="6" t="s">
        <v>26</v>
      </c>
      <c r="G1020" s="6" t="s">
        <v>120</v>
      </c>
      <c r="H1020" s="6" t="s">
        <v>50</v>
      </c>
      <c r="I1020" s="6" t="str">
        <f>VLOOKUP(H1020,'Flow Location'!$A$1:$B$21,2,FALSE)</f>
        <v>Contained On Site, not within 5 ft. of Bayou/Surface Water/Drainage Ditch</v>
      </c>
      <c r="J1020" s="20">
        <v>0.0</v>
      </c>
      <c r="K1020" s="6" t="s">
        <v>51</v>
      </c>
      <c r="L1020" s="6" t="str">
        <f>VLOOKUP(K1020,'Structure type'!$A$1:$B$15,2,FALSE)</f>
        <v>Private Cleanout</v>
      </c>
      <c r="M1020" s="6" t="s">
        <v>30</v>
      </c>
      <c r="N1020" s="6" t="str">
        <f>VLOOKUP(M1020,'Excursion Cause'!$A$1:$B$34,2,FALSE)</f>
        <v>Grease Blockage</v>
      </c>
      <c r="O1020" s="21">
        <v>44599.0</v>
      </c>
      <c r="P1020" s="6" t="s">
        <v>155</v>
      </c>
      <c r="Q1020" s="21">
        <v>44599.0</v>
      </c>
      <c r="R1020" s="6" t="s">
        <v>155</v>
      </c>
      <c r="S1020" s="20">
        <v>0.0</v>
      </c>
      <c r="T1020" s="6" t="s">
        <v>33</v>
      </c>
      <c r="U1020" s="6"/>
      <c r="V1020" s="6"/>
      <c r="W1020" s="6">
        <v>29.6820027</v>
      </c>
      <c r="X1020" s="6">
        <v>-95.3451748</v>
      </c>
    </row>
    <row r="1021" ht="15.75" customHeight="1">
      <c r="A1021" s="6">
        <v>13544.0</v>
      </c>
      <c r="B1021" s="6">
        <v>2022.0</v>
      </c>
      <c r="C1021" s="6" t="str">
        <f t="shared" si="5"/>
        <v>9100 BRIAR FOREST DR,Houston,Texas</v>
      </c>
      <c r="D1021" s="6" t="s">
        <v>1782</v>
      </c>
      <c r="E1021" s="6" t="s">
        <v>25</v>
      </c>
      <c r="F1021" s="6" t="s">
        <v>26</v>
      </c>
      <c r="G1021" s="6" t="s">
        <v>123</v>
      </c>
      <c r="H1021" s="6" t="s">
        <v>44</v>
      </c>
      <c r="I1021" s="6" t="str">
        <f>VLOOKUP(H1021,'Flow Location'!$A$1:$B$21,2,FALSE)</f>
        <v>Bayou/surface water/drainage ditch</v>
      </c>
      <c r="J1021" s="20">
        <v>3750.0</v>
      </c>
      <c r="K1021" s="6" t="s">
        <v>190</v>
      </c>
      <c r="L1021" s="6" t="str">
        <f>VLOOKUP(K1021,'Structure type'!$A$1:$B$15,2,FALSE)</f>
        <v>Force Main</v>
      </c>
      <c r="M1021" s="6" t="s">
        <v>1783</v>
      </c>
      <c r="N1021" s="6" t="str">
        <f>VLOOKUP(M1021,'Excursion Cause'!$A$1:$B$34,2,FALSE)</f>
        <v>Collection system structural failure</v>
      </c>
      <c r="O1021" s="21">
        <v>44599.0</v>
      </c>
      <c r="P1021" s="6" t="s">
        <v>233</v>
      </c>
      <c r="Q1021" s="21">
        <v>44601.0</v>
      </c>
      <c r="R1021" s="6" t="s">
        <v>876</v>
      </c>
      <c r="S1021" s="20">
        <v>1.0</v>
      </c>
      <c r="T1021" s="6" t="s">
        <v>98</v>
      </c>
      <c r="U1021" s="6"/>
      <c r="V1021" s="6"/>
      <c r="W1021" s="6">
        <v>29.7476818</v>
      </c>
      <c r="X1021" s="6">
        <v>-95.5311562</v>
      </c>
    </row>
    <row r="1022" ht="15.75" customHeight="1">
      <c r="A1022" s="6">
        <v>13549.0</v>
      </c>
      <c r="B1022" s="6">
        <v>2022.0</v>
      </c>
      <c r="C1022" s="6" t="str">
        <f t="shared" si="5"/>
        <v>2505 DICKEY PL,Houston,Texas</v>
      </c>
      <c r="D1022" s="6" t="s">
        <v>1784</v>
      </c>
      <c r="E1022" s="6" t="s">
        <v>25</v>
      </c>
      <c r="F1022" s="6" t="s">
        <v>26</v>
      </c>
      <c r="G1022" s="6" t="s">
        <v>80</v>
      </c>
      <c r="H1022" s="6" t="s">
        <v>50</v>
      </c>
      <c r="I1022" s="6" t="str">
        <f>VLOOKUP(H1022,'Flow Location'!$A$1:$B$21,2,FALSE)</f>
        <v>Contained On Site, not within 5 ft. of Bayou/Surface Water/Drainage Ditch</v>
      </c>
      <c r="J1022" s="20">
        <v>0.0</v>
      </c>
      <c r="K1022" s="6" t="s">
        <v>51</v>
      </c>
      <c r="L1022" s="6" t="str">
        <f>VLOOKUP(K1022,'Structure type'!$A$1:$B$15,2,FALSE)</f>
        <v>Private Cleanout</v>
      </c>
      <c r="M1022" s="6" t="s">
        <v>30</v>
      </c>
      <c r="N1022" s="6" t="str">
        <f>VLOOKUP(M1022,'Excursion Cause'!$A$1:$B$34,2,FALSE)</f>
        <v>Grease Blockage</v>
      </c>
      <c r="O1022" s="21">
        <v>44599.0</v>
      </c>
      <c r="P1022" s="6" t="s">
        <v>724</v>
      </c>
      <c r="Q1022" s="21">
        <v>44599.0</v>
      </c>
      <c r="R1022" s="6" t="s">
        <v>724</v>
      </c>
      <c r="S1022" s="20">
        <v>0.0</v>
      </c>
      <c r="T1022" s="6" t="s">
        <v>33</v>
      </c>
      <c r="U1022" s="6"/>
      <c r="V1022" s="6"/>
      <c r="W1022" s="6">
        <v>29.7435762</v>
      </c>
      <c r="X1022" s="6">
        <v>-95.4153708</v>
      </c>
    </row>
    <row r="1023" ht="15.75" customHeight="1">
      <c r="A1023" s="6">
        <v>13552.0</v>
      </c>
      <c r="B1023" s="6">
        <v>2022.0</v>
      </c>
      <c r="C1023" s="6" t="str">
        <f t="shared" si="5"/>
        <v>1502 W 24TH ST,Houston,Texas</v>
      </c>
      <c r="D1023" s="6" t="s">
        <v>1785</v>
      </c>
      <c r="E1023" s="6" t="s">
        <v>25</v>
      </c>
      <c r="F1023" s="6" t="s">
        <v>26</v>
      </c>
      <c r="G1023" s="6" t="s">
        <v>232</v>
      </c>
      <c r="H1023" s="6" t="s">
        <v>50</v>
      </c>
      <c r="I1023" s="6" t="str">
        <f>VLOOKUP(H1023,'Flow Location'!$A$1:$B$21,2,FALSE)</f>
        <v>Contained On Site, not within 5 ft. of Bayou/Surface Water/Drainage Ditch</v>
      </c>
      <c r="J1023" s="20">
        <v>0.0</v>
      </c>
      <c r="K1023" s="6" t="s">
        <v>29</v>
      </c>
      <c r="L1023" s="6" t="str">
        <f>VLOOKUP(K1023,'Structure type'!$A$1:$B$15,2,FALSE)</f>
        <v>Manhole</v>
      </c>
      <c r="M1023" s="6" t="s">
        <v>30</v>
      </c>
      <c r="N1023" s="6" t="str">
        <f>VLOOKUP(M1023,'Excursion Cause'!$A$1:$B$34,2,FALSE)</f>
        <v>Grease Blockage</v>
      </c>
      <c r="O1023" s="21">
        <v>44599.0</v>
      </c>
      <c r="P1023" s="6" t="s">
        <v>946</v>
      </c>
      <c r="Q1023" s="21">
        <v>44599.0</v>
      </c>
      <c r="R1023" s="6" t="s">
        <v>946</v>
      </c>
      <c r="S1023" s="20">
        <v>0.0</v>
      </c>
      <c r="T1023" s="6" t="s">
        <v>59</v>
      </c>
      <c r="U1023" s="6"/>
      <c r="V1023" s="6"/>
      <c r="W1023" s="6">
        <v>29.8075185</v>
      </c>
      <c r="X1023" s="6">
        <v>-95.4260164</v>
      </c>
    </row>
    <row r="1024" ht="15.75" customHeight="1">
      <c r="A1024" s="6">
        <v>13553.0</v>
      </c>
      <c r="B1024" s="6">
        <v>2022.0</v>
      </c>
      <c r="C1024" s="6" t="str">
        <f t="shared" si="5"/>
        <v>10318 SHADY RIVER DR,Houston,Texas</v>
      </c>
      <c r="D1024" s="6" t="s">
        <v>1786</v>
      </c>
      <c r="E1024" s="6" t="s">
        <v>25</v>
      </c>
      <c r="F1024" s="6" t="s">
        <v>26</v>
      </c>
      <c r="G1024" s="6" t="s">
        <v>401</v>
      </c>
      <c r="H1024" s="6" t="s">
        <v>50</v>
      </c>
      <c r="I1024" s="6" t="str">
        <f>VLOOKUP(H1024,'Flow Location'!$A$1:$B$21,2,FALSE)</f>
        <v>Contained On Site, not within 5 ft. of Bayou/Surface Water/Drainage Ditch</v>
      </c>
      <c r="J1024" s="20">
        <v>0.0</v>
      </c>
      <c r="K1024" s="6" t="s">
        <v>198</v>
      </c>
      <c r="L1024" s="6" t="str">
        <f>VLOOKUP(K1024,'Structure type'!$A$1:$B$15,2,FALSE)</f>
        <v>Service Lateral</v>
      </c>
      <c r="M1024" s="6" t="s">
        <v>30</v>
      </c>
      <c r="N1024" s="6" t="str">
        <f>VLOOKUP(M1024,'Excursion Cause'!$A$1:$B$34,2,FALSE)</f>
        <v>Grease Blockage</v>
      </c>
      <c r="O1024" s="21">
        <v>44599.0</v>
      </c>
      <c r="P1024" s="6" t="s">
        <v>960</v>
      </c>
      <c r="Q1024" s="21">
        <v>44599.0</v>
      </c>
      <c r="R1024" s="6" t="s">
        <v>960</v>
      </c>
      <c r="S1024" s="20">
        <v>0.0</v>
      </c>
      <c r="T1024" s="6" t="s">
        <v>33</v>
      </c>
      <c r="U1024" s="6"/>
      <c r="V1024" s="6"/>
      <c r="W1024" s="6">
        <v>29.7582155</v>
      </c>
      <c r="X1024" s="6">
        <v>-95.5558625</v>
      </c>
    </row>
    <row r="1025" ht="15.75" customHeight="1">
      <c r="A1025" s="6">
        <v>13557.0</v>
      </c>
      <c r="B1025" s="6">
        <v>2022.0</v>
      </c>
      <c r="C1025" s="6" t="str">
        <f t="shared" si="5"/>
        <v>1404 ALABAMA ST,Houston,Texas</v>
      </c>
      <c r="D1025" s="6" t="s">
        <v>1787</v>
      </c>
      <c r="E1025" s="6" t="s">
        <v>25</v>
      </c>
      <c r="F1025" s="6" t="s">
        <v>26</v>
      </c>
      <c r="G1025" s="6" t="s">
        <v>308</v>
      </c>
      <c r="H1025" s="6" t="s">
        <v>1724</v>
      </c>
      <c r="I1025" s="6" t="str">
        <f>VLOOKUP(H1025,'Flow Location'!$A$1:$B$21,2,FALSE)</f>
        <v>Storm Sewer (not contained)</v>
      </c>
      <c r="J1025" s="20">
        <v>542.0</v>
      </c>
      <c r="K1025" s="6" t="s">
        <v>29</v>
      </c>
      <c r="L1025" s="6" t="str">
        <f>VLOOKUP(K1025,'Structure type'!$A$1:$B$15,2,FALSE)</f>
        <v>Manhole</v>
      </c>
      <c r="M1025" s="6" t="s">
        <v>56</v>
      </c>
      <c r="N1025" s="6" t="str">
        <f>VLOOKUP(M1025,'Excursion Cause'!$A$1:$B$34,2,FALSE)</f>
        <v>Rags/Wipes</v>
      </c>
      <c r="O1025" s="21">
        <v>44600.0</v>
      </c>
      <c r="P1025" s="6" t="s">
        <v>57</v>
      </c>
      <c r="Q1025" s="21">
        <v>44600.0</v>
      </c>
      <c r="R1025" s="6" t="s">
        <v>178</v>
      </c>
      <c r="S1025" s="20">
        <v>2.0</v>
      </c>
      <c r="T1025" s="6" t="s">
        <v>1788</v>
      </c>
      <c r="U1025" s="6"/>
      <c r="V1025" s="6"/>
      <c r="W1025" s="6">
        <v>29.7355134</v>
      </c>
      <c r="X1025" s="6">
        <v>-95.3763105</v>
      </c>
    </row>
    <row r="1026" ht="15.75" customHeight="1">
      <c r="A1026" s="6">
        <v>13561.0</v>
      </c>
      <c r="B1026" s="6">
        <v>2022.0</v>
      </c>
      <c r="C1026" s="6" t="str">
        <f t="shared" si="5"/>
        <v>1919 COURTNEY LANE DR,Houston,Texas</v>
      </c>
      <c r="D1026" s="6" t="s">
        <v>1789</v>
      </c>
      <c r="E1026" s="6" t="s">
        <v>25</v>
      </c>
      <c r="F1026" s="6" t="s">
        <v>26</v>
      </c>
      <c r="G1026" s="6" t="s">
        <v>401</v>
      </c>
      <c r="H1026" s="6" t="s">
        <v>50</v>
      </c>
      <c r="I1026" s="6" t="str">
        <f>VLOOKUP(H1026,'Flow Location'!$A$1:$B$21,2,FALSE)</f>
        <v>Contained On Site, not within 5 ft. of Bayou/Surface Water/Drainage Ditch</v>
      </c>
      <c r="J1026" s="20">
        <v>0.0</v>
      </c>
      <c r="K1026" s="6" t="s">
        <v>198</v>
      </c>
      <c r="L1026" s="6" t="str">
        <f>VLOOKUP(K1026,'Structure type'!$A$1:$B$15,2,FALSE)</f>
        <v>Service Lateral</v>
      </c>
      <c r="M1026" s="6" t="s">
        <v>81</v>
      </c>
      <c r="N1026" s="6" t="str">
        <f>VLOOKUP(M1026,'Excursion Cause'!$A$1:$B$34,2,FALSE)</f>
        <v>Collection system structural failure</v>
      </c>
      <c r="O1026" s="21">
        <v>44600.0</v>
      </c>
      <c r="P1026" s="6" t="s">
        <v>610</v>
      </c>
      <c r="Q1026" s="21">
        <v>44600.0</v>
      </c>
      <c r="R1026" s="6" t="s">
        <v>610</v>
      </c>
      <c r="S1026" s="20">
        <v>0.0</v>
      </c>
      <c r="T1026" s="6" t="s">
        <v>54</v>
      </c>
      <c r="U1026" s="6"/>
      <c r="V1026" s="6"/>
      <c r="W1026" s="6">
        <v>29.7467387</v>
      </c>
      <c r="X1026" s="6">
        <v>-95.5699205</v>
      </c>
    </row>
    <row r="1027" ht="15.75" customHeight="1">
      <c r="A1027" s="6">
        <v>13563.0</v>
      </c>
      <c r="B1027" s="6">
        <v>2022.0</v>
      </c>
      <c r="C1027" s="6" t="str">
        <f t="shared" si="5"/>
        <v>1007 DEWALT ST,Houston,Texas</v>
      </c>
      <c r="D1027" s="6" t="s">
        <v>1790</v>
      </c>
      <c r="E1027" s="6" t="s">
        <v>25</v>
      </c>
      <c r="F1027" s="6" t="s">
        <v>26</v>
      </c>
      <c r="G1027" s="6" t="s">
        <v>502</v>
      </c>
      <c r="H1027" s="6" t="s">
        <v>28</v>
      </c>
      <c r="I1027" s="6" t="str">
        <f>VLOOKUP(H1027,'Flow Location'!$A$1:$B$21,2,FALSE)</f>
        <v>Storm Sewer (not contained)</v>
      </c>
      <c r="J1027" s="20">
        <v>1618.0</v>
      </c>
      <c r="K1027" s="6" t="s">
        <v>198</v>
      </c>
      <c r="L1027" s="6" t="str">
        <f>VLOOKUP(K1027,'Structure type'!$A$1:$B$15,2,FALSE)</f>
        <v>Service Lateral</v>
      </c>
      <c r="M1027" s="6" t="s">
        <v>1791</v>
      </c>
      <c r="N1027" s="6" t="str">
        <f>VLOOKUP(M1027,'Excursion Cause'!$A$1:$B$34,2,FALSE)</f>
        <v>Collection system structural blockage</v>
      </c>
      <c r="O1027" s="21">
        <v>44600.0</v>
      </c>
      <c r="P1027" s="6" t="s">
        <v>1744</v>
      </c>
      <c r="Q1027" s="21">
        <v>44601.0</v>
      </c>
      <c r="R1027" s="6" t="s">
        <v>77</v>
      </c>
      <c r="S1027" s="20">
        <v>1.0</v>
      </c>
      <c r="T1027" s="6" t="s">
        <v>118</v>
      </c>
      <c r="U1027" s="6"/>
      <c r="V1027" s="6"/>
      <c r="W1027" s="6">
        <v>29.8821774</v>
      </c>
      <c r="X1027" s="6">
        <v>-95.4253348</v>
      </c>
    </row>
    <row r="1028" ht="15.75" customHeight="1">
      <c r="A1028" s="6">
        <v>13566.0</v>
      </c>
      <c r="B1028" s="6">
        <v>2022.0</v>
      </c>
      <c r="C1028" s="6" t="str">
        <f t="shared" si="5"/>
        <v>15355 W HARDY RD,Houston,Texas</v>
      </c>
      <c r="D1028" s="6" t="s">
        <v>1792</v>
      </c>
      <c r="E1028" s="6" t="s">
        <v>25</v>
      </c>
      <c r="F1028" s="6" t="s">
        <v>26</v>
      </c>
      <c r="G1028" s="6" t="s">
        <v>393</v>
      </c>
      <c r="H1028" s="6" t="s">
        <v>1724</v>
      </c>
      <c r="I1028" s="6" t="str">
        <f>VLOOKUP(H1028,'Flow Location'!$A$1:$B$21,2,FALSE)</f>
        <v>Storm Sewer (not contained)</v>
      </c>
      <c r="J1028" s="20">
        <v>2136.0</v>
      </c>
      <c r="K1028" s="6" t="s">
        <v>29</v>
      </c>
      <c r="L1028" s="6" t="str">
        <f>VLOOKUP(K1028,'Structure type'!$A$1:$B$15,2,FALSE)</f>
        <v>Manhole</v>
      </c>
      <c r="M1028" s="6" t="s">
        <v>1793</v>
      </c>
      <c r="N1028" s="6" t="str">
        <f>VLOOKUP(M1028,'Excursion Cause'!$A$1:$B$34,2,FALSE)</f>
        <v>Grease Blockage</v>
      </c>
      <c r="O1028" s="21">
        <v>44600.0</v>
      </c>
      <c r="P1028" s="6" t="s">
        <v>1794</v>
      </c>
      <c r="Q1028" s="21">
        <v>44600.0</v>
      </c>
      <c r="R1028" s="6" t="s">
        <v>914</v>
      </c>
      <c r="S1028" s="20">
        <v>6.0</v>
      </c>
      <c r="T1028" s="6" t="s">
        <v>1795</v>
      </c>
      <c r="U1028" s="6"/>
      <c r="V1028" s="6"/>
      <c r="W1028" s="6">
        <v>29.9373139</v>
      </c>
      <c r="X1028" s="6">
        <v>-95.3836081</v>
      </c>
    </row>
    <row r="1029" ht="15.75" customHeight="1">
      <c r="A1029" s="6">
        <v>13567.0</v>
      </c>
      <c r="B1029" s="6">
        <v>2022.0</v>
      </c>
      <c r="C1029" s="6" t="str">
        <f t="shared" si="5"/>
        <v>6307 HIRONDEL ST,Houston,Texas</v>
      </c>
      <c r="D1029" s="6" t="s">
        <v>1796</v>
      </c>
      <c r="E1029" s="6" t="s">
        <v>25</v>
      </c>
      <c r="F1029" s="6" t="s">
        <v>26</v>
      </c>
      <c r="G1029" s="6" t="s">
        <v>35</v>
      </c>
      <c r="H1029" s="6" t="s">
        <v>50</v>
      </c>
      <c r="I1029" s="6" t="str">
        <f>VLOOKUP(H1029,'Flow Location'!$A$1:$B$21,2,FALSE)</f>
        <v>Contained On Site, not within 5 ft. of Bayou/Surface Water/Drainage Ditch</v>
      </c>
      <c r="J1029" s="20">
        <v>470.0</v>
      </c>
      <c r="K1029" s="6" t="s">
        <v>51</v>
      </c>
      <c r="L1029" s="6" t="str">
        <f>VLOOKUP(K1029,'Structure type'!$A$1:$B$15,2,FALSE)</f>
        <v>Private Cleanout</v>
      </c>
      <c r="M1029" s="6" t="s">
        <v>30</v>
      </c>
      <c r="N1029" s="6" t="str">
        <f>VLOOKUP(M1029,'Excursion Cause'!$A$1:$B$34,2,FALSE)</f>
        <v>Grease Blockage</v>
      </c>
      <c r="O1029" s="21">
        <v>44600.0</v>
      </c>
      <c r="P1029" s="6" t="s">
        <v>995</v>
      </c>
      <c r="Q1029" s="21">
        <v>44600.0</v>
      </c>
      <c r="R1029" s="6" t="s">
        <v>53</v>
      </c>
      <c r="S1029" s="20">
        <v>2.0</v>
      </c>
      <c r="T1029" s="6" t="s">
        <v>59</v>
      </c>
      <c r="U1029" s="6"/>
      <c r="V1029" s="6"/>
      <c r="W1029" s="6">
        <v>29.6592171</v>
      </c>
      <c r="X1029" s="6">
        <v>-95.3137039</v>
      </c>
    </row>
    <row r="1030" ht="15.75" customHeight="1">
      <c r="A1030" s="6">
        <v>13569.0</v>
      </c>
      <c r="B1030" s="6">
        <v>2022.0</v>
      </c>
      <c r="C1030" s="6" t="str">
        <f t="shared" si="5"/>
        <v>2511 WILLOWICK RD,Houston,Texas</v>
      </c>
      <c r="D1030" s="6" t="s">
        <v>1620</v>
      </c>
      <c r="E1030" s="6" t="s">
        <v>25</v>
      </c>
      <c r="F1030" s="6" t="s">
        <v>26</v>
      </c>
      <c r="G1030" s="6" t="s">
        <v>1621</v>
      </c>
      <c r="H1030" s="6" t="s">
        <v>28</v>
      </c>
      <c r="I1030" s="6" t="str">
        <f>VLOOKUP(H1030,'Flow Location'!$A$1:$B$21,2,FALSE)</f>
        <v>Storm Sewer (not contained)</v>
      </c>
      <c r="J1030" s="20">
        <v>708.0</v>
      </c>
      <c r="K1030" s="6" t="s">
        <v>29</v>
      </c>
      <c r="L1030" s="6" t="str">
        <f>VLOOKUP(K1030,'Structure type'!$A$1:$B$15,2,FALSE)</f>
        <v>Manhole</v>
      </c>
      <c r="M1030" s="6" t="s">
        <v>1797</v>
      </c>
      <c r="N1030" s="6" t="str">
        <f>VLOOKUP(M1030,'Excursion Cause'!$A$1:$B$34,2,FALSE)</f>
        <v>Collection system structural blockage</v>
      </c>
      <c r="O1030" s="21">
        <v>44600.0</v>
      </c>
      <c r="P1030" s="6" t="s">
        <v>1369</v>
      </c>
      <c r="Q1030" s="21">
        <v>44600.0</v>
      </c>
      <c r="R1030" s="6" t="s">
        <v>1627</v>
      </c>
      <c r="S1030" s="20">
        <v>2.0</v>
      </c>
      <c r="T1030" s="6" t="s">
        <v>33</v>
      </c>
      <c r="U1030" s="6"/>
      <c r="V1030" s="6"/>
      <c r="W1030" s="6">
        <v>29.7425171</v>
      </c>
      <c r="X1030" s="6">
        <v>-95.4411043</v>
      </c>
    </row>
    <row r="1031" ht="15.75" customHeight="1">
      <c r="A1031" s="6">
        <v>13570.0</v>
      </c>
      <c r="B1031" s="6">
        <v>2022.0</v>
      </c>
      <c r="C1031" s="6" t="str">
        <f t="shared" si="5"/>
        <v>16331 PARK MANOR ST,Houston,Texas</v>
      </c>
      <c r="D1031" s="6" t="s">
        <v>1798</v>
      </c>
      <c r="E1031" s="6" t="s">
        <v>25</v>
      </c>
      <c r="F1031" s="6" t="s">
        <v>26</v>
      </c>
      <c r="G1031" s="6" t="s">
        <v>517</v>
      </c>
      <c r="H1031" s="6" t="s">
        <v>50</v>
      </c>
      <c r="I1031" s="6" t="str">
        <f>VLOOKUP(H1031,'Flow Location'!$A$1:$B$21,2,FALSE)</f>
        <v>Contained On Site, not within 5 ft. of Bayou/Surface Water/Drainage Ditch</v>
      </c>
      <c r="J1031" s="20">
        <v>160.0</v>
      </c>
      <c r="K1031" s="6" t="s">
        <v>29</v>
      </c>
      <c r="L1031" s="6" t="str">
        <f>VLOOKUP(K1031,'Structure type'!$A$1:$B$15,2,FALSE)</f>
        <v>Manhole</v>
      </c>
      <c r="M1031" s="6" t="s">
        <v>30</v>
      </c>
      <c r="N1031" s="6" t="str">
        <f>VLOOKUP(M1031,'Excursion Cause'!$A$1:$B$34,2,FALSE)</f>
        <v>Grease Blockage</v>
      </c>
      <c r="O1031" s="21">
        <v>44600.0</v>
      </c>
      <c r="P1031" s="6" t="s">
        <v>175</v>
      </c>
      <c r="Q1031" s="21">
        <v>44600.0</v>
      </c>
      <c r="R1031" s="6" t="s">
        <v>159</v>
      </c>
      <c r="S1031" s="20">
        <v>1.0</v>
      </c>
      <c r="T1031" s="6" t="s">
        <v>59</v>
      </c>
      <c r="U1031" s="6"/>
      <c r="V1031" s="6"/>
      <c r="W1031" s="6">
        <v>29.5856698</v>
      </c>
      <c r="X1031" s="6">
        <v>-95.4618587</v>
      </c>
    </row>
    <row r="1032" ht="15.75" customHeight="1">
      <c r="A1032" s="6">
        <v>13571.0</v>
      </c>
      <c r="B1032" s="6">
        <v>2022.0</v>
      </c>
      <c r="C1032" s="6" t="str">
        <f t="shared" si="5"/>
        <v>4991 VALKEITH DR,Houston,Texas</v>
      </c>
      <c r="D1032" s="6" t="s">
        <v>1020</v>
      </c>
      <c r="E1032" s="6" t="s">
        <v>25</v>
      </c>
      <c r="F1032" s="6" t="s">
        <v>26</v>
      </c>
      <c r="G1032" s="6" t="s">
        <v>69</v>
      </c>
      <c r="H1032" s="6" t="s">
        <v>1799</v>
      </c>
      <c r="I1032" s="6" t="str">
        <f>VLOOKUP(H1032,'Flow Location'!$A$1:$B$21,2,FALSE)</f>
        <v>Storm Sewer - contained</v>
      </c>
      <c r="J1032" s="20">
        <v>762.0</v>
      </c>
      <c r="K1032" s="6" t="s">
        <v>29</v>
      </c>
      <c r="L1032" s="6" t="str">
        <f>VLOOKUP(K1032,'Structure type'!$A$1:$B$15,2,FALSE)</f>
        <v>Manhole</v>
      </c>
      <c r="M1032" s="6" t="s">
        <v>1800</v>
      </c>
      <c r="N1032" s="6" t="str">
        <f>VLOOKUP(M1032,'Excursion Cause'!$A$1:$B$34,2,FALSE)</f>
        <v>Grease Blockage</v>
      </c>
      <c r="O1032" s="21">
        <v>44600.0</v>
      </c>
      <c r="P1032" s="6" t="s">
        <v>797</v>
      </c>
      <c r="Q1032" s="21">
        <v>44600.0</v>
      </c>
      <c r="R1032" s="6" t="s">
        <v>544</v>
      </c>
      <c r="S1032" s="20">
        <v>3.0</v>
      </c>
      <c r="T1032" s="6" t="s">
        <v>1801</v>
      </c>
      <c r="U1032" s="6"/>
      <c r="V1032" s="6"/>
      <c r="W1032" s="6">
        <v>29.6741315</v>
      </c>
      <c r="X1032" s="6">
        <v>-95.4663339</v>
      </c>
    </row>
    <row r="1033" ht="15.75" customHeight="1">
      <c r="A1033" s="6">
        <v>13572.0</v>
      </c>
      <c r="B1033" s="6">
        <v>2022.0</v>
      </c>
      <c r="C1033" s="6" t="str">
        <f t="shared" si="5"/>
        <v>6200 DASHWOOD DR,Houston,Texas</v>
      </c>
      <c r="D1033" s="6" t="s">
        <v>1802</v>
      </c>
      <c r="E1033" s="6" t="s">
        <v>25</v>
      </c>
      <c r="F1033" s="6" t="s">
        <v>26</v>
      </c>
      <c r="G1033" s="6" t="s">
        <v>287</v>
      </c>
      <c r="H1033" s="6" t="s">
        <v>1724</v>
      </c>
      <c r="I1033" s="6" t="str">
        <f>VLOOKUP(H1033,'Flow Location'!$A$1:$B$21,2,FALSE)</f>
        <v>Storm Sewer (not contained)</v>
      </c>
      <c r="J1033" s="20">
        <v>350.0</v>
      </c>
      <c r="K1033" s="6" t="s">
        <v>29</v>
      </c>
      <c r="L1033" s="6" t="str">
        <f>VLOOKUP(K1033,'Structure type'!$A$1:$B$15,2,FALSE)</f>
        <v>Manhole</v>
      </c>
      <c r="M1033" s="6" t="s">
        <v>1803</v>
      </c>
      <c r="N1033" s="6" t="str">
        <f>VLOOKUP(M1033,'Excursion Cause'!$A$1:$B$34,2,FALSE)</f>
        <v>Grease Blockage</v>
      </c>
      <c r="O1033" s="21">
        <v>44600.0</v>
      </c>
      <c r="P1033" s="6" t="s">
        <v>276</v>
      </c>
      <c r="Q1033" s="21">
        <v>44600.0</v>
      </c>
      <c r="R1033" s="6" t="s">
        <v>887</v>
      </c>
      <c r="S1033" s="20">
        <v>2.0</v>
      </c>
      <c r="T1033" s="6" t="s">
        <v>1804</v>
      </c>
      <c r="U1033" s="6"/>
      <c r="V1033" s="6"/>
      <c r="W1033" s="6">
        <v>29.7073665</v>
      </c>
      <c r="X1033" s="6">
        <v>-95.4911583</v>
      </c>
    </row>
    <row r="1034" ht="15.75" customHeight="1">
      <c r="A1034" s="6">
        <v>13581.0</v>
      </c>
      <c r="B1034" s="6">
        <v>2022.0</v>
      </c>
      <c r="C1034" s="6" t="str">
        <f t="shared" si="5"/>
        <v>4447 MOUNT VERNON ST,Houston,Texas</v>
      </c>
      <c r="D1034" s="6" t="s">
        <v>1805</v>
      </c>
      <c r="E1034" s="6" t="s">
        <v>25</v>
      </c>
      <c r="F1034" s="6" t="s">
        <v>26</v>
      </c>
      <c r="G1034" s="6" t="s">
        <v>761</v>
      </c>
      <c r="H1034" s="6" t="s">
        <v>1724</v>
      </c>
      <c r="I1034" s="6" t="str">
        <f>VLOOKUP(H1034,'Flow Location'!$A$1:$B$21,2,FALSE)</f>
        <v>Storm Sewer (not contained)</v>
      </c>
      <c r="J1034" s="20">
        <v>3300.0</v>
      </c>
      <c r="K1034" s="6" t="s">
        <v>290</v>
      </c>
      <c r="L1034" s="6" t="str">
        <f>VLOOKUP(K1034,'Structure type'!$A$1:$B$15,2,FALSE)</f>
        <v>Gravity Main</v>
      </c>
      <c r="M1034" s="6" t="s">
        <v>1806</v>
      </c>
      <c r="N1034" s="6" t="str">
        <f>VLOOKUP(M1034,'Excursion Cause'!$A$1:$B$34,2,FALSE)</f>
        <v>Grease Blockage</v>
      </c>
      <c r="O1034" s="21">
        <v>44601.0</v>
      </c>
      <c r="P1034" s="6" t="s">
        <v>66</v>
      </c>
      <c r="Q1034" s="21">
        <v>44602.0</v>
      </c>
      <c r="R1034" s="6" t="s">
        <v>428</v>
      </c>
      <c r="S1034" s="20">
        <v>2.0</v>
      </c>
      <c r="T1034" s="6" t="s">
        <v>1807</v>
      </c>
      <c r="U1034" s="6"/>
      <c r="V1034" s="6"/>
      <c r="W1034" s="6">
        <v>29.7326705</v>
      </c>
      <c r="X1034" s="6">
        <v>-95.3934151</v>
      </c>
    </row>
    <row r="1035" ht="15.75" customHeight="1">
      <c r="A1035" s="6">
        <v>13587.0</v>
      </c>
      <c r="B1035" s="6">
        <v>2022.0</v>
      </c>
      <c r="C1035" s="6" t="str">
        <f t="shared" si="5"/>
        <v>211 N BRYAN ST,Houston,Texas</v>
      </c>
      <c r="D1035" s="6" t="s">
        <v>1808</v>
      </c>
      <c r="E1035" s="6" t="s">
        <v>25</v>
      </c>
      <c r="F1035" s="6" t="s">
        <v>26</v>
      </c>
      <c r="G1035" s="6" t="s">
        <v>227</v>
      </c>
      <c r="H1035" s="6" t="s">
        <v>50</v>
      </c>
      <c r="I1035" s="6" t="str">
        <f>VLOOKUP(H1035,'Flow Location'!$A$1:$B$21,2,FALSE)</f>
        <v>Contained On Site, not within 5 ft. of Bayou/Surface Water/Drainage Ditch</v>
      </c>
      <c r="J1035" s="20">
        <v>0.0</v>
      </c>
      <c r="K1035" s="6" t="s">
        <v>45</v>
      </c>
      <c r="L1035" s="6" t="str">
        <f>VLOOKUP(K1035,'Structure type'!$A$1:$B$15,2,FALSE)</f>
        <v>City Cleanout</v>
      </c>
      <c r="M1035" s="6" t="s">
        <v>52</v>
      </c>
      <c r="N1035" s="6" t="str">
        <f>VLOOKUP(M1035,'Excursion Cause'!$A$1:$B$34,2,FALSE)</f>
        <v>Collection system structural blockage</v>
      </c>
      <c r="O1035" s="21">
        <v>44601.0</v>
      </c>
      <c r="P1035" s="6" t="s">
        <v>178</v>
      </c>
      <c r="Q1035" s="21">
        <v>44601.0</v>
      </c>
      <c r="R1035" s="6" t="s">
        <v>178</v>
      </c>
      <c r="S1035" s="20">
        <v>0.0</v>
      </c>
      <c r="T1035" s="6" t="s">
        <v>1809</v>
      </c>
      <c r="U1035" s="6"/>
      <c r="V1035" s="6"/>
      <c r="W1035" s="6">
        <v>29.7479683</v>
      </c>
      <c r="X1035" s="6">
        <v>-95.3235481</v>
      </c>
    </row>
    <row r="1036" ht="15.75" customHeight="1">
      <c r="A1036" s="6">
        <v>13589.0</v>
      </c>
      <c r="B1036" s="6">
        <v>2022.0</v>
      </c>
      <c r="C1036" s="6" t="str">
        <f t="shared" si="5"/>
        <v>4401 LOCKWOOD DR,Houston,Texas</v>
      </c>
      <c r="D1036" s="6" t="s">
        <v>1810</v>
      </c>
      <c r="E1036" s="6" t="s">
        <v>25</v>
      </c>
      <c r="F1036" s="6" t="s">
        <v>26</v>
      </c>
      <c r="G1036" s="6" t="s">
        <v>43</v>
      </c>
      <c r="H1036" s="6" t="s">
        <v>1724</v>
      </c>
      <c r="I1036" s="6" t="str">
        <f>VLOOKUP(H1036,'Flow Location'!$A$1:$B$21,2,FALSE)</f>
        <v>Storm Sewer (not contained)</v>
      </c>
      <c r="J1036" s="20">
        <v>500.0</v>
      </c>
      <c r="K1036" s="6" t="s">
        <v>29</v>
      </c>
      <c r="L1036" s="6" t="str">
        <f>VLOOKUP(K1036,'Structure type'!$A$1:$B$15,2,FALSE)</f>
        <v>Manhole</v>
      </c>
      <c r="M1036" s="6" t="s">
        <v>1811</v>
      </c>
      <c r="N1036" s="6" t="str">
        <f>VLOOKUP(M1036,'Excursion Cause'!$A$1:$B$34,2,FALSE)</f>
        <v>Grease Blockage</v>
      </c>
      <c r="O1036" s="21">
        <v>44601.0</v>
      </c>
      <c r="P1036" s="6" t="s">
        <v>490</v>
      </c>
      <c r="Q1036" s="21">
        <v>44601.0</v>
      </c>
      <c r="R1036" s="6" t="s">
        <v>670</v>
      </c>
      <c r="S1036" s="20">
        <v>2.0</v>
      </c>
      <c r="T1036" s="6" t="s">
        <v>1812</v>
      </c>
      <c r="U1036" s="6"/>
      <c r="V1036" s="6"/>
      <c r="W1036" s="6">
        <v>29.8007386</v>
      </c>
      <c r="X1036" s="6">
        <v>-95.3173165</v>
      </c>
    </row>
    <row r="1037" ht="15.75" customHeight="1">
      <c r="A1037" s="6">
        <v>13592.0</v>
      </c>
      <c r="B1037" s="6">
        <v>2022.0</v>
      </c>
      <c r="C1037" s="6" t="str">
        <f t="shared" si="5"/>
        <v>1745 CRESTDALE DR,Houston,Texas</v>
      </c>
      <c r="D1037" s="6" t="s">
        <v>1813</v>
      </c>
      <c r="E1037" s="6" t="s">
        <v>25</v>
      </c>
      <c r="F1037" s="6" t="s">
        <v>26</v>
      </c>
      <c r="G1037" s="6" t="s">
        <v>294</v>
      </c>
      <c r="H1037" s="6" t="s">
        <v>50</v>
      </c>
      <c r="I1037" s="6" t="str">
        <f>VLOOKUP(H1037,'Flow Location'!$A$1:$B$21,2,FALSE)</f>
        <v>Contained On Site, not within 5 ft. of Bayou/Surface Water/Drainage Ditch</v>
      </c>
      <c r="J1037" s="20">
        <v>0.0</v>
      </c>
      <c r="K1037" s="6" t="s">
        <v>51</v>
      </c>
      <c r="L1037" s="6" t="str">
        <f>VLOOKUP(K1037,'Structure type'!$A$1:$B$15,2,FALSE)</f>
        <v>Private Cleanout</v>
      </c>
      <c r="M1037" s="6" t="s">
        <v>96</v>
      </c>
      <c r="N1037" s="6" t="str">
        <f>VLOOKUP(M1037,'Excursion Cause'!$A$1:$B$34,2,FALSE)</f>
        <v>Collection system temporary blockage</v>
      </c>
      <c r="O1037" s="21">
        <v>44601.0</v>
      </c>
      <c r="P1037" s="6" t="s">
        <v>304</v>
      </c>
      <c r="Q1037" s="21">
        <v>44601.0</v>
      </c>
      <c r="R1037" s="6" t="s">
        <v>304</v>
      </c>
      <c r="S1037" s="20">
        <v>0.0</v>
      </c>
      <c r="T1037" s="6" t="s">
        <v>107</v>
      </c>
      <c r="U1037" s="6"/>
      <c r="V1037" s="6"/>
      <c r="W1037" s="6">
        <v>29.8057613</v>
      </c>
      <c r="X1037" s="6">
        <v>-95.531145</v>
      </c>
    </row>
    <row r="1038" ht="15.75" customHeight="1">
      <c r="A1038" s="6">
        <v>13599.0</v>
      </c>
      <c r="B1038" s="6">
        <v>2022.0</v>
      </c>
      <c r="C1038" s="6" t="str">
        <f t="shared" si="5"/>
        <v>14902 ASHTEX DR,Houston,Texas</v>
      </c>
      <c r="D1038" s="6" t="s">
        <v>1814</v>
      </c>
      <c r="E1038" s="6" t="s">
        <v>25</v>
      </c>
      <c r="F1038" s="6" t="s">
        <v>26</v>
      </c>
      <c r="G1038" s="6" t="s">
        <v>853</v>
      </c>
      <c r="H1038" s="6" t="s">
        <v>1724</v>
      </c>
      <c r="I1038" s="6" t="str">
        <f>VLOOKUP(H1038,'Flow Location'!$A$1:$B$21,2,FALSE)</f>
        <v>Storm Sewer (not contained)</v>
      </c>
      <c r="J1038" s="20">
        <v>304.0</v>
      </c>
      <c r="K1038" s="6" t="s">
        <v>29</v>
      </c>
      <c r="L1038" s="6" t="str">
        <f>VLOOKUP(K1038,'Structure type'!$A$1:$B$15,2,FALSE)</f>
        <v>Manhole</v>
      </c>
      <c r="M1038" s="6" t="s">
        <v>1815</v>
      </c>
      <c r="N1038" s="6" t="str">
        <f>VLOOKUP(M1038,'Excursion Cause'!$A$1:$B$34,2,FALSE)</f>
        <v>Grease Blockage</v>
      </c>
      <c r="O1038" s="21">
        <v>44602.0</v>
      </c>
      <c r="P1038" s="6" t="s">
        <v>1182</v>
      </c>
      <c r="Q1038" s="21">
        <v>44602.0</v>
      </c>
      <c r="R1038" s="6" t="s">
        <v>537</v>
      </c>
      <c r="S1038" s="20">
        <v>1.0</v>
      </c>
      <c r="T1038" s="6" t="s">
        <v>1816</v>
      </c>
      <c r="U1038" s="6"/>
      <c r="V1038" s="6"/>
      <c r="W1038" s="6">
        <v>29.9374073</v>
      </c>
      <c r="X1038" s="6">
        <v>-95.282546</v>
      </c>
    </row>
    <row r="1039" ht="15.75" customHeight="1">
      <c r="A1039" s="6">
        <v>13606.0</v>
      </c>
      <c r="B1039" s="6">
        <v>2022.0</v>
      </c>
      <c r="C1039" s="6" t="str">
        <f t="shared" si="5"/>
        <v>4135 BRINKLEY ST,Houston,Texas</v>
      </c>
      <c r="D1039" s="6" t="s">
        <v>1817</v>
      </c>
      <c r="E1039" s="6" t="s">
        <v>25</v>
      </c>
      <c r="F1039" s="6" t="s">
        <v>26</v>
      </c>
      <c r="G1039" s="6" t="s">
        <v>105</v>
      </c>
      <c r="H1039" s="6" t="s">
        <v>50</v>
      </c>
      <c r="I1039" s="6" t="str">
        <f>VLOOKUP(H1039,'Flow Location'!$A$1:$B$21,2,FALSE)</f>
        <v>Contained On Site, not within 5 ft. of Bayou/Surface Water/Drainage Ditch</v>
      </c>
      <c r="J1039" s="20">
        <v>0.0</v>
      </c>
      <c r="K1039" s="6" t="s">
        <v>45</v>
      </c>
      <c r="L1039" s="6" t="str">
        <f>VLOOKUP(K1039,'Structure type'!$A$1:$B$15,2,FALSE)</f>
        <v>City Cleanout</v>
      </c>
      <c r="M1039" s="6" t="s">
        <v>30</v>
      </c>
      <c r="N1039" s="6" t="str">
        <f>VLOOKUP(M1039,'Excursion Cause'!$A$1:$B$34,2,FALSE)</f>
        <v>Grease Blockage</v>
      </c>
      <c r="O1039" s="21">
        <v>44602.0</v>
      </c>
      <c r="P1039" s="6" t="s">
        <v>1027</v>
      </c>
      <c r="Q1039" s="21">
        <v>44602.0</v>
      </c>
      <c r="R1039" s="6" t="s">
        <v>1027</v>
      </c>
      <c r="S1039" s="20">
        <v>0.0</v>
      </c>
      <c r="T1039" s="6" t="s">
        <v>170</v>
      </c>
      <c r="U1039" s="6"/>
      <c r="V1039" s="6"/>
      <c r="W1039" s="6">
        <v>29.6631702</v>
      </c>
      <c r="X1039" s="6">
        <v>-95.3666192</v>
      </c>
    </row>
    <row r="1040" ht="15.75" customHeight="1">
      <c r="A1040" s="6">
        <v>13607.0</v>
      </c>
      <c r="B1040" s="6">
        <v>2022.0</v>
      </c>
      <c r="C1040" s="6" t="str">
        <f t="shared" si="5"/>
        <v>3830 DARLINGHURST DR,Houston,Texas</v>
      </c>
      <c r="D1040" s="6" t="s">
        <v>1818</v>
      </c>
      <c r="E1040" s="6" t="s">
        <v>25</v>
      </c>
      <c r="F1040" s="6" t="s">
        <v>26</v>
      </c>
      <c r="G1040" s="6" t="s">
        <v>39</v>
      </c>
      <c r="H1040" s="6" t="s">
        <v>50</v>
      </c>
      <c r="I1040" s="6" t="str">
        <f>VLOOKUP(H1040,'Flow Location'!$A$1:$B$21,2,FALSE)</f>
        <v>Contained On Site, not within 5 ft. of Bayou/Surface Water/Drainage Ditch</v>
      </c>
      <c r="J1040" s="20">
        <v>448.0</v>
      </c>
      <c r="K1040" s="6" t="s">
        <v>29</v>
      </c>
      <c r="L1040" s="6" t="str">
        <f>VLOOKUP(K1040,'Structure type'!$A$1:$B$15,2,FALSE)</f>
        <v>Manhole</v>
      </c>
      <c r="M1040" s="6" t="s">
        <v>30</v>
      </c>
      <c r="N1040" s="6" t="str">
        <f>VLOOKUP(M1040,'Excursion Cause'!$A$1:$B$34,2,FALSE)</f>
        <v>Grease Blockage</v>
      </c>
      <c r="O1040" s="21">
        <v>44602.0</v>
      </c>
      <c r="P1040" s="6" t="s">
        <v>1270</v>
      </c>
      <c r="Q1040" s="21">
        <v>44602.0</v>
      </c>
      <c r="R1040" s="6" t="s">
        <v>1819</v>
      </c>
      <c r="S1040" s="20">
        <v>2.0</v>
      </c>
      <c r="T1040" s="6" t="s">
        <v>33</v>
      </c>
      <c r="U1040" s="6"/>
      <c r="V1040" s="6"/>
      <c r="W1040" s="6">
        <v>29.6242526</v>
      </c>
      <c r="X1040" s="6">
        <v>-95.4351572</v>
      </c>
    </row>
    <row r="1041" ht="15.75" customHeight="1">
      <c r="A1041" s="6">
        <v>13611.0</v>
      </c>
      <c r="B1041" s="6">
        <v>2022.0</v>
      </c>
      <c r="C1041" s="6" t="str">
        <f t="shared" si="5"/>
        <v>12615 GOTHAM DR,Houston,Texas</v>
      </c>
      <c r="D1041" s="6" t="s">
        <v>1820</v>
      </c>
      <c r="E1041" s="6" t="s">
        <v>25</v>
      </c>
      <c r="F1041" s="6" t="s">
        <v>26</v>
      </c>
      <c r="G1041" s="6" t="s">
        <v>477</v>
      </c>
      <c r="H1041" s="6" t="s">
        <v>50</v>
      </c>
      <c r="I1041" s="6" t="str">
        <f>VLOOKUP(H1041,'Flow Location'!$A$1:$B$21,2,FALSE)</f>
        <v>Contained On Site, not within 5 ft. of Bayou/Surface Water/Drainage Ditch</v>
      </c>
      <c r="J1041" s="20">
        <v>0.0</v>
      </c>
      <c r="K1041" s="6" t="s">
        <v>29</v>
      </c>
      <c r="L1041" s="6" t="str">
        <f>VLOOKUP(K1041,'Structure type'!$A$1:$B$15,2,FALSE)</f>
        <v>Manhole</v>
      </c>
      <c r="M1041" s="6" t="s">
        <v>30</v>
      </c>
      <c r="N1041" s="6" t="str">
        <f>VLOOKUP(M1041,'Excursion Cause'!$A$1:$B$34,2,FALSE)</f>
        <v>Grease Blockage</v>
      </c>
      <c r="O1041" s="21">
        <v>44602.0</v>
      </c>
      <c r="P1041" s="6" t="s">
        <v>606</v>
      </c>
      <c r="Q1041" s="21">
        <v>44602.0</v>
      </c>
      <c r="R1041" s="6" t="s">
        <v>606</v>
      </c>
      <c r="S1041" s="20">
        <v>0.0</v>
      </c>
      <c r="T1041" s="6" t="s">
        <v>59</v>
      </c>
      <c r="U1041" s="6"/>
      <c r="V1041" s="6"/>
      <c r="W1041" s="6">
        <v>29.5909242</v>
      </c>
      <c r="X1041" s="6">
        <v>-95.1989433</v>
      </c>
    </row>
    <row r="1042" ht="15.75" customHeight="1">
      <c r="A1042" s="6">
        <v>13612.0</v>
      </c>
      <c r="B1042" s="6">
        <v>2022.0</v>
      </c>
      <c r="C1042" s="6" t="str">
        <f t="shared" si="5"/>
        <v>5909 FONDREN RD,Houston,Texas</v>
      </c>
      <c r="D1042" s="6" t="s">
        <v>1376</v>
      </c>
      <c r="E1042" s="6" t="s">
        <v>25</v>
      </c>
      <c r="F1042" s="6" t="s">
        <v>26</v>
      </c>
      <c r="G1042" s="6" t="s">
        <v>100</v>
      </c>
      <c r="H1042" s="6" t="s">
        <v>50</v>
      </c>
      <c r="I1042" s="6" t="str">
        <f>VLOOKUP(H1042,'Flow Location'!$A$1:$B$21,2,FALSE)</f>
        <v>Contained On Site, not within 5 ft. of Bayou/Surface Water/Drainage Ditch</v>
      </c>
      <c r="J1042" s="20">
        <v>2241.0</v>
      </c>
      <c r="K1042" s="6" t="s">
        <v>29</v>
      </c>
      <c r="L1042" s="6" t="str">
        <f>VLOOKUP(K1042,'Structure type'!$A$1:$B$15,2,FALSE)</f>
        <v>Manhole</v>
      </c>
      <c r="M1042" s="6" t="s">
        <v>30</v>
      </c>
      <c r="N1042" s="6" t="str">
        <f>VLOOKUP(M1042,'Excursion Cause'!$A$1:$B$34,2,FALSE)</f>
        <v>Grease Blockage</v>
      </c>
      <c r="O1042" s="21">
        <v>44602.0</v>
      </c>
      <c r="P1042" s="6" t="s">
        <v>631</v>
      </c>
      <c r="Q1042" s="21">
        <v>44604.0</v>
      </c>
      <c r="R1042" s="6" t="s">
        <v>1821</v>
      </c>
      <c r="S1042" s="20">
        <v>1.0</v>
      </c>
      <c r="T1042" s="6" t="s">
        <v>59</v>
      </c>
      <c r="U1042" s="6"/>
      <c r="V1042" s="6"/>
      <c r="W1042" s="6">
        <v>29.7160916</v>
      </c>
      <c r="X1042" s="6">
        <v>-95.5186229</v>
      </c>
    </row>
    <row r="1043" ht="15.75" customHeight="1">
      <c r="A1043" s="6">
        <v>13617.0</v>
      </c>
      <c r="B1043" s="6">
        <v>2022.0</v>
      </c>
      <c r="C1043" s="6" t="str">
        <f t="shared" si="5"/>
        <v>1115 CLAXTON ST,Houston,Texas</v>
      </c>
      <c r="D1043" s="6" t="s">
        <v>1822</v>
      </c>
      <c r="E1043" s="6" t="s">
        <v>25</v>
      </c>
      <c r="F1043" s="6" t="s">
        <v>26</v>
      </c>
      <c r="G1043" s="6" t="s">
        <v>35</v>
      </c>
      <c r="H1043" s="6" t="s">
        <v>1724</v>
      </c>
      <c r="I1043" s="6" t="str">
        <f>VLOOKUP(H1043,'Flow Location'!$A$1:$B$21,2,FALSE)</f>
        <v>Storm Sewer (not contained)</v>
      </c>
      <c r="J1043" s="20">
        <v>0.0</v>
      </c>
      <c r="K1043" s="6" t="s">
        <v>45</v>
      </c>
      <c r="L1043" s="6" t="str">
        <f>VLOOKUP(K1043,'Structure type'!$A$1:$B$15,2,FALSE)</f>
        <v>City Cleanout</v>
      </c>
      <c r="M1043" s="6" t="s">
        <v>1823</v>
      </c>
      <c r="N1043" s="6" t="str">
        <f>VLOOKUP(M1043,'Excursion Cause'!$A$1:$B$34,2,FALSE)</f>
        <v>Grease Blockage</v>
      </c>
      <c r="O1043" s="21">
        <v>44603.0</v>
      </c>
      <c r="P1043" s="6" t="s">
        <v>1824</v>
      </c>
      <c r="Q1043" s="21">
        <v>44603.0</v>
      </c>
      <c r="R1043" s="6" t="s">
        <v>1824</v>
      </c>
      <c r="S1043" s="20">
        <v>0.0</v>
      </c>
      <c r="T1043" s="6" t="s">
        <v>1825</v>
      </c>
      <c r="U1043" s="6"/>
      <c r="V1043" s="6"/>
      <c r="W1043" s="6">
        <v>29.7144624</v>
      </c>
      <c r="X1043" s="6">
        <v>-95.2907056</v>
      </c>
    </row>
    <row r="1044" ht="15.75" customHeight="1">
      <c r="A1044" s="6">
        <v>13623.0</v>
      </c>
      <c r="B1044" s="6">
        <v>2022.0</v>
      </c>
      <c r="C1044" s="6" t="str">
        <f t="shared" si="5"/>
        <v>9603 HOMESTEAD RD,Houston,Texas</v>
      </c>
      <c r="D1044" s="6" t="s">
        <v>1826</v>
      </c>
      <c r="E1044" s="6" t="s">
        <v>25</v>
      </c>
      <c r="F1044" s="6" t="s">
        <v>26</v>
      </c>
      <c r="G1044" s="6" t="s">
        <v>326</v>
      </c>
      <c r="H1044" s="6" t="s">
        <v>50</v>
      </c>
      <c r="I1044" s="6" t="str">
        <f>VLOOKUP(H1044,'Flow Location'!$A$1:$B$21,2,FALSE)</f>
        <v>Contained On Site, not within 5 ft. of Bayou/Surface Water/Drainage Ditch</v>
      </c>
      <c r="J1044" s="20">
        <v>171.0</v>
      </c>
      <c r="K1044" s="6" t="s">
        <v>29</v>
      </c>
      <c r="L1044" s="6" t="str">
        <f>VLOOKUP(K1044,'Structure type'!$A$1:$B$15,2,FALSE)</f>
        <v>Manhole</v>
      </c>
      <c r="M1044" s="6" t="s">
        <v>30</v>
      </c>
      <c r="N1044" s="6" t="str">
        <f>VLOOKUP(M1044,'Excursion Cause'!$A$1:$B$34,2,FALSE)</f>
        <v>Grease Blockage</v>
      </c>
      <c r="O1044" s="21">
        <v>44603.0</v>
      </c>
      <c r="P1044" s="6" t="s">
        <v>610</v>
      </c>
      <c r="Q1044" s="21">
        <v>44603.0</v>
      </c>
      <c r="R1044" s="6" t="s">
        <v>1827</v>
      </c>
      <c r="S1044" s="20">
        <v>1.0</v>
      </c>
      <c r="T1044" s="6" t="s">
        <v>33</v>
      </c>
      <c r="U1044" s="6"/>
      <c r="V1044" s="6"/>
      <c r="W1044" s="6">
        <v>29.8518542</v>
      </c>
      <c r="X1044" s="6">
        <v>-95.3023481</v>
      </c>
    </row>
    <row r="1045" ht="15.75" customHeight="1">
      <c r="A1045" s="6">
        <v>13625.0</v>
      </c>
      <c r="B1045" s="6">
        <v>2022.0</v>
      </c>
      <c r="C1045" s="6" t="str">
        <f t="shared" si="5"/>
        <v>6370 TEAL RUN DR,Houston,Texas</v>
      </c>
      <c r="D1045" s="6" t="s">
        <v>1828</v>
      </c>
      <c r="E1045" s="6" t="s">
        <v>25</v>
      </c>
      <c r="F1045" s="6" t="s">
        <v>26</v>
      </c>
      <c r="G1045" s="6" t="s">
        <v>127</v>
      </c>
      <c r="H1045" s="6" t="s">
        <v>50</v>
      </c>
      <c r="I1045" s="6" t="str">
        <f>VLOOKUP(H1045,'Flow Location'!$A$1:$B$21,2,FALSE)</f>
        <v>Contained On Site, not within 5 ft. of Bayou/Surface Water/Drainage Ditch</v>
      </c>
      <c r="J1045" s="20">
        <v>48.0</v>
      </c>
      <c r="K1045" s="6" t="s">
        <v>29</v>
      </c>
      <c r="L1045" s="6" t="str">
        <f>VLOOKUP(K1045,'Structure type'!$A$1:$B$15,2,FALSE)</f>
        <v>Manhole</v>
      </c>
      <c r="M1045" s="6" t="s">
        <v>30</v>
      </c>
      <c r="N1045" s="6" t="str">
        <f>VLOOKUP(M1045,'Excursion Cause'!$A$1:$B$34,2,FALSE)</f>
        <v>Grease Blockage</v>
      </c>
      <c r="O1045" s="21">
        <v>44603.0</v>
      </c>
      <c r="P1045" s="6" t="s">
        <v>1829</v>
      </c>
      <c r="Q1045" s="21">
        <v>44603.0</v>
      </c>
      <c r="R1045" s="6" t="s">
        <v>235</v>
      </c>
      <c r="S1045" s="20">
        <v>0.0</v>
      </c>
      <c r="T1045" s="6" t="s">
        <v>33</v>
      </c>
      <c r="U1045" s="6"/>
      <c r="V1045" s="6"/>
      <c r="W1045" s="6">
        <v>29.6535116</v>
      </c>
      <c r="X1045" s="6">
        <v>-95.5030591</v>
      </c>
    </row>
    <row r="1046" ht="15.75" customHeight="1">
      <c r="A1046" s="6">
        <v>13626.0</v>
      </c>
      <c r="B1046" s="6">
        <v>2022.0</v>
      </c>
      <c r="C1046" s="6" t="str">
        <f t="shared" si="5"/>
        <v>3619 S SHEPHERD DR,Houston,Texas</v>
      </c>
      <c r="D1046" s="6" t="s">
        <v>1830</v>
      </c>
      <c r="E1046" s="6" t="s">
        <v>25</v>
      </c>
      <c r="F1046" s="6" t="s">
        <v>26</v>
      </c>
      <c r="G1046" s="6" t="s">
        <v>112</v>
      </c>
      <c r="H1046" s="6" t="s">
        <v>28</v>
      </c>
      <c r="I1046" s="6" t="str">
        <f>VLOOKUP(H1046,'Flow Location'!$A$1:$B$21,2,FALSE)</f>
        <v>Storm Sewer (not contained)</v>
      </c>
      <c r="J1046" s="20">
        <v>287.0</v>
      </c>
      <c r="K1046" s="6" t="s">
        <v>29</v>
      </c>
      <c r="L1046" s="6" t="str">
        <f>VLOOKUP(K1046,'Structure type'!$A$1:$B$15,2,FALSE)</f>
        <v>Manhole</v>
      </c>
      <c r="M1046" s="6" t="s">
        <v>1831</v>
      </c>
      <c r="N1046" s="6" t="str">
        <f>VLOOKUP(M1046,'Excursion Cause'!$A$1:$B$34,2,FALSE)</f>
        <v>Collection system temporary blockage</v>
      </c>
      <c r="O1046" s="21">
        <v>44603.0</v>
      </c>
      <c r="P1046" s="6" t="s">
        <v>375</v>
      </c>
      <c r="Q1046" s="21">
        <v>44603.0</v>
      </c>
      <c r="R1046" s="6" t="s">
        <v>1832</v>
      </c>
      <c r="S1046" s="20">
        <v>1.0</v>
      </c>
      <c r="T1046" s="6" t="s">
        <v>33</v>
      </c>
      <c r="U1046" s="6"/>
      <c r="V1046" s="6"/>
      <c r="W1046" s="6">
        <v>29.7335723</v>
      </c>
      <c r="X1046" s="6">
        <v>-95.4102832</v>
      </c>
    </row>
    <row r="1047" ht="15.75" customHeight="1">
      <c r="A1047" s="6">
        <v>13628.0</v>
      </c>
      <c r="B1047" s="6">
        <v>2022.0</v>
      </c>
      <c r="C1047" s="6" t="str">
        <f t="shared" si="5"/>
        <v>180 SORTERS MCCLELLAN RD,Houston,Texas</v>
      </c>
      <c r="D1047" s="6" t="s">
        <v>1833</v>
      </c>
      <c r="E1047" s="6" t="s">
        <v>25</v>
      </c>
      <c r="F1047" s="6" t="s">
        <v>26</v>
      </c>
      <c r="G1047" s="6" t="s">
        <v>1078</v>
      </c>
      <c r="H1047" s="6" t="s">
        <v>50</v>
      </c>
      <c r="I1047" s="6" t="str">
        <f>VLOOKUP(H1047,'Flow Location'!$A$1:$B$21,2,FALSE)</f>
        <v>Contained On Site, not within 5 ft. of Bayou/Surface Water/Drainage Ditch</v>
      </c>
      <c r="J1047" s="20">
        <v>0.0</v>
      </c>
      <c r="K1047" s="6" t="s">
        <v>190</v>
      </c>
      <c r="L1047" s="6" t="str">
        <f>VLOOKUP(K1047,'Structure type'!$A$1:$B$15,2,FALSE)</f>
        <v>Force Main</v>
      </c>
      <c r="M1047" s="6" t="s">
        <v>620</v>
      </c>
      <c r="N1047" s="6" t="str">
        <f>VLOOKUP(M1047,'Excursion Cause'!$A$1:$B$34,2,FALSE)</f>
        <v>Air Relief Valve (ARV) Failure</v>
      </c>
      <c r="O1047" s="21">
        <v>44603.0</v>
      </c>
      <c r="P1047" s="6" t="s">
        <v>159</v>
      </c>
      <c r="Q1047" s="21">
        <v>44603.0</v>
      </c>
      <c r="R1047" s="6" t="s">
        <v>159</v>
      </c>
      <c r="S1047" s="20">
        <v>0.0</v>
      </c>
      <c r="T1047" s="6" t="s">
        <v>193</v>
      </c>
      <c r="U1047" s="6"/>
      <c r="V1047" s="6"/>
      <c r="W1047" s="6">
        <v>30.0412819</v>
      </c>
      <c r="X1047" s="6">
        <v>-95.259781</v>
      </c>
    </row>
    <row r="1048" ht="15.75" customHeight="1">
      <c r="A1048" s="6">
        <v>13631.0</v>
      </c>
      <c r="B1048" s="6">
        <v>2022.0</v>
      </c>
      <c r="C1048" s="6" t="str">
        <f t="shared" si="5"/>
        <v>4401 LOCKWOOD DR,Houston,Texas</v>
      </c>
      <c r="D1048" s="6" t="s">
        <v>1810</v>
      </c>
      <c r="E1048" s="6" t="s">
        <v>25</v>
      </c>
      <c r="F1048" s="6" t="s">
        <v>26</v>
      </c>
      <c r="G1048" s="6" t="s">
        <v>43</v>
      </c>
      <c r="H1048" s="6" t="s">
        <v>1724</v>
      </c>
      <c r="I1048" s="6" t="str">
        <f>VLOOKUP(H1048,'Flow Location'!$A$1:$B$21,2,FALSE)</f>
        <v>Storm Sewer (not contained)</v>
      </c>
      <c r="J1048" s="20">
        <v>180.0</v>
      </c>
      <c r="K1048" s="6" t="s">
        <v>29</v>
      </c>
      <c r="L1048" s="6" t="str">
        <f>VLOOKUP(K1048,'Structure type'!$A$1:$B$15,2,FALSE)</f>
        <v>Manhole</v>
      </c>
      <c r="M1048" s="6" t="s">
        <v>1834</v>
      </c>
      <c r="N1048" s="6" t="str">
        <f>VLOOKUP(M1048,'Excursion Cause'!$A$1:$B$34,2,FALSE)</f>
        <v>Grease Blockage</v>
      </c>
      <c r="O1048" s="21">
        <v>44603.0</v>
      </c>
      <c r="P1048" s="6" t="s">
        <v>192</v>
      </c>
      <c r="Q1048" s="21">
        <v>44603.0</v>
      </c>
      <c r="R1048" s="6" t="s">
        <v>537</v>
      </c>
      <c r="S1048" s="20">
        <v>2.0</v>
      </c>
      <c r="T1048" s="6" t="s">
        <v>1835</v>
      </c>
      <c r="U1048" s="6"/>
      <c r="V1048" s="6"/>
      <c r="W1048" s="6">
        <v>29.8007386</v>
      </c>
      <c r="X1048" s="6">
        <v>-95.3173165</v>
      </c>
    </row>
    <row r="1049" ht="15.75" customHeight="1">
      <c r="A1049" s="6">
        <v>13634.0</v>
      </c>
      <c r="B1049" s="6">
        <v>2022.0</v>
      </c>
      <c r="C1049" s="6" t="str">
        <f t="shared" si="5"/>
        <v>5407 GULFTON ST,Houston,Texas</v>
      </c>
      <c r="D1049" s="6" t="s">
        <v>1836</v>
      </c>
      <c r="E1049" s="6" t="s">
        <v>25</v>
      </c>
      <c r="F1049" s="6" t="s">
        <v>26</v>
      </c>
      <c r="G1049" s="6" t="s">
        <v>287</v>
      </c>
      <c r="H1049" s="6" t="s">
        <v>50</v>
      </c>
      <c r="I1049" s="6" t="str">
        <f>VLOOKUP(H1049,'Flow Location'!$A$1:$B$21,2,FALSE)</f>
        <v>Contained On Site, not within 5 ft. of Bayou/Surface Water/Drainage Ditch</v>
      </c>
      <c r="J1049" s="20">
        <v>2661.0</v>
      </c>
      <c r="K1049" s="6" t="s">
        <v>45</v>
      </c>
      <c r="L1049" s="6" t="str">
        <f>VLOOKUP(K1049,'Structure type'!$A$1:$B$15,2,FALSE)</f>
        <v>City Cleanout</v>
      </c>
      <c r="M1049" s="6" t="s">
        <v>56</v>
      </c>
      <c r="N1049" s="6" t="str">
        <f>VLOOKUP(M1049,'Excursion Cause'!$A$1:$B$34,2,FALSE)</f>
        <v>Rags/Wipes</v>
      </c>
      <c r="O1049" s="21">
        <v>44603.0</v>
      </c>
      <c r="P1049" s="6" t="s">
        <v>950</v>
      </c>
      <c r="Q1049" s="21">
        <v>44605.0</v>
      </c>
      <c r="R1049" s="6" t="s">
        <v>164</v>
      </c>
      <c r="S1049" s="20">
        <v>1.0</v>
      </c>
      <c r="T1049" s="6" t="s">
        <v>74</v>
      </c>
      <c r="U1049" s="6"/>
      <c r="V1049" s="6"/>
      <c r="W1049" s="6">
        <v>29.7161319</v>
      </c>
      <c r="X1049" s="6">
        <v>-95.4746273</v>
      </c>
    </row>
    <row r="1050" ht="15.75" customHeight="1">
      <c r="A1050" s="6">
        <v>13636.0</v>
      </c>
      <c r="B1050" s="6">
        <v>2022.0</v>
      </c>
      <c r="C1050" s="6" t="str">
        <f t="shared" si="5"/>
        <v>6207 W RIDGECREEK DR,Houston,Texas</v>
      </c>
      <c r="D1050" s="6" t="s">
        <v>1837</v>
      </c>
      <c r="E1050" s="6" t="s">
        <v>25</v>
      </c>
      <c r="F1050" s="6" t="s">
        <v>26</v>
      </c>
      <c r="G1050" s="6" t="s">
        <v>517</v>
      </c>
      <c r="H1050" s="6" t="s">
        <v>50</v>
      </c>
      <c r="I1050" s="6" t="str">
        <f>VLOOKUP(H1050,'Flow Location'!$A$1:$B$21,2,FALSE)</f>
        <v>Contained On Site, not within 5 ft. of Bayou/Surface Water/Drainage Ditch</v>
      </c>
      <c r="J1050" s="20">
        <v>0.0</v>
      </c>
      <c r="K1050" s="6" t="s">
        <v>29</v>
      </c>
      <c r="L1050" s="6" t="str">
        <f>VLOOKUP(K1050,'Structure type'!$A$1:$B$15,2,FALSE)</f>
        <v>Manhole</v>
      </c>
      <c r="M1050" s="6" t="s">
        <v>30</v>
      </c>
      <c r="N1050" s="6" t="str">
        <f>VLOOKUP(M1050,'Excursion Cause'!$A$1:$B$34,2,FALSE)</f>
        <v>Grease Blockage</v>
      </c>
      <c r="O1050" s="21">
        <v>44603.0</v>
      </c>
      <c r="P1050" s="6" t="s">
        <v>960</v>
      </c>
      <c r="Q1050" s="21">
        <v>44603.0</v>
      </c>
      <c r="R1050" s="6" t="s">
        <v>960</v>
      </c>
      <c r="S1050" s="20">
        <v>0.0</v>
      </c>
      <c r="T1050" s="6" t="s">
        <v>59</v>
      </c>
      <c r="U1050" s="6"/>
      <c r="V1050" s="6"/>
      <c r="W1050" s="6">
        <v>29.5972512</v>
      </c>
      <c r="X1050" s="6">
        <v>-95.4776377</v>
      </c>
    </row>
    <row r="1051" ht="15.75" customHeight="1">
      <c r="A1051" s="6">
        <v>13638.0</v>
      </c>
      <c r="B1051" s="6">
        <v>2022.0</v>
      </c>
      <c r="C1051" s="6" t="str">
        <f t="shared" si="5"/>
        <v>2549 MUNGER ST,Houston,Texas</v>
      </c>
      <c r="D1051" s="6" t="s">
        <v>1838</v>
      </c>
      <c r="E1051" s="6" t="s">
        <v>25</v>
      </c>
      <c r="F1051" s="6" t="s">
        <v>26</v>
      </c>
      <c r="G1051" s="6" t="s">
        <v>141</v>
      </c>
      <c r="H1051" s="6" t="s">
        <v>1724</v>
      </c>
      <c r="I1051" s="6" t="str">
        <f>VLOOKUP(H1051,'Flow Location'!$A$1:$B$21,2,FALSE)</f>
        <v>Storm Sewer (not contained)</v>
      </c>
      <c r="J1051" s="20">
        <v>0.0</v>
      </c>
      <c r="K1051" s="6" t="s">
        <v>29</v>
      </c>
      <c r="L1051" s="6" t="str">
        <f>VLOOKUP(K1051,'Structure type'!$A$1:$B$15,2,FALSE)</f>
        <v>Manhole</v>
      </c>
      <c r="M1051" s="6" t="s">
        <v>1839</v>
      </c>
      <c r="N1051" s="6" t="str">
        <f>VLOOKUP(M1051,'Excursion Cause'!$A$1:$B$34,2,FALSE)</f>
        <v>Grease Blockage</v>
      </c>
      <c r="O1051" s="21">
        <v>44603.0</v>
      </c>
      <c r="P1051" s="6" t="s">
        <v>73</v>
      </c>
      <c r="Q1051" s="21">
        <v>44603.0</v>
      </c>
      <c r="R1051" s="6" t="s">
        <v>73</v>
      </c>
      <c r="S1051" s="20">
        <v>0.0</v>
      </c>
      <c r="T1051" s="6" t="s">
        <v>1840</v>
      </c>
      <c r="U1051" s="6"/>
      <c r="V1051" s="6"/>
      <c r="W1051" s="6">
        <v>29.7136316</v>
      </c>
      <c r="X1051" s="6">
        <v>-95.3259971</v>
      </c>
    </row>
    <row r="1052" ht="15.75" customHeight="1">
      <c r="A1052" s="6">
        <v>13650.0</v>
      </c>
      <c r="B1052" s="6">
        <v>2022.0</v>
      </c>
      <c r="C1052" s="6" t="str">
        <f t="shared" si="5"/>
        <v>314 CANINO RD,Houston,Texas</v>
      </c>
      <c r="D1052" s="6" t="s">
        <v>1841</v>
      </c>
      <c r="E1052" s="6" t="s">
        <v>25</v>
      </c>
      <c r="F1052" s="6" t="s">
        <v>26</v>
      </c>
      <c r="G1052" s="6" t="s">
        <v>275</v>
      </c>
      <c r="H1052" s="6" t="s">
        <v>50</v>
      </c>
      <c r="I1052" s="6" t="str">
        <f>VLOOKUP(H1052,'Flow Location'!$A$1:$B$21,2,FALSE)</f>
        <v>Contained On Site, not within 5 ft. of Bayou/Surface Water/Drainage Ditch</v>
      </c>
      <c r="J1052" s="20">
        <v>0.0</v>
      </c>
      <c r="K1052" s="6" t="s">
        <v>29</v>
      </c>
      <c r="L1052" s="6" t="str">
        <f>VLOOKUP(K1052,'Structure type'!$A$1:$B$15,2,FALSE)</f>
        <v>Manhole</v>
      </c>
      <c r="M1052" s="6" t="s">
        <v>56</v>
      </c>
      <c r="N1052" s="6" t="str">
        <f>VLOOKUP(M1052,'Excursion Cause'!$A$1:$B$34,2,FALSE)</f>
        <v>Rags/Wipes</v>
      </c>
      <c r="O1052" s="21">
        <v>44605.0</v>
      </c>
      <c r="P1052" s="6" t="s">
        <v>1131</v>
      </c>
      <c r="Q1052" s="21">
        <v>44605.0</v>
      </c>
      <c r="R1052" s="6" t="s">
        <v>1131</v>
      </c>
      <c r="S1052" s="20">
        <v>0.0</v>
      </c>
      <c r="T1052" s="6" t="s">
        <v>59</v>
      </c>
      <c r="U1052" s="6"/>
      <c r="V1052" s="6"/>
      <c r="W1052" s="6">
        <v>29.875384</v>
      </c>
      <c r="X1052" s="6">
        <v>-95.380398</v>
      </c>
    </row>
    <row r="1053" ht="15.75" customHeight="1">
      <c r="A1053" s="6">
        <v>13651.0</v>
      </c>
      <c r="B1053" s="6">
        <v>2022.0</v>
      </c>
      <c r="C1053" s="6" t="str">
        <f t="shared" si="5"/>
        <v>8271 GRAFTON ST,Houston,Texas</v>
      </c>
      <c r="D1053" s="6" t="s">
        <v>1842</v>
      </c>
      <c r="E1053" s="6" t="s">
        <v>25</v>
      </c>
      <c r="F1053" s="6" t="s">
        <v>26</v>
      </c>
      <c r="G1053" s="6" t="s">
        <v>135</v>
      </c>
      <c r="H1053" s="6" t="s">
        <v>50</v>
      </c>
      <c r="I1053" s="6" t="str">
        <f>VLOOKUP(H1053,'Flow Location'!$A$1:$B$21,2,FALSE)</f>
        <v>Contained On Site, not within 5 ft. of Bayou/Surface Water/Drainage Ditch</v>
      </c>
      <c r="J1053" s="20">
        <v>0.0</v>
      </c>
      <c r="K1053" s="6" t="s">
        <v>45</v>
      </c>
      <c r="L1053" s="6" t="str">
        <f>VLOOKUP(K1053,'Structure type'!$A$1:$B$15,2,FALSE)</f>
        <v>City Cleanout</v>
      </c>
      <c r="M1053" s="6" t="s">
        <v>81</v>
      </c>
      <c r="N1053" s="6" t="str">
        <f>VLOOKUP(M1053,'Excursion Cause'!$A$1:$B$34,2,FALSE)</f>
        <v>Collection system structural failure</v>
      </c>
      <c r="O1053" s="21">
        <v>44605.0</v>
      </c>
      <c r="P1053" s="6" t="s">
        <v>666</v>
      </c>
      <c r="Q1053" s="21">
        <v>44605.0</v>
      </c>
      <c r="R1053" s="6" t="s">
        <v>666</v>
      </c>
      <c r="S1053" s="20">
        <v>0.0</v>
      </c>
      <c r="T1053" s="6" t="s">
        <v>89</v>
      </c>
      <c r="U1053" s="6"/>
      <c r="V1053" s="6"/>
      <c r="W1053" s="6">
        <v>29.6921033</v>
      </c>
      <c r="X1053" s="6">
        <v>-95.2718516</v>
      </c>
    </row>
    <row r="1054" ht="15.75" customHeight="1">
      <c r="A1054" s="6">
        <v>13655.0</v>
      </c>
      <c r="B1054" s="6">
        <v>2022.0</v>
      </c>
      <c r="C1054" s="6" t="str">
        <f t="shared" si="5"/>
        <v>3733 ELLA LEE LN,Houston,Texas</v>
      </c>
      <c r="D1054" s="6" t="s">
        <v>1843</v>
      </c>
      <c r="E1054" s="6" t="s">
        <v>25</v>
      </c>
      <c r="F1054" s="6" t="s">
        <v>26</v>
      </c>
      <c r="G1054" s="6" t="s">
        <v>1621</v>
      </c>
      <c r="H1054" s="6" t="s">
        <v>50</v>
      </c>
      <c r="I1054" s="6" t="str">
        <f>VLOOKUP(H1054,'Flow Location'!$A$1:$B$21,2,FALSE)</f>
        <v>Contained On Site, not within 5 ft. of Bayou/Surface Water/Drainage Ditch</v>
      </c>
      <c r="J1054" s="20">
        <v>0.0</v>
      </c>
      <c r="K1054" s="6" t="s">
        <v>29</v>
      </c>
      <c r="L1054" s="6" t="str">
        <f>VLOOKUP(K1054,'Structure type'!$A$1:$B$15,2,FALSE)</f>
        <v>Manhole</v>
      </c>
      <c r="M1054" s="6" t="s">
        <v>30</v>
      </c>
      <c r="N1054" s="6" t="str">
        <f>VLOOKUP(M1054,'Excursion Cause'!$A$1:$B$34,2,FALSE)</f>
        <v>Grease Blockage</v>
      </c>
      <c r="O1054" s="21">
        <v>44605.0</v>
      </c>
      <c r="P1054" s="6" t="s">
        <v>70</v>
      </c>
      <c r="Q1054" s="21">
        <v>44605.0</v>
      </c>
      <c r="R1054" s="6" t="s">
        <v>70</v>
      </c>
      <c r="S1054" s="20">
        <v>0.0</v>
      </c>
      <c r="T1054" s="6" t="s">
        <v>59</v>
      </c>
      <c r="U1054" s="6"/>
      <c r="V1054" s="6"/>
      <c r="W1054" s="6">
        <v>29.7445059</v>
      </c>
      <c r="X1054" s="6">
        <v>-95.4389611</v>
      </c>
    </row>
    <row r="1055" ht="15.75" customHeight="1">
      <c r="A1055" s="6">
        <v>13660.0</v>
      </c>
      <c r="B1055" s="6">
        <v>2022.0</v>
      </c>
      <c r="C1055" s="6" t="str">
        <f t="shared" si="5"/>
        <v>1919 CAMPBELL RD,Houston,Texas</v>
      </c>
      <c r="D1055" s="6" t="s">
        <v>1844</v>
      </c>
      <c r="E1055" s="6" t="s">
        <v>25</v>
      </c>
      <c r="F1055" s="6" t="s">
        <v>26</v>
      </c>
      <c r="G1055" s="6" t="s">
        <v>294</v>
      </c>
      <c r="H1055" s="6" t="s">
        <v>1724</v>
      </c>
      <c r="I1055" s="6" t="str">
        <f>VLOOKUP(H1055,'Flow Location'!$A$1:$B$21,2,FALSE)</f>
        <v>Storm Sewer (not contained)</v>
      </c>
      <c r="J1055" s="20">
        <v>269.0</v>
      </c>
      <c r="K1055" s="6" t="s">
        <v>29</v>
      </c>
      <c r="L1055" s="6" t="str">
        <f>VLOOKUP(K1055,'Structure type'!$A$1:$B$15,2,FALSE)</f>
        <v>Manhole</v>
      </c>
      <c r="M1055" s="6" t="s">
        <v>1845</v>
      </c>
      <c r="N1055" s="6" t="str">
        <f>VLOOKUP(M1055,'Excursion Cause'!$A$1:$B$34,2,FALSE)</f>
        <v>Grease Blockage</v>
      </c>
      <c r="O1055" s="21">
        <v>44606.0</v>
      </c>
      <c r="P1055" s="6" t="s">
        <v>1759</v>
      </c>
      <c r="Q1055" s="21">
        <v>44606.0</v>
      </c>
      <c r="R1055" s="6" t="s">
        <v>1173</v>
      </c>
      <c r="S1055" s="20">
        <v>1.0</v>
      </c>
      <c r="T1055" s="6" t="s">
        <v>1846</v>
      </c>
      <c r="U1055" s="6"/>
      <c r="V1055" s="6"/>
      <c r="W1055" s="6">
        <v>29.8070115</v>
      </c>
      <c r="X1055" s="6">
        <v>-95.5252826</v>
      </c>
    </row>
    <row r="1056" ht="15.75" customHeight="1">
      <c r="A1056" s="6">
        <v>13661.0</v>
      </c>
      <c r="B1056" s="6">
        <v>2022.0</v>
      </c>
      <c r="C1056" s="6" t="str">
        <f t="shared" si="5"/>
        <v>4819 MANDELL ST,Houston,Texas</v>
      </c>
      <c r="D1056" s="6" t="s">
        <v>1847</v>
      </c>
      <c r="E1056" s="6" t="s">
        <v>25</v>
      </c>
      <c r="F1056" s="6" t="s">
        <v>26</v>
      </c>
      <c r="G1056" s="6" t="s">
        <v>761</v>
      </c>
      <c r="H1056" s="6" t="s">
        <v>1724</v>
      </c>
      <c r="I1056" s="6" t="str">
        <f>VLOOKUP(H1056,'Flow Location'!$A$1:$B$21,2,FALSE)</f>
        <v>Storm Sewer (not contained)</v>
      </c>
      <c r="J1056" s="20">
        <v>0.0</v>
      </c>
      <c r="K1056" s="6" t="s">
        <v>45</v>
      </c>
      <c r="L1056" s="6" t="str">
        <f>VLOOKUP(K1056,'Structure type'!$A$1:$B$15,2,FALSE)</f>
        <v>City Cleanout</v>
      </c>
      <c r="M1056" s="6" t="s">
        <v>56</v>
      </c>
      <c r="N1056" s="6" t="str">
        <f>VLOOKUP(M1056,'Excursion Cause'!$A$1:$B$34,2,FALSE)</f>
        <v>Rags/Wipes</v>
      </c>
      <c r="O1056" s="21">
        <v>44606.0</v>
      </c>
      <c r="P1056" s="6" t="s">
        <v>1176</v>
      </c>
      <c r="Q1056" s="21">
        <v>44606.0</v>
      </c>
      <c r="R1056" s="6" t="s">
        <v>1176</v>
      </c>
      <c r="S1056" s="20">
        <v>0.0</v>
      </c>
      <c r="T1056" s="6" t="s">
        <v>1848</v>
      </c>
      <c r="U1056" s="6"/>
      <c r="V1056" s="6"/>
      <c r="W1056" s="6">
        <v>29.7298663</v>
      </c>
      <c r="X1056" s="6">
        <v>-95.3992508</v>
      </c>
    </row>
    <row r="1057" ht="15.75" customHeight="1">
      <c r="A1057" s="6">
        <v>13666.0</v>
      </c>
      <c r="B1057" s="6">
        <v>2022.0</v>
      </c>
      <c r="C1057" s="6" t="str">
        <f t="shared" si="5"/>
        <v>4102 CURTIS ST,Houston,Texas</v>
      </c>
      <c r="D1057" s="6" t="s">
        <v>1849</v>
      </c>
      <c r="E1057" s="6" t="s">
        <v>25</v>
      </c>
      <c r="F1057" s="6" t="s">
        <v>26</v>
      </c>
      <c r="G1057" s="6" t="s">
        <v>86</v>
      </c>
      <c r="H1057" s="6" t="s">
        <v>50</v>
      </c>
      <c r="I1057" s="6" t="str">
        <f>VLOOKUP(H1057,'Flow Location'!$A$1:$B$21,2,FALSE)</f>
        <v>Contained On Site, not within 5 ft. of Bayou/Surface Water/Drainage Ditch</v>
      </c>
      <c r="J1057" s="20">
        <v>0.0</v>
      </c>
      <c r="K1057" s="6" t="s">
        <v>29</v>
      </c>
      <c r="L1057" s="6" t="str">
        <f>VLOOKUP(K1057,'Structure type'!$A$1:$B$15,2,FALSE)</f>
        <v>Manhole</v>
      </c>
      <c r="M1057" s="6" t="s">
        <v>30</v>
      </c>
      <c r="N1057" s="6" t="str">
        <f>VLOOKUP(M1057,'Excursion Cause'!$A$1:$B$34,2,FALSE)</f>
        <v>Grease Blockage</v>
      </c>
      <c r="O1057" s="21">
        <v>44606.0</v>
      </c>
      <c r="P1057" s="6" t="s">
        <v>819</v>
      </c>
      <c r="Q1057" s="21">
        <v>44606.0</v>
      </c>
      <c r="R1057" s="6" t="s">
        <v>819</v>
      </c>
      <c r="S1057" s="20">
        <v>0.0</v>
      </c>
      <c r="T1057" s="6" t="s">
        <v>59</v>
      </c>
      <c r="U1057" s="6"/>
      <c r="V1057" s="6"/>
      <c r="W1057" s="6">
        <v>29.7745226</v>
      </c>
      <c r="X1057" s="6">
        <v>-95.329368</v>
      </c>
    </row>
    <row r="1058" ht="15.75" customHeight="1">
      <c r="A1058" s="6">
        <v>13667.0</v>
      </c>
      <c r="B1058" s="6">
        <v>2022.0</v>
      </c>
      <c r="C1058" s="6" t="str">
        <f t="shared" si="5"/>
        <v>5033 PAULA ST,Houston,Texas</v>
      </c>
      <c r="D1058" s="6" t="s">
        <v>1850</v>
      </c>
      <c r="E1058" s="6" t="s">
        <v>25</v>
      </c>
      <c r="F1058" s="6" t="s">
        <v>26</v>
      </c>
      <c r="G1058" s="6" t="s">
        <v>120</v>
      </c>
      <c r="H1058" s="6" t="s">
        <v>50</v>
      </c>
      <c r="I1058" s="6" t="str">
        <f>VLOOKUP(H1058,'Flow Location'!$A$1:$B$21,2,FALSE)</f>
        <v>Contained On Site, not within 5 ft. of Bayou/Surface Water/Drainage Ditch</v>
      </c>
      <c r="J1058" s="20">
        <v>0.0</v>
      </c>
      <c r="K1058" s="6" t="s">
        <v>29</v>
      </c>
      <c r="L1058" s="6" t="str">
        <f>VLOOKUP(K1058,'Structure type'!$A$1:$B$15,2,FALSE)</f>
        <v>Manhole</v>
      </c>
      <c r="M1058" s="6" t="s">
        <v>30</v>
      </c>
      <c r="N1058" s="6" t="str">
        <f>VLOOKUP(M1058,'Excursion Cause'!$A$1:$B$34,2,FALSE)</f>
        <v>Grease Blockage</v>
      </c>
      <c r="O1058" s="21">
        <v>44606.0</v>
      </c>
      <c r="P1058" s="6" t="s">
        <v>736</v>
      </c>
      <c r="Q1058" s="21">
        <v>44606.0</v>
      </c>
      <c r="R1058" s="6" t="s">
        <v>736</v>
      </c>
      <c r="S1058" s="20">
        <v>0.0</v>
      </c>
      <c r="T1058" s="6" t="s">
        <v>59</v>
      </c>
      <c r="U1058" s="6"/>
      <c r="V1058" s="6"/>
      <c r="W1058" s="6">
        <v>29.6549139</v>
      </c>
      <c r="X1058" s="6">
        <v>-95.3468576</v>
      </c>
    </row>
    <row r="1059" ht="15.75" customHeight="1">
      <c r="A1059" s="6">
        <v>13674.0</v>
      </c>
      <c r="B1059" s="6">
        <v>2022.0</v>
      </c>
      <c r="C1059" s="6" t="str">
        <f t="shared" si="5"/>
        <v>230 VICTORIA DR,Houston,Texas</v>
      </c>
      <c r="D1059" s="6" t="s">
        <v>1851</v>
      </c>
      <c r="E1059" s="6" t="s">
        <v>25</v>
      </c>
      <c r="F1059" s="6" t="s">
        <v>26</v>
      </c>
      <c r="G1059" s="6" t="s">
        <v>653</v>
      </c>
      <c r="H1059" s="6" t="s">
        <v>1724</v>
      </c>
      <c r="I1059" s="6" t="str">
        <f>VLOOKUP(H1059,'Flow Location'!$A$1:$B$21,2,FALSE)</f>
        <v>Storm Sewer (not contained)</v>
      </c>
      <c r="J1059" s="20">
        <v>2388.0</v>
      </c>
      <c r="K1059" s="6" t="s">
        <v>29</v>
      </c>
      <c r="L1059" s="6" t="str">
        <f>VLOOKUP(K1059,'Structure type'!$A$1:$B$15,2,FALSE)</f>
        <v>Manhole</v>
      </c>
      <c r="M1059" s="6" t="s">
        <v>1852</v>
      </c>
      <c r="N1059" s="6" t="str">
        <f>VLOOKUP(M1059,'Excursion Cause'!$A$1:$B$34,2,FALSE)</f>
        <v>Grease Blockage</v>
      </c>
      <c r="O1059" s="21">
        <v>44606.0</v>
      </c>
      <c r="P1059" s="6" t="s">
        <v>162</v>
      </c>
      <c r="Q1059" s="21">
        <v>44607.0</v>
      </c>
      <c r="R1059" s="6" t="s">
        <v>169</v>
      </c>
      <c r="S1059" s="20">
        <v>2.0</v>
      </c>
      <c r="T1059" s="6" t="s">
        <v>1853</v>
      </c>
      <c r="U1059" s="6"/>
      <c r="V1059" s="6"/>
      <c r="W1059" s="6">
        <v>29.8353789</v>
      </c>
      <c r="X1059" s="6">
        <v>-95.3988021</v>
      </c>
    </row>
    <row r="1060" ht="15.75" customHeight="1">
      <c r="A1060" s="6">
        <v>13686.0</v>
      </c>
      <c r="B1060" s="6">
        <v>2022.0</v>
      </c>
      <c r="C1060" s="6" t="str">
        <f t="shared" si="5"/>
        <v>9603 HOMESTEAD RD,Houston,Texas</v>
      </c>
      <c r="D1060" s="6" t="s">
        <v>1826</v>
      </c>
      <c r="E1060" s="6" t="s">
        <v>25</v>
      </c>
      <c r="F1060" s="6" t="s">
        <v>26</v>
      </c>
      <c r="G1060" s="6" t="s">
        <v>326</v>
      </c>
      <c r="H1060" s="6" t="s">
        <v>1724</v>
      </c>
      <c r="I1060" s="6" t="str">
        <f>VLOOKUP(H1060,'Flow Location'!$A$1:$B$21,2,FALSE)</f>
        <v>Storm Sewer (not contained)</v>
      </c>
      <c r="J1060" s="20">
        <v>1687.0</v>
      </c>
      <c r="K1060" s="6" t="s">
        <v>29</v>
      </c>
      <c r="L1060" s="6" t="str">
        <f>VLOOKUP(K1060,'Structure type'!$A$1:$B$15,2,FALSE)</f>
        <v>Manhole</v>
      </c>
      <c r="M1060" s="6" t="s">
        <v>1854</v>
      </c>
      <c r="N1060" s="6" t="str">
        <f>VLOOKUP(M1060,'Excursion Cause'!$A$1:$B$34,2,FALSE)</f>
        <v>Grease Blockage</v>
      </c>
      <c r="O1060" s="21">
        <v>44607.0</v>
      </c>
      <c r="P1060" s="6" t="s">
        <v>110</v>
      </c>
      <c r="Q1060" s="21">
        <v>44608.0</v>
      </c>
      <c r="R1060" s="6" t="s">
        <v>1855</v>
      </c>
      <c r="S1060" s="20">
        <v>1.0</v>
      </c>
      <c r="T1060" s="6" t="s">
        <v>1856</v>
      </c>
      <c r="U1060" s="6"/>
      <c r="V1060" s="6"/>
      <c r="W1060" s="6">
        <v>29.8518542</v>
      </c>
      <c r="X1060" s="6">
        <v>-95.3023481</v>
      </c>
    </row>
    <row r="1061" ht="15.75" customHeight="1">
      <c r="A1061" s="6">
        <v>13687.0</v>
      </c>
      <c r="B1061" s="6">
        <v>2022.0</v>
      </c>
      <c r="C1061" s="6" t="str">
        <f t="shared" si="5"/>
        <v>7530 GULFBRIAR PL,Houston,Texas</v>
      </c>
      <c r="D1061" s="6" t="s">
        <v>1857</v>
      </c>
      <c r="E1061" s="6" t="s">
        <v>25</v>
      </c>
      <c r="F1061" s="6" t="s">
        <v>26</v>
      </c>
      <c r="G1061" s="6" t="s">
        <v>166</v>
      </c>
      <c r="H1061" s="6" t="s">
        <v>50</v>
      </c>
      <c r="I1061" s="6" t="str">
        <f>VLOOKUP(H1061,'Flow Location'!$A$1:$B$21,2,FALSE)</f>
        <v>Contained On Site, not within 5 ft. of Bayou/Surface Water/Drainage Ditch</v>
      </c>
      <c r="J1061" s="20">
        <v>0.0</v>
      </c>
      <c r="K1061" s="6" t="s">
        <v>51</v>
      </c>
      <c r="L1061" s="6" t="str">
        <f>VLOOKUP(K1061,'Structure type'!$A$1:$B$15,2,FALSE)</f>
        <v>Private Cleanout</v>
      </c>
      <c r="M1061" s="6" t="s">
        <v>30</v>
      </c>
      <c r="N1061" s="6" t="str">
        <f>VLOOKUP(M1061,'Excursion Cause'!$A$1:$B$34,2,FALSE)</f>
        <v>Grease Blockage</v>
      </c>
      <c r="O1061" s="21">
        <v>44607.0</v>
      </c>
      <c r="P1061" s="6" t="s">
        <v>1858</v>
      </c>
      <c r="Q1061" s="21">
        <v>44607.0</v>
      </c>
      <c r="R1061" s="6" t="s">
        <v>1858</v>
      </c>
      <c r="S1061" s="20">
        <v>0.0</v>
      </c>
      <c r="T1061" s="6" t="s">
        <v>33</v>
      </c>
      <c r="U1061" s="6"/>
      <c r="V1061" s="6"/>
      <c r="W1061" s="6">
        <v>29.5955002</v>
      </c>
      <c r="X1061" s="6">
        <v>-95.5004213</v>
      </c>
    </row>
    <row r="1062" ht="15.75" customHeight="1">
      <c r="A1062" s="6">
        <v>13690.0</v>
      </c>
      <c r="B1062" s="6">
        <v>2022.0</v>
      </c>
      <c r="C1062" s="6" t="str">
        <f t="shared" si="5"/>
        <v>16010 LOGAN ROCK RD,Houston,Texas</v>
      </c>
      <c r="D1062" s="6" t="s">
        <v>504</v>
      </c>
      <c r="E1062" s="6" t="s">
        <v>25</v>
      </c>
      <c r="F1062" s="6" t="s">
        <v>26</v>
      </c>
      <c r="G1062" s="6" t="s">
        <v>166</v>
      </c>
      <c r="H1062" s="6" t="s">
        <v>50</v>
      </c>
      <c r="I1062" s="6" t="str">
        <f>VLOOKUP(H1062,'Flow Location'!$A$1:$B$21,2,FALSE)</f>
        <v>Contained On Site, not within 5 ft. of Bayou/Surface Water/Drainage Ditch</v>
      </c>
      <c r="J1062" s="20">
        <v>1623.0</v>
      </c>
      <c r="K1062" s="6" t="s">
        <v>29</v>
      </c>
      <c r="L1062" s="6" t="str">
        <f>VLOOKUP(K1062,'Structure type'!$A$1:$B$15,2,FALSE)</f>
        <v>Manhole</v>
      </c>
      <c r="M1062" s="6" t="s">
        <v>30</v>
      </c>
      <c r="N1062" s="6" t="str">
        <f>VLOOKUP(M1062,'Excursion Cause'!$A$1:$B$34,2,FALSE)</f>
        <v>Grease Blockage</v>
      </c>
      <c r="O1062" s="21">
        <v>44607.0</v>
      </c>
      <c r="P1062" s="6" t="s">
        <v>282</v>
      </c>
      <c r="Q1062" s="21">
        <v>44608.0</v>
      </c>
      <c r="R1062" s="6" t="s">
        <v>1369</v>
      </c>
      <c r="S1062" s="20">
        <v>1.0</v>
      </c>
      <c r="T1062" s="6" t="s">
        <v>59</v>
      </c>
      <c r="U1062" s="6"/>
      <c r="V1062" s="6"/>
      <c r="W1062" s="6">
        <v>29.5934148</v>
      </c>
      <c r="X1062" s="6">
        <v>-95.4897576</v>
      </c>
    </row>
    <row r="1063" ht="15.75" customHeight="1">
      <c r="A1063" s="6">
        <v>13692.0</v>
      </c>
      <c r="B1063" s="6">
        <v>2022.0</v>
      </c>
      <c r="C1063" s="6" t="str">
        <f t="shared" si="5"/>
        <v>16361 IMPERIAL VALLEY DR,Houston,Texas</v>
      </c>
      <c r="D1063" s="6" t="s">
        <v>1859</v>
      </c>
      <c r="E1063" s="6" t="s">
        <v>25</v>
      </c>
      <c r="F1063" s="6" t="s">
        <v>26</v>
      </c>
      <c r="G1063" s="6" t="s">
        <v>393</v>
      </c>
      <c r="H1063" s="6" t="s">
        <v>1724</v>
      </c>
      <c r="I1063" s="6" t="str">
        <f>VLOOKUP(H1063,'Flow Location'!$A$1:$B$21,2,FALSE)</f>
        <v>Storm Sewer (not contained)</v>
      </c>
      <c r="J1063" s="20">
        <v>3936.0</v>
      </c>
      <c r="K1063" s="6" t="s">
        <v>45</v>
      </c>
      <c r="L1063" s="6" t="str">
        <f>VLOOKUP(K1063,'Structure type'!$A$1:$B$15,2,FALSE)</f>
        <v>City Cleanout</v>
      </c>
      <c r="M1063" s="6" t="s">
        <v>1860</v>
      </c>
      <c r="N1063" s="6" t="str">
        <f>VLOOKUP(M1063,'Excursion Cause'!$A$1:$B$34,2,FALSE)</f>
        <v>Grease Blockage</v>
      </c>
      <c r="O1063" s="21">
        <v>44607.0</v>
      </c>
      <c r="P1063" s="6" t="s">
        <v>1861</v>
      </c>
      <c r="Q1063" s="21">
        <v>44607.0</v>
      </c>
      <c r="R1063" s="6" t="s">
        <v>1861</v>
      </c>
      <c r="S1063" s="20">
        <v>0.0</v>
      </c>
      <c r="T1063" s="6" t="s">
        <v>1862</v>
      </c>
      <c r="U1063" s="6"/>
      <c r="V1063" s="6"/>
      <c r="W1063" s="6">
        <v>29.9380413</v>
      </c>
      <c r="X1063" s="6">
        <v>-95.3976331</v>
      </c>
    </row>
    <row r="1064" ht="15.75" customHeight="1">
      <c r="A1064" s="6">
        <v>13698.0</v>
      </c>
      <c r="B1064" s="6">
        <v>2022.0</v>
      </c>
      <c r="C1064" s="6" t="str">
        <f t="shared" si="5"/>
        <v>6406 JEFFERSON ST,Houston,Texas</v>
      </c>
      <c r="D1064" s="6" t="s">
        <v>1863</v>
      </c>
      <c r="E1064" s="6" t="s">
        <v>25</v>
      </c>
      <c r="F1064" s="6" t="s">
        <v>26</v>
      </c>
      <c r="G1064" s="6" t="s">
        <v>141</v>
      </c>
      <c r="H1064" s="6" t="s">
        <v>50</v>
      </c>
      <c r="I1064" s="6" t="str">
        <f>VLOOKUP(H1064,'Flow Location'!$A$1:$B$21,2,FALSE)</f>
        <v>Contained On Site, not within 5 ft. of Bayou/Surface Water/Drainage Ditch</v>
      </c>
      <c r="J1064" s="20">
        <v>0.0</v>
      </c>
      <c r="K1064" s="6" t="s">
        <v>51</v>
      </c>
      <c r="L1064" s="6" t="str">
        <f>VLOOKUP(K1064,'Structure type'!$A$1:$B$15,2,FALSE)</f>
        <v>Private Cleanout</v>
      </c>
      <c r="M1064" s="6" t="s">
        <v>30</v>
      </c>
      <c r="N1064" s="6" t="str">
        <f>VLOOKUP(M1064,'Excursion Cause'!$A$1:$B$34,2,FALSE)</f>
        <v>Grease Blockage</v>
      </c>
      <c r="O1064" s="21">
        <v>44607.0</v>
      </c>
      <c r="P1064" s="6" t="s">
        <v>1864</v>
      </c>
      <c r="Q1064" s="21">
        <v>44607.0</v>
      </c>
      <c r="R1064" s="6" t="s">
        <v>1864</v>
      </c>
      <c r="S1064" s="20">
        <v>0.0</v>
      </c>
      <c r="T1064" s="6" t="s">
        <v>33</v>
      </c>
      <c r="U1064" s="6"/>
      <c r="V1064" s="6"/>
      <c r="W1064" s="6">
        <v>29.7281655</v>
      </c>
      <c r="X1064" s="6">
        <v>-95.3148778</v>
      </c>
    </row>
    <row r="1065" ht="15.75" customHeight="1">
      <c r="A1065" s="6">
        <v>13699.0</v>
      </c>
      <c r="B1065" s="6">
        <v>2022.0</v>
      </c>
      <c r="C1065" s="6" t="str">
        <f t="shared" si="5"/>
        <v>6402 JEFFERSON ST,Houston,Texas</v>
      </c>
      <c r="D1065" s="6" t="s">
        <v>1865</v>
      </c>
      <c r="E1065" s="6" t="s">
        <v>25</v>
      </c>
      <c r="F1065" s="6" t="s">
        <v>26</v>
      </c>
      <c r="G1065" s="6" t="s">
        <v>141</v>
      </c>
      <c r="H1065" s="6" t="s">
        <v>50</v>
      </c>
      <c r="I1065" s="6" t="str">
        <f>VLOOKUP(H1065,'Flow Location'!$A$1:$B$21,2,FALSE)</f>
        <v>Contained On Site, not within 5 ft. of Bayou/Surface Water/Drainage Ditch</v>
      </c>
      <c r="J1065" s="20">
        <v>0.0</v>
      </c>
      <c r="K1065" s="6" t="s">
        <v>51</v>
      </c>
      <c r="L1065" s="6" t="str">
        <f>VLOOKUP(K1065,'Structure type'!$A$1:$B$15,2,FALSE)</f>
        <v>Private Cleanout</v>
      </c>
      <c r="M1065" s="6" t="s">
        <v>30</v>
      </c>
      <c r="N1065" s="6" t="str">
        <f>VLOOKUP(M1065,'Excursion Cause'!$A$1:$B$34,2,FALSE)</f>
        <v>Grease Blockage</v>
      </c>
      <c r="O1065" s="21">
        <v>44607.0</v>
      </c>
      <c r="P1065" s="6" t="s">
        <v>1330</v>
      </c>
      <c r="Q1065" s="21">
        <v>44607.0</v>
      </c>
      <c r="R1065" s="6" t="s">
        <v>1330</v>
      </c>
      <c r="S1065" s="20">
        <v>0.0</v>
      </c>
      <c r="T1065" s="6" t="s">
        <v>33</v>
      </c>
      <c r="U1065" s="6"/>
      <c r="V1065" s="6"/>
      <c r="W1065" s="6">
        <v>29.7282197</v>
      </c>
      <c r="X1065" s="6">
        <v>-95.3151159</v>
      </c>
    </row>
    <row r="1066" ht="15.75" customHeight="1">
      <c r="A1066" s="6">
        <v>13702.0</v>
      </c>
      <c r="B1066" s="6">
        <v>2022.0</v>
      </c>
      <c r="C1066" s="6" t="str">
        <f t="shared" si="5"/>
        <v>5045 HARDWAY ST,Houston,Texas</v>
      </c>
      <c r="D1066" s="6" t="s">
        <v>1866</v>
      </c>
      <c r="E1066" s="6" t="s">
        <v>25</v>
      </c>
      <c r="F1066" s="6" t="s">
        <v>26</v>
      </c>
      <c r="G1066" s="6" t="s">
        <v>76</v>
      </c>
      <c r="H1066" s="6" t="s">
        <v>1724</v>
      </c>
      <c r="I1066" s="6" t="str">
        <f>VLOOKUP(H1066,'Flow Location'!$A$1:$B$21,2,FALSE)</f>
        <v>Storm Sewer (not contained)</v>
      </c>
      <c r="J1066" s="20">
        <v>2878.0</v>
      </c>
      <c r="K1066" s="6" t="s">
        <v>45</v>
      </c>
      <c r="L1066" s="6" t="str">
        <f>VLOOKUP(K1066,'Structure type'!$A$1:$B$15,2,FALSE)</f>
        <v>City Cleanout</v>
      </c>
      <c r="M1066" s="6" t="s">
        <v>1867</v>
      </c>
      <c r="N1066" s="6" t="str">
        <f>VLOOKUP(M1066,'Excursion Cause'!$A$1:$B$34,2,FALSE)</f>
        <v>Grease Blockage</v>
      </c>
      <c r="O1066" s="21">
        <v>44607.0</v>
      </c>
      <c r="P1066" s="6" t="s">
        <v>1276</v>
      </c>
      <c r="Q1066" s="21">
        <v>44608.0</v>
      </c>
      <c r="R1066" s="6" t="s">
        <v>985</v>
      </c>
      <c r="S1066" s="20">
        <v>2.0</v>
      </c>
      <c r="T1066" s="6" t="s">
        <v>1868</v>
      </c>
      <c r="U1066" s="6"/>
      <c r="V1066" s="6"/>
      <c r="W1066" s="6">
        <v>29.8402085</v>
      </c>
      <c r="X1066" s="6">
        <v>-95.4668681</v>
      </c>
    </row>
    <row r="1067" ht="15.75" customHeight="1">
      <c r="A1067" s="6">
        <v>13707.0</v>
      </c>
      <c r="B1067" s="6">
        <v>2022.0</v>
      </c>
      <c r="C1067" s="6" t="str">
        <f t="shared" si="5"/>
        <v>5353 DEEP FOREST DR,Houston,Texas</v>
      </c>
      <c r="D1067" s="6" t="s">
        <v>1869</v>
      </c>
      <c r="E1067" s="6" t="s">
        <v>25</v>
      </c>
      <c r="F1067" s="6" t="s">
        <v>26</v>
      </c>
      <c r="G1067" s="6" t="s">
        <v>76</v>
      </c>
      <c r="H1067" s="6" t="s">
        <v>1724</v>
      </c>
      <c r="I1067" s="6" t="str">
        <f>VLOOKUP(H1067,'Flow Location'!$A$1:$B$21,2,FALSE)</f>
        <v>Storm Sewer (not contained)</v>
      </c>
      <c r="J1067" s="20">
        <v>2205.0</v>
      </c>
      <c r="K1067" s="6" t="s">
        <v>29</v>
      </c>
      <c r="L1067" s="6" t="str">
        <f>VLOOKUP(K1067,'Structure type'!$A$1:$B$15,2,FALSE)</f>
        <v>Manhole</v>
      </c>
      <c r="M1067" s="6" t="s">
        <v>1870</v>
      </c>
      <c r="N1067" s="6" t="str">
        <f>VLOOKUP(M1067,'Excursion Cause'!$A$1:$B$34,2,FALSE)</f>
        <v>Grease Blockage</v>
      </c>
      <c r="O1067" s="21">
        <v>44608.0</v>
      </c>
      <c r="P1067" s="6" t="s">
        <v>1871</v>
      </c>
      <c r="Q1067" s="21">
        <v>44608.0</v>
      </c>
      <c r="R1067" s="6" t="s">
        <v>66</v>
      </c>
      <c r="S1067" s="20">
        <v>53.0</v>
      </c>
      <c r="T1067" s="6" t="s">
        <v>1872</v>
      </c>
      <c r="U1067" s="6"/>
      <c r="V1067" s="6"/>
      <c r="W1067" s="6">
        <v>29.8423254</v>
      </c>
      <c r="X1067" s="6">
        <v>-95.4760198</v>
      </c>
    </row>
    <row r="1068" ht="15.75" customHeight="1">
      <c r="A1068" s="6">
        <v>13714.0</v>
      </c>
      <c r="B1068" s="6">
        <v>2022.0</v>
      </c>
      <c r="C1068" s="6" t="str">
        <f t="shared" si="5"/>
        <v>5350 KINGSBURY ST,Houston,Texas</v>
      </c>
      <c r="D1068" s="6" t="s">
        <v>1873</v>
      </c>
      <c r="E1068" s="6" t="s">
        <v>25</v>
      </c>
      <c r="F1068" s="6" t="s">
        <v>26</v>
      </c>
      <c r="G1068" s="6" t="s">
        <v>238</v>
      </c>
      <c r="H1068" s="6" t="s">
        <v>50</v>
      </c>
      <c r="I1068" s="6" t="str">
        <f>VLOOKUP(H1068,'Flow Location'!$A$1:$B$21,2,FALSE)</f>
        <v>Contained On Site, not within 5 ft. of Bayou/Surface Water/Drainage Ditch</v>
      </c>
      <c r="J1068" s="20">
        <v>0.0</v>
      </c>
      <c r="K1068" s="6" t="s">
        <v>51</v>
      </c>
      <c r="L1068" s="6" t="str">
        <f>VLOOKUP(K1068,'Structure type'!$A$1:$B$15,2,FALSE)</f>
        <v>Private Cleanout</v>
      </c>
      <c r="M1068" s="6" t="s">
        <v>56</v>
      </c>
      <c r="N1068" s="6" t="str">
        <f>VLOOKUP(M1068,'Excursion Cause'!$A$1:$B$34,2,FALSE)</f>
        <v>Rags/Wipes</v>
      </c>
      <c r="O1068" s="21">
        <v>44608.0</v>
      </c>
      <c r="P1068" s="6" t="s">
        <v>635</v>
      </c>
      <c r="Q1068" s="21">
        <v>44608.0</v>
      </c>
      <c r="R1068" s="6" t="s">
        <v>635</v>
      </c>
      <c r="S1068" s="20">
        <v>0.0</v>
      </c>
      <c r="T1068" s="6" t="s">
        <v>33</v>
      </c>
      <c r="U1068" s="6"/>
      <c r="V1068" s="6"/>
      <c r="W1068" s="6">
        <v>29.6934492</v>
      </c>
      <c r="X1068" s="6">
        <v>-95.3330651</v>
      </c>
    </row>
    <row r="1069" ht="15.75" customHeight="1">
      <c r="A1069" s="6">
        <v>13717.0</v>
      </c>
      <c r="B1069" s="6">
        <v>2022.0</v>
      </c>
      <c r="C1069" s="6" t="str">
        <f t="shared" si="5"/>
        <v>5407 GULFTON ST,Houston,Texas</v>
      </c>
      <c r="D1069" s="6" t="s">
        <v>1836</v>
      </c>
      <c r="E1069" s="6" t="s">
        <v>25</v>
      </c>
      <c r="F1069" s="6" t="s">
        <v>26</v>
      </c>
      <c r="G1069" s="6" t="s">
        <v>287</v>
      </c>
      <c r="H1069" s="6" t="s">
        <v>1724</v>
      </c>
      <c r="I1069" s="6" t="str">
        <f>VLOOKUP(H1069,'Flow Location'!$A$1:$B$21,2,FALSE)</f>
        <v>Storm Sewer (not contained)</v>
      </c>
      <c r="J1069" s="20">
        <v>243.0</v>
      </c>
      <c r="K1069" s="6" t="s">
        <v>45</v>
      </c>
      <c r="L1069" s="6" t="str">
        <f>VLOOKUP(K1069,'Structure type'!$A$1:$B$15,2,FALSE)</f>
        <v>City Cleanout</v>
      </c>
      <c r="M1069" s="6" t="s">
        <v>1874</v>
      </c>
      <c r="N1069" s="6" t="str">
        <f>VLOOKUP(M1069,'Excursion Cause'!$A$1:$B$34,2,FALSE)</f>
        <v>Grease Blockage</v>
      </c>
      <c r="O1069" s="21">
        <v>44608.0</v>
      </c>
      <c r="P1069" s="6" t="s">
        <v>267</v>
      </c>
      <c r="Q1069" s="21">
        <v>44608.0</v>
      </c>
      <c r="R1069" s="6" t="s">
        <v>549</v>
      </c>
      <c r="S1069" s="20">
        <v>3.0</v>
      </c>
      <c r="T1069" s="6" t="s">
        <v>1875</v>
      </c>
      <c r="U1069" s="6"/>
      <c r="V1069" s="6"/>
      <c r="W1069" s="6">
        <v>29.7161319</v>
      </c>
      <c r="X1069" s="6">
        <v>-95.4746273</v>
      </c>
    </row>
    <row r="1070" ht="15.75" customHeight="1">
      <c r="A1070" s="6">
        <v>13718.0</v>
      </c>
      <c r="B1070" s="6">
        <v>2022.0</v>
      </c>
      <c r="C1070" s="6" t="str">
        <f t="shared" si="5"/>
        <v>1006 AHRENS ST,Houston,Texas</v>
      </c>
      <c r="D1070" s="6" t="s">
        <v>1876</v>
      </c>
      <c r="E1070" s="6" t="s">
        <v>25</v>
      </c>
      <c r="F1070" s="6" t="s">
        <v>26</v>
      </c>
      <c r="G1070" s="6" t="s">
        <v>135</v>
      </c>
      <c r="H1070" s="6" t="s">
        <v>28</v>
      </c>
      <c r="I1070" s="6" t="str">
        <f>VLOOKUP(H1070,'Flow Location'!$A$1:$B$21,2,FALSE)</f>
        <v>Storm Sewer (not contained)</v>
      </c>
      <c r="J1070" s="20">
        <v>0.0</v>
      </c>
      <c r="K1070" s="6" t="s">
        <v>45</v>
      </c>
      <c r="L1070" s="6" t="str">
        <f>VLOOKUP(K1070,'Structure type'!$A$1:$B$15,2,FALSE)</f>
        <v>City Cleanout</v>
      </c>
      <c r="M1070" s="6" t="s">
        <v>1877</v>
      </c>
      <c r="N1070" s="6" t="str">
        <f>VLOOKUP(M1070,'Excursion Cause'!$A$1:$B$34,2,FALSE)</f>
        <v>Collection system structural blockage</v>
      </c>
      <c r="O1070" s="21">
        <v>44608.0</v>
      </c>
      <c r="P1070" s="6" t="s">
        <v>1606</v>
      </c>
      <c r="Q1070" s="21">
        <v>44608.0</v>
      </c>
      <c r="R1070" s="6" t="s">
        <v>1606</v>
      </c>
      <c r="S1070" s="20">
        <v>0.0</v>
      </c>
      <c r="T1070" s="6" t="s">
        <v>270</v>
      </c>
      <c r="U1070" s="6"/>
      <c r="V1070" s="6"/>
      <c r="W1070" s="6">
        <v>29.6908853</v>
      </c>
      <c r="X1070" s="6">
        <v>-95.2432751</v>
      </c>
    </row>
    <row r="1071" ht="15.75" customHeight="1">
      <c r="A1071" s="6">
        <v>13719.0</v>
      </c>
      <c r="B1071" s="6">
        <v>2022.0</v>
      </c>
      <c r="C1071" s="6" t="str">
        <f t="shared" si="5"/>
        <v>7602 MOSEWOOD ST,Houston,Texas</v>
      </c>
      <c r="D1071" s="6" t="s">
        <v>1878</v>
      </c>
      <c r="E1071" s="6" t="s">
        <v>25</v>
      </c>
      <c r="F1071" s="6" t="s">
        <v>26</v>
      </c>
      <c r="G1071" s="6" t="s">
        <v>253</v>
      </c>
      <c r="H1071" s="6" t="s">
        <v>50</v>
      </c>
      <c r="I1071" s="6" t="str">
        <f>VLOOKUP(H1071,'Flow Location'!$A$1:$B$21,2,FALSE)</f>
        <v>Contained On Site, not within 5 ft. of Bayou/Surface Water/Drainage Ditch</v>
      </c>
      <c r="J1071" s="20">
        <v>0.0</v>
      </c>
      <c r="K1071" s="6" t="s">
        <v>29</v>
      </c>
      <c r="L1071" s="6" t="str">
        <f>VLOOKUP(K1071,'Structure type'!$A$1:$B$15,2,FALSE)</f>
        <v>Manhole</v>
      </c>
      <c r="M1071" s="6" t="s">
        <v>30</v>
      </c>
      <c r="N1071" s="6" t="str">
        <f>VLOOKUP(M1071,'Excursion Cause'!$A$1:$B$34,2,FALSE)</f>
        <v>Grease Blockage</v>
      </c>
      <c r="O1071" s="21">
        <v>44608.0</v>
      </c>
      <c r="P1071" s="6" t="s">
        <v>408</v>
      </c>
      <c r="Q1071" s="21">
        <v>44608.0</v>
      </c>
      <c r="R1071" s="6" t="s">
        <v>408</v>
      </c>
      <c r="S1071" s="20">
        <v>0.0</v>
      </c>
      <c r="T1071" s="6" t="s">
        <v>59</v>
      </c>
      <c r="U1071" s="6"/>
      <c r="V1071" s="6"/>
      <c r="W1071" s="6">
        <v>29.8762379</v>
      </c>
      <c r="X1071" s="6">
        <v>-95.5043547</v>
      </c>
    </row>
    <row r="1072" ht="15.75" customHeight="1">
      <c r="A1072" s="6">
        <v>13722.0</v>
      </c>
      <c r="B1072" s="6">
        <v>2022.0</v>
      </c>
      <c r="C1072" s="6" t="str">
        <f t="shared" si="5"/>
        <v>2201 LORRAINE ST,Houston,Texas</v>
      </c>
      <c r="D1072" s="6" t="s">
        <v>1879</v>
      </c>
      <c r="E1072" s="6" t="s">
        <v>25</v>
      </c>
      <c r="F1072" s="6" t="s">
        <v>26</v>
      </c>
      <c r="G1072" s="6" t="s">
        <v>43</v>
      </c>
      <c r="H1072" s="6" t="s">
        <v>1724</v>
      </c>
      <c r="I1072" s="6" t="str">
        <f>VLOOKUP(H1072,'Flow Location'!$A$1:$B$21,2,FALSE)</f>
        <v>Storm Sewer (not contained)</v>
      </c>
      <c r="J1072" s="20">
        <v>0.0</v>
      </c>
      <c r="K1072" s="6" t="s">
        <v>45</v>
      </c>
      <c r="L1072" s="6" t="str">
        <f>VLOOKUP(K1072,'Structure type'!$A$1:$B$15,2,FALSE)</f>
        <v>City Cleanout</v>
      </c>
      <c r="M1072" s="6" t="s">
        <v>1880</v>
      </c>
      <c r="N1072" s="6" t="str">
        <f>VLOOKUP(M1072,'Excursion Cause'!$A$1:$B$34,2,FALSE)</f>
        <v>Grease Blockage</v>
      </c>
      <c r="O1072" s="21">
        <v>44608.0</v>
      </c>
      <c r="P1072" s="6" t="s">
        <v>1009</v>
      </c>
      <c r="Q1072" s="21">
        <v>44608.0</v>
      </c>
      <c r="R1072" s="6" t="s">
        <v>1009</v>
      </c>
      <c r="S1072" s="20">
        <v>0.0</v>
      </c>
      <c r="T1072" s="6" t="s">
        <v>1881</v>
      </c>
      <c r="U1072" s="6"/>
      <c r="V1072" s="6"/>
      <c r="W1072" s="6">
        <v>29.7787633</v>
      </c>
      <c r="X1072" s="6">
        <v>-95.3474554</v>
      </c>
    </row>
    <row r="1073" ht="15.75" customHeight="1">
      <c r="A1073" s="6">
        <v>13725.0</v>
      </c>
      <c r="B1073" s="6">
        <v>2022.0</v>
      </c>
      <c r="C1073" s="6" t="str">
        <f t="shared" si="5"/>
        <v>4001 CHEENA DR,Houston,Texas</v>
      </c>
      <c r="D1073" s="6" t="s">
        <v>1882</v>
      </c>
      <c r="E1073" s="6" t="s">
        <v>25</v>
      </c>
      <c r="F1073" s="6" t="s">
        <v>26</v>
      </c>
      <c r="G1073" s="6" t="s">
        <v>65</v>
      </c>
      <c r="H1073" s="6" t="s">
        <v>50</v>
      </c>
      <c r="I1073" s="6" t="str">
        <f>VLOOKUP(H1073,'Flow Location'!$A$1:$B$21,2,FALSE)</f>
        <v>Contained On Site, not within 5 ft. of Bayou/Surface Water/Drainage Ditch</v>
      </c>
      <c r="J1073" s="20">
        <v>230.0</v>
      </c>
      <c r="K1073" s="6" t="s">
        <v>51</v>
      </c>
      <c r="L1073" s="6" t="str">
        <f>VLOOKUP(K1073,'Structure type'!$A$1:$B$15,2,FALSE)</f>
        <v>Private Cleanout</v>
      </c>
      <c r="M1073" s="6" t="s">
        <v>81</v>
      </c>
      <c r="N1073" s="6" t="str">
        <f>VLOOKUP(M1073,'Excursion Cause'!$A$1:$B$34,2,FALSE)</f>
        <v>Collection system structural failure</v>
      </c>
      <c r="O1073" s="21">
        <v>44609.0</v>
      </c>
      <c r="P1073" s="6" t="s">
        <v>396</v>
      </c>
      <c r="Q1073" s="21">
        <v>44609.0</v>
      </c>
      <c r="R1073" s="6" t="s">
        <v>1002</v>
      </c>
      <c r="S1073" s="20">
        <v>1.0</v>
      </c>
      <c r="T1073" s="6" t="s">
        <v>118</v>
      </c>
      <c r="U1073" s="6"/>
      <c r="V1073" s="6"/>
      <c r="W1073" s="6">
        <v>29.6749117</v>
      </c>
      <c r="X1073" s="6">
        <v>-95.4403262</v>
      </c>
    </row>
    <row r="1074" ht="15.75" customHeight="1">
      <c r="A1074" s="6">
        <v>13727.0</v>
      </c>
      <c r="B1074" s="6">
        <v>2022.0</v>
      </c>
      <c r="C1074" s="6" t="str">
        <f t="shared" si="5"/>
        <v>13931 LOCKE LN,Houston,Texas</v>
      </c>
      <c r="D1074" s="6" t="s">
        <v>1883</v>
      </c>
      <c r="E1074" s="6" t="s">
        <v>25</v>
      </c>
      <c r="F1074" s="6" t="s">
        <v>26</v>
      </c>
      <c r="G1074" s="6" t="s">
        <v>347</v>
      </c>
      <c r="H1074" s="6" t="s">
        <v>50</v>
      </c>
      <c r="I1074" s="6" t="str">
        <f>VLOOKUP(H1074,'Flow Location'!$A$1:$B$21,2,FALSE)</f>
        <v>Contained On Site, not within 5 ft. of Bayou/Surface Water/Drainage Ditch</v>
      </c>
      <c r="J1074" s="20">
        <v>0.0</v>
      </c>
      <c r="K1074" s="6" t="s">
        <v>29</v>
      </c>
      <c r="L1074" s="6" t="str">
        <f>VLOOKUP(K1074,'Structure type'!$A$1:$B$15,2,FALSE)</f>
        <v>Manhole</v>
      </c>
      <c r="M1074" s="6" t="s">
        <v>30</v>
      </c>
      <c r="N1074" s="6" t="str">
        <f>VLOOKUP(M1074,'Excursion Cause'!$A$1:$B$34,2,FALSE)</f>
        <v>Grease Blockage</v>
      </c>
      <c r="O1074" s="21">
        <v>44609.0</v>
      </c>
      <c r="P1074" s="6" t="s">
        <v>1032</v>
      </c>
      <c r="Q1074" s="21">
        <v>44609.0</v>
      </c>
      <c r="R1074" s="6" t="s">
        <v>1032</v>
      </c>
      <c r="S1074" s="20">
        <v>0.0</v>
      </c>
      <c r="T1074" s="6" t="s">
        <v>33</v>
      </c>
      <c r="U1074" s="6"/>
      <c r="V1074" s="6"/>
      <c r="W1074" s="6">
        <v>29.7365035</v>
      </c>
      <c r="X1074" s="6">
        <v>-95.6370309</v>
      </c>
    </row>
    <row r="1075" ht="15.75" customHeight="1">
      <c r="A1075" s="6">
        <v>13733.0</v>
      </c>
      <c r="B1075" s="6">
        <v>2022.0</v>
      </c>
      <c r="C1075" s="6" t="str">
        <f t="shared" si="5"/>
        <v>5045 HARDWAY ST,Houston,Texas</v>
      </c>
      <c r="D1075" s="6" t="s">
        <v>1866</v>
      </c>
      <c r="E1075" s="6" t="s">
        <v>25</v>
      </c>
      <c r="F1075" s="6" t="s">
        <v>26</v>
      </c>
      <c r="G1075" s="6" t="s">
        <v>76</v>
      </c>
      <c r="H1075" s="6" t="s">
        <v>1724</v>
      </c>
      <c r="I1075" s="6" t="str">
        <f>VLOOKUP(H1075,'Flow Location'!$A$1:$B$21,2,FALSE)</f>
        <v>Storm Sewer (not contained)</v>
      </c>
      <c r="J1075" s="20">
        <v>0.0</v>
      </c>
      <c r="K1075" s="6" t="s">
        <v>45</v>
      </c>
      <c r="L1075" s="6" t="str">
        <f>VLOOKUP(K1075,'Structure type'!$A$1:$B$15,2,FALSE)</f>
        <v>City Cleanout</v>
      </c>
      <c r="M1075" s="6" t="s">
        <v>1884</v>
      </c>
      <c r="N1075" s="6" t="str">
        <f>VLOOKUP(M1075,'Excursion Cause'!$A$1:$B$34,2,FALSE)</f>
        <v>Grease Blockage</v>
      </c>
      <c r="O1075" s="21">
        <v>44609.0</v>
      </c>
      <c r="P1075" s="6" t="s">
        <v>1290</v>
      </c>
      <c r="Q1075" s="21">
        <v>44609.0</v>
      </c>
      <c r="R1075" s="6" t="s">
        <v>1290</v>
      </c>
      <c r="S1075" s="20">
        <v>0.0</v>
      </c>
      <c r="T1075" s="6" t="s">
        <v>1885</v>
      </c>
      <c r="U1075" s="6"/>
      <c r="V1075" s="6"/>
      <c r="W1075" s="6">
        <v>29.8402085</v>
      </c>
      <c r="X1075" s="6">
        <v>-95.4668681</v>
      </c>
    </row>
    <row r="1076" ht="15.75" customHeight="1">
      <c r="A1076" s="6">
        <v>13734.0</v>
      </c>
      <c r="B1076" s="6">
        <v>2022.0</v>
      </c>
      <c r="C1076" s="6" t="str">
        <f t="shared" si="5"/>
        <v>7740 W LITTLE YORK RD,Houston,Texas</v>
      </c>
      <c r="D1076" s="6" t="s">
        <v>1886</v>
      </c>
      <c r="E1076" s="6" t="s">
        <v>25</v>
      </c>
      <c r="F1076" s="6" t="s">
        <v>26</v>
      </c>
      <c r="G1076" s="6" t="s">
        <v>253</v>
      </c>
      <c r="H1076" s="6" t="s">
        <v>50</v>
      </c>
      <c r="I1076" s="6" t="str">
        <f>VLOOKUP(H1076,'Flow Location'!$A$1:$B$21,2,FALSE)</f>
        <v>Contained On Site, not within 5 ft. of Bayou/Surface Water/Drainage Ditch</v>
      </c>
      <c r="J1076" s="20">
        <v>0.0</v>
      </c>
      <c r="K1076" s="6" t="s">
        <v>29</v>
      </c>
      <c r="L1076" s="6" t="str">
        <f>VLOOKUP(K1076,'Structure type'!$A$1:$B$15,2,FALSE)</f>
        <v>Manhole</v>
      </c>
      <c r="M1076" s="6" t="s">
        <v>56</v>
      </c>
      <c r="N1076" s="6" t="str">
        <f>VLOOKUP(M1076,'Excursion Cause'!$A$1:$B$34,2,FALSE)</f>
        <v>Rags/Wipes</v>
      </c>
      <c r="O1076" s="21">
        <v>44609.0</v>
      </c>
      <c r="P1076" s="6" t="s">
        <v>1049</v>
      </c>
      <c r="Q1076" s="21">
        <v>44609.0</v>
      </c>
      <c r="R1076" s="6" t="s">
        <v>1049</v>
      </c>
      <c r="S1076" s="20">
        <v>0.0</v>
      </c>
      <c r="T1076" s="6" t="s">
        <v>33</v>
      </c>
      <c r="U1076" s="6"/>
      <c r="V1076" s="6"/>
      <c r="W1076" s="6">
        <v>29.8671271</v>
      </c>
      <c r="X1076" s="6">
        <v>-95.5087348</v>
      </c>
    </row>
    <row r="1077" ht="15.75" customHeight="1">
      <c r="A1077" s="6">
        <v>13737.0</v>
      </c>
      <c r="B1077" s="6">
        <v>2022.0</v>
      </c>
      <c r="C1077" s="6" t="str">
        <f t="shared" si="5"/>
        <v>400 GREENS RD,Houston,Texas</v>
      </c>
      <c r="D1077" s="6" t="s">
        <v>1887</v>
      </c>
      <c r="E1077" s="6" t="s">
        <v>25</v>
      </c>
      <c r="F1077" s="6" t="s">
        <v>26</v>
      </c>
      <c r="G1077" s="6" t="s">
        <v>393</v>
      </c>
      <c r="H1077" s="6" t="s">
        <v>1724</v>
      </c>
      <c r="I1077" s="6" t="str">
        <f>VLOOKUP(H1077,'Flow Location'!$A$1:$B$21,2,FALSE)</f>
        <v>Storm Sewer (not contained)</v>
      </c>
      <c r="J1077" s="20">
        <v>2272.0</v>
      </c>
      <c r="K1077" s="6" t="s">
        <v>29</v>
      </c>
      <c r="L1077" s="6" t="str">
        <f>VLOOKUP(K1077,'Structure type'!$A$1:$B$15,2,FALSE)</f>
        <v>Manhole</v>
      </c>
      <c r="M1077" s="6" t="s">
        <v>1888</v>
      </c>
      <c r="N1077" s="6" t="str">
        <f>VLOOKUP(M1077,'Excursion Cause'!$A$1:$B$34,2,FALSE)</f>
        <v>Grease Blockage</v>
      </c>
      <c r="O1077" s="21">
        <v>44609.0</v>
      </c>
      <c r="P1077" s="6" t="s">
        <v>668</v>
      </c>
      <c r="Q1077" s="21">
        <v>44610.0</v>
      </c>
      <c r="R1077" s="6" t="s">
        <v>184</v>
      </c>
      <c r="S1077" s="20">
        <v>2.0</v>
      </c>
      <c r="T1077" s="6" t="s">
        <v>1889</v>
      </c>
      <c r="U1077" s="6"/>
      <c r="V1077" s="6"/>
      <c r="W1077" s="6">
        <v>29.9502205</v>
      </c>
      <c r="X1077" s="6">
        <v>-95.4072495</v>
      </c>
    </row>
    <row r="1078" ht="15.75" customHeight="1">
      <c r="A1078" s="6">
        <v>13738.0</v>
      </c>
      <c r="B1078" s="6">
        <v>2022.0</v>
      </c>
      <c r="C1078" s="6" t="str">
        <f t="shared" si="5"/>
        <v>5063 CALHOUN RD,Houston,Texas</v>
      </c>
      <c r="D1078" s="6" t="s">
        <v>1890</v>
      </c>
      <c r="E1078" s="6" t="s">
        <v>25</v>
      </c>
      <c r="F1078" s="6" t="s">
        <v>26</v>
      </c>
      <c r="G1078" s="6" t="s">
        <v>308</v>
      </c>
      <c r="H1078" s="6" t="s">
        <v>1724</v>
      </c>
      <c r="I1078" s="6" t="str">
        <f>VLOOKUP(H1078,'Flow Location'!$A$1:$B$21,2,FALSE)</f>
        <v>Storm Sewer (not contained)</v>
      </c>
      <c r="J1078" s="20">
        <v>1146.0</v>
      </c>
      <c r="K1078" s="6" t="s">
        <v>29</v>
      </c>
      <c r="L1078" s="6" t="str">
        <f>VLOOKUP(K1078,'Structure type'!$A$1:$B$15,2,FALSE)</f>
        <v>Manhole</v>
      </c>
      <c r="M1078" s="6" t="s">
        <v>1891</v>
      </c>
      <c r="N1078" s="6" t="str">
        <f>VLOOKUP(M1078,'Excursion Cause'!$A$1:$B$34,2,FALSE)</f>
        <v>Grease Blockage</v>
      </c>
      <c r="O1078" s="21">
        <v>44609.0</v>
      </c>
      <c r="P1078" s="6" t="s">
        <v>754</v>
      </c>
      <c r="Q1078" s="21">
        <v>44610.0</v>
      </c>
      <c r="R1078" s="6" t="s">
        <v>428</v>
      </c>
      <c r="S1078" s="20">
        <v>1.0</v>
      </c>
      <c r="T1078" s="6" t="s">
        <v>1892</v>
      </c>
      <c r="U1078" s="6"/>
      <c r="V1078" s="6"/>
      <c r="W1078" s="6">
        <v>29.7129823</v>
      </c>
      <c r="X1078" s="6">
        <v>-95.3410342</v>
      </c>
    </row>
    <row r="1079" ht="15.75" customHeight="1">
      <c r="A1079" s="6">
        <v>13743.0</v>
      </c>
      <c r="B1079" s="6">
        <v>2022.0</v>
      </c>
      <c r="C1079" s="6" t="str">
        <f t="shared" si="5"/>
        <v>7313 GULF FWY,Houston,Texas</v>
      </c>
      <c r="D1079" s="6" t="s">
        <v>1893</v>
      </c>
      <c r="E1079" s="6" t="s">
        <v>25</v>
      </c>
      <c r="F1079" s="6" t="s">
        <v>26</v>
      </c>
      <c r="G1079" s="6" t="s">
        <v>135</v>
      </c>
      <c r="H1079" s="6" t="s">
        <v>50</v>
      </c>
      <c r="I1079" s="6" t="str">
        <f>VLOOKUP(H1079,'Flow Location'!$A$1:$B$21,2,FALSE)</f>
        <v>Contained On Site, not within 5 ft. of Bayou/Surface Water/Drainage Ditch</v>
      </c>
      <c r="J1079" s="20">
        <v>1065.0</v>
      </c>
      <c r="K1079" s="6" t="s">
        <v>29</v>
      </c>
      <c r="L1079" s="6" t="str">
        <f>VLOOKUP(K1079,'Structure type'!$A$1:$B$15,2,FALSE)</f>
        <v>Manhole</v>
      </c>
      <c r="M1079" s="6" t="s">
        <v>56</v>
      </c>
      <c r="N1079" s="6" t="str">
        <f>VLOOKUP(M1079,'Excursion Cause'!$A$1:$B$34,2,FALSE)</f>
        <v>Rags/Wipes</v>
      </c>
      <c r="O1079" s="21">
        <v>44610.0</v>
      </c>
      <c r="P1079" s="6" t="s">
        <v>1894</v>
      </c>
      <c r="Q1079" s="21">
        <v>44610.0</v>
      </c>
      <c r="R1079" s="6" t="s">
        <v>802</v>
      </c>
      <c r="S1079" s="20">
        <v>3.0</v>
      </c>
      <c r="T1079" s="6" t="s">
        <v>59</v>
      </c>
      <c r="U1079" s="6"/>
      <c r="V1079" s="6"/>
      <c r="W1079" s="6">
        <v>29.6952905</v>
      </c>
      <c r="X1079" s="6">
        <v>-95.2854414</v>
      </c>
    </row>
    <row r="1080" ht="15.75" customHeight="1">
      <c r="A1080" s="6">
        <v>13747.0</v>
      </c>
      <c r="B1080" s="6">
        <v>2022.0</v>
      </c>
      <c r="C1080" s="6" t="str">
        <f t="shared" si="5"/>
        <v>6650 BRIARGATE DR,Houston,Texas</v>
      </c>
      <c r="D1080" s="6" t="s">
        <v>1895</v>
      </c>
      <c r="E1080" s="6" t="s">
        <v>25</v>
      </c>
      <c r="F1080" s="6" t="s">
        <v>26</v>
      </c>
      <c r="G1080" s="6" t="s">
        <v>166</v>
      </c>
      <c r="H1080" s="6" t="s">
        <v>50</v>
      </c>
      <c r="I1080" s="6" t="str">
        <f>VLOOKUP(H1080,'Flow Location'!$A$1:$B$21,2,FALSE)</f>
        <v>Contained On Site, not within 5 ft. of Bayou/Surface Water/Drainage Ditch</v>
      </c>
      <c r="J1080" s="20">
        <v>0.0</v>
      </c>
      <c r="K1080" s="6" t="s">
        <v>45</v>
      </c>
      <c r="L1080" s="6" t="str">
        <f>VLOOKUP(K1080,'Structure type'!$A$1:$B$15,2,FALSE)</f>
        <v>City Cleanout</v>
      </c>
      <c r="M1080" s="6" t="s">
        <v>30</v>
      </c>
      <c r="N1080" s="6" t="str">
        <f>VLOOKUP(M1080,'Excursion Cause'!$A$1:$B$34,2,FALSE)</f>
        <v>Grease Blockage</v>
      </c>
      <c r="O1080" s="21">
        <v>44610.0</v>
      </c>
      <c r="P1080" s="6" t="s">
        <v>714</v>
      </c>
      <c r="Q1080" s="21">
        <v>44610.0</v>
      </c>
      <c r="R1080" s="6" t="s">
        <v>714</v>
      </c>
      <c r="S1080" s="20">
        <v>0.0</v>
      </c>
      <c r="T1080" s="6" t="s">
        <v>170</v>
      </c>
      <c r="U1080" s="6"/>
      <c r="V1080" s="6"/>
      <c r="W1080" s="6">
        <v>29.6015998</v>
      </c>
      <c r="X1080" s="6">
        <v>-95.4871413</v>
      </c>
    </row>
    <row r="1081" ht="15.75" customHeight="1">
      <c r="A1081" s="6">
        <v>13748.0</v>
      </c>
      <c r="B1081" s="6">
        <v>2022.0</v>
      </c>
      <c r="C1081" s="6" t="str">
        <f t="shared" si="5"/>
        <v>2620 SUMPTER ST,Houston,Texas</v>
      </c>
      <c r="D1081" s="6" t="s">
        <v>1338</v>
      </c>
      <c r="E1081" s="6" t="s">
        <v>25</v>
      </c>
      <c r="F1081" s="6" t="s">
        <v>26</v>
      </c>
      <c r="G1081" s="6" t="s">
        <v>43</v>
      </c>
      <c r="H1081" s="6" t="s">
        <v>50</v>
      </c>
      <c r="I1081" s="6" t="str">
        <f>VLOOKUP(H1081,'Flow Location'!$A$1:$B$21,2,FALSE)</f>
        <v>Contained On Site, not within 5 ft. of Bayou/Surface Water/Drainage Ditch</v>
      </c>
      <c r="J1081" s="20">
        <v>0.0</v>
      </c>
      <c r="K1081" s="6" t="s">
        <v>45</v>
      </c>
      <c r="L1081" s="6" t="str">
        <f>VLOOKUP(K1081,'Structure type'!$A$1:$B$15,2,FALSE)</f>
        <v>City Cleanout</v>
      </c>
      <c r="M1081" s="6" t="s">
        <v>52</v>
      </c>
      <c r="N1081" s="6" t="str">
        <f>VLOOKUP(M1081,'Excursion Cause'!$A$1:$B$34,2,FALSE)</f>
        <v>Collection system structural blockage</v>
      </c>
      <c r="O1081" s="21">
        <v>44610.0</v>
      </c>
      <c r="P1081" s="6" t="s">
        <v>1896</v>
      </c>
      <c r="Q1081" s="21">
        <v>44610.0</v>
      </c>
      <c r="R1081" s="6" t="s">
        <v>1896</v>
      </c>
      <c r="S1081" s="20">
        <v>0.0</v>
      </c>
      <c r="T1081" s="6" t="s">
        <v>54</v>
      </c>
      <c r="U1081" s="6"/>
      <c r="V1081" s="6"/>
      <c r="W1081" s="6">
        <v>29.7794073</v>
      </c>
      <c r="X1081" s="6">
        <v>-95.3431913</v>
      </c>
    </row>
    <row r="1082" ht="15.75" customHeight="1">
      <c r="A1082" s="6">
        <v>13749.0</v>
      </c>
      <c r="B1082" s="6">
        <v>2022.0</v>
      </c>
      <c r="C1082" s="6" t="str">
        <f t="shared" si="5"/>
        <v>1713 DOLLY WRIGHT ST,Houston,Texas</v>
      </c>
      <c r="D1082" s="6" t="s">
        <v>1897</v>
      </c>
      <c r="E1082" s="6" t="s">
        <v>25</v>
      </c>
      <c r="F1082" s="6" t="s">
        <v>26</v>
      </c>
      <c r="G1082" s="6" t="s">
        <v>502</v>
      </c>
      <c r="H1082" s="6" t="s">
        <v>50</v>
      </c>
      <c r="I1082" s="6" t="str">
        <f>VLOOKUP(H1082,'Flow Location'!$A$1:$B$21,2,FALSE)</f>
        <v>Contained On Site, not within 5 ft. of Bayou/Surface Water/Drainage Ditch</v>
      </c>
      <c r="J1082" s="20">
        <v>0.0</v>
      </c>
      <c r="K1082" s="6" t="s">
        <v>51</v>
      </c>
      <c r="L1082" s="6" t="str">
        <f>VLOOKUP(K1082,'Structure type'!$A$1:$B$15,2,FALSE)</f>
        <v>Private Cleanout</v>
      </c>
      <c r="M1082" s="6" t="s">
        <v>52</v>
      </c>
      <c r="N1082" s="6" t="str">
        <f>VLOOKUP(M1082,'Excursion Cause'!$A$1:$B$34,2,FALSE)</f>
        <v>Collection system structural blockage</v>
      </c>
      <c r="O1082" s="21">
        <v>44610.0</v>
      </c>
      <c r="P1082" s="6" t="s">
        <v>1144</v>
      </c>
      <c r="Q1082" s="21">
        <v>44610.0</v>
      </c>
      <c r="R1082" s="6" t="s">
        <v>1144</v>
      </c>
      <c r="S1082" s="20">
        <v>0.0</v>
      </c>
      <c r="T1082" s="6" t="s">
        <v>170</v>
      </c>
      <c r="U1082" s="6"/>
      <c r="V1082" s="6"/>
      <c r="W1082" s="6">
        <v>29.8669902</v>
      </c>
      <c r="X1082" s="6">
        <v>-95.4368967</v>
      </c>
    </row>
    <row r="1083" ht="15.75" customHeight="1">
      <c r="A1083" s="6">
        <v>13750.0</v>
      </c>
      <c r="B1083" s="6">
        <v>2022.0</v>
      </c>
      <c r="C1083" s="6" t="str">
        <f t="shared" si="5"/>
        <v>812 WAINWRIGHT ST,Houston,Texas</v>
      </c>
      <c r="D1083" s="6" t="s">
        <v>1898</v>
      </c>
      <c r="E1083" s="6" t="s">
        <v>25</v>
      </c>
      <c r="F1083" s="6" t="s">
        <v>26</v>
      </c>
      <c r="G1083" s="6" t="s">
        <v>653</v>
      </c>
      <c r="H1083" s="6" t="s">
        <v>50</v>
      </c>
      <c r="I1083" s="6" t="str">
        <f>VLOOKUP(H1083,'Flow Location'!$A$1:$B$21,2,FALSE)</f>
        <v>Contained On Site, not within 5 ft. of Bayou/Surface Water/Drainage Ditch</v>
      </c>
      <c r="J1083" s="20">
        <v>0.0</v>
      </c>
      <c r="K1083" s="6" t="s">
        <v>45</v>
      </c>
      <c r="L1083" s="6" t="str">
        <f>VLOOKUP(K1083,'Structure type'!$A$1:$B$15,2,FALSE)</f>
        <v>City Cleanout</v>
      </c>
      <c r="M1083" s="6" t="s">
        <v>52</v>
      </c>
      <c r="N1083" s="6" t="str">
        <f>VLOOKUP(M1083,'Excursion Cause'!$A$1:$B$34,2,FALSE)</f>
        <v>Collection system structural blockage</v>
      </c>
      <c r="O1083" s="21">
        <v>44610.0</v>
      </c>
      <c r="P1083" s="6" t="s">
        <v>565</v>
      </c>
      <c r="Q1083" s="21">
        <v>44610.0</v>
      </c>
      <c r="R1083" s="6" t="s">
        <v>565</v>
      </c>
      <c r="S1083" s="20">
        <v>0.0</v>
      </c>
      <c r="T1083" s="6" t="s">
        <v>118</v>
      </c>
      <c r="U1083" s="6"/>
      <c r="V1083" s="6"/>
      <c r="W1083" s="6">
        <v>29.8247582</v>
      </c>
      <c r="X1083" s="6">
        <v>-95.3606508</v>
      </c>
    </row>
    <row r="1084" ht="15.75" customHeight="1">
      <c r="A1084" s="6">
        <v>13751.0</v>
      </c>
      <c r="B1084" s="6">
        <v>2022.0</v>
      </c>
      <c r="C1084" s="6" t="str">
        <f t="shared" si="5"/>
        <v>4412 N SHEPHERD DR,Houston,Texas</v>
      </c>
      <c r="D1084" s="6" t="s">
        <v>1899</v>
      </c>
      <c r="E1084" s="6" t="s">
        <v>25</v>
      </c>
      <c r="F1084" s="6" t="s">
        <v>26</v>
      </c>
      <c r="G1084" s="6" t="s">
        <v>218</v>
      </c>
      <c r="H1084" s="6" t="s">
        <v>1724</v>
      </c>
      <c r="I1084" s="6" t="str">
        <f>VLOOKUP(H1084,'Flow Location'!$A$1:$B$21,2,FALSE)</f>
        <v>Storm Sewer (not contained)</v>
      </c>
      <c r="J1084" s="20">
        <v>71.0</v>
      </c>
      <c r="K1084" s="6" t="s">
        <v>29</v>
      </c>
      <c r="L1084" s="6" t="str">
        <f>VLOOKUP(K1084,'Structure type'!$A$1:$B$15,2,FALSE)</f>
        <v>Manhole</v>
      </c>
      <c r="M1084" s="6" t="s">
        <v>56</v>
      </c>
      <c r="N1084" s="6" t="str">
        <f>VLOOKUP(M1084,'Excursion Cause'!$A$1:$B$34,2,FALSE)</f>
        <v>Rags/Wipes</v>
      </c>
      <c r="O1084" s="21">
        <v>44610.0</v>
      </c>
      <c r="P1084" s="6" t="s">
        <v>363</v>
      </c>
      <c r="Q1084" s="21">
        <v>44610.0</v>
      </c>
      <c r="R1084" s="6" t="s">
        <v>580</v>
      </c>
      <c r="S1084" s="20">
        <v>1.0</v>
      </c>
      <c r="T1084" s="6" t="s">
        <v>1900</v>
      </c>
      <c r="U1084" s="6"/>
      <c r="V1084" s="6"/>
      <c r="W1084" s="6">
        <v>29.828599</v>
      </c>
      <c r="X1084" s="6">
        <v>-95.4097451</v>
      </c>
    </row>
    <row r="1085" ht="15.75" customHeight="1">
      <c r="A1085" s="6">
        <v>13753.0</v>
      </c>
      <c r="B1085" s="6">
        <v>2022.0</v>
      </c>
      <c r="C1085" s="6" t="str">
        <f t="shared" si="5"/>
        <v>2222 BELLEFONTAINE ST,Houston,Texas</v>
      </c>
      <c r="D1085" s="6" t="s">
        <v>1901</v>
      </c>
      <c r="E1085" s="6" t="s">
        <v>25</v>
      </c>
      <c r="F1085" s="6" t="s">
        <v>26</v>
      </c>
      <c r="G1085" s="6" t="s">
        <v>512</v>
      </c>
      <c r="H1085" s="6" t="s">
        <v>1724</v>
      </c>
      <c r="I1085" s="6" t="str">
        <f>VLOOKUP(H1085,'Flow Location'!$A$1:$B$21,2,FALSE)</f>
        <v>Storm Sewer (not contained)</v>
      </c>
      <c r="J1085" s="20">
        <v>888.0</v>
      </c>
      <c r="K1085" s="6" t="s">
        <v>29</v>
      </c>
      <c r="L1085" s="6" t="str">
        <f>VLOOKUP(K1085,'Structure type'!$A$1:$B$15,2,FALSE)</f>
        <v>Manhole</v>
      </c>
      <c r="M1085" s="6" t="s">
        <v>1902</v>
      </c>
      <c r="N1085" s="6" t="str">
        <f>VLOOKUP(M1085,'Excursion Cause'!$A$1:$B$34,2,FALSE)</f>
        <v>Grease Blockage</v>
      </c>
      <c r="O1085" s="21">
        <v>44610.0</v>
      </c>
      <c r="P1085" s="6" t="s">
        <v>1095</v>
      </c>
      <c r="Q1085" s="21">
        <v>44610.0</v>
      </c>
      <c r="R1085" s="6" t="s">
        <v>1056</v>
      </c>
      <c r="S1085" s="20">
        <v>3.0</v>
      </c>
      <c r="T1085" s="6" t="s">
        <v>1903</v>
      </c>
      <c r="U1085" s="6"/>
      <c r="V1085" s="6"/>
      <c r="W1085" s="6">
        <v>29.7046623</v>
      </c>
      <c r="X1085" s="6">
        <v>-95.4110952</v>
      </c>
    </row>
    <row r="1086" ht="15.75" customHeight="1">
      <c r="A1086" s="6">
        <v>13754.0</v>
      </c>
      <c r="B1086" s="6">
        <v>2022.0</v>
      </c>
      <c r="C1086" s="6" t="str">
        <f t="shared" si="5"/>
        <v>2473 BRIARWEST BLVD,Houston,Texas</v>
      </c>
      <c r="D1086" s="6" t="s">
        <v>1904</v>
      </c>
      <c r="E1086" s="6" t="s">
        <v>25</v>
      </c>
      <c r="F1086" s="6" t="s">
        <v>26</v>
      </c>
      <c r="G1086" s="6" t="s">
        <v>347</v>
      </c>
      <c r="H1086" s="6" t="s">
        <v>50</v>
      </c>
      <c r="I1086" s="6" t="str">
        <f>VLOOKUP(H1086,'Flow Location'!$A$1:$B$21,2,FALSE)</f>
        <v>Contained On Site, not within 5 ft. of Bayou/Surface Water/Drainage Ditch</v>
      </c>
      <c r="J1086" s="20">
        <v>0.0</v>
      </c>
      <c r="K1086" s="6" t="s">
        <v>198</v>
      </c>
      <c r="L1086" s="6" t="str">
        <f>VLOOKUP(K1086,'Structure type'!$A$1:$B$15,2,FALSE)</f>
        <v>Service Lateral</v>
      </c>
      <c r="M1086" s="6" t="s">
        <v>52</v>
      </c>
      <c r="N1086" s="6" t="str">
        <f>VLOOKUP(M1086,'Excursion Cause'!$A$1:$B$34,2,FALSE)</f>
        <v>Collection system structural blockage</v>
      </c>
      <c r="O1086" s="21">
        <v>44610.0</v>
      </c>
      <c r="P1086" s="6" t="s">
        <v>244</v>
      </c>
      <c r="Q1086" s="21">
        <v>44610.0</v>
      </c>
      <c r="R1086" s="6" t="s">
        <v>244</v>
      </c>
      <c r="S1086" s="20">
        <v>0.0</v>
      </c>
      <c r="T1086" s="6" t="s">
        <v>118</v>
      </c>
      <c r="U1086" s="6"/>
      <c r="V1086" s="6"/>
      <c r="W1086" s="6">
        <v>29.7376415</v>
      </c>
      <c r="X1086" s="6">
        <v>-95.6133041</v>
      </c>
    </row>
    <row r="1087" ht="15.75" customHeight="1">
      <c r="A1087" s="6">
        <v>13756.0</v>
      </c>
      <c r="B1087" s="6">
        <v>2022.0</v>
      </c>
      <c r="C1087" s="6" t="str">
        <f t="shared" si="5"/>
        <v>7911 TUFFLY ST,Houston,Texas</v>
      </c>
      <c r="D1087" s="6" t="s">
        <v>1905</v>
      </c>
      <c r="E1087" s="6" t="s">
        <v>25</v>
      </c>
      <c r="F1087" s="6" t="s">
        <v>26</v>
      </c>
      <c r="G1087" s="6" t="s">
        <v>247</v>
      </c>
      <c r="H1087" s="6" t="s">
        <v>44</v>
      </c>
      <c r="I1087" s="6" t="str">
        <f>VLOOKUP(H1087,'Flow Location'!$A$1:$B$21,2,FALSE)</f>
        <v>Bayou/surface water/drainage ditch</v>
      </c>
      <c r="J1087" s="20">
        <v>2524.0</v>
      </c>
      <c r="K1087" s="6" t="s">
        <v>45</v>
      </c>
      <c r="L1087" s="6" t="str">
        <f>VLOOKUP(K1087,'Structure type'!$A$1:$B$15,2,FALSE)</f>
        <v>City Cleanout</v>
      </c>
      <c r="M1087" s="6" t="s">
        <v>1906</v>
      </c>
      <c r="N1087" s="6" t="str">
        <f>VLOOKUP(M1087,'Excursion Cause'!$A$1:$B$34,2,FALSE)</f>
        <v>Collection system structural blockage</v>
      </c>
      <c r="O1087" s="21">
        <v>44610.0</v>
      </c>
      <c r="P1087" s="6" t="s">
        <v>730</v>
      </c>
      <c r="Q1087" s="21">
        <v>44611.0</v>
      </c>
      <c r="R1087" s="6" t="s">
        <v>506</v>
      </c>
      <c r="S1087" s="20">
        <v>2.0</v>
      </c>
      <c r="T1087" s="6" t="s">
        <v>33</v>
      </c>
      <c r="U1087" s="6"/>
      <c r="V1087" s="6"/>
      <c r="W1087" s="6">
        <v>29.7550886</v>
      </c>
      <c r="X1087" s="6">
        <v>-95.2865453</v>
      </c>
    </row>
    <row r="1088" ht="15.75" customHeight="1">
      <c r="A1088" s="6">
        <v>13757.0</v>
      </c>
      <c r="B1088" s="6">
        <v>2022.0</v>
      </c>
      <c r="C1088" s="6" t="str">
        <f t="shared" si="5"/>
        <v>1730 CRESTDALE DR,Houston,Texas</v>
      </c>
      <c r="D1088" s="6" t="s">
        <v>1907</v>
      </c>
      <c r="E1088" s="6" t="s">
        <v>25</v>
      </c>
      <c r="F1088" s="6" t="s">
        <v>26</v>
      </c>
      <c r="G1088" s="6" t="s">
        <v>294</v>
      </c>
      <c r="H1088" s="6" t="s">
        <v>1724</v>
      </c>
      <c r="I1088" s="6" t="str">
        <f>VLOOKUP(H1088,'Flow Location'!$A$1:$B$21,2,FALSE)</f>
        <v>Storm Sewer (not contained)</v>
      </c>
      <c r="J1088" s="20">
        <v>3963.0</v>
      </c>
      <c r="K1088" s="6" t="s">
        <v>45</v>
      </c>
      <c r="L1088" s="6" t="str">
        <f>VLOOKUP(K1088,'Structure type'!$A$1:$B$15,2,FALSE)</f>
        <v>City Cleanout</v>
      </c>
      <c r="M1088" s="6" t="s">
        <v>1908</v>
      </c>
      <c r="N1088" s="6" t="str">
        <f>VLOOKUP(M1088,'Excursion Cause'!$A$1:$B$34,2,FALSE)</f>
        <v>Grease Blockage</v>
      </c>
      <c r="O1088" s="21">
        <v>44610.0</v>
      </c>
      <c r="P1088" s="6" t="s">
        <v>348</v>
      </c>
      <c r="Q1088" s="21">
        <v>44610.0</v>
      </c>
      <c r="R1088" s="6" t="s">
        <v>348</v>
      </c>
      <c r="S1088" s="20">
        <v>0.0</v>
      </c>
      <c r="T1088" s="6" t="s">
        <v>1909</v>
      </c>
      <c r="U1088" s="6"/>
      <c r="V1088" s="6"/>
      <c r="W1088" s="6">
        <v>29.8049307</v>
      </c>
      <c r="X1088" s="6">
        <v>-95.5304203</v>
      </c>
    </row>
    <row r="1089" ht="15.75" customHeight="1">
      <c r="A1089" s="6">
        <v>13759.0</v>
      </c>
      <c r="B1089" s="6">
        <v>2022.0</v>
      </c>
      <c r="C1089" s="6" t="str">
        <f t="shared" si="5"/>
        <v>7005 CONLEY ST,Houston,Texas</v>
      </c>
      <c r="D1089" s="6" t="s">
        <v>1910</v>
      </c>
      <c r="E1089" s="6" t="s">
        <v>25</v>
      </c>
      <c r="F1089" s="6" t="s">
        <v>26</v>
      </c>
      <c r="G1089" s="6" t="s">
        <v>238</v>
      </c>
      <c r="H1089" s="6" t="s">
        <v>50</v>
      </c>
      <c r="I1089" s="6" t="str">
        <f>VLOOKUP(H1089,'Flow Location'!$A$1:$B$21,2,FALSE)</f>
        <v>Contained On Site, not within 5 ft. of Bayou/Surface Water/Drainage Ditch</v>
      </c>
      <c r="J1089" s="20">
        <v>0.0</v>
      </c>
      <c r="K1089" s="6" t="s">
        <v>45</v>
      </c>
      <c r="L1089" s="6" t="str">
        <f>VLOOKUP(K1089,'Structure type'!$A$1:$B$15,2,FALSE)</f>
        <v>City Cleanout</v>
      </c>
      <c r="M1089" s="6" t="s">
        <v>30</v>
      </c>
      <c r="N1089" s="6" t="str">
        <f>VLOOKUP(M1089,'Excursion Cause'!$A$1:$B$34,2,FALSE)</f>
        <v>Grease Blockage</v>
      </c>
      <c r="O1089" s="21">
        <v>44610.0</v>
      </c>
      <c r="P1089" s="6" t="s">
        <v>606</v>
      </c>
      <c r="Q1089" s="21">
        <v>44610.0</v>
      </c>
      <c r="R1089" s="6" t="s">
        <v>606</v>
      </c>
      <c r="S1089" s="20">
        <v>0.0</v>
      </c>
      <c r="T1089" s="6" t="s">
        <v>59</v>
      </c>
      <c r="U1089" s="6"/>
      <c r="V1089" s="6"/>
      <c r="W1089" s="6">
        <v>29.688441</v>
      </c>
      <c r="X1089" s="6">
        <v>-95.359057</v>
      </c>
    </row>
    <row r="1090" ht="15.75" customHeight="1">
      <c r="A1090" s="6">
        <v>13762.0</v>
      </c>
      <c r="B1090" s="6">
        <v>2022.0</v>
      </c>
      <c r="C1090" s="6" t="str">
        <f t="shared" si="5"/>
        <v>8245 JET PILOT ST,Houston,Texas</v>
      </c>
      <c r="D1090" s="6" t="s">
        <v>1911</v>
      </c>
      <c r="E1090" s="6" t="s">
        <v>25</v>
      </c>
      <c r="F1090" s="6" t="s">
        <v>26</v>
      </c>
      <c r="G1090" s="6" t="s">
        <v>95</v>
      </c>
      <c r="H1090" s="6" t="s">
        <v>50</v>
      </c>
      <c r="I1090" s="6" t="str">
        <f>VLOOKUP(H1090,'Flow Location'!$A$1:$B$21,2,FALSE)</f>
        <v>Contained On Site, not within 5 ft. of Bayou/Surface Water/Drainage Ditch</v>
      </c>
      <c r="J1090" s="20">
        <v>0.0</v>
      </c>
      <c r="K1090" s="6" t="s">
        <v>45</v>
      </c>
      <c r="L1090" s="6" t="str">
        <f>VLOOKUP(K1090,'Structure type'!$A$1:$B$15,2,FALSE)</f>
        <v>City Cleanout</v>
      </c>
      <c r="M1090" s="6" t="s">
        <v>56</v>
      </c>
      <c r="N1090" s="6" t="str">
        <f>VLOOKUP(M1090,'Excursion Cause'!$A$1:$B$34,2,FALSE)</f>
        <v>Rags/Wipes</v>
      </c>
      <c r="O1090" s="21">
        <v>44610.0</v>
      </c>
      <c r="P1090" s="6" t="s">
        <v>1912</v>
      </c>
      <c r="Q1090" s="21">
        <v>44610.0</v>
      </c>
      <c r="R1090" s="6" t="s">
        <v>1912</v>
      </c>
      <c r="S1090" s="20">
        <v>0.0</v>
      </c>
      <c r="T1090" s="6" t="s">
        <v>270</v>
      </c>
      <c r="U1090" s="6"/>
      <c r="V1090" s="6"/>
      <c r="W1090" s="6">
        <v>29.6332739</v>
      </c>
      <c r="X1090" s="6">
        <v>-95.2719924</v>
      </c>
    </row>
    <row r="1091" ht="15.75" customHeight="1">
      <c r="A1091" s="6">
        <v>13768.0</v>
      </c>
      <c r="B1091" s="6">
        <v>2022.0</v>
      </c>
      <c r="C1091" s="6" t="str">
        <f t="shared" si="5"/>
        <v>981 KIRBY DR,Houston,Texas</v>
      </c>
      <c r="D1091" s="6" t="s">
        <v>1913</v>
      </c>
      <c r="E1091" s="6" t="s">
        <v>25</v>
      </c>
      <c r="F1091" s="6" t="s">
        <v>26</v>
      </c>
      <c r="G1091" s="6" t="s">
        <v>80</v>
      </c>
      <c r="H1091" s="6" t="s">
        <v>1724</v>
      </c>
      <c r="I1091" s="6" t="str">
        <f>VLOOKUP(H1091,'Flow Location'!$A$1:$B$21,2,FALSE)</f>
        <v>Storm Sewer (not contained)</v>
      </c>
      <c r="J1091" s="20">
        <v>68.0</v>
      </c>
      <c r="K1091" s="6" t="s">
        <v>29</v>
      </c>
      <c r="L1091" s="6" t="str">
        <f>VLOOKUP(K1091,'Structure type'!$A$1:$B$15,2,FALSE)</f>
        <v>Manhole</v>
      </c>
      <c r="M1091" s="6" t="s">
        <v>1914</v>
      </c>
      <c r="N1091" s="6" t="str">
        <f>VLOOKUP(M1091,'Excursion Cause'!$A$1:$B$34,2,FALSE)</f>
        <v>Grease Blockage</v>
      </c>
      <c r="O1091" s="21">
        <v>44611.0</v>
      </c>
      <c r="P1091" s="6" t="s">
        <v>796</v>
      </c>
      <c r="Q1091" s="21">
        <v>44611.0</v>
      </c>
      <c r="R1091" s="6" t="s">
        <v>901</v>
      </c>
      <c r="S1091" s="20">
        <v>1.0</v>
      </c>
      <c r="T1091" s="6" t="s">
        <v>1915</v>
      </c>
      <c r="U1091" s="6"/>
      <c r="V1091" s="6"/>
      <c r="W1091" s="6">
        <v>29.7582753</v>
      </c>
      <c r="X1091" s="6">
        <v>-95.4127315</v>
      </c>
    </row>
    <row r="1092" ht="15.75" customHeight="1">
      <c r="A1092" s="6">
        <v>13771.0</v>
      </c>
      <c r="B1092" s="6">
        <v>2022.0</v>
      </c>
      <c r="C1092" s="6" t="str">
        <f t="shared" si="5"/>
        <v>12510 S GREEN DR,Houston,Texas</v>
      </c>
      <c r="D1092" s="6" t="s">
        <v>1916</v>
      </c>
      <c r="E1092" s="6" t="s">
        <v>25</v>
      </c>
      <c r="F1092" s="6" t="s">
        <v>26</v>
      </c>
      <c r="G1092" s="6" t="s">
        <v>49</v>
      </c>
      <c r="H1092" s="6" t="s">
        <v>1724</v>
      </c>
      <c r="I1092" s="6" t="str">
        <f>VLOOKUP(H1092,'Flow Location'!$A$1:$B$21,2,FALSE)</f>
        <v>Storm Sewer (not contained)</v>
      </c>
      <c r="J1092" s="20">
        <v>5096.0</v>
      </c>
      <c r="K1092" s="6" t="s">
        <v>29</v>
      </c>
      <c r="L1092" s="6" t="str">
        <f>VLOOKUP(K1092,'Structure type'!$A$1:$B$15,2,FALSE)</f>
        <v>Manhole</v>
      </c>
      <c r="M1092" s="6" t="s">
        <v>1917</v>
      </c>
      <c r="N1092" s="6" t="str">
        <f>VLOOKUP(M1092,'Excursion Cause'!$A$1:$B$34,2,FALSE)</f>
        <v>Grease Blockage</v>
      </c>
      <c r="O1092" s="21">
        <v>44611.0</v>
      </c>
      <c r="P1092" s="6" t="s">
        <v>872</v>
      </c>
      <c r="Q1092" s="21">
        <v>44612.0</v>
      </c>
      <c r="R1092" s="6" t="s">
        <v>826</v>
      </c>
      <c r="S1092" s="20">
        <v>4.0</v>
      </c>
      <c r="T1092" s="6" t="s">
        <v>1918</v>
      </c>
      <c r="U1092" s="6"/>
      <c r="V1092" s="6"/>
      <c r="W1092" s="6">
        <v>29.6208888</v>
      </c>
      <c r="X1092" s="6">
        <v>-95.2176321</v>
      </c>
    </row>
    <row r="1093" ht="15.75" customHeight="1">
      <c r="A1093" s="6">
        <v>13772.0</v>
      </c>
      <c r="B1093" s="6">
        <v>2022.0</v>
      </c>
      <c r="C1093" s="6" t="str">
        <f t="shared" si="5"/>
        <v>8323 CINNAMON LN,Houston,Texas</v>
      </c>
      <c r="D1093" s="6" t="s">
        <v>1919</v>
      </c>
      <c r="E1093" s="6" t="s">
        <v>25</v>
      </c>
      <c r="F1093" s="6" t="s">
        <v>26</v>
      </c>
      <c r="G1093" s="6" t="s">
        <v>91</v>
      </c>
      <c r="H1093" s="6" t="s">
        <v>1724</v>
      </c>
      <c r="I1093" s="6" t="str">
        <f>VLOOKUP(H1093,'Flow Location'!$A$1:$B$21,2,FALSE)</f>
        <v>Storm Sewer (not contained)</v>
      </c>
      <c r="J1093" s="20">
        <v>532.0</v>
      </c>
      <c r="K1093" s="6" t="s">
        <v>29</v>
      </c>
      <c r="L1093" s="6" t="str">
        <f>VLOOKUP(K1093,'Structure type'!$A$1:$B$15,2,FALSE)</f>
        <v>Manhole</v>
      </c>
      <c r="M1093" s="6" t="s">
        <v>1920</v>
      </c>
      <c r="N1093" s="6" t="str">
        <f>VLOOKUP(M1093,'Excursion Cause'!$A$1:$B$34,2,FALSE)</f>
        <v>Grease Blockage</v>
      </c>
      <c r="O1093" s="21">
        <v>44611.0</v>
      </c>
      <c r="P1093" s="6" t="s">
        <v>367</v>
      </c>
      <c r="Q1093" s="21">
        <v>44611.0</v>
      </c>
      <c r="R1093" s="6" t="s">
        <v>547</v>
      </c>
      <c r="S1093" s="20">
        <v>4.0</v>
      </c>
      <c r="T1093" s="6" t="s">
        <v>1921</v>
      </c>
      <c r="U1093" s="6"/>
      <c r="V1093" s="6"/>
      <c r="W1093" s="6">
        <v>29.6885587</v>
      </c>
      <c r="X1093" s="6">
        <v>-95.5648865</v>
      </c>
    </row>
    <row r="1094" ht="15.75" customHeight="1">
      <c r="A1094" s="6">
        <v>13773.0</v>
      </c>
      <c r="B1094" s="6">
        <v>2022.0</v>
      </c>
      <c r="C1094" s="6" t="str">
        <f t="shared" si="5"/>
        <v>818 PENNINGTON ST,Houston,Texas</v>
      </c>
      <c r="D1094" s="6" t="s">
        <v>1922</v>
      </c>
      <c r="E1094" s="6" t="s">
        <v>25</v>
      </c>
      <c r="F1094" s="6" t="s">
        <v>26</v>
      </c>
      <c r="G1094" s="6" t="s">
        <v>653</v>
      </c>
      <c r="H1094" s="6" t="s">
        <v>1724</v>
      </c>
      <c r="I1094" s="6" t="str">
        <f>VLOOKUP(H1094,'Flow Location'!$A$1:$B$21,2,FALSE)</f>
        <v>Storm Sewer (not contained)</v>
      </c>
      <c r="J1094" s="20">
        <v>0.0</v>
      </c>
      <c r="K1094" s="6" t="s">
        <v>29</v>
      </c>
      <c r="L1094" s="6" t="str">
        <f>VLOOKUP(K1094,'Structure type'!$A$1:$B$15,2,FALSE)</f>
        <v>Manhole</v>
      </c>
      <c r="M1094" s="6" t="s">
        <v>1923</v>
      </c>
      <c r="N1094" s="6" t="str">
        <f>VLOOKUP(M1094,'Excursion Cause'!$A$1:$B$34,2,FALSE)</f>
        <v>Grease Blockage</v>
      </c>
      <c r="O1094" s="21">
        <v>44611.0</v>
      </c>
      <c r="P1094" s="6" t="s">
        <v>751</v>
      </c>
      <c r="Q1094" s="21">
        <v>44611.0</v>
      </c>
      <c r="R1094" s="6" t="s">
        <v>751</v>
      </c>
      <c r="S1094" s="20">
        <v>0.0</v>
      </c>
      <c r="T1094" s="6" t="s">
        <v>1924</v>
      </c>
      <c r="U1094" s="6"/>
      <c r="V1094" s="6"/>
      <c r="W1094" s="6">
        <v>29.8441153</v>
      </c>
      <c r="X1094" s="6">
        <v>-95.3640543</v>
      </c>
    </row>
    <row r="1095" ht="15.75" customHeight="1">
      <c r="A1095" s="6">
        <v>13774.0</v>
      </c>
      <c r="B1095" s="6">
        <v>2022.0</v>
      </c>
      <c r="C1095" s="6" t="str">
        <f t="shared" si="5"/>
        <v>6023 FONDREN RD,Houston,Texas</v>
      </c>
      <c r="D1095" s="6" t="s">
        <v>1925</v>
      </c>
      <c r="E1095" s="6" t="s">
        <v>25</v>
      </c>
      <c r="F1095" s="6" t="s">
        <v>26</v>
      </c>
      <c r="G1095" s="6" t="s">
        <v>100</v>
      </c>
      <c r="H1095" s="6" t="s">
        <v>1724</v>
      </c>
      <c r="I1095" s="6" t="str">
        <f>VLOOKUP(H1095,'Flow Location'!$A$1:$B$21,2,FALSE)</f>
        <v>Storm Sewer (not contained)</v>
      </c>
      <c r="J1095" s="20">
        <v>984.0</v>
      </c>
      <c r="K1095" s="6" t="s">
        <v>29</v>
      </c>
      <c r="L1095" s="6" t="str">
        <f>VLOOKUP(K1095,'Structure type'!$A$1:$B$15,2,FALSE)</f>
        <v>Manhole</v>
      </c>
      <c r="M1095" s="6" t="s">
        <v>1926</v>
      </c>
      <c r="N1095" s="6" t="str">
        <f>VLOOKUP(M1095,'Excursion Cause'!$A$1:$B$34,2,FALSE)</f>
        <v>Grease Blockage</v>
      </c>
      <c r="O1095" s="21">
        <v>44611.0</v>
      </c>
      <c r="P1095" s="6" t="s">
        <v>1855</v>
      </c>
      <c r="Q1095" s="21">
        <v>44611.0</v>
      </c>
      <c r="R1095" s="6" t="s">
        <v>704</v>
      </c>
      <c r="S1095" s="20">
        <v>6.0</v>
      </c>
      <c r="T1095" s="6" t="s">
        <v>1927</v>
      </c>
      <c r="U1095" s="6"/>
      <c r="V1095" s="6"/>
      <c r="W1095" s="6">
        <v>29.714072</v>
      </c>
      <c r="X1095" s="6">
        <v>-95.5200045</v>
      </c>
    </row>
    <row r="1096" ht="15.75" customHeight="1">
      <c r="A1096" s="6">
        <v>13775.0</v>
      </c>
      <c r="B1096" s="6">
        <v>2022.0</v>
      </c>
      <c r="C1096" s="6" t="str">
        <f t="shared" si="5"/>
        <v>9603 HOMESTEAD RD,Houston,Texas</v>
      </c>
      <c r="D1096" s="6" t="s">
        <v>1826</v>
      </c>
      <c r="E1096" s="6" t="s">
        <v>25</v>
      </c>
      <c r="F1096" s="6" t="s">
        <v>26</v>
      </c>
      <c r="G1096" s="6" t="s">
        <v>326</v>
      </c>
      <c r="H1096" s="6" t="s">
        <v>50</v>
      </c>
      <c r="I1096" s="6" t="str">
        <f>VLOOKUP(H1096,'Flow Location'!$A$1:$B$21,2,FALSE)</f>
        <v>Contained On Site, not within 5 ft. of Bayou/Surface Water/Drainage Ditch</v>
      </c>
      <c r="J1096" s="20">
        <v>206.0</v>
      </c>
      <c r="K1096" s="6" t="s">
        <v>29</v>
      </c>
      <c r="L1096" s="6" t="str">
        <f>VLOOKUP(K1096,'Structure type'!$A$1:$B$15,2,FALSE)</f>
        <v>Manhole</v>
      </c>
      <c r="M1096" s="6" t="s">
        <v>30</v>
      </c>
      <c r="N1096" s="6" t="str">
        <f>VLOOKUP(M1096,'Excursion Cause'!$A$1:$B$34,2,FALSE)</f>
        <v>Grease Blockage</v>
      </c>
      <c r="O1096" s="21">
        <v>44611.0</v>
      </c>
      <c r="P1096" s="6" t="s">
        <v>1128</v>
      </c>
      <c r="Q1096" s="21">
        <v>44611.0</v>
      </c>
      <c r="R1096" s="6" t="s">
        <v>1146</v>
      </c>
      <c r="S1096" s="20">
        <v>2.0</v>
      </c>
      <c r="T1096" s="6" t="s">
        <v>1928</v>
      </c>
      <c r="U1096" s="6"/>
      <c r="V1096" s="6"/>
      <c r="W1096" s="6">
        <v>29.8518542</v>
      </c>
      <c r="X1096" s="6">
        <v>-95.3023481</v>
      </c>
    </row>
    <row r="1097" ht="15.75" customHeight="1">
      <c r="A1097" s="6">
        <v>13779.0</v>
      </c>
      <c r="B1097" s="6">
        <v>2022.0</v>
      </c>
      <c r="C1097" s="6" t="str">
        <f t="shared" si="5"/>
        <v>5606 CAVANAUGH ST,Houston,Texas</v>
      </c>
      <c r="D1097" s="6" t="s">
        <v>1929</v>
      </c>
      <c r="E1097" s="6" t="s">
        <v>25</v>
      </c>
      <c r="F1097" s="6" t="s">
        <v>26</v>
      </c>
      <c r="G1097" s="6" t="s">
        <v>238</v>
      </c>
      <c r="H1097" s="6" t="s">
        <v>50</v>
      </c>
      <c r="I1097" s="6" t="str">
        <f>VLOOKUP(H1097,'Flow Location'!$A$1:$B$21,2,FALSE)</f>
        <v>Contained On Site, not within 5 ft. of Bayou/Surface Water/Drainage Ditch</v>
      </c>
      <c r="J1097" s="20">
        <v>0.0</v>
      </c>
      <c r="K1097" s="6" t="s">
        <v>51</v>
      </c>
      <c r="L1097" s="6" t="str">
        <f>VLOOKUP(K1097,'Structure type'!$A$1:$B$15,2,FALSE)</f>
        <v>Private Cleanout</v>
      </c>
      <c r="M1097" s="6" t="s">
        <v>52</v>
      </c>
      <c r="N1097" s="6" t="str">
        <f>VLOOKUP(M1097,'Excursion Cause'!$A$1:$B$34,2,FALSE)</f>
        <v>Collection system structural blockage</v>
      </c>
      <c r="O1097" s="21">
        <v>44611.0</v>
      </c>
      <c r="P1097" s="6" t="s">
        <v>1930</v>
      </c>
      <c r="Q1097" s="21">
        <v>44611.0</v>
      </c>
      <c r="R1097" s="6" t="s">
        <v>1930</v>
      </c>
      <c r="S1097" s="20">
        <v>0.0</v>
      </c>
      <c r="T1097" s="6" t="s">
        <v>118</v>
      </c>
      <c r="U1097" s="6"/>
      <c r="V1097" s="6"/>
      <c r="W1097" s="6">
        <v>29.6983845</v>
      </c>
      <c r="X1097" s="6">
        <v>-95.3332081</v>
      </c>
    </row>
    <row r="1098" ht="15.75" customHeight="1">
      <c r="A1098" s="6">
        <v>13782.0</v>
      </c>
      <c r="B1098" s="6">
        <v>2022.0</v>
      </c>
      <c r="C1098" s="6" t="str">
        <f t="shared" si="5"/>
        <v>817 MILWAUKEE ST,Houston,Texas</v>
      </c>
      <c r="D1098" s="6" t="s">
        <v>1931</v>
      </c>
      <c r="E1098" s="6" t="s">
        <v>25</v>
      </c>
      <c r="F1098" s="6" t="s">
        <v>26</v>
      </c>
      <c r="G1098" s="6" t="s">
        <v>161</v>
      </c>
      <c r="H1098" s="6" t="s">
        <v>50</v>
      </c>
      <c r="I1098" s="6" t="str">
        <f>VLOOKUP(H1098,'Flow Location'!$A$1:$B$21,2,FALSE)</f>
        <v>Contained On Site, not within 5 ft. of Bayou/Surface Water/Drainage Ditch</v>
      </c>
      <c r="J1098" s="20">
        <v>0.0</v>
      </c>
      <c r="K1098" s="6" t="s">
        <v>51</v>
      </c>
      <c r="L1098" s="6" t="str">
        <f>VLOOKUP(K1098,'Structure type'!$A$1:$B$15,2,FALSE)</f>
        <v>Private Cleanout</v>
      </c>
      <c r="M1098" s="6" t="s">
        <v>30</v>
      </c>
      <c r="N1098" s="6" t="str">
        <f>VLOOKUP(M1098,'Excursion Cause'!$A$1:$B$34,2,FALSE)</f>
        <v>Grease Blockage</v>
      </c>
      <c r="O1098" s="21">
        <v>44612.0</v>
      </c>
      <c r="P1098" s="6" t="s">
        <v>995</v>
      </c>
      <c r="Q1098" s="21">
        <v>44612.0</v>
      </c>
      <c r="R1098" s="6" t="s">
        <v>995</v>
      </c>
      <c r="S1098" s="20">
        <v>0.0</v>
      </c>
      <c r="T1098" s="6" t="s">
        <v>33</v>
      </c>
      <c r="U1098" s="6"/>
      <c r="V1098" s="6"/>
      <c r="W1098" s="6">
        <v>29.8097091</v>
      </c>
      <c r="X1098" s="6">
        <v>-95.3596807</v>
      </c>
    </row>
    <row r="1099" ht="15.75" customHeight="1">
      <c r="A1099" s="6">
        <v>13787.0</v>
      </c>
      <c r="B1099" s="6">
        <v>2022.0</v>
      </c>
      <c r="C1099" s="6" t="str">
        <f t="shared" si="5"/>
        <v>8007 CAPITOL ST,Houston,Texas</v>
      </c>
      <c r="D1099" s="6" t="s">
        <v>1264</v>
      </c>
      <c r="E1099" s="6" t="s">
        <v>25</v>
      </c>
      <c r="F1099" s="6" t="s">
        <v>26</v>
      </c>
      <c r="G1099" s="6" t="s">
        <v>365</v>
      </c>
      <c r="H1099" s="6" t="s">
        <v>50</v>
      </c>
      <c r="I1099" s="6" t="str">
        <f>VLOOKUP(H1099,'Flow Location'!$A$1:$B$21,2,FALSE)</f>
        <v>Contained On Site, not within 5 ft. of Bayou/Surface Water/Drainage Ditch</v>
      </c>
      <c r="J1099" s="20">
        <v>0.0</v>
      </c>
      <c r="K1099" s="6" t="s">
        <v>45</v>
      </c>
      <c r="L1099" s="6" t="str">
        <f>VLOOKUP(K1099,'Structure type'!$A$1:$B$15,2,FALSE)</f>
        <v>City Cleanout</v>
      </c>
      <c r="M1099" s="6" t="s">
        <v>30</v>
      </c>
      <c r="N1099" s="6" t="str">
        <f>VLOOKUP(M1099,'Excursion Cause'!$A$1:$B$34,2,FALSE)</f>
        <v>Grease Blockage</v>
      </c>
      <c r="O1099" s="21">
        <v>44612.0</v>
      </c>
      <c r="P1099" s="6" t="s">
        <v>1855</v>
      </c>
      <c r="Q1099" s="21">
        <v>44612.0</v>
      </c>
      <c r="R1099" s="6" t="s">
        <v>1855</v>
      </c>
      <c r="S1099" s="20">
        <v>0.0</v>
      </c>
      <c r="T1099" s="6" t="s">
        <v>270</v>
      </c>
      <c r="U1099" s="6"/>
      <c r="V1099" s="6"/>
      <c r="W1099" s="6">
        <v>29.7281795</v>
      </c>
      <c r="X1099" s="6">
        <v>-95.2822579</v>
      </c>
    </row>
    <row r="1100" ht="15.75" customHeight="1">
      <c r="A1100" s="6">
        <v>13788.0</v>
      </c>
      <c r="B1100" s="6">
        <v>2022.0</v>
      </c>
      <c r="C1100" s="6" t="str">
        <f t="shared" si="5"/>
        <v>5615 KNIGHTWOOD ST,Houston,Texas</v>
      </c>
      <c r="D1100" s="6" t="s">
        <v>1932</v>
      </c>
      <c r="E1100" s="6" t="s">
        <v>25</v>
      </c>
      <c r="F1100" s="6" t="s">
        <v>26</v>
      </c>
      <c r="G1100" s="6" t="s">
        <v>326</v>
      </c>
      <c r="H1100" s="6" t="s">
        <v>50</v>
      </c>
      <c r="I1100" s="6" t="str">
        <f>VLOOKUP(H1100,'Flow Location'!$A$1:$B$21,2,FALSE)</f>
        <v>Contained On Site, not within 5 ft. of Bayou/Surface Water/Drainage Ditch</v>
      </c>
      <c r="J1100" s="20">
        <v>0.0</v>
      </c>
      <c r="K1100" s="6" t="s">
        <v>51</v>
      </c>
      <c r="L1100" s="6" t="str">
        <f>VLOOKUP(K1100,'Structure type'!$A$1:$B$15,2,FALSE)</f>
        <v>Private Cleanout</v>
      </c>
      <c r="M1100" s="6" t="s">
        <v>30</v>
      </c>
      <c r="N1100" s="6" t="str">
        <f>VLOOKUP(M1100,'Excursion Cause'!$A$1:$B$34,2,FALSE)</f>
        <v>Grease Blockage</v>
      </c>
      <c r="O1100" s="21">
        <v>44612.0</v>
      </c>
      <c r="P1100" s="6" t="s">
        <v>577</v>
      </c>
      <c r="Q1100" s="21">
        <v>44612.0</v>
      </c>
      <c r="R1100" s="6" t="s">
        <v>577</v>
      </c>
      <c r="S1100" s="20">
        <v>0.0</v>
      </c>
      <c r="T1100" s="6" t="s">
        <v>59</v>
      </c>
      <c r="U1100" s="6"/>
      <c r="V1100" s="6"/>
      <c r="W1100" s="6">
        <v>29.8695481</v>
      </c>
      <c r="X1100" s="6">
        <v>-95.3081249</v>
      </c>
    </row>
    <row r="1101" ht="15.75" customHeight="1">
      <c r="A1101" s="6">
        <v>13794.0</v>
      </c>
      <c r="B1101" s="6">
        <v>2022.0</v>
      </c>
      <c r="C1101" s="6" t="str">
        <f t="shared" si="5"/>
        <v>16203 BOWRIDGE LN,Houston,Texas</v>
      </c>
      <c r="D1101" s="6" t="s">
        <v>1933</v>
      </c>
      <c r="E1101" s="6" t="s">
        <v>25</v>
      </c>
      <c r="F1101" s="6" t="s">
        <v>26</v>
      </c>
      <c r="G1101" s="6" t="s">
        <v>517</v>
      </c>
      <c r="H1101" s="6" t="s">
        <v>1724</v>
      </c>
      <c r="I1101" s="6" t="str">
        <f>VLOOKUP(H1101,'Flow Location'!$A$1:$B$21,2,FALSE)</f>
        <v>Storm Sewer (not contained)</v>
      </c>
      <c r="J1101" s="20">
        <v>846.0</v>
      </c>
      <c r="K1101" s="6" t="s">
        <v>29</v>
      </c>
      <c r="L1101" s="6" t="str">
        <f>VLOOKUP(K1101,'Structure type'!$A$1:$B$15,2,FALSE)</f>
        <v>Manhole</v>
      </c>
      <c r="M1101" s="6" t="s">
        <v>1934</v>
      </c>
      <c r="N1101" s="6" t="str">
        <f>VLOOKUP(M1101,'Excursion Cause'!$A$1:$B$34,2,FALSE)</f>
        <v>Grease Blockage</v>
      </c>
      <c r="O1101" s="21">
        <v>44613.0</v>
      </c>
      <c r="P1101" s="6" t="s">
        <v>867</v>
      </c>
      <c r="Q1101" s="21">
        <v>44613.0</v>
      </c>
      <c r="R1101" s="6" t="s">
        <v>802</v>
      </c>
      <c r="S1101" s="20">
        <v>3.0</v>
      </c>
      <c r="T1101" s="6" t="s">
        <v>1935</v>
      </c>
      <c r="U1101" s="6"/>
      <c r="V1101" s="6"/>
      <c r="W1101" s="6">
        <v>29.5921271</v>
      </c>
      <c r="X1101" s="6">
        <v>-95.4792762</v>
      </c>
    </row>
    <row r="1102" ht="15.75" customHeight="1">
      <c r="A1102" s="6">
        <v>13795.0</v>
      </c>
      <c r="B1102" s="6">
        <v>2022.0</v>
      </c>
      <c r="C1102" s="6" t="str">
        <f t="shared" si="5"/>
        <v>5322 TIMBER SHADE DR,Houston,Texas</v>
      </c>
      <c r="D1102" s="6" t="s">
        <v>1936</v>
      </c>
      <c r="E1102" s="6" t="s">
        <v>25</v>
      </c>
      <c r="F1102" s="6" t="s">
        <v>26</v>
      </c>
      <c r="G1102" s="6" t="s">
        <v>555</v>
      </c>
      <c r="H1102" s="6" t="s">
        <v>50</v>
      </c>
      <c r="I1102" s="6" t="str">
        <f>VLOOKUP(H1102,'Flow Location'!$A$1:$B$21,2,FALSE)</f>
        <v>Contained On Site, not within 5 ft. of Bayou/Surface Water/Drainage Ditch</v>
      </c>
      <c r="J1102" s="20">
        <v>5820.0</v>
      </c>
      <c r="K1102" s="6" t="s">
        <v>290</v>
      </c>
      <c r="L1102" s="6" t="str">
        <f>VLOOKUP(K1102,'Structure type'!$A$1:$B$15,2,FALSE)</f>
        <v>Gravity Main</v>
      </c>
      <c r="M1102" s="6" t="s">
        <v>81</v>
      </c>
      <c r="N1102" s="6" t="str">
        <f>VLOOKUP(M1102,'Excursion Cause'!$A$1:$B$34,2,FALSE)</f>
        <v>Collection system structural failure</v>
      </c>
      <c r="O1102" s="21">
        <v>44611.0</v>
      </c>
      <c r="P1102" s="6" t="s">
        <v>228</v>
      </c>
      <c r="Q1102" s="21">
        <v>44611.0</v>
      </c>
      <c r="R1102" s="6" t="s">
        <v>149</v>
      </c>
      <c r="S1102" s="20">
        <v>37.0</v>
      </c>
      <c r="T1102" s="6" t="s">
        <v>1937</v>
      </c>
      <c r="U1102" s="6"/>
      <c r="V1102" s="6"/>
      <c r="W1102" s="6">
        <v>30.0501791</v>
      </c>
      <c r="X1102" s="6">
        <v>-95.1645087</v>
      </c>
    </row>
    <row r="1103" ht="15.75" customHeight="1">
      <c r="A1103" s="6">
        <v>13798.0</v>
      </c>
      <c r="B1103" s="6">
        <v>2022.0</v>
      </c>
      <c r="C1103" s="6" t="str">
        <f t="shared" si="5"/>
        <v>4078 MERRICK ST,Houston,Texas</v>
      </c>
      <c r="D1103" s="6" t="s">
        <v>1938</v>
      </c>
      <c r="E1103" s="6" t="s">
        <v>25</v>
      </c>
      <c r="F1103" s="6" t="s">
        <v>26</v>
      </c>
      <c r="G1103" s="6" t="s">
        <v>65</v>
      </c>
      <c r="H1103" s="6" t="s">
        <v>1724</v>
      </c>
      <c r="I1103" s="6" t="str">
        <f>VLOOKUP(H1103,'Flow Location'!$A$1:$B$21,2,FALSE)</f>
        <v>Storm Sewer (not contained)</v>
      </c>
      <c r="J1103" s="20">
        <v>220.0</v>
      </c>
      <c r="K1103" s="6" t="s">
        <v>29</v>
      </c>
      <c r="L1103" s="6" t="str">
        <f>VLOOKUP(K1103,'Structure type'!$A$1:$B$15,2,FALSE)</f>
        <v>Manhole</v>
      </c>
      <c r="M1103" s="6" t="s">
        <v>1939</v>
      </c>
      <c r="N1103" s="6" t="str">
        <f>VLOOKUP(M1103,'Excursion Cause'!$A$1:$B$34,2,FALSE)</f>
        <v>Grease Blockage</v>
      </c>
      <c r="O1103" s="21">
        <v>44613.0</v>
      </c>
      <c r="P1103" s="6" t="s">
        <v>953</v>
      </c>
      <c r="Q1103" s="21">
        <v>44613.0</v>
      </c>
      <c r="R1103" s="6" t="s">
        <v>1940</v>
      </c>
      <c r="S1103" s="20">
        <v>0.0</v>
      </c>
      <c r="T1103" s="6" t="s">
        <v>1941</v>
      </c>
      <c r="U1103" s="6"/>
      <c r="V1103" s="6"/>
      <c r="W1103" s="6">
        <v>29.6974273</v>
      </c>
      <c r="X1103" s="6">
        <v>-95.4443378</v>
      </c>
    </row>
    <row r="1104" ht="15.75" customHeight="1">
      <c r="A1104" s="6">
        <v>13801.0</v>
      </c>
      <c r="B1104" s="6">
        <v>2022.0</v>
      </c>
      <c r="C1104" s="6" t="str">
        <f t="shared" si="5"/>
        <v>12905 BARCUS LN,Houston,Texas</v>
      </c>
      <c r="D1104" s="6" t="s">
        <v>1942</v>
      </c>
      <c r="E1104" s="6" t="s">
        <v>25</v>
      </c>
      <c r="F1104" s="6" t="s">
        <v>26</v>
      </c>
      <c r="G1104" s="6" t="s">
        <v>623</v>
      </c>
      <c r="H1104" s="6" t="s">
        <v>50</v>
      </c>
      <c r="I1104" s="6" t="str">
        <f>VLOOKUP(H1104,'Flow Location'!$A$1:$B$21,2,FALSE)</f>
        <v>Contained On Site, not within 5 ft. of Bayou/Surface Water/Drainage Ditch</v>
      </c>
      <c r="J1104" s="20">
        <v>0.0</v>
      </c>
      <c r="K1104" s="6" t="s">
        <v>198</v>
      </c>
      <c r="L1104" s="6" t="str">
        <f>VLOOKUP(K1104,'Structure type'!$A$1:$B$15,2,FALSE)</f>
        <v>Service Lateral</v>
      </c>
      <c r="M1104" s="6" t="s">
        <v>52</v>
      </c>
      <c r="N1104" s="6" t="str">
        <f>VLOOKUP(M1104,'Excursion Cause'!$A$1:$B$34,2,FALSE)</f>
        <v>Collection system structural blockage</v>
      </c>
      <c r="O1104" s="21">
        <v>44613.0</v>
      </c>
      <c r="P1104" s="6" t="s">
        <v>1213</v>
      </c>
      <c r="Q1104" s="21">
        <v>44613.0</v>
      </c>
      <c r="R1104" s="6" t="s">
        <v>1213</v>
      </c>
      <c r="S1104" s="20">
        <v>0.0</v>
      </c>
      <c r="T1104" s="6" t="s">
        <v>270</v>
      </c>
      <c r="U1104" s="6"/>
      <c r="V1104" s="6"/>
      <c r="W1104" s="6">
        <v>29.7696752</v>
      </c>
      <c r="X1104" s="6">
        <v>-95.201813</v>
      </c>
    </row>
    <row r="1105" ht="15.75" customHeight="1">
      <c r="A1105" s="6">
        <v>13802.0</v>
      </c>
      <c r="B1105" s="6">
        <v>2022.0</v>
      </c>
      <c r="C1105" s="6" t="str">
        <f t="shared" si="5"/>
        <v>10615 MEADOWGLEN LN,Houston,Texas</v>
      </c>
      <c r="D1105" s="6" t="s">
        <v>1133</v>
      </c>
      <c r="E1105" s="6" t="s">
        <v>25</v>
      </c>
      <c r="F1105" s="6" t="s">
        <v>26</v>
      </c>
      <c r="G1105" s="6" t="s">
        <v>401</v>
      </c>
      <c r="H1105" s="6" t="s">
        <v>1724</v>
      </c>
      <c r="I1105" s="6" t="str">
        <f>VLOOKUP(H1105,'Flow Location'!$A$1:$B$21,2,FALSE)</f>
        <v>Storm Sewer (not contained)</v>
      </c>
      <c r="J1105" s="20">
        <v>635.0</v>
      </c>
      <c r="K1105" s="6" t="s">
        <v>29</v>
      </c>
      <c r="L1105" s="6" t="str">
        <f>VLOOKUP(K1105,'Structure type'!$A$1:$B$15,2,FALSE)</f>
        <v>Manhole</v>
      </c>
      <c r="M1105" s="6" t="s">
        <v>1943</v>
      </c>
      <c r="N1105" s="6" t="str">
        <f>VLOOKUP(M1105,'Excursion Cause'!$A$1:$B$34,2,FALSE)</f>
        <v>Grease Blockage</v>
      </c>
      <c r="O1105" s="21">
        <v>44613.0</v>
      </c>
      <c r="P1105" s="6" t="s">
        <v>610</v>
      </c>
      <c r="Q1105" s="21">
        <v>44613.0</v>
      </c>
      <c r="R1105" s="6" t="s">
        <v>201</v>
      </c>
      <c r="S1105" s="20">
        <v>5.0</v>
      </c>
      <c r="T1105" s="6" t="s">
        <v>1944</v>
      </c>
      <c r="U1105" s="6"/>
      <c r="V1105" s="6"/>
      <c r="W1105" s="6">
        <v>29.7305992</v>
      </c>
      <c r="X1105" s="6">
        <v>-95.5623045</v>
      </c>
    </row>
    <row r="1106" ht="15.75" customHeight="1">
      <c r="A1106" s="6">
        <v>13807.0</v>
      </c>
      <c r="B1106" s="6">
        <v>2022.0</v>
      </c>
      <c r="C1106" s="6" t="str">
        <f t="shared" si="5"/>
        <v>12355 KATY FWY,Houston,Texas</v>
      </c>
      <c r="D1106" s="6" t="s">
        <v>1262</v>
      </c>
      <c r="E1106" s="6" t="s">
        <v>25</v>
      </c>
      <c r="F1106" s="6" t="s">
        <v>26</v>
      </c>
      <c r="G1106" s="6" t="s">
        <v>520</v>
      </c>
      <c r="H1106" s="6" t="s">
        <v>1724</v>
      </c>
      <c r="I1106" s="6" t="str">
        <f>VLOOKUP(H1106,'Flow Location'!$A$1:$B$21,2,FALSE)</f>
        <v>Storm Sewer (not contained)</v>
      </c>
      <c r="J1106" s="20">
        <v>118.0</v>
      </c>
      <c r="K1106" s="6" t="s">
        <v>29</v>
      </c>
      <c r="L1106" s="6" t="str">
        <f>VLOOKUP(K1106,'Structure type'!$A$1:$B$15,2,FALSE)</f>
        <v>Manhole</v>
      </c>
      <c r="M1106" s="6" t="s">
        <v>1945</v>
      </c>
      <c r="N1106" s="6" t="str">
        <f>VLOOKUP(M1106,'Excursion Cause'!$A$1:$B$34,2,FALSE)</f>
        <v>Grease Blockage</v>
      </c>
      <c r="O1106" s="21">
        <v>44613.0</v>
      </c>
      <c r="P1106" s="6" t="s">
        <v>201</v>
      </c>
      <c r="Q1106" s="21">
        <v>44613.0</v>
      </c>
      <c r="R1106" s="6" t="s">
        <v>201</v>
      </c>
      <c r="S1106" s="20">
        <v>0.0</v>
      </c>
      <c r="T1106" s="6" t="s">
        <v>1946</v>
      </c>
      <c r="U1106" s="6"/>
      <c r="V1106" s="6"/>
      <c r="W1106" s="6">
        <v>29.7839674</v>
      </c>
      <c r="X1106" s="6">
        <v>-95.6060042</v>
      </c>
    </row>
    <row r="1107" ht="15.75" customHeight="1">
      <c r="A1107" s="6">
        <v>13808.0</v>
      </c>
      <c r="B1107" s="6">
        <v>2022.0</v>
      </c>
      <c r="C1107" s="6" t="str">
        <f t="shared" si="5"/>
        <v>5830 SOUTHWELL ST,Houston,Texas</v>
      </c>
      <c r="D1107" s="6" t="s">
        <v>1947</v>
      </c>
      <c r="E1107" s="6" t="s">
        <v>25</v>
      </c>
      <c r="F1107" s="6" t="s">
        <v>26</v>
      </c>
      <c r="G1107" s="6" t="s">
        <v>120</v>
      </c>
      <c r="H1107" s="6" t="s">
        <v>50</v>
      </c>
      <c r="I1107" s="6" t="str">
        <f>VLOOKUP(H1107,'Flow Location'!$A$1:$B$21,2,FALSE)</f>
        <v>Contained On Site, not within 5 ft. of Bayou/Surface Water/Drainage Ditch</v>
      </c>
      <c r="J1107" s="20">
        <v>0.0</v>
      </c>
      <c r="K1107" s="6" t="s">
        <v>51</v>
      </c>
      <c r="L1107" s="6" t="str">
        <f>VLOOKUP(K1107,'Structure type'!$A$1:$B$15,2,FALSE)</f>
        <v>Private Cleanout</v>
      </c>
      <c r="M1107" s="6" t="s">
        <v>52</v>
      </c>
      <c r="N1107" s="6" t="str">
        <f>VLOOKUP(M1107,'Excursion Cause'!$A$1:$B$34,2,FALSE)</f>
        <v>Collection system structural blockage</v>
      </c>
      <c r="O1107" s="21">
        <v>44613.0</v>
      </c>
      <c r="P1107" s="6" t="s">
        <v>741</v>
      </c>
      <c r="Q1107" s="21">
        <v>44613.0</v>
      </c>
      <c r="R1107" s="6" t="s">
        <v>741</v>
      </c>
      <c r="S1107" s="20">
        <v>0.0</v>
      </c>
      <c r="T1107" s="6" t="s">
        <v>1948</v>
      </c>
      <c r="U1107" s="6"/>
      <c r="V1107" s="6"/>
      <c r="W1107" s="6">
        <v>29.6833121</v>
      </c>
      <c r="X1107" s="6">
        <v>-95.332475</v>
      </c>
    </row>
    <row r="1108" ht="15.75" customHeight="1">
      <c r="A1108" s="6">
        <v>13809.0</v>
      </c>
      <c r="B1108" s="6">
        <v>2022.0</v>
      </c>
      <c r="C1108" s="6" t="str">
        <f t="shared" si="5"/>
        <v>1434 SILVERDALE ST,Houston,Texas</v>
      </c>
      <c r="D1108" s="6" t="s">
        <v>1949</v>
      </c>
      <c r="E1108" s="6" t="s">
        <v>25</v>
      </c>
      <c r="F1108" s="6" t="s">
        <v>26</v>
      </c>
      <c r="G1108" s="6" t="s">
        <v>247</v>
      </c>
      <c r="H1108" s="6" t="s">
        <v>50</v>
      </c>
      <c r="I1108" s="6" t="str">
        <f>VLOOKUP(H1108,'Flow Location'!$A$1:$B$21,2,FALSE)</f>
        <v>Contained On Site, not within 5 ft. of Bayou/Surface Water/Drainage Ditch</v>
      </c>
      <c r="J1108" s="20">
        <v>0.0</v>
      </c>
      <c r="K1108" s="6" t="s">
        <v>29</v>
      </c>
      <c r="L1108" s="6" t="str">
        <f>VLOOKUP(K1108,'Structure type'!$A$1:$B$15,2,FALSE)</f>
        <v>Manhole</v>
      </c>
      <c r="M1108" s="6" t="s">
        <v>30</v>
      </c>
      <c r="N1108" s="6" t="str">
        <f>VLOOKUP(M1108,'Excursion Cause'!$A$1:$B$34,2,FALSE)</f>
        <v>Grease Blockage</v>
      </c>
      <c r="O1108" s="21">
        <v>44613.0</v>
      </c>
      <c r="P1108" s="6" t="s">
        <v>296</v>
      </c>
      <c r="Q1108" s="21">
        <v>44613.0</v>
      </c>
      <c r="R1108" s="6" t="s">
        <v>296</v>
      </c>
      <c r="S1108" s="20">
        <v>0.0</v>
      </c>
      <c r="T1108" s="6" t="s">
        <v>59</v>
      </c>
      <c r="U1108" s="6"/>
      <c r="V1108" s="6"/>
      <c r="W1108" s="6">
        <v>29.764721</v>
      </c>
      <c r="X1108" s="6">
        <v>-95.2751781</v>
      </c>
    </row>
    <row r="1109" ht="15.75" customHeight="1">
      <c r="A1109" s="6">
        <v>13810.0</v>
      </c>
      <c r="B1109" s="6">
        <v>2022.0</v>
      </c>
      <c r="C1109" s="6" t="str">
        <f t="shared" si="5"/>
        <v>4130 LOCKFIELD ST,Houston,Texas</v>
      </c>
      <c r="D1109" s="6" t="s">
        <v>1950</v>
      </c>
      <c r="E1109" s="6" t="s">
        <v>25</v>
      </c>
      <c r="F1109" s="6" t="s">
        <v>26</v>
      </c>
      <c r="G1109" s="6" t="s">
        <v>76</v>
      </c>
      <c r="H1109" s="6" t="s">
        <v>50</v>
      </c>
      <c r="I1109" s="6" t="str">
        <f>VLOOKUP(H1109,'Flow Location'!$A$1:$B$21,2,FALSE)</f>
        <v>Contained On Site, not within 5 ft. of Bayou/Surface Water/Drainage Ditch</v>
      </c>
      <c r="J1109" s="20">
        <v>0.0</v>
      </c>
      <c r="K1109" s="6" t="s">
        <v>198</v>
      </c>
      <c r="L1109" s="6" t="str">
        <f>VLOOKUP(K1109,'Structure type'!$A$1:$B$15,2,FALSE)</f>
        <v>Service Lateral</v>
      </c>
      <c r="M1109" s="6" t="s">
        <v>81</v>
      </c>
      <c r="N1109" s="6" t="str">
        <f>VLOOKUP(M1109,'Excursion Cause'!$A$1:$B$34,2,FALSE)</f>
        <v>Collection system structural failure</v>
      </c>
      <c r="O1109" s="21">
        <v>44613.0</v>
      </c>
      <c r="P1109" s="6" t="s">
        <v>1036</v>
      </c>
      <c r="Q1109" s="21">
        <v>44613.0</v>
      </c>
      <c r="R1109" s="6" t="s">
        <v>1036</v>
      </c>
      <c r="S1109" s="20">
        <v>0.0</v>
      </c>
      <c r="T1109" s="6" t="s">
        <v>89</v>
      </c>
      <c r="U1109" s="6"/>
      <c r="V1109" s="6"/>
      <c r="W1109" s="6">
        <v>29.8300599</v>
      </c>
      <c r="X1109" s="6">
        <v>-95.4854207</v>
      </c>
    </row>
    <row r="1110" ht="15.75" customHeight="1">
      <c r="A1110" s="6">
        <v>13814.0</v>
      </c>
      <c r="B1110" s="6">
        <v>2022.0</v>
      </c>
      <c r="C1110" s="6" t="str">
        <f t="shared" si="5"/>
        <v>708 TELEPHONE RD,Houston,Texas</v>
      </c>
      <c r="D1110" s="6" t="s">
        <v>1951</v>
      </c>
      <c r="E1110" s="6" t="s">
        <v>25</v>
      </c>
      <c r="F1110" s="6" t="s">
        <v>26</v>
      </c>
      <c r="G1110" s="6" t="s">
        <v>141</v>
      </c>
      <c r="H1110" s="6" t="s">
        <v>28</v>
      </c>
      <c r="I1110" s="6" t="str">
        <f>VLOOKUP(H1110,'Flow Location'!$A$1:$B$21,2,FALSE)</f>
        <v>Storm Sewer (not contained)</v>
      </c>
      <c r="J1110" s="20">
        <v>0.0</v>
      </c>
      <c r="K1110" s="6" t="s">
        <v>51</v>
      </c>
      <c r="L1110" s="6" t="str">
        <f>VLOOKUP(K1110,'Structure type'!$A$1:$B$15,2,FALSE)</f>
        <v>Private Cleanout</v>
      </c>
      <c r="M1110" s="6" t="s">
        <v>1952</v>
      </c>
      <c r="N1110" s="6" t="str">
        <f>VLOOKUP(M1110,'Excursion Cause'!$A$1:$B$34,2,FALSE)</f>
        <v>Collection system structural blockage</v>
      </c>
      <c r="O1110" s="21">
        <v>44613.0</v>
      </c>
      <c r="P1110" s="6" t="s">
        <v>724</v>
      </c>
      <c r="Q1110" s="21">
        <v>44613.0</v>
      </c>
      <c r="R1110" s="6" t="s">
        <v>724</v>
      </c>
      <c r="S1110" s="20">
        <v>0.0</v>
      </c>
      <c r="T1110" s="6" t="s">
        <v>89</v>
      </c>
      <c r="U1110" s="6"/>
      <c r="V1110" s="6"/>
      <c r="W1110" s="6">
        <v>29.7347805</v>
      </c>
      <c r="X1110" s="6">
        <v>-95.3314365</v>
      </c>
    </row>
    <row r="1111" ht="15.75" customHeight="1">
      <c r="A1111" s="6">
        <v>13815.0</v>
      </c>
      <c r="B1111" s="6">
        <v>2022.0</v>
      </c>
      <c r="C1111" s="6" t="str">
        <f t="shared" si="5"/>
        <v>7514 ILEX ST,Houston,Texas</v>
      </c>
      <c r="D1111" s="6" t="s">
        <v>1953</v>
      </c>
      <c r="E1111" s="6" t="s">
        <v>25</v>
      </c>
      <c r="F1111" s="6" t="s">
        <v>26</v>
      </c>
      <c r="G1111" s="6" t="s">
        <v>365</v>
      </c>
      <c r="H1111" s="6" t="s">
        <v>50</v>
      </c>
      <c r="I1111" s="6" t="str">
        <f>VLOOKUP(H1111,'Flow Location'!$A$1:$B$21,2,FALSE)</f>
        <v>Contained On Site, not within 5 ft. of Bayou/Surface Water/Drainage Ditch</v>
      </c>
      <c r="J1111" s="20">
        <v>0.0</v>
      </c>
      <c r="K1111" s="6" t="s">
        <v>51</v>
      </c>
      <c r="L1111" s="6" t="str">
        <f>VLOOKUP(K1111,'Structure type'!$A$1:$B$15,2,FALSE)</f>
        <v>Private Cleanout</v>
      </c>
      <c r="M1111" s="6" t="s">
        <v>52</v>
      </c>
      <c r="N1111" s="6" t="str">
        <f>VLOOKUP(M1111,'Excursion Cause'!$A$1:$B$34,2,FALSE)</f>
        <v>Collection system structural blockage</v>
      </c>
      <c r="O1111" s="21">
        <v>44613.0</v>
      </c>
      <c r="P1111" s="6" t="s">
        <v>335</v>
      </c>
      <c r="Q1111" s="21">
        <v>44613.0</v>
      </c>
      <c r="R1111" s="6" t="s">
        <v>335</v>
      </c>
      <c r="S1111" s="20">
        <v>0.0</v>
      </c>
      <c r="T1111" s="6" t="s">
        <v>906</v>
      </c>
      <c r="U1111" s="6"/>
      <c r="V1111" s="6"/>
      <c r="W1111" s="6">
        <v>29.7106957</v>
      </c>
      <c r="X1111" s="6">
        <v>-95.2854445</v>
      </c>
    </row>
    <row r="1112" ht="15.75" customHeight="1">
      <c r="A1112" s="6">
        <v>13823.0</v>
      </c>
      <c r="B1112" s="6">
        <v>2022.0</v>
      </c>
      <c r="C1112" s="6" t="str">
        <f t="shared" si="5"/>
        <v>14430 MINETTA ST,Houston,Texas</v>
      </c>
      <c r="D1112" s="6" t="s">
        <v>1954</v>
      </c>
      <c r="E1112" s="6" t="s">
        <v>25</v>
      </c>
      <c r="F1112" s="6" t="s">
        <v>26</v>
      </c>
      <c r="G1112" s="6" t="s">
        <v>127</v>
      </c>
      <c r="H1112" s="6" t="s">
        <v>1724</v>
      </c>
      <c r="I1112" s="6" t="str">
        <f>VLOOKUP(H1112,'Flow Location'!$A$1:$B$21,2,FALSE)</f>
        <v>Storm Sewer (not contained)</v>
      </c>
      <c r="J1112" s="20">
        <v>790.0</v>
      </c>
      <c r="K1112" s="6" t="s">
        <v>45</v>
      </c>
      <c r="L1112" s="6" t="str">
        <f>VLOOKUP(K1112,'Structure type'!$A$1:$B$15,2,FALSE)</f>
        <v>City Cleanout</v>
      </c>
      <c r="M1112" s="6" t="s">
        <v>56</v>
      </c>
      <c r="N1112" s="6" t="str">
        <f>VLOOKUP(M1112,'Excursion Cause'!$A$1:$B$34,2,FALSE)</f>
        <v>Rags/Wipes</v>
      </c>
      <c r="O1112" s="21">
        <v>44614.0</v>
      </c>
      <c r="P1112" s="6" t="s">
        <v>376</v>
      </c>
      <c r="Q1112" s="21">
        <v>44615.0</v>
      </c>
      <c r="R1112" s="6" t="s">
        <v>36</v>
      </c>
      <c r="S1112" s="20">
        <v>1.0</v>
      </c>
      <c r="T1112" s="6" t="s">
        <v>1955</v>
      </c>
      <c r="U1112" s="6"/>
      <c r="V1112" s="6"/>
      <c r="W1112" s="6">
        <v>29.6363399</v>
      </c>
      <c r="X1112" s="6">
        <v>-95.5017682</v>
      </c>
    </row>
    <row r="1113" ht="15.75" customHeight="1">
      <c r="A1113" s="6">
        <v>13825.0</v>
      </c>
      <c r="B1113" s="6">
        <v>2022.0</v>
      </c>
      <c r="C1113" s="6" t="str">
        <f t="shared" si="5"/>
        <v>3303 WESTWICK DR,Houston,Texas</v>
      </c>
      <c r="D1113" s="6" t="s">
        <v>1956</v>
      </c>
      <c r="E1113" s="6" t="s">
        <v>25</v>
      </c>
      <c r="F1113" s="6" t="s">
        <v>26</v>
      </c>
      <c r="G1113" s="6" t="s">
        <v>313</v>
      </c>
      <c r="H1113" s="6" t="s">
        <v>50</v>
      </c>
      <c r="I1113" s="6" t="str">
        <f>VLOOKUP(H1113,'Flow Location'!$A$1:$B$21,2,FALSE)</f>
        <v>Contained On Site, not within 5 ft. of Bayou/Surface Water/Drainage Ditch</v>
      </c>
      <c r="J1113" s="20">
        <v>0.0</v>
      </c>
      <c r="K1113" s="6" t="s">
        <v>29</v>
      </c>
      <c r="L1113" s="6" t="str">
        <f>VLOOKUP(K1113,'Structure type'!$A$1:$B$15,2,FALSE)</f>
        <v>Manhole</v>
      </c>
      <c r="M1113" s="6" t="s">
        <v>30</v>
      </c>
      <c r="N1113" s="6" t="str">
        <f>VLOOKUP(M1113,'Excursion Cause'!$A$1:$B$34,2,FALSE)</f>
        <v>Grease Blockage</v>
      </c>
      <c r="O1113" s="21">
        <v>44614.0</v>
      </c>
      <c r="P1113" s="6" t="s">
        <v>331</v>
      </c>
      <c r="Q1113" s="21">
        <v>44614.0</v>
      </c>
      <c r="R1113" s="6" t="s">
        <v>331</v>
      </c>
      <c r="S1113" s="20">
        <v>0.0</v>
      </c>
      <c r="T1113" s="6" t="s">
        <v>59</v>
      </c>
      <c r="U1113" s="6"/>
      <c r="V1113" s="6"/>
      <c r="W1113" s="6">
        <v>29.7269662</v>
      </c>
      <c r="X1113" s="6">
        <v>-95.6100882</v>
      </c>
    </row>
    <row r="1114" ht="15.75" customHeight="1">
      <c r="A1114" s="6">
        <v>13827.0</v>
      </c>
      <c r="B1114" s="6">
        <v>2022.0</v>
      </c>
      <c r="C1114" s="6" t="str">
        <f t="shared" si="5"/>
        <v>3318 MEADWAY DR,Houston,Texas</v>
      </c>
      <c r="D1114" s="6" t="s">
        <v>1957</v>
      </c>
      <c r="E1114" s="6" t="s">
        <v>25</v>
      </c>
      <c r="F1114" s="6" t="s">
        <v>26</v>
      </c>
      <c r="G1114" s="6" t="s">
        <v>313</v>
      </c>
      <c r="H1114" s="6" t="s">
        <v>50</v>
      </c>
      <c r="I1114" s="6" t="str">
        <f>VLOOKUP(H1114,'Flow Location'!$A$1:$B$21,2,FALSE)</f>
        <v>Contained On Site, not within 5 ft. of Bayou/Surface Water/Drainage Ditch</v>
      </c>
      <c r="J1114" s="20">
        <v>216.0</v>
      </c>
      <c r="K1114" s="6" t="s">
        <v>29</v>
      </c>
      <c r="L1114" s="6" t="str">
        <f>VLOOKUP(K1114,'Structure type'!$A$1:$B$15,2,FALSE)</f>
        <v>Manhole</v>
      </c>
      <c r="M1114" s="6" t="s">
        <v>30</v>
      </c>
      <c r="N1114" s="6" t="str">
        <f>VLOOKUP(M1114,'Excursion Cause'!$A$1:$B$34,2,FALSE)</f>
        <v>Grease Blockage</v>
      </c>
      <c r="O1114" s="21">
        <v>44614.0</v>
      </c>
      <c r="P1114" s="6" t="s">
        <v>1201</v>
      </c>
      <c r="Q1114" s="21">
        <v>44614.0</v>
      </c>
      <c r="R1114" s="6" t="s">
        <v>987</v>
      </c>
      <c r="S1114" s="20">
        <v>1.0</v>
      </c>
      <c r="T1114" s="6" t="s">
        <v>59</v>
      </c>
      <c r="U1114" s="6"/>
      <c r="V1114" s="6"/>
      <c r="W1114" s="6">
        <v>29.7263964</v>
      </c>
      <c r="X1114" s="6">
        <v>-95.6097361</v>
      </c>
    </row>
    <row r="1115" ht="15.75" customHeight="1">
      <c r="A1115" s="6">
        <v>13831.0</v>
      </c>
      <c r="B1115" s="6">
        <v>2022.0</v>
      </c>
      <c r="C1115" s="6" t="str">
        <f t="shared" si="5"/>
        <v>4514 YALE ST,Houston,Texas</v>
      </c>
      <c r="D1115" s="6" t="s">
        <v>1958</v>
      </c>
      <c r="E1115" s="6" t="s">
        <v>25</v>
      </c>
      <c r="F1115" s="6" t="s">
        <v>26</v>
      </c>
      <c r="G1115" s="6" t="s">
        <v>653</v>
      </c>
      <c r="H1115" s="6" t="s">
        <v>50</v>
      </c>
      <c r="I1115" s="6" t="str">
        <f>VLOOKUP(H1115,'Flow Location'!$A$1:$B$21,2,FALSE)</f>
        <v>Contained On Site, not within 5 ft. of Bayou/Surface Water/Drainage Ditch</v>
      </c>
      <c r="J1115" s="20">
        <v>0.0</v>
      </c>
      <c r="K1115" s="6" t="s">
        <v>29</v>
      </c>
      <c r="L1115" s="6" t="str">
        <f>VLOOKUP(K1115,'Structure type'!$A$1:$B$15,2,FALSE)</f>
        <v>Manhole</v>
      </c>
      <c r="M1115" s="6" t="s">
        <v>30</v>
      </c>
      <c r="N1115" s="6" t="str">
        <f>VLOOKUP(M1115,'Excursion Cause'!$A$1:$B$34,2,FALSE)</f>
        <v>Grease Blockage</v>
      </c>
      <c r="O1115" s="21">
        <v>44614.0</v>
      </c>
      <c r="P1115" s="6" t="s">
        <v>240</v>
      </c>
      <c r="Q1115" s="21">
        <v>44614.0</v>
      </c>
      <c r="R1115" s="6" t="s">
        <v>240</v>
      </c>
      <c r="S1115" s="20">
        <v>0.0</v>
      </c>
      <c r="T1115" s="6" t="s">
        <v>33</v>
      </c>
      <c r="U1115" s="6"/>
      <c r="V1115" s="6"/>
      <c r="W1115" s="6">
        <v>29.8315292</v>
      </c>
      <c r="X1115" s="6">
        <v>-95.401461</v>
      </c>
    </row>
    <row r="1116" ht="15.75" customHeight="1">
      <c r="A1116" s="6">
        <v>13834.0</v>
      </c>
      <c r="B1116" s="6">
        <v>2022.0</v>
      </c>
      <c r="C1116" s="6" t="str">
        <f t="shared" si="5"/>
        <v>5045 HARDWAY ST,Houston,Texas</v>
      </c>
      <c r="D1116" s="6" t="s">
        <v>1866</v>
      </c>
      <c r="E1116" s="6" t="s">
        <v>25</v>
      </c>
      <c r="F1116" s="6" t="s">
        <v>26</v>
      </c>
      <c r="G1116" s="6" t="s">
        <v>76</v>
      </c>
      <c r="H1116" s="6" t="s">
        <v>28</v>
      </c>
      <c r="I1116" s="6" t="str">
        <f>VLOOKUP(H1116,'Flow Location'!$A$1:$B$21,2,FALSE)</f>
        <v>Storm Sewer (not contained)</v>
      </c>
      <c r="J1116" s="20">
        <v>0.0</v>
      </c>
      <c r="K1116" s="6" t="s">
        <v>198</v>
      </c>
      <c r="L1116" s="6" t="str">
        <f>VLOOKUP(K1116,'Structure type'!$A$1:$B$15,2,FALSE)</f>
        <v>Service Lateral</v>
      </c>
      <c r="M1116" s="6" t="s">
        <v>1959</v>
      </c>
      <c r="N1116" s="6" t="str">
        <f>VLOOKUP(M1116,'Excursion Cause'!$A$1:$B$34,2,FALSE)</f>
        <v>Collection system structural failure</v>
      </c>
      <c r="O1116" s="21">
        <v>44615.0</v>
      </c>
      <c r="P1116" s="6" t="s">
        <v>1089</v>
      </c>
      <c r="Q1116" s="21">
        <v>44615.0</v>
      </c>
      <c r="R1116" s="6" t="s">
        <v>1089</v>
      </c>
      <c r="S1116" s="20">
        <v>0.0</v>
      </c>
      <c r="T1116" s="6" t="s">
        <v>107</v>
      </c>
      <c r="U1116" s="6"/>
      <c r="V1116" s="6"/>
      <c r="W1116" s="6">
        <v>29.8402085</v>
      </c>
      <c r="X1116" s="6">
        <v>-95.4668681</v>
      </c>
    </row>
    <row r="1117" ht="15.75" customHeight="1">
      <c r="A1117" s="6">
        <v>13837.0</v>
      </c>
      <c r="B1117" s="6">
        <v>2022.0</v>
      </c>
      <c r="C1117" s="6" t="str">
        <f t="shared" si="5"/>
        <v>3901 DALLAS ST,Houston,Texas</v>
      </c>
      <c r="D1117" s="6" t="s">
        <v>1960</v>
      </c>
      <c r="E1117" s="6" t="s">
        <v>25</v>
      </c>
      <c r="F1117" s="6" t="s">
        <v>26</v>
      </c>
      <c r="G1117" s="6" t="s">
        <v>141</v>
      </c>
      <c r="H1117" s="6" t="s">
        <v>50</v>
      </c>
      <c r="I1117" s="6" t="str">
        <f>VLOOKUP(H1117,'Flow Location'!$A$1:$B$21,2,FALSE)</f>
        <v>Contained On Site, not within 5 ft. of Bayou/Surface Water/Drainage Ditch</v>
      </c>
      <c r="J1117" s="20">
        <v>0.0</v>
      </c>
      <c r="K1117" s="6" t="s">
        <v>198</v>
      </c>
      <c r="L1117" s="6" t="str">
        <f>VLOOKUP(K1117,'Structure type'!$A$1:$B$15,2,FALSE)</f>
        <v>Service Lateral</v>
      </c>
      <c r="M1117" s="6" t="s">
        <v>52</v>
      </c>
      <c r="N1117" s="6" t="str">
        <f>VLOOKUP(M1117,'Excursion Cause'!$A$1:$B$34,2,FALSE)</f>
        <v>Collection system structural blockage</v>
      </c>
      <c r="O1117" s="21">
        <v>44615.0</v>
      </c>
      <c r="P1117" s="6" t="s">
        <v>859</v>
      </c>
      <c r="Q1117" s="21">
        <v>44615.0</v>
      </c>
      <c r="R1117" s="6" t="s">
        <v>859</v>
      </c>
      <c r="S1117" s="20">
        <v>0.0</v>
      </c>
      <c r="T1117" s="6" t="s">
        <v>118</v>
      </c>
      <c r="U1117" s="6"/>
      <c r="V1117" s="6"/>
      <c r="W1117" s="6">
        <v>29.7413856</v>
      </c>
      <c r="X1117" s="6">
        <v>-95.3404848</v>
      </c>
    </row>
    <row r="1118" ht="15.75" customHeight="1">
      <c r="A1118" s="6">
        <v>13845.0</v>
      </c>
      <c r="B1118" s="6">
        <v>2022.0</v>
      </c>
      <c r="C1118" s="6" t="str">
        <f t="shared" si="5"/>
        <v>6711 BELLFORT ST,Houston,Texas</v>
      </c>
      <c r="D1118" s="6" t="s">
        <v>1961</v>
      </c>
      <c r="E1118" s="6" t="s">
        <v>25</v>
      </c>
      <c r="F1118" s="6" t="s">
        <v>26</v>
      </c>
      <c r="G1118" s="6" t="s">
        <v>35</v>
      </c>
      <c r="H1118" s="6" t="s">
        <v>1724</v>
      </c>
      <c r="I1118" s="6" t="str">
        <f>VLOOKUP(H1118,'Flow Location'!$A$1:$B$21,2,FALSE)</f>
        <v>Storm Sewer (not contained)</v>
      </c>
      <c r="J1118" s="20">
        <v>226.0</v>
      </c>
      <c r="K1118" s="6" t="s">
        <v>45</v>
      </c>
      <c r="L1118" s="6" t="str">
        <f>VLOOKUP(K1118,'Structure type'!$A$1:$B$15,2,FALSE)</f>
        <v>City Cleanout</v>
      </c>
      <c r="M1118" s="6" t="s">
        <v>56</v>
      </c>
      <c r="N1118" s="6" t="str">
        <f>VLOOKUP(M1118,'Excursion Cause'!$A$1:$B$34,2,FALSE)</f>
        <v>Rags/Wipes</v>
      </c>
      <c r="O1118" s="21">
        <v>44615.0</v>
      </c>
      <c r="P1118" s="6" t="s">
        <v>1006</v>
      </c>
      <c r="Q1118" s="21">
        <v>44615.0</v>
      </c>
      <c r="R1118" s="6" t="s">
        <v>640</v>
      </c>
      <c r="S1118" s="20">
        <v>2.0</v>
      </c>
      <c r="T1118" s="6" t="s">
        <v>1962</v>
      </c>
      <c r="U1118" s="6"/>
      <c r="V1118" s="6"/>
      <c r="W1118" s="6">
        <v>29.6679997</v>
      </c>
      <c r="X1118" s="6">
        <v>-95.3111136</v>
      </c>
    </row>
    <row r="1119" ht="15.75" customHeight="1">
      <c r="A1119" s="6">
        <v>13846.0</v>
      </c>
      <c r="B1119" s="6">
        <v>2022.0</v>
      </c>
      <c r="C1119" s="6" t="str">
        <f t="shared" si="5"/>
        <v>12946 PEGGYS LN,Houston,Texas</v>
      </c>
      <c r="D1119" s="6" t="s">
        <v>1963</v>
      </c>
      <c r="E1119" s="6" t="s">
        <v>25</v>
      </c>
      <c r="F1119" s="6" t="s">
        <v>26</v>
      </c>
      <c r="G1119" s="6" t="s">
        <v>623</v>
      </c>
      <c r="H1119" s="6" t="s">
        <v>1964</v>
      </c>
      <c r="I1119" s="6" t="str">
        <f>VLOOKUP(H1119,'Flow Location'!$A$1:$B$21,2,FALSE)</f>
        <v>Within 5 ft. of Bayou/Surface Water/Drainage Ditch</v>
      </c>
      <c r="J1119" s="20">
        <v>0.0</v>
      </c>
      <c r="K1119" s="6" t="s">
        <v>51</v>
      </c>
      <c r="L1119" s="6" t="str">
        <f>VLOOKUP(K1119,'Structure type'!$A$1:$B$15,2,FALSE)</f>
        <v>Private Cleanout</v>
      </c>
      <c r="M1119" s="6" t="s">
        <v>30</v>
      </c>
      <c r="N1119" s="6" t="str">
        <f>VLOOKUP(M1119,'Excursion Cause'!$A$1:$B$34,2,FALSE)</f>
        <v>Grease Blockage</v>
      </c>
      <c r="O1119" s="21">
        <v>44615.0</v>
      </c>
      <c r="P1119" s="6" t="s">
        <v>1119</v>
      </c>
      <c r="Q1119" s="21">
        <v>44615.0</v>
      </c>
      <c r="R1119" s="6" t="s">
        <v>1119</v>
      </c>
      <c r="S1119" s="20">
        <v>0.0</v>
      </c>
      <c r="T1119" s="6" t="s">
        <v>59</v>
      </c>
      <c r="U1119" s="6"/>
      <c r="V1119" s="6"/>
      <c r="W1119" s="6">
        <v>29.7618342</v>
      </c>
      <c r="X1119" s="6">
        <v>-95.1982007</v>
      </c>
    </row>
    <row r="1120" ht="15.75" customHeight="1">
      <c r="A1120" s="6">
        <v>13848.0</v>
      </c>
      <c r="B1120" s="6">
        <v>2022.0</v>
      </c>
      <c r="C1120" s="6" t="str">
        <f t="shared" si="5"/>
        <v>7226 SAINT AUGUSTINE ST,Houston,Texas</v>
      </c>
      <c r="D1120" s="6" t="s">
        <v>1965</v>
      </c>
      <c r="E1120" s="6" t="s">
        <v>25</v>
      </c>
      <c r="F1120" s="6" t="s">
        <v>26</v>
      </c>
      <c r="G1120" s="6" t="s">
        <v>238</v>
      </c>
      <c r="H1120" s="6" t="s">
        <v>1724</v>
      </c>
      <c r="I1120" s="6" t="str">
        <f>VLOOKUP(H1120,'Flow Location'!$A$1:$B$21,2,FALSE)</f>
        <v>Storm Sewer (not contained)</v>
      </c>
      <c r="J1120" s="20">
        <v>765.0</v>
      </c>
      <c r="K1120" s="6" t="s">
        <v>29</v>
      </c>
      <c r="L1120" s="6" t="str">
        <f>VLOOKUP(K1120,'Structure type'!$A$1:$B$15,2,FALSE)</f>
        <v>Manhole</v>
      </c>
      <c r="M1120" s="6" t="s">
        <v>1966</v>
      </c>
      <c r="N1120" s="6" t="str">
        <f>VLOOKUP(M1120,'Excursion Cause'!$A$1:$B$34,2,FALSE)</f>
        <v>Grease Blockage</v>
      </c>
      <c r="O1120" s="21">
        <v>44615.0</v>
      </c>
      <c r="P1120" s="6" t="s">
        <v>1307</v>
      </c>
      <c r="Q1120" s="21">
        <v>44615.0</v>
      </c>
      <c r="R1120" s="6" t="s">
        <v>1967</v>
      </c>
      <c r="S1120" s="20">
        <v>5.0</v>
      </c>
      <c r="T1120" s="6" t="s">
        <v>1968</v>
      </c>
      <c r="U1120" s="6"/>
      <c r="V1120" s="6"/>
      <c r="W1120" s="6">
        <v>29.6849397</v>
      </c>
      <c r="X1120" s="6">
        <v>-95.3618709</v>
      </c>
    </row>
    <row r="1121" ht="15.75" customHeight="1">
      <c r="A1121" s="6">
        <v>13851.0</v>
      </c>
      <c r="B1121" s="6">
        <v>2022.0</v>
      </c>
      <c r="C1121" s="6" t="str">
        <f t="shared" si="5"/>
        <v>4447 MOUNT VERNON ST,Houston,Texas</v>
      </c>
      <c r="D1121" s="6" t="s">
        <v>1805</v>
      </c>
      <c r="E1121" s="6" t="s">
        <v>25</v>
      </c>
      <c r="F1121" s="6" t="s">
        <v>26</v>
      </c>
      <c r="G1121" s="6" t="s">
        <v>761</v>
      </c>
      <c r="H1121" s="6" t="s">
        <v>1964</v>
      </c>
      <c r="I1121" s="6" t="str">
        <f>VLOOKUP(H1121,'Flow Location'!$A$1:$B$21,2,FALSE)</f>
        <v>Within 5 ft. of Bayou/Surface Water/Drainage Ditch</v>
      </c>
      <c r="J1121" s="20">
        <v>3048.0</v>
      </c>
      <c r="K1121" s="6" t="s">
        <v>29</v>
      </c>
      <c r="L1121" s="6" t="str">
        <f>VLOOKUP(K1121,'Structure type'!$A$1:$B$15,2,FALSE)</f>
        <v>Manhole</v>
      </c>
      <c r="M1121" s="6" t="s">
        <v>56</v>
      </c>
      <c r="N1121" s="6" t="str">
        <f>VLOOKUP(M1121,'Excursion Cause'!$A$1:$B$34,2,FALSE)</f>
        <v>Rags/Wipes</v>
      </c>
      <c r="O1121" s="21">
        <v>44615.0</v>
      </c>
      <c r="P1121" s="6" t="s">
        <v>549</v>
      </c>
      <c r="Q1121" s="21">
        <v>44616.0</v>
      </c>
      <c r="R1121" s="6" t="s">
        <v>1204</v>
      </c>
      <c r="S1121" s="20">
        <v>2.0</v>
      </c>
      <c r="T1121" s="6" t="s">
        <v>59</v>
      </c>
      <c r="U1121" s="6"/>
      <c r="V1121" s="6"/>
      <c r="W1121" s="6">
        <v>29.7326705</v>
      </c>
      <c r="X1121" s="6">
        <v>-95.3934151</v>
      </c>
    </row>
    <row r="1122" ht="15.75" customHeight="1">
      <c r="A1122" s="6">
        <v>13856.0</v>
      </c>
      <c r="B1122" s="6">
        <v>2022.0</v>
      </c>
      <c r="C1122" s="6" t="str">
        <f t="shared" si="5"/>
        <v>4078 MERRICK ST,Houston,Texas</v>
      </c>
      <c r="D1122" s="6" t="s">
        <v>1938</v>
      </c>
      <c r="E1122" s="6" t="s">
        <v>25</v>
      </c>
      <c r="F1122" s="6" t="s">
        <v>26</v>
      </c>
      <c r="G1122" s="6" t="s">
        <v>65</v>
      </c>
      <c r="H1122" s="6" t="s">
        <v>50</v>
      </c>
      <c r="I1122" s="6" t="str">
        <f>VLOOKUP(H1122,'Flow Location'!$A$1:$B$21,2,FALSE)</f>
        <v>Contained On Site, not within 5 ft. of Bayou/Surface Water/Drainage Ditch</v>
      </c>
      <c r="J1122" s="20">
        <v>0.0</v>
      </c>
      <c r="K1122" s="6" t="s">
        <v>29</v>
      </c>
      <c r="L1122" s="6" t="str">
        <f>VLOOKUP(K1122,'Structure type'!$A$1:$B$15,2,FALSE)</f>
        <v>Manhole</v>
      </c>
      <c r="M1122" s="6" t="s">
        <v>30</v>
      </c>
      <c r="N1122" s="6" t="str">
        <f>VLOOKUP(M1122,'Excursion Cause'!$A$1:$B$34,2,FALSE)</f>
        <v>Grease Blockage</v>
      </c>
      <c r="O1122" s="21">
        <v>44616.0</v>
      </c>
      <c r="P1122" s="6" t="s">
        <v>644</v>
      </c>
      <c r="Q1122" s="21">
        <v>44616.0</v>
      </c>
      <c r="R1122" s="6" t="s">
        <v>644</v>
      </c>
      <c r="S1122" s="20">
        <v>0.0</v>
      </c>
      <c r="T1122" s="6" t="s">
        <v>33</v>
      </c>
      <c r="U1122" s="6"/>
      <c r="V1122" s="6"/>
      <c r="W1122" s="6">
        <v>29.6974273</v>
      </c>
      <c r="X1122" s="6">
        <v>-95.4443378</v>
      </c>
    </row>
    <row r="1123" ht="15.75" customHeight="1">
      <c r="A1123" s="6">
        <v>13858.0</v>
      </c>
      <c r="B1123" s="6">
        <v>2022.0</v>
      </c>
      <c r="C1123" s="6" t="str">
        <f t="shared" si="5"/>
        <v>6014 WINSOME LN,Houston,Texas</v>
      </c>
      <c r="D1123" s="6" t="s">
        <v>1969</v>
      </c>
      <c r="E1123" s="6" t="s">
        <v>25</v>
      </c>
      <c r="F1123" s="6" t="s">
        <v>26</v>
      </c>
      <c r="G1123" s="6" t="s">
        <v>689</v>
      </c>
      <c r="H1123" s="6" t="s">
        <v>1964</v>
      </c>
      <c r="I1123" s="6" t="str">
        <f>VLOOKUP(H1123,'Flow Location'!$A$1:$B$21,2,FALSE)</f>
        <v>Within 5 ft. of Bayou/Surface Water/Drainage Ditch</v>
      </c>
      <c r="J1123" s="20">
        <v>0.0</v>
      </c>
      <c r="K1123" s="6" t="s">
        <v>29</v>
      </c>
      <c r="L1123" s="6" t="str">
        <f>VLOOKUP(K1123,'Structure type'!$A$1:$B$15,2,FALSE)</f>
        <v>Manhole</v>
      </c>
      <c r="M1123" s="6" t="s">
        <v>30</v>
      </c>
      <c r="N1123" s="6" t="str">
        <f>VLOOKUP(M1123,'Excursion Cause'!$A$1:$B$34,2,FALSE)</f>
        <v>Grease Blockage</v>
      </c>
      <c r="O1123" s="21">
        <v>44616.0</v>
      </c>
      <c r="P1123" s="6" t="s">
        <v>795</v>
      </c>
      <c r="Q1123" s="21">
        <v>44616.0</v>
      </c>
      <c r="R1123" s="6" t="s">
        <v>795</v>
      </c>
      <c r="S1123" s="20">
        <v>0.0</v>
      </c>
      <c r="T1123" s="6" t="s">
        <v>59</v>
      </c>
      <c r="U1123" s="6"/>
      <c r="V1123" s="6"/>
      <c r="W1123" s="6">
        <v>29.7355508</v>
      </c>
      <c r="X1123" s="6">
        <v>-95.4858058</v>
      </c>
    </row>
    <row r="1124" ht="15.75" customHeight="1">
      <c r="A1124" s="6">
        <v>13859.0</v>
      </c>
      <c r="B1124" s="6">
        <v>2022.0</v>
      </c>
      <c r="C1124" s="6" t="str">
        <f t="shared" si="5"/>
        <v>8525 DOSIA ST,Houston,Texas</v>
      </c>
      <c r="D1124" s="6" t="s">
        <v>1970</v>
      </c>
      <c r="E1124" s="6" t="s">
        <v>25</v>
      </c>
      <c r="F1124" s="6" t="s">
        <v>26</v>
      </c>
      <c r="G1124" s="6" t="s">
        <v>105</v>
      </c>
      <c r="H1124" s="6" t="s">
        <v>50</v>
      </c>
      <c r="I1124" s="6" t="str">
        <f>VLOOKUP(H1124,'Flow Location'!$A$1:$B$21,2,FALSE)</f>
        <v>Contained On Site, not within 5 ft. of Bayou/Surface Water/Drainage Ditch</v>
      </c>
      <c r="J1124" s="20">
        <v>0.0</v>
      </c>
      <c r="K1124" s="6" t="s">
        <v>51</v>
      </c>
      <c r="L1124" s="6" t="str">
        <f>VLOOKUP(K1124,'Structure type'!$A$1:$B$15,2,FALSE)</f>
        <v>Private Cleanout</v>
      </c>
      <c r="M1124" s="6" t="s">
        <v>30</v>
      </c>
      <c r="N1124" s="6" t="str">
        <f>VLOOKUP(M1124,'Excursion Cause'!$A$1:$B$34,2,FALSE)</f>
        <v>Grease Blockage</v>
      </c>
      <c r="O1124" s="21">
        <v>44616.0</v>
      </c>
      <c r="P1124" s="6" t="s">
        <v>175</v>
      </c>
      <c r="Q1124" s="21">
        <v>44616.0</v>
      </c>
      <c r="R1124" s="6" t="s">
        <v>175</v>
      </c>
      <c r="S1124" s="20">
        <v>0.0</v>
      </c>
      <c r="T1124" s="6" t="s">
        <v>33</v>
      </c>
      <c r="U1124" s="6"/>
      <c r="V1124" s="6"/>
      <c r="W1124" s="6">
        <v>29.6685574</v>
      </c>
      <c r="X1124" s="6">
        <v>-95.3581974</v>
      </c>
    </row>
    <row r="1125" ht="15.75" customHeight="1">
      <c r="A1125" s="6">
        <v>13860.0</v>
      </c>
      <c r="B1125" s="6">
        <v>2022.0</v>
      </c>
      <c r="C1125" s="6" t="str">
        <f t="shared" si="5"/>
        <v>5500 EL CAMINO DEL REY ST,Houston,Texas</v>
      </c>
      <c r="D1125" s="6" t="s">
        <v>1971</v>
      </c>
      <c r="E1125" s="6" t="s">
        <v>25</v>
      </c>
      <c r="F1125" s="6" t="s">
        <v>26</v>
      </c>
      <c r="G1125" s="6" t="s">
        <v>287</v>
      </c>
      <c r="H1125" s="6" t="s">
        <v>50</v>
      </c>
      <c r="I1125" s="6" t="str">
        <f>VLOOKUP(H1125,'Flow Location'!$A$1:$B$21,2,FALSE)</f>
        <v>Contained On Site, not within 5 ft. of Bayou/Surface Water/Drainage Ditch</v>
      </c>
      <c r="J1125" s="20">
        <v>0.0</v>
      </c>
      <c r="K1125" s="6" t="s">
        <v>51</v>
      </c>
      <c r="L1125" s="6" t="str">
        <f>VLOOKUP(K1125,'Structure type'!$A$1:$B$15,2,FALSE)</f>
        <v>Private Cleanout</v>
      </c>
      <c r="M1125" s="6" t="s">
        <v>52</v>
      </c>
      <c r="N1125" s="6" t="str">
        <f>VLOOKUP(M1125,'Excursion Cause'!$A$1:$B$34,2,FALSE)</f>
        <v>Collection system structural blockage</v>
      </c>
      <c r="O1125" s="21">
        <v>44616.0</v>
      </c>
      <c r="P1125" s="6" t="s">
        <v>1972</v>
      </c>
      <c r="Q1125" s="21">
        <v>44616.0</v>
      </c>
      <c r="R1125" s="6" t="s">
        <v>1972</v>
      </c>
      <c r="S1125" s="20">
        <v>0.0</v>
      </c>
      <c r="T1125" s="6" t="s">
        <v>89</v>
      </c>
      <c r="U1125" s="6"/>
      <c r="V1125" s="6"/>
      <c r="W1125" s="6">
        <v>29.7231928</v>
      </c>
      <c r="X1125" s="6">
        <v>-95.4787917</v>
      </c>
    </row>
    <row r="1126" ht="15.75" customHeight="1">
      <c r="A1126" s="6">
        <v>13869.0</v>
      </c>
      <c r="B1126" s="6">
        <v>2022.0</v>
      </c>
      <c r="C1126" s="6" t="str">
        <f t="shared" si="5"/>
        <v>1212 WESTHEIMER RD,Houston,Texas</v>
      </c>
      <c r="D1126" s="6" t="s">
        <v>1973</v>
      </c>
      <c r="E1126" s="6" t="s">
        <v>25</v>
      </c>
      <c r="F1126" s="6" t="s">
        <v>26</v>
      </c>
      <c r="G1126" s="6" t="s">
        <v>761</v>
      </c>
      <c r="H1126" s="6" t="s">
        <v>50</v>
      </c>
      <c r="I1126" s="6" t="str">
        <f>VLOOKUP(H1126,'Flow Location'!$A$1:$B$21,2,FALSE)</f>
        <v>Contained On Site, not within 5 ft. of Bayou/Surface Water/Drainage Ditch</v>
      </c>
      <c r="J1126" s="20">
        <v>0.0</v>
      </c>
      <c r="K1126" s="6" t="s">
        <v>29</v>
      </c>
      <c r="L1126" s="6" t="str">
        <f>VLOOKUP(K1126,'Structure type'!$A$1:$B$15,2,FALSE)</f>
        <v>Manhole</v>
      </c>
      <c r="M1126" s="6" t="s">
        <v>30</v>
      </c>
      <c r="N1126" s="6" t="str">
        <f>VLOOKUP(M1126,'Excursion Cause'!$A$1:$B$34,2,FALSE)</f>
        <v>Grease Blockage</v>
      </c>
      <c r="O1126" s="21">
        <v>44617.0</v>
      </c>
      <c r="P1126" s="6" t="s">
        <v>1164</v>
      </c>
      <c r="Q1126" s="21">
        <v>44617.0</v>
      </c>
      <c r="R1126" s="6" t="s">
        <v>1164</v>
      </c>
      <c r="S1126" s="20">
        <v>0.0</v>
      </c>
      <c r="T1126" s="6" t="s">
        <v>33</v>
      </c>
      <c r="U1126" s="6"/>
      <c r="V1126" s="6"/>
      <c r="W1126" s="6">
        <v>29.7447561</v>
      </c>
      <c r="X1126" s="6">
        <v>-95.3937813</v>
      </c>
    </row>
    <row r="1127" ht="15.75" customHeight="1">
      <c r="A1127" s="6">
        <v>13871.0</v>
      </c>
      <c r="B1127" s="6">
        <v>2022.0</v>
      </c>
      <c r="C1127" s="6" t="str">
        <f t="shared" si="5"/>
        <v>2418 MOREHOUSE LN,Houston,Texas</v>
      </c>
      <c r="D1127" s="6" t="s">
        <v>1974</v>
      </c>
      <c r="E1127" s="6" t="s">
        <v>25</v>
      </c>
      <c r="F1127" s="6" t="s">
        <v>26</v>
      </c>
      <c r="G1127" s="6" t="s">
        <v>502</v>
      </c>
      <c r="H1127" s="6" t="s">
        <v>50</v>
      </c>
      <c r="I1127" s="6" t="str">
        <f>VLOOKUP(H1127,'Flow Location'!$A$1:$B$21,2,FALSE)</f>
        <v>Contained On Site, not within 5 ft. of Bayou/Surface Water/Drainage Ditch</v>
      </c>
      <c r="J1127" s="20">
        <v>0.0</v>
      </c>
      <c r="K1127" s="6" t="s">
        <v>45</v>
      </c>
      <c r="L1127" s="6" t="str">
        <f>VLOOKUP(K1127,'Structure type'!$A$1:$B$15,2,FALSE)</f>
        <v>City Cleanout</v>
      </c>
      <c r="M1127" s="6" t="s">
        <v>81</v>
      </c>
      <c r="N1127" s="6" t="str">
        <f>VLOOKUP(M1127,'Excursion Cause'!$A$1:$B$34,2,FALSE)</f>
        <v>Collection system structural failure</v>
      </c>
      <c r="O1127" s="21">
        <v>44617.0</v>
      </c>
      <c r="P1127" s="6" t="s">
        <v>635</v>
      </c>
      <c r="Q1127" s="21">
        <v>44617.0</v>
      </c>
      <c r="R1127" s="6" t="s">
        <v>635</v>
      </c>
      <c r="S1127" s="20">
        <v>0.0</v>
      </c>
      <c r="T1127" s="6" t="s">
        <v>118</v>
      </c>
      <c r="U1127" s="6"/>
      <c r="V1127" s="6"/>
      <c r="W1127" s="6">
        <v>29.8683141</v>
      </c>
      <c r="X1127" s="6">
        <v>-95.4475867</v>
      </c>
    </row>
    <row r="1128" ht="15.75" customHeight="1">
      <c r="A1128" s="6">
        <v>13879.0</v>
      </c>
      <c r="B1128" s="6">
        <v>2022.0</v>
      </c>
      <c r="C1128" s="6" t="str">
        <f t="shared" si="5"/>
        <v>10119 RAYMONDVILLE RD,Houston,Texas</v>
      </c>
      <c r="D1128" s="6" t="s">
        <v>1975</v>
      </c>
      <c r="E1128" s="6" t="s">
        <v>25</v>
      </c>
      <c r="F1128" s="6" t="s">
        <v>26</v>
      </c>
      <c r="G1128" s="6" t="s">
        <v>109</v>
      </c>
      <c r="H1128" s="6" t="s">
        <v>50</v>
      </c>
      <c r="I1128" s="6" t="str">
        <f>VLOOKUP(H1128,'Flow Location'!$A$1:$B$21,2,FALSE)</f>
        <v>Contained On Site, not within 5 ft. of Bayou/Surface Water/Drainage Ditch</v>
      </c>
      <c r="J1128" s="20">
        <v>0.0</v>
      </c>
      <c r="K1128" s="6" t="s">
        <v>51</v>
      </c>
      <c r="L1128" s="6" t="str">
        <f>VLOOKUP(K1128,'Structure type'!$A$1:$B$15,2,FALSE)</f>
        <v>Private Cleanout</v>
      </c>
      <c r="M1128" s="6" t="s">
        <v>30</v>
      </c>
      <c r="N1128" s="6" t="str">
        <f>VLOOKUP(M1128,'Excursion Cause'!$A$1:$B$34,2,FALSE)</f>
        <v>Grease Blockage</v>
      </c>
      <c r="O1128" s="21">
        <v>44618.0</v>
      </c>
      <c r="P1128" s="6" t="s">
        <v>958</v>
      </c>
      <c r="Q1128" s="21">
        <v>44618.0</v>
      </c>
      <c r="R1128" s="6" t="s">
        <v>958</v>
      </c>
      <c r="S1128" s="20">
        <v>0.0</v>
      </c>
      <c r="T1128" s="6" t="s">
        <v>89</v>
      </c>
      <c r="U1128" s="6"/>
      <c r="V1128" s="6"/>
      <c r="W1128" s="6">
        <v>29.8591232</v>
      </c>
      <c r="X1128" s="6">
        <v>-95.3457324</v>
      </c>
    </row>
    <row r="1129" ht="15.75" customHeight="1">
      <c r="A1129" s="6">
        <v>13880.0</v>
      </c>
      <c r="B1129" s="6">
        <v>2022.0</v>
      </c>
      <c r="C1129" s="6" t="str">
        <f t="shared" si="5"/>
        <v>7054 HENDON LN,Houston,Texas</v>
      </c>
      <c r="D1129" s="6" t="s">
        <v>1703</v>
      </c>
      <c r="E1129" s="6" t="s">
        <v>25</v>
      </c>
      <c r="F1129" s="6" t="s">
        <v>26</v>
      </c>
      <c r="G1129" s="6" t="s">
        <v>471</v>
      </c>
      <c r="H1129" s="6" t="s">
        <v>50</v>
      </c>
      <c r="I1129" s="6" t="str">
        <f>VLOOKUP(H1129,'Flow Location'!$A$1:$B$21,2,FALSE)</f>
        <v>Contained On Site, not within 5 ft. of Bayou/Surface Water/Drainage Ditch</v>
      </c>
      <c r="J1129" s="20">
        <v>108.0</v>
      </c>
      <c r="K1129" s="6" t="s">
        <v>29</v>
      </c>
      <c r="L1129" s="6" t="str">
        <f>VLOOKUP(K1129,'Structure type'!$A$1:$B$15,2,FALSE)</f>
        <v>Manhole</v>
      </c>
      <c r="M1129" s="6" t="s">
        <v>30</v>
      </c>
      <c r="N1129" s="6" t="str">
        <f>VLOOKUP(M1129,'Excursion Cause'!$A$1:$B$34,2,FALSE)</f>
        <v>Grease Blockage</v>
      </c>
      <c r="O1129" s="21">
        <v>44618.0</v>
      </c>
      <c r="P1129" s="6" t="s">
        <v>787</v>
      </c>
      <c r="Q1129" s="21">
        <v>44618.0</v>
      </c>
      <c r="R1129" s="6" t="s">
        <v>245</v>
      </c>
      <c r="S1129" s="20">
        <v>1.0</v>
      </c>
      <c r="T1129" s="6" t="s">
        <v>33</v>
      </c>
      <c r="U1129" s="6"/>
      <c r="V1129" s="6"/>
      <c r="W1129" s="6">
        <v>29.6958565</v>
      </c>
      <c r="X1129" s="6">
        <v>-95.5085339</v>
      </c>
    </row>
    <row r="1130" ht="15.75" customHeight="1">
      <c r="A1130" s="6">
        <v>13886.0</v>
      </c>
      <c r="B1130" s="6">
        <v>2022.0</v>
      </c>
      <c r="C1130" s="6" t="str">
        <f t="shared" si="5"/>
        <v>4929 HANLEY LN,Houston,Texas</v>
      </c>
      <c r="D1130" s="6" t="s">
        <v>1976</v>
      </c>
      <c r="E1130" s="6" t="s">
        <v>25</v>
      </c>
      <c r="F1130" s="6" t="s">
        <v>26</v>
      </c>
      <c r="G1130" s="6" t="s">
        <v>109</v>
      </c>
      <c r="H1130" s="6" t="s">
        <v>1977</v>
      </c>
      <c r="I1130" s="6" t="str">
        <f>VLOOKUP(H1130,'Flow Location'!$A$1:$B$21,2,FALSE)</f>
        <v>Bayou/surface water/drainage ditch</v>
      </c>
      <c r="J1130" s="20">
        <v>1462.0</v>
      </c>
      <c r="K1130" s="6" t="s">
        <v>45</v>
      </c>
      <c r="L1130" s="6" t="str">
        <f>VLOOKUP(K1130,'Structure type'!$A$1:$B$15,2,FALSE)</f>
        <v>City Cleanout</v>
      </c>
      <c r="M1130" s="6" t="s">
        <v>56</v>
      </c>
      <c r="N1130" s="6" t="str">
        <f>VLOOKUP(M1130,'Excursion Cause'!$A$1:$B$34,2,FALSE)</f>
        <v>Rags/Wipes</v>
      </c>
      <c r="O1130" s="21">
        <v>44619.0</v>
      </c>
      <c r="P1130" s="6" t="s">
        <v>490</v>
      </c>
      <c r="Q1130" s="21">
        <v>44620.0</v>
      </c>
      <c r="R1130" s="6" t="s">
        <v>940</v>
      </c>
      <c r="S1130" s="20">
        <v>1.0</v>
      </c>
      <c r="T1130" s="6" t="s">
        <v>270</v>
      </c>
      <c r="U1130" s="6"/>
      <c r="V1130" s="6"/>
      <c r="W1130" s="6">
        <v>29.878743</v>
      </c>
      <c r="X1130" s="6">
        <v>-95.3162749</v>
      </c>
    </row>
    <row r="1131" ht="15.75" customHeight="1">
      <c r="A1131" s="6">
        <v>13887.0</v>
      </c>
      <c r="B1131" s="6">
        <v>2022.0</v>
      </c>
      <c r="C1131" s="6" t="str">
        <f t="shared" si="5"/>
        <v>1003 WAKEFIELD DR,Houston,Texas</v>
      </c>
      <c r="D1131" s="6" t="s">
        <v>1978</v>
      </c>
      <c r="E1131" s="6" t="s">
        <v>25</v>
      </c>
      <c r="F1131" s="6" t="s">
        <v>26</v>
      </c>
      <c r="G1131" s="6" t="s">
        <v>218</v>
      </c>
      <c r="H1131" s="6" t="s">
        <v>50</v>
      </c>
      <c r="I1131" s="6" t="str">
        <f>VLOOKUP(H1131,'Flow Location'!$A$1:$B$21,2,FALSE)</f>
        <v>Contained On Site, not within 5 ft. of Bayou/Surface Water/Drainage Ditch</v>
      </c>
      <c r="J1131" s="20">
        <v>96.0</v>
      </c>
      <c r="K1131" s="6" t="s">
        <v>29</v>
      </c>
      <c r="L1131" s="6" t="str">
        <f>VLOOKUP(K1131,'Structure type'!$A$1:$B$15,2,FALSE)</f>
        <v>Manhole</v>
      </c>
      <c r="M1131" s="6" t="s">
        <v>30</v>
      </c>
      <c r="N1131" s="6" t="str">
        <f>VLOOKUP(M1131,'Excursion Cause'!$A$1:$B$34,2,FALSE)</f>
        <v>Grease Blockage</v>
      </c>
      <c r="O1131" s="21">
        <v>44619.0</v>
      </c>
      <c r="P1131" s="6" t="s">
        <v>1119</v>
      </c>
      <c r="Q1131" s="21">
        <v>44619.0</v>
      </c>
      <c r="R1131" s="6" t="s">
        <v>1119</v>
      </c>
      <c r="S1131" s="20">
        <v>0.0</v>
      </c>
      <c r="T1131" s="6" t="s">
        <v>59</v>
      </c>
      <c r="U1131" s="6"/>
      <c r="V1131" s="6"/>
      <c r="W1131" s="6">
        <v>29.8212612</v>
      </c>
      <c r="X1131" s="6">
        <v>-95.4249255</v>
      </c>
    </row>
    <row r="1132" ht="15.75" customHeight="1">
      <c r="A1132" s="6">
        <v>13890.0</v>
      </c>
      <c r="B1132" s="6">
        <v>2022.0</v>
      </c>
      <c r="C1132" s="6" t="str">
        <f t="shared" si="5"/>
        <v>5406 LONGMONT DR,Houston,Texas</v>
      </c>
      <c r="D1132" s="6" t="s">
        <v>1979</v>
      </c>
      <c r="E1132" s="6" t="s">
        <v>25</v>
      </c>
      <c r="F1132" s="6" t="s">
        <v>26</v>
      </c>
      <c r="G1132" s="6" t="s">
        <v>993</v>
      </c>
      <c r="H1132" s="6" t="s">
        <v>50</v>
      </c>
      <c r="I1132" s="6" t="str">
        <f>VLOOKUP(H1132,'Flow Location'!$A$1:$B$21,2,FALSE)</f>
        <v>Contained On Site, not within 5 ft. of Bayou/Surface Water/Drainage Ditch</v>
      </c>
      <c r="J1132" s="20">
        <v>0.0</v>
      </c>
      <c r="K1132" s="6" t="s">
        <v>29</v>
      </c>
      <c r="L1132" s="6" t="str">
        <f>VLOOKUP(K1132,'Structure type'!$A$1:$B$15,2,FALSE)</f>
        <v>Manhole</v>
      </c>
      <c r="M1132" s="6" t="s">
        <v>30</v>
      </c>
      <c r="N1132" s="6" t="str">
        <f>VLOOKUP(M1132,'Excursion Cause'!$A$1:$B$34,2,FALSE)</f>
        <v>Grease Blockage</v>
      </c>
      <c r="O1132" s="21">
        <v>44620.0</v>
      </c>
      <c r="P1132" s="6" t="s">
        <v>283</v>
      </c>
      <c r="Q1132" s="21">
        <v>44620.0</v>
      </c>
      <c r="R1132" s="6" t="s">
        <v>283</v>
      </c>
      <c r="S1132" s="20">
        <v>0.0</v>
      </c>
      <c r="T1132" s="6" t="s">
        <v>33</v>
      </c>
      <c r="U1132" s="6"/>
      <c r="V1132" s="6"/>
      <c r="W1132" s="6">
        <v>29.7549764</v>
      </c>
      <c r="X1132" s="6">
        <v>-95.471105</v>
      </c>
    </row>
    <row r="1133" ht="15.75" customHeight="1">
      <c r="A1133" s="6">
        <v>13893.0</v>
      </c>
      <c r="B1133" s="6">
        <v>2022.0</v>
      </c>
      <c r="C1133" s="6" t="str">
        <f t="shared" si="5"/>
        <v>16419 LAZY RIDGE RD,Houston,Texas</v>
      </c>
      <c r="D1133" s="6" t="s">
        <v>1980</v>
      </c>
      <c r="E1133" s="6" t="s">
        <v>25</v>
      </c>
      <c r="F1133" s="6" t="s">
        <v>26</v>
      </c>
      <c r="G1133" s="6" t="s">
        <v>517</v>
      </c>
      <c r="H1133" s="6" t="s">
        <v>50</v>
      </c>
      <c r="I1133" s="6" t="str">
        <f>VLOOKUP(H1133,'Flow Location'!$A$1:$B$21,2,FALSE)</f>
        <v>Contained On Site, not within 5 ft. of Bayou/Surface Water/Drainage Ditch</v>
      </c>
      <c r="J1133" s="20">
        <v>0.0</v>
      </c>
      <c r="K1133" s="6" t="s">
        <v>51</v>
      </c>
      <c r="L1133" s="6" t="str">
        <f>VLOOKUP(K1133,'Structure type'!$A$1:$B$15,2,FALSE)</f>
        <v>Private Cleanout</v>
      </c>
      <c r="M1133" s="6" t="s">
        <v>30</v>
      </c>
      <c r="N1133" s="6" t="str">
        <f>VLOOKUP(M1133,'Excursion Cause'!$A$1:$B$34,2,FALSE)</f>
        <v>Grease Blockage</v>
      </c>
      <c r="O1133" s="21">
        <v>44620.0</v>
      </c>
      <c r="P1133" s="6" t="s">
        <v>248</v>
      </c>
      <c r="Q1133" s="21">
        <v>44620.0</v>
      </c>
      <c r="R1133" s="6" t="s">
        <v>248</v>
      </c>
      <c r="S1133" s="20">
        <v>0.0</v>
      </c>
      <c r="T1133" s="6" t="s">
        <v>59</v>
      </c>
      <c r="U1133" s="6"/>
      <c r="V1133" s="6"/>
      <c r="W1133" s="6">
        <v>29.583245</v>
      </c>
      <c r="X1133" s="6">
        <v>-95.4583089</v>
      </c>
    </row>
    <row r="1134" ht="15.75" customHeight="1">
      <c r="A1134" s="6">
        <v>13896.0</v>
      </c>
      <c r="B1134" s="6">
        <v>2022.0</v>
      </c>
      <c r="C1134" s="6" t="str">
        <f t="shared" si="5"/>
        <v>12803 LONGVINE CT,Houston,Texas</v>
      </c>
      <c r="D1134" s="6" t="s">
        <v>1981</v>
      </c>
      <c r="E1134" s="6" t="s">
        <v>25</v>
      </c>
      <c r="F1134" s="6" t="s">
        <v>26</v>
      </c>
      <c r="G1134" s="6" t="s">
        <v>91</v>
      </c>
      <c r="H1134" s="6" t="s">
        <v>1724</v>
      </c>
      <c r="I1134" s="6" t="str">
        <f>VLOOKUP(H1134,'Flow Location'!$A$1:$B$21,2,FALSE)</f>
        <v>Storm Sewer (not contained)</v>
      </c>
      <c r="J1134" s="20">
        <v>84.0</v>
      </c>
      <c r="K1134" s="6" t="s">
        <v>29</v>
      </c>
      <c r="L1134" s="6" t="str">
        <f>VLOOKUP(K1134,'Structure type'!$A$1:$B$15,2,FALSE)</f>
        <v>Manhole</v>
      </c>
      <c r="M1134" s="6" t="s">
        <v>56</v>
      </c>
      <c r="N1134" s="6" t="str">
        <f>VLOOKUP(M1134,'Excursion Cause'!$A$1:$B$34,2,FALSE)</f>
        <v>Rags/Wipes</v>
      </c>
      <c r="O1134" s="21">
        <v>44620.0</v>
      </c>
      <c r="P1134" s="6" t="s">
        <v>63</v>
      </c>
      <c r="Q1134" s="21">
        <v>44620.0</v>
      </c>
      <c r="R1134" s="6" t="s">
        <v>1036</v>
      </c>
      <c r="S1134" s="20">
        <v>1.0</v>
      </c>
      <c r="T1134" s="6" t="s">
        <v>1982</v>
      </c>
      <c r="U1134" s="6"/>
      <c r="V1134" s="6"/>
      <c r="W1134" s="6">
        <v>29.6982175</v>
      </c>
      <c r="X1134" s="6">
        <v>-95.6073007</v>
      </c>
    </row>
    <row r="1135" ht="15.75" customHeight="1">
      <c r="A1135" s="6">
        <v>13899.0</v>
      </c>
      <c r="B1135" s="6">
        <v>2022.0</v>
      </c>
      <c r="C1135" s="6" t="str">
        <f t="shared" si="5"/>
        <v>1003 KELLEY ST,Houston,Texas</v>
      </c>
      <c r="D1135" s="6" t="s">
        <v>1696</v>
      </c>
      <c r="E1135" s="6" t="s">
        <v>25</v>
      </c>
      <c r="F1135" s="6" t="s">
        <v>26</v>
      </c>
      <c r="G1135" s="6" t="s">
        <v>161</v>
      </c>
      <c r="H1135" s="6" t="s">
        <v>50</v>
      </c>
      <c r="I1135" s="6" t="str">
        <f>VLOOKUP(H1135,'Flow Location'!$A$1:$B$21,2,FALSE)</f>
        <v>Contained On Site, not within 5 ft. of Bayou/Surface Water/Drainage Ditch</v>
      </c>
      <c r="J1135" s="20">
        <v>0.0</v>
      </c>
      <c r="K1135" s="6" t="s">
        <v>51</v>
      </c>
      <c r="L1135" s="6" t="str">
        <f>VLOOKUP(K1135,'Structure type'!$A$1:$B$15,2,FALSE)</f>
        <v>Private Cleanout</v>
      </c>
      <c r="M1135" s="6" t="s">
        <v>30</v>
      </c>
      <c r="N1135" s="6" t="str">
        <f>VLOOKUP(M1135,'Excursion Cause'!$A$1:$B$34,2,FALSE)</f>
        <v>Grease Blockage</v>
      </c>
      <c r="O1135" s="21">
        <v>44620.0</v>
      </c>
      <c r="P1135" s="6" t="s">
        <v>757</v>
      </c>
      <c r="Q1135" s="21">
        <v>44620.0</v>
      </c>
      <c r="R1135" s="6" t="s">
        <v>757</v>
      </c>
      <c r="S1135" s="20">
        <v>0.0</v>
      </c>
      <c r="T1135" s="6" t="s">
        <v>33</v>
      </c>
      <c r="U1135" s="6"/>
      <c r="V1135" s="6"/>
      <c r="W1135" s="6">
        <v>29.8134749</v>
      </c>
      <c r="X1135" s="6">
        <v>-95.3584535</v>
      </c>
    </row>
    <row r="1136" ht="15.75" customHeight="1">
      <c r="A1136" s="6">
        <v>13900.0</v>
      </c>
      <c r="B1136" s="6">
        <v>2022.0</v>
      </c>
      <c r="C1136" s="6" t="str">
        <f t="shared" si="5"/>
        <v>3019 CAMPBELL ST,Houston,Texas</v>
      </c>
      <c r="D1136" s="6" t="s">
        <v>1983</v>
      </c>
      <c r="E1136" s="6" t="s">
        <v>25</v>
      </c>
      <c r="F1136" s="6" t="s">
        <v>26</v>
      </c>
      <c r="G1136" s="6" t="s">
        <v>43</v>
      </c>
      <c r="H1136" s="6" t="s">
        <v>50</v>
      </c>
      <c r="I1136" s="6" t="str">
        <f>VLOOKUP(H1136,'Flow Location'!$A$1:$B$21,2,FALSE)</f>
        <v>Contained On Site, not within 5 ft. of Bayou/Surface Water/Drainage Ditch</v>
      </c>
      <c r="J1136" s="20">
        <v>0.0</v>
      </c>
      <c r="K1136" s="6" t="s">
        <v>198</v>
      </c>
      <c r="L1136" s="6" t="str">
        <f>VLOOKUP(K1136,'Structure type'!$A$1:$B$15,2,FALSE)</f>
        <v>Service Lateral</v>
      </c>
      <c r="M1136" s="6" t="s">
        <v>81</v>
      </c>
      <c r="N1136" s="6" t="str">
        <f>VLOOKUP(M1136,'Excursion Cause'!$A$1:$B$34,2,FALSE)</f>
        <v>Collection system structural failure</v>
      </c>
      <c r="O1136" s="21">
        <v>44620.0</v>
      </c>
      <c r="P1136" s="6" t="s">
        <v>1164</v>
      </c>
      <c r="Q1136" s="21">
        <v>44620.0</v>
      </c>
      <c r="R1136" s="6" t="s">
        <v>1164</v>
      </c>
      <c r="S1136" s="20">
        <v>0.0</v>
      </c>
      <c r="T1136" s="6" t="s">
        <v>118</v>
      </c>
      <c r="U1136" s="6"/>
      <c r="V1136" s="6"/>
      <c r="W1136" s="6">
        <v>29.7829993</v>
      </c>
      <c r="X1136" s="6">
        <v>-95.3385839</v>
      </c>
    </row>
    <row r="1137" ht="15.75" customHeight="1">
      <c r="A1137" s="6">
        <v>13902.0</v>
      </c>
      <c r="B1137" s="6">
        <v>2022.0</v>
      </c>
      <c r="C1137" s="6" t="str">
        <f t="shared" si="5"/>
        <v>6120 BELLAIRE BLVD,Houston,Texas</v>
      </c>
      <c r="D1137" s="6" t="s">
        <v>1984</v>
      </c>
      <c r="E1137" s="6" t="s">
        <v>25</v>
      </c>
      <c r="F1137" s="6" t="s">
        <v>26</v>
      </c>
      <c r="G1137" s="6" t="s">
        <v>287</v>
      </c>
      <c r="H1137" s="6" t="s">
        <v>50</v>
      </c>
      <c r="I1137" s="6" t="str">
        <f>VLOOKUP(H1137,'Flow Location'!$A$1:$B$21,2,FALSE)</f>
        <v>Contained On Site, not within 5 ft. of Bayou/Surface Water/Drainage Ditch</v>
      </c>
      <c r="J1137" s="20">
        <v>192.0</v>
      </c>
      <c r="K1137" s="6" t="s">
        <v>29</v>
      </c>
      <c r="L1137" s="6" t="str">
        <f>VLOOKUP(K1137,'Structure type'!$A$1:$B$15,2,FALSE)</f>
        <v>Manhole</v>
      </c>
      <c r="M1137" s="6" t="s">
        <v>30</v>
      </c>
      <c r="N1137" s="6" t="str">
        <f>VLOOKUP(M1137,'Excursion Cause'!$A$1:$B$34,2,FALSE)</f>
        <v>Grease Blockage</v>
      </c>
      <c r="O1137" s="21">
        <v>44620.0</v>
      </c>
      <c r="P1137" s="6" t="s">
        <v>712</v>
      </c>
      <c r="Q1137" s="21">
        <v>44620.0</v>
      </c>
      <c r="R1137" s="6" t="s">
        <v>93</v>
      </c>
      <c r="S1137" s="20">
        <v>3.0</v>
      </c>
      <c r="T1137" s="6" t="s">
        <v>33</v>
      </c>
      <c r="U1137" s="6"/>
      <c r="V1137" s="6"/>
      <c r="W1137" s="6">
        <v>29.7061355</v>
      </c>
      <c r="X1137" s="6">
        <v>-95.4905621</v>
      </c>
    </row>
    <row r="1138" ht="15.75" customHeight="1">
      <c r="A1138" s="6">
        <v>13909.0</v>
      </c>
      <c r="B1138" s="6">
        <v>2022.0</v>
      </c>
      <c r="C1138" s="6" t="str">
        <f t="shared" si="5"/>
        <v>6700 S DAIRY ASHFORD ST,Houston,Texas</v>
      </c>
      <c r="D1138" s="6" t="s">
        <v>1985</v>
      </c>
      <c r="E1138" s="6" t="s">
        <v>25</v>
      </c>
      <c r="F1138" s="6" t="s">
        <v>26</v>
      </c>
      <c r="G1138" s="6" t="s">
        <v>91</v>
      </c>
      <c r="H1138" s="6" t="s">
        <v>50</v>
      </c>
      <c r="I1138" s="6" t="str">
        <f>VLOOKUP(H1138,'Flow Location'!$A$1:$B$21,2,FALSE)</f>
        <v>Contained On Site, not within 5 ft. of Bayou/Surface Water/Drainage Ditch</v>
      </c>
      <c r="J1138" s="20">
        <v>0.0</v>
      </c>
      <c r="K1138" s="6" t="s">
        <v>29</v>
      </c>
      <c r="L1138" s="6" t="str">
        <f>VLOOKUP(K1138,'Structure type'!$A$1:$B$15,2,FALSE)</f>
        <v>Manhole</v>
      </c>
      <c r="M1138" s="6" t="s">
        <v>56</v>
      </c>
      <c r="N1138" s="6" t="str">
        <f>VLOOKUP(M1138,'Excursion Cause'!$A$1:$B$34,2,FALSE)</f>
        <v>Rags/Wipes</v>
      </c>
      <c r="O1138" s="21">
        <v>44620.0</v>
      </c>
      <c r="P1138" s="6" t="s">
        <v>755</v>
      </c>
      <c r="Q1138" s="21">
        <v>44620.0</v>
      </c>
      <c r="R1138" s="6" t="s">
        <v>755</v>
      </c>
      <c r="S1138" s="20">
        <v>0.0</v>
      </c>
      <c r="T1138" s="6" t="s">
        <v>33</v>
      </c>
      <c r="U1138" s="6"/>
      <c r="V1138" s="6"/>
      <c r="W1138" s="6">
        <v>29.7062089</v>
      </c>
      <c r="X1138" s="6">
        <v>-95.6058621</v>
      </c>
    </row>
    <row r="1139" ht="15.75" customHeight="1">
      <c r="A1139" s="6">
        <v>13919.0</v>
      </c>
      <c r="B1139" s="6">
        <v>2022.0</v>
      </c>
      <c r="C1139" s="6" t="str">
        <f t="shared" si="5"/>
        <v>5408 FEAGAN ST,Houston,Texas</v>
      </c>
      <c r="D1139" s="6" t="s">
        <v>1986</v>
      </c>
      <c r="E1139" s="6" t="s">
        <v>25</v>
      </c>
      <c r="F1139" s="6" t="s">
        <v>26</v>
      </c>
      <c r="G1139" s="6" t="s">
        <v>158</v>
      </c>
      <c r="H1139" s="6" t="s">
        <v>1724</v>
      </c>
      <c r="I1139" s="6" t="str">
        <f>VLOOKUP(H1139,'Flow Location'!$A$1:$B$21,2,FALSE)</f>
        <v>Storm Sewer (not contained)</v>
      </c>
      <c r="J1139" s="22">
        <v>58.5</v>
      </c>
      <c r="K1139" s="6" t="s">
        <v>29</v>
      </c>
      <c r="L1139" s="6" t="str">
        <f>VLOOKUP(K1139,'Structure type'!$A$1:$B$15,2,FALSE)</f>
        <v>Manhole</v>
      </c>
      <c r="M1139" s="6" t="s">
        <v>56</v>
      </c>
      <c r="N1139" s="6" t="str">
        <f>VLOOKUP(M1139,'Excursion Cause'!$A$1:$B$34,2,FALSE)</f>
        <v>Rags/Wipes</v>
      </c>
      <c r="O1139" s="21">
        <v>44621.0</v>
      </c>
      <c r="P1139" s="6" t="s">
        <v>602</v>
      </c>
      <c r="Q1139" s="21">
        <v>44621.0</v>
      </c>
      <c r="R1139" s="6" t="s">
        <v>353</v>
      </c>
      <c r="S1139" s="20">
        <v>1.0</v>
      </c>
      <c r="T1139" s="6" t="s">
        <v>1987</v>
      </c>
      <c r="U1139" s="6"/>
      <c r="V1139" s="6"/>
      <c r="W1139" s="6">
        <v>29.7661654</v>
      </c>
      <c r="X1139" s="6">
        <v>-95.4167246</v>
      </c>
    </row>
    <row r="1140" ht="15.75" customHeight="1">
      <c r="A1140" s="6">
        <v>13922.0</v>
      </c>
      <c r="B1140" s="6">
        <v>2022.0</v>
      </c>
      <c r="C1140" s="6" t="str">
        <f t="shared" si="5"/>
        <v>9930 LONG POINT RD,Houston,Texas</v>
      </c>
      <c r="D1140" s="6" t="s">
        <v>1988</v>
      </c>
      <c r="E1140" s="6" t="s">
        <v>25</v>
      </c>
      <c r="F1140" s="6" t="s">
        <v>26</v>
      </c>
      <c r="G1140" s="6" t="s">
        <v>27</v>
      </c>
      <c r="H1140" s="6" t="s">
        <v>50</v>
      </c>
      <c r="I1140" s="6" t="str">
        <f>VLOOKUP(H1140,'Flow Location'!$A$1:$B$21,2,FALSE)</f>
        <v>Contained On Site, not within 5 ft. of Bayou/Surface Water/Drainage Ditch</v>
      </c>
      <c r="J1140" s="20">
        <v>142.0</v>
      </c>
      <c r="K1140" s="6" t="s">
        <v>29</v>
      </c>
      <c r="L1140" s="6" t="str">
        <f>VLOOKUP(K1140,'Structure type'!$A$1:$B$15,2,FALSE)</f>
        <v>Manhole</v>
      </c>
      <c r="M1140" s="6" t="s">
        <v>30</v>
      </c>
      <c r="N1140" s="6" t="str">
        <f>VLOOKUP(M1140,'Excursion Cause'!$A$1:$B$34,2,FALSE)</f>
        <v>Grease Blockage</v>
      </c>
      <c r="O1140" s="21">
        <v>44621.0</v>
      </c>
      <c r="P1140" s="6" t="s">
        <v>342</v>
      </c>
      <c r="Q1140" s="21">
        <v>44621.0</v>
      </c>
      <c r="R1140" s="6" t="s">
        <v>791</v>
      </c>
      <c r="S1140" s="20">
        <v>1.0</v>
      </c>
      <c r="T1140" s="6" t="s">
        <v>59</v>
      </c>
      <c r="U1140" s="6"/>
      <c r="V1140" s="6"/>
      <c r="W1140" s="6">
        <v>29.7943737</v>
      </c>
      <c r="X1140" s="6">
        <v>-95.5384078</v>
      </c>
    </row>
    <row r="1141" ht="15.75" customHeight="1">
      <c r="A1141" s="6">
        <v>13924.0</v>
      </c>
      <c r="B1141" s="6">
        <v>2022.0</v>
      </c>
      <c r="C1141" s="6" t="str">
        <f t="shared" si="5"/>
        <v>6139 LYNBROOK DR,Houston,Texas</v>
      </c>
      <c r="D1141" s="6" t="s">
        <v>1989</v>
      </c>
      <c r="E1141" s="6" t="s">
        <v>25</v>
      </c>
      <c r="F1141" s="6" t="s">
        <v>26</v>
      </c>
      <c r="G1141" s="6" t="s">
        <v>689</v>
      </c>
      <c r="H1141" s="6" t="s">
        <v>50</v>
      </c>
      <c r="I1141" s="6" t="str">
        <f>VLOOKUP(H1141,'Flow Location'!$A$1:$B$21,2,FALSE)</f>
        <v>Contained On Site, not within 5 ft. of Bayou/Surface Water/Drainage Ditch</v>
      </c>
      <c r="J1141" s="20">
        <v>0.0</v>
      </c>
      <c r="K1141" s="6" t="s">
        <v>198</v>
      </c>
      <c r="L1141" s="6" t="str">
        <f>VLOOKUP(K1141,'Structure type'!$A$1:$B$15,2,FALSE)</f>
        <v>Service Lateral</v>
      </c>
      <c r="M1141" s="6" t="s">
        <v>81</v>
      </c>
      <c r="N1141" s="6" t="str">
        <f>VLOOKUP(M1141,'Excursion Cause'!$A$1:$B$34,2,FALSE)</f>
        <v>Collection system structural failure</v>
      </c>
      <c r="O1141" s="21">
        <v>44621.0</v>
      </c>
      <c r="P1141" s="6" t="s">
        <v>259</v>
      </c>
      <c r="Q1141" s="21">
        <v>44621.0</v>
      </c>
      <c r="R1141" s="6" t="s">
        <v>259</v>
      </c>
      <c r="S1141" s="20">
        <v>0.0</v>
      </c>
      <c r="T1141" s="6" t="s">
        <v>118</v>
      </c>
      <c r="U1141" s="6"/>
      <c r="V1141" s="6"/>
      <c r="W1141" s="6">
        <v>29.7549607</v>
      </c>
      <c r="X1141" s="6">
        <v>-95.4910975</v>
      </c>
    </row>
    <row r="1142" ht="15.75" customHeight="1">
      <c r="A1142" s="6">
        <v>13925.0</v>
      </c>
      <c r="B1142" s="6">
        <v>2022.0</v>
      </c>
      <c r="C1142" s="6" t="str">
        <f t="shared" si="5"/>
        <v>5505 PINE ST,Houston,Texas</v>
      </c>
      <c r="D1142" s="6" t="s">
        <v>601</v>
      </c>
      <c r="E1142" s="6" t="s">
        <v>25</v>
      </c>
      <c r="F1142" s="6" t="s">
        <v>26</v>
      </c>
      <c r="G1142" s="6" t="s">
        <v>287</v>
      </c>
      <c r="H1142" s="6" t="s">
        <v>50</v>
      </c>
      <c r="I1142" s="6" t="str">
        <f>VLOOKUP(H1142,'Flow Location'!$A$1:$B$21,2,FALSE)</f>
        <v>Contained On Site, not within 5 ft. of Bayou/Surface Water/Drainage Ditch</v>
      </c>
      <c r="J1142" s="20">
        <v>450.0</v>
      </c>
      <c r="K1142" s="6" t="s">
        <v>29</v>
      </c>
      <c r="L1142" s="6" t="str">
        <f>VLOOKUP(K1142,'Structure type'!$A$1:$B$15,2,FALSE)</f>
        <v>Manhole</v>
      </c>
      <c r="M1142" s="6" t="s">
        <v>30</v>
      </c>
      <c r="N1142" s="6" t="str">
        <f>VLOOKUP(M1142,'Excursion Cause'!$A$1:$B$34,2,FALSE)</f>
        <v>Grease Blockage</v>
      </c>
      <c r="O1142" s="21">
        <v>44621.0</v>
      </c>
      <c r="P1142" s="6" t="s">
        <v>568</v>
      </c>
      <c r="Q1142" s="21">
        <v>44621.0</v>
      </c>
      <c r="R1142" s="6" t="s">
        <v>1990</v>
      </c>
      <c r="S1142" s="20">
        <v>1.0</v>
      </c>
      <c r="T1142" s="6" t="s">
        <v>33</v>
      </c>
      <c r="U1142" s="6"/>
      <c r="V1142" s="6"/>
      <c r="W1142" s="6">
        <v>29.6942383</v>
      </c>
      <c r="X1142" s="6">
        <v>-95.484799</v>
      </c>
    </row>
    <row r="1143" ht="15.75" customHeight="1">
      <c r="A1143" s="6">
        <v>13926.0</v>
      </c>
      <c r="B1143" s="6">
        <v>2022.0</v>
      </c>
      <c r="C1143" s="6" t="str">
        <f t="shared" si="5"/>
        <v>273 SPREADING OAK DR,Houston,Texas</v>
      </c>
      <c r="D1143" s="6" t="s">
        <v>1991</v>
      </c>
      <c r="E1143" s="6" t="s">
        <v>25</v>
      </c>
      <c r="F1143" s="6" t="s">
        <v>26</v>
      </c>
      <c r="G1143" s="6" t="s">
        <v>275</v>
      </c>
      <c r="H1143" s="6" t="s">
        <v>1977</v>
      </c>
      <c r="I1143" s="6" t="str">
        <f>VLOOKUP(H1143,'Flow Location'!$A$1:$B$21,2,FALSE)</f>
        <v>Bayou/surface water/drainage ditch</v>
      </c>
      <c r="J1143" s="20">
        <v>0.0</v>
      </c>
      <c r="K1143" s="6" t="s">
        <v>29</v>
      </c>
      <c r="L1143" s="6" t="str">
        <f>VLOOKUP(K1143,'Structure type'!$A$1:$B$15,2,FALSE)</f>
        <v>Manhole</v>
      </c>
      <c r="M1143" s="6" t="s">
        <v>30</v>
      </c>
      <c r="N1143" s="6" t="str">
        <f>VLOOKUP(M1143,'Excursion Cause'!$A$1:$B$34,2,FALSE)</f>
        <v>Grease Blockage</v>
      </c>
      <c r="O1143" s="21">
        <v>44621.0</v>
      </c>
      <c r="P1143" s="6" t="s">
        <v>414</v>
      </c>
      <c r="Q1143" s="21">
        <v>44621.0</v>
      </c>
      <c r="R1143" s="6" t="s">
        <v>414</v>
      </c>
      <c r="S1143" s="20">
        <v>0.0</v>
      </c>
      <c r="T1143" s="6" t="s">
        <v>33</v>
      </c>
      <c r="U1143" s="6"/>
      <c r="V1143" s="6"/>
      <c r="W1143" s="6">
        <v>29.8628034</v>
      </c>
      <c r="X1143" s="6">
        <v>-95.3944585</v>
      </c>
    </row>
    <row r="1144" ht="15.75" customHeight="1">
      <c r="A1144" s="6">
        <v>13927.0</v>
      </c>
      <c r="B1144" s="6">
        <v>2022.0</v>
      </c>
      <c r="C1144" s="6" t="str">
        <f t="shared" si="5"/>
        <v>7913 LONGRIDGE DR,Houston,Texas</v>
      </c>
      <c r="D1144" s="6" t="s">
        <v>1992</v>
      </c>
      <c r="E1144" s="6" t="s">
        <v>25</v>
      </c>
      <c r="F1144" s="6" t="s">
        <v>26</v>
      </c>
      <c r="G1144" s="6" t="s">
        <v>27</v>
      </c>
      <c r="H1144" s="6" t="s">
        <v>50</v>
      </c>
      <c r="I1144" s="6" t="str">
        <f>VLOOKUP(H1144,'Flow Location'!$A$1:$B$21,2,FALSE)</f>
        <v>Contained On Site, not within 5 ft. of Bayou/Surface Water/Drainage Ditch</v>
      </c>
      <c r="J1144" s="20">
        <v>0.0</v>
      </c>
      <c r="K1144" s="6" t="s">
        <v>51</v>
      </c>
      <c r="L1144" s="6" t="str">
        <f>VLOOKUP(K1144,'Structure type'!$A$1:$B$15,2,FALSE)</f>
        <v>Private Cleanout</v>
      </c>
      <c r="M1144" s="6" t="s">
        <v>30</v>
      </c>
      <c r="N1144" s="6" t="str">
        <f>VLOOKUP(M1144,'Excursion Cause'!$A$1:$B$34,2,FALSE)</f>
        <v>Grease Blockage</v>
      </c>
      <c r="O1144" s="21">
        <v>44621.0</v>
      </c>
      <c r="P1144" s="6" t="s">
        <v>129</v>
      </c>
      <c r="Q1144" s="21">
        <v>44621.0</v>
      </c>
      <c r="R1144" s="6" t="s">
        <v>129</v>
      </c>
      <c r="S1144" s="20">
        <v>0.0</v>
      </c>
      <c r="T1144" s="6" t="s">
        <v>33</v>
      </c>
      <c r="U1144" s="6"/>
      <c r="V1144" s="6"/>
      <c r="W1144" s="6">
        <v>29.8089601</v>
      </c>
      <c r="X1144" s="6">
        <v>-95.4866087</v>
      </c>
    </row>
    <row r="1145" ht="15.75" customHeight="1">
      <c r="A1145" s="6">
        <v>13932.0</v>
      </c>
      <c r="B1145" s="6">
        <v>2022.0</v>
      </c>
      <c r="C1145" s="6" t="str">
        <f t="shared" si="5"/>
        <v>6618 REAMER ST,Houston,Texas</v>
      </c>
      <c r="D1145" s="6" t="s">
        <v>1993</v>
      </c>
      <c r="E1145" s="6" t="s">
        <v>25</v>
      </c>
      <c r="F1145" s="6" t="s">
        <v>26</v>
      </c>
      <c r="G1145" s="6" t="s">
        <v>471</v>
      </c>
      <c r="H1145" s="6" t="s">
        <v>50</v>
      </c>
      <c r="I1145" s="6" t="str">
        <f>VLOOKUP(H1145,'Flow Location'!$A$1:$B$21,2,FALSE)</f>
        <v>Contained On Site, not within 5 ft. of Bayou/Surface Water/Drainage Ditch</v>
      </c>
      <c r="J1145" s="20">
        <v>0.0</v>
      </c>
      <c r="K1145" s="6" t="s">
        <v>29</v>
      </c>
      <c r="L1145" s="6" t="str">
        <f>VLOOKUP(K1145,'Structure type'!$A$1:$B$15,2,FALSE)</f>
        <v>Manhole</v>
      </c>
      <c r="M1145" s="6" t="s">
        <v>56</v>
      </c>
      <c r="N1145" s="6" t="str">
        <f>VLOOKUP(M1145,'Excursion Cause'!$A$1:$B$34,2,FALSE)</f>
        <v>Rags/Wipes</v>
      </c>
      <c r="O1145" s="21">
        <v>44621.0</v>
      </c>
      <c r="P1145" s="6" t="s">
        <v>1994</v>
      </c>
      <c r="Q1145" s="21">
        <v>44621.0</v>
      </c>
      <c r="R1145" s="6" t="s">
        <v>1994</v>
      </c>
      <c r="S1145" s="20">
        <v>0.0</v>
      </c>
      <c r="T1145" s="6" t="s">
        <v>33</v>
      </c>
      <c r="U1145" s="6"/>
      <c r="V1145" s="6"/>
      <c r="W1145" s="6">
        <v>29.6804107</v>
      </c>
      <c r="X1145" s="6">
        <v>-95.5078337</v>
      </c>
    </row>
    <row r="1146" ht="15.75" customHeight="1">
      <c r="A1146" s="6">
        <v>13936.0</v>
      </c>
      <c r="B1146" s="6">
        <v>2022.0</v>
      </c>
      <c r="C1146" s="6" t="str">
        <f t="shared" si="5"/>
        <v>5262 CASTLECREEK LN,Houston,Texas</v>
      </c>
      <c r="D1146" s="6" t="s">
        <v>1995</v>
      </c>
      <c r="E1146" s="6" t="s">
        <v>25</v>
      </c>
      <c r="F1146" s="6" t="s">
        <v>26</v>
      </c>
      <c r="G1146" s="6" t="s">
        <v>517</v>
      </c>
      <c r="H1146" s="6" t="s">
        <v>50</v>
      </c>
      <c r="I1146" s="6" t="str">
        <f>VLOOKUP(H1146,'Flow Location'!$A$1:$B$21,2,FALSE)</f>
        <v>Contained On Site, not within 5 ft. of Bayou/Surface Water/Drainage Ditch</v>
      </c>
      <c r="J1146" s="20">
        <v>0.0</v>
      </c>
      <c r="K1146" s="6" t="s">
        <v>51</v>
      </c>
      <c r="L1146" s="6" t="str">
        <f>VLOOKUP(K1146,'Structure type'!$A$1:$B$15,2,FALSE)</f>
        <v>Private Cleanout</v>
      </c>
      <c r="M1146" s="6" t="s">
        <v>81</v>
      </c>
      <c r="N1146" s="6" t="str">
        <f>VLOOKUP(M1146,'Excursion Cause'!$A$1:$B$34,2,FALSE)</f>
        <v>Collection system structural failure</v>
      </c>
      <c r="O1146" s="21">
        <v>44622.0</v>
      </c>
      <c r="P1146" s="6" t="s">
        <v>457</v>
      </c>
      <c r="Q1146" s="21">
        <v>44622.0</v>
      </c>
      <c r="R1146" s="6" t="s">
        <v>457</v>
      </c>
      <c r="S1146" s="20">
        <v>0.0</v>
      </c>
      <c r="T1146" s="6" t="s">
        <v>89</v>
      </c>
      <c r="U1146" s="6"/>
      <c r="V1146" s="6"/>
      <c r="W1146" s="6">
        <v>29.5945432</v>
      </c>
      <c r="X1146" s="6">
        <v>-95.4633444</v>
      </c>
    </row>
    <row r="1147" ht="15.75" customHeight="1">
      <c r="A1147" s="6">
        <v>13939.0</v>
      </c>
      <c r="B1147" s="6">
        <v>2022.0</v>
      </c>
      <c r="C1147" s="6" t="str">
        <f t="shared" si="5"/>
        <v>700 DUNLAVY ST,Houston,Texas</v>
      </c>
      <c r="D1147" s="6" t="s">
        <v>1996</v>
      </c>
      <c r="E1147" s="6" t="s">
        <v>25</v>
      </c>
      <c r="F1147" s="6" t="s">
        <v>26</v>
      </c>
      <c r="G1147" s="6" t="s">
        <v>80</v>
      </c>
      <c r="H1147" s="6" t="s">
        <v>50</v>
      </c>
      <c r="I1147" s="6" t="str">
        <f>VLOOKUP(H1147,'Flow Location'!$A$1:$B$21,2,FALSE)</f>
        <v>Contained On Site, not within 5 ft. of Bayou/Surface Water/Drainage Ditch</v>
      </c>
      <c r="J1147" s="20">
        <v>0.0</v>
      </c>
      <c r="K1147" s="6" t="s">
        <v>290</v>
      </c>
      <c r="L1147" s="6" t="str">
        <f>VLOOKUP(K1147,'Structure type'!$A$1:$B$15,2,FALSE)</f>
        <v>Gravity Main</v>
      </c>
      <c r="M1147" s="6" t="s">
        <v>81</v>
      </c>
      <c r="N1147" s="6" t="str">
        <f>VLOOKUP(M1147,'Excursion Cause'!$A$1:$B$34,2,FALSE)</f>
        <v>Collection system structural failure</v>
      </c>
      <c r="O1147" s="21">
        <v>44622.0</v>
      </c>
      <c r="P1147" s="6" t="s">
        <v>1858</v>
      </c>
      <c r="Q1147" s="21">
        <v>44622.0</v>
      </c>
      <c r="R1147" s="6" t="s">
        <v>1858</v>
      </c>
      <c r="S1147" s="20">
        <v>0.0</v>
      </c>
      <c r="T1147" s="6" t="s">
        <v>33</v>
      </c>
      <c r="U1147" s="6"/>
      <c r="V1147" s="6"/>
      <c r="W1147" s="6">
        <v>29.7591372</v>
      </c>
      <c r="X1147" s="6">
        <v>-95.4024181</v>
      </c>
    </row>
    <row r="1148" ht="15.75" customHeight="1">
      <c r="A1148" s="6">
        <v>13940.0</v>
      </c>
      <c r="B1148" s="6">
        <v>2022.0</v>
      </c>
      <c r="C1148" s="6" t="str">
        <f t="shared" si="5"/>
        <v>6911 CORPUS CHRISTI ST,Houston,Texas</v>
      </c>
      <c r="D1148" s="6" t="s">
        <v>1997</v>
      </c>
      <c r="E1148" s="6" t="s">
        <v>25</v>
      </c>
      <c r="F1148" s="6" t="s">
        <v>26</v>
      </c>
      <c r="G1148" s="6" t="s">
        <v>86</v>
      </c>
      <c r="H1148" s="6" t="s">
        <v>1977</v>
      </c>
      <c r="I1148" s="6" t="str">
        <f>VLOOKUP(H1148,'Flow Location'!$A$1:$B$21,2,FALSE)</f>
        <v>Bayou/surface water/drainage ditch</v>
      </c>
      <c r="J1148" s="20">
        <v>0.0</v>
      </c>
      <c r="K1148" s="6" t="s">
        <v>198</v>
      </c>
      <c r="L1148" s="6" t="str">
        <f>VLOOKUP(K1148,'Structure type'!$A$1:$B$15,2,FALSE)</f>
        <v>Service Lateral</v>
      </c>
      <c r="M1148" s="6" t="s">
        <v>30</v>
      </c>
      <c r="N1148" s="6" t="str">
        <f>VLOOKUP(M1148,'Excursion Cause'!$A$1:$B$34,2,FALSE)</f>
        <v>Grease Blockage</v>
      </c>
      <c r="O1148" s="21">
        <v>44622.0</v>
      </c>
      <c r="P1148" s="6" t="s">
        <v>757</v>
      </c>
      <c r="Q1148" s="21">
        <v>44622.0</v>
      </c>
      <c r="R1148" s="6" t="s">
        <v>757</v>
      </c>
      <c r="S1148" s="20">
        <v>0.0</v>
      </c>
      <c r="T1148" s="6" t="s">
        <v>33</v>
      </c>
      <c r="U1148" s="6"/>
      <c r="V1148" s="6"/>
      <c r="W1148" s="6">
        <v>29.782227</v>
      </c>
      <c r="X1148" s="6">
        <v>-95.3007211</v>
      </c>
    </row>
    <row r="1149" ht="15.75" customHeight="1">
      <c r="A1149" s="6">
        <v>13941.0</v>
      </c>
      <c r="B1149" s="6">
        <v>2022.0</v>
      </c>
      <c r="C1149" s="6" t="str">
        <f t="shared" si="5"/>
        <v>7185 SANTA FE DR,Houston,Texas</v>
      </c>
      <c r="D1149" s="6" t="s">
        <v>1998</v>
      </c>
      <c r="E1149" s="6" t="s">
        <v>25</v>
      </c>
      <c r="F1149" s="6" t="s">
        <v>26</v>
      </c>
      <c r="G1149" s="6" t="s">
        <v>398</v>
      </c>
      <c r="H1149" s="6" t="s">
        <v>1724</v>
      </c>
      <c r="I1149" s="6" t="str">
        <f>VLOOKUP(H1149,'Flow Location'!$A$1:$B$21,2,FALSE)</f>
        <v>Storm Sewer (not contained)</v>
      </c>
      <c r="J1149" s="20">
        <v>236.0</v>
      </c>
      <c r="K1149" s="6" t="s">
        <v>45</v>
      </c>
      <c r="L1149" s="6" t="str">
        <f>VLOOKUP(K1149,'Structure type'!$A$1:$B$15,2,FALSE)</f>
        <v>City Cleanout</v>
      </c>
      <c r="M1149" s="6" t="s">
        <v>1999</v>
      </c>
      <c r="N1149" s="6" t="str">
        <f>VLOOKUP(M1149,'Excursion Cause'!$A$1:$B$34,2,FALSE)</f>
        <v>Grease Blockage</v>
      </c>
      <c r="O1149" s="21">
        <v>44622.0</v>
      </c>
      <c r="P1149" s="6" t="s">
        <v>36</v>
      </c>
      <c r="Q1149" s="21">
        <v>44622.0</v>
      </c>
      <c r="R1149" s="6" t="s">
        <v>1704</v>
      </c>
      <c r="S1149" s="20">
        <v>1.0</v>
      </c>
      <c r="T1149" s="6" t="s">
        <v>2000</v>
      </c>
      <c r="U1149" s="6"/>
      <c r="V1149" s="6"/>
      <c r="W1149" s="6">
        <v>29.6613393</v>
      </c>
      <c r="X1149" s="6">
        <v>-95.303757</v>
      </c>
    </row>
    <row r="1150" ht="15.75" customHeight="1">
      <c r="A1150" s="6">
        <v>13942.0</v>
      </c>
      <c r="B1150" s="6">
        <v>2022.0</v>
      </c>
      <c r="C1150" s="6" t="str">
        <f t="shared" si="5"/>
        <v>1502 BROADWAY ST,Houston,Texas</v>
      </c>
      <c r="D1150" s="6" t="s">
        <v>2001</v>
      </c>
      <c r="E1150" s="6" t="s">
        <v>25</v>
      </c>
      <c r="F1150" s="6" t="s">
        <v>26</v>
      </c>
      <c r="G1150" s="6" t="s">
        <v>365</v>
      </c>
      <c r="H1150" s="6" t="s">
        <v>50</v>
      </c>
      <c r="I1150" s="6" t="str">
        <f>VLOOKUP(H1150,'Flow Location'!$A$1:$B$21,2,FALSE)</f>
        <v>Contained On Site, not within 5 ft. of Bayou/Surface Water/Drainage Ditch</v>
      </c>
      <c r="J1150" s="20">
        <v>0.0</v>
      </c>
      <c r="K1150" s="6" t="s">
        <v>45</v>
      </c>
      <c r="L1150" s="6" t="str">
        <f>VLOOKUP(K1150,'Structure type'!$A$1:$B$15,2,FALSE)</f>
        <v>City Cleanout</v>
      </c>
      <c r="M1150" s="6" t="s">
        <v>56</v>
      </c>
      <c r="N1150" s="6" t="str">
        <f>VLOOKUP(M1150,'Excursion Cause'!$A$1:$B$34,2,FALSE)</f>
        <v>Rags/Wipes</v>
      </c>
      <c r="O1150" s="21">
        <v>44622.0</v>
      </c>
      <c r="P1150" s="6" t="s">
        <v>428</v>
      </c>
      <c r="Q1150" s="21">
        <v>44622.0</v>
      </c>
      <c r="R1150" s="6" t="s">
        <v>428</v>
      </c>
      <c r="S1150" s="20">
        <v>0.0</v>
      </c>
      <c r="T1150" s="6" t="s">
        <v>170</v>
      </c>
      <c r="U1150" s="6"/>
      <c r="V1150" s="6"/>
      <c r="W1150" s="6">
        <v>29.7121349</v>
      </c>
      <c r="X1150" s="6">
        <v>-95.2784742</v>
      </c>
    </row>
    <row r="1151" ht="15.75" customHeight="1">
      <c r="A1151" s="6">
        <v>13943.0</v>
      </c>
      <c r="B1151" s="6">
        <v>2022.0</v>
      </c>
      <c r="C1151" s="6" t="str">
        <f t="shared" si="5"/>
        <v>823 E 42ND ST,Houston,Texas</v>
      </c>
      <c r="D1151" s="6" t="s">
        <v>2002</v>
      </c>
      <c r="E1151" s="6" t="s">
        <v>25</v>
      </c>
      <c r="F1151" s="6" t="s">
        <v>26</v>
      </c>
      <c r="G1151" s="6" t="s">
        <v>653</v>
      </c>
      <c r="H1151" s="6" t="s">
        <v>50</v>
      </c>
      <c r="I1151" s="6" t="str">
        <f>VLOOKUP(H1151,'Flow Location'!$A$1:$B$21,2,FALSE)</f>
        <v>Contained On Site, not within 5 ft. of Bayou/Surface Water/Drainage Ditch</v>
      </c>
      <c r="J1151" s="20">
        <v>0.0</v>
      </c>
      <c r="K1151" s="6" t="s">
        <v>29</v>
      </c>
      <c r="L1151" s="6" t="str">
        <f>VLOOKUP(K1151,'Structure type'!$A$1:$B$15,2,FALSE)</f>
        <v>Manhole</v>
      </c>
      <c r="M1151" s="6" t="s">
        <v>30</v>
      </c>
      <c r="N1151" s="6" t="str">
        <f>VLOOKUP(M1151,'Excursion Cause'!$A$1:$B$34,2,FALSE)</f>
        <v>Grease Blockage</v>
      </c>
      <c r="O1151" s="21">
        <v>44622.0</v>
      </c>
      <c r="P1151" s="6" t="s">
        <v>206</v>
      </c>
      <c r="Q1151" s="21">
        <v>44622.0</v>
      </c>
      <c r="R1151" s="6" t="s">
        <v>206</v>
      </c>
      <c r="S1151" s="20">
        <v>0.0</v>
      </c>
      <c r="T1151" s="6" t="s">
        <v>33</v>
      </c>
      <c r="U1151" s="6"/>
      <c r="V1151" s="6"/>
      <c r="W1151" s="6">
        <v>29.8244946</v>
      </c>
      <c r="X1151" s="6">
        <v>-95.3893539</v>
      </c>
    </row>
    <row r="1152" ht="15.75" customHeight="1">
      <c r="A1152" s="6">
        <v>13949.0</v>
      </c>
      <c r="B1152" s="6">
        <v>2022.0</v>
      </c>
      <c r="C1152" s="6" t="str">
        <f t="shared" si="5"/>
        <v>5000 LAVENDER ST,Houston,Texas</v>
      </c>
      <c r="D1152" s="6" t="s">
        <v>2003</v>
      </c>
      <c r="E1152" s="6" t="s">
        <v>25</v>
      </c>
      <c r="F1152" s="6" t="s">
        <v>26</v>
      </c>
      <c r="G1152" s="6" t="s">
        <v>43</v>
      </c>
      <c r="H1152" s="6" t="s">
        <v>50</v>
      </c>
      <c r="I1152" s="6" t="str">
        <f>VLOOKUP(H1152,'Flow Location'!$A$1:$B$21,2,FALSE)</f>
        <v>Contained On Site, not within 5 ft. of Bayou/Surface Water/Drainage Ditch</v>
      </c>
      <c r="J1152" s="20">
        <v>0.0</v>
      </c>
      <c r="K1152" s="6" t="s">
        <v>45</v>
      </c>
      <c r="L1152" s="6" t="str">
        <f>VLOOKUP(K1152,'Structure type'!$A$1:$B$15,2,FALSE)</f>
        <v>City Cleanout</v>
      </c>
      <c r="M1152" s="6" t="s">
        <v>81</v>
      </c>
      <c r="N1152" s="6" t="str">
        <f>VLOOKUP(M1152,'Excursion Cause'!$A$1:$B$34,2,FALSE)</f>
        <v>Collection system structural failure</v>
      </c>
      <c r="O1152" s="21">
        <v>44622.0</v>
      </c>
      <c r="P1152" s="6" t="s">
        <v>1330</v>
      </c>
      <c r="Q1152" s="21">
        <v>44622.0</v>
      </c>
      <c r="R1152" s="6" t="s">
        <v>1330</v>
      </c>
      <c r="S1152" s="20">
        <v>0.0</v>
      </c>
      <c r="T1152" s="6" t="s">
        <v>54</v>
      </c>
      <c r="U1152" s="6"/>
      <c r="V1152" s="6"/>
      <c r="W1152" s="6">
        <v>29.8061146</v>
      </c>
      <c r="X1152" s="6">
        <v>-95.3204246</v>
      </c>
    </row>
    <row r="1153" ht="15.75" customHeight="1">
      <c r="A1153" s="6">
        <v>13957.0</v>
      </c>
      <c r="B1153" s="6">
        <v>2022.0</v>
      </c>
      <c r="C1153" s="6" t="str">
        <f t="shared" si="5"/>
        <v>12215 DORWAYNE CT,Houston,Texas</v>
      </c>
      <c r="D1153" s="6" t="s">
        <v>2004</v>
      </c>
      <c r="E1153" s="6" t="s">
        <v>25</v>
      </c>
      <c r="F1153" s="6" t="s">
        <v>26</v>
      </c>
      <c r="G1153" s="6" t="s">
        <v>623</v>
      </c>
      <c r="H1153" s="6" t="s">
        <v>50</v>
      </c>
      <c r="I1153" s="6" t="str">
        <f>VLOOKUP(H1153,'Flow Location'!$A$1:$B$21,2,FALSE)</f>
        <v>Contained On Site, not within 5 ft. of Bayou/Surface Water/Drainage Ditch</v>
      </c>
      <c r="J1153" s="20">
        <v>0.0</v>
      </c>
      <c r="K1153" s="6" t="s">
        <v>45</v>
      </c>
      <c r="L1153" s="6" t="str">
        <f>VLOOKUP(K1153,'Structure type'!$A$1:$B$15,2,FALSE)</f>
        <v>City Cleanout</v>
      </c>
      <c r="M1153" s="6" t="s">
        <v>56</v>
      </c>
      <c r="N1153" s="6" t="str">
        <f>VLOOKUP(M1153,'Excursion Cause'!$A$1:$B$34,2,FALSE)</f>
        <v>Rags/Wipes</v>
      </c>
      <c r="O1153" s="21">
        <v>44623.0</v>
      </c>
      <c r="P1153" s="6" t="s">
        <v>2005</v>
      </c>
      <c r="Q1153" s="21">
        <v>44623.0</v>
      </c>
      <c r="R1153" s="6" t="s">
        <v>2005</v>
      </c>
      <c r="S1153" s="20">
        <v>0.0</v>
      </c>
      <c r="T1153" s="6" t="s">
        <v>170</v>
      </c>
      <c r="U1153" s="6"/>
      <c r="V1153" s="6"/>
      <c r="W1153" s="6">
        <v>29.7648324</v>
      </c>
      <c r="X1153" s="6">
        <v>-95.2228064</v>
      </c>
    </row>
    <row r="1154" ht="15.75" customHeight="1">
      <c r="A1154" s="6">
        <v>13958.0</v>
      </c>
      <c r="B1154" s="6">
        <v>2022.0</v>
      </c>
      <c r="C1154" s="6" t="str">
        <f t="shared" si="5"/>
        <v>253 OWENS ST,Houston,Texas</v>
      </c>
      <c r="D1154" s="6" t="s">
        <v>2006</v>
      </c>
      <c r="E1154" s="6" t="s">
        <v>25</v>
      </c>
      <c r="F1154" s="6" t="s">
        <v>26</v>
      </c>
      <c r="G1154" s="6" t="s">
        <v>247</v>
      </c>
      <c r="H1154" s="6" t="s">
        <v>50</v>
      </c>
      <c r="I1154" s="6" t="str">
        <f>VLOOKUP(H1154,'Flow Location'!$A$1:$B$21,2,FALSE)</f>
        <v>Contained On Site, not within 5 ft. of Bayou/Surface Water/Drainage Ditch</v>
      </c>
      <c r="J1154" s="20">
        <v>0.0</v>
      </c>
      <c r="K1154" s="6" t="s">
        <v>29</v>
      </c>
      <c r="L1154" s="6" t="str">
        <f>VLOOKUP(K1154,'Structure type'!$A$1:$B$15,2,FALSE)</f>
        <v>Manhole</v>
      </c>
      <c r="M1154" s="6" t="s">
        <v>30</v>
      </c>
      <c r="N1154" s="6" t="str">
        <f>VLOOKUP(M1154,'Excursion Cause'!$A$1:$B$34,2,FALSE)</f>
        <v>Grease Blockage</v>
      </c>
      <c r="O1154" s="21">
        <v>44623.0</v>
      </c>
      <c r="P1154" s="6" t="s">
        <v>191</v>
      </c>
      <c r="Q1154" s="21">
        <v>44623.0</v>
      </c>
      <c r="R1154" s="6" t="s">
        <v>191</v>
      </c>
      <c r="S1154" s="20">
        <v>0.0</v>
      </c>
      <c r="T1154" s="6" t="s">
        <v>33</v>
      </c>
      <c r="U1154" s="6"/>
      <c r="V1154" s="6"/>
      <c r="W1154" s="6">
        <v>29.7411823</v>
      </c>
      <c r="X1154" s="6">
        <v>-95.2585069</v>
      </c>
    </row>
    <row r="1155" ht="15.75" customHeight="1">
      <c r="A1155" s="6">
        <v>13962.0</v>
      </c>
      <c r="B1155" s="6">
        <v>2022.0</v>
      </c>
      <c r="C1155" s="6" t="str">
        <f t="shared" si="5"/>
        <v>4801 CANAL ST,Houston,Texas</v>
      </c>
      <c r="D1155" s="6" t="s">
        <v>2007</v>
      </c>
      <c r="E1155" s="6" t="s">
        <v>25</v>
      </c>
      <c r="F1155" s="6" t="s">
        <v>26</v>
      </c>
      <c r="G1155" s="6" t="s">
        <v>227</v>
      </c>
      <c r="H1155" s="6" t="s">
        <v>50</v>
      </c>
      <c r="I1155" s="6" t="str">
        <f>VLOOKUP(H1155,'Flow Location'!$A$1:$B$21,2,FALSE)</f>
        <v>Contained On Site, not within 5 ft. of Bayou/Surface Water/Drainage Ditch</v>
      </c>
      <c r="J1155" s="20">
        <v>0.0</v>
      </c>
      <c r="K1155" s="6" t="s">
        <v>45</v>
      </c>
      <c r="L1155" s="6" t="str">
        <f>VLOOKUP(K1155,'Structure type'!$A$1:$B$15,2,FALSE)</f>
        <v>City Cleanout</v>
      </c>
      <c r="M1155" s="6" t="s">
        <v>56</v>
      </c>
      <c r="N1155" s="6" t="str">
        <f>VLOOKUP(M1155,'Excursion Cause'!$A$1:$B$34,2,FALSE)</f>
        <v>Rags/Wipes</v>
      </c>
      <c r="O1155" s="21">
        <v>44623.0</v>
      </c>
      <c r="P1155" s="6" t="s">
        <v>518</v>
      </c>
      <c r="Q1155" s="21">
        <v>44623.0</v>
      </c>
      <c r="R1155" s="6" t="s">
        <v>518</v>
      </c>
      <c r="S1155" s="20">
        <v>0.0</v>
      </c>
      <c r="T1155" s="6" t="s">
        <v>270</v>
      </c>
      <c r="U1155" s="6"/>
      <c r="V1155" s="6"/>
      <c r="W1155" s="6">
        <v>29.7476335</v>
      </c>
      <c r="X1155" s="6">
        <v>-95.324964</v>
      </c>
    </row>
    <row r="1156" ht="15.75" customHeight="1">
      <c r="A1156" s="6">
        <v>13969.0</v>
      </c>
      <c r="B1156" s="6">
        <v>2022.0</v>
      </c>
      <c r="C1156" s="6" t="str">
        <f t="shared" si="5"/>
        <v>11221 BISSONNET ST,Houston,Texas</v>
      </c>
      <c r="D1156" s="6" t="s">
        <v>2008</v>
      </c>
      <c r="E1156" s="6" t="s">
        <v>25</v>
      </c>
      <c r="F1156" s="6" t="s">
        <v>26</v>
      </c>
      <c r="G1156" s="6" t="s">
        <v>154</v>
      </c>
      <c r="H1156" s="6" t="s">
        <v>50</v>
      </c>
      <c r="I1156" s="6" t="str">
        <f>VLOOKUP(H1156,'Flow Location'!$A$1:$B$21,2,FALSE)</f>
        <v>Contained On Site, not within 5 ft. of Bayou/Surface Water/Drainage Ditch</v>
      </c>
      <c r="J1156" s="20">
        <v>147.0</v>
      </c>
      <c r="K1156" s="6" t="s">
        <v>29</v>
      </c>
      <c r="L1156" s="6" t="str">
        <f>VLOOKUP(K1156,'Structure type'!$A$1:$B$15,2,FALSE)</f>
        <v>Manhole</v>
      </c>
      <c r="M1156" s="6" t="s">
        <v>56</v>
      </c>
      <c r="N1156" s="6" t="str">
        <f>VLOOKUP(M1156,'Excursion Cause'!$A$1:$B$34,2,FALSE)</f>
        <v>Rags/Wipes</v>
      </c>
      <c r="O1156" s="21">
        <v>44623.0</v>
      </c>
      <c r="P1156" s="6" t="s">
        <v>2009</v>
      </c>
      <c r="Q1156" s="21">
        <v>44623.0</v>
      </c>
      <c r="R1156" s="6" t="s">
        <v>380</v>
      </c>
      <c r="S1156" s="20">
        <v>1.0</v>
      </c>
      <c r="T1156" s="6" t="s">
        <v>59</v>
      </c>
      <c r="U1156" s="6"/>
      <c r="V1156" s="6"/>
      <c r="W1156" s="6">
        <v>29.6734854</v>
      </c>
      <c r="X1156" s="6">
        <v>-95.5759094</v>
      </c>
    </row>
    <row r="1157" ht="15.75" customHeight="1">
      <c r="A1157" s="6">
        <v>13978.0</v>
      </c>
      <c r="B1157" s="6">
        <v>2022.0</v>
      </c>
      <c r="C1157" s="6" t="str">
        <f t="shared" si="5"/>
        <v>5710 GLENARM ST,Houston,Texas</v>
      </c>
      <c r="D1157" s="6" t="s">
        <v>2010</v>
      </c>
      <c r="E1157" s="6" t="s">
        <v>25</v>
      </c>
      <c r="F1157" s="6" t="s">
        <v>26</v>
      </c>
      <c r="G1157" s="6" t="s">
        <v>86</v>
      </c>
      <c r="H1157" s="6" t="s">
        <v>50</v>
      </c>
      <c r="I1157" s="6" t="str">
        <f>VLOOKUP(H1157,'Flow Location'!$A$1:$B$21,2,FALSE)</f>
        <v>Contained On Site, not within 5 ft. of Bayou/Surface Water/Drainage Ditch</v>
      </c>
      <c r="J1157" s="20">
        <v>1071.0</v>
      </c>
      <c r="K1157" s="6" t="s">
        <v>29</v>
      </c>
      <c r="L1157" s="6" t="str">
        <f>VLOOKUP(K1157,'Structure type'!$A$1:$B$15,2,FALSE)</f>
        <v>Manhole</v>
      </c>
      <c r="M1157" s="6" t="s">
        <v>30</v>
      </c>
      <c r="N1157" s="6" t="str">
        <f>VLOOKUP(M1157,'Excursion Cause'!$A$1:$B$34,2,FALSE)</f>
        <v>Grease Blockage</v>
      </c>
      <c r="O1157" s="21">
        <v>44624.0</v>
      </c>
      <c r="P1157" s="6" t="s">
        <v>2011</v>
      </c>
      <c r="Q1157" s="21">
        <v>44624.0</v>
      </c>
      <c r="R1157" s="6" t="s">
        <v>1219</v>
      </c>
      <c r="S1157" s="20">
        <v>3.0</v>
      </c>
      <c r="T1157" s="6" t="s">
        <v>33</v>
      </c>
      <c r="U1157" s="6"/>
      <c r="V1157" s="6"/>
      <c r="W1157" s="6">
        <v>29.7817398</v>
      </c>
      <c r="X1157" s="6">
        <v>-95.3127634</v>
      </c>
    </row>
    <row r="1158" ht="15.75" customHeight="1">
      <c r="A1158" s="6">
        <v>13979.0</v>
      </c>
      <c r="B1158" s="6">
        <v>2022.0</v>
      </c>
      <c r="C1158" s="6" t="str">
        <f t="shared" si="5"/>
        <v>8505 BOB WHITE DR,Houston,Texas</v>
      </c>
      <c r="D1158" s="6" t="s">
        <v>2012</v>
      </c>
      <c r="E1158" s="6" t="s">
        <v>25</v>
      </c>
      <c r="F1158" s="6" t="s">
        <v>26</v>
      </c>
      <c r="G1158" s="6" t="s">
        <v>471</v>
      </c>
      <c r="H1158" s="6" t="s">
        <v>50</v>
      </c>
      <c r="I1158" s="6" t="str">
        <f>VLOOKUP(H1158,'Flow Location'!$A$1:$B$21,2,FALSE)</f>
        <v>Contained On Site, not within 5 ft. of Bayou/Surface Water/Drainage Ditch</v>
      </c>
      <c r="J1158" s="20">
        <v>1772.0</v>
      </c>
      <c r="K1158" s="6" t="s">
        <v>29</v>
      </c>
      <c r="L1158" s="6" t="str">
        <f>VLOOKUP(K1158,'Structure type'!$A$1:$B$15,2,FALSE)</f>
        <v>Manhole</v>
      </c>
      <c r="M1158" s="6" t="s">
        <v>30</v>
      </c>
      <c r="N1158" s="6" t="str">
        <f>VLOOKUP(M1158,'Excursion Cause'!$A$1:$B$34,2,FALSE)</f>
        <v>Grease Blockage</v>
      </c>
      <c r="O1158" s="21">
        <v>44624.0</v>
      </c>
      <c r="P1158" s="6" t="s">
        <v>823</v>
      </c>
      <c r="Q1158" s="21">
        <v>44625.0</v>
      </c>
      <c r="R1158" s="6" t="s">
        <v>1053</v>
      </c>
      <c r="S1158" s="20">
        <v>1.0</v>
      </c>
      <c r="T1158" s="6" t="s">
        <v>33</v>
      </c>
      <c r="U1158" s="6"/>
      <c r="V1158" s="6"/>
      <c r="W1158" s="6">
        <v>29.6870786</v>
      </c>
      <c r="X1158" s="6">
        <v>-95.5025876</v>
      </c>
    </row>
    <row r="1159" ht="15.75" customHeight="1">
      <c r="A1159" s="6">
        <v>13980.0</v>
      </c>
      <c r="B1159" s="6">
        <v>2022.0</v>
      </c>
      <c r="C1159" s="6" t="str">
        <f t="shared" si="5"/>
        <v>2910 RUTH ST,Houston,Texas</v>
      </c>
      <c r="D1159" s="6" t="s">
        <v>2013</v>
      </c>
      <c r="E1159" s="6" t="s">
        <v>25</v>
      </c>
      <c r="F1159" s="6" t="s">
        <v>26</v>
      </c>
      <c r="G1159" s="6" t="s">
        <v>308</v>
      </c>
      <c r="H1159" s="6" t="s">
        <v>50</v>
      </c>
      <c r="I1159" s="6" t="str">
        <f>VLOOKUP(H1159,'Flow Location'!$A$1:$B$21,2,FALSE)</f>
        <v>Contained On Site, not within 5 ft. of Bayou/Surface Water/Drainage Ditch</v>
      </c>
      <c r="J1159" s="20">
        <v>0.0</v>
      </c>
      <c r="K1159" s="6" t="s">
        <v>29</v>
      </c>
      <c r="L1159" s="6" t="str">
        <f>VLOOKUP(K1159,'Structure type'!$A$1:$B$15,2,FALSE)</f>
        <v>Manhole</v>
      </c>
      <c r="M1159" s="6" t="s">
        <v>30</v>
      </c>
      <c r="N1159" s="6" t="str">
        <f>VLOOKUP(M1159,'Excursion Cause'!$A$1:$B$34,2,FALSE)</f>
        <v>Grease Blockage</v>
      </c>
      <c r="O1159" s="21">
        <v>44617.0</v>
      </c>
      <c r="P1159" s="6" t="s">
        <v>352</v>
      </c>
      <c r="Q1159" s="21">
        <v>44617.0</v>
      </c>
      <c r="R1159" s="6" t="s">
        <v>352</v>
      </c>
      <c r="S1159" s="20">
        <v>0.0</v>
      </c>
      <c r="T1159" s="6" t="s">
        <v>59</v>
      </c>
      <c r="U1159" s="6"/>
      <c r="V1159" s="6"/>
      <c r="W1159" s="6">
        <v>29.7227095</v>
      </c>
      <c r="X1159" s="6">
        <v>-95.3673979</v>
      </c>
    </row>
    <row r="1160" ht="15.75" customHeight="1">
      <c r="A1160" s="6">
        <v>13986.0</v>
      </c>
      <c r="B1160" s="6">
        <v>2022.0</v>
      </c>
      <c r="C1160" s="6" t="str">
        <f t="shared" si="5"/>
        <v>11919 AGGIE LN,Houston,Texas</v>
      </c>
      <c r="D1160" s="6" t="s">
        <v>2014</v>
      </c>
      <c r="E1160" s="6" t="s">
        <v>25</v>
      </c>
      <c r="F1160" s="6" t="s">
        <v>26</v>
      </c>
      <c r="G1160" s="6" t="s">
        <v>275</v>
      </c>
      <c r="H1160" s="6" t="s">
        <v>50</v>
      </c>
      <c r="I1160" s="6" t="str">
        <f>VLOOKUP(H1160,'Flow Location'!$A$1:$B$21,2,FALSE)</f>
        <v>Contained On Site, not within 5 ft. of Bayou/Surface Water/Drainage Ditch</v>
      </c>
      <c r="J1160" s="20">
        <v>0.0</v>
      </c>
      <c r="K1160" s="6" t="s">
        <v>290</v>
      </c>
      <c r="L1160" s="6" t="str">
        <f>VLOOKUP(K1160,'Structure type'!$A$1:$B$15,2,FALSE)</f>
        <v>Gravity Main</v>
      </c>
      <c r="M1160" s="6" t="s">
        <v>52</v>
      </c>
      <c r="N1160" s="6" t="str">
        <f>VLOOKUP(M1160,'Excursion Cause'!$A$1:$B$34,2,FALSE)</f>
        <v>Collection system structural blockage</v>
      </c>
      <c r="O1160" s="21">
        <v>44624.0</v>
      </c>
      <c r="P1160" s="6" t="s">
        <v>255</v>
      </c>
      <c r="Q1160" s="21">
        <v>44624.0</v>
      </c>
      <c r="R1160" s="6" t="s">
        <v>255</v>
      </c>
      <c r="S1160" s="20">
        <v>0.0</v>
      </c>
      <c r="T1160" s="6" t="s">
        <v>118</v>
      </c>
      <c r="U1160" s="6"/>
      <c r="V1160" s="6"/>
      <c r="W1160" s="6">
        <v>29.8737322</v>
      </c>
      <c r="X1160" s="6">
        <v>-95.3788861</v>
      </c>
    </row>
    <row r="1161" ht="15.75" customHeight="1">
      <c r="A1161" s="6">
        <v>13987.0</v>
      </c>
      <c r="B1161" s="6">
        <v>2022.0</v>
      </c>
      <c r="C1161" s="6" t="str">
        <f t="shared" si="5"/>
        <v>8006 DUNLAP ST,Houston,Texas</v>
      </c>
      <c r="D1161" s="6" t="s">
        <v>2015</v>
      </c>
      <c r="E1161" s="6" t="s">
        <v>25</v>
      </c>
      <c r="F1161" s="6" t="s">
        <v>26</v>
      </c>
      <c r="G1161" s="6" t="s">
        <v>471</v>
      </c>
      <c r="H1161" s="6" t="s">
        <v>50</v>
      </c>
      <c r="I1161" s="6" t="str">
        <f>VLOOKUP(H1161,'Flow Location'!$A$1:$B$21,2,FALSE)</f>
        <v>Contained On Site, not within 5 ft. of Bayou/Surface Water/Drainage Ditch</v>
      </c>
      <c r="J1161" s="20">
        <v>0.0</v>
      </c>
      <c r="K1161" s="6" t="s">
        <v>290</v>
      </c>
      <c r="L1161" s="6" t="str">
        <f>VLOOKUP(K1161,'Structure type'!$A$1:$B$15,2,FALSE)</f>
        <v>Gravity Main</v>
      </c>
      <c r="M1161" s="6" t="s">
        <v>30</v>
      </c>
      <c r="N1161" s="6" t="str">
        <f>VLOOKUP(M1161,'Excursion Cause'!$A$1:$B$34,2,FALSE)</f>
        <v>Grease Blockage</v>
      </c>
      <c r="O1161" s="21">
        <v>44624.0</v>
      </c>
      <c r="P1161" s="6" t="s">
        <v>254</v>
      </c>
      <c r="Q1161" s="21">
        <v>44624.0</v>
      </c>
      <c r="R1161" s="6" t="s">
        <v>254</v>
      </c>
      <c r="S1161" s="20">
        <v>0.0</v>
      </c>
      <c r="T1161" s="6" t="s">
        <v>474</v>
      </c>
      <c r="U1161" s="6"/>
      <c r="V1161" s="6"/>
      <c r="W1161" s="6">
        <v>29.6932905</v>
      </c>
      <c r="X1161" s="6">
        <v>-95.4948687</v>
      </c>
    </row>
    <row r="1162" ht="15.75" customHeight="1">
      <c r="A1162" s="6">
        <v>13990.0</v>
      </c>
      <c r="B1162" s="6">
        <v>2022.0</v>
      </c>
      <c r="C1162" s="6" t="str">
        <f t="shared" si="5"/>
        <v>2424 SAKOWITZ ST,Houston,Texas</v>
      </c>
      <c r="D1162" s="6" t="s">
        <v>2016</v>
      </c>
      <c r="E1162" s="6" t="s">
        <v>25</v>
      </c>
      <c r="F1162" s="6" t="s">
        <v>26</v>
      </c>
      <c r="G1162" s="6" t="s">
        <v>86</v>
      </c>
      <c r="H1162" s="6" t="s">
        <v>50</v>
      </c>
      <c r="I1162" s="6" t="str">
        <f>VLOOKUP(H1162,'Flow Location'!$A$1:$B$21,2,FALSE)</f>
        <v>Contained On Site, not within 5 ft. of Bayou/Surface Water/Drainage Ditch</v>
      </c>
      <c r="J1162" s="20">
        <v>0.0</v>
      </c>
      <c r="K1162" s="6" t="s">
        <v>51</v>
      </c>
      <c r="L1162" s="6" t="str">
        <f>VLOOKUP(K1162,'Structure type'!$A$1:$B$15,2,FALSE)</f>
        <v>Private Cleanout</v>
      </c>
      <c r="M1162" s="6" t="s">
        <v>30</v>
      </c>
      <c r="N1162" s="6" t="str">
        <f>VLOOKUP(M1162,'Excursion Cause'!$A$1:$B$34,2,FALSE)</f>
        <v>Grease Blockage</v>
      </c>
      <c r="O1162" s="21">
        <v>44624.0</v>
      </c>
      <c r="P1162" s="6" t="s">
        <v>296</v>
      </c>
      <c r="Q1162" s="21">
        <v>44624.0</v>
      </c>
      <c r="R1162" s="6" t="s">
        <v>1103</v>
      </c>
      <c r="S1162" s="20">
        <v>0.0</v>
      </c>
      <c r="T1162" s="6" t="s">
        <v>33</v>
      </c>
      <c r="U1162" s="6"/>
      <c r="V1162" s="6"/>
      <c r="W1162" s="6">
        <v>29.7833202</v>
      </c>
      <c r="X1162" s="6">
        <v>-95.3133253</v>
      </c>
    </row>
    <row r="1163" ht="15.75" customHeight="1">
      <c r="A1163" s="6">
        <v>13996.0</v>
      </c>
      <c r="B1163" s="6">
        <v>2022.0</v>
      </c>
      <c r="C1163" s="6" t="str">
        <f t="shared" si="5"/>
        <v>2604 WAUGH DR,Houston,Texas</v>
      </c>
      <c r="D1163" s="6" t="s">
        <v>2017</v>
      </c>
      <c r="E1163" s="6" t="s">
        <v>25</v>
      </c>
      <c r="F1163" s="6" t="s">
        <v>26</v>
      </c>
      <c r="G1163" s="6" t="s">
        <v>761</v>
      </c>
      <c r="H1163" s="6" t="s">
        <v>50</v>
      </c>
      <c r="I1163" s="6" t="str">
        <f>VLOOKUP(H1163,'Flow Location'!$A$1:$B$21,2,FALSE)</f>
        <v>Contained On Site, not within 5 ft. of Bayou/Surface Water/Drainage Ditch</v>
      </c>
      <c r="J1163" s="20">
        <v>0.0</v>
      </c>
      <c r="K1163" s="6" t="s">
        <v>51</v>
      </c>
      <c r="L1163" s="6" t="str">
        <f>VLOOKUP(K1163,'Structure type'!$A$1:$B$15,2,FALSE)</f>
        <v>Private Cleanout</v>
      </c>
      <c r="M1163" s="6" t="s">
        <v>52</v>
      </c>
      <c r="N1163" s="6" t="str">
        <f>VLOOKUP(M1163,'Excursion Cause'!$A$1:$B$34,2,FALSE)</f>
        <v>Collection system structural blockage</v>
      </c>
      <c r="O1163" s="21">
        <v>44624.0</v>
      </c>
      <c r="P1163" s="6" t="s">
        <v>965</v>
      </c>
      <c r="Q1163" s="21">
        <v>44624.0</v>
      </c>
      <c r="R1163" s="6" t="s">
        <v>965</v>
      </c>
      <c r="S1163" s="20">
        <v>0.0</v>
      </c>
      <c r="T1163" s="6" t="s">
        <v>54</v>
      </c>
      <c r="U1163" s="6"/>
      <c r="V1163" s="6"/>
      <c r="W1163" s="6">
        <v>29.7458397</v>
      </c>
      <c r="X1163" s="6">
        <v>-95.3941392</v>
      </c>
    </row>
    <row r="1164" ht="15.75" customHeight="1">
      <c r="A1164" s="6">
        <v>14005.0</v>
      </c>
      <c r="B1164" s="6">
        <v>2022.0</v>
      </c>
      <c r="C1164" s="6" t="str">
        <f t="shared" si="5"/>
        <v>5339 RIPPLEBROOK DR,Houston,Texas</v>
      </c>
      <c r="D1164" s="6" t="s">
        <v>2018</v>
      </c>
      <c r="E1164" s="6" t="s">
        <v>25</v>
      </c>
      <c r="F1164" s="6" t="s">
        <v>26</v>
      </c>
      <c r="G1164" s="6" t="s">
        <v>39</v>
      </c>
      <c r="H1164" s="6" t="s">
        <v>1724</v>
      </c>
      <c r="I1164" s="6" t="str">
        <f>VLOOKUP(H1164,'Flow Location'!$A$1:$B$21,2,FALSE)</f>
        <v>Storm Sewer (not contained)</v>
      </c>
      <c r="J1164" s="20">
        <v>5352.0</v>
      </c>
      <c r="K1164" s="6" t="s">
        <v>29</v>
      </c>
      <c r="L1164" s="6" t="str">
        <f>VLOOKUP(K1164,'Structure type'!$A$1:$B$15,2,FALSE)</f>
        <v>Manhole</v>
      </c>
      <c r="M1164" s="6" t="s">
        <v>2019</v>
      </c>
      <c r="N1164" s="6" t="str">
        <f>VLOOKUP(M1164,'Excursion Cause'!$A$1:$B$34,2,FALSE)</f>
        <v>Grease Blockage</v>
      </c>
      <c r="O1164" s="21">
        <v>44624.0</v>
      </c>
      <c r="P1164" s="6" t="s">
        <v>1090</v>
      </c>
      <c r="Q1164" s="21">
        <v>44626.0</v>
      </c>
      <c r="R1164" s="6" t="s">
        <v>1103</v>
      </c>
      <c r="S1164" s="20">
        <v>2.0</v>
      </c>
      <c r="T1164" s="6" t="s">
        <v>2020</v>
      </c>
      <c r="U1164" s="6"/>
      <c r="V1164" s="6"/>
      <c r="W1164" s="6">
        <v>29.625353</v>
      </c>
      <c r="X1164" s="6">
        <v>-95.4630176</v>
      </c>
    </row>
    <row r="1165" ht="15.75" customHeight="1">
      <c r="A1165" s="6">
        <v>14006.0</v>
      </c>
      <c r="B1165" s="6">
        <v>2022.0</v>
      </c>
      <c r="C1165" s="6" t="str">
        <f t="shared" si="5"/>
        <v>15531 OLD STONE TRL,Houston,Texas</v>
      </c>
      <c r="D1165" s="6" t="s">
        <v>2021</v>
      </c>
      <c r="E1165" s="6" t="s">
        <v>25</v>
      </c>
      <c r="F1165" s="6" t="s">
        <v>26</v>
      </c>
      <c r="G1165" s="6" t="s">
        <v>520</v>
      </c>
      <c r="H1165" s="6" t="s">
        <v>1964</v>
      </c>
      <c r="I1165" s="6" t="str">
        <f>VLOOKUP(H1165,'Flow Location'!$A$1:$B$21,2,FALSE)</f>
        <v>Within 5 ft. of Bayou/Surface Water/Drainage Ditch</v>
      </c>
      <c r="J1165" s="20">
        <v>930.0</v>
      </c>
      <c r="K1165" s="6" t="s">
        <v>190</v>
      </c>
      <c r="L1165" s="6" t="str">
        <f>VLOOKUP(K1165,'Structure type'!$A$1:$B$15,2,FALSE)</f>
        <v>Force Main</v>
      </c>
      <c r="M1165" s="6" t="s">
        <v>620</v>
      </c>
      <c r="N1165" s="6" t="str">
        <f>VLOOKUP(M1165,'Excursion Cause'!$A$1:$B$34,2,FALSE)</f>
        <v>Air Relief Valve (ARV) Failure</v>
      </c>
      <c r="O1165" s="21">
        <v>44625.0</v>
      </c>
      <c r="P1165" s="6" t="s">
        <v>786</v>
      </c>
      <c r="Q1165" s="21">
        <v>44625.0</v>
      </c>
      <c r="R1165" s="6" t="s">
        <v>766</v>
      </c>
      <c r="S1165" s="20">
        <v>6.0</v>
      </c>
      <c r="T1165" s="6" t="s">
        <v>193</v>
      </c>
      <c r="U1165" s="6"/>
      <c r="V1165" s="6"/>
      <c r="W1165" s="6">
        <v>29.7745814</v>
      </c>
      <c r="X1165" s="6">
        <v>-95.628168</v>
      </c>
    </row>
    <row r="1166" ht="15.75" customHeight="1">
      <c r="A1166" s="6">
        <v>14011.0</v>
      </c>
      <c r="B1166" s="6">
        <v>2022.0</v>
      </c>
      <c r="C1166" s="6" t="str">
        <f t="shared" si="5"/>
        <v>6909 AVENUE E,Houston,Texas</v>
      </c>
      <c r="D1166" s="6" t="s">
        <v>2022</v>
      </c>
      <c r="E1166" s="6" t="s">
        <v>25</v>
      </c>
      <c r="F1166" s="6" t="s">
        <v>26</v>
      </c>
      <c r="G1166" s="6" t="s">
        <v>227</v>
      </c>
      <c r="H1166" s="6" t="s">
        <v>50</v>
      </c>
      <c r="I1166" s="6" t="str">
        <f>VLOOKUP(H1166,'Flow Location'!$A$1:$B$21,2,FALSE)</f>
        <v>Contained On Site, not within 5 ft. of Bayou/Surface Water/Drainage Ditch</v>
      </c>
      <c r="J1166" s="20">
        <v>0.0</v>
      </c>
      <c r="K1166" s="6" t="s">
        <v>198</v>
      </c>
      <c r="L1166" s="6" t="str">
        <f>VLOOKUP(K1166,'Structure type'!$A$1:$B$15,2,FALSE)</f>
        <v>Service Lateral</v>
      </c>
      <c r="M1166" s="6" t="s">
        <v>52</v>
      </c>
      <c r="N1166" s="6" t="str">
        <f>VLOOKUP(M1166,'Excursion Cause'!$A$1:$B$34,2,FALSE)</f>
        <v>Collection system structural blockage</v>
      </c>
      <c r="O1166" s="21">
        <v>44625.0</v>
      </c>
      <c r="P1166" s="6" t="s">
        <v>438</v>
      </c>
      <c r="Q1166" s="21">
        <v>44625.0</v>
      </c>
      <c r="R1166" s="6" t="s">
        <v>438</v>
      </c>
      <c r="S1166" s="20">
        <v>0.0</v>
      </c>
      <c r="T1166" s="6" t="s">
        <v>118</v>
      </c>
      <c r="U1166" s="6"/>
      <c r="V1166" s="6"/>
      <c r="W1166" s="6">
        <v>29.7391086</v>
      </c>
      <c r="X1166" s="6">
        <v>-95.3026704</v>
      </c>
    </row>
    <row r="1167" ht="15.75" customHeight="1">
      <c r="A1167" s="6">
        <v>14014.0</v>
      </c>
      <c r="B1167" s="6">
        <v>2022.0</v>
      </c>
      <c r="C1167" s="6" t="str">
        <f t="shared" si="5"/>
        <v>8318 BLUE QUAIL DR,Houston,Texas</v>
      </c>
      <c r="D1167" s="6" t="s">
        <v>2023</v>
      </c>
      <c r="E1167" s="6" t="s">
        <v>25</v>
      </c>
      <c r="F1167" s="6" t="s">
        <v>26</v>
      </c>
      <c r="G1167" s="6" t="s">
        <v>166</v>
      </c>
      <c r="H1167" s="6" t="s">
        <v>50</v>
      </c>
      <c r="I1167" s="6" t="str">
        <f>VLOOKUP(H1167,'Flow Location'!$A$1:$B$21,2,FALSE)</f>
        <v>Contained On Site, not within 5 ft. of Bayou/Surface Water/Drainage Ditch</v>
      </c>
      <c r="J1167" s="20">
        <v>0.0</v>
      </c>
      <c r="K1167" s="6" t="s">
        <v>29</v>
      </c>
      <c r="L1167" s="6" t="str">
        <f>VLOOKUP(K1167,'Structure type'!$A$1:$B$15,2,FALSE)</f>
        <v>Manhole</v>
      </c>
      <c r="M1167" s="6" t="s">
        <v>30</v>
      </c>
      <c r="N1167" s="6" t="str">
        <f>VLOOKUP(M1167,'Excursion Cause'!$A$1:$B$34,2,FALSE)</f>
        <v>Grease Blockage</v>
      </c>
      <c r="O1167" s="21">
        <v>44625.0</v>
      </c>
      <c r="P1167" s="6" t="s">
        <v>2024</v>
      </c>
      <c r="Q1167" s="21">
        <v>44625.0</v>
      </c>
      <c r="R1167" s="6" t="s">
        <v>2024</v>
      </c>
      <c r="S1167" s="20">
        <v>0.0</v>
      </c>
      <c r="T1167" s="6" t="s">
        <v>59</v>
      </c>
      <c r="U1167" s="6"/>
      <c r="V1167" s="6"/>
      <c r="W1167" s="6">
        <v>29.5886692</v>
      </c>
      <c r="X1167" s="6">
        <v>-95.5129571</v>
      </c>
    </row>
    <row r="1168" ht="15.75" customHeight="1">
      <c r="A1168" s="6">
        <v>14026.0</v>
      </c>
      <c r="B1168" s="6">
        <v>2022.0</v>
      </c>
      <c r="C1168" s="6" t="str">
        <f t="shared" si="5"/>
        <v>10102 FONVILLE DR,Houston,Texas</v>
      </c>
      <c r="D1168" s="6" t="s">
        <v>2025</v>
      </c>
      <c r="E1168" s="6" t="s">
        <v>25</v>
      </c>
      <c r="F1168" s="6" t="s">
        <v>26</v>
      </c>
      <c r="G1168" s="6" t="s">
        <v>95</v>
      </c>
      <c r="H1168" s="6" t="s">
        <v>50</v>
      </c>
      <c r="I1168" s="6" t="str">
        <f>VLOOKUP(H1168,'Flow Location'!$A$1:$B$21,2,FALSE)</f>
        <v>Contained On Site, not within 5 ft. of Bayou/Surface Water/Drainage Ditch</v>
      </c>
      <c r="J1168" s="20">
        <v>2280.0</v>
      </c>
      <c r="K1168" s="6" t="s">
        <v>29</v>
      </c>
      <c r="L1168" s="6" t="str">
        <f>VLOOKUP(K1168,'Structure type'!$A$1:$B$15,2,FALSE)</f>
        <v>Manhole</v>
      </c>
      <c r="M1168" s="6" t="s">
        <v>30</v>
      </c>
      <c r="N1168" s="6" t="str">
        <f>VLOOKUP(M1168,'Excursion Cause'!$A$1:$B$34,2,FALSE)</f>
        <v>Grease Blockage</v>
      </c>
      <c r="O1168" s="21">
        <v>44627.0</v>
      </c>
      <c r="P1168" s="6" t="s">
        <v>391</v>
      </c>
      <c r="Q1168" s="21">
        <v>44627.0</v>
      </c>
      <c r="R1168" s="6" t="s">
        <v>2026</v>
      </c>
      <c r="S1168" s="20">
        <v>3.0</v>
      </c>
      <c r="T1168" s="6" t="s">
        <v>59</v>
      </c>
      <c r="U1168" s="6"/>
      <c r="V1168" s="6"/>
      <c r="W1168" s="6">
        <v>29.6163817</v>
      </c>
      <c r="X1168" s="6">
        <v>-95.2346818</v>
      </c>
    </row>
    <row r="1169" ht="15.75" customHeight="1">
      <c r="A1169" s="6">
        <v>14027.0</v>
      </c>
      <c r="B1169" s="6">
        <v>2022.0</v>
      </c>
      <c r="C1169" s="6" t="str">
        <f t="shared" si="5"/>
        <v>6116 HAMMAN ST,Houston,Texas</v>
      </c>
      <c r="D1169" s="6" t="s">
        <v>2027</v>
      </c>
      <c r="E1169" s="6" t="s">
        <v>25</v>
      </c>
      <c r="F1169" s="6" t="s">
        <v>26</v>
      </c>
      <c r="G1169" s="6" t="s">
        <v>158</v>
      </c>
      <c r="H1169" s="6" t="s">
        <v>1977</v>
      </c>
      <c r="I1169" s="6" t="str">
        <f>VLOOKUP(H1169,'Flow Location'!$A$1:$B$21,2,FALSE)</f>
        <v>Bayou/surface water/drainage ditch</v>
      </c>
      <c r="J1169" s="20">
        <v>528.0</v>
      </c>
      <c r="K1169" s="6" t="s">
        <v>45</v>
      </c>
      <c r="L1169" s="6" t="str">
        <f>VLOOKUP(K1169,'Structure type'!$A$1:$B$15,2,FALSE)</f>
        <v>City Cleanout</v>
      </c>
      <c r="M1169" s="6" t="s">
        <v>30</v>
      </c>
      <c r="N1169" s="6" t="str">
        <f>VLOOKUP(M1169,'Excursion Cause'!$A$1:$B$34,2,FALSE)</f>
        <v>Grease Blockage</v>
      </c>
      <c r="O1169" s="21">
        <v>44627.0</v>
      </c>
      <c r="P1169" s="6" t="s">
        <v>2028</v>
      </c>
      <c r="Q1169" s="21">
        <v>44627.0</v>
      </c>
      <c r="R1169" s="6" t="s">
        <v>414</v>
      </c>
      <c r="S1169" s="20">
        <v>2.0</v>
      </c>
      <c r="T1169" s="6" t="s">
        <v>33</v>
      </c>
      <c r="U1169" s="6"/>
      <c r="V1169" s="6"/>
      <c r="W1169" s="6">
        <v>29.7762441</v>
      </c>
      <c r="X1169" s="6">
        <v>-95.4239263</v>
      </c>
    </row>
    <row r="1170" ht="15.75" customHeight="1">
      <c r="A1170" s="6">
        <v>14028.0</v>
      </c>
      <c r="B1170" s="6">
        <v>2022.0</v>
      </c>
      <c r="C1170" s="6" t="str">
        <f t="shared" si="5"/>
        <v>241 OWENS ST,Houston,Texas</v>
      </c>
      <c r="D1170" s="6" t="s">
        <v>2029</v>
      </c>
      <c r="E1170" s="6" t="s">
        <v>25</v>
      </c>
      <c r="F1170" s="6" t="s">
        <v>26</v>
      </c>
      <c r="G1170" s="6" t="s">
        <v>247</v>
      </c>
      <c r="H1170" s="6" t="s">
        <v>1977</v>
      </c>
      <c r="I1170" s="6" t="str">
        <f>VLOOKUP(H1170,'Flow Location'!$A$1:$B$21,2,FALSE)</f>
        <v>Bayou/surface water/drainage ditch</v>
      </c>
      <c r="J1170" s="20">
        <v>0.0</v>
      </c>
      <c r="K1170" s="6" t="s">
        <v>29</v>
      </c>
      <c r="L1170" s="6" t="str">
        <f>VLOOKUP(K1170,'Structure type'!$A$1:$B$15,2,FALSE)</f>
        <v>Manhole</v>
      </c>
      <c r="M1170" s="6" t="s">
        <v>30</v>
      </c>
      <c r="N1170" s="6" t="str">
        <f>VLOOKUP(M1170,'Excursion Cause'!$A$1:$B$34,2,FALSE)</f>
        <v>Grease Blockage</v>
      </c>
      <c r="O1170" s="21">
        <v>44627.0</v>
      </c>
      <c r="P1170" s="6" t="s">
        <v>1032</v>
      </c>
      <c r="Q1170" s="21">
        <v>44627.0</v>
      </c>
      <c r="R1170" s="6" t="s">
        <v>1032</v>
      </c>
      <c r="S1170" s="20">
        <v>0.0</v>
      </c>
      <c r="T1170" s="6" t="s">
        <v>33</v>
      </c>
      <c r="U1170" s="6"/>
      <c r="V1170" s="6"/>
      <c r="W1170" s="6">
        <v>29.7411119</v>
      </c>
      <c r="X1170" s="6">
        <v>-95.2590468</v>
      </c>
    </row>
    <row r="1171" ht="15.75" customHeight="1">
      <c r="A1171" s="6">
        <v>14029.0</v>
      </c>
      <c r="B1171" s="6">
        <v>2022.0</v>
      </c>
      <c r="C1171" s="6" t="str">
        <f t="shared" si="5"/>
        <v>4503 S KIRKWOOD RD,Houston,Texas</v>
      </c>
      <c r="D1171" s="6" t="s">
        <v>2030</v>
      </c>
      <c r="E1171" s="6" t="s">
        <v>25</v>
      </c>
      <c r="F1171" s="6" t="s">
        <v>26</v>
      </c>
      <c r="G1171" s="6" t="s">
        <v>91</v>
      </c>
      <c r="H1171" s="6" t="s">
        <v>1724</v>
      </c>
      <c r="I1171" s="6" t="str">
        <f>VLOOKUP(H1171,'Flow Location'!$A$1:$B$21,2,FALSE)</f>
        <v>Storm Sewer (not contained)</v>
      </c>
      <c r="J1171" s="20">
        <v>2822.0</v>
      </c>
      <c r="K1171" s="6" t="s">
        <v>29</v>
      </c>
      <c r="L1171" s="6" t="str">
        <f>VLOOKUP(K1171,'Structure type'!$A$1:$B$15,2,FALSE)</f>
        <v>Manhole</v>
      </c>
      <c r="M1171" s="6" t="s">
        <v>2031</v>
      </c>
      <c r="N1171" s="6" t="str">
        <f>VLOOKUP(M1171,'Excursion Cause'!$A$1:$B$34,2,FALSE)</f>
        <v>Grease Blockage</v>
      </c>
      <c r="O1171" s="21">
        <v>44627.0</v>
      </c>
      <c r="P1171" s="6" t="s">
        <v>1182</v>
      </c>
      <c r="Q1171" s="21">
        <v>44628.0</v>
      </c>
      <c r="R1171" s="6" t="s">
        <v>1062</v>
      </c>
      <c r="S1171" s="20">
        <v>2.0</v>
      </c>
      <c r="T1171" s="6" t="s">
        <v>2032</v>
      </c>
      <c r="U1171" s="6"/>
      <c r="V1171" s="6"/>
      <c r="W1171" s="6">
        <v>29.7068058</v>
      </c>
      <c r="X1171" s="6">
        <v>-95.586365</v>
      </c>
    </row>
    <row r="1172" ht="15.75" customHeight="1">
      <c r="A1172" s="6">
        <v>14032.0</v>
      </c>
      <c r="B1172" s="6">
        <v>2022.0</v>
      </c>
      <c r="C1172" s="6" t="str">
        <f t="shared" si="5"/>
        <v>12215 DORWAYNE CT,Houston,Texas</v>
      </c>
      <c r="D1172" s="6" t="s">
        <v>2004</v>
      </c>
      <c r="E1172" s="6" t="s">
        <v>25</v>
      </c>
      <c r="F1172" s="6" t="s">
        <v>26</v>
      </c>
      <c r="G1172" s="6" t="s">
        <v>623</v>
      </c>
      <c r="H1172" s="6" t="s">
        <v>50</v>
      </c>
      <c r="I1172" s="6" t="str">
        <f>VLOOKUP(H1172,'Flow Location'!$A$1:$B$21,2,FALSE)</f>
        <v>Contained On Site, not within 5 ft. of Bayou/Surface Water/Drainage Ditch</v>
      </c>
      <c r="J1172" s="20">
        <v>0.0</v>
      </c>
      <c r="K1172" s="6" t="s">
        <v>45</v>
      </c>
      <c r="L1172" s="6" t="str">
        <f>VLOOKUP(K1172,'Structure type'!$A$1:$B$15,2,FALSE)</f>
        <v>City Cleanout</v>
      </c>
      <c r="M1172" s="6" t="s">
        <v>81</v>
      </c>
      <c r="N1172" s="6" t="str">
        <f>VLOOKUP(M1172,'Excursion Cause'!$A$1:$B$34,2,FALSE)</f>
        <v>Collection system structural failure</v>
      </c>
      <c r="O1172" s="21">
        <v>44627.0</v>
      </c>
      <c r="P1172" s="6" t="s">
        <v>832</v>
      </c>
      <c r="Q1172" s="21">
        <v>44627.0</v>
      </c>
      <c r="R1172" s="6" t="s">
        <v>832</v>
      </c>
      <c r="S1172" s="20">
        <v>0.0</v>
      </c>
      <c r="T1172" s="6" t="s">
        <v>118</v>
      </c>
      <c r="U1172" s="6"/>
      <c r="V1172" s="6"/>
      <c r="W1172" s="6">
        <v>29.7648324</v>
      </c>
      <c r="X1172" s="6">
        <v>-95.2228064</v>
      </c>
    </row>
    <row r="1173" ht="15.75" customHeight="1">
      <c r="A1173" s="6">
        <v>14034.0</v>
      </c>
      <c r="B1173" s="6">
        <v>2022.0</v>
      </c>
      <c r="C1173" s="6" t="str">
        <f t="shared" si="5"/>
        <v>7525 SHERMAN ST,Houston,Texas</v>
      </c>
      <c r="D1173" s="6" t="s">
        <v>2033</v>
      </c>
      <c r="E1173" s="6" t="s">
        <v>25</v>
      </c>
      <c r="F1173" s="6" t="s">
        <v>26</v>
      </c>
      <c r="G1173" s="6" t="s">
        <v>365</v>
      </c>
      <c r="H1173" s="6" t="s">
        <v>50</v>
      </c>
      <c r="I1173" s="6" t="str">
        <f>VLOOKUP(H1173,'Flow Location'!$A$1:$B$21,2,FALSE)</f>
        <v>Contained On Site, not within 5 ft. of Bayou/Surface Water/Drainage Ditch</v>
      </c>
      <c r="J1173" s="20">
        <v>976.0</v>
      </c>
      <c r="K1173" s="6" t="s">
        <v>45</v>
      </c>
      <c r="L1173" s="6" t="str">
        <f>VLOOKUP(K1173,'Structure type'!$A$1:$B$15,2,FALSE)</f>
        <v>City Cleanout</v>
      </c>
      <c r="M1173" s="6" t="s">
        <v>56</v>
      </c>
      <c r="N1173" s="6" t="str">
        <f>VLOOKUP(M1173,'Excursion Cause'!$A$1:$B$34,2,FALSE)</f>
        <v>Rags/Wipes</v>
      </c>
      <c r="O1173" s="21">
        <v>44627.0</v>
      </c>
      <c r="P1173" s="6" t="s">
        <v>2034</v>
      </c>
      <c r="Q1173" s="21">
        <v>44628.0</v>
      </c>
      <c r="R1173" s="6" t="s">
        <v>2035</v>
      </c>
      <c r="S1173" s="20">
        <v>1.0</v>
      </c>
      <c r="T1173" s="6" t="s">
        <v>170</v>
      </c>
      <c r="U1173" s="6"/>
      <c r="V1173" s="6"/>
      <c r="W1173" s="6">
        <v>29.7344007</v>
      </c>
      <c r="X1173" s="6">
        <v>-95.2900782</v>
      </c>
    </row>
    <row r="1174" ht="15.75" customHeight="1">
      <c r="A1174" s="6">
        <v>14039.0</v>
      </c>
      <c r="B1174" s="6">
        <v>2022.0</v>
      </c>
      <c r="C1174" s="6" t="str">
        <f t="shared" si="5"/>
        <v>1300 B ANITA ST,Houston,Texas</v>
      </c>
      <c r="D1174" s="6" t="s">
        <v>2036</v>
      </c>
      <c r="E1174" s="6" t="s">
        <v>25</v>
      </c>
      <c r="F1174" s="6" t="s">
        <v>26</v>
      </c>
      <c r="G1174" s="6" t="s">
        <v>308</v>
      </c>
      <c r="H1174" s="6" t="s">
        <v>50</v>
      </c>
      <c r="I1174" s="6" t="str">
        <f>VLOOKUP(H1174,'Flow Location'!$A$1:$B$21,2,FALSE)</f>
        <v>Contained On Site, not within 5 ft. of Bayou/Surface Water/Drainage Ditch</v>
      </c>
      <c r="J1174" s="20">
        <v>0.0</v>
      </c>
      <c r="K1174" s="6" t="s">
        <v>29</v>
      </c>
      <c r="L1174" s="6" t="str">
        <f>VLOOKUP(K1174,'Structure type'!$A$1:$B$15,2,FALSE)</f>
        <v>Manhole</v>
      </c>
      <c r="M1174" s="6" t="s">
        <v>30</v>
      </c>
      <c r="N1174" s="6" t="str">
        <f>VLOOKUP(M1174,'Excursion Cause'!$A$1:$B$34,2,FALSE)</f>
        <v>Grease Blockage</v>
      </c>
      <c r="O1174" s="21">
        <v>44627.0</v>
      </c>
      <c r="P1174" s="6" t="s">
        <v>1689</v>
      </c>
      <c r="Q1174" s="21">
        <v>44627.0</v>
      </c>
      <c r="R1174" s="6" t="s">
        <v>1689</v>
      </c>
      <c r="S1174" s="20">
        <v>0.0</v>
      </c>
      <c r="T1174" s="6" t="s">
        <v>33</v>
      </c>
      <c r="U1174" s="6"/>
      <c r="V1174" s="6"/>
      <c r="W1174" s="6">
        <v>29.7410294</v>
      </c>
      <c r="X1174" s="6">
        <v>-95.3734527</v>
      </c>
    </row>
    <row r="1175" ht="15.75" customHeight="1">
      <c r="A1175" s="6">
        <v>14040.0</v>
      </c>
      <c r="B1175" s="6">
        <v>2022.0</v>
      </c>
      <c r="C1175" s="6" t="str">
        <f t="shared" si="5"/>
        <v>2500 TANGLEWILDE ST,Houston,Texas</v>
      </c>
      <c r="D1175" s="6" t="s">
        <v>2037</v>
      </c>
      <c r="E1175" s="6" t="s">
        <v>25</v>
      </c>
      <c r="F1175" s="6" t="s">
        <v>26</v>
      </c>
      <c r="G1175" s="6" t="s">
        <v>482</v>
      </c>
      <c r="H1175" s="6" t="s">
        <v>1724</v>
      </c>
      <c r="I1175" s="6" t="str">
        <f>VLOOKUP(H1175,'Flow Location'!$A$1:$B$21,2,FALSE)</f>
        <v>Storm Sewer (not contained)</v>
      </c>
      <c r="J1175" s="20">
        <v>744.0</v>
      </c>
      <c r="K1175" s="6" t="s">
        <v>29</v>
      </c>
      <c r="L1175" s="6" t="str">
        <f>VLOOKUP(K1175,'Structure type'!$A$1:$B$15,2,FALSE)</f>
        <v>Manhole</v>
      </c>
      <c r="M1175" s="6" t="s">
        <v>2038</v>
      </c>
      <c r="N1175" s="6" t="str">
        <f>VLOOKUP(M1175,'Excursion Cause'!$A$1:$B$34,2,FALSE)</f>
        <v>Grease Blockage</v>
      </c>
      <c r="O1175" s="21">
        <v>44627.0</v>
      </c>
      <c r="P1175" s="6" t="s">
        <v>2009</v>
      </c>
      <c r="Q1175" s="21">
        <v>44627.0</v>
      </c>
      <c r="R1175" s="6" t="s">
        <v>2039</v>
      </c>
      <c r="S1175" s="20">
        <v>2.0</v>
      </c>
      <c r="T1175" s="6" t="s">
        <v>2040</v>
      </c>
      <c r="U1175" s="6"/>
      <c r="V1175" s="6"/>
      <c r="W1175" s="6">
        <v>29.7408009</v>
      </c>
      <c r="X1175" s="6">
        <v>-95.5355636</v>
      </c>
    </row>
    <row r="1176" ht="15.75" customHeight="1">
      <c r="A1176" s="6">
        <v>14042.0</v>
      </c>
      <c r="B1176" s="6">
        <v>2022.0</v>
      </c>
      <c r="C1176" s="6" t="str">
        <f t="shared" si="5"/>
        <v>8008 DUNLAP ST,Houston,Texas</v>
      </c>
      <c r="D1176" s="6" t="s">
        <v>2041</v>
      </c>
      <c r="E1176" s="6" t="s">
        <v>25</v>
      </c>
      <c r="F1176" s="6" t="s">
        <v>26</v>
      </c>
      <c r="G1176" s="6" t="s">
        <v>471</v>
      </c>
      <c r="H1176" s="6" t="s">
        <v>50</v>
      </c>
      <c r="I1176" s="6" t="str">
        <f>VLOOKUP(H1176,'Flow Location'!$A$1:$B$21,2,FALSE)</f>
        <v>Contained On Site, not within 5 ft. of Bayou/Surface Water/Drainage Ditch</v>
      </c>
      <c r="J1176" s="20">
        <v>0.0</v>
      </c>
      <c r="K1176" s="6" t="s">
        <v>51</v>
      </c>
      <c r="L1176" s="6" t="str">
        <f>VLOOKUP(K1176,'Structure type'!$A$1:$B$15,2,FALSE)</f>
        <v>Private Cleanout</v>
      </c>
      <c r="M1176" s="6" t="s">
        <v>30</v>
      </c>
      <c r="N1176" s="6" t="str">
        <f>VLOOKUP(M1176,'Excursion Cause'!$A$1:$B$34,2,FALSE)</f>
        <v>Grease Blockage</v>
      </c>
      <c r="O1176" s="21">
        <v>44627.0</v>
      </c>
      <c r="P1176" s="6" t="s">
        <v>928</v>
      </c>
      <c r="Q1176" s="21">
        <v>44627.0</v>
      </c>
      <c r="R1176" s="6" t="s">
        <v>928</v>
      </c>
      <c r="S1176" s="20">
        <v>0.0</v>
      </c>
      <c r="T1176" s="6" t="s">
        <v>33</v>
      </c>
      <c r="U1176" s="6"/>
      <c r="V1176" s="6"/>
      <c r="W1176" s="6">
        <v>29.6931331</v>
      </c>
      <c r="X1176" s="6">
        <v>-95.4948111</v>
      </c>
    </row>
    <row r="1177" ht="15.75" customHeight="1">
      <c r="A1177" s="6">
        <v>14044.0</v>
      </c>
      <c r="B1177" s="6">
        <v>2022.0</v>
      </c>
      <c r="C1177" s="6" t="str">
        <f t="shared" si="5"/>
        <v>3800 AUDLEY ST,Houston,Texas</v>
      </c>
      <c r="D1177" s="6" t="s">
        <v>2042</v>
      </c>
      <c r="E1177" s="6" t="s">
        <v>25</v>
      </c>
      <c r="F1177" s="6" t="s">
        <v>26</v>
      </c>
      <c r="G1177" s="6" t="s">
        <v>112</v>
      </c>
      <c r="H1177" s="6" t="s">
        <v>1724</v>
      </c>
      <c r="I1177" s="6" t="str">
        <f>VLOOKUP(H1177,'Flow Location'!$A$1:$B$21,2,FALSE)</f>
        <v>Storm Sewer (not contained)</v>
      </c>
      <c r="J1177" s="20">
        <v>5798.0</v>
      </c>
      <c r="K1177" s="6" t="s">
        <v>29</v>
      </c>
      <c r="L1177" s="6" t="str">
        <f>VLOOKUP(K1177,'Structure type'!$A$1:$B$15,2,FALSE)</f>
        <v>Manhole</v>
      </c>
      <c r="M1177" s="6" t="s">
        <v>2043</v>
      </c>
      <c r="N1177" s="6" t="str">
        <f>VLOOKUP(M1177,'Excursion Cause'!$A$1:$B$34,2,FALSE)</f>
        <v>Grease Blockage</v>
      </c>
      <c r="O1177" s="21">
        <v>44627.0</v>
      </c>
      <c r="P1177" s="6" t="s">
        <v>1009</v>
      </c>
      <c r="Q1177" s="21">
        <v>44629.0</v>
      </c>
      <c r="R1177" s="6" t="s">
        <v>1108</v>
      </c>
      <c r="S1177" s="20">
        <v>2.0</v>
      </c>
      <c r="T1177" s="6" t="s">
        <v>2044</v>
      </c>
      <c r="U1177" s="6"/>
      <c r="V1177" s="6"/>
      <c r="W1177" s="6">
        <v>29.7324479</v>
      </c>
      <c r="X1177" s="6">
        <v>-95.4266443</v>
      </c>
    </row>
    <row r="1178" ht="15.75" customHeight="1">
      <c r="A1178" s="6">
        <v>14052.0</v>
      </c>
      <c r="B1178" s="6">
        <v>2022.0</v>
      </c>
      <c r="C1178" s="6" t="str">
        <f t="shared" si="5"/>
        <v>3224 BRACKENRIDGE ST,Houston,Texas</v>
      </c>
      <c r="D1178" s="6" t="s">
        <v>2045</v>
      </c>
      <c r="E1178" s="6" t="s">
        <v>25</v>
      </c>
      <c r="F1178" s="6" t="s">
        <v>26</v>
      </c>
      <c r="G1178" s="6" t="s">
        <v>43</v>
      </c>
      <c r="H1178" s="6" t="s">
        <v>50</v>
      </c>
      <c r="I1178" s="6" t="str">
        <f>VLOOKUP(H1178,'Flow Location'!$A$1:$B$21,2,FALSE)</f>
        <v>Contained On Site, not within 5 ft. of Bayou/Surface Water/Drainage Ditch</v>
      </c>
      <c r="J1178" s="20">
        <v>0.0</v>
      </c>
      <c r="K1178" s="6" t="s">
        <v>45</v>
      </c>
      <c r="L1178" s="6" t="str">
        <f>VLOOKUP(K1178,'Structure type'!$A$1:$B$15,2,FALSE)</f>
        <v>City Cleanout</v>
      </c>
      <c r="M1178" s="6" t="s">
        <v>30</v>
      </c>
      <c r="N1178" s="6" t="str">
        <f>VLOOKUP(M1178,'Excursion Cause'!$A$1:$B$34,2,FALSE)</f>
        <v>Grease Blockage</v>
      </c>
      <c r="O1178" s="21">
        <v>44628.0</v>
      </c>
      <c r="P1178" s="6" t="s">
        <v>870</v>
      </c>
      <c r="Q1178" s="21">
        <v>44628.0</v>
      </c>
      <c r="R1178" s="6" t="s">
        <v>870</v>
      </c>
      <c r="S1178" s="20">
        <v>0.0</v>
      </c>
      <c r="T1178" s="6" t="s">
        <v>170</v>
      </c>
      <c r="U1178" s="6"/>
      <c r="V1178" s="6"/>
      <c r="W1178" s="6">
        <v>29.7923306</v>
      </c>
      <c r="X1178" s="6">
        <v>-95.3409281</v>
      </c>
    </row>
    <row r="1179" ht="15.75" customHeight="1">
      <c r="A1179" s="6">
        <v>14053.0</v>
      </c>
      <c r="B1179" s="6">
        <v>2022.0</v>
      </c>
      <c r="C1179" s="6" t="str">
        <f t="shared" si="5"/>
        <v>5003 LYONS AVE,Houston,Texas</v>
      </c>
      <c r="D1179" s="6" t="s">
        <v>2046</v>
      </c>
      <c r="E1179" s="6" t="s">
        <v>25</v>
      </c>
      <c r="F1179" s="6" t="s">
        <v>26</v>
      </c>
      <c r="G1179" s="6" t="s">
        <v>86</v>
      </c>
      <c r="H1179" s="6" t="s">
        <v>50</v>
      </c>
      <c r="I1179" s="6" t="str">
        <f>VLOOKUP(H1179,'Flow Location'!$A$1:$B$21,2,FALSE)</f>
        <v>Contained On Site, not within 5 ft. of Bayou/Surface Water/Drainage Ditch</v>
      </c>
      <c r="J1179" s="20">
        <v>0.0</v>
      </c>
      <c r="K1179" s="6" t="s">
        <v>45</v>
      </c>
      <c r="L1179" s="6" t="str">
        <f>VLOOKUP(K1179,'Structure type'!$A$1:$B$15,2,FALSE)</f>
        <v>City Cleanout</v>
      </c>
      <c r="M1179" s="6" t="s">
        <v>52</v>
      </c>
      <c r="N1179" s="6" t="str">
        <f>VLOOKUP(M1179,'Excursion Cause'!$A$1:$B$34,2,FALSE)</f>
        <v>Collection system structural blockage</v>
      </c>
      <c r="O1179" s="21">
        <v>44628.0</v>
      </c>
      <c r="P1179" s="6" t="s">
        <v>2047</v>
      </c>
      <c r="Q1179" s="21">
        <v>44628.0</v>
      </c>
      <c r="R1179" s="6" t="s">
        <v>2047</v>
      </c>
      <c r="S1179" s="20">
        <v>0.0</v>
      </c>
      <c r="T1179" s="6" t="s">
        <v>89</v>
      </c>
      <c r="U1179" s="6"/>
      <c r="V1179" s="6"/>
      <c r="W1179" s="6">
        <v>29.7765232</v>
      </c>
      <c r="X1179" s="6">
        <v>-95.3199352</v>
      </c>
    </row>
    <row r="1180" ht="15.75" customHeight="1">
      <c r="A1180" s="6">
        <v>14055.0</v>
      </c>
      <c r="B1180" s="6">
        <v>2022.0</v>
      </c>
      <c r="C1180" s="6" t="str">
        <f t="shared" si="5"/>
        <v>8210 PARK PLACE BLVD,Houston,Texas</v>
      </c>
      <c r="D1180" s="6" t="s">
        <v>2048</v>
      </c>
      <c r="E1180" s="6" t="s">
        <v>25</v>
      </c>
      <c r="F1180" s="6" t="s">
        <v>26</v>
      </c>
      <c r="G1180" s="6" t="s">
        <v>135</v>
      </c>
      <c r="H1180" s="6" t="s">
        <v>44</v>
      </c>
      <c r="I1180" s="6" t="str">
        <f>VLOOKUP(H1180,'Flow Location'!$A$1:$B$21,2,FALSE)</f>
        <v>Bayou/surface water/drainage ditch</v>
      </c>
      <c r="J1180" s="20">
        <v>15204.0</v>
      </c>
      <c r="K1180" s="6" t="s">
        <v>29</v>
      </c>
      <c r="L1180" s="6" t="str">
        <f>VLOOKUP(K1180,'Structure type'!$A$1:$B$15,2,FALSE)</f>
        <v>Manhole</v>
      </c>
      <c r="M1180" s="6" t="s">
        <v>2049</v>
      </c>
      <c r="N1180" s="6" t="str">
        <f>VLOOKUP(M1180,'Excursion Cause'!$A$1:$B$34,2,FALSE)</f>
        <v>Collection system structural failure</v>
      </c>
      <c r="O1180" s="21">
        <v>44624.0</v>
      </c>
      <c r="P1180" s="6" t="s">
        <v>298</v>
      </c>
      <c r="Q1180" s="21">
        <v>44629.0</v>
      </c>
      <c r="R1180" s="6" t="s">
        <v>1105</v>
      </c>
      <c r="S1180" s="20">
        <v>2.0</v>
      </c>
      <c r="T1180" s="6" t="s">
        <v>54</v>
      </c>
      <c r="U1180" s="6"/>
      <c r="V1180" s="6"/>
      <c r="W1180" s="6">
        <v>29.6877779</v>
      </c>
      <c r="X1180" s="6">
        <v>-95.2738477</v>
      </c>
    </row>
    <row r="1181" ht="15.75" customHeight="1">
      <c r="A1181" s="6">
        <v>14059.0</v>
      </c>
      <c r="B1181" s="6">
        <v>2022.0</v>
      </c>
      <c r="C1181" s="6" t="str">
        <f t="shared" si="5"/>
        <v>8323 CINNAMON LN,Houston,Texas</v>
      </c>
      <c r="D1181" s="6" t="s">
        <v>1919</v>
      </c>
      <c r="E1181" s="6" t="s">
        <v>25</v>
      </c>
      <c r="F1181" s="6" t="s">
        <v>26</v>
      </c>
      <c r="G1181" s="6" t="s">
        <v>91</v>
      </c>
      <c r="H1181" s="6" t="s">
        <v>1724</v>
      </c>
      <c r="I1181" s="6" t="str">
        <f>VLOOKUP(H1181,'Flow Location'!$A$1:$B$21,2,FALSE)</f>
        <v>Storm Sewer (not contained)</v>
      </c>
      <c r="J1181" s="20">
        <v>2580.0</v>
      </c>
      <c r="K1181" s="6" t="s">
        <v>29</v>
      </c>
      <c r="L1181" s="6" t="str">
        <f>VLOOKUP(K1181,'Structure type'!$A$1:$B$15,2,FALSE)</f>
        <v>Manhole</v>
      </c>
      <c r="M1181" s="6" t="s">
        <v>2050</v>
      </c>
      <c r="N1181" s="6" t="str">
        <f>VLOOKUP(M1181,'Excursion Cause'!$A$1:$B$34,2,FALSE)</f>
        <v>Grease Blockage</v>
      </c>
      <c r="O1181" s="21">
        <v>44629.0</v>
      </c>
      <c r="P1181" s="6" t="s">
        <v>859</v>
      </c>
      <c r="Q1181" s="21">
        <v>44629.0</v>
      </c>
      <c r="R1181" s="6" t="s">
        <v>235</v>
      </c>
      <c r="S1181" s="20">
        <v>10.0</v>
      </c>
      <c r="T1181" s="6" t="s">
        <v>2051</v>
      </c>
      <c r="U1181" s="6"/>
      <c r="V1181" s="6"/>
      <c r="W1181" s="6">
        <v>29.6885587</v>
      </c>
      <c r="X1181" s="6">
        <v>-95.5648865</v>
      </c>
    </row>
    <row r="1182" ht="15.75" customHeight="1">
      <c r="A1182" s="6">
        <v>14066.0</v>
      </c>
      <c r="B1182" s="6">
        <v>2022.0</v>
      </c>
      <c r="C1182" s="6" t="str">
        <f t="shared" si="5"/>
        <v>2900 HOLMAN ST,Houston,Texas</v>
      </c>
      <c r="D1182" s="6" t="s">
        <v>2052</v>
      </c>
      <c r="E1182" s="6" t="s">
        <v>25</v>
      </c>
      <c r="F1182" s="6" t="s">
        <v>26</v>
      </c>
      <c r="G1182" s="6" t="s">
        <v>308</v>
      </c>
      <c r="H1182" s="6" t="s">
        <v>1724</v>
      </c>
      <c r="I1182" s="6" t="str">
        <f>VLOOKUP(H1182,'Flow Location'!$A$1:$B$21,2,FALSE)</f>
        <v>Storm Sewer (not contained)</v>
      </c>
      <c r="J1182" s="20">
        <v>1564.0</v>
      </c>
      <c r="K1182" s="6" t="s">
        <v>45</v>
      </c>
      <c r="L1182" s="6" t="str">
        <f>VLOOKUP(K1182,'Structure type'!$A$1:$B$15,2,FALSE)</f>
        <v>City Cleanout</v>
      </c>
      <c r="M1182" s="6" t="s">
        <v>56</v>
      </c>
      <c r="N1182" s="6" t="str">
        <f>VLOOKUP(M1182,'Excursion Cause'!$A$1:$B$34,2,FALSE)</f>
        <v>Rags/Wipes</v>
      </c>
      <c r="O1182" s="21">
        <v>44629.0</v>
      </c>
      <c r="P1182" s="6" t="s">
        <v>184</v>
      </c>
      <c r="Q1182" s="21">
        <v>44630.0</v>
      </c>
      <c r="R1182" s="6" t="s">
        <v>982</v>
      </c>
      <c r="S1182" s="20">
        <v>1.0</v>
      </c>
      <c r="T1182" s="6" t="s">
        <v>2053</v>
      </c>
      <c r="U1182" s="6"/>
      <c r="V1182" s="6"/>
      <c r="W1182" s="6">
        <v>29.7292702</v>
      </c>
      <c r="X1182" s="6">
        <v>-95.3622451</v>
      </c>
    </row>
    <row r="1183" ht="15.75" customHeight="1">
      <c r="A1183" s="6">
        <v>14067.0</v>
      </c>
      <c r="B1183" s="6">
        <v>2022.0</v>
      </c>
      <c r="C1183" s="6" t="str">
        <f t="shared" si="5"/>
        <v>13443 WOODRING DR,Houston,Texas</v>
      </c>
      <c r="D1183" s="6" t="s">
        <v>2054</v>
      </c>
      <c r="E1183" s="6" t="s">
        <v>25</v>
      </c>
      <c r="F1183" s="6" t="s">
        <v>26</v>
      </c>
      <c r="G1183" s="6" t="s">
        <v>39</v>
      </c>
      <c r="H1183" s="6" t="s">
        <v>50</v>
      </c>
      <c r="I1183" s="6" t="str">
        <f>VLOOKUP(H1183,'Flow Location'!$A$1:$B$21,2,FALSE)</f>
        <v>Contained On Site, not within 5 ft. of Bayou/Surface Water/Drainage Ditch</v>
      </c>
      <c r="J1183" s="20">
        <v>1098.0</v>
      </c>
      <c r="K1183" s="6" t="s">
        <v>29</v>
      </c>
      <c r="L1183" s="6" t="str">
        <f>VLOOKUP(K1183,'Structure type'!$A$1:$B$15,2,FALSE)</f>
        <v>Manhole</v>
      </c>
      <c r="M1183" s="6" t="s">
        <v>30</v>
      </c>
      <c r="N1183" s="6" t="str">
        <f>VLOOKUP(M1183,'Excursion Cause'!$A$1:$B$34,2,FALSE)</f>
        <v>Grease Blockage</v>
      </c>
      <c r="O1183" s="21">
        <v>44629.0</v>
      </c>
      <c r="P1183" s="6" t="s">
        <v>591</v>
      </c>
      <c r="Q1183" s="21">
        <v>44630.0</v>
      </c>
      <c r="R1183" s="6" t="s">
        <v>152</v>
      </c>
      <c r="S1183" s="20">
        <v>1.0</v>
      </c>
      <c r="T1183" s="6" t="s">
        <v>33</v>
      </c>
      <c r="U1183" s="6"/>
      <c r="V1183" s="6"/>
      <c r="W1183" s="6">
        <v>29.6327617</v>
      </c>
      <c r="X1183" s="6">
        <v>-95.4286258</v>
      </c>
    </row>
    <row r="1184" ht="15.75" customHeight="1">
      <c r="A1184" s="6">
        <v>14069.0</v>
      </c>
      <c r="B1184" s="6">
        <v>2022.0</v>
      </c>
      <c r="C1184" s="6" t="str">
        <f t="shared" si="5"/>
        <v>4044 W FUQUA ST,Houston,Texas</v>
      </c>
      <c r="D1184" s="6" t="s">
        <v>2055</v>
      </c>
      <c r="E1184" s="6" t="s">
        <v>25</v>
      </c>
      <c r="F1184" s="6" t="s">
        <v>26</v>
      </c>
      <c r="G1184" s="6" t="s">
        <v>39</v>
      </c>
      <c r="H1184" s="6" t="s">
        <v>50</v>
      </c>
      <c r="I1184" s="6" t="str">
        <f>VLOOKUP(H1184,'Flow Location'!$A$1:$B$21,2,FALSE)</f>
        <v>Contained On Site, not within 5 ft. of Bayou/Surface Water/Drainage Ditch</v>
      </c>
      <c r="J1184" s="20">
        <v>0.0</v>
      </c>
      <c r="K1184" s="6" t="s">
        <v>51</v>
      </c>
      <c r="L1184" s="6" t="str">
        <f>VLOOKUP(K1184,'Structure type'!$A$1:$B$15,2,FALSE)</f>
        <v>Private Cleanout</v>
      </c>
      <c r="M1184" s="6" t="s">
        <v>52</v>
      </c>
      <c r="N1184" s="6" t="str">
        <f>VLOOKUP(M1184,'Excursion Cause'!$A$1:$B$34,2,FALSE)</f>
        <v>Collection system structural blockage</v>
      </c>
      <c r="O1184" s="21">
        <v>44630.0</v>
      </c>
      <c r="P1184" s="6" t="s">
        <v>1794</v>
      </c>
      <c r="Q1184" s="21">
        <v>44630.0</v>
      </c>
      <c r="R1184" s="6" t="s">
        <v>1794</v>
      </c>
      <c r="S1184" s="20">
        <v>0.0</v>
      </c>
      <c r="T1184" s="6" t="s">
        <v>170</v>
      </c>
      <c r="U1184" s="6"/>
      <c r="V1184" s="6"/>
      <c r="W1184" s="6">
        <v>29.6137186</v>
      </c>
      <c r="X1184" s="6">
        <v>-95.4388274</v>
      </c>
    </row>
    <row r="1185" ht="15.75" customHeight="1">
      <c r="A1185" s="6">
        <v>14073.0</v>
      </c>
      <c r="B1185" s="6">
        <v>2022.0</v>
      </c>
      <c r="C1185" s="6" t="str">
        <f t="shared" si="5"/>
        <v>4130 LOCKFIELD ST,Houston,Texas</v>
      </c>
      <c r="D1185" s="6" t="s">
        <v>1950</v>
      </c>
      <c r="E1185" s="6" t="s">
        <v>25</v>
      </c>
      <c r="F1185" s="6" t="s">
        <v>26</v>
      </c>
      <c r="G1185" s="6" t="s">
        <v>76</v>
      </c>
      <c r="H1185" s="6" t="s">
        <v>50</v>
      </c>
      <c r="I1185" s="6" t="str">
        <f>VLOOKUP(H1185,'Flow Location'!$A$1:$B$21,2,FALSE)</f>
        <v>Contained On Site, not within 5 ft. of Bayou/Surface Water/Drainage Ditch</v>
      </c>
      <c r="J1185" s="20">
        <v>0.0</v>
      </c>
      <c r="K1185" s="6" t="s">
        <v>198</v>
      </c>
      <c r="L1185" s="6" t="str">
        <f>VLOOKUP(K1185,'Structure type'!$A$1:$B$15,2,FALSE)</f>
        <v>Service Lateral</v>
      </c>
      <c r="M1185" s="6" t="s">
        <v>30</v>
      </c>
      <c r="N1185" s="6" t="str">
        <f>VLOOKUP(M1185,'Excursion Cause'!$A$1:$B$34,2,FALSE)</f>
        <v>Grease Blockage</v>
      </c>
      <c r="O1185" s="21">
        <v>44630.0</v>
      </c>
      <c r="P1185" s="6" t="s">
        <v>342</v>
      </c>
      <c r="Q1185" s="21">
        <v>44630.0</v>
      </c>
      <c r="R1185" s="6" t="s">
        <v>342</v>
      </c>
      <c r="S1185" s="20">
        <v>0.0</v>
      </c>
      <c r="T1185" s="6" t="s">
        <v>33</v>
      </c>
      <c r="U1185" s="6"/>
      <c r="V1185" s="6"/>
      <c r="W1185" s="6">
        <v>29.8300599</v>
      </c>
      <c r="X1185" s="6">
        <v>-95.4854207</v>
      </c>
    </row>
    <row r="1186" ht="15.75" customHeight="1">
      <c r="A1186" s="6">
        <v>14077.0</v>
      </c>
      <c r="B1186" s="6">
        <v>2022.0</v>
      </c>
      <c r="C1186" s="6" t="str">
        <f t="shared" si="5"/>
        <v>4406 TALINA WAY,Houston,Texas</v>
      </c>
      <c r="D1186" s="6" t="s">
        <v>343</v>
      </c>
      <c r="E1186" s="6" t="s">
        <v>25</v>
      </c>
      <c r="F1186" s="6" t="s">
        <v>26</v>
      </c>
      <c r="G1186" s="6" t="s">
        <v>344</v>
      </c>
      <c r="H1186" s="6" t="s">
        <v>1977</v>
      </c>
      <c r="I1186" s="6" t="str">
        <f>VLOOKUP(H1186,'Flow Location'!$A$1:$B$21,2,FALSE)</f>
        <v>Bayou/surface water/drainage ditch</v>
      </c>
      <c r="J1186" s="20">
        <v>0.0</v>
      </c>
      <c r="K1186" s="6" t="s">
        <v>29</v>
      </c>
      <c r="L1186" s="6" t="str">
        <f>VLOOKUP(K1186,'Structure type'!$A$1:$B$15,2,FALSE)</f>
        <v>Manhole</v>
      </c>
      <c r="M1186" s="6" t="s">
        <v>30</v>
      </c>
      <c r="N1186" s="6" t="str">
        <f>VLOOKUP(M1186,'Excursion Cause'!$A$1:$B$34,2,FALSE)</f>
        <v>Grease Blockage</v>
      </c>
      <c r="O1186" s="21">
        <v>44630.0</v>
      </c>
      <c r="P1186" s="6" t="s">
        <v>1186</v>
      </c>
      <c r="Q1186" s="21">
        <v>44630.0</v>
      </c>
      <c r="R1186" s="6" t="s">
        <v>1186</v>
      </c>
      <c r="S1186" s="20">
        <v>0.0</v>
      </c>
      <c r="T1186" s="6" t="s">
        <v>33</v>
      </c>
      <c r="U1186" s="6"/>
      <c r="V1186" s="6"/>
      <c r="W1186" s="6">
        <v>29.8343038</v>
      </c>
      <c r="X1186" s="6">
        <v>-95.5436618</v>
      </c>
    </row>
    <row r="1187" ht="15.75" customHeight="1">
      <c r="A1187" s="6">
        <v>14081.0</v>
      </c>
      <c r="B1187" s="6">
        <v>2022.0</v>
      </c>
      <c r="C1187" s="6" t="str">
        <f t="shared" si="5"/>
        <v>3838 WESTHEIMER RD,Houston,Texas</v>
      </c>
      <c r="D1187" s="6" t="s">
        <v>2056</v>
      </c>
      <c r="E1187" s="6" t="s">
        <v>25</v>
      </c>
      <c r="F1187" s="6" t="s">
        <v>26</v>
      </c>
      <c r="G1187" s="6" t="s">
        <v>1621</v>
      </c>
      <c r="H1187" s="6" t="s">
        <v>50</v>
      </c>
      <c r="I1187" s="6" t="str">
        <f>VLOOKUP(H1187,'Flow Location'!$A$1:$B$21,2,FALSE)</f>
        <v>Contained On Site, not within 5 ft. of Bayou/Surface Water/Drainage Ditch</v>
      </c>
      <c r="J1187" s="20">
        <v>0.0</v>
      </c>
      <c r="K1187" s="6" t="s">
        <v>45</v>
      </c>
      <c r="L1187" s="6" t="str">
        <f>VLOOKUP(K1187,'Structure type'!$A$1:$B$15,2,FALSE)</f>
        <v>City Cleanout</v>
      </c>
      <c r="M1187" s="6" t="s">
        <v>56</v>
      </c>
      <c r="N1187" s="6" t="str">
        <f>VLOOKUP(M1187,'Excursion Cause'!$A$1:$B$34,2,FALSE)</f>
        <v>Rags/Wipes</v>
      </c>
      <c r="O1187" s="21">
        <v>44630.0</v>
      </c>
      <c r="P1187" s="6" t="s">
        <v>828</v>
      </c>
      <c r="Q1187" s="21">
        <v>44630.0</v>
      </c>
      <c r="R1187" s="6" t="s">
        <v>828</v>
      </c>
      <c r="S1187" s="20">
        <v>0.0</v>
      </c>
      <c r="T1187" s="6" t="s">
        <v>170</v>
      </c>
      <c r="U1187" s="6"/>
      <c r="V1187" s="6"/>
      <c r="W1187" s="6">
        <v>29.7420966</v>
      </c>
      <c r="X1187" s="6">
        <v>-95.4428449</v>
      </c>
    </row>
    <row r="1188" ht="15.75" customHeight="1">
      <c r="A1188" s="6">
        <v>14089.0</v>
      </c>
      <c r="B1188" s="6">
        <v>2022.0</v>
      </c>
      <c r="C1188" s="6" t="str">
        <f t="shared" si="5"/>
        <v>4402 LILLIAN ST,Houston,Texas</v>
      </c>
      <c r="D1188" s="6" t="s">
        <v>2057</v>
      </c>
      <c r="E1188" s="6" t="s">
        <v>25</v>
      </c>
      <c r="F1188" s="6" t="s">
        <v>26</v>
      </c>
      <c r="G1188" s="6" t="s">
        <v>158</v>
      </c>
      <c r="H1188" s="6" t="s">
        <v>1724</v>
      </c>
      <c r="I1188" s="6" t="str">
        <f>VLOOKUP(H1188,'Flow Location'!$A$1:$B$21,2,FALSE)</f>
        <v>Storm Sewer (not contained)</v>
      </c>
      <c r="J1188" s="20">
        <v>0.0</v>
      </c>
      <c r="K1188" s="6" t="s">
        <v>29</v>
      </c>
      <c r="L1188" s="6" t="str">
        <f>VLOOKUP(K1188,'Structure type'!$A$1:$B$15,2,FALSE)</f>
        <v>Manhole</v>
      </c>
      <c r="M1188" s="6" t="s">
        <v>2058</v>
      </c>
      <c r="N1188" s="6" t="str">
        <f>VLOOKUP(M1188,'Excursion Cause'!$A$1:$B$34,2,FALSE)</f>
        <v>Grease Blockage</v>
      </c>
      <c r="O1188" s="21">
        <v>44631.0</v>
      </c>
      <c r="P1188" s="6" t="s">
        <v>391</v>
      </c>
      <c r="Q1188" s="21">
        <v>44631.0</v>
      </c>
      <c r="R1188" s="6" t="s">
        <v>391</v>
      </c>
      <c r="S1188" s="20">
        <v>0.0</v>
      </c>
      <c r="T1188" s="6" t="s">
        <v>2059</v>
      </c>
      <c r="U1188" s="6"/>
      <c r="V1188" s="6"/>
      <c r="W1188" s="6">
        <v>29.7697756</v>
      </c>
      <c r="X1188" s="6">
        <v>-95.4050392</v>
      </c>
    </row>
    <row r="1189" ht="15.75" customHeight="1">
      <c r="A1189" s="6">
        <v>14095.0</v>
      </c>
      <c r="B1189" s="6">
        <v>2022.0</v>
      </c>
      <c r="C1189" s="6" t="str">
        <f t="shared" si="5"/>
        <v>2828 COLLINGSWORTH ST,Houston,Texas</v>
      </c>
      <c r="D1189" s="6" t="s">
        <v>2060</v>
      </c>
      <c r="E1189" s="6" t="s">
        <v>25</v>
      </c>
      <c r="F1189" s="6" t="s">
        <v>26</v>
      </c>
      <c r="G1189" s="6" t="s">
        <v>43</v>
      </c>
      <c r="H1189" s="6" t="s">
        <v>1724</v>
      </c>
      <c r="I1189" s="6" t="str">
        <f>VLOOKUP(H1189,'Flow Location'!$A$1:$B$21,2,FALSE)</f>
        <v>Storm Sewer (not contained)</v>
      </c>
      <c r="J1189" s="20">
        <v>11308.0</v>
      </c>
      <c r="K1189" s="6" t="s">
        <v>2061</v>
      </c>
      <c r="L1189" s="6" t="str">
        <f>VLOOKUP(K1189,'Structure type'!$A$1:$B$15,2,FALSE)</f>
        <v>Private Sample Well</v>
      </c>
      <c r="M1189" s="6" t="s">
        <v>2062</v>
      </c>
      <c r="N1189" s="6" t="str">
        <f>VLOOKUP(M1189,'Excursion Cause'!$A$1:$B$34,2,FALSE)</f>
        <v>Grease Blockage</v>
      </c>
      <c r="O1189" s="21">
        <v>44631.0</v>
      </c>
      <c r="P1189" s="6" t="s">
        <v>2063</v>
      </c>
      <c r="Q1189" s="21">
        <v>44635.0</v>
      </c>
      <c r="R1189" s="6" t="s">
        <v>66</v>
      </c>
      <c r="S1189" s="20">
        <v>2.0</v>
      </c>
      <c r="T1189" s="6" t="s">
        <v>2064</v>
      </c>
      <c r="U1189" s="6"/>
      <c r="V1189" s="6"/>
      <c r="W1189" s="6">
        <v>29.793366</v>
      </c>
      <c r="X1189" s="6">
        <v>-95.3414211</v>
      </c>
    </row>
    <row r="1190" ht="15.75" customHeight="1">
      <c r="A1190" s="6">
        <v>14097.0</v>
      </c>
      <c r="B1190" s="6">
        <v>2022.0</v>
      </c>
      <c r="C1190" s="6" t="str">
        <f t="shared" si="5"/>
        <v>11345 BEECHNUT ST,Houston,Texas</v>
      </c>
      <c r="D1190" s="6" t="s">
        <v>2065</v>
      </c>
      <c r="E1190" s="6" t="s">
        <v>25</v>
      </c>
      <c r="F1190" s="6" t="s">
        <v>26</v>
      </c>
      <c r="G1190" s="6" t="s">
        <v>91</v>
      </c>
      <c r="H1190" s="6" t="s">
        <v>28</v>
      </c>
      <c r="I1190" s="6" t="str">
        <f>VLOOKUP(H1190,'Flow Location'!$A$1:$B$21,2,FALSE)</f>
        <v>Storm Sewer (not contained)</v>
      </c>
      <c r="J1190" s="20">
        <v>160.0</v>
      </c>
      <c r="K1190" s="6" t="s">
        <v>29</v>
      </c>
      <c r="L1190" s="6" t="str">
        <f>VLOOKUP(K1190,'Structure type'!$A$1:$B$15,2,FALSE)</f>
        <v>Manhole</v>
      </c>
      <c r="M1190" s="6" t="s">
        <v>2066</v>
      </c>
      <c r="N1190" s="6" t="str">
        <f>VLOOKUP(M1190,'Excursion Cause'!$A$1:$B$34,2,FALSE)</f>
        <v>Collection system structural failure</v>
      </c>
      <c r="O1190" s="21">
        <v>44631.0</v>
      </c>
      <c r="P1190" s="6" t="s">
        <v>1855</v>
      </c>
      <c r="Q1190" s="21">
        <v>44633.0</v>
      </c>
      <c r="R1190" s="6" t="s">
        <v>872</v>
      </c>
      <c r="S1190" s="20">
        <v>0.0</v>
      </c>
      <c r="T1190" s="6" t="s">
        <v>54</v>
      </c>
      <c r="U1190" s="6"/>
      <c r="V1190" s="6"/>
      <c r="W1190" s="6">
        <v>29.6878416</v>
      </c>
      <c r="X1190" s="6">
        <v>-95.5773349</v>
      </c>
    </row>
    <row r="1191" ht="15.75" customHeight="1">
      <c r="A1191" s="6">
        <v>14098.0</v>
      </c>
      <c r="B1191" s="6">
        <v>2022.0</v>
      </c>
      <c r="C1191" s="6" t="str">
        <f t="shared" si="5"/>
        <v>7235 FAUNA ST,Houston,Texas</v>
      </c>
      <c r="D1191" s="6" t="s">
        <v>2067</v>
      </c>
      <c r="E1191" s="6" t="s">
        <v>25</v>
      </c>
      <c r="F1191" s="6" t="s">
        <v>26</v>
      </c>
      <c r="G1191" s="6" t="s">
        <v>398</v>
      </c>
      <c r="H1191" s="6" t="s">
        <v>50</v>
      </c>
      <c r="I1191" s="6" t="str">
        <f>VLOOKUP(H1191,'Flow Location'!$A$1:$B$21,2,FALSE)</f>
        <v>Contained On Site, not within 5 ft. of Bayou/Surface Water/Drainage Ditch</v>
      </c>
      <c r="J1191" s="20">
        <v>0.0</v>
      </c>
      <c r="K1191" s="6" t="s">
        <v>45</v>
      </c>
      <c r="L1191" s="6" t="str">
        <f>VLOOKUP(K1191,'Structure type'!$A$1:$B$15,2,FALSE)</f>
        <v>City Cleanout</v>
      </c>
      <c r="M1191" s="6" t="s">
        <v>759</v>
      </c>
      <c r="N1191" s="6" t="str">
        <f>VLOOKUP(M1191,'Excursion Cause'!$A$1:$B$34,2,FALSE)</f>
        <v>Roots</v>
      </c>
      <c r="O1191" s="21">
        <v>44631.0</v>
      </c>
      <c r="P1191" s="6" t="s">
        <v>1353</v>
      </c>
      <c r="Q1191" s="21">
        <v>44631.0</v>
      </c>
      <c r="R1191" s="6" t="s">
        <v>1353</v>
      </c>
      <c r="S1191" s="20">
        <v>0.0</v>
      </c>
      <c r="T1191" s="6" t="s">
        <v>74</v>
      </c>
      <c r="U1191" s="6"/>
      <c r="V1191" s="6"/>
      <c r="W1191" s="6">
        <v>29.6546067</v>
      </c>
      <c r="X1191" s="6">
        <v>-95.2954617</v>
      </c>
    </row>
    <row r="1192" ht="15.75" customHeight="1">
      <c r="A1192" s="6">
        <v>14100.0</v>
      </c>
      <c r="B1192" s="6">
        <v>2022.0</v>
      </c>
      <c r="C1192" s="6" t="str">
        <f t="shared" si="5"/>
        <v>10143 VALLEY WIND DR,Houston,Texas</v>
      </c>
      <c r="D1192" s="6" t="s">
        <v>2068</v>
      </c>
      <c r="E1192" s="6" t="s">
        <v>25</v>
      </c>
      <c r="F1192" s="6" t="s">
        <v>26</v>
      </c>
      <c r="G1192" s="6" t="s">
        <v>387</v>
      </c>
      <c r="H1192" s="6" t="s">
        <v>1724</v>
      </c>
      <c r="I1192" s="6" t="str">
        <f>VLOOKUP(H1192,'Flow Location'!$A$1:$B$21,2,FALSE)</f>
        <v>Storm Sewer (not contained)</v>
      </c>
      <c r="J1192" s="20">
        <v>2346.0</v>
      </c>
      <c r="K1192" s="6" t="s">
        <v>45</v>
      </c>
      <c r="L1192" s="6" t="str">
        <f>VLOOKUP(K1192,'Structure type'!$A$1:$B$15,2,FALSE)</f>
        <v>City Cleanout</v>
      </c>
      <c r="M1192" s="6" t="s">
        <v>2069</v>
      </c>
      <c r="N1192" s="6" t="str">
        <f>VLOOKUP(M1192,'Excursion Cause'!$A$1:$B$34,2,FALSE)</f>
        <v>Grease Blockage</v>
      </c>
      <c r="O1192" s="21">
        <v>44631.0</v>
      </c>
      <c r="P1192" s="6" t="s">
        <v>1994</v>
      </c>
      <c r="Q1192" s="21">
        <v>44632.0</v>
      </c>
      <c r="R1192" s="6" t="s">
        <v>854</v>
      </c>
      <c r="S1192" s="20">
        <v>2.0</v>
      </c>
      <c r="T1192" s="6" t="s">
        <v>2070</v>
      </c>
      <c r="U1192" s="6"/>
      <c r="V1192" s="6"/>
      <c r="W1192" s="6">
        <v>29.8478586</v>
      </c>
      <c r="X1192" s="6">
        <v>-95.2362725</v>
      </c>
    </row>
    <row r="1193" ht="15.75" customHeight="1">
      <c r="A1193" s="6">
        <v>14105.0</v>
      </c>
      <c r="B1193" s="6">
        <v>2022.0</v>
      </c>
      <c r="C1193" s="6" t="str">
        <f t="shared" si="5"/>
        <v>8201 RICHMOND AVE,Houston,Texas</v>
      </c>
      <c r="D1193" s="6" t="s">
        <v>880</v>
      </c>
      <c r="E1193" s="6" t="s">
        <v>25</v>
      </c>
      <c r="F1193" s="6" t="s">
        <v>26</v>
      </c>
      <c r="G1193" s="6" t="s">
        <v>482</v>
      </c>
      <c r="H1193" s="6" t="s">
        <v>1724</v>
      </c>
      <c r="I1193" s="6" t="str">
        <f>VLOOKUP(H1193,'Flow Location'!$A$1:$B$21,2,FALSE)</f>
        <v>Storm Sewer (not contained)</v>
      </c>
      <c r="J1193" s="20">
        <v>300.0</v>
      </c>
      <c r="K1193" s="6" t="s">
        <v>45</v>
      </c>
      <c r="L1193" s="6" t="str">
        <f>VLOOKUP(K1193,'Structure type'!$A$1:$B$15,2,FALSE)</f>
        <v>City Cleanout</v>
      </c>
      <c r="M1193" s="6" t="s">
        <v>2071</v>
      </c>
      <c r="N1193" s="6" t="str">
        <f>VLOOKUP(M1193,'Excursion Cause'!$A$1:$B$34,2,FALSE)</f>
        <v>Grease Blockage</v>
      </c>
      <c r="O1193" s="21">
        <v>44632.0</v>
      </c>
      <c r="P1193" s="6" t="s">
        <v>468</v>
      </c>
      <c r="Q1193" s="21">
        <v>44632.0</v>
      </c>
      <c r="R1193" s="6" t="s">
        <v>149</v>
      </c>
      <c r="S1193" s="20">
        <v>2.0</v>
      </c>
      <c r="T1193" s="6" t="s">
        <v>2072</v>
      </c>
      <c r="U1193" s="6"/>
      <c r="V1193" s="6"/>
      <c r="W1193" s="6">
        <v>29.7282739</v>
      </c>
      <c r="X1193" s="6">
        <v>-95.5128105</v>
      </c>
    </row>
    <row r="1194" ht="15.75" customHeight="1">
      <c r="A1194" s="6">
        <v>14106.0</v>
      </c>
      <c r="B1194" s="6">
        <v>2022.0</v>
      </c>
      <c r="C1194" s="6" t="str">
        <f t="shared" si="5"/>
        <v>825 DAVIDSON ST,Houston,Texas</v>
      </c>
      <c r="D1194" s="6" t="s">
        <v>2073</v>
      </c>
      <c r="E1194" s="6" t="s">
        <v>25</v>
      </c>
      <c r="F1194" s="6" t="s">
        <v>26</v>
      </c>
      <c r="G1194" s="6" t="s">
        <v>222</v>
      </c>
      <c r="H1194" s="6" t="s">
        <v>1977</v>
      </c>
      <c r="I1194" s="6" t="str">
        <f>VLOOKUP(H1194,'Flow Location'!$A$1:$B$21,2,FALSE)</f>
        <v>Bayou/surface water/drainage ditch</v>
      </c>
      <c r="J1194" s="20">
        <v>0.0</v>
      </c>
      <c r="K1194" s="6" t="s">
        <v>29</v>
      </c>
      <c r="L1194" s="6" t="str">
        <f>VLOOKUP(K1194,'Structure type'!$A$1:$B$15,2,FALSE)</f>
        <v>Manhole</v>
      </c>
      <c r="M1194" s="6" t="s">
        <v>30</v>
      </c>
      <c r="N1194" s="6" t="str">
        <f>VLOOKUP(M1194,'Excursion Cause'!$A$1:$B$34,2,FALSE)</f>
        <v>Grease Blockage</v>
      </c>
      <c r="O1194" s="21">
        <v>44632.0</v>
      </c>
      <c r="P1194" s="6" t="s">
        <v>2024</v>
      </c>
      <c r="Q1194" s="21">
        <v>44632.0</v>
      </c>
      <c r="R1194" s="6" t="s">
        <v>2024</v>
      </c>
      <c r="S1194" s="20">
        <v>0.0</v>
      </c>
      <c r="T1194" s="6" t="s">
        <v>33</v>
      </c>
      <c r="U1194" s="6"/>
      <c r="V1194" s="6"/>
      <c r="W1194" s="6">
        <v>29.8479707</v>
      </c>
      <c r="X1194" s="6">
        <v>-95.4196025</v>
      </c>
    </row>
    <row r="1195" ht="15.75" customHeight="1">
      <c r="A1195" s="6">
        <v>14111.0</v>
      </c>
      <c r="B1195" s="6">
        <v>2022.0</v>
      </c>
      <c r="C1195" s="6" t="str">
        <f t="shared" si="5"/>
        <v>7814 CRESTVIEW DR,Houston,Texas</v>
      </c>
      <c r="D1195" s="6" t="s">
        <v>2074</v>
      </c>
      <c r="E1195" s="6" t="s">
        <v>25</v>
      </c>
      <c r="F1195" s="6" t="s">
        <v>26</v>
      </c>
      <c r="G1195" s="6" t="s">
        <v>177</v>
      </c>
      <c r="H1195" s="6" t="s">
        <v>50</v>
      </c>
      <c r="I1195" s="6" t="str">
        <f>VLOOKUP(H1195,'Flow Location'!$A$1:$B$21,2,FALSE)</f>
        <v>Contained On Site, not within 5 ft. of Bayou/Surface Water/Drainage Ditch</v>
      </c>
      <c r="J1195" s="20">
        <v>0.0</v>
      </c>
      <c r="K1195" s="6" t="s">
        <v>51</v>
      </c>
      <c r="L1195" s="6" t="str">
        <f>VLOOKUP(K1195,'Structure type'!$A$1:$B$15,2,FALSE)</f>
        <v>Private Cleanout</v>
      </c>
      <c r="M1195" s="6" t="s">
        <v>30</v>
      </c>
      <c r="N1195" s="6" t="str">
        <f>VLOOKUP(M1195,'Excursion Cause'!$A$1:$B$34,2,FALSE)</f>
        <v>Grease Blockage</v>
      </c>
      <c r="O1195" s="21">
        <v>44633.0</v>
      </c>
      <c r="P1195" s="6" t="s">
        <v>184</v>
      </c>
      <c r="Q1195" s="21">
        <v>44633.0</v>
      </c>
      <c r="R1195" s="6" t="s">
        <v>184</v>
      </c>
      <c r="S1195" s="20">
        <v>0.0</v>
      </c>
      <c r="T1195" s="6" t="s">
        <v>59</v>
      </c>
      <c r="U1195" s="6"/>
      <c r="V1195" s="6"/>
      <c r="W1195" s="6">
        <v>29.8368123</v>
      </c>
      <c r="X1195" s="6">
        <v>-95.2862201</v>
      </c>
    </row>
    <row r="1196" ht="15.75" customHeight="1">
      <c r="A1196" s="6">
        <v>14116.0</v>
      </c>
      <c r="B1196" s="6">
        <v>2022.0</v>
      </c>
      <c r="C1196" s="6" t="str">
        <f t="shared" si="5"/>
        <v>5551 ROYALTON ST,Houston,Texas</v>
      </c>
      <c r="D1196" s="6" t="s">
        <v>611</v>
      </c>
      <c r="E1196" s="6" t="s">
        <v>25</v>
      </c>
      <c r="F1196" s="6" t="s">
        <v>26</v>
      </c>
      <c r="G1196" s="6" t="s">
        <v>287</v>
      </c>
      <c r="H1196" s="6" t="s">
        <v>28</v>
      </c>
      <c r="I1196" s="6" t="str">
        <f>VLOOKUP(H1196,'Flow Location'!$A$1:$B$21,2,FALSE)</f>
        <v>Storm Sewer (not contained)</v>
      </c>
      <c r="J1196" s="20">
        <v>5622.0</v>
      </c>
      <c r="K1196" s="6" t="s">
        <v>29</v>
      </c>
      <c r="L1196" s="6" t="str">
        <f>VLOOKUP(K1196,'Structure type'!$A$1:$B$15,2,FALSE)</f>
        <v>Manhole</v>
      </c>
      <c r="M1196" s="6" t="s">
        <v>2075</v>
      </c>
      <c r="N1196" s="6" t="str">
        <f>VLOOKUP(M1196,'Excursion Cause'!$A$1:$B$34,2,FALSE)</f>
        <v>Collection system structural blockage</v>
      </c>
      <c r="O1196" s="21">
        <v>44634.0</v>
      </c>
      <c r="P1196" s="6" t="s">
        <v>1378</v>
      </c>
      <c r="Q1196" s="21">
        <v>44635.0</v>
      </c>
      <c r="R1196" s="6" t="s">
        <v>1029</v>
      </c>
      <c r="S1196" s="20">
        <v>3.0</v>
      </c>
      <c r="T1196" s="6" t="s">
        <v>1083</v>
      </c>
      <c r="U1196" s="6"/>
      <c r="V1196" s="6"/>
      <c r="W1196" s="6">
        <v>29.7220351</v>
      </c>
      <c r="X1196" s="6">
        <v>-95.4723035</v>
      </c>
    </row>
    <row r="1197" ht="15.75" customHeight="1">
      <c r="A1197" s="6">
        <v>14121.0</v>
      </c>
      <c r="B1197" s="6">
        <v>2022.0</v>
      </c>
      <c r="C1197" s="6" t="str">
        <f t="shared" si="5"/>
        <v>4026 BOLIN RD,Houston,Texas</v>
      </c>
      <c r="D1197" s="6" t="s">
        <v>535</v>
      </c>
      <c r="E1197" s="6" t="s">
        <v>25</v>
      </c>
      <c r="F1197" s="6" t="s">
        <v>26</v>
      </c>
      <c r="G1197" s="6" t="s">
        <v>76</v>
      </c>
      <c r="H1197" s="6" t="s">
        <v>28</v>
      </c>
      <c r="I1197" s="6" t="str">
        <f>VLOOKUP(H1197,'Flow Location'!$A$1:$B$21,2,FALSE)</f>
        <v>Storm Sewer (not contained)</v>
      </c>
      <c r="J1197" s="20">
        <v>875.0</v>
      </c>
      <c r="K1197" s="6" t="s">
        <v>29</v>
      </c>
      <c r="L1197" s="6" t="str">
        <f>VLOOKUP(K1197,'Structure type'!$A$1:$B$15,2,FALSE)</f>
        <v>Manhole</v>
      </c>
      <c r="M1197" s="6" t="s">
        <v>2076</v>
      </c>
      <c r="N1197" s="6" t="str">
        <f>VLOOKUP(M1197,'Excursion Cause'!$A$1:$B$34,2,FALSE)</f>
        <v>Collection system temporary blockage</v>
      </c>
      <c r="O1197" s="21">
        <v>44634.0</v>
      </c>
      <c r="P1197" s="6" t="s">
        <v>368</v>
      </c>
      <c r="Q1197" s="21">
        <v>44634.0</v>
      </c>
      <c r="R1197" s="6" t="s">
        <v>409</v>
      </c>
      <c r="S1197" s="20">
        <v>5.0</v>
      </c>
      <c r="T1197" s="6" t="s">
        <v>118</v>
      </c>
      <c r="U1197" s="6"/>
      <c r="V1197" s="6"/>
      <c r="W1197" s="6">
        <v>29.8269243</v>
      </c>
      <c r="X1197" s="6">
        <v>-95.4811399</v>
      </c>
    </row>
    <row r="1198" ht="15.75" customHeight="1">
      <c r="A1198" s="6">
        <v>14122.0</v>
      </c>
      <c r="B1198" s="6">
        <v>2022.0</v>
      </c>
      <c r="C1198" s="6" t="str">
        <f t="shared" si="5"/>
        <v>9201 MELDRUM LN,Houston,Texas</v>
      </c>
      <c r="D1198" s="6" t="s">
        <v>2077</v>
      </c>
      <c r="E1198" s="6" t="s">
        <v>25</v>
      </c>
      <c r="F1198" s="6" t="s">
        <v>26</v>
      </c>
      <c r="G1198" s="6" t="s">
        <v>95</v>
      </c>
      <c r="H1198" s="6" t="s">
        <v>50</v>
      </c>
      <c r="I1198" s="6" t="str">
        <f>VLOOKUP(H1198,'Flow Location'!$A$1:$B$21,2,FALSE)</f>
        <v>Contained On Site, not within 5 ft. of Bayou/Surface Water/Drainage Ditch</v>
      </c>
      <c r="J1198" s="20">
        <v>0.0</v>
      </c>
      <c r="K1198" s="6" t="s">
        <v>29</v>
      </c>
      <c r="L1198" s="6" t="str">
        <f>VLOOKUP(K1198,'Structure type'!$A$1:$B$15,2,FALSE)</f>
        <v>Manhole</v>
      </c>
      <c r="M1198" s="6" t="s">
        <v>30</v>
      </c>
      <c r="N1198" s="6" t="str">
        <f>VLOOKUP(M1198,'Excursion Cause'!$A$1:$B$34,2,FALSE)</f>
        <v>Grease Blockage</v>
      </c>
      <c r="O1198" s="21">
        <v>44634.0</v>
      </c>
      <c r="P1198" s="6" t="s">
        <v>521</v>
      </c>
      <c r="Q1198" s="21">
        <v>44634.0</v>
      </c>
      <c r="R1198" s="6" t="s">
        <v>521</v>
      </c>
      <c r="S1198" s="20">
        <v>0.0</v>
      </c>
      <c r="T1198" s="6" t="s">
        <v>59</v>
      </c>
      <c r="U1198" s="6"/>
      <c r="V1198" s="6"/>
      <c r="W1198" s="6">
        <v>29.6349225</v>
      </c>
      <c r="X1198" s="6">
        <v>-95.2522641</v>
      </c>
    </row>
    <row r="1199" ht="15.75" customHeight="1">
      <c r="A1199" s="6">
        <v>14126.0</v>
      </c>
      <c r="B1199" s="6">
        <v>2022.0</v>
      </c>
      <c r="C1199" s="6" t="str">
        <f t="shared" si="5"/>
        <v>1615 GANO ST,Houston,Texas</v>
      </c>
      <c r="D1199" s="6" t="s">
        <v>2078</v>
      </c>
      <c r="E1199" s="6" t="s">
        <v>25</v>
      </c>
      <c r="F1199" s="6" t="s">
        <v>26</v>
      </c>
      <c r="G1199" s="6" t="s">
        <v>161</v>
      </c>
      <c r="H1199" s="6" t="s">
        <v>28</v>
      </c>
      <c r="I1199" s="6" t="str">
        <f>VLOOKUP(H1199,'Flow Location'!$A$1:$B$21,2,FALSE)</f>
        <v>Storm Sewer (not contained)</v>
      </c>
      <c r="J1199" s="20">
        <v>0.0</v>
      </c>
      <c r="K1199" s="6" t="s">
        <v>45</v>
      </c>
      <c r="L1199" s="6" t="str">
        <f>VLOOKUP(K1199,'Structure type'!$A$1:$B$15,2,FALSE)</f>
        <v>City Cleanout</v>
      </c>
      <c r="M1199" s="6" t="s">
        <v>2079</v>
      </c>
      <c r="N1199" s="6" t="str">
        <f>VLOOKUP(M1199,'Excursion Cause'!$A$1:$B$34,2,FALSE)</f>
        <v>Collection system structural blockage</v>
      </c>
      <c r="O1199" s="21">
        <v>44634.0</v>
      </c>
      <c r="P1199" s="6" t="s">
        <v>897</v>
      </c>
      <c r="Q1199" s="21">
        <v>44634.0</v>
      </c>
      <c r="R1199" s="6" t="s">
        <v>897</v>
      </c>
      <c r="S1199" s="20">
        <v>0.0</v>
      </c>
      <c r="T1199" s="6" t="s">
        <v>118</v>
      </c>
      <c r="U1199" s="6"/>
      <c r="V1199" s="6"/>
      <c r="W1199" s="6">
        <v>29.7760964</v>
      </c>
      <c r="X1199" s="6">
        <v>-95.3547808</v>
      </c>
    </row>
    <row r="1200" ht="15.75" customHeight="1">
      <c r="A1200" s="6">
        <v>14133.0</v>
      </c>
      <c r="B1200" s="6">
        <v>2022.0</v>
      </c>
      <c r="C1200" s="6" t="str">
        <f t="shared" si="5"/>
        <v>4118 MAJESTIC ST,Houston,Texas</v>
      </c>
      <c r="D1200" s="6" t="s">
        <v>2080</v>
      </c>
      <c r="E1200" s="6" t="s">
        <v>25</v>
      </c>
      <c r="F1200" s="6" t="s">
        <v>26</v>
      </c>
      <c r="G1200" s="6" t="s">
        <v>43</v>
      </c>
      <c r="H1200" s="6" t="s">
        <v>28</v>
      </c>
      <c r="I1200" s="6" t="str">
        <f>VLOOKUP(H1200,'Flow Location'!$A$1:$B$21,2,FALSE)</f>
        <v>Storm Sewer (not contained)</v>
      </c>
      <c r="J1200" s="20">
        <v>0.0</v>
      </c>
      <c r="K1200" s="6" t="s">
        <v>198</v>
      </c>
      <c r="L1200" s="6" t="str">
        <f>VLOOKUP(K1200,'Structure type'!$A$1:$B$15,2,FALSE)</f>
        <v>Service Lateral</v>
      </c>
      <c r="M1200" s="6" t="s">
        <v>2081</v>
      </c>
      <c r="N1200" s="6" t="str">
        <f>VLOOKUP(M1200,'Excursion Cause'!$A$1:$B$34,2,FALSE)</f>
        <v>Collection system structural failure</v>
      </c>
      <c r="O1200" s="21">
        <v>44634.0</v>
      </c>
      <c r="P1200" s="6" t="s">
        <v>302</v>
      </c>
      <c r="Q1200" s="21">
        <v>44634.0</v>
      </c>
      <c r="R1200" s="6" t="s">
        <v>302</v>
      </c>
      <c r="S1200" s="20">
        <v>0.0</v>
      </c>
      <c r="T1200" s="6" t="s">
        <v>118</v>
      </c>
      <c r="U1200" s="6"/>
      <c r="V1200" s="6"/>
      <c r="W1200" s="6">
        <v>29.798497</v>
      </c>
      <c r="X1200" s="6">
        <v>-95.3063094</v>
      </c>
    </row>
    <row r="1201" ht="15.75" customHeight="1">
      <c r="A1201" s="6">
        <v>14134.0</v>
      </c>
      <c r="B1201" s="6">
        <v>2022.0</v>
      </c>
      <c r="C1201" s="6" t="str">
        <f t="shared" si="5"/>
        <v>6801 WARD ST,Houston,Texas</v>
      </c>
      <c r="D1201" s="6" t="s">
        <v>2082</v>
      </c>
      <c r="E1201" s="6" t="s">
        <v>25</v>
      </c>
      <c r="F1201" s="6" t="s">
        <v>26</v>
      </c>
      <c r="G1201" s="6" t="s">
        <v>238</v>
      </c>
      <c r="H1201" s="6" t="s">
        <v>1724</v>
      </c>
      <c r="I1201" s="6" t="str">
        <f>VLOOKUP(H1201,'Flow Location'!$A$1:$B$21,2,FALSE)</f>
        <v>Storm Sewer (not contained)</v>
      </c>
      <c r="J1201" s="20">
        <v>0.0</v>
      </c>
      <c r="K1201" s="6" t="s">
        <v>45</v>
      </c>
      <c r="L1201" s="6" t="str">
        <f>VLOOKUP(K1201,'Structure type'!$A$1:$B$15,2,FALSE)</f>
        <v>City Cleanout</v>
      </c>
      <c r="M1201" s="6" t="s">
        <v>56</v>
      </c>
      <c r="N1201" s="6" t="str">
        <f>VLOOKUP(M1201,'Excursion Cause'!$A$1:$B$34,2,FALSE)</f>
        <v>Rags/Wipes</v>
      </c>
      <c r="O1201" s="21">
        <v>44635.0</v>
      </c>
      <c r="P1201" s="6" t="s">
        <v>2083</v>
      </c>
      <c r="Q1201" s="21">
        <v>44635.0</v>
      </c>
      <c r="R1201" s="6" t="s">
        <v>2083</v>
      </c>
      <c r="S1201" s="20">
        <v>0.0</v>
      </c>
      <c r="T1201" s="6" t="s">
        <v>2084</v>
      </c>
      <c r="U1201" s="6"/>
      <c r="V1201" s="6"/>
      <c r="W1201" s="6">
        <v>29.6867705</v>
      </c>
      <c r="X1201" s="6">
        <v>-95.3452882</v>
      </c>
    </row>
    <row r="1202" ht="15.75" customHeight="1">
      <c r="A1202" s="6">
        <v>14136.0</v>
      </c>
      <c r="B1202" s="6">
        <v>2022.0</v>
      </c>
      <c r="C1202" s="6" t="str">
        <f t="shared" si="5"/>
        <v>9499 SCOTT ST,Houston,Texas</v>
      </c>
      <c r="D1202" s="6" t="s">
        <v>2085</v>
      </c>
      <c r="E1202" s="6" t="s">
        <v>25</v>
      </c>
      <c r="F1202" s="6" t="s">
        <v>26</v>
      </c>
      <c r="G1202" s="6" t="s">
        <v>105</v>
      </c>
      <c r="H1202" s="6" t="s">
        <v>1724</v>
      </c>
      <c r="I1202" s="6" t="str">
        <f>VLOOKUP(H1202,'Flow Location'!$A$1:$B$21,2,FALSE)</f>
        <v>Storm Sewer (not contained)</v>
      </c>
      <c r="J1202" s="20">
        <v>190.0</v>
      </c>
      <c r="K1202" s="6" t="s">
        <v>29</v>
      </c>
      <c r="L1202" s="6" t="str">
        <f>VLOOKUP(K1202,'Structure type'!$A$1:$B$15,2,FALSE)</f>
        <v>Manhole</v>
      </c>
      <c r="M1202" s="6" t="s">
        <v>2086</v>
      </c>
      <c r="N1202" s="6" t="str">
        <f>VLOOKUP(M1202,'Excursion Cause'!$A$1:$B$34,2,FALSE)</f>
        <v>Grease Blockage</v>
      </c>
      <c r="O1202" s="21">
        <v>44635.0</v>
      </c>
      <c r="P1202" s="6" t="s">
        <v>2087</v>
      </c>
      <c r="Q1202" s="21">
        <v>44635.0</v>
      </c>
      <c r="R1202" s="6" t="s">
        <v>374</v>
      </c>
      <c r="S1202" s="20">
        <v>1.0</v>
      </c>
      <c r="T1202" s="6" t="s">
        <v>2088</v>
      </c>
      <c r="U1202" s="6"/>
      <c r="V1202" s="6"/>
      <c r="W1202" s="6">
        <v>29.6535566</v>
      </c>
      <c r="X1202" s="6">
        <v>-95.3681626</v>
      </c>
    </row>
    <row r="1203" ht="15.75" customHeight="1">
      <c r="A1203" s="6">
        <v>14141.0</v>
      </c>
      <c r="B1203" s="6">
        <v>2022.0</v>
      </c>
      <c r="C1203" s="6" t="str">
        <f t="shared" si="5"/>
        <v>12811 PANAY DR,Houston,Texas</v>
      </c>
      <c r="D1203" s="6" t="s">
        <v>2089</v>
      </c>
      <c r="E1203" s="6" t="s">
        <v>25</v>
      </c>
      <c r="F1203" s="6" t="s">
        <v>26</v>
      </c>
      <c r="G1203" s="6" t="s">
        <v>301</v>
      </c>
      <c r="H1203" s="6" t="s">
        <v>28</v>
      </c>
      <c r="I1203" s="6" t="str">
        <f>VLOOKUP(H1203,'Flow Location'!$A$1:$B$21,2,FALSE)</f>
        <v>Storm Sewer (not contained)</v>
      </c>
      <c r="J1203" s="20">
        <v>9957.0</v>
      </c>
      <c r="K1203" s="6" t="s">
        <v>51</v>
      </c>
      <c r="L1203" s="6" t="str">
        <f>VLOOKUP(K1203,'Structure type'!$A$1:$B$15,2,FALSE)</f>
        <v>Private Cleanout</v>
      </c>
      <c r="M1203" s="6" t="s">
        <v>2090</v>
      </c>
      <c r="N1203" s="6" t="str">
        <f>VLOOKUP(M1203,'Excursion Cause'!$A$1:$B$34,2,FALSE)</f>
        <v>Collection system structural failure</v>
      </c>
      <c r="O1203" s="21">
        <v>44635.0</v>
      </c>
      <c r="P1203" s="6" t="s">
        <v>1198</v>
      </c>
      <c r="Q1203" s="21">
        <v>44637.0</v>
      </c>
      <c r="R1203" s="6" t="s">
        <v>1016</v>
      </c>
      <c r="S1203" s="20">
        <v>3.0</v>
      </c>
      <c r="T1203" s="6" t="s">
        <v>474</v>
      </c>
      <c r="U1203" s="6"/>
      <c r="V1203" s="6"/>
      <c r="W1203" s="6">
        <v>29.6237354</v>
      </c>
      <c r="X1203" s="6">
        <v>-95.3471628</v>
      </c>
    </row>
    <row r="1204" ht="15.75" customHeight="1">
      <c r="A1204" s="6">
        <v>14149.0</v>
      </c>
      <c r="B1204" s="6">
        <v>2022.0</v>
      </c>
      <c r="C1204" s="6" t="str">
        <f t="shared" si="5"/>
        <v>3031 SUMPTER ST,Houston,Texas</v>
      </c>
      <c r="D1204" s="6" t="s">
        <v>682</v>
      </c>
      <c r="E1204" s="6" t="s">
        <v>25</v>
      </c>
      <c r="F1204" s="6" t="s">
        <v>26</v>
      </c>
      <c r="G1204" s="6" t="s">
        <v>43</v>
      </c>
      <c r="H1204" s="6" t="s">
        <v>50</v>
      </c>
      <c r="I1204" s="6" t="str">
        <f>VLOOKUP(H1204,'Flow Location'!$A$1:$B$21,2,FALSE)</f>
        <v>Contained On Site, not within 5 ft. of Bayou/Surface Water/Drainage Ditch</v>
      </c>
      <c r="J1204" s="20">
        <v>0.0</v>
      </c>
      <c r="K1204" s="6" t="s">
        <v>29</v>
      </c>
      <c r="L1204" s="6" t="str">
        <f>VLOOKUP(K1204,'Structure type'!$A$1:$B$15,2,FALSE)</f>
        <v>Manhole</v>
      </c>
      <c r="M1204" s="6" t="s">
        <v>56</v>
      </c>
      <c r="N1204" s="6" t="str">
        <f>VLOOKUP(M1204,'Excursion Cause'!$A$1:$B$34,2,FALSE)</f>
        <v>Rags/Wipes</v>
      </c>
      <c r="O1204" s="21">
        <v>44635.0</v>
      </c>
      <c r="P1204" s="6" t="s">
        <v>1363</v>
      </c>
      <c r="Q1204" s="21">
        <v>44635.0</v>
      </c>
      <c r="R1204" s="6" t="s">
        <v>1363</v>
      </c>
      <c r="S1204" s="20">
        <v>0.0</v>
      </c>
      <c r="T1204" s="6" t="s">
        <v>33</v>
      </c>
      <c r="U1204" s="6"/>
      <c r="V1204" s="6"/>
      <c r="W1204" s="6">
        <v>29.7798429</v>
      </c>
      <c r="X1204" s="6">
        <v>-95.3387753</v>
      </c>
    </row>
    <row r="1205" ht="15.75" customHeight="1">
      <c r="A1205" s="6">
        <v>14152.0</v>
      </c>
      <c r="B1205" s="6">
        <v>2022.0</v>
      </c>
      <c r="C1205" s="6" t="str">
        <f t="shared" si="5"/>
        <v>9700 COURT GLEN DR,Houston,Texas</v>
      </c>
      <c r="D1205" s="6" t="s">
        <v>2091</v>
      </c>
      <c r="E1205" s="6" t="s">
        <v>25</v>
      </c>
      <c r="F1205" s="6" t="s">
        <v>26</v>
      </c>
      <c r="G1205" s="6" t="s">
        <v>154</v>
      </c>
      <c r="H1205" s="6" t="s">
        <v>50</v>
      </c>
      <c r="I1205" s="6" t="str">
        <f>VLOOKUP(H1205,'Flow Location'!$A$1:$B$21,2,FALSE)</f>
        <v>Contained On Site, not within 5 ft. of Bayou/Surface Water/Drainage Ditch</v>
      </c>
      <c r="J1205" s="20">
        <v>1547.0</v>
      </c>
      <c r="K1205" s="6" t="s">
        <v>29</v>
      </c>
      <c r="L1205" s="6" t="str">
        <f>VLOOKUP(K1205,'Structure type'!$A$1:$B$15,2,FALSE)</f>
        <v>Manhole</v>
      </c>
      <c r="M1205" s="6" t="s">
        <v>30</v>
      </c>
      <c r="N1205" s="6" t="str">
        <f>VLOOKUP(M1205,'Excursion Cause'!$A$1:$B$34,2,FALSE)</f>
        <v>Grease Blockage</v>
      </c>
      <c r="O1205" s="21">
        <v>44635.0</v>
      </c>
      <c r="P1205" s="6" t="s">
        <v>40</v>
      </c>
      <c r="Q1205" s="21">
        <v>44636.0</v>
      </c>
      <c r="R1205" s="6" t="s">
        <v>627</v>
      </c>
      <c r="S1205" s="20">
        <v>1.0</v>
      </c>
      <c r="T1205" s="6" t="s">
        <v>33</v>
      </c>
      <c r="U1205" s="6"/>
      <c r="V1205" s="6"/>
      <c r="W1205" s="6">
        <v>29.6719497</v>
      </c>
      <c r="X1205" s="6">
        <v>-95.5840319</v>
      </c>
    </row>
    <row r="1206" ht="15.75" customHeight="1">
      <c r="A1206" s="6">
        <v>14155.0</v>
      </c>
      <c r="B1206" s="6">
        <v>2022.0</v>
      </c>
      <c r="C1206" s="6" t="str">
        <f t="shared" si="5"/>
        <v>10904 FUQUA ST,Houston,Texas</v>
      </c>
      <c r="D1206" s="6" t="s">
        <v>2092</v>
      </c>
      <c r="E1206" s="6" t="s">
        <v>25</v>
      </c>
      <c r="F1206" s="6" t="s">
        <v>26</v>
      </c>
      <c r="G1206" s="6" t="s">
        <v>477</v>
      </c>
      <c r="H1206" s="6" t="s">
        <v>1724</v>
      </c>
      <c r="I1206" s="6" t="str">
        <f>VLOOKUP(H1206,'Flow Location'!$A$1:$B$21,2,FALSE)</f>
        <v>Storm Sewer (not contained)</v>
      </c>
      <c r="J1206" s="20">
        <v>5036.0</v>
      </c>
      <c r="K1206" s="6" t="s">
        <v>29</v>
      </c>
      <c r="L1206" s="6" t="str">
        <f>VLOOKUP(K1206,'Structure type'!$A$1:$B$15,2,FALSE)</f>
        <v>Manhole</v>
      </c>
      <c r="M1206" s="6" t="s">
        <v>2093</v>
      </c>
      <c r="N1206" s="6" t="str">
        <f>VLOOKUP(M1206,'Excursion Cause'!$A$1:$B$34,2,FALSE)</f>
        <v>Grease Blockage</v>
      </c>
      <c r="O1206" s="21">
        <v>44635.0</v>
      </c>
      <c r="P1206" s="6" t="s">
        <v>2094</v>
      </c>
      <c r="Q1206" s="21">
        <v>44636.0</v>
      </c>
      <c r="R1206" s="6" t="s">
        <v>662</v>
      </c>
      <c r="S1206" s="20">
        <v>4.0</v>
      </c>
      <c r="T1206" s="6" t="s">
        <v>2095</v>
      </c>
      <c r="U1206" s="6"/>
      <c r="V1206" s="6"/>
      <c r="W1206" s="6">
        <v>29.6111334</v>
      </c>
      <c r="X1206" s="6">
        <v>-95.2246081</v>
      </c>
    </row>
    <row r="1207" ht="15.75" customHeight="1">
      <c r="A1207" s="6">
        <v>14161.0</v>
      </c>
      <c r="B1207" s="6">
        <v>2022.0</v>
      </c>
      <c r="C1207" s="6" t="str">
        <f t="shared" si="5"/>
        <v>10125 EMNORA LN,Houston,Texas</v>
      </c>
      <c r="D1207" s="6" t="s">
        <v>2096</v>
      </c>
      <c r="E1207" s="6" t="s">
        <v>25</v>
      </c>
      <c r="F1207" s="6" t="s">
        <v>26</v>
      </c>
      <c r="G1207" s="6" t="s">
        <v>294</v>
      </c>
      <c r="H1207" s="6" t="s">
        <v>50</v>
      </c>
      <c r="I1207" s="6" t="str">
        <f>VLOOKUP(H1207,'Flow Location'!$A$1:$B$21,2,FALSE)</f>
        <v>Contained On Site, not within 5 ft. of Bayou/Surface Water/Drainage Ditch</v>
      </c>
      <c r="J1207" s="20">
        <v>2326.0</v>
      </c>
      <c r="K1207" s="6" t="s">
        <v>45</v>
      </c>
      <c r="L1207" s="6" t="str">
        <f>VLOOKUP(K1207,'Structure type'!$A$1:$B$15,2,FALSE)</f>
        <v>City Cleanout</v>
      </c>
      <c r="M1207" s="6" t="s">
        <v>56</v>
      </c>
      <c r="N1207" s="6" t="str">
        <f>VLOOKUP(M1207,'Excursion Cause'!$A$1:$B$34,2,FALSE)</f>
        <v>Rags/Wipes</v>
      </c>
      <c r="O1207" s="21">
        <v>44635.0</v>
      </c>
      <c r="P1207" s="6" t="s">
        <v>2097</v>
      </c>
      <c r="Q1207" s="21">
        <v>44636.0</v>
      </c>
      <c r="R1207" s="6" t="s">
        <v>219</v>
      </c>
      <c r="S1207" s="20">
        <v>2.0</v>
      </c>
      <c r="T1207" s="6" t="s">
        <v>270</v>
      </c>
      <c r="U1207" s="6"/>
      <c r="V1207" s="6"/>
      <c r="W1207" s="6">
        <v>29.8149991</v>
      </c>
      <c r="X1207" s="6">
        <v>-95.5434643</v>
      </c>
    </row>
    <row r="1208" ht="15.75" customHeight="1">
      <c r="A1208" s="6">
        <v>14166.0</v>
      </c>
      <c r="B1208" s="6">
        <v>2022.0</v>
      </c>
      <c r="C1208" s="6" t="str">
        <f t="shared" si="5"/>
        <v>218 MEDINA ST,Houston,Texas</v>
      </c>
      <c r="D1208" s="6" t="s">
        <v>2098</v>
      </c>
      <c r="E1208" s="6" t="s">
        <v>25</v>
      </c>
      <c r="F1208" s="6" t="s">
        <v>26</v>
      </c>
      <c r="G1208" s="6" t="s">
        <v>365</v>
      </c>
      <c r="H1208" s="6" t="s">
        <v>50</v>
      </c>
      <c r="I1208" s="6" t="str">
        <f>VLOOKUP(H1208,'Flow Location'!$A$1:$B$21,2,FALSE)</f>
        <v>Contained On Site, not within 5 ft. of Bayou/Surface Water/Drainage Ditch</v>
      </c>
      <c r="J1208" s="20">
        <v>0.0</v>
      </c>
      <c r="K1208" s="6" t="s">
        <v>51</v>
      </c>
      <c r="L1208" s="6" t="str">
        <f>VLOOKUP(K1208,'Structure type'!$A$1:$B$15,2,FALSE)</f>
        <v>Private Cleanout</v>
      </c>
      <c r="M1208" s="6" t="s">
        <v>30</v>
      </c>
      <c r="N1208" s="6" t="str">
        <f>VLOOKUP(M1208,'Excursion Cause'!$A$1:$B$34,2,FALSE)</f>
        <v>Grease Blockage</v>
      </c>
      <c r="O1208" s="21">
        <v>44636.0</v>
      </c>
      <c r="P1208" s="6" t="s">
        <v>116</v>
      </c>
      <c r="Q1208" s="21">
        <v>44636.0</v>
      </c>
      <c r="R1208" s="6" t="s">
        <v>116</v>
      </c>
      <c r="S1208" s="20">
        <v>0.0</v>
      </c>
      <c r="T1208" s="6" t="s">
        <v>2099</v>
      </c>
      <c r="U1208" s="6"/>
      <c r="V1208" s="6"/>
      <c r="W1208" s="6">
        <v>29.7252178</v>
      </c>
      <c r="X1208" s="6">
        <v>-95.2800898</v>
      </c>
    </row>
    <row r="1209" ht="15.75" customHeight="1">
      <c r="A1209" s="6">
        <v>14169.0</v>
      </c>
      <c r="B1209" s="6">
        <v>2022.0</v>
      </c>
      <c r="C1209" s="6" t="str">
        <f t="shared" si="5"/>
        <v>7007 CRESTMONT ST,Houston,Texas</v>
      </c>
      <c r="D1209" s="6" t="s">
        <v>2100</v>
      </c>
      <c r="E1209" s="6" t="s">
        <v>25</v>
      </c>
      <c r="F1209" s="6" t="s">
        <v>26</v>
      </c>
      <c r="G1209" s="6" t="s">
        <v>120</v>
      </c>
      <c r="H1209" s="6" t="s">
        <v>50</v>
      </c>
      <c r="I1209" s="6" t="str">
        <f>VLOOKUP(H1209,'Flow Location'!$A$1:$B$21,2,FALSE)</f>
        <v>Contained On Site, not within 5 ft. of Bayou/Surface Water/Drainage Ditch</v>
      </c>
      <c r="J1209" s="20">
        <v>0.0</v>
      </c>
      <c r="K1209" s="6" t="s">
        <v>29</v>
      </c>
      <c r="L1209" s="6" t="str">
        <f>VLOOKUP(K1209,'Structure type'!$A$1:$B$15,2,FALSE)</f>
        <v>Manhole</v>
      </c>
      <c r="M1209" s="6" t="s">
        <v>30</v>
      </c>
      <c r="N1209" s="6" t="str">
        <f>VLOOKUP(M1209,'Excursion Cause'!$A$1:$B$34,2,FALSE)</f>
        <v>Grease Blockage</v>
      </c>
      <c r="O1209" s="21">
        <v>44636.0</v>
      </c>
      <c r="P1209" s="6" t="s">
        <v>191</v>
      </c>
      <c r="Q1209" s="21">
        <v>44636.0</v>
      </c>
      <c r="R1209" s="6" t="s">
        <v>191</v>
      </c>
      <c r="S1209" s="20">
        <v>0.0</v>
      </c>
      <c r="T1209" s="6" t="s">
        <v>33</v>
      </c>
      <c r="U1209" s="6"/>
      <c r="V1209" s="6"/>
      <c r="W1209" s="6">
        <v>29.676358</v>
      </c>
      <c r="X1209" s="6">
        <v>-95.3284926</v>
      </c>
    </row>
    <row r="1210" ht="15.75" customHeight="1">
      <c r="A1210" s="6">
        <v>14173.0</v>
      </c>
      <c r="B1210" s="6">
        <v>2022.0</v>
      </c>
      <c r="C1210" s="6" t="str">
        <f t="shared" si="5"/>
        <v>811 W COTTAGE ST,Houston,Texas</v>
      </c>
      <c r="D1210" s="6" t="s">
        <v>2101</v>
      </c>
      <c r="E1210" s="6" t="s">
        <v>25</v>
      </c>
      <c r="F1210" s="6" t="s">
        <v>26</v>
      </c>
      <c r="G1210" s="6" t="s">
        <v>161</v>
      </c>
      <c r="H1210" s="6" t="s">
        <v>50</v>
      </c>
      <c r="I1210" s="6" t="str">
        <f>VLOOKUP(H1210,'Flow Location'!$A$1:$B$21,2,FALSE)</f>
        <v>Contained On Site, not within 5 ft. of Bayou/Surface Water/Drainage Ditch</v>
      </c>
      <c r="J1210" s="20">
        <v>0.0</v>
      </c>
      <c r="K1210" s="6" t="s">
        <v>45</v>
      </c>
      <c r="L1210" s="6" t="str">
        <f>VLOOKUP(K1210,'Structure type'!$A$1:$B$15,2,FALSE)</f>
        <v>City Cleanout</v>
      </c>
      <c r="M1210" s="6" t="s">
        <v>56</v>
      </c>
      <c r="N1210" s="6" t="str">
        <f>VLOOKUP(M1210,'Excursion Cause'!$A$1:$B$34,2,FALSE)</f>
        <v>Rags/Wipes</v>
      </c>
      <c r="O1210" s="21">
        <v>44636.0</v>
      </c>
      <c r="P1210" s="6" t="s">
        <v>2102</v>
      </c>
      <c r="Q1210" s="21">
        <v>44636.0</v>
      </c>
      <c r="R1210" s="6" t="s">
        <v>2102</v>
      </c>
      <c r="S1210" s="20">
        <v>0.0</v>
      </c>
      <c r="T1210" s="6" t="s">
        <v>170</v>
      </c>
      <c r="U1210" s="6"/>
      <c r="V1210" s="6"/>
      <c r="W1210" s="6">
        <v>29.7923984</v>
      </c>
      <c r="X1210" s="6">
        <v>-95.3815377</v>
      </c>
    </row>
    <row r="1211" ht="15.75" customHeight="1">
      <c r="A1211" s="6">
        <v>14174.0</v>
      </c>
      <c r="B1211" s="6">
        <v>2022.0</v>
      </c>
      <c r="C1211" s="6" t="str">
        <f t="shared" si="5"/>
        <v>7318 TEXAS ST,Houston,Texas</v>
      </c>
      <c r="D1211" s="6" t="s">
        <v>2103</v>
      </c>
      <c r="E1211" s="6" t="s">
        <v>25</v>
      </c>
      <c r="F1211" s="6" t="s">
        <v>26</v>
      </c>
      <c r="G1211" s="6" t="s">
        <v>227</v>
      </c>
      <c r="H1211" s="6" t="s">
        <v>50</v>
      </c>
      <c r="I1211" s="6" t="str">
        <f>VLOOKUP(H1211,'Flow Location'!$A$1:$B$21,2,FALSE)</f>
        <v>Contained On Site, not within 5 ft. of Bayou/Surface Water/Drainage Ditch</v>
      </c>
      <c r="J1211" s="20">
        <v>0.0</v>
      </c>
      <c r="K1211" s="6" t="s">
        <v>198</v>
      </c>
      <c r="L1211" s="6" t="str">
        <f>VLOOKUP(K1211,'Structure type'!$A$1:$B$15,2,FALSE)</f>
        <v>Service Lateral</v>
      </c>
      <c r="M1211" s="6" t="s">
        <v>81</v>
      </c>
      <c r="N1211" s="6" t="str">
        <f>VLOOKUP(M1211,'Excursion Cause'!$A$1:$B$34,2,FALSE)</f>
        <v>Collection system structural failure</v>
      </c>
      <c r="O1211" s="21">
        <v>44636.0</v>
      </c>
      <c r="P1211" s="6" t="s">
        <v>145</v>
      </c>
      <c r="Q1211" s="21">
        <v>44636.0</v>
      </c>
      <c r="R1211" s="6" t="s">
        <v>145</v>
      </c>
      <c r="S1211" s="20">
        <v>0.0</v>
      </c>
      <c r="T1211" s="6" t="s">
        <v>118</v>
      </c>
      <c r="U1211" s="6"/>
      <c r="V1211" s="6"/>
      <c r="W1211" s="6">
        <v>29.7326878</v>
      </c>
      <c r="X1211" s="6">
        <v>-95.2954669</v>
      </c>
    </row>
    <row r="1212" ht="15.75" customHeight="1">
      <c r="A1212" s="6">
        <v>14177.0</v>
      </c>
      <c r="B1212" s="6">
        <v>2022.0</v>
      </c>
      <c r="C1212" s="6" t="str">
        <f t="shared" si="5"/>
        <v>221 E LITTLE YORK RD,Houston,Texas</v>
      </c>
      <c r="D1212" s="6" t="s">
        <v>2104</v>
      </c>
      <c r="E1212" s="6" t="s">
        <v>25</v>
      </c>
      <c r="F1212" s="6" t="s">
        <v>26</v>
      </c>
      <c r="G1212" s="6" t="s">
        <v>570</v>
      </c>
      <c r="H1212" s="6" t="s">
        <v>50</v>
      </c>
      <c r="I1212" s="6" t="str">
        <f>VLOOKUP(H1212,'Flow Location'!$A$1:$B$21,2,FALSE)</f>
        <v>Contained On Site, not within 5 ft. of Bayou/Surface Water/Drainage Ditch</v>
      </c>
      <c r="J1212" s="20">
        <v>0.0</v>
      </c>
      <c r="K1212" s="6" t="s">
        <v>198</v>
      </c>
      <c r="L1212" s="6" t="str">
        <f>VLOOKUP(K1212,'Structure type'!$A$1:$B$15,2,FALSE)</f>
        <v>Service Lateral</v>
      </c>
      <c r="M1212" s="6" t="s">
        <v>81</v>
      </c>
      <c r="N1212" s="6" t="str">
        <f>VLOOKUP(M1212,'Excursion Cause'!$A$1:$B$34,2,FALSE)</f>
        <v>Collection system structural failure</v>
      </c>
      <c r="O1212" s="21">
        <v>44636.0</v>
      </c>
      <c r="P1212" s="6" t="s">
        <v>239</v>
      </c>
      <c r="Q1212" s="21">
        <v>44636.0</v>
      </c>
      <c r="R1212" s="6" t="s">
        <v>239</v>
      </c>
      <c r="S1212" s="20">
        <v>0.0</v>
      </c>
      <c r="T1212" s="6" t="s">
        <v>170</v>
      </c>
      <c r="U1212" s="6"/>
      <c r="V1212" s="6"/>
      <c r="W1212" s="6">
        <v>29.8701911</v>
      </c>
      <c r="X1212" s="6">
        <v>-95.3966956</v>
      </c>
    </row>
    <row r="1213" ht="15.75" customHeight="1">
      <c r="A1213" s="6">
        <v>14178.0</v>
      </c>
      <c r="B1213" s="6">
        <v>2022.0</v>
      </c>
      <c r="C1213" s="6" t="str">
        <f t="shared" si="5"/>
        <v>308 MEDINA ST,Houston,Texas</v>
      </c>
      <c r="D1213" s="6" t="s">
        <v>2105</v>
      </c>
      <c r="E1213" s="6" t="s">
        <v>25</v>
      </c>
      <c r="F1213" s="6" t="s">
        <v>26</v>
      </c>
      <c r="G1213" s="6" t="s">
        <v>365</v>
      </c>
      <c r="H1213" s="6" t="s">
        <v>1724</v>
      </c>
      <c r="I1213" s="6" t="str">
        <f>VLOOKUP(H1213,'Flow Location'!$A$1:$B$21,2,FALSE)</f>
        <v>Storm Sewer (not contained)</v>
      </c>
      <c r="J1213" s="20">
        <v>0.0</v>
      </c>
      <c r="K1213" s="6" t="s">
        <v>290</v>
      </c>
      <c r="L1213" s="6" t="str">
        <f>VLOOKUP(K1213,'Structure type'!$A$1:$B$15,2,FALSE)</f>
        <v>Gravity Main</v>
      </c>
      <c r="M1213" s="6" t="s">
        <v>2106</v>
      </c>
      <c r="N1213" s="6" t="str">
        <f>VLOOKUP(M1213,'Excursion Cause'!$A$1:$B$34,2,FALSE)</f>
        <v>Grease Blockage</v>
      </c>
      <c r="O1213" s="21">
        <v>44636.0</v>
      </c>
      <c r="P1213" s="6" t="s">
        <v>625</v>
      </c>
      <c r="Q1213" s="21">
        <v>44636.0</v>
      </c>
      <c r="R1213" s="6" t="s">
        <v>625</v>
      </c>
      <c r="S1213" s="20">
        <v>0.0</v>
      </c>
      <c r="T1213" s="6" t="s">
        <v>2107</v>
      </c>
      <c r="U1213" s="6"/>
      <c r="V1213" s="6"/>
      <c r="W1213" s="6">
        <v>29.7245386</v>
      </c>
      <c r="X1213" s="6">
        <v>-95.2801106</v>
      </c>
    </row>
    <row r="1214" ht="15.75" customHeight="1">
      <c r="A1214" s="6">
        <v>14182.0</v>
      </c>
      <c r="B1214" s="6">
        <v>2022.0</v>
      </c>
      <c r="C1214" s="6" t="str">
        <f t="shared" si="5"/>
        <v>1541 LAWSON ST,Houston,Texas</v>
      </c>
      <c r="D1214" s="6" t="s">
        <v>2108</v>
      </c>
      <c r="E1214" s="6" t="s">
        <v>25</v>
      </c>
      <c r="F1214" s="6" t="s">
        <v>26</v>
      </c>
      <c r="G1214" s="6" t="s">
        <v>141</v>
      </c>
      <c r="H1214" s="6" t="s">
        <v>50</v>
      </c>
      <c r="I1214" s="6" t="str">
        <f>VLOOKUP(H1214,'Flow Location'!$A$1:$B$21,2,FALSE)</f>
        <v>Contained On Site, not within 5 ft. of Bayou/Surface Water/Drainage Ditch</v>
      </c>
      <c r="J1214" s="20">
        <v>0.0</v>
      </c>
      <c r="K1214" s="6" t="s">
        <v>290</v>
      </c>
      <c r="L1214" s="6" t="str">
        <f>VLOOKUP(K1214,'Structure type'!$A$1:$B$15,2,FALSE)</f>
        <v>Gravity Main</v>
      </c>
      <c r="M1214" s="6" t="s">
        <v>52</v>
      </c>
      <c r="N1214" s="6" t="str">
        <f>VLOOKUP(M1214,'Excursion Cause'!$A$1:$B$34,2,FALSE)</f>
        <v>Collection system structural blockage</v>
      </c>
      <c r="O1214" s="21">
        <v>44636.0</v>
      </c>
      <c r="P1214" s="6" t="s">
        <v>215</v>
      </c>
      <c r="Q1214" s="21">
        <v>44636.0</v>
      </c>
      <c r="R1214" s="6" t="s">
        <v>215</v>
      </c>
      <c r="S1214" s="20">
        <v>0.0</v>
      </c>
      <c r="T1214" s="6" t="s">
        <v>1083</v>
      </c>
      <c r="U1214" s="6"/>
      <c r="V1214" s="6"/>
      <c r="W1214" s="6">
        <v>29.727175</v>
      </c>
      <c r="X1214" s="6">
        <v>-95.3268596</v>
      </c>
    </row>
    <row r="1215" ht="15.75" customHeight="1">
      <c r="A1215" s="6">
        <v>14186.0</v>
      </c>
      <c r="B1215" s="6">
        <v>2022.0</v>
      </c>
      <c r="C1215" s="6" t="str">
        <f t="shared" si="5"/>
        <v>8511 WIER DR,Houston,Texas</v>
      </c>
      <c r="D1215" s="6" t="s">
        <v>2109</v>
      </c>
      <c r="E1215" s="6" t="s">
        <v>25</v>
      </c>
      <c r="F1215" s="6" t="s">
        <v>26</v>
      </c>
      <c r="G1215" s="6" t="s">
        <v>135</v>
      </c>
      <c r="H1215" s="6" t="s">
        <v>50</v>
      </c>
      <c r="I1215" s="6" t="str">
        <f>VLOOKUP(H1215,'Flow Location'!$A$1:$B$21,2,FALSE)</f>
        <v>Contained On Site, not within 5 ft. of Bayou/Surface Water/Drainage Ditch</v>
      </c>
      <c r="J1215" s="20">
        <v>40.0</v>
      </c>
      <c r="K1215" s="6" t="s">
        <v>29</v>
      </c>
      <c r="L1215" s="6" t="str">
        <f>VLOOKUP(K1215,'Structure type'!$A$1:$B$15,2,FALSE)</f>
        <v>Manhole</v>
      </c>
      <c r="M1215" s="6" t="s">
        <v>30</v>
      </c>
      <c r="N1215" s="6" t="str">
        <f>VLOOKUP(M1215,'Excursion Cause'!$A$1:$B$34,2,FALSE)</f>
        <v>Grease Blockage</v>
      </c>
      <c r="O1215" s="21">
        <v>44637.0</v>
      </c>
      <c r="P1215" s="6" t="s">
        <v>149</v>
      </c>
      <c r="Q1215" s="21">
        <v>44637.0</v>
      </c>
      <c r="R1215" s="6" t="s">
        <v>549</v>
      </c>
      <c r="S1215" s="20">
        <v>1.0</v>
      </c>
      <c r="T1215" s="6" t="s">
        <v>33</v>
      </c>
      <c r="U1215" s="6"/>
      <c r="V1215" s="6"/>
      <c r="W1215" s="6">
        <v>29.6856333</v>
      </c>
      <c r="X1215" s="6">
        <v>-95.2566532</v>
      </c>
    </row>
    <row r="1216" ht="15.75" customHeight="1">
      <c r="A1216" s="6">
        <v>14187.0</v>
      </c>
      <c r="B1216" s="6">
        <v>2022.0</v>
      </c>
      <c r="C1216" s="6" t="str">
        <f t="shared" si="5"/>
        <v>7714 AVENUE L,Houston,Texas</v>
      </c>
      <c r="D1216" s="6" t="s">
        <v>2110</v>
      </c>
      <c r="E1216" s="6" t="s">
        <v>25</v>
      </c>
      <c r="F1216" s="6" t="s">
        <v>26</v>
      </c>
      <c r="G1216" s="6" t="s">
        <v>365</v>
      </c>
      <c r="H1216" s="6" t="s">
        <v>50</v>
      </c>
      <c r="I1216" s="6" t="str">
        <f>VLOOKUP(H1216,'Flow Location'!$A$1:$B$21,2,FALSE)</f>
        <v>Contained On Site, not within 5 ft. of Bayou/Surface Water/Drainage Ditch</v>
      </c>
      <c r="J1216" s="20">
        <v>0.0</v>
      </c>
      <c r="K1216" s="6" t="s">
        <v>45</v>
      </c>
      <c r="L1216" s="6" t="str">
        <f>VLOOKUP(K1216,'Structure type'!$A$1:$B$15,2,FALSE)</f>
        <v>City Cleanout</v>
      </c>
      <c r="M1216" s="6" t="s">
        <v>30</v>
      </c>
      <c r="N1216" s="6" t="str">
        <f>VLOOKUP(M1216,'Excursion Cause'!$A$1:$B$34,2,FALSE)</f>
        <v>Grease Blockage</v>
      </c>
      <c r="O1216" s="21">
        <v>44637.0</v>
      </c>
      <c r="P1216" s="6" t="s">
        <v>953</v>
      </c>
      <c r="Q1216" s="21">
        <v>44637.0</v>
      </c>
      <c r="R1216" s="6" t="s">
        <v>953</v>
      </c>
      <c r="S1216" s="20">
        <v>0.0</v>
      </c>
      <c r="T1216" s="6" t="s">
        <v>270</v>
      </c>
      <c r="U1216" s="6"/>
      <c r="V1216" s="6"/>
      <c r="W1216" s="6">
        <v>29.738459</v>
      </c>
      <c r="X1216" s="6">
        <v>-95.2846266</v>
      </c>
    </row>
    <row r="1217" ht="15.75" customHeight="1">
      <c r="A1217" s="6">
        <v>14192.0</v>
      </c>
      <c r="B1217" s="6">
        <v>2022.0</v>
      </c>
      <c r="C1217" s="6" t="str">
        <f t="shared" si="5"/>
        <v>11915 WILKIE LN,Houston,Texas</v>
      </c>
      <c r="D1217" s="6" t="s">
        <v>2111</v>
      </c>
      <c r="E1217" s="6" t="s">
        <v>25</v>
      </c>
      <c r="F1217" s="6" t="s">
        <v>26</v>
      </c>
      <c r="G1217" s="6" t="s">
        <v>275</v>
      </c>
      <c r="H1217" s="6" t="s">
        <v>44</v>
      </c>
      <c r="I1217" s="6" t="str">
        <f>VLOOKUP(H1217,'Flow Location'!$A$1:$B$21,2,FALSE)</f>
        <v>Bayou/surface water/drainage ditch</v>
      </c>
      <c r="J1217" s="20">
        <v>0.0</v>
      </c>
      <c r="K1217" s="6" t="s">
        <v>290</v>
      </c>
      <c r="L1217" s="6" t="str">
        <f>VLOOKUP(K1217,'Structure type'!$A$1:$B$15,2,FALSE)</f>
        <v>Gravity Main</v>
      </c>
      <c r="M1217" s="6" t="s">
        <v>2112</v>
      </c>
      <c r="N1217" s="6" t="str">
        <f>VLOOKUP(M1217,'Excursion Cause'!$A$1:$B$34,2,FALSE)</f>
        <v>Collection system structural blockage</v>
      </c>
      <c r="O1217" s="21">
        <v>44637.0</v>
      </c>
      <c r="P1217" s="6" t="s">
        <v>195</v>
      </c>
      <c r="Q1217" s="21">
        <v>44637.0</v>
      </c>
      <c r="R1217" s="6" t="s">
        <v>195</v>
      </c>
      <c r="S1217" s="20">
        <v>0.0</v>
      </c>
      <c r="T1217" s="6" t="s">
        <v>107</v>
      </c>
      <c r="U1217" s="6"/>
      <c r="V1217" s="6"/>
      <c r="W1217" s="6">
        <v>29.8737695</v>
      </c>
      <c r="X1217" s="6">
        <v>-95.3779924</v>
      </c>
    </row>
    <row r="1218" ht="15.75" customHeight="1">
      <c r="A1218" s="6">
        <v>14193.0</v>
      </c>
      <c r="B1218" s="6">
        <v>2022.0</v>
      </c>
      <c r="C1218" s="6" t="str">
        <f t="shared" si="5"/>
        <v>4111 LILLIAN ST,Houston,Texas</v>
      </c>
      <c r="D1218" s="6" t="s">
        <v>2113</v>
      </c>
      <c r="E1218" s="6" t="s">
        <v>25</v>
      </c>
      <c r="F1218" s="6" t="s">
        <v>26</v>
      </c>
      <c r="G1218" s="6" t="s">
        <v>158</v>
      </c>
      <c r="H1218" s="6" t="s">
        <v>1977</v>
      </c>
      <c r="I1218" s="6" t="str">
        <f>VLOOKUP(H1218,'Flow Location'!$A$1:$B$21,2,FALSE)</f>
        <v>Bayou/surface water/drainage ditch</v>
      </c>
      <c r="J1218" s="20">
        <v>540.0</v>
      </c>
      <c r="K1218" s="6" t="s">
        <v>45</v>
      </c>
      <c r="L1218" s="6" t="str">
        <f>VLOOKUP(K1218,'Structure type'!$A$1:$B$15,2,FALSE)</f>
        <v>City Cleanout</v>
      </c>
      <c r="M1218" s="6" t="s">
        <v>30</v>
      </c>
      <c r="N1218" s="6" t="str">
        <f>VLOOKUP(M1218,'Excursion Cause'!$A$1:$B$34,2,FALSE)</f>
        <v>Grease Blockage</v>
      </c>
      <c r="O1218" s="21">
        <v>44637.0</v>
      </c>
      <c r="P1218" s="6" t="s">
        <v>854</v>
      </c>
      <c r="Q1218" s="21">
        <v>44637.0</v>
      </c>
      <c r="R1218" s="6" t="s">
        <v>791</v>
      </c>
      <c r="S1218" s="20">
        <v>4.0</v>
      </c>
      <c r="T1218" s="6" t="s">
        <v>33</v>
      </c>
      <c r="U1218" s="6"/>
      <c r="V1218" s="6"/>
      <c r="W1218" s="6">
        <v>29.7693959</v>
      </c>
      <c r="X1218" s="6">
        <v>-95.4028628</v>
      </c>
    </row>
    <row r="1219" ht="15.75" customHeight="1">
      <c r="A1219" s="6">
        <v>14197.0</v>
      </c>
      <c r="B1219" s="6">
        <v>2022.0</v>
      </c>
      <c r="C1219" s="6" t="str">
        <f t="shared" si="5"/>
        <v>6315 WESTOVER ST,Houston,Texas</v>
      </c>
      <c r="D1219" s="6" t="s">
        <v>2114</v>
      </c>
      <c r="E1219" s="6" t="s">
        <v>25</v>
      </c>
      <c r="F1219" s="6" t="s">
        <v>26</v>
      </c>
      <c r="G1219" s="6" t="s">
        <v>35</v>
      </c>
      <c r="H1219" s="6" t="s">
        <v>50</v>
      </c>
      <c r="I1219" s="6" t="str">
        <f>VLOOKUP(H1219,'Flow Location'!$A$1:$B$21,2,FALSE)</f>
        <v>Contained On Site, not within 5 ft. of Bayou/Surface Water/Drainage Ditch</v>
      </c>
      <c r="J1219" s="20">
        <v>0.0</v>
      </c>
      <c r="K1219" s="6" t="s">
        <v>29</v>
      </c>
      <c r="L1219" s="6" t="str">
        <f>VLOOKUP(K1219,'Structure type'!$A$1:$B$15,2,FALSE)</f>
        <v>Manhole</v>
      </c>
      <c r="M1219" s="6" t="s">
        <v>30</v>
      </c>
      <c r="N1219" s="6" t="str">
        <f>VLOOKUP(M1219,'Excursion Cause'!$A$1:$B$34,2,FALSE)</f>
        <v>Grease Blockage</v>
      </c>
      <c r="O1219" s="21">
        <v>44637.0</v>
      </c>
      <c r="P1219" s="6" t="s">
        <v>2115</v>
      </c>
      <c r="Q1219" s="21">
        <v>44637.0</v>
      </c>
      <c r="R1219" s="6" t="s">
        <v>2115</v>
      </c>
      <c r="S1219" s="20">
        <v>0.0</v>
      </c>
      <c r="T1219" s="6" t="s">
        <v>33</v>
      </c>
      <c r="U1219" s="6"/>
      <c r="V1219" s="6"/>
      <c r="W1219" s="6">
        <v>29.6637678</v>
      </c>
      <c r="X1219" s="6">
        <v>-95.3148143</v>
      </c>
    </row>
    <row r="1220" ht="15.75" customHeight="1">
      <c r="A1220" s="6">
        <v>14198.0</v>
      </c>
      <c r="B1220" s="6">
        <v>2022.0</v>
      </c>
      <c r="C1220" s="6" t="str">
        <f t="shared" si="5"/>
        <v>8000 CREEKBEND DR,Houston,Texas</v>
      </c>
      <c r="D1220" s="6" t="s">
        <v>2116</v>
      </c>
      <c r="E1220" s="6" t="s">
        <v>25</v>
      </c>
      <c r="F1220" s="6" t="s">
        <v>26</v>
      </c>
      <c r="G1220" s="6" t="s">
        <v>148</v>
      </c>
      <c r="H1220" s="6" t="s">
        <v>28</v>
      </c>
      <c r="I1220" s="6" t="str">
        <f>VLOOKUP(H1220,'Flow Location'!$A$1:$B$21,2,FALSE)</f>
        <v>Storm Sewer (not contained)</v>
      </c>
      <c r="J1220" s="20">
        <v>4027.0</v>
      </c>
      <c r="K1220" s="6" t="s">
        <v>29</v>
      </c>
      <c r="L1220" s="6" t="str">
        <f>VLOOKUP(K1220,'Structure type'!$A$1:$B$15,2,FALSE)</f>
        <v>Manhole</v>
      </c>
      <c r="M1220" s="6" t="s">
        <v>2117</v>
      </c>
      <c r="N1220" s="6" t="str">
        <f>VLOOKUP(M1220,'Excursion Cause'!$A$1:$B$34,2,FALSE)</f>
        <v>Collection system temporary blockage</v>
      </c>
      <c r="O1220" s="21">
        <v>44637.0</v>
      </c>
      <c r="P1220" s="6" t="s">
        <v>755</v>
      </c>
      <c r="Q1220" s="21">
        <v>44640.0</v>
      </c>
      <c r="R1220" s="6" t="s">
        <v>70</v>
      </c>
      <c r="S1220" s="20">
        <v>1.0</v>
      </c>
      <c r="T1220" s="6" t="s">
        <v>118</v>
      </c>
      <c r="U1220" s="6"/>
      <c r="V1220" s="6"/>
      <c r="W1220" s="6">
        <v>29.6659903</v>
      </c>
      <c r="X1220" s="6">
        <v>-95.5188889</v>
      </c>
    </row>
    <row r="1221" ht="15.75" customHeight="1">
      <c r="A1221" s="6">
        <v>14205.0</v>
      </c>
      <c r="B1221" s="6">
        <v>2022.0</v>
      </c>
      <c r="C1221" s="6" t="str">
        <f t="shared" si="5"/>
        <v>6915 S GESSNER DR,Houston,Texas</v>
      </c>
      <c r="D1221" s="6" t="s">
        <v>2118</v>
      </c>
      <c r="E1221" s="6" t="s">
        <v>25</v>
      </c>
      <c r="F1221" s="6" t="s">
        <v>26</v>
      </c>
      <c r="G1221" s="6" t="s">
        <v>100</v>
      </c>
      <c r="H1221" s="6" t="s">
        <v>1977</v>
      </c>
      <c r="I1221" s="6" t="str">
        <f>VLOOKUP(H1221,'Flow Location'!$A$1:$B$21,2,FALSE)</f>
        <v>Bayou/surface water/drainage ditch</v>
      </c>
      <c r="J1221" s="20">
        <v>10500.0</v>
      </c>
      <c r="K1221" s="6" t="s">
        <v>290</v>
      </c>
      <c r="L1221" s="6" t="str">
        <f>VLOOKUP(K1221,'Structure type'!$A$1:$B$15,2,FALSE)</f>
        <v>Gravity Main</v>
      </c>
      <c r="M1221" s="6" t="s">
        <v>30</v>
      </c>
      <c r="N1221" s="6" t="str">
        <f>VLOOKUP(M1221,'Excursion Cause'!$A$1:$B$34,2,FALSE)</f>
        <v>Grease Blockage</v>
      </c>
      <c r="O1221" s="21">
        <v>44638.0</v>
      </c>
      <c r="P1221" s="6" t="s">
        <v>116</v>
      </c>
      <c r="Q1221" s="21">
        <v>44645.0</v>
      </c>
      <c r="R1221" s="6" t="s">
        <v>1274</v>
      </c>
      <c r="S1221" s="20">
        <v>1.0</v>
      </c>
      <c r="T1221" s="6" t="s">
        <v>59</v>
      </c>
      <c r="U1221" s="6"/>
      <c r="V1221" s="6"/>
      <c r="W1221" s="6">
        <v>29.6898933</v>
      </c>
      <c r="X1221" s="6">
        <v>-95.5336335</v>
      </c>
    </row>
    <row r="1222" ht="15.75" customHeight="1">
      <c r="A1222" s="6">
        <v>14207.0</v>
      </c>
      <c r="B1222" s="6">
        <v>2022.0</v>
      </c>
      <c r="C1222" s="6" t="str">
        <f t="shared" si="5"/>
        <v>7707 HARDING ST,Houston,Texas</v>
      </c>
      <c r="D1222" s="6" t="s">
        <v>2119</v>
      </c>
      <c r="E1222" s="6" t="s">
        <v>25</v>
      </c>
      <c r="F1222" s="6" t="s">
        <v>26</v>
      </c>
      <c r="G1222" s="6" t="s">
        <v>365</v>
      </c>
      <c r="H1222" s="6" t="s">
        <v>50</v>
      </c>
      <c r="I1222" s="6" t="str">
        <f>VLOOKUP(H1222,'Flow Location'!$A$1:$B$21,2,FALSE)</f>
        <v>Contained On Site, not within 5 ft. of Bayou/Surface Water/Drainage Ditch</v>
      </c>
      <c r="J1222" s="20">
        <v>0.0</v>
      </c>
      <c r="K1222" s="6" t="s">
        <v>51</v>
      </c>
      <c r="L1222" s="6" t="str">
        <f>VLOOKUP(K1222,'Structure type'!$A$1:$B$15,2,FALSE)</f>
        <v>Private Cleanout</v>
      </c>
      <c r="M1222" s="6" t="s">
        <v>30</v>
      </c>
      <c r="N1222" s="6" t="str">
        <f>VLOOKUP(M1222,'Excursion Cause'!$A$1:$B$34,2,FALSE)</f>
        <v>Grease Blockage</v>
      </c>
      <c r="O1222" s="21">
        <v>44638.0</v>
      </c>
      <c r="P1222" s="6" t="s">
        <v>2120</v>
      </c>
      <c r="Q1222" s="21">
        <v>44638.0</v>
      </c>
      <c r="R1222" s="6" t="s">
        <v>2120</v>
      </c>
      <c r="S1222" s="20">
        <v>0.0</v>
      </c>
      <c r="T1222" s="6" t="s">
        <v>33</v>
      </c>
      <c r="U1222" s="6"/>
      <c r="V1222" s="6"/>
      <c r="W1222" s="6">
        <v>29.7093383</v>
      </c>
      <c r="X1222" s="6">
        <v>-95.2832663</v>
      </c>
    </row>
    <row r="1223" ht="15.75" customHeight="1">
      <c r="A1223" s="6">
        <v>14209.0</v>
      </c>
      <c r="B1223" s="6">
        <v>2022.0</v>
      </c>
      <c r="C1223" s="6" t="str">
        <f t="shared" si="5"/>
        <v>16419 MONTE CARLO LN,Houston,Texas</v>
      </c>
      <c r="D1223" s="6" t="s">
        <v>2121</v>
      </c>
      <c r="E1223" s="6" t="s">
        <v>25</v>
      </c>
      <c r="F1223" s="6" t="s">
        <v>26</v>
      </c>
      <c r="G1223" s="6" t="s">
        <v>517</v>
      </c>
      <c r="H1223" s="6" t="s">
        <v>50</v>
      </c>
      <c r="I1223" s="6" t="str">
        <f>VLOOKUP(H1223,'Flow Location'!$A$1:$B$21,2,FALSE)</f>
        <v>Contained On Site, not within 5 ft. of Bayou/Surface Water/Drainage Ditch</v>
      </c>
      <c r="J1223" s="20">
        <v>3143.0</v>
      </c>
      <c r="K1223" s="6" t="s">
        <v>29</v>
      </c>
      <c r="L1223" s="6" t="str">
        <f>VLOOKUP(K1223,'Structure type'!$A$1:$B$15,2,FALSE)</f>
        <v>Manhole</v>
      </c>
      <c r="M1223" s="6" t="s">
        <v>30</v>
      </c>
      <c r="N1223" s="6" t="str">
        <f>VLOOKUP(M1223,'Excursion Cause'!$A$1:$B$34,2,FALSE)</f>
        <v>Grease Blockage</v>
      </c>
      <c r="O1223" s="21">
        <v>44638.0</v>
      </c>
      <c r="P1223" s="6" t="s">
        <v>1265</v>
      </c>
      <c r="Q1223" s="21">
        <v>44640.0</v>
      </c>
      <c r="R1223" s="6" t="s">
        <v>235</v>
      </c>
      <c r="S1223" s="20">
        <v>1.0</v>
      </c>
      <c r="T1223" s="6" t="s">
        <v>33</v>
      </c>
      <c r="U1223" s="6"/>
      <c r="V1223" s="6"/>
      <c r="W1223" s="6">
        <v>29.5861256</v>
      </c>
      <c r="X1223" s="6">
        <v>-95.4704162</v>
      </c>
    </row>
    <row r="1224" ht="15.75" customHeight="1">
      <c r="A1224" s="6">
        <v>14215.0</v>
      </c>
      <c r="B1224" s="6">
        <v>2022.0</v>
      </c>
      <c r="C1224" s="6" t="str">
        <f t="shared" si="5"/>
        <v>1020 DEWALT ST,Houston,Texas</v>
      </c>
      <c r="D1224" s="6" t="s">
        <v>2122</v>
      </c>
      <c r="E1224" s="6" t="s">
        <v>25</v>
      </c>
      <c r="F1224" s="6" t="s">
        <v>26</v>
      </c>
      <c r="G1224" s="6" t="s">
        <v>502</v>
      </c>
      <c r="H1224" s="6" t="s">
        <v>50</v>
      </c>
      <c r="I1224" s="6" t="str">
        <f>VLOOKUP(H1224,'Flow Location'!$A$1:$B$21,2,FALSE)</f>
        <v>Contained On Site, not within 5 ft. of Bayou/Surface Water/Drainage Ditch</v>
      </c>
      <c r="J1224" s="20">
        <v>0.0</v>
      </c>
      <c r="K1224" s="6" t="s">
        <v>51</v>
      </c>
      <c r="L1224" s="6" t="str">
        <f>VLOOKUP(K1224,'Structure type'!$A$1:$B$15,2,FALSE)</f>
        <v>Private Cleanout</v>
      </c>
      <c r="M1224" s="6" t="s">
        <v>30</v>
      </c>
      <c r="N1224" s="6" t="str">
        <f>VLOOKUP(M1224,'Excursion Cause'!$A$1:$B$34,2,FALSE)</f>
        <v>Grease Blockage</v>
      </c>
      <c r="O1224" s="21">
        <v>44638.0</v>
      </c>
      <c r="P1224" s="6" t="s">
        <v>36</v>
      </c>
      <c r="Q1224" s="21">
        <v>44638.0</v>
      </c>
      <c r="R1224" s="6" t="s">
        <v>36</v>
      </c>
      <c r="S1224" s="20">
        <v>0.0</v>
      </c>
      <c r="T1224" s="6" t="s">
        <v>33</v>
      </c>
      <c r="U1224" s="6"/>
      <c r="V1224" s="6"/>
      <c r="W1224" s="6">
        <v>29.8825643</v>
      </c>
      <c r="X1224" s="6">
        <v>-95.4263374</v>
      </c>
    </row>
    <row r="1225" ht="15.75" customHeight="1">
      <c r="A1225" s="6">
        <v>14217.0</v>
      </c>
      <c r="B1225" s="6">
        <v>2022.0</v>
      </c>
      <c r="C1225" s="6" t="str">
        <f t="shared" si="5"/>
        <v>5339 RIPPLEBROOK DR,Houston,Texas</v>
      </c>
      <c r="D1225" s="6" t="s">
        <v>2018</v>
      </c>
      <c r="E1225" s="6" t="s">
        <v>25</v>
      </c>
      <c r="F1225" s="6" t="s">
        <v>26</v>
      </c>
      <c r="G1225" s="6" t="s">
        <v>39</v>
      </c>
      <c r="H1225" s="6" t="s">
        <v>50</v>
      </c>
      <c r="I1225" s="6" t="str">
        <f>VLOOKUP(H1225,'Flow Location'!$A$1:$B$21,2,FALSE)</f>
        <v>Contained On Site, not within 5 ft. of Bayou/Surface Water/Drainage Ditch</v>
      </c>
      <c r="J1225" s="20">
        <v>312.0</v>
      </c>
      <c r="K1225" s="6" t="s">
        <v>29</v>
      </c>
      <c r="L1225" s="6" t="str">
        <f>VLOOKUP(K1225,'Structure type'!$A$1:$B$15,2,FALSE)</f>
        <v>Manhole</v>
      </c>
      <c r="M1225" s="6" t="s">
        <v>30</v>
      </c>
      <c r="N1225" s="6" t="str">
        <f>VLOOKUP(M1225,'Excursion Cause'!$A$1:$B$34,2,FALSE)</f>
        <v>Grease Blockage</v>
      </c>
      <c r="O1225" s="21">
        <v>44638.0</v>
      </c>
      <c r="P1225" s="6" t="s">
        <v>164</v>
      </c>
      <c r="Q1225" s="21">
        <v>44638.0</v>
      </c>
      <c r="R1225" s="6" t="s">
        <v>1128</v>
      </c>
      <c r="S1225" s="20">
        <v>2.0</v>
      </c>
      <c r="T1225" s="6" t="s">
        <v>59</v>
      </c>
      <c r="U1225" s="6"/>
      <c r="V1225" s="6"/>
      <c r="W1225" s="6">
        <v>29.625353</v>
      </c>
      <c r="X1225" s="6">
        <v>-95.4630176</v>
      </c>
    </row>
    <row r="1226" ht="15.75" customHeight="1">
      <c r="A1226" s="6">
        <v>14218.0</v>
      </c>
      <c r="B1226" s="6">
        <v>2022.0</v>
      </c>
      <c r="C1226" s="6" t="str">
        <f t="shared" si="5"/>
        <v>10150 WESTVIEW DR,Houston,Texas</v>
      </c>
      <c r="D1226" s="6" t="s">
        <v>2123</v>
      </c>
      <c r="E1226" s="6" t="s">
        <v>25</v>
      </c>
      <c r="F1226" s="6" t="s">
        <v>26</v>
      </c>
      <c r="G1226" s="6" t="s">
        <v>699</v>
      </c>
      <c r="H1226" s="6" t="s">
        <v>50</v>
      </c>
      <c r="I1226" s="6" t="str">
        <f>VLOOKUP(H1226,'Flow Location'!$A$1:$B$21,2,FALSE)</f>
        <v>Contained On Site, not within 5 ft. of Bayou/Surface Water/Drainage Ditch</v>
      </c>
      <c r="J1226" s="20">
        <v>0.0</v>
      </c>
      <c r="K1226" s="6" t="s">
        <v>45</v>
      </c>
      <c r="L1226" s="6" t="str">
        <f>VLOOKUP(K1226,'Structure type'!$A$1:$B$15,2,FALSE)</f>
        <v>City Cleanout</v>
      </c>
      <c r="M1226" s="6" t="s">
        <v>30</v>
      </c>
      <c r="N1226" s="6" t="str">
        <f>VLOOKUP(M1226,'Excursion Cause'!$A$1:$B$34,2,FALSE)</f>
        <v>Grease Blockage</v>
      </c>
      <c r="O1226" s="21">
        <v>44638.0</v>
      </c>
      <c r="P1226" s="6" t="s">
        <v>1036</v>
      </c>
      <c r="Q1226" s="21">
        <v>44638.0</v>
      </c>
      <c r="R1226" s="6" t="s">
        <v>1036</v>
      </c>
      <c r="S1226" s="20">
        <v>0.0</v>
      </c>
      <c r="T1226" s="6" t="s">
        <v>270</v>
      </c>
      <c r="U1226" s="6"/>
      <c r="V1226" s="6"/>
      <c r="W1226" s="6">
        <v>29.7911497</v>
      </c>
      <c r="X1226" s="6">
        <v>-95.5483777</v>
      </c>
    </row>
    <row r="1227" ht="15.75" customHeight="1">
      <c r="A1227" s="6">
        <v>14221.0</v>
      </c>
      <c r="B1227" s="6">
        <v>2022.0</v>
      </c>
      <c r="C1227" s="6" t="str">
        <f t="shared" si="5"/>
        <v>825 ELLENA RD,Houston,Texas</v>
      </c>
      <c r="D1227" s="6" t="s">
        <v>2124</v>
      </c>
      <c r="E1227" s="6" t="s">
        <v>25</v>
      </c>
      <c r="F1227" s="6" t="s">
        <v>26</v>
      </c>
      <c r="G1227" s="6" t="s">
        <v>275</v>
      </c>
      <c r="H1227" s="6" t="s">
        <v>50</v>
      </c>
      <c r="I1227" s="6" t="str">
        <f>VLOOKUP(H1227,'Flow Location'!$A$1:$B$21,2,FALSE)</f>
        <v>Contained On Site, not within 5 ft. of Bayou/Surface Water/Drainage Ditch</v>
      </c>
      <c r="J1227" s="20">
        <v>0.0</v>
      </c>
      <c r="K1227" s="6" t="s">
        <v>45</v>
      </c>
      <c r="L1227" s="6" t="str">
        <f>VLOOKUP(K1227,'Structure type'!$A$1:$B$15,2,FALSE)</f>
        <v>City Cleanout</v>
      </c>
      <c r="M1227" s="6" t="s">
        <v>30</v>
      </c>
      <c r="N1227" s="6" t="str">
        <f>VLOOKUP(M1227,'Excursion Cause'!$A$1:$B$34,2,FALSE)</f>
        <v>Grease Blockage</v>
      </c>
      <c r="O1227" s="21">
        <v>44638.0</v>
      </c>
      <c r="P1227" s="6" t="s">
        <v>2125</v>
      </c>
      <c r="Q1227" s="21">
        <v>44638.0</v>
      </c>
      <c r="R1227" s="6" t="s">
        <v>2125</v>
      </c>
      <c r="S1227" s="20">
        <v>0.0</v>
      </c>
      <c r="T1227" s="6" t="s">
        <v>59</v>
      </c>
      <c r="U1227" s="6"/>
      <c r="V1227" s="6"/>
      <c r="W1227" s="6">
        <v>29.855831</v>
      </c>
      <c r="X1227" s="6">
        <v>-95.386783</v>
      </c>
    </row>
    <row r="1228" ht="15.75" customHeight="1">
      <c r="A1228" s="6">
        <v>14223.0</v>
      </c>
      <c r="B1228" s="6">
        <v>2022.0</v>
      </c>
      <c r="C1228" s="6" t="str">
        <f t="shared" si="5"/>
        <v>11212 WESTPARK DR,Houston,Texas</v>
      </c>
      <c r="D1228" s="6" t="s">
        <v>2126</v>
      </c>
      <c r="E1228" s="6" t="s">
        <v>25</v>
      </c>
      <c r="F1228" s="6" t="s">
        <v>26</v>
      </c>
      <c r="G1228" s="6" t="s">
        <v>401</v>
      </c>
      <c r="H1228" s="6" t="s">
        <v>1724</v>
      </c>
      <c r="I1228" s="6" t="str">
        <f>VLOOKUP(H1228,'Flow Location'!$A$1:$B$21,2,FALSE)</f>
        <v>Storm Sewer (not contained)</v>
      </c>
      <c r="J1228" s="20">
        <v>516.0</v>
      </c>
      <c r="K1228" s="6" t="s">
        <v>29</v>
      </c>
      <c r="L1228" s="6" t="str">
        <f>VLOOKUP(K1228,'Structure type'!$A$1:$B$15,2,FALSE)</f>
        <v>Manhole</v>
      </c>
      <c r="M1228" s="6" t="s">
        <v>2127</v>
      </c>
      <c r="N1228" s="6" t="str">
        <f>VLOOKUP(M1228,'Excursion Cause'!$A$1:$B$34,2,FALSE)</f>
        <v>Grease Blockage</v>
      </c>
      <c r="O1228" s="21">
        <v>44638.0</v>
      </c>
      <c r="P1228" s="6" t="s">
        <v>1689</v>
      </c>
      <c r="Q1228" s="21">
        <v>44638.0</v>
      </c>
      <c r="R1228" s="6" t="s">
        <v>550</v>
      </c>
      <c r="S1228" s="20">
        <v>3.0</v>
      </c>
      <c r="T1228" s="6" t="s">
        <v>2128</v>
      </c>
      <c r="U1228" s="6"/>
      <c r="V1228" s="6"/>
      <c r="W1228" s="6">
        <v>29.721762</v>
      </c>
      <c r="X1228" s="6">
        <v>-95.5699247</v>
      </c>
    </row>
    <row r="1229" ht="15.75" customHeight="1">
      <c r="A1229" s="6">
        <v>14231.0</v>
      </c>
      <c r="B1229" s="6">
        <v>2022.0</v>
      </c>
      <c r="C1229" s="6" t="str">
        <f t="shared" si="5"/>
        <v>2120 WALKER ST,Houston,Texas</v>
      </c>
      <c r="D1229" s="6" t="s">
        <v>2129</v>
      </c>
      <c r="E1229" s="6" t="s">
        <v>25</v>
      </c>
      <c r="F1229" s="6" t="s">
        <v>26</v>
      </c>
      <c r="G1229" s="6" t="s">
        <v>172</v>
      </c>
      <c r="H1229" s="6" t="s">
        <v>50</v>
      </c>
      <c r="I1229" s="6" t="str">
        <f>VLOOKUP(H1229,'Flow Location'!$A$1:$B$21,2,FALSE)</f>
        <v>Contained On Site, not within 5 ft. of Bayou/Surface Water/Drainage Ditch</v>
      </c>
      <c r="J1229" s="20">
        <v>0.0</v>
      </c>
      <c r="K1229" s="6" t="s">
        <v>29</v>
      </c>
      <c r="L1229" s="6" t="str">
        <f>VLOOKUP(K1229,'Structure type'!$A$1:$B$15,2,FALSE)</f>
        <v>Manhole</v>
      </c>
      <c r="M1229" s="6" t="s">
        <v>30</v>
      </c>
      <c r="N1229" s="6" t="str">
        <f>VLOOKUP(M1229,'Excursion Cause'!$A$1:$B$34,2,FALSE)</f>
        <v>Grease Blockage</v>
      </c>
      <c r="O1229" s="21">
        <v>44639.0</v>
      </c>
      <c r="P1229" s="6" t="s">
        <v>919</v>
      </c>
      <c r="Q1229" s="21">
        <v>44639.0</v>
      </c>
      <c r="R1229" s="6" t="s">
        <v>919</v>
      </c>
      <c r="S1229" s="20">
        <v>0.0</v>
      </c>
      <c r="T1229" s="6" t="s">
        <v>33</v>
      </c>
      <c r="U1229" s="6"/>
      <c r="V1229" s="6"/>
      <c r="W1229" s="6">
        <v>29.7516519</v>
      </c>
      <c r="X1229" s="6">
        <v>-95.3548004</v>
      </c>
    </row>
    <row r="1230" ht="15.75" customHeight="1">
      <c r="A1230" s="6">
        <v>14234.0</v>
      </c>
      <c r="B1230" s="6">
        <v>2022.0</v>
      </c>
      <c r="C1230" s="6" t="str">
        <f t="shared" si="5"/>
        <v>6202 WASHINGTON AVE,Houston,Texas</v>
      </c>
      <c r="D1230" s="6" t="s">
        <v>2130</v>
      </c>
      <c r="E1230" s="6" t="s">
        <v>25</v>
      </c>
      <c r="F1230" s="6" t="s">
        <v>26</v>
      </c>
      <c r="G1230" s="6" t="s">
        <v>158</v>
      </c>
      <c r="H1230" s="6" t="s">
        <v>50</v>
      </c>
      <c r="I1230" s="6" t="str">
        <f>VLOOKUP(H1230,'Flow Location'!$A$1:$B$21,2,FALSE)</f>
        <v>Contained On Site, not within 5 ft. of Bayou/Surface Water/Drainage Ditch</v>
      </c>
      <c r="J1230" s="20">
        <v>3176.0</v>
      </c>
      <c r="K1230" s="6" t="s">
        <v>198</v>
      </c>
      <c r="L1230" s="6" t="str">
        <f>VLOOKUP(K1230,'Structure type'!$A$1:$B$15,2,FALSE)</f>
        <v>Service Lateral</v>
      </c>
      <c r="M1230" s="6" t="s">
        <v>52</v>
      </c>
      <c r="N1230" s="6" t="str">
        <f>VLOOKUP(M1230,'Excursion Cause'!$A$1:$B$34,2,FALSE)</f>
        <v>Collection system structural blockage</v>
      </c>
      <c r="O1230" s="21">
        <v>44639.0</v>
      </c>
      <c r="P1230" s="6" t="s">
        <v>199</v>
      </c>
      <c r="Q1230" s="21">
        <v>44641.0</v>
      </c>
      <c r="R1230" s="6" t="s">
        <v>131</v>
      </c>
      <c r="S1230" s="20">
        <v>1.0</v>
      </c>
      <c r="T1230" s="6" t="s">
        <v>54</v>
      </c>
      <c r="U1230" s="6"/>
      <c r="V1230" s="6"/>
      <c r="W1230" s="6">
        <v>29.7725885</v>
      </c>
      <c r="X1230" s="6">
        <v>-95.4241546</v>
      </c>
    </row>
    <row r="1231" ht="15.75" customHeight="1">
      <c r="A1231" s="6">
        <v>14245.0</v>
      </c>
      <c r="B1231" s="6">
        <v>2022.0</v>
      </c>
      <c r="C1231" s="6" t="str">
        <f t="shared" si="5"/>
        <v>4022 MERRICK ST,Houston,Texas</v>
      </c>
      <c r="D1231" s="6" t="s">
        <v>2131</v>
      </c>
      <c r="E1231" s="6" t="s">
        <v>25</v>
      </c>
      <c r="F1231" s="6" t="s">
        <v>26</v>
      </c>
      <c r="G1231" s="6" t="s">
        <v>65</v>
      </c>
      <c r="H1231" s="6" t="s">
        <v>50</v>
      </c>
      <c r="I1231" s="6" t="str">
        <f>VLOOKUP(H1231,'Flow Location'!$A$1:$B$21,2,FALSE)</f>
        <v>Contained On Site, not within 5 ft. of Bayou/Surface Water/Drainage Ditch</v>
      </c>
      <c r="J1231" s="20">
        <v>0.0</v>
      </c>
      <c r="K1231" s="6" t="s">
        <v>29</v>
      </c>
      <c r="L1231" s="6" t="str">
        <f>VLOOKUP(K1231,'Structure type'!$A$1:$B$15,2,FALSE)</f>
        <v>Manhole</v>
      </c>
      <c r="M1231" s="6" t="s">
        <v>30</v>
      </c>
      <c r="N1231" s="6" t="str">
        <f>VLOOKUP(M1231,'Excursion Cause'!$A$1:$B$34,2,FALSE)</f>
        <v>Grease Blockage</v>
      </c>
      <c r="O1231" s="21">
        <v>44640.0</v>
      </c>
      <c r="P1231" s="6" t="s">
        <v>215</v>
      </c>
      <c r="Q1231" s="21">
        <v>44640.0</v>
      </c>
      <c r="R1231" s="6" t="s">
        <v>215</v>
      </c>
      <c r="S1231" s="20">
        <v>0.0</v>
      </c>
      <c r="T1231" s="6" t="s">
        <v>33</v>
      </c>
      <c r="U1231" s="6"/>
      <c r="V1231" s="6"/>
      <c r="W1231" s="6">
        <v>29.697133</v>
      </c>
      <c r="X1231" s="6">
        <v>-95.4413636</v>
      </c>
    </row>
    <row r="1232" ht="15.75" customHeight="1">
      <c r="A1232" s="6">
        <v>14246.0</v>
      </c>
      <c r="B1232" s="6">
        <v>2022.0</v>
      </c>
      <c r="C1232" s="6" t="str">
        <f t="shared" si="5"/>
        <v>3701 BOLIN RD,Houston,Texas</v>
      </c>
      <c r="D1232" s="6" t="s">
        <v>2132</v>
      </c>
      <c r="E1232" s="6" t="s">
        <v>25</v>
      </c>
      <c r="F1232" s="6" t="s">
        <v>26</v>
      </c>
      <c r="G1232" s="6" t="s">
        <v>76</v>
      </c>
      <c r="H1232" s="6" t="s">
        <v>1977</v>
      </c>
      <c r="I1232" s="6" t="str">
        <f>VLOOKUP(H1232,'Flow Location'!$A$1:$B$21,2,FALSE)</f>
        <v>Bayou/surface water/drainage ditch</v>
      </c>
      <c r="J1232" s="20">
        <v>2542.0</v>
      </c>
      <c r="K1232" s="6" t="s">
        <v>29</v>
      </c>
      <c r="L1232" s="6" t="str">
        <f>VLOOKUP(K1232,'Structure type'!$A$1:$B$15,2,FALSE)</f>
        <v>Manhole</v>
      </c>
      <c r="M1232" s="6" t="s">
        <v>30</v>
      </c>
      <c r="N1232" s="6" t="str">
        <f>VLOOKUP(M1232,'Excursion Cause'!$A$1:$B$34,2,FALSE)</f>
        <v>Grease Blockage</v>
      </c>
      <c r="O1232" s="21">
        <v>44640.0</v>
      </c>
      <c r="P1232" s="6" t="s">
        <v>82</v>
      </c>
      <c r="Q1232" s="21">
        <v>44641.0</v>
      </c>
      <c r="R1232" s="6" t="s">
        <v>826</v>
      </c>
      <c r="S1232" s="20">
        <v>2.0</v>
      </c>
      <c r="T1232" s="6" t="s">
        <v>59</v>
      </c>
      <c r="U1232" s="6"/>
      <c r="V1232" s="6"/>
      <c r="W1232" s="6">
        <v>29.8222045</v>
      </c>
      <c r="X1232" s="6">
        <v>-95.4816417</v>
      </c>
    </row>
    <row r="1233" ht="15.75" customHeight="1">
      <c r="A1233" s="6">
        <v>14247.0</v>
      </c>
      <c r="B1233" s="6">
        <v>2022.0</v>
      </c>
      <c r="C1233" s="6" t="str">
        <f t="shared" si="5"/>
        <v>12207 PREAKNESS WAY,Houston,Texas</v>
      </c>
      <c r="D1233" s="6" t="s">
        <v>2133</v>
      </c>
      <c r="E1233" s="6" t="s">
        <v>25</v>
      </c>
      <c r="F1233" s="6" t="s">
        <v>26</v>
      </c>
      <c r="G1233" s="6" t="s">
        <v>148</v>
      </c>
      <c r="H1233" s="6" t="s">
        <v>50</v>
      </c>
      <c r="I1233" s="6" t="str">
        <f>VLOOKUP(H1233,'Flow Location'!$A$1:$B$21,2,FALSE)</f>
        <v>Contained On Site, not within 5 ft. of Bayou/Surface Water/Drainage Ditch</v>
      </c>
      <c r="J1233" s="20">
        <v>0.0</v>
      </c>
      <c r="K1233" s="6" t="s">
        <v>29</v>
      </c>
      <c r="L1233" s="6" t="str">
        <f>VLOOKUP(K1233,'Structure type'!$A$1:$B$15,2,FALSE)</f>
        <v>Manhole</v>
      </c>
      <c r="M1233" s="6" t="s">
        <v>30</v>
      </c>
      <c r="N1233" s="6" t="str">
        <f>VLOOKUP(M1233,'Excursion Cause'!$A$1:$B$34,2,FALSE)</f>
        <v>Grease Blockage</v>
      </c>
      <c r="O1233" s="21">
        <v>44640.0</v>
      </c>
      <c r="P1233" s="6" t="s">
        <v>1819</v>
      </c>
      <c r="Q1233" s="21">
        <v>44640.0</v>
      </c>
      <c r="R1233" s="6" t="s">
        <v>1819</v>
      </c>
      <c r="S1233" s="20">
        <v>0.0</v>
      </c>
      <c r="T1233" s="6" t="s">
        <v>33</v>
      </c>
      <c r="U1233" s="6"/>
      <c r="V1233" s="6"/>
      <c r="W1233" s="6">
        <v>29.6439866</v>
      </c>
      <c r="X1233" s="6">
        <v>-95.5154562</v>
      </c>
    </row>
    <row r="1234" ht="15.75" customHeight="1">
      <c r="A1234" s="6">
        <v>14249.0</v>
      </c>
      <c r="B1234" s="6">
        <v>2022.0</v>
      </c>
      <c r="C1234" s="6" t="str">
        <f t="shared" si="5"/>
        <v>8447 MISTY VALE LN,Houston,Texas</v>
      </c>
      <c r="D1234" s="6" t="s">
        <v>2134</v>
      </c>
      <c r="E1234" s="6" t="s">
        <v>25</v>
      </c>
      <c r="F1234" s="6" t="s">
        <v>26</v>
      </c>
      <c r="G1234" s="6" t="s">
        <v>95</v>
      </c>
      <c r="H1234" s="6" t="s">
        <v>50</v>
      </c>
      <c r="I1234" s="6" t="str">
        <f>VLOOKUP(H1234,'Flow Location'!$A$1:$B$21,2,FALSE)</f>
        <v>Contained On Site, not within 5 ft. of Bayou/Surface Water/Drainage Ditch</v>
      </c>
      <c r="J1234" s="20">
        <v>0.0</v>
      </c>
      <c r="K1234" s="6" t="s">
        <v>29</v>
      </c>
      <c r="L1234" s="6" t="str">
        <f>VLOOKUP(K1234,'Structure type'!$A$1:$B$15,2,FALSE)</f>
        <v>Manhole</v>
      </c>
      <c r="M1234" s="6" t="s">
        <v>30</v>
      </c>
      <c r="N1234" s="6" t="str">
        <f>VLOOKUP(M1234,'Excursion Cause'!$A$1:$B$34,2,FALSE)</f>
        <v>Grease Blockage</v>
      </c>
      <c r="O1234" s="21">
        <v>44641.0</v>
      </c>
      <c r="P1234" s="6" t="s">
        <v>1232</v>
      </c>
      <c r="Q1234" s="21">
        <v>44641.0</v>
      </c>
      <c r="R1234" s="6" t="s">
        <v>1232</v>
      </c>
      <c r="S1234" s="20">
        <v>0.0</v>
      </c>
      <c r="T1234" s="6" t="s">
        <v>59</v>
      </c>
      <c r="U1234" s="6"/>
      <c r="V1234" s="6"/>
      <c r="W1234" s="6">
        <v>29.6098363</v>
      </c>
      <c r="X1234" s="6">
        <v>-95.266913</v>
      </c>
    </row>
    <row r="1235" ht="15.75" customHeight="1">
      <c r="A1235" s="6">
        <v>14250.0</v>
      </c>
      <c r="B1235" s="6">
        <v>2022.0</v>
      </c>
      <c r="C1235" s="6" t="str">
        <f t="shared" si="5"/>
        <v>6939 AVENUE N,Houston,Texas</v>
      </c>
      <c r="D1235" s="6" t="s">
        <v>2135</v>
      </c>
      <c r="E1235" s="6" t="s">
        <v>25</v>
      </c>
      <c r="F1235" s="6" t="s">
        <v>26</v>
      </c>
      <c r="G1235" s="6" t="s">
        <v>227</v>
      </c>
      <c r="H1235" s="6" t="s">
        <v>50</v>
      </c>
      <c r="I1235" s="6" t="str">
        <f>VLOOKUP(H1235,'Flow Location'!$A$1:$B$21,2,FALSE)</f>
        <v>Contained On Site, not within 5 ft. of Bayou/Surface Water/Drainage Ditch</v>
      </c>
      <c r="J1235" s="20">
        <v>0.0</v>
      </c>
      <c r="K1235" s="6" t="s">
        <v>45</v>
      </c>
      <c r="L1235" s="6" t="str">
        <f>VLOOKUP(K1235,'Structure type'!$A$1:$B$15,2,FALSE)</f>
        <v>City Cleanout</v>
      </c>
      <c r="M1235" s="6" t="s">
        <v>56</v>
      </c>
      <c r="N1235" s="6" t="str">
        <f>VLOOKUP(M1235,'Excursion Cause'!$A$1:$B$34,2,FALSE)</f>
        <v>Rags/Wipes</v>
      </c>
      <c r="O1235" s="21">
        <v>44641.0</v>
      </c>
      <c r="P1235" s="6" t="s">
        <v>331</v>
      </c>
      <c r="Q1235" s="21">
        <v>44641.0</v>
      </c>
      <c r="R1235" s="6" t="s">
        <v>331</v>
      </c>
      <c r="S1235" s="20">
        <v>0.0</v>
      </c>
      <c r="T1235" s="6" t="s">
        <v>270</v>
      </c>
      <c r="U1235" s="6"/>
      <c r="V1235" s="6"/>
      <c r="W1235" s="6">
        <v>29.744921</v>
      </c>
      <c r="X1235" s="6">
        <v>-95.2991946</v>
      </c>
    </row>
    <row r="1236" ht="15.75" customHeight="1">
      <c r="A1236" s="6">
        <v>14256.0</v>
      </c>
      <c r="B1236" s="6">
        <v>2022.0</v>
      </c>
      <c r="C1236" s="6" t="str">
        <f t="shared" si="5"/>
        <v>5601 IRVINGTON BLVD,Houston,Texas</v>
      </c>
      <c r="D1236" s="6" t="s">
        <v>2136</v>
      </c>
      <c r="E1236" s="6" t="s">
        <v>25</v>
      </c>
      <c r="F1236" s="6" t="s">
        <v>26</v>
      </c>
      <c r="G1236" s="6" t="s">
        <v>161</v>
      </c>
      <c r="H1236" s="6" t="s">
        <v>50</v>
      </c>
      <c r="I1236" s="6" t="str">
        <f>VLOOKUP(H1236,'Flow Location'!$A$1:$B$21,2,FALSE)</f>
        <v>Contained On Site, not within 5 ft. of Bayou/Surface Water/Drainage Ditch</v>
      </c>
      <c r="J1236" s="20">
        <v>0.0</v>
      </c>
      <c r="K1236" s="6" t="s">
        <v>198</v>
      </c>
      <c r="L1236" s="6" t="str">
        <f>VLOOKUP(K1236,'Structure type'!$A$1:$B$15,2,FALSE)</f>
        <v>Service Lateral</v>
      </c>
      <c r="M1236" s="6" t="s">
        <v>52</v>
      </c>
      <c r="N1236" s="6" t="str">
        <f>VLOOKUP(M1236,'Excursion Cause'!$A$1:$B$34,2,FALSE)</f>
        <v>Collection system structural blockage</v>
      </c>
      <c r="O1236" s="21">
        <v>44641.0</v>
      </c>
      <c r="P1236" s="6" t="s">
        <v>1014</v>
      </c>
      <c r="Q1236" s="21">
        <v>44641.0</v>
      </c>
      <c r="R1236" s="6" t="s">
        <v>1014</v>
      </c>
      <c r="S1236" s="20">
        <v>0.0</v>
      </c>
      <c r="T1236" s="6" t="s">
        <v>118</v>
      </c>
      <c r="U1236" s="6"/>
      <c r="V1236" s="6"/>
      <c r="W1236" s="6">
        <v>29.8103489</v>
      </c>
      <c r="X1236" s="6">
        <v>-95.3614902</v>
      </c>
    </row>
    <row r="1237" ht="15.75" customHeight="1">
      <c r="A1237" s="6">
        <v>14260.0</v>
      </c>
      <c r="B1237" s="6">
        <v>2022.0</v>
      </c>
      <c r="C1237" s="6" t="str">
        <f t="shared" si="5"/>
        <v>6701 LONGVIEW ST,Houston,Texas</v>
      </c>
      <c r="D1237" s="6" t="s">
        <v>2137</v>
      </c>
      <c r="E1237" s="6" t="s">
        <v>25</v>
      </c>
      <c r="F1237" s="6" t="s">
        <v>26</v>
      </c>
      <c r="G1237" s="6" t="s">
        <v>86</v>
      </c>
      <c r="H1237" s="6" t="s">
        <v>1977</v>
      </c>
      <c r="I1237" s="6" t="str">
        <f>VLOOKUP(H1237,'Flow Location'!$A$1:$B$21,2,FALSE)</f>
        <v>Bayou/surface water/drainage ditch</v>
      </c>
      <c r="J1237" s="20">
        <v>1174.0</v>
      </c>
      <c r="K1237" s="6" t="s">
        <v>45</v>
      </c>
      <c r="L1237" s="6" t="str">
        <f>VLOOKUP(K1237,'Structure type'!$A$1:$B$15,2,FALSE)</f>
        <v>City Cleanout</v>
      </c>
      <c r="M1237" s="6" t="s">
        <v>56</v>
      </c>
      <c r="N1237" s="6" t="str">
        <f>VLOOKUP(M1237,'Excursion Cause'!$A$1:$B$34,2,FALSE)</f>
        <v>Rags/Wipes</v>
      </c>
      <c r="O1237" s="21">
        <v>44641.0</v>
      </c>
      <c r="P1237" s="6" t="s">
        <v>53</v>
      </c>
      <c r="Q1237" s="21">
        <v>44642.0</v>
      </c>
      <c r="R1237" s="6" t="s">
        <v>610</v>
      </c>
      <c r="S1237" s="20">
        <v>1.0</v>
      </c>
      <c r="T1237" s="6" t="s">
        <v>74</v>
      </c>
      <c r="U1237" s="6"/>
      <c r="V1237" s="6"/>
      <c r="W1237" s="6">
        <v>29.7851531</v>
      </c>
      <c r="X1237" s="6">
        <v>-95.3030529</v>
      </c>
    </row>
    <row r="1238" ht="15.75" customHeight="1">
      <c r="A1238" s="6">
        <v>14262.0</v>
      </c>
      <c r="B1238" s="6">
        <v>2022.0</v>
      </c>
      <c r="C1238" s="6" t="str">
        <f t="shared" si="5"/>
        <v>4805 PALISADE DR,Houston,Texas</v>
      </c>
      <c r="D1238" s="6" t="s">
        <v>2138</v>
      </c>
      <c r="E1238" s="6" t="s">
        <v>25</v>
      </c>
      <c r="F1238" s="6" t="s">
        <v>26</v>
      </c>
      <c r="G1238" s="6" t="s">
        <v>301</v>
      </c>
      <c r="H1238" s="6" t="s">
        <v>50</v>
      </c>
      <c r="I1238" s="6" t="str">
        <f>VLOOKUP(H1238,'Flow Location'!$A$1:$B$21,2,FALSE)</f>
        <v>Contained On Site, not within 5 ft. of Bayou/Surface Water/Drainage Ditch</v>
      </c>
      <c r="J1238" s="20">
        <v>0.0</v>
      </c>
      <c r="K1238" s="6" t="s">
        <v>51</v>
      </c>
      <c r="L1238" s="6" t="str">
        <f>VLOOKUP(K1238,'Structure type'!$A$1:$B$15,2,FALSE)</f>
        <v>Private Cleanout</v>
      </c>
      <c r="M1238" s="6" t="s">
        <v>30</v>
      </c>
      <c r="N1238" s="6" t="str">
        <f>VLOOKUP(M1238,'Excursion Cause'!$A$1:$B$34,2,FALSE)</f>
        <v>Grease Blockage</v>
      </c>
      <c r="O1238" s="21">
        <v>44641.0</v>
      </c>
      <c r="P1238" s="6" t="s">
        <v>149</v>
      </c>
      <c r="Q1238" s="21">
        <v>44641.0</v>
      </c>
      <c r="R1238" s="6" t="s">
        <v>149</v>
      </c>
      <c r="S1238" s="20">
        <v>0.0</v>
      </c>
      <c r="T1238" s="6" t="s">
        <v>33</v>
      </c>
      <c r="U1238" s="6"/>
      <c r="V1238" s="6"/>
      <c r="W1238" s="6">
        <v>29.6470949</v>
      </c>
      <c r="X1238" s="6">
        <v>-95.3541979</v>
      </c>
    </row>
    <row r="1239" ht="15.75" customHeight="1">
      <c r="A1239" s="6">
        <v>14267.0</v>
      </c>
      <c r="B1239" s="6">
        <v>2022.0</v>
      </c>
      <c r="C1239" s="6" t="str">
        <f t="shared" si="5"/>
        <v>2700 DAIRY ASHFORD ST,Houston,Texas</v>
      </c>
      <c r="D1239" s="6" t="s">
        <v>2139</v>
      </c>
      <c r="E1239" s="6" t="s">
        <v>25</v>
      </c>
      <c r="F1239" s="6" t="s">
        <v>26</v>
      </c>
      <c r="G1239" s="6" t="s">
        <v>313</v>
      </c>
      <c r="H1239" s="6" t="s">
        <v>1724</v>
      </c>
      <c r="I1239" s="6" t="str">
        <f>VLOOKUP(H1239,'Flow Location'!$A$1:$B$21,2,FALSE)</f>
        <v>Storm Sewer (not contained)</v>
      </c>
      <c r="J1239" s="20">
        <v>2272.0</v>
      </c>
      <c r="K1239" s="6" t="s">
        <v>290</v>
      </c>
      <c r="L1239" s="6" t="str">
        <f>VLOOKUP(K1239,'Structure type'!$A$1:$B$15,2,FALSE)</f>
        <v>Gravity Main</v>
      </c>
      <c r="M1239" s="6" t="s">
        <v>2140</v>
      </c>
      <c r="N1239" s="6" t="str">
        <f>VLOOKUP(M1239,'Excursion Cause'!$A$1:$B$34,2,FALSE)</f>
        <v>Grease Blockage</v>
      </c>
      <c r="O1239" s="21">
        <v>44641.0</v>
      </c>
      <c r="P1239" s="6" t="s">
        <v>2141</v>
      </c>
      <c r="Q1239" s="21">
        <v>44642.0</v>
      </c>
      <c r="R1239" s="6" t="s">
        <v>353</v>
      </c>
      <c r="S1239" s="20">
        <v>2.0</v>
      </c>
      <c r="T1239" s="6" t="s">
        <v>2142</v>
      </c>
      <c r="U1239" s="6"/>
      <c r="V1239" s="6"/>
      <c r="W1239" s="6">
        <v>29.7346605</v>
      </c>
      <c r="X1239" s="6">
        <v>-95.6076462</v>
      </c>
    </row>
    <row r="1240" ht="15.75" customHeight="1">
      <c r="A1240" s="6">
        <v>14271.0</v>
      </c>
      <c r="B1240" s="6">
        <v>2022.0</v>
      </c>
      <c r="C1240" s="6" t="str">
        <f t="shared" si="5"/>
        <v>4701 PEASE ST,Houston,Texas</v>
      </c>
      <c r="D1240" s="6" t="s">
        <v>738</v>
      </c>
      <c r="E1240" s="6" t="s">
        <v>25</v>
      </c>
      <c r="F1240" s="6" t="s">
        <v>26</v>
      </c>
      <c r="G1240" s="6" t="s">
        <v>141</v>
      </c>
      <c r="H1240" s="6" t="s">
        <v>28</v>
      </c>
      <c r="I1240" s="6" t="str">
        <f>VLOOKUP(H1240,'Flow Location'!$A$1:$B$21,2,FALSE)</f>
        <v>Storm Sewer (not contained)</v>
      </c>
      <c r="J1240" s="20">
        <v>1020.0</v>
      </c>
      <c r="K1240" s="6" t="s">
        <v>29</v>
      </c>
      <c r="L1240" s="6" t="str">
        <f>VLOOKUP(K1240,'Structure type'!$A$1:$B$15,2,FALSE)</f>
        <v>Manhole</v>
      </c>
      <c r="M1240" s="6" t="s">
        <v>2143</v>
      </c>
      <c r="N1240" s="6" t="str">
        <f>VLOOKUP(M1240,'Excursion Cause'!$A$1:$B$34,2,FALSE)</f>
        <v>Collection system wet weather</v>
      </c>
      <c r="O1240" s="21">
        <v>44642.0</v>
      </c>
      <c r="P1240" s="6" t="s">
        <v>821</v>
      </c>
      <c r="Q1240" s="21">
        <v>44642.0</v>
      </c>
      <c r="R1240" s="6" t="s">
        <v>573</v>
      </c>
      <c r="S1240" s="20">
        <v>10.0</v>
      </c>
      <c r="T1240" s="6" t="s">
        <v>118</v>
      </c>
      <c r="U1240" s="6"/>
      <c r="V1240" s="6"/>
      <c r="W1240" s="6">
        <v>29.7340064</v>
      </c>
      <c r="X1240" s="6">
        <v>-95.3319999</v>
      </c>
    </row>
    <row r="1241" ht="15.75" customHeight="1">
      <c r="A1241" s="6">
        <v>14272.0</v>
      </c>
      <c r="B1241" s="6">
        <v>2022.0</v>
      </c>
      <c r="C1241" s="6" t="str">
        <f t="shared" si="5"/>
        <v>1301 WAYSIDE DR,Houston,Texas</v>
      </c>
      <c r="D1241" s="6" t="s">
        <v>459</v>
      </c>
      <c r="E1241" s="6" t="s">
        <v>25</v>
      </c>
      <c r="F1241" s="6" t="s">
        <v>26</v>
      </c>
      <c r="G1241" s="6" t="s">
        <v>227</v>
      </c>
      <c r="H1241" s="6" t="s">
        <v>28</v>
      </c>
      <c r="I1241" s="6" t="str">
        <f>VLOOKUP(H1241,'Flow Location'!$A$1:$B$21,2,FALSE)</f>
        <v>Storm Sewer (not contained)</v>
      </c>
      <c r="J1241" s="20">
        <v>761.0</v>
      </c>
      <c r="K1241" s="6" t="s">
        <v>29</v>
      </c>
      <c r="L1241" s="6" t="str">
        <f>VLOOKUP(K1241,'Structure type'!$A$1:$B$15,2,FALSE)</f>
        <v>Manhole</v>
      </c>
      <c r="M1241" s="6" t="s">
        <v>2144</v>
      </c>
      <c r="N1241" s="6" t="str">
        <f>VLOOKUP(M1241,'Excursion Cause'!$A$1:$B$34,2,FALSE)</f>
        <v>Collection system wet weather</v>
      </c>
      <c r="O1241" s="21">
        <v>44642.0</v>
      </c>
      <c r="P1241" s="6" t="s">
        <v>62</v>
      </c>
      <c r="Q1241" s="21">
        <v>44642.0</v>
      </c>
      <c r="R1241" s="6" t="s">
        <v>369</v>
      </c>
      <c r="S1241" s="20">
        <v>6.0</v>
      </c>
      <c r="T1241" s="6" t="s">
        <v>118</v>
      </c>
      <c r="U1241" s="6"/>
      <c r="V1241" s="6"/>
      <c r="W1241" s="6">
        <v>29.7730511</v>
      </c>
      <c r="X1241" s="6">
        <v>-95.2917465</v>
      </c>
    </row>
    <row r="1242" ht="15.75" customHeight="1">
      <c r="A1242" s="6">
        <v>14273.0</v>
      </c>
      <c r="B1242" s="6">
        <v>2022.0</v>
      </c>
      <c r="C1242" s="6" t="str">
        <f t="shared" si="5"/>
        <v>6820 LYONS AVE,Houston,Texas</v>
      </c>
      <c r="D1242" s="6" t="s">
        <v>461</v>
      </c>
      <c r="E1242" s="6" t="s">
        <v>25</v>
      </c>
      <c r="F1242" s="6" t="s">
        <v>26</v>
      </c>
      <c r="G1242" s="6" t="s">
        <v>86</v>
      </c>
      <c r="H1242" s="6" t="s">
        <v>28</v>
      </c>
      <c r="I1242" s="6" t="str">
        <f>VLOOKUP(H1242,'Flow Location'!$A$1:$B$21,2,FALSE)</f>
        <v>Storm Sewer (not contained)</v>
      </c>
      <c r="J1242" s="20">
        <v>761.0</v>
      </c>
      <c r="K1242" s="6" t="s">
        <v>29</v>
      </c>
      <c r="L1242" s="6" t="str">
        <f>VLOOKUP(K1242,'Structure type'!$A$1:$B$15,2,FALSE)</f>
        <v>Manhole</v>
      </c>
      <c r="M1242" s="6" t="s">
        <v>2145</v>
      </c>
      <c r="N1242" s="6" t="str">
        <f>VLOOKUP(M1242,'Excursion Cause'!$A$1:$B$34,2,FALSE)</f>
        <v>Collection system wet weather</v>
      </c>
      <c r="O1242" s="21">
        <v>44642.0</v>
      </c>
      <c r="P1242" s="6" t="s">
        <v>672</v>
      </c>
      <c r="Q1242" s="21">
        <v>44642.0</v>
      </c>
      <c r="R1242" s="6" t="s">
        <v>672</v>
      </c>
      <c r="S1242" s="20">
        <v>0.0</v>
      </c>
      <c r="T1242" s="6" t="s">
        <v>118</v>
      </c>
      <c r="U1242" s="6"/>
      <c r="V1242" s="6"/>
      <c r="W1242" s="6">
        <v>29.7763237</v>
      </c>
      <c r="X1242" s="6">
        <v>-95.3015022</v>
      </c>
    </row>
    <row r="1243" ht="15.75" customHeight="1">
      <c r="A1243" s="6">
        <v>14280.0</v>
      </c>
      <c r="B1243" s="6">
        <v>2022.0</v>
      </c>
      <c r="C1243" s="6" t="str">
        <f t="shared" si="5"/>
        <v>13026 MARKET ST,Houston,Texas</v>
      </c>
      <c r="D1243" s="6" t="s">
        <v>2146</v>
      </c>
      <c r="E1243" s="6" t="s">
        <v>25</v>
      </c>
      <c r="F1243" s="6" t="s">
        <v>26</v>
      </c>
      <c r="G1243" s="6" t="s">
        <v>623</v>
      </c>
      <c r="H1243" s="6" t="s">
        <v>50</v>
      </c>
      <c r="I1243" s="6" t="str">
        <f>VLOOKUP(H1243,'Flow Location'!$A$1:$B$21,2,FALSE)</f>
        <v>Contained On Site, not within 5 ft. of Bayou/Surface Water/Drainage Ditch</v>
      </c>
      <c r="J1243" s="20">
        <v>0.0</v>
      </c>
      <c r="K1243" s="6" t="s">
        <v>45</v>
      </c>
      <c r="L1243" s="6" t="str">
        <f>VLOOKUP(K1243,'Structure type'!$A$1:$B$15,2,FALSE)</f>
        <v>City Cleanout</v>
      </c>
      <c r="M1243" s="6" t="s">
        <v>56</v>
      </c>
      <c r="N1243" s="6" t="str">
        <f>VLOOKUP(M1243,'Excursion Cause'!$A$1:$B$34,2,FALSE)</f>
        <v>Rags/Wipes</v>
      </c>
      <c r="O1243" s="21">
        <v>44642.0</v>
      </c>
      <c r="P1243" s="6" t="s">
        <v>564</v>
      </c>
      <c r="Q1243" s="21">
        <v>44642.0</v>
      </c>
      <c r="R1243" s="6" t="s">
        <v>564</v>
      </c>
      <c r="S1243" s="20">
        <v>0.0</v>
      </c>
      <c r="T1243" s="6" t="s">
        <v>170</v>
      </c>
      <c r="U1243" s="6"/>
      <c r="V1243" s="6"/>
      <c r="W1243" s="6">
        <v>29.767733</v>
      </c>
      <c r="X1243" s="6">
        <v>-95.1959407</v>
      </c>
    </row>
    <row r="1244" ht="15.75" customHeight="1">
      <c r="A1244" s="6">
        <v>14284.0</v>
      </c>
      <c r="B1244" s="6">
        <v>2022.0</v>
      </c>
      <c r="C1244" s="6" t="str">
        <f t="shared" si="5"/>
        <v>9226 TALTON ST,Houston,Texas</v>
      </c>
      <c r="D1244" s="6" t="s">
        <v>1512</v>
      </c>
      <c r="E1244" s="6" t="s">
        <v>25</v>
      </c>
      <c r="F1244" s="6" t="s">
        <v>26</v>
      </c>
      <c r="G1244" s="6" t="s">
        <v>387</v>
      </c>
      <c r="H1244" s="6" t="s">
        <v>50</v>
      </c>
      <c r="I1244" s="6" t="str">
        <f>VLOOKUP(H1244,'Flow Location'!$A$1:$B$21,2,FALSE)</f>
        <v>Contained On Site, not within 5 ft. of Bayou/Surface Water/Drainage Ditch</v>
      </c>
      <c r="J1244" s="20">
        <v>0.0</v>
      </c>
      <c r="K1244" s="6" t="s">
        <v>198</v>
      </c>
      <c r="L1244" s="6" t="str">
        <f>VLOOKUP(K1244,'Structure type'!$A$1:$B$15,2,FALSE)</f>
        <v>Service Lateral</v>
      </c>
      <c r="M1244" s="6" t="s">
        <v>56</v>
      </c>
      <c r="N1244" s="6" t="str">
        <f>VLOOKUP(M1244,'Excursion Cause'!$A$1:$B$34,2,FALSE)</f>
        <v>Rags/Wipes</v>
      </c>
      <c r="O1244" s="21">
        <v>44642.0</v>
      </c>
      <c r="P1244" s="6" t="s">
        <v>2147</v>
      </c>
      <c r="Q1244" s="21">
        <v>44642.0</v>
      </c>
      <c r="R1244" s="6" t="s">
        <v>2147</v>
      </c>
      <c r="S1244" s="20">
        <v>0.0</v>
      </c>
      <c r="T1244" s="6" t="s">
        <v>170</v>
      </c>
      <c r="U1244" s="6"/>
      <c r="V1244" s="6"/>
      <c r="W1244" s="6">
        <v>29.8438026</v>
      </c>
      <c r="X1244" s="6">
        <v>-95.2535732</v>
      </c>
    </row>
    <row r="1245" ht="15.75" customHeight="1">
      <c r="A1245" s="6">
        <v>14285.0</v>
      </c>
      <c r="B1245" s="6">
        <v>2022.0</v>
      </c>
      <c r="C1245" s="6" t="str">
        <f t="shared" si="5"/>
        <v>6801 WARD ST,Houston,Texas</v>
      </c>
      <c r="D1245" s="6" t="s">
        <v>2082</v>
      </c>
      <c r="E1245" s="6" t="s">
        <v>25</v>
      </c>
      <c r="F1245" s="6" t="s">
        <v>26</v>
      </c>
      <c r="G1245" s="6" t="s">
        <v>238</v>
      </c>
      <c r="H1245" s="6" t="s">
        <v>1724</v>
      </c>
      <c r="I1245" s="6" t="str">
        <f>VLOOKUP(H1245,'Flow Location'!$A$1:$B$21,2,FALSE)</f>
        <v>Storm Sewer (not contained)</v>
      </c>
      <c r="J1245" s="20">
        <v>0.0</v>
      </c>
      <c r="K1245" s="6" t="s">
        <v>45</v>
      </c>
      <c r="L1245" s="6" t="str">
        <f>VLOOKUP(K1245,'Structure type'!$A$1:$B$15,2,FALSE)</f>
        <v>City Cleanout</v>
      </c>
      <c r="M1245" s="6" t="s">
        <v>56</v>
      </c>
      <c r="N1245" s="6" t="str">
        <f>VLOOKUP(M1245,'Excursion Cause'!$A$1:$B$34,2,FALSE)</f>
        <v>Rags/Wipes</v>
      </c>
      <c r="O1245" s="21">
        <v>44642.0</v>
      </c>
      <c r="P1245" s="6" t="s">
        <v>486</v>
      </c>
      <c r="Q1245" s="21">
        <v>44642.0</v>
      </c>
      <c r="R1245" s="6" t="s">
        <v>486</v>
      </c>
      <c r="S1245" s="20">
        <v>0.0</v>
      </c>
      <c r="T1245" s="6" t="s">
        <v>2148</v>
      </c>
      <c r="U1245" s="6"/>
      <c r="V1245" s="6"/>
      <c r="W1245" s="6">
        <v>29.6867705</v>
      </c>
      <c r="X1245" s="6">
        <v>-95.3452882</v>
      </c>
    </row>
    <row r="1246" ht="15.75" customHeight="1">
      <c r="A1246" s="6">
        <v>14287.0</v>
      </c>
      <c r="B1246" s="6">
        <v>2022.0</v>
      </c>
      <c r="C1246" s="6" t="str">
        <f t="shared" si="5"/>
        <v>8405 SOUTHVIEW ST,Houston,Texas</v>
      </c>
      <c r="D1246" s="6" t="s">
        <v>2149</v>
      </c>
      <c r="E1246" s="6" t="s">
        <v>25</v>
      </c>
      <c r="F1246" s="6" t="s">
        <v>26</v>
      </c>
      <c r="G1246" s="6" t="s">
        <v>105</v>
      </c>
      <c r="H1246" s="6" t="s">
        <v>1724</v>
      </c>
      <c r="I1246" s="6" t="str">
        <f>VLOOKUP(H1246,'Flow Location'!$A$1:$B$21,2,FALSE)</f>
        <v>Storm Sewer (not contained)</v>
      </c>
      <c r="J1246" s="20">
        <v>0.0</v>
      </c>
      <c r="K1246" s="6" t="s">
        <v>45</v>
      </c>
      <c r="L1246" s="6" t="str">
        <f>VLOOKUP(K1246,'Structure type'!$A$1:$B$15,2,FALSE)</f>
        <v>City Cleanout</v>
      </c>
      <c r="M1246" s="6" t="s">
        <v>56</v>
      </c>
      <c r="N1246" s="6" t="str">
        <f>VLOOKUP(M1246,'Excursion Cause'!$A$1:$B$34,2,FALSE)</f>
        <v>Rags/Wipes</v>
      </c>
      <c r="O1246" s="21">
        <v>44642.0</v>
      </c>
      <c r="P1246" s="6" t="s">
        <v>606</v>
      </c>
      <c r="Q1246" s="21">
        <v>44642.0</v>
      </c>
      <c r="R1246" s="6" t="s">
        <v>606</v>
      </c>
      <c r="S1246" s="20">
        <v>0.0</v>
      </c>
      <c r="T1246" s="6" t="s">
        <v>2150</v>
      </c>
      <c r="U1246" s="6"/>
      <c r="V1246" s="6"/>
      <c r="W1246" s="6">
        <v>29.6696554</v>
      </c>
      <c r="X1246" s="6">
        <v>-95.3658425</v>
      </c>
    </row>
    <row r="1247" ht="15.75" customHeight="1">
      <c r="A1247" s="6">
        <v>14288.0</v>
      </c>
      <c r="B1247" s="6">
        <v>2022.0</v>
      </c>
      <c r="C1247" s="6" t="str">
        <f t="shared" si="5"/>
        <v>7400 BRETON RIDGE ST,Houston,Texas</v>
      </c>
      <c r="D1247" s="6" t="s">
        <v>2151</v>
      </c>
      <c r="E1247" s="6" t="s">
        <v>25</v>
      </c>
      <c r="F1247" s="6" t="s">
        <v>26</v>
      </c>
      <c r="G1247" s="6" t="s">
        <v>1461</v>
      </c>
      <c r="H1247" s="6" t="s">
        <v>28</v>
      </c>
      <c r="I1247" s="6" t="str">
        <f>VLOOKUP(H1247,'Flow Location'!$A$1:$B$21,2,FALSE)</f>
        <v>Storm Sewer (not contained)</v>
      </c>
      <c r="J1247" s="20">
        <v>1530.0</v>
      </c>
      <c r="K1247" s="6" t="s">
        <v>198</v>
      </c>
      <c r="L1247" s="6" t="str">
        <f>VLOOKUP(K1247,'Structure type'!$A$1:$B$15,2,FALSE)</f>
        <v>Service Lateral</v>
      </c>
      <c r="M1247" s="6" t="s">
        <v>2152</v>
      </c>
      <c r="N1247" s="6" t="str">
        <f>VLOOKUP(M1247,'Excursion Cause'!$A$1:$B$34,2,FALSE)</f>
        <v>Collection system structural failure</v>
      </c>
      <c r="O1247" s="21">
        <v>44642.0</v>
      </c>
      <c r="P1247" s="6" t="s">
        <v>2153</v>
      </c>
      <c r="Q1247" s="21">
        <v>44643.0</v>
      </c>
      <c r="R1247" s="6" t="s">
        <v>1608</v>
      </c>
      <c r="S1247" s="20">
        <v>1.0</v>
      </c>
      <c r="T1247" s="6" t="s">
        <v>118</v>
      </c>
      <c r="U1247" s="6"/>
      <c r="V1247" s="6"/>
      <c r="W1247" s="6">
        <v>29.9662534</v>
      </c>
      <c r="X1247" s="6">
        <v>-95.5392073</v>
      </c>
    </row>
    <row r="1248" ht="15.75" customHeight="1">
      <c r="A1248" s="6">
        <v>14289.0</v>
      </c>
      <c r="B1248" s="6">
        <v>2022.0</v>
      </c>
      <c r="C1248" s="6" t="str">
        <f t="shared" si="5"/>
        <v>9425 SCOTT ST,Houston,Texas</v>
      </c>
      <c r="D1248" s="6" t="s">
        <v>2154</v>
      </c>
      <c r="E1248" s="6" t="s">
        <v>25</v>
      </c>
      <c r="F1248" s="6" t="s">
        <v>26</v>
      </c>
      <c r="G1248" s="6" t="s">
        <v>105</v>
      </c>
      <c r="H1248" s="6" t="s">
        <v>1724</v>
      </c>
      <c r="I1248" s="6" t="str">
        <f>VLOOKUP(H1248,'Flow Location'!$A$1:$B$21,2,FALSE)</f>
        <v>Storm Sewer (not contained)</v>
      </c>
      <c r="J1248" s="20">
        <v>1292.0</v>
      </c>
      <c r="K1248" s="6" t="s">
        <v>29</v>
      </c>
      <c r="L1248" s="6" t="str">
        <f>VLOOKUP(K1248,'Structure type'!$A$1:$B$15,2,FALSE)</f>
        <v>Manhole</v>
      </c>
      <c r="M1248" s="6" t="s">
        <v>2155</v>
      </c>
      <c r="N1248" s="6" t="str">
        <f>VLOOKUP(M1248,'Excursion Cause'!$A$1:$B$34,2,FALSE)</f>
        <v>Grease Blockage</v>
      </c>
      <c r="O1248" s="21">
        <v>44642.0</v>
      </c>
      <c r="P1248" s="6" t="s">
        <v>549</v>
      </c>
      <c r="Q1248" s="21">
        <v>44643.0</v>
      </c>
      <c r="R1248" s="6" t="s">
        <v>304</v>
      </c>
      <c r="S1248" s="20">
        <v>1.0</v>
      </c>
      <c r="T1248" s="6" t="s">
        <v>2156</v>
      </c>
      <c r="U1248" s="6"/>
      <c r="V1248" s="6"/>
      <c r="W1248" s="6">
        <v>29.6546658</v>
      </c>
      <c r="X1248" s="6">
        <v>-95.3682136</v>
      </c>
    </row>
    <row r="1249" ht="15.75" customHeight="1">
      <c r="A1249" s="6">
        <v>14291.0</v>
      </c>
      <c r="B1249" s="6">
        <v>2022.0</v>
      </c>
      <c r="C1249" s="6" t="str">
        <f t="shared" si="5"/>
        <v>3615 OLD SPANISH TRL,Houston,Texas</v>
      </c>
      <c r="D1249" s="6" t="s">
        <v>2157</v>
      </c>
      <c r="E1249" s="6" t="s">
        <v>25</v>
      </c>
      <c r="F1249" s="6" t="s">
        <v>26</v>
      </c>
      <c r="G1249" s="6" t="s">
        <v>238</v>
      </c>
      <c r="H1249" s="6" t="s">
        <v>1724</v>
      </c>
      <c r="I1249" s="6" t="str">
        <f>VLOOKUP(H1249,'Flow Location'!$A$1:$B$21,2,FALSE)</f>
        <v>Storm Sewer (not contained)</v>
      </c>
      <c r="J1249" s="20">
        <v>3208.0</v>
      </c>
      <c r="K1249" s="6" t="s">
        <v>29</v>
      </c>
      <c r="L1249" s="6" t="str">
        <f>VLOOKUP(K1249,'Structure type'!$A$1:$B$15,2,FALSE)</f>
        <v>Manhole</v>
      </c>
      <c r="M1249" s="6" t="s">
        <v>2158</v>
      </c>
      <c r="N1249" s="6" t="str">
        <f>VLOOKUP(M1249,'Excursion Cause'!$A$1:$B$34,2,FALSE)</f>
        <v>Grease Blockage</v>
      </c>
      <c r="O1249" s="21">
        <v>44642.0</v>
      </c>
      <c r="P1249" s="6" t="s">
        <v>295</v>
      </c>
      <c r="Q1249" s="21">
        <v>44644.0</v>
      </c>
      <c r="R1249" s="6" t="s">
        <v>2159</v>
      </c>
      <c r="S1249" s="20">
        <v>1.0</v>
      </c>
      <c r="T1249" s="6" t="s">
        <v>2160</v>
      </c>
      <c r="U1249" s="6"/>
      <c r="V1249" s="6"/>
      <c r="W1249" s="6">
        <v>29.7026975</v>
      </c>
      <c r="X1249" s="6">
        <v>-95.3633488</v>
      </c>
    </row>
    <row r="1250" ht="15.75" customHeight="1">
      <c r="A1250" s="6">
        <v>14293.0</v>
      </c>
      <c r="B1250" s="6">
        <v>2022.0</v>
      </c>
      <c r="C1250" s="6" t="str">
        <f t="shared" si="5"/>
        <v>1922 BANKS ST,Houston,Texas</v>
      </c>
      <c r="D1250" s="6" t="s">
        <v>2161</v>
      </c>
      <c r="E1250" s="6" t="s">
        <v>25</v>
      </c>
      <c r="F1250" s="6" t="s">
        <v>26</v>
      </c>
      <c r="G1250" s="6" t="s">
        <v>112</v>
      </c>
      <c r="H1250" s="6" t="s">
        <v>50</v>
      </c>
      <c r="I1250" s="6" t="str">
        <f>VLOOKUP(H1250,'Flow Location'!$A$1:$B$21,2,FALSE)</f>
        <v>Contained On Site, not within 5 ft. of Bayou/Surface Water/Drainage Ditch</v>
      </c>
      <c r="J1250" s="20">
        <v>0.0</v>
      </c>
      <c r="K1250" s="6" t="s">
        <v>45</v>
      </c>
      <c r="L1250" s="6" t="str">
        <f>VLOOKUP(K1250,'Structure type'!$A$1:$B$15,2,FALSE)</f>
        <v>City Cleanout</v>
      </c>
      <c r="M1250" s="6" t="s">
        <v>52</v>
      </c>
      <c r="N1250" s="6" t="str">
        <f>VLOOKUP(M1250,'Excursion Cause'!$A$1:$B$34,2,FALSE)</f>
        <v>Collection system structural blockage</v>
      </c>
      <c r="O1250" s="21">
        <v>44642.0</v>
      </c>
      <c r="P1250" s="6" t="s">
        <v>1178</v>
      </c>
      <c r="Q1250" s="21">
        <v>44642.0</v>
      </c>
      <c r="R1250" s="6" t="s">
        <v>1178</v>
      </c>
      <c r="S1250" s="20">
        <v>0.0</v>
      </c>
      <c r="T1250" s="6" t="s">
        <v>170</v>
      </c>
      <c r="U1250" s="6"/>
      <c r="V1250" s="6"/>
      <c r="W1250" s="6">
        <v>29.7297908</v>
      </c>
      <c r="X1250" s="6">
        <v>-95.4063405</v>
      </c>
    </row>
    <row r="1251" ht="15.75" customHeight="1">
      <c r="A1251" s="6">
        <v>14304.0</v>
      </c>
      <c r="B1251" s="6">
        <v>2022.0</v>
      </c>
      <c r="C1251" s="6" t="str">
        <f t="shared" si="5"/>
        <v>8307 ROSWELL ST,Houston,Texas</v>
      </c>
      <c r="D1251" s="6" t="s">
        <v>652</v>
      </c>
      <c r="E1251" s="6" t="s">
        <v>25</v>
      </c>
      <c r="F1251" s="6" t="s">
        <v>26</v>
      </c>
      <c r="G1251" s="6" t="s">
        <v>653</v>
      </c>
      <c r="H1251" s="6" t="s">
        <v>2162</v>
      </c>
      <c r="I1251" s="6" t="str">
        <f>VLOOKUP(H1251,'Flow Location'!$A$1:$B$21,2,FALSE)</f>
        <v>Drainage Ditch</v>
      </c>
      <c r="J1251" s="20">
        <v>0.0</v>
      </c>
      <c r="K1251" s="6" t="s">
        <v>45</v>
      </c>
      <c r="L1251" s="6" t="str">
        <f>VLOOKUP(K1251,'Structure type'!$A$1:$B$15,2,FALSE)</f>
        <v>City Cleanout</v>
      </c>
      <c r="M1251" s="6" t="s">
        <v>2163</v>
      </c>
      <c r="N1251" s="6" t="str">
        <f>VLOOKUP(M1251,'Excursion Cause'!$A$1:$B$34,2,FALSE)</f>
        <v>Grease Blockage</v>
      </c>
      <c r="O1251" s="21">
        <v>44643.0</v>
      </c>
      <c r="P1251" s="6" t="s">
        <v>591</v>
      </c>
      <c r="Q1251" s="21">
        <v>44643.0</v>
      </c>
      <c r="R1251" s="6" t="s">
        <v>591</v>
      </c>
      <c r="S1251" s="20">
        <v>0.0</v>
      </c>
      <c r="T1251" s="6" t="s">
        <v>2164</v>
      </c>
      <c r="U1251" s="6"/>
      <c r="V1251" s="6"/>
      <c r="W1251" s="6">
        <v>29.8359839</v>
      </c>
      <c r="X1251" s="6">
        <v>-95.3695219</v>
      </c>
    </row>
    <row r="1252" ht="15.75" customHeight="1">
      <c r="A1252" s="6">
        <v>14308.0</v>
      </c>
      <c r="B1252" s="6">
        <v>2022.0</v>
      </c>
      <c r="C1252" s="6" t="str">
        <f t="shared" si="5"/>
        <v>10330 SCOTT ST,Houston,Texas</v>
      </c>
      <c r="D1252" s="6" t="s">
        <v>2165</v>
      </c>
      <c r="E1252" s="6" t="s">
        <v>25</v>
      </c>
      <c r="F1252" s="6" t="s">
        <v>26</v>
      </c>
      <c r="G1252" s="6" t="s">
        <v>105</v>
      </c>
      <c r="H1252" s="6" t="s">
        <v>1724</v>
      </c>
      <c r="I1252" s="6" t="str">
        <f>VLOOKUP(H1252,'Flow Location'!$A$1:$B$21,2,FALSE)</f>
        <v>Storm Sewer (not contained)</v>
      </c>
      <c r="J1252" s="20">
        <v>3045.0</v>
      </c>
      <c r="K1252" s="6" t="s">
        <v>29</v>
      </c>
      <c r="L1252" s="6" t="str">
        <f>VLOOKUP(K1252,'Structure type'!$A$1:$B$15,2,FALSE)</f>
        <v>Manhole</v>
      </c>
      <c r="M1252" s="6" t="s">
        <v>2166</v>
      </c>
      <c r="N1252" s="6" t="str">
        <f>VLOOKUP(M1252,'Excursion Cause'!$A$1:$B$34,2,FALSE)</f>
        <v>Grease Blockage</v>
      </c>
      <c r="O1252" s="21">
        <v>44643.0</v>
      </c>
      <c r="P1252" s="6" t="s">
        <v>2167</v>
      </c>
      <c r="Q1252" s="21">
        <v>44644.0</v>
      </c>
      <c r="R1252" s="6" t="s">
        <v>331</v>
      </c>
      <c r="S1252" s="20">
        <v>3.0</v>
      </c>
      <c r="T1252" s="6" t="s">
        <v>2168</v>
      </c>
      <c r="U1252" s="6"/>
      <c r="V1252" s="6"/>
      <c r="W1252" s="6">
        <v>29.6471085</v>
      </c>
      <c r="X1252" s="6">
        <v>-95.3687075</v>
      </c>
    </row>
    <row r="1253" ht="15.75" customHeight="1">
      <c r="A1253" s="6">
        <v>14309.0</v>
      </c>
      <c r="B1253" s="6">
        <v>2022.0</v>
      </c>
      <c r="C1253" s="6" t="str">
        <f t="shared" si="5"/>
        <v>8002 RIPTIDE DR,Houston,Texas</v>
      </c>
      <c r="D1253" s="6" t="s">
        <v>2169</v>
      </c>
      <c r="E1253" s="6" t="s">
        <v>25</v>
      </c>
      <c r="F1253" s="6" t="s">
        <v>26</v>
      </c>
      <c r="G1253" s="6" t="s">
        <v>91</v>
      </c>
      <c r="H1253" s="6" t="s">
        <v>50</v>
      </c>
      <c r="I1253" s="6" t="str">
        <f>VLOOKUP(H1253,'Flow Location'!$A$1:$B$21,2,FALSE)</f>
        <v>Contained On Site, not within 5 ft. of Bayou/Surface Water/Drainage Ditch</v>
      </c>
      <c r="J1253" s="20">
        <v>2937.0</v>
      </c>
      <c r="K1253" s="6" t="s">
        <v>51</v>
      </c>
      <c r="L1253" s="6" t="str">
        <f>VLOOKUP(K1253,'Structure type'!$A$1:$B$15,2,FALSE)</f>
        <v>Private Cleanout</v>
      </c>
      <c r="M1253" s="6" t="s">
        <v>30</v>
      </c>
      <c r="N1253" s="6" t="str">
        <f>VLOOKUP(M1253,'Excursion Cause'!$A$1:$B$34,2,FALSE)</f>
        <v>Grease Blockage</v>
      </c>
      <c r="O1253" s="21">
        <v>44643.0</v>
      </c>
      <c r="P1253" s="6" t="s">
        <v>2170</v>
      </c>
      <c r="Q1253" s="21">
        <v>44645.0</v>
      </c>
      <c r="R1253" s="6" t="s">
        <v>427</v>
      </c>
      <c r="S1253" s="20">
        <v>1.0</v>
      </c>
      <c r="T1253" s="6" t="s">
        <v>33</v>
      </c>
      <c r="U1253" s="6"/>
      <c r="V1253" s="6"/>
      <c r="W1253" s="6">
        <v>29.6908857</v>
      </c>
      <c r="X1253" s="6">
        <v>-95.5917315</v>
      </c>
    </row>
    <row r="1254" ht="15.75" customHeight="1">
      <c r="A1254" s="6">
        <v>14310.0</v>
      </c>
      <c r="B1254" s="6">
        <v>2022.0</v>
      </c>
      <c r="C1254" s="6" t="str">
        <f t="shared" si="5"/>
        <v>13602 SUNROSE LN,Houston,Texas</v>
      </c>
      <c r="D1254" s="6" t="s">
        <v>2171</v>
      </c>
      <c r="E1254" s="6" t="s">
        <v>25</v>
      </c>
      <c r="F1254" s="6" t="s">
        <v>26</v>
      </c>
      <c r="G1254" s="6" t="s">
        <v>39</v>
      </c>
      <c r="H1254" s="6" t="s">
        <v>1977</v>
      </c>
      <c r="I1254" s="6" t="str">
        <f>VLOOKUP(H1254,'Flow Location'!$A$1:$B$21,2,FALSE)</f>
        <v>Bayou/surface water/drainage ditch</v>
      </c>
      <c r="J1254" s="20">
        <v>584.0</v>
      </c>
      <c r="K1254" s="6" t="s">
        <v>29</v>
      </c>
      <c r="L1254" s="6" t="str">
        <f>VLOOKUP(K1254,'Structure type'!$A$1:$B$15,2,FALSE)</f>
        <v>Manhole</v>
      </c>
      <c r="M1254" s="6" t="s">
        <v>30</v>
      </c>
      <c r="N1254" s="6" t="str">
        <f>VLOOKUP(M1254,'Excursion Cause'!$A$1:$B$34,2,FALSE)</f>
        <v>Grease Blockage</v>
      </c>
      <c r="O1254" s="21">
        <v>44644.0</v>
      </c>
      <c r="P1254" s="6" t="s">
        <v>709</v>
      </c>
      <c r="Q1254" s="21">
        <v>44644.0</v>
      </c>
      <c r="R1254" s="6" t="s">
        <v>212</v>
      </c>
      <c r="S1254" s="20">
        <v>2.0</v>
      </c>
      <c r="T1254" s="6" t="s">
        <v>33</v>
      </c>
      <c r="U1254" s="6"/>
      <c r="V1254" s="6"/>
      <c r="W1254" s="6">
        <v>29.6299765</v>
      </c>
      <c r="X1254" s="6">
        <v>-95.4630924</v>
      </c>
    </row>
    <row r="1255" ht="15.75" customHeight="1">
      <c r="A1255" s="6">
        <v>14315.0</v>
      </c>
      <c r="B1255" s="6">
        <v>2022.0</v>
      </c>
      <c r="C1255" s="6" t="str">
        <f t="shared" si="5"/>
        <v>1003 KELLEY ST,Houston,Texas</v>
      </c>
      <c r="D1255" s="6" t="s">
        <v>1696</v>
      </c>
      <c r="E1255" s="6" t="s">
        <v>25</v>
      </c>
      <c r="F1255" s="6" t="s">
        <v>26</v>
      </c>
      <c r="G1255" s="6" t="s">
        <v>161</v>
      </c>
      <c r="H1255" s="6" t="s">
        <v>50</v>
      </c>
      <c r="I1255" s="6" t="str">
        <f>VLOOKUP(H1255,'Flow Location'!$A$1:$B$21,2,FALSE)</f>
        <v>Contained On Site, not within 5 ft. of Bayou/Surface Water/Drainage Ditch</v>
      </c>
      <c r="J1255" s="20">
        <v>0.0</v>
      </c>
      <c r="K1255" s="6" t="s">
        <v>51</v>
      </c>
      <c r="L1255" s="6" t="str">
        <f>VLOOKUP(K1255,'Structure type'!$A$1:$B$15,2,FALSE)</f>
        <v>Private Cleanout</v>
      </c>
      <c r="M1255" s="6" t="s">
        <v>56</v>
      </c>
      <c r="N1255" s="6" t="str">
        <f>VLOOKUP(M1255,'Excursion Cause'!$A$1:$B$34,2,FALSE)</f>
        <v>Rags/Wipes</v>
      </c>
      <c r="O1255" s="21">
        <v>44644.0</v>
      </c>
      <c r="P1255" s="6" t="s">
        <v>709</v>
      </c>
      <c r="Q1255" s="21">
        <v>44644.0</v>
      </c>
      <c r="R1255" s="6" t="s">
        <v>709</v>
      </c>
      <c r="S1255" s="20">
        <v>0.0</v>
      </c>
      <c r="T1255" s="6" t="s">
        <v>54</v>
      </c>
      <c r="U1255" s="6"/>
      <c r="V1255" s="6"/>
      <c r="W1255" s="6">
        <v>29.8134749</v>
      </c>
      <c r="X1255" s="6">
        <v>-95.3584535</v>
      </c>
    </row>
    <row r="1256" ht="15.75" customHeight="1">
      <c r="A1256" s="6">
        <v>14317.0</v>
      </c>
      <c r="B1256" s="6">
        <v>2022.0</v>
      </c>
      <c r="C1256" s="6" t="str">
        <f t="shared" si="5"/>
        <v>8209 MUNN ST,Houston,Texas</v>
      </c>
      <c r="D1256" s="6" t="s">
        <v>2172</v>
      </c>
      <c r="E1256" s="6" t="s">
        <v>25</v>
      </c>
      <c r="F1256" s="6" t="s">
        <v>26</v>
      </c>
      <c r="G1256" s="6" t="s">
        <v>247</v>
      </c>
      <c r="H1256" s="6" t="s">
        <v>50</v>
      </c>
      <c r="I1256" s="6" t="str">
        <f>VLOOKUP(H1256,'Flow Location'!$A$1:$B$21,2,FALSE)</f>
        <v>Contained On Site, not within 5 ft. of Bayou/Surface Water/Drainage Ditch</v>
      </c>
      <c r="J1256" s="20">
        <v>0.0</v>
      </c>
      <c r="K1256" s="6" t="s">
        <v>51</v>
      </c>
      <c r="L1256" s="6" t="str">
        <f>VLOOKUP(K1256,'Structure type'!$A$1:$B$15,2,FALSE)</f>
        <v>Private Cleanout</v>
      </c>
      <c r="M1256" s="6" t="s">
        <v>52</v>
      </c>
      <c r="N1256" s="6" t="str">
        <f>VLOOKUP(M1256,'Excursion Cause'!$A$1:$B$34,2,FALSE)</f>
        <v>Collection system structural blockage</v>
      </c>
      <c r="O1256" s="21">
        <v>44644.0</v>
      </c>
      <c r="P1256" s="6" t="s">
        <v>369</v>
      </c>
      <c r="Q1256" s="21">
        <v>44644.0</v>
      </c>
      <c r="R1256" s="6" t="s">
        <v>369</v>
      </c>
      <c r="S1256" s="20">
        <v>0.0</v>
      </c>
      <c r="T1256" s="6" t="s">
        <v>89</v>
      </c>
      <c r="U1256" s="6"/>
      <c r="V1256" s="6"/>
      <c r="W1256" s="6">
        <v>29.7613705</v>
      </c>
      <c r="X1256" s="6">
        <v>-95.2817296</v>
      </c>
    </row>
    <row r="1257" ht="15.75" customHeight="1">
      <c r="A1257" s="6">
        <v>14318.0</v>
      </c>
      <c r="B1257" s="6">
        <v>2022.0</v>
      </c>
      <c r="C1257" s="6" t="str">
        <f t="shared" si="5"/>
        <v>4707 CALLERY CREEK DR,Houston,Texas</v>
      </c>
      <c r="D1257" s="6" t="s">
        <v>2173</v>
      </c>
      <c r="E1257" s="6" t="s">
        <v>25</v>
      </c>
      <c r="F1257" s="6" t="s">
        <v>26</v>
      </c>
      <c r="G1257" s="6" t="s">
        <v>517</v>
      </c>
      <c r="H1257" s="6" t="s">
        <v>50</v>
      </c>
      <c r="I1257" s="6" t="str">
        <f>VLOOKUP(H1257,'Flow Location'!$A$1:$B$21,2,FALSE)</f>
        <v>Contained On Site, not within 5 ft. of Bayou/Surface Water/Drainage Ditch</v>
      </c>
      <c r="J1257" s="20">
        <v>516.0</v>
      </c>
      <c r="K1257" s="6" t="s">
        <v>29</v>
      </c>
      <c r="L1257" s="6" t="str">
        <f>VLOOKUP(K1257,'Structure type'!$A$1:$B$15,2,FALSE)</f>
        <v>Manhole</v>
      </c>
      <c r="M1257" s="6" t="s">
        <v>30</v>
      </c>
      <c r="N1257" s="6" t="str">
        <f>VLOOKUP(M1257,'Excursion Cause'!$A$1:$B$34,2,FALSE)</f>
        <v>Grease Blockage</v>
      </c>
      <c r="O1257" s="21">
        <v>44644.0</v>
      </c>
      <c r="P1257" s="6" t="s">
        <v>2174</v>
      </c>
      <c r="Q1257" s="21">
        <v>44645.0</v>
      </c>
      <c r="R1257" s="6" t="s">
        <v>2175</v>
      </c>
      <c r="S1257" s="20">
        <v>2.0</v>
      </c>
      <c r="T1257" s="6" t="s">
        <v>33</v>
      </c>
      <c r="U1257" s="6"/>
      <c r="V1257" s="6"/>
      <c r="W1257" s="6">
        <v>29.5953616</v>
      </c>
      <c r="X1257" s="6">
        <v>-95.4510368</v>
      </c>
    </row>
    <row r="1258" ht="15.75" customHeight="1">
      <c r="A1258" s="6">
        <v>14319.0</v>
      </c>
      <c r="B1258" s="6">
        <v>2022.0</v>
      </c>
      <c r="C1258" s="6" t="str">
        <f t="shared" si="5"/>
        <v>12342 ORMANDY ST,Houston,Texas</v>
      </c>
      <c r="D1258" s="6" t="s">
        <v>2176</v>
      </c>
      <c r="E1258" s="6" t="s">
        <v>25</v>
      </c>
      <c r="F1258" s="6" t="s">
        <v>26</v>
      </c>
      <c r="G1258" s="6" t="s">
        <v>384</v>
      </c>
      <c r="H1258" s="6" t="s">
        <v>50</v>
      </c>
      <c r="I1258" s="6" t="str">
        <f>VLOOKUP(H1258,'Flow Location'!$A$1:$B$21,2,FALSE)</f>
        <v>Contained On Site, not within 5 ft. of Bayou/Surface Water/Drainage Ditch</v>
      </c>
      <c r="J1258" s="20">
        <v>0.0</v>
      </c>
      <c r="K1258" s="6" t="s">
        <v>29</v>
      </c>
      <c r="L1258" s="6" t="str">
        <f>VLOOKUP(K1258,'Structure type'!$A$1:$B$15,2,FALSE)</f>
        <v>Manhole</v>
      </c>
      <c r="M1258" s="6" t="s">
        <v>30</v>
      </c>
      <c r="N1258" s="6" t="str">
        <f>VLOOKUP(M1258,'Excursion Cause'!$A$1:$B$34,2,FALSE)</f>
        <v>Grease Blockage</v>
      </c>
      <c r="O1258" s="21">
        <v>44644.0</v>
      </c>
      <c r="P1258" s="6" t="s">
        <v>145</v>
      </c>
      <c r="Q1258" s="21">
        <v>44644.0</v>
      </c>
      <c r="R1258" s="6" t="s">
        <v>145</v>
      </c>
      <c r="S1258" s="20">
        <v>0.0</v>
      </c>
      <c r="T1258" s="6" t="s">
        <v>33</v>
      </c>
      <c r="U1258" s="6"/>
      <c r="V1258" s="6"/>
      <c r="W1258" s="6">
        <v>29.6287926</v>
      </c>
      <c r="X1258" s="6">
        <v>-95.5056929</v>
      </c>
    </row>
    <row r="1259" ht="15.75" customHeight="1">
      <c r="A1259" s="6">
        <v>14320.0</v>
      </c>
      <c r="B1259" s="6">
        <v>2022.0</v>
      </c>
      <c r="C1259" s="6" t="str">
        <f t="shared" si="5"/>
        <v>5063 CALHOUN RD,Houston,Texas</v>
      </c>
      <c r="D1259" s="6" t="s">
        <v>1890</v>
      </c>
      <c r="E1259" s="6" t="s">
        <v>25</v>
      </c>
      <c r="F1259" s="6" t="s">
        <v>26</v>
      </c>
      <c r="G1259" s="6" t="s">
        <v>308</v>
      </c>
      <c r="H1259" s="6" t="s">
        <v>1724</v>
      </c>
      <c r="I1259" s="6" t="str">
        <f>VLOOKUP(H1259,'Flow Location'!$A$1:$B$21,2,FALSE)</f>
        <v>Storm Sewer (not contained)</v>
      </c>
      <c r="J1259" s="20">
        <v>890.0</v>
      </c>
      <c r="K1259" s="6" t="s">
        <v>29</v>
      </c>
      <c r="L1259" s="6" t="str">
        <f>VLOOKUP(K1259,'Structure type'!$A$1:$B$15,2,FALSE)</f>
        <v>Manhole</v>
      </c>
      <c r="M1259" s="6" t="s">
        <v>2177</v>
      </c>
      <c r="N1259" s="6" t="str">
        <f>VLOOKUP(M1259,'Excursion Cause'!$A$1:$B$34,2,FALSE)</f>
        <v>Grease Blockage</v>
      </c>
      <c r="O1259" s="21">
        <v>44644.0</v>
      </c>
      <c r="P1259" s="6" t="s">
        <v>1031</v>
      </c>
      <c r="Q1259" s="21">
        <v>44644.0</v>
      </c>
      <c r="R1259" s="6" t="s">
        <v>862</v>
      </c>
      <c r="S1259" s="20">
        <v>5.0</v>
      </c>
      <c r="T1259" s="6" t="s">
        <v>2178</v>
      </c>
      <c r="U1259" s="6"/>
      <c r="V1259" s="6"/>
      <c r="W1259" s="6">
        <v>29.7129823</v>
      </c>
      <c r="X1259" s="6">
        <v>-95.3410342</v>
      </c>
    </row>
    <row r="1260" ht="15.75" customHeight="1">
      <c r="A1260" s="6">
        <v>14322.0</v>
      </c>
      <c r="B1260" s="6">
        <v>2022.0</v>
      </c>
      <c r="C1260" s="6" t="str">
        <f t="shared" si="5"/>
        <v>12901 BARCUS LN,Houston,Texas</v>
      </c>
      <c r="D1260" s="6" t="s">
        <v>2179</v>
      </c>
      <c r="E1260" s="6" t="s">
        <v>25</v>
      </c>
      <c r="F1260" s="6" t="s">
        <v>26</v>
      </c>
      <c r="G1260" s="6" t="s">
        <v>623</v>
      </c>
      <c r="H1260" s="6" t="s">
        <v>44</v>
      </c>
      <c r="I1260" s="6" t="str">
        <f>VLOOKUP(H1260,'Flow Location'!$A$1:$B$21,2,FALSE)</f>
        <v>Bayou/surface water/drainage ditch</v>
      </c>
      <c r="J1260" s="20">
        <v>0.0</v>
      </c>
      <c r="K1260" s="6" t="s">
        <v>45</v>
      </c>
      <c r="L1260" s="6" t="str">
        <f>VLOOKUP(K1260,'Structure type'!$A$1:$B$15,2,FALSE)</f>
        <v>City Cleanout</v>
      </c>
      <c r="M1260" s="6" t="s">
        <v>2180</v>
      </c>
      <c r="N1260" s="6" t="str">
        <f>VLOOKUP(M1260,'Excursion Cause'!$A$1:$B$34,2,FALSE)</f>
        <v>Collection system temporary blockage</v>
      </c>
      <c r="O1260" s="21">
        <v>44644.0</v>
      </c>
      <c r="P1260" s="6" t="s">
        <v>940</v>
      </c>
      <c r="Q1260" s="21">
        <v>44644.0</v>
      </c>
      <c r="R1260" s="6" t="s">
        <v>940</v>
      </c>
      <c r="S1260" s="20">
        <v>0.0</v>
      </c>
      <c r="T1260" s="6" t="s">
        <v>270</v>
      </c>
      <c r="U1260" s="6"/>
      <c r="V1260" s="6"/>
      <c r="W1260" s="6">
        <v>29.7696984</v>
      </c>
      <c r="X1260" s="6">
        <v>-95.2020077</v>
      </c>
    </row>
    <row r="1261" ht="15.75" customHeight="1">
      <c r="A1261" s="6">
        <v>14324.0</v>
      </c>
      <c r="B1261" s="6">
        <v>2022.0</v>
      </c>
      <c r="C1261" s="6" t="str">
        <f t="shared" si="5"/>
        <v>214 CLINTON PARK ST,Houston,Texas</v>
      </c>
      <c r="D1261" s="6" t="s">
        <v>2181</v>
      </c>
      <c r="E1261" s="6" t="s">
        <v>25</v>
      </c>
      <c r="F1261" s="6" t="s">
        <v>26</v>
      </c>
      <c r="G1261" s="6" t="s">
        <v>247</v>
      </c>
      <c r="H1261" s="6" t="s">
        <v>1724</v>
      </c>
      <c r="I1261" s="6" t="str">
        <f>VLOOKUP(H1261,'Flow Location'!$A$1:$B$21,2,FALSE)</f>
        <v>Storm Sewer (not contained)</v>
      </c>
      <c r="J1261" s="20">
        <v>93.0</v>
      </c>
      <c r="K1261" s="6" t="s">
        <v>29</v>
      </c>
      <c r="L1261" s="6" t="str">
        <f>VLOOKUP(K1261,'Structure type'!$A$1:$B$15,2,FALSE)</f>
        <v>Manhole</v>
      </c>
      <c r="M1261" s="6" t="s">
        <v>2182</v>
      </c>
      <c r="N1261" s="6" t="str">
        <f>VLOOKUP(M1261,'Excursion Cause'!$A$1:$B$34,2,FALSE)</f>
        <v>Grease Blockage</v>
      </c>
      <c r="O1261" s="21">
        <v>44644.0</v>
      </c>
      <c r="P1261" s="6" t="s">
        <v>235</v>
      </c>
      <c r="Q1261" s="21">
        <v>44644.0</v>
      </c>
      <c r="R1261" s="6" t="s">
        <v>1306</v>
      </c>
      <c r="S1261" s="20">
        <v>1.0</v>
      </c>
      <c r="T1261" s="6" t="s">
        <v>2183</v>
      </c>
      <c r="U1261" s="6"/>
      <c r="V1261" s="6"/>
      <c r="W1261" s="6">
        <v>29.7342946</v>
      </c>
      <c r="X1261" s="6">
        <v>-95.2569971</v>
      </c>
    </row>
    <row r="1262" ht="15.75" customHeight="1">
      <c r="A1262" s="6">
        <v>14326.0</v>
      </c>
      <c r="B1262" s="6">
        <v>2022.0</v>
      </c>
      <c r="C1262" s="6" t="str">
        <f t="shared" si="5"/>
        <v>10507 SWAN GLEN DR,Houston,Texas</v>
      </c>
      <c r="D1262" s="6" t="s">
        <v>2184</v>
      </c>
      <c r="E1262" s="6" t="s">
        <v>25</v>
      </c>
      <c r="F1262" s="6" t="s">
        <v>26</v>
      </c>
      <c r="G1262" s="6" t="s">
        <v>154</v>
      </c>
      <c r="H1262" s="6" t="s">
        <v>50</v>
      </c>
      <c r="I1262" s="6" t="str">
        <f>VLOOKUP(H1262,'Flow Location'!$A$1:$B$21,2,FALSE)</f>
        <v>Contained On Site, not within 5 ft. of Bayou/Surface Water/Drainage Ditch</v>
      </c>
      <c r="J1262" s="20">
        <v>1351.0</v>
      </c>
      <c r="K1262" s="6" t="s">
        <v>29</v>
      </c>
      <c r="L1262" s="6" t="str">
        <f>VLOOKUP(K1262,'Structure type'!$A$1:$B$15,2,FALSE)</f>
        <v>Manhole</v>
      </c>
      <c r="M1262" s="6" t="s">
        <v>56</v>
      </c>
      <c r="N1262" s="6" t="str">
        <f>VLOOKUP(M1262,'Excursion Cause'!$A$1:$B$34,2,FALSE)</f>
        <v>Rags/Wipes</v>
      </c>
      <c r="O1262" s="21">
        <v>44644.0</v>
      </c>
      <c r="P1262" s="6" t="s">
        <v>1329</v>
      </c>
      <c r="Q1262" s="21">
        <v>44645.0</v>
      </c>
      <c r="R1262" s="6" t="s">
        <v>1137</v>
      </c>
      <c r="S1262" s="20">
        <v>1.0</v>
      </c>
      <c r="T1262" s="6" t="s">
        <v>33</v>
      </c>
      <c r="U1262" s="6"/>
      <c r="V1262" s="6"/>
      <c r="W1262" s="6">
        <v>29.6670611</v>
      </c>
      <c r="X1262" s="6">
        <v>-95.5890938</v>
      </c>
    </row>
    <row r="1263" ht="15.75" customHeight="1">
      <c r="A1263" s="6">
        <v>14327.0</v>
      </c>
      <c r="B1263" s="6">
        <v>2022.0</v>
      </c>
      <c r="C1263" s="6" t="str">
        <f t="shared" si="5"/>
        <v>4102 CORNELL ST,Houston,Texas</v>
      </c>
      <c r="D1263" s="6" t="s">
        <v>2185</v>
      </c>
      <c r="E1263" s="6" t="s">
        <v>25</v>
      </c>
      <c r="F1263" s="6" t="s">
        <v>26</v>
      </c>
      <c r="G1263" s="6" t="s">
        <v>653</v>
      </c>
      <c r="H1263" s="6" t="s">
        <v>1724</v>
      </c>
      <c r="I1263" s="6" t="str">
        <f>VLOOKUP(H1263,'Flow Location'!$A$1:$B$21,2,FALSE)</f>
        <v>Storm Sewer (not contained)</v>
      </c>
      <c r="J1263" s="20">
        <v>0.0</v>
      </c>
      <c r="K1263" s="6" t="s">
        <v>45</v>
      </c>
      <c r="L1263" s="6" t="str">
        <f>VLOOKUP(K1263,'Structure type'!$A$1:$B$15,2,FALSE)</f>
        <v>City Cleanout</v>
      </c>
      <c r="M1263" s="6" t="s">
        <v>56</v>
      </c>
      <c r="N1263" s="6" t="str">
        <f>VLOOKUP(M1263,'Excursion Cause'!$A$1:$B$34,2,FALSE)</f>
        <v>Rags/Wipes</v>
      </c>
      <c r="O1263" s="21">
        <v>44644.0</v>
      </c>
      <c r="P1263" s="6" t="s">
        <v>1967</v>
      </c>
      <c r="Q1263" s="21">
        <v>44644.0</v>
      </c>
      <c r="R1263" s="6" t="s">
        <v>1967</v>
      </c>
      <c r="S1263" s="20">
        <v>0.0</v>
      </c>
      <c r="T1263" s="6" t="s">
        <v>2186</v>
      </c>
      <c r="U1263" s="6"/>
      <c r="V1263" s="6"/>
      <c r="W1263" s="6">
        <v>29.8239971</v>
      </c>
      <c r="X1263" s="6">
        <v>-95.3888286</v>
      </c>
    </row>
    <row r="1264" ht="15.75" customHeight="1">
      <c r="A1264" s="6">
        <v>14329.0</v>
      </c>
      <c r="B1264" s="6">
        <v>2022.0</v>
      </c>
      <c r="C1264" s="6" t="str">
        <f t="shared" si="5"/>
        <v>11518 LEADER ST,Houston,Texas</v>
      </c>
      <c r="D1264" s="6" t="s">
        <v>2187</v>
      </c>
      <c r="E1264" s="6" t="s">
        <v>25</v>
      </c>
      <c r="F1264" s="6" t="s">
        <v>26</v>
      </c>
      <c r="G1264" s="6" t="s">
        <v>91</v>
      </c>
      <c r="H1264" s="6" t="s">
        <v>50</v>
      </c>
      <c r="I1264" s="6" t="str">
        <f>VLOOKUP(H1264,'Flow Location'!$A$1:$B$21,2,FALSE)</f>
        <v>Contained On Site, not within 5 ft. of Bayou/Surface Water/Drainage Ditch</v>
      </c>
      <c r="J1264" s="20">
        <v>0.0</v>
      </c>
      <c r="K1264" s="6" t="s">
        <v>290</v>
      </c>
      <c r="L1264" s="6" t="str">
        <f>VLOOKUP(K1264,'Structure type'!$A$1:$B$15,2,FALSE)</f>
        <v>Gravity Main</v>
      </c>
      <c r="M1264" s="6" t="s">
        <v>52</v>
      </c>
      <c r="N1264" s="6" t="str">
        <f>VLOOKUP(M1264,'Excursion Cause'!$A$1:$B$34,2,FALSE)</f>
        <v>Collection system structural blockage</v>
      </c>
      <c r="O1264" s="21">
        <v>44644.0</v>
      </c>
      <c r="P1264" s="6" t="s">
        <v>771</v>
      </c>
      <c r="Q1264" s="21">
        <v>44644.0</v>
      </c>
      <c r="R1264" s="6" t="s">
        <v>771</v>
      </c>
      <c r="S1264" s="20">
        <v>0.0</v>
      </c>
      <c r="T1264" s="6" t="s">
        <v>33</v>
      </c>
      <c r="U1264" s="6"/>
      <c r="V1264" s="6"/>
      <c r="W1264" s="6">
        <v>29.7034125</v>
      </c>
      <c r="X1264" s="6">
        <v>-95.5828565</v>
      </c>
    </row>
    <row r="1265" ht="15.75" customHeight="1">
      <c r="A1265" s="6">
        <v>14330.0</v>
      </c>
      <c r="B1265" s="6">
        <v>2022.0</v>
      </c>
      <c r="C1265" s="6" t="str">
        <f t="shared" si="5"/>
        <v>4002 ACORN LN,Houston,Texas</v>
      </c>
      <c r="D1265" s="6" t="s">
        <v>2188</v>
      </c>
      <c r="E1265" s="6" t="s">
        <v>25</v>
      </c>
      <c r="F1265" s="6" t="s">
        <v>26</v>
      </c>
      <c r="G1265" s="6" t="s">
        <v>2189</v>
      </c>
      <c r="H1265" s="6" t="s">
        <v>2190</v>
      </c>
      <c r="I1265" s="6" t="str">
        <f>VLOOKUP(H1265,'Flow Location'!$A$1:$B$21,2,FALSE)</f>
        <v>Contained On Site</v>
      </c>
      <c r="J1265" s="20">
        <v>0.0</v>
      </c>
      <c r="K1265" s="6" t="s">
        <v>2191</v>
      </c>
      <c r="L1265" s="6" t="str">
        <f>VLOOKUP(K1265,'Structure type'!$A$1:$B$15,2,FALSE)</f>
        <v>Private Cleanout</v>
      </c>
      <c r="M1265" s="6" t="s">
        <v>2192</v>
      </c>
      <c r="N1265" s="6" t="str">
        <f>VLOOKUP(M1265,'Excursion Cause'!$A$1:$B$34,2,FALSE)</f>
        <v>Grease Blockage</v>
      </c>
      <c r="O1265" s="21">
        <v>44644.0</v>
      </c>
      <c r="P1265" s="6" t="s">
        <v>773</v>
      </c>
      <c r="Q1265" s="21">
        <v>44644.0</v>
      </c>
      <c r="R1265" s="6" t="s">
        <v>773</v>
      </c>
      <c r="S1265" s="20">
        <v>0.0</v>
      </c>
      <c r="T1265" s="6" t="s">
        <v>2193</v>
      </c>
      <c r="U1265" s="6"/>
      <c r="V1265" s="6"/>
      <c r="W1265" s="6">
        <v>30.0698235</v>
      </c>
      <c r="X1265" s="6">
        <v>-95.173227</v>
      </c>
    </row>
    <row r="1266" ht="15.75" customHeight="1">
      <c r="A1266" s="6">
        <v>14331.0</v>
      </c>
      <c r="B1266" s="6">
        <v>2022.0</v>
      </c>
      <c r="C1266" s="6" t="str">
        <f t="shared" si="5"/>
        <v>5231 PANAY PARK DR,Houston,Texas</v>
      </c>
      <c r="D1266" s="6" t="s">
        <v>2194</v>
      </c>
      <c r="E1266" s="6" t="s">
        <v>25</v>
      </c>
      <c r="F1266" s="6" t="s">
        <v>26</v>
      </c>
      <c r="G1266" s="6" t="s">
        <v>301</v>
      </c>
      <c r="H1266" s="6" t="s">
        <v>50</v>
      </c>
      <c r="I1266" s="6" t="str">
        <f>VLOOKUP(H1266,'Flow Location'!$A$1:$B$21,2,FALSE)</f>
        <v>Contained On Site, not within 5 ft. of Bayou/Surface Water/Drainage Ditch</v>
      </c>
      <c r="J1266" s="20">
        <v>0.0</v>
      </c>
      <c r="K1266" s="6" t="s">
        <v>45</v>
      </c>
      <c r="L1266" s="6" t="str">
        <f>VLOOKUP(K1266,'Structure type'!$A$1:$B$15,2,FALSE)</f>
        <v>City Cleanout</v>
      </c>
      <c r="M1266" s="6" t="s">
        <v>56</v>
      </c>
      <c r="N1266" s="6" t="str">
        <f>VLOOKUP(M1266,'Excursion Cause'!$A$1:$B$34,2,FALSE)</f>
        <v>Rags/Wipes</v>
      </c>
      <c r="O1266" s="21">
        <v>44645.0</v>
      </c>
      <c r="P1266" s="6" t="s">
        <v>2195</v>
      </c>
      <c r="Q1266" s="21">
        <v>44645.0</v>
      </c>
      <c r="R1266" s="6" t="s">
        <v>2195</v>
      </c>
      <c r="S1266" s="20">
        <v>0.0</v>
      </c>
      <c r="T1266" s="6" t="s">
        <v>270</v>
      </c>
      <c r="U1266" s="6"/>
      <c r="V1266" s="6"/>
      <c r="W1266" s="6">
        <v>29.62814</v>
      </c>
      <c r="X1266" s="6">
        <v>-95.3454055</v>
      </c>
    </row>
    <row r="1267" ht="15.75" customHeight="1">
      <c r="A1267" s="6">
        <v>14332.0</v>
      </c>
      <c r="B1267" s="6">
        <v>2022.0</v>
      </c>
      <c r="C1267" s="6" t="str">
        <f t="shared" si="5"/>
        <v>4210 CAPITOL ST,Houston,Texas</v>
      </c>
      <c r="D1267" s="6" t="s">
        <v>2196</v>
      </c>
      <c r="E1267" s="6" t="s">
        <v>25</v>
      </c>
      <c r="F1267" s="6" t="s">
        <v>26</v>
      </c>
      <c r="G1267" s="6" t="s">
        <v>141</v>
      </c>
      <c r="H1267" s="6" t="s">
        <v>50</v>
      </c>
      <c r="I1267" s="6" t="str">
        <f>VLOOKUP(H1267,'Flow Location'!$A$1:$B$21,2,FALSE)</f>
        <v>Contained On Site, not within 5 ft. of Bayou/Surface Water/Drainage Ditch</v>
      </c>
      <c r="J1267" s="20">
        <v>1236.0</v>
      </c>
      <c r="K1267" s="6" t="s">
        <v>51</v>
      </c>
      <c r="L1267" s="6" t="str">
        <f>VLOOKUP(K1267,'Structure type'!$A$1:$B$15,2,FALSE)</f>
        <v>Private Cleanout</v>
      </c>
      <c r="M1267" s="6" t="s">
        <v>30</v>
      </c>
      <c r="N1267" s="6" t="str">
        <f>VLOOKUP(M1267,'Excursion Cause'!$A$1:$B$34,2,FALSE)</f>
        <v>Grease Blockage</v>
      </c>
      <c r="O1267" s="21">
        <v>44645.0</v>
      </c>
      <c r="P1267" s="6" t="s">
        <v>2197</v>
      </c>
      <c r="Q1267" s="21">
        <v>44645.0</v>
      </c>
      <c r="R1267" s="6" t="s">
        <v>2198</v>
      </c>
      <c r="S1267" s="20">
        <v>2.0</v>
      </c>
      <c r="T1267" s="6" t="s">
        <v>33</v>
      </c>
      <c r="U1267" s="6"/>
      <c r="V1267" s="6"/>
      <c r="W1267" s="6">
        <v>29.7435382</v>
      </c>
      <c r="X1267" s="6">
        <v>-95.3349779</v>
      </c>
    </row>
    <row r="1268" ht="15.75" customHeight="1">
      <c r="A1268" s="6">
        <v>14333.0</v>
      </c>
      <c r="B1268" s="6">
        <v>2022.0</v>
      </c>
      <c r="C1268" s="6" t="str">
        <f t="shared" si="5"/>
        <v>7926 RIPTIDE DR,Houston,Texas</v>
      </c>
      <c r="D1268" s="6" t="s">
        <v>2199</v>
      </c>
      <c r="E1268" s="6" t="s">
        <v>25</v>
      </c>
      <c r="F1268" s="6" t="s">
        <v>26</v>
      </c>
      <c r="G1268" s="6" t="s">
        <v>91</v>
      </c>
      <c r="H1268" s="6" t="s">
        <v>50</v>
      </c>
      <c r="I1268" s="6" t="str">
        <f>VLOOKUP(H1268,'Flow Location'!$A$1:$B$21,2,FALSE)</f>
        <v>Contained On Site, not within 5 ft. of Bayou/Surface Water/Drainage Ditch</v>
      </c>
      <c r="J1268" s="20">
        <v>905.0</v>
      </c>
      <c r="K1268" s="6" t="s">
        <v>29</v>
      </c>
      <c r="L1268" s="6" t="str">
        <f>VLOOKUP(K1268,'Structure type'!$A$1:$B$15,2,FALSE)</f>
        <v>Manhole</v>
      </c>
      <c r="M1268" s="6" t="s">
        <v>30</v>
      </c>
      <c r="N1268" s="6" t="str">
        <f>VLOOKUP(M1268,'Excursion Cause'!$A$1:$B$34,2,FALSE)</f>
        <v>Grease Blockage</v>
      </c>
      <c r="O1268" s="21">
        <v>44645.0</v>
      </c>
      <c r="P1268" s="6" t="s">
        <v>874</v>
      </c>
      <c r="Q1268" s="21">
        <v>44645.0</v>
      </c>
      <c r="R1268" s="6" t="s">
        <v>1363</v>
      </c>
      <c r="S1268" s="20">
        <v>5.0</v>
      </c>
      <c r="T1268" s="6" t="s">
        <v>33</v>
      </c>
      <c r="U1268" s="6"/>
      <c r="V1268" s="6"/>
      <c r="W1268" s="6">
        <v>29.6912493</v>
      </c>
      <c r="X1268" s="6">
        <v>-95.5916891</v>
      </c>
    </row>
    <row r="1269" ht="15.75" customHeight="1">
      <c r="A1269" s="6">
        <v>14334.0</v>
      </c>
      <c r="B1269" s="6">
        <v>2022.0</v>
      </c>
      <c r="C1269" s="6" t="str">
        <f t="shared" si="5"/>
        <v>8206 QUAIL HILLS DR,Houston,Texas</v>
      </c>
      <c r="D1269" s="6" t="s">
        <v>2200</v>
      </c>
      <c r="E1269" s="6" t="s">
        <v>25</v>
      </c>
      <c r="F1269" s="6" t="s">
        <v>26</v>
      </c>
      <c r="G1269" s="6" t="s">
        <v>166</v>
      </c>
      <c r="H1269" s="6" t="s">
        <v>1964</v>
      </c>
      <c r="I1269" s="6" t="str">
        <f>VLOOKUP(H1269,'Flow Location'!$A$1:$B$21,2,FALSE)</f>
        <v>Within 5 ft. of Bayou/Surface Water/Drainage Ditch</v>
      </c>
      <c r="J1269" s="20">
        <v>1066.0</v>
      </c>
      <c r="K1269" s="6" t="s">
        <v>29</v>
      </c>
      <c r="L1269" s="6" t="str">
        <f>VLOOKUP(K1269,'Structure type'!$A$1:$B$15,2,FALSE)</f>
        <v>Manhole</v>
      </c>
      <c r="M1269" s="6" t="s">
        <v>30</v>
      </c>
      <c r="N1269" s="6" t="str">
        <f>VLOOKUP(M1269,'Excursion Cause'!$A$1:$B$34,2,FALSE)</f>
        <v>Grease Blockage</v>
      </c>
      <c r="O1269" s="21">
        <v>44645.0</v>
      </c>
      <c r="P1269" s="6" t="s">
        <v>376</v>
      </c>
      <c r="Q1269" s="21">
        <v>44645.0</v>
      </c>
      <c r="R1269" s="6" t="s">
        <v>2201</v>
      </c>
      <c r="S1269" s="20">
        <v>2.0</v>
      </c>
      <c r="T1269" s="6" t="s">
        <v>33</v>
      </c>
      <c r="U1269" s="6"/>
      <c r="V1269" s="6"/>
      <c r="W1269" s="6">
        <v>29.5901016</v>
      </c>
      <c r="X1269" s="6">
        <v>-95.5109986</v>
      </c>
    </row>
    <row r="1270" ht="15.75" customHeight="1">
      <c r="A1270" s="6">
        <v>14337.0</v>
      </c>
      <c r="B1270" s="6">
        <v>2022.0</v>
      </c>
      <c r="C1270" s="6" t="str">
        <f t="shared" si="5"/>
        <v>11207 CROWN PARK DR,Houston,Texas</v>
      </c>
      <c r="D1270" s="6" t="s">
        <v>2202</v>
      </c>
      <c r="E1270" s="6" t="s">
        <v>25</v>
      </c>
      <c r="F1270" s="6" t="s">
        <v>26</v>
      </c>
      <c r="G1270" s="6" t="s">
        <v>2203</v>
      </c>
      <c r="H1270" s="6" t="s">
        <v>50</v>
      </c>
      <c r="I1270" s="6" t="str">
        <f>VLOOKUP(H1270,'Flow Location'!$A$1:$B$21,2,FALSE)</f>
        <v>Contained On Site, not within 5 ft. of Bayou/Surface Water/Drainage Ditch</v>
      </c>
      <c r="J1270" s="20">
        <v>0.0</v>
      </c>
      <c r="K1270" s="6" t="s">
        <v>29</v>
      </c>
      <c r="L1270" s="6" t="str">
        <f>VLOOKUP(K1270,'Structure type'!$A$1:$B$15,2,FALSE)</f>
        <v>Manhole</v>
      </c>
      <c r="M1270" s="6" t="s">
        <v>759</v>
      </c>
      <c r="N1270" s="6" t="str">
        <f>VLOOKUP(M1270,'Excursion Cause'!$A$1:$B$34,2,FALSE)</f>
        <v>Roots</v>
      </c>
      <c r="O1270" s="21">
        <v>44645.0</v>
      </c>
      <c r="P1270" s="6" t="s">
        <v>1036</v>
      </c>
      <c r="Q1270" s="21">
        <v>44645.0</v>
      </c>
      <c r="R1270" s="6" t="s">
        <v>1036</v>
      </c>
      <c r="S1270" s="20">
        <v>0.0</v>
      </c>
      <c r="T1270" s="6" t="s">
        <v>59</v>
      </c>
      <c r="U1270" s="6"/>
      <c r="V1270" s="6"/>
      <c r="W1270" s="6">
        <v>29.9429504</v>
      </c>
      <c r="X1270" s="6">
        <v>-95.4470178</v>
      </c>
    </row>
    <row r="1271" ht="15.75" customHeight="1">
      <c r="A1271" s="6">
        <v>14339.0</v>
      </c>
      <c r="B1271" s="6">
        <v>2022.0</v>
      </c>
      <c r="C1271" s="6" t="str">
        <f t="shared" si="5"/>
        <v>2309 CENTER ST,Houston,Texas</v>
      </c>
      <c r="D1271" s="6" t="s">
        <v>2204</v>
      </c>
      <c r="E1271" s="6" t="s">
        <v>25</v>
      </c>
      <c r="F1271" s="6" t="s">
        <v>26</v>
      </c>
      <c r="G1271" s="6" t="s">
        <v>158</v>
      </c>
      <c r="H1271" s="6" t="s">
        <v>1724</v>
      </c>
      <c r="I1271" s="6" t="str">
        <f>VLOOKUP(H1271,'Flow Location'!$A$1:$B$21,2,FALSE)</f>
        <v>Storm Sewer (not contained)</v>
      </c>
      <c r="J1271" s="20">
        <v>1298.0</v>
      </c>
      <c r="K1271" s="6" t="s">
        <v>29</v>
      </c>
      <c r="L1271" s="6" t="str">
        <f>VLOOKUP(K1271,'Structure type'!$A$1:$B$15,2,FALSE)</f>
        <v>Manhole</v>
      </c>
      <c r="M1271" s="6" t="s">
        <v>2205</v>
      </c>
      <c r="N1271" s="6" t="str">
        <f>VLOOKUP(M1271,'Excursion Cause'!$A$1:$B$34,2,FALSE)</f>
        <v>Grease Blockage</v>
      </c>
      <c r="O1271" s="21">
        <v>44645.0</v>
      </c>
      <c r="P1271" s="6" t="s">
        <v>724</v>
      </c>
      <c r="Q1271" s="21">
        <v>44646.0</v>
      </c>
      <c r="R1271" s="6" t="s">
        <v>428</v>
      </c>
      <c r="S1271" s="20">
        <v>1.0</v>
      </c>
      <c r="T1271" s="6" t="s">
        <v>2206</v>
      </c>
      <c r="U1271" s="6"/>
      <c r="V1271" s="6"/>
      <c r="W1271" s="6">
        <v>29.768791</v>
      </c>
      <c r="X1271" s="6">
        <v>-95.38212</v>
      </c>
    </row>
    <row r="1272" ht="15.75" customHeight="1">
      <c r="A1272" s="6">
        <v>14340.0</v>
      </c>
      <c r="B1272" s="6">
        <v>2022.0</v>
      </c>
      <c r="C1272" s="6" t="str">
        <f t="shared" si="5"/>
        <v>10155 VALLEY CLUB DR,Houston,Texas</v>
      </c>
      <c r="D1272" s="6" t="s">
        <v>2207</v>
      </c>
      <c r="E1272" s="6" t="s">
        <v>25</v>
      </c>
      <c r="F1272" s="6" t="s">
        <v>26</v>
      </c>
      <c r="G1272" s="6" t="s">
        <v>387</v>
      </c>
      <c r="H1272" s="6" t="s">
        <v>50</v>
      </c>
      <c r="I1272" s="6" t="str">
        <f>VLOOKUP(H1272,'Flow Location'!$A$1:$B$21,2,FALSE)</f>
        <v>Contained On Site, not within 5 ft. of Bayou/Surface Water/Drainage Ditch</v>
      </c>
      <c r="J1272" s="20">
        <v>1314.0</v>
      </c>
      <c r="K1272" s="6" t="s">
        <v>29</v>
      </c>
      <c r="L1272" s="6" t="str">
        <f>VLOOKUP(K1272,'Structure type'!$A$1:$B$15,2,FALSE)</f>
        <v>Manhole</v>
      </c>
      <c r="M1272" s="6" t="s">
        <v>56</v>
      </c>
      <c r="N1272" s="6" t="str">
        <f>VLOOKUP(M1272,'Excursion Cause'!$A$1:$B$34,2,FALSE)</f>
        <v>Rags/Wipes</v>
      </c>
      <c r="O1272" s="21">
        <v>44645.0</v>
      </c>
      <c r="P1272" s="6" t="s">
        <v>786</v>
      </c>
      <c r="Q1272" s="21">
        <v>44646.0</v>
      </c>
      <c r="R1272" s="6" t="s">
        <v>697</v>
      </c>
      <c r="S1272" s="20">
        <v>1.0</v>
      </c>
      <c r="T1272" s="6" t="s">
        <v>59</v>
      </c>
      <c r="U1272" s="6"/>
      <c r="V1272" s="6"/>
      <c r="W1272" s="6">
        <v>29.8485333</v>
      </c>
      <c r="X1272" s="6">
        <v>-95.2351713</v>
      </c>
    </row>
    <row r="1273" ht="15.75" customHeight="1">
      <c r="A1273" s="6">
        <v>14341.0</v>
      </c>
      <c r="B1273" s="6">
        <v>2022.0</v>
      </c>
      <c r="C1273" s="6" t="str">
        <f t="shared" si="5"/>
        <v>2000 EDWARDS ST,Houston,Texas</v>
      </c>
      <c r="D1273" s="6" t="s">
        <v>2208</v>
      </c>
      <c r="E1273" s="6" t="s">
        <v>25</v>
      </c>
      <c r="F1273" s="6" t="s">
        <v>26</v>
      </c>
      <c r="G1273" s="6" t="s">
        <v>158</v>
      </c>
      <c r="H1273" s="6" t="s">
        <v>50</v>
      </c>
      <c r="I1273" s="6" t="str">
        <f>VLOOKUP(H1273,'Flow Location'!$A$1:$B$21,2,FALSE)</f>
        <v>Contained On Site, not within 5 ft. of Bayou/Surface Water/Drainage Ditch</v>
      </c>
      <c r="J1273" s="20">
        <v>0.0</v>
      </c>
      <c r="K1273" s="6" t="s">
        <v>45</v>
      </c>
      <c r="L1273" s="6" t="str">
        <f>VLOOKUP(K1273,'Structure type'!$A$1:$B$15,2,FALSE)</f>
        <v>City Cleanout</v>
      </c>
      <c r="M1273" s="6" t="s">
        <v>56</v>
      </c>
      <c r="N1273" s="6" t="str">
        <f>VLOOKUP(M1273,'Excursion Cause'!$A$1:$B$34,2,FALSE)</f>
        <v>Rags/Wipes</v>
      </c>
      <c r="O1273" s="21">
        <v>44646.0</v>
      </c>
      <c r="P1273" s="6" t="s">
        <v>2209</v>
      </c>
      <c r="Q1273" s="21">
        <v>44646.0</v>
      </c>
      <c r="R1273" s="6" t="s">
        <v>2209</v>
      </c>
      <c r="S1273" s="20">
        <v>0.0</v>
      </c>
      <c r="T1273" s="6" t="s">
        <v>170</v>
      </c>
      <c r="U1273" s="6"/>
      <c r="V1273" s="6"/>
      <c r="W1273" s="6">
        <v>29.7709214</v>
      </c>
      <c r="X1273" s="6">
        <v>-95.3787574</v>
      </c>
    </row>
    <row r="1274" ht="15.75" customHeight="1">
      <c r="A1274" s="6">
        <v>14342.0</v>
      </c>
      <c r="B1274" s="6">
        <v>2022.0</v>
      </c>
      <c r="C1274" s="6" t="str">
        <f t="shared" si="5"/>
        <v>4117 GLENBROOK CT,Houston,Texas</v>
      </c>
      <c r="D1274" s="6" t="s">
        <v>2210</v>
      </c>
      <c r="E1274" s="6" t="s">
        <v>25</v>
      </c>
      <c r="F1274" s="6" t="s">
        <v>26</v>
      </c>
      <c r="G1274" s="6" t="s">
        <v>35</v>
      </c>
      <c r="H1274" s="6" t="s">
        <v>50</v>
      </c>
      <c r="I1274" s="6" t="str">
        <f>VLOOKUP(H1274,'Flow Location'!$A$1:$B$21,2,FALSE)</f>
        <v>Contained On Site, not within 5 ft. of Bayou/Surface Water/Drainage Ditch</v>
      </c>
      <c r="J1274" s="20">
        <v>0.0</v>
      </c>
      <c r="K1274" s="6" t="s">
        <v>198</v>
      </c>
      <c r="L1274" s="6" t="str">
        <f>VLOOKUP(K1274,'Structure type'!$A$1:$B$15,2,FALSE)</f>
        <v>Service Lateral</v>
      </c>
      <c r="M1274" s="6" t="s">
        <v>52</v>
      </c>
      <c r="N1274" s="6" t="str">
        <f>VLOOKUP(M1274,'Excursion Cause'!$A$1:$B$34,2,FALSE)</f>
        <v>Collection system structural blockage</v>
      </c>
      <c r="O1274" s="21">
        <v>44646.0</v>
      </c>
      <c r="P1274" s="6" t="s">
        <v>212</v>
      </c>
      <c r="Q1274" s="21">
        <v>44646.0</v>
      </c>
      <c r="R1274" s="6" t="s">
        <v>212</v>
      </c>
      <c r="S1274" s="20">
        <v>0.0</v>
      </c>
      <c r="T1274" s="6" t="s">
        <v>170</v>
      </c>
      <c r="U1274" s="6"/>
      <c r="V1274" s="6"/>
      <c r="W1274" s="6">
        <v>29.6812636</v>
      </c>
      <c r="X1274" s="6">
        <v>-95.2743414</v>
      </c>
    </row>
    <row r="1275" ht="15.75" customHeight="1">
      <c r="A1275" s="6">
        <v>14345.0</v>
      </c>
      <c r="B1275" s="6">
        <v>2022.0</v>
      </c>
      <c r="C1275" s="6" t="str">
        <f t="shared" si="5"/>
        <v>2727 BRIARHURST DR,Houston,Texas</v>
      </c>
      <c r="D1275" s="6" t="s">
        <v>2211</v>
      </c>
      <c r="E1275" s="6" t="s">
        <v>25</v>
      </c>
      <c r="F1275" s="6" t="s">
        <v>26</v>
      </c>
      <c r="G1275" s="6" t="s">
        <v>689</v>
      </c>
      <c r="H1275" s="6" t="s">
        <v>50</v>
      </c>
      <c r="I1275" s="6" t="str">
        <f>VLOOKUP(H1275,'Flow Location'!$A$1:$B$21,2,FALSE)</f>
        <v>Contained On Site, not within 5 ft. of Bayou/Surface Water/Drainage Ditch</v>
      </c>
      <c r="J1275" s="20">
        <v>0.0</v>
      </c>
      <c r="K1275" s="6" t="s">
        <v>290</v>
      </c>
      <c r="L1275" s="6" t="str">
        <f>VLOOKUP(K1275,'Structure type'!$A$1:$B$15,2,FALSE)</f>
        <v>Gravity Main</v>
      </c>
      <c r="M1275" s="6" t="s">
        <v>30</v>
      </c>
      <c r="N1275" s="6" t="str">
        <f>VLOOKUP(M1275,'Excursion Cause'!$A$1:$B$34,2,FALSE)</f>
        <v>Grease Blockage</v>
      </c>
      <c r="O1275" s="21">
        <v>44646.0</v>
      </c>
      <c r="P1275" s="6" t="s">
        <v>974</v>
      </c>
      <c r="Q1275" s="21">
        <v>44646.0</v>
      </c>
      <c r="R1275" s="6" t="s">
        <v>974</v>
      </c>
      <c r="S1275" s="20">
        <v>0.0</v>
      </c>
      <c r="T1275" s="6" t="s">
        <v>59</v>
      </c>
      <c r="U1275" s="6"/>
      <c r="V1275" s="6"/>
      <c r="W1275" s="6">
        <v>29.7365756</v>
      </c>
      <c r="X1275" s="6">
        <v>-95.4924461</v>
      </c>
    </row>
    <row r="1276" ht="15.75" customHeight="1">
      <c r="A1276" s="6">
        <v>14352.0</v>
      </c>
      <c r="B1276" s="6">
        <v>2022.0</v>
      </c>
      <c r="C1276" s="6" t="str">
        <f t="shared" si="5"/>
        <v>8807 SUNNY FIELD DR,Houston,Texas</v>
      </c>
      <c r="D1276" s="6" t="s">
        <v>2212</v>
      </c>
      <c r="E1276" s="6" t="s">
        <v>25</v>
      </c>
      <c r="F1276" s="6" t="s">
        <v>26</v>
      </c>
      <c r="G1276" s="6" t="s">
        <v>154</v>
      </c>
      <c r="H1276" s="6" t="s">
        <v>50</v>
      </c>
      <c r="I1276" s="6" t="str">
        <f>VLOOKUP(H1276,'Flow Location'!$A$1:$B$21,2,FALSE)</f>
        <v>Contained On Site, not within 5 ft. of Bayou/Surface Water/Drainage Ditch</v>
      </c>
      <c r="J1276" s="20">
        <v>0.0</v>
      </c>
      <c r="K1276" s="6" t="s">
        <v>29</v>
      </c>
      <c r="L1276" s="6" t="str">
        <f>VLOOKUP(K1276,'Structure type'!$A$1:$B$15,2,FALSE)</f>
        <v>Manhole</v>
      </c>
      <c r="M1276" s="6" t="s">
        <v>30</v>
      </c>
      <c r="N1276" s="6" t="str">
        <f>VLOOKUP(M1276,'Excursion Cause'!$A$1:$B$34,2,FALSE)</f>
        <v>Grease Blockage</v>
      </c>
      <c r="O1276" s="21">
        <v>44647.0</v>
      </c>
      <c r="P1276" s="6" t="s">
        <v>726</v>
      </c>
      <c r="Q1276" s="21">
        <v>44647.0</v>
      </c>
      <c r="R1276" s="6" t="s">
        <v>726</v>
      </c>
      <c r="S1276" s="20">
        <v>0.0</v>
      </c>
      <c r="T1276" s="6" t="s">
        <v>33</v>
      </c>
      <c r="U1276" s="6"/>
      <c r="V1276" s="6"/>
      <c r="W1276" s="6">
        <v>29.6822625</v>
      </c>
      <c r="X1276" s="6">
        <v>-95.604629</v>
      </c>
    </row>
    <row r="1277" ht="15.75" customHeight="1">
      <c r="A1277" s="6">
        <v>14354.0</v>
      </c>
      <c r="B1277" s="6">
        <v>2022.0</v>
      </c>
      <c r="C1277" s="6" t="str">
        <f t="shared" si="5"/>
        <v>16214 ROSENRIDGE DR,Houston,Texas</v>
      </c>
      <c r="D1277" s="6" t="s">
        <v>2213</v>
      </c>
      <c r="E1277" s="6" t="s">
        <v>25</v>
      </c>
      <c r="F1277" s="6" t="s">
        <v>26</v>
      </c>
      <c r="G1277" s="6" t="s">
        <v>517</v>
      </c>
      <c r="H1277" s="6" t="s">
        <v>1724</v>
      </c>
      <c r="I1277" s="6" t="str">
        <f>VLOOKUP(H1277,'Flow Location'!$A$1:$B$21,2,FALSE)</f>
        <v>Storm Sewer (not contained)</v>
      </c>
      <c r="J1277" s="20">
        <v>100.0</v>
      </c>
      <c r="K1277" s="6" t="s">
        <v>29</v>
      </c>
      <c r="L1277" s="6" t="str">
        <f>VLOOKUP(K1277,'Structure type'!$A$1:$B$15,2,FALSE)</f>
        <v>Manhole</v>
      </c>
      <c r="M1277" s="6" t="s">
        <v>2214</v>
      </c>
      <c r="N1277" s="6" t="str">
        <f>VLOOKUP(M1277,'Excursion Cause'!$A$1:$B$34,2,FALSE)</f>
        <v>Grease Blockage</v>
      </c>
      <c r="O1277" s="21">
        <v>44647.0</v>
      </c>
      <c r="P1277" s="6" t="s">
        <v>730</v>
      </c>
      <c r="Q1277" s="21">
        <v>44647.0</v>
      </c>
      <c r="R1277" s="6" t="s">
        <v>2153</v>
      </c>
      <c r="S1277" s="20">
        <v>1.0</v>
      </c>
      <c r="T1277" s="6" t="s">
        <v>2215</v>
      </c>
      <c r="U1277" s="6"/>
      <c r="V1277" s="6"/>
      <c r="W1277" s="6">
        <v>29.5924874</v>
      </c>
      <c r="X1277" s="6">
        <v>-95.4771053</v>
      </c>
    </row>
    <row r="1278" ht="15.75" customHeight="1">
      <c r="A1278" s="6">
        <v>14355.0</v>
      </c>
      <c r="B1278" s="6">
        <v>2022.0</v>
      </c>
      <c r="C1278" s="6" t="str">
        <f t="shared" si="5"/>
        <v>6411 SIDNEY ST,Houston,Texas</v>
      </c>
      <c r="D1278" s="6" t="s">
        <v>2216</v>
      </c>
      <c r="E1278" s="6" t="s">
        <v>25</v>
      </c>
      <c r="F1278" s="6" t="s">
        <v>26</v>
      </c>
      <c r="G1278" s="6" t="s">
        <v>238</v>
      </c>
      <c r="H1278" s="6" t="s">
        <v>50</v>
      </c>
      <c r="I1278" s="6" t="str">
        <f>VLOOKUP(H1278,'Flow Location'!$A$1:$B$21,2,FALSE)</f>
        <v>Contained On Site, not within 5 ft. of Bayou/Surface Water/Drainage Ditch</v>
      </c>
      <c r="J1278" s="20">
        <v>0.0</v>
      </c>
      <c r="K1278" s="6" t="s">
        <v>45</v>
      </c>
      <c r="L1278" s="6" t="str">
        <f>VLOOKUP(K1278,'Structure type'!$A$1:$B$15,2,FALSE)</f>
        <v>City Cleanout</v>
      </c>
      <c r="M1278" s="6" t="s">
        <v>30</v>
      </c>
      <c r="N1278" s="6" t="str">
        <f>VLOOKUP(M1278,'Excursion Cause'!$A$1:$B$34,2,FALSE)</f>
        <v>Grease Blockage</v>
      </c>
      <c r="O1278" s="21">
        <v>44647.0</v>
      </c>
      <c r="P1278" s="6" t="s">
        <v>1769</v>
      </c>
      <c r="Q1278" s="21">
        <v>44647.0</v>
      </c>
      <c r="R1278" s="6" t="s">
        <v>1769</v>
      </c>
      <c r="S1278" s="20">
        <v>0.0</v>
      </c>
      <c r="T1278" s="6" t="s">
        <v>170</v>
      </c>
      <c r="U1278" s="6"/>
      <c r="V1278" s="6"/>
      <c r="W1278" s="6">
        <v>29.6951307</v>
      </c>
      <c r="X1278" s="6">
        <v>-95.3543526</v>
      </c>
    </row>
    <row r="1279" ht="15.75" customHeight="1">
      <c r="A1279" s="6">
        <v>14363.0</v>
      </c>
      <c r="B1279" s="6">
        <v>2022.0</v>
      </c>
      <c r="C1279" s="6" t="str">
        <f t="shared" si="5"/>
        <v>6114 BELMARK ST,Houston,Texas</v>
      </c>
      <c r="D1279" s="6" t="s">
        <v>2217</v>
      </c>
      <c r="E1279" s="6" t="s">
        <v>25</v>
      </c>
      <c r="F1279" s="6" t="s">
        <v>26</v>
      </c>
      <c r="G1279" s="6" t="s">
        <v>120</v>
      </c>
      <c r="H1279" s="6" t="s">
        <v>50</v>
      </c>
      <c r="I1279" s="6" t="str">
        <f>VLOOKUP(H1279,'Flow Location'!$A$1:$B$21,2,FALSE)</f>
        <v>Contained On Site, not within 5 ft. of Bayou/Surface Water/Drainage Ditch</v>
      </c>
      <c r="J1279" s="20">
        <v>0.0</v>
      </c>
      <c r="K1279" s="6" t="s">
        <v>45</v>
      </c>
      <c r="L1279" s="6" t="str">
        <f>VLOOKUP(K1279,'Structure type'!$A$1:$B$15,2,FALSE)</f>
        <v>City Cleanout</v>
      </c>
      <c r="M1279" s="6" t="s">
        <v>56</v>
      </c>
      <c r="N1279" s="6" t="str">
        <f>VLOOKUP(M1279,'Excursion Cause'!$A$1:$B$34,2,FALSE)</f>
        <v>Rags/Wipes</v>
      </c>
      <c r="O1279" s="21">
        <v>44648.0</v>
      </c>
      <c r="P1279" s="6" t="s">
        <v>610</v>
      </c>
      <c r="Q1279" s="21">
        <v>44648.0</v>
      </c>
      <c r="R1279" s="6" t="s">
        <v>610</v>
      </c>
      <c r="S1279" s="20">
        <v>0.0</v>
      </c>
      <c r="T1279" s="6" t="s">
        <v>270</v>
      </c>
      <c r="U1279" s="6"/>
      <c r="V1279" s="6"/>
      <c r="W1279" s="6">
        <v>29.6634259</v>
      </c>
      <c r="X1279" s="6">
        <v>-95.3200329</v>
      </c>
    </row>
    <row r="1280" ht="15.75" customHeight="1">
      <c r="A1280" s="6">
        <v>14376.0</v>
      </c>
      <c r="B1280" s="6">
        <v>2022.0</v>
      </c>
      <c r="C1280" s="6" t="str">
        <f t="shared" si="5"/>
        <v>4306 DALLAS ST,Houston,Texas</v>
      </c>
      <c r="D1280" s="6" t="s">
        <v>2218</v>
      </c>
      <c r="E1280" s="6" t="s">
        <v>25</v>
      </c>
      <c r="F1280" s="6" t="s">
        <v>26</v>
      </c>
      <c r="G1280" s="6" t="s">
        <v>141</v>
      </c>
      <c r="H1280" s="6" t="s">
        <v>50</v>
      </c>
      <c r="I1280" s="6" t="str">
        <f>VLOOKUP(H1280,'Flow Location'!$A$1:$B$21,2,FALSE)</f>
        <v>Contained On Site, not within 5 ft. of Bayou/Surface Water/Drainage Ditch</v>
      </c>
      <c r="J1280" s="20">
        <v>0.0</v>
      </c>
      <c r="K1280" s="6" t="s">
        <v>290</v>
      </c>
      <c r="L1280" s="6" t="str">
        <f>VLOOKUP(K1280,'Structure type'!$A$1:$B$15,2,FALSE)</f>
        <v>Gravity Main</v>
      </c>
      <c r="M1280" s="6" t="s">
        <v>81</v>
      </c>
      <c r="N1280" s="6" t="str">
        <f>VLOOKUP(M1280,'Excursion Cause'!$A$1:$B$34,2,FALSE)</f>
        <v>Collection system structural failure</v>
      </c>
      <c r="O1280" s="21">
        <v>44648.0</v>
      </c>
      <c r="P1280" s="6" t="s">
        <v>1290</v>
      </c>
      <c r="Q1280" s="21">
        <v>44648.0</v>
      </c>
      <c r="R1280" s="6" t="s">
        <v>1290</v>
      </c>
      <c r="S1280" s="20">
        <v>0.0</v>
      </c>
      <c r="T1280" s="6" t="s">
        <v>118</v>
      </c>
      <c r="U1280" s="6"/>
      <c r="V1280" s="6"/>
      <c r="W1280" s="6">
        <v>29.7397489</v>
      </c>
      <c r="X1280" s="6">
        <v>-95.3362048</v>
      </c>
    </row>
    <row r="1281" ht="15.75" customHeight="1">
      <c r="A1281" s="6">
        <v>14377.0</v>
      </c>
      <c r="B1281" s="6">
        <v>2022.0</v>
      </c>
      <c r="C1281" s="6" t="str">
        <f t="shared" si="5"/>
        <v>3701 OCEE ST,Houston,Texas</v>
      </c>
      <c r="D1281" s="6" t="s">
        <v>2219</v>
      </c>
      <c r="E1281" s="6" t="s">
        <v>25</v>
      </c>
      <c r="F1281" s="6" t="s">
        <v>26</v>
      </c>
      <c r="G1281" s="6" t="s">
        <v>482</v>
      </c>
      <c r="H1281" s="6" t="s">
        <v>1724</v>
      </c>
      <c r="I1281" s="6" t="str">
        <f>VLOOKUP(H1281,'Flow Location'!$A$1:$B$21,2,FALSE)</f>
        <v>Storm Sewer (not contained)</v>
      </c>
      <c r="J1281" s="20">
        <v>141.0</v>
      </c>
      <c r="K1281" s="6" t="s">
        <v>29</v>
      </c>
      <c r="L1281" s="6" t="str">
        <f>VLOOKUP(K1281,'Structure type'!$A$1:$B$15,2,FALSE)</f>
        <v>Manhole</v>
      </c>
      <c r="M1281" s="6" t="s">
        <v>2220</v>
      </c>
      <c r="N1281" s="6" t="str">
        <f>VLOOKUP(M1281,'Excursion Cause'!$A$1:$B$34,2,FALSE)</f>
        <v>Grease Blockage</v>
      </c>
      <c r="O1281" s="21">
        <v>44648.0</v>
      </c>
      <c r="P1281" s="6" t="s">
        <v>2034</v>
      </c>
      <c r="Q1281" s="21">
        <v>44648.0</v>
      </c>
      <c r="R1281" s="6" t="s">
        <v>978</v>
      </c>
      <c r="S1281" s="20">
        <v>1.0</v>
      </c>
      <c r="T1281" s="6" t="s">
        <v>2221</v>
      </c>
      <c r="U1281" s="6"/>
      <c r="V1281" s="6"/>
      <c r="W1281" s="6">
        <v>29.7243252</v>
      </c>
      <c r="X1281" s="6">
        <v>-95.5288603</v>
      </c>
    </row>
    <row r="1282" ht="15.75" customHeight="1">
      <c r="A1282" s="6">
        <v>14381.0</v>
      </c>
      <c r="B1282" s="6">
        <v>2022.0</v>
      </c>
      <c r="C1282" s="6" t="str">
        <f t="shared" si="5"/>
        <v>12486 NORTHWEST FWY,Houston,Texas</v>
      </c>
      <c r="D1282" s="6" t="s">
        <v>2222</v>
      </c>
      <c r="E1282" s="6" t="s">
        <v>25</v>
      </c>
      <c r="F1282" s="6" t="s">
        <v>26</v>
      </c>
      <c r="G1282" s="6" t="s">
        <v>76</v>
      </c>
      <c r="H1282" s="6" t="s">
        <v>1724</v>
      </c>
      <c r="I1282" s="6" t="str">
        <f>VLOOKUP(H1282,'Flow Location'!$A$1:$B$21,2,FALSE)</f>
        <v>Storm Sewer (not contained)</v>
      </c>
      <c r="J1282" s="20">
        <v>1211.0</v>
      </c>
      <c r="K1282" s="6" t="s">
        <v>45</v>
      </c>
      <c r="L1282" s="6" t="str">
        <f>VLOOKUP(K1282,'Structure type'!$A$1:$B$15,2,FALSE)</f>
        <v>City Cleanout</v>
      </c>
      <c r="M1282" s="6" t="s">
        <v>56</v>
      </c>
      <c r="N1282" s="6" t="str">
        <f>VLOOKUP(M1282,'Excursion Cause'!$A$1:$B$34,2,FALSE)</f>
        <v>Rags/Wipes</v>
      </c>
      <c r="O1282" s="21">
        <v>44648.0</v>
      </c>
      <c r="P1282" s="6" t="s">
        <v>1047</v>
      </c>
      <c r="Q1282" s="21">
        <v>44649.0</v>
      </c>
      <c r="R1282" s="6" t="s">
        <v>345</v>
      </c>
      <c r="S1282" s="20">
        <v>1.0</v>
      </c>
      <c r="T1282" s="6" t="s">
        <v>2223</v>
      </c>
      <c r="U1282" s="6"/>
      <c r="V1282" s="6"/>
      <c r="W1282" s="6">
        <v>29.838246</v>
      </c>
      <c r="X1282" s="6">
        <v>-95.4880016</v>
      </c>
    </row>
    <row r="1283" ht="15.75" customHeight="1">
      <c r="A1283" s="6">
        <v>14384.0</v>
      </c>
      <c r="B1283" s="6">
        <v>2022.0</v>
      </c>
      <c r="C1283" s="6" t="str">
        <f t="shared" si="5"/>
        <v>12901 BARCUS LN,Houston,Texas</v>
      </c>
      <c r="D1283" s="6" t="s">
        <v>2179</v>
      </c>
      <c r="E1283" s="6" t="s">
        <v>25</v>
      </c>
      <c r="F1283" s="6" t="s">
        <v>26</v>
      </c>
      <c r="G1283" s="6" t="s">
        <v>623</v>
      </c>
      <c r="H1283" s="6" t="s">
        <v>50</v>
      </c>
      <c r="I1283" s="6" t="str">
        <f>VLOOKUP(H1283,'Flow Location'!$A$1:$B$21,2,FALSE)</f>
        <v>Contained On Site, not within 5 ft. of Bayou/Surface Water/Drainage Ditch</v>
      </c>
      <c r="J1283" s="20">
        <v>0.0</v>
      </c>
      <c r="K1283" s="6" t="s">
        <v>45</v>
      </c>
      <c r="L1283" s="6" t="str">
        <f>VLOOKUP(K1283,'Structure type'!$A$1:$B$15,2,FALSE)</f>
        <v>City Cleanout</v>
      </c>
      <c r="M1283" s="6" t="s">
        <v>52</v>
      </c>
      <c r="N1283" s="6" t="str">
        <f>VLOOKUP(M1283,'Excursion Cause'!$A$1:$B$34,2,FALSE)</f>
        <v>Collection system structural blockage</v>
      </c>
      <c r="O1283" s="21">
        <v>44648.0</v>
      </c>
      <c r="P1283" s="6" t="s">
        <v>1051</v>
      </c>
      <c r="Q1283" s="21">
        <v>44648.0</v>
      </c>
      <c r="R1283" s="6" t="s">
        <v>1051</v>
      </c>
      <c r="S1283" s="20">
        <v>0.0</v>
      </c>
      <c r="T1283" s="6" t="s">
        <v>270</v>
      </c>
      <c r="U1283" s="6"/>
      <c r="V1283" s="6"/>
      <c r="W1283" s="6">
        <v>29.7696984</v>
      </c>
      <c r="X1283" s="6">
        <v>-95.2020077</v>
      </c>
    </row>
    <row r="1284" ht="15.75" customHeight="1">
      <c r="A1284" s="6">
        <v>14390.0</v>
      </c>
      <c r="B1284" s="6">
        <v>2022.0</v>
      </c>
      <c r="C1284" s="6" t="str">
        <f t="shared" si="5"/>
        <v>3814 NAN ST,Houston,Texas</v>
      </c>
      <c r="D1284" s="6" t="s">
        <v>2224</v>
      </c>
      <c r="E1284" s="6" t="s">
        <v>25</v>
      </c>
      <c r="F1284" s="6" t="s">
        <v>26</v>
      </c>
      <c r="G1284" s="6" t="s">
        <v>76</v>
      </c>
      <c r="H1284" s="6" t="s">
        <v>1977</v>
      </c>
      <c r="I1284" s="6" t="str">
        <f>VLOOKUP(H1284,'Flow Location'!$A$1:$B$21,2,FALSE)</f>
        <v>Bayou/surface water/drainage ditch</v>
      </c>
      <c r="J1284" s="20">
        <v>0.0</v>
      </c>
      <c r="K1284" s="6" t="s">
        <v>45</v>
      </c>
      <c r="L1284" s="6" t="str">
        <f>VLOOKUP(K1284,'Structure type'!$A$1:$B$15,2,FALSE)</f>
        <v>City Cleanout</v>
      </c>
      <c r="M1284" s="6" t="s">
        <v>30</v>
      </c>
      <c r="N1284" s="6" t="str">
        <f>VLOOKUP(M1284,'Excursion Cause'!$A$1:$B$34,2,FALSE)</f>
        <v>Grease Blockage</v>
      </c>
      <c r="O1284" s="21">
        <v>44649.0</v>
      </c>
      <c r="P1284" s="6" t="s">
        <v>1829</v>
      </c>
      <c r="Q1284" s="21">
        <v>44649.0</v>
      </c>
      <c r="R1284" s="6" t="s">
        <v>1829</v>
      </c>
      <c r="S1284" s="20">
        <v>0.0</v>
      </c>
      <c r="T1284" s="6" t="s">
        <v>89</v>
      </c>
      <c r="U1284" s="6"/>
      <c r="V1284" s="6"/>
      <c r="W1284" s="6">
        <v>29.824851</v>
      </c>
      <c r="X1284" s="6">
        <v>-95.478416</v>
      </c>
    </row>
    <row r="1285" ht="15.75" customHeight="1">
      <c r="A1285" s="6">
        <v>14391.0</v>
      </c>
      <c r="B1285" s="6">
        <v>2022.0</v>
      </c>
      <c r="C1285" s="6" t="str">
        <f t="shared" si="5"/>
        <v>9939 ROWLETT RD,Houston,Texas</v>
      </c>
      <c r="D1285" s="6" t="s">
        <v>2225</v>
      </c>
      <c r="E1285" s="6" t="s">
        <v>25</v>
      </c>
      <c r="F1285" s="6" t="s">
        <v>26</v>
      </c>
      <c r="G1285" s="6" t="s">
        <v>95</v>
      </c>
      <c r="H1285" s="6" t="s">
        <v>1724</v>
      </c>
      <c r="I1285" s="6" t="str">
        <f>VLOOKUP(H1285,'Flow Location'!$A$1:$B$21,2,FALSE)</f>
        <v>Storm Sewer (not contained)</v>
      </c>
      <c r="J1285" s="20">
        <v>432.0</v>
      </c>
      <c r="K1285" s="6" t="s">
        <v>29</v>
      </c>
      <c r="L1285" s="6" t="str">
        <f>VLOOKUP(K1285,'Structure type'!$A$1:$B$15,2,FALSE)</f>
        <v>Manhole</v>
      </c>
      <c r="M1285" s="6" t="s">
        <v>2226</v>
      </c>
      <c r="N1285" s="6" t="str">
        <f>VLOOKUP(M1285,'Excursion Cause'!$A$1:$B$34,2,FALSE)</f>
        <v>Grease Blockage</v>
      </c>
      <c r="O1285" s="21">
        <v>44649.0</v>
      </c>
      <c r="P1285" s="6" t="s">
        <v>272</v>
      </c>
      <c r="Q1285" s="21">
        <v>44649.0</v>
      </c>
      <c r="R1285" s="6" t="s">
        <v>233</v>
      </c>
      <c r="S1285" s="20">
        <v>3.0</v>
      </c>
      <c r="T1285" s="6" t="s">
        <v>2227</v>
      </c>
      <c r="U1285" s="6"/>
      <c r="V1285" s="6"/>
      <c r="W1285" s="6">
        <v>29.6244497</v>
      </c>
      <c r="X1285" s="6">
        <v>-95.2336111</v>
      </c>
    </row>
    <row r="1286" ht="15.75" customHeight="1">
      <c r="A1286" s="6">
        <v>14393.0</v>
      </c>
      <c r="B1286" s="6">
        <v>2022.0</v>
      </c>
      <c r="C1286" s="6" t="str">
        <f t="shared" si="5"/>
        <v>7424 BYWOOD ST,Houston,Texas</v>
      </c>
      <c r="D1286" s="6" t="s">
        <v>2228</v>
      </c>
      <c r="E1286" s="6" t="s">
        <v>25</v>
      </c>
      <c r="F1286" s="6" t="s">
        <v>26</v>
      </c>
      <c r="G1286" s="6" t="s">
        <v>177</v>
      </c>
      <c r="H1286" s="6" t="s">
        <v>50</v>
      </c>
      <c r="I1286" s="6" t="str">
        <f>VLOOKUP(H1286,'Flow Location'!$A$1:$B$21,2,FALSE)</f>
        <v>Contained On Site, not within 5 ft. of Bayou/Surface Water/Drainage Ditch</v>
      </c>
      <c r="J1286" s="20">
        <v>0.0</v>
      </c>
      <c r="K1286" s="6" t="s">
        <v>51</v>
      </c>
      <c r="L1286" s="6" t="str">
        <f>VLOOKUP(K1286,'Structure type'!$A$1:$B$15,2,FALSE)</f>
        <v>Private Cleanout</v>
      </c>
      <c r="M1286" s="6" t="s">
        <v>30</v>
      </c>
      <c r="N1286" s="6" t="str">
        <f>VLOOKUP(M1286,'Excursion Cause'!$A$1:$B$34,2,FALSE)</f>
        <v>Grease Blockage</v>
      </c>
      <c r="O1286" s="21">
        <v>44649.0</v>
      </c>
      <c r="P1286" s="6" t="s">
        <v>1342</v>
      </c>
      <c r="Q1286" s="21">
        <v>44649.0</v>
      </c>
      <c r="R1286" s="6" t="s">
        <v>1342</v>
      </c>
      <c r="S1286" s="20">
        <v>0.0</v>
      </c>
      <c r="T1286" s="6" t="s">
        <v>170</v>
      </c>
      <c r="U1286" s="6"/>
      <c r="V1286" s="6"/>
      <c r="W1286" s="6">
        <v>29.8373951</v>
      </c>
      <c r="X1286" s="6">
        <v>-95.2953247</v>
      </c>
    </row>
    <row r="1287" ht="15.75" customHeight="1">
      <c r="A1287" s="6">
        <v>14396.0</v>
      </c>
      <c r="B1287" s="6">
        <v>2022.0</v>
      </c>
      <c r="C1287" s="6" t="str">
        <f t="shared" si="5"/>
        <v>8000 COOK RD,Houston,Texas</v>
      </c>
      <c r="D1287" s="6" t="s">
        <v>2229</v>
      </c>
      <c r="E1287" s="6" t="s">
        <v>25</v>
      </c>
      <c r="F1287" s="6" t="s">
        <v>26</v>
      </c>
      <c r="G1287" s="6" t="s">
        <v>91</v>
      </c>
      <c r="H1287" s="6" t="s">
        <v>50</v>
      </c>
      <c r="I1287" s="6" t="str">
        <f>VLOOKUP(H1287,'Flow Location'!$A$1:$B$21,2,FALSE)</f>
        <v>Contained On Site, not within 5 ft. of Bayou/Surface Water/Drainage Ditch</v>
      </c>
      <c r="J1287" s="20">
        <v>0.0</v>
      </c>
      <c r="K1287" s="6" t="s">
        <v>29</v>
      </c>
      <c r="L1287" s="6" t="str">
        <f>VLOOKUP(K1287,'Structure type'!$A$1:$B$15,2,FALSE)</f>
        <v>Manhole</v>
      </c>
      <c r="M1287" s="6" t="s">
        <v>96</v>
      </c>
      <c r="N1287" s="6" t="str">
        <f>VLOOKUP(M1287,'Excursion Cause'!$A$1:$B$34,2,FALSE)</f>
        <v>Collection system temporary blockage</v>
      </c>
      <c r="O1287" s="21">
        <v>44649.0</v>
      </c>
      <c r="P1287" s="6" t="s">
        <v>129</v>
      </c>
      <c r="Q1287" s="21">
        <v>44649.0</v>
      </c>
      <c r="R1287" s="6" t="s">
        <v>129</v>
      </c>
      <c r="S1287" s="20">
        <v>0.0</v>
      </c>
      <c r="T1287" s="6" t="s">
        <v>33</v>
      </c>
      <c r="U1287" s="6"/>
      <c r="V1287" s="6"/>
      <c r="W1287" s="6">
        <v>29.6906945</v>
      </c>
      <c r="X1287" s="6">
        <v>-95.5993303</v>
      </c>
    </row>
    <row r="1288" ht="15.75" customHeight="1">
      <c r="A1288" s="6">
        <v>14397.0</v>
      </c>
      <c r="B1288" s="6">
        <v>2022.0</v>
      </c>
      <c r="C1288" s="6" t="str">
        <f t="shared" si="5"/>
        <v>790 BATESWOOD DR,Houston,Texas</v>
      </c>
      <c r="D1288" s="6" t="s">
        <v>2230</v>
      </c>
      <c r="E1288" s="6" t="s">
        <v>25</v>
      </c>
      <c r="F1288" s="6" t="s">
        <v>26</v>
      </c>
      <c r="G1288" s="6" t="s">
        <v>520</v>
      </c>
      <c r="H1288" s="6" t="s">
        <v>1724</v>
      </c>
      <c r="I1288" s="6" t="str">
        <f>VLOOKUP(H1288,'Flow Location'!$A$1:$B$21,2,FALSE)</f>
        <v>Storm Sewer (not contained)</v>
      </c>
      <c r="J1288" s="20">
        <v>1256.0</v>
      </c>
      <c r="K1288" s="6" t="s">
        <v>29</v>
      </c>
      <c r="L1288" s="6" t="str">
        <f>VLOOKUP(K1288,'Structure type'!$A$1:$B$15,2,FALSE)</f>
        <v>Manhole</v>
      </c>
      <c r="M1288" s="6" t="s">
        <v>2231</v>
      </c>
      <c r="N1288" s="6" t="str">
        <f>VLOOKUP(M1288,'Excursion Cause'!$A$1:$B$34,2,FALSE)</f>
        <v>Grease Blockage</v>
      </c>
      <c r="O1288" s="21">
        <v>44649.0</v>
      </c>
      <c r="P1288" s="6" t="s">
        <v>522</v>
      </c>
      <c r="Q1288" s="21">
        <v>44650.0</v>
      </c>
      <c r="R1288" s="6" t="s">
        <v>409</v>
      </c>
      <c r="S1288" s="20">
        <v>1.0</v>
      </c>
      <c r="T1288" s="6" t="s">
        <v>2232</v>
      </c>
      <c r="U1288" s="6"/>
      <c r="V1288" s="6"/>
      <c r="W1288" s="6">
        <v>29.7743484</v>
      </c>
      <c r="X1288" s="6">
        <v>-95.5919873</v>
      </c>
    </row>
    <row r="1289" ht="15.75" customHeight="1">
      <c r="A1289" s="6">
        <v>14398.0</v>
      </c>
      <c r="B1289" s="6">
        <v>2022.0</v>
      </c>
      <c r="C1289" s="6" t="str">
        <f t="shared" si="5"/>
        <v>2005 JACQUELYN DR,Houston,Texas</v>
      </c>
      <c r="D1289" s="6" t="s">
        <v>1000</v>
      </c>
      <c r="E1289" s="6" t="s">
        <v>25</v>
      </c>
      <c r="F1289" s="6" t="s">
        <v>26</v>
      </c>
      <c r="G1289" s="6" t="s">
        <v>27</v>
      </c>
      <c r="H1289" s="6" t="s">
        <v>1977</v>
      </c>
      <c r="I1289" s="6" t="str">
        <f>VLOOKUP(H1289,'Flow Location'!$A$1:$B$21,2,FALSE)</f>
        <v>Bayou/surface water/drainage ditch</v>
      </c>
      <c r="J1289" s="20">
        <v>0.0</v>
      </c>
      <c r="K1289" s="6" t="s">
        <v>45</v>
      </c>
      <c r="L1289" s="6" t="str">
        <f>VLOOKUP(K1289,'Structure type'!$A$1:$B$15,2,FALSE)</f>
        <v>City Cleanout</v>
      </c>
      <c r="M1289" s="6" t="s">
        <v>30</v>
      </c>
      <c r="N1289" s="6" t="str">
        <f>VLOOKUP(M1289,'Excursion Cause'!$A$1:$B$34,2,FALSE)</f>
        <v>Grease Blockage</v>
      </c>
      <c r="O1289" s="21">
        <v>44649.0</v>
      </c>
      <c r="P1289" s="6" t="s">
        <v>291</v>
      </c>
      <c r="Q1289" s="21">
        <v>44649.0</v>
      </c>
      <c r="R1289" s="6" t="s">
        <v>291</v>
      </c>
      <c r="S1289" s="20">
        <v>0.0</v>
      </c>
      <c r="T1289" s="6" t="s">
        <v>33</v>
      </c>
      <c r="U1289" s="6"/>
      <c r="V1289" s="6"/>
      <c r="W1289" s="6">
        <v>29.8070253</v>
      </c>
      <c r="X1289" s="6">
        <v>-95.4810785</v>
      </c>
    </row>
    <row r="1290" ht="15.75" customHeight="1">
      <c r="A1290" s="6">
        <v>14399.0</v>
      </c>
      <c r="B1290" s="6">
        <v>2022.0</v>
      </c>
      <c r="C1290" s="6" t="str">
        <f t="shared" si="5"/>
        <v>261 TREASURE DR,Houston,Texas</v>
      </c>
      <c r="D1290" s="6" t="s">
        <v>2233</v>
      </c>
      <c r="E1290" s="6" t="s">
        <v>25</v>
      </c>
      <c r="F1290" s="6" t="s">
        <v>26</v>
      </c>
      <c r="G1290" s="6" t="s">
        <v>275</v>
      </c>
      <c r="H1290" s="6" t="s">
        <v>2162</v>
      </c>
      <c r="I1290" s="6" t="str">
        <f>VLOOKUP(H1290,'Flow Location'!$A$1:$B$21,2,FALSE)</f>
        <v>Drainage Ditch</v>
      </c>
      <c r="J1290" s="20">
        <v>0.0</v>
      </c>
      <c r="K1290" s="6" t="s">
        <v>29</v>
      </c>
      <c r="L1290" s="6" t="str">
        <f>VLOOKUP(K1290,'Structure type'!$A$1:$B$15,2,FALSE)</f>
        <v>Manhole</v>
      </c>
      <c r="M1290" s="6" t="s">
        <v>56</v>
      </c>
      <c r="N1290" s="6" t="str">
        <f>VLOOKUP(M1290,'Excursion Cause'!$A$1:$B$34,2,FALSE)</f>
        <v>Rags/Wipes</v>
      </c>
      <c r="O1290" s="21">
        <v>44649.0</v>
      </c>
      <c r="P1290" s="6" t="s">
        <v>1606</v>
      </c>
      <c r="Q1290" s="21">
        <v>44649.0</v>
      </c>
      <c r="R1290" s="6" t="s">
        <v>1606</v>
      </c>
      <c r="S1290" s="20">
        <v>0.0</v>
      </c>
      <c r="T1290" s="6" t="s">
        <v>2234</v>
      </c>
      <c r="U1290" s="6"/>
      <c r="V1290" s="6"/>
      <c r="W1290" s="6">
        <v>29.8564864</v>
      </c>
      <c r="X1290" s="6">
        <v>-95.3729971</v>
      </c>
    </row>
    <row r="1291" ht="15.75" customHeight="1">
      <c r="A1291" s="6">
        <v>14404.0</v>
      </c>
      <c r="B1291" s="6">
        <v>2022.0</v>
      </c>
      <c r="C1291" s="6" t="str">
        <f t="shared" si="5"/>
        <v>4002 CHARTRES ST,Houston,Texas</v>
      </c>
      <c r="D1291" s="6" t="s">
        <v>2235</v>
      </c>
      <c r="E1291" s="6" t="s">
        <v>25</v>
      </c>
      <c r="F1291" s="6" t="s">
        <v>26</v>
      </c>
      <c r="G1291" s="6" t="s">
        <v>308</v>
      </c>
      <c r="H1291" s="6" t="s">
        <v>28</v>
      </c>
      <c r="I1291" s="6" t="str">
        <f>VLOOKUP(H1291,'Flow Location'!$A$1:$B$21,2,FALSE)</f>
        <v>Storm Sewer (not contained)</v>
      </c>
      <c r="J1291" s="20">
        <v>4605.0</v>
      </c>
      <c r="K1291" s="6" t="s">
        <v>45</v>
      </c>
      <c r="L1291" s="6" t="str">
        <f>VLOOKUP(K1291,'Structure type'!$A$1:$B$15,2,FALSE)</f>
        <v>City Cleanout</v>
      </c>
      <c r="M1291" s="6" t="s">
        <v>2236</v>
      </c>
      <c r="N1291" s="6" t="str">
        <f>VLOOKUP(M1291,'Excursion Cause'!$A$1:$B$34,2,FALSE)</f>
        <v>Collection system temporary blockage</v>
      </c>
      <c r="O1291" s="21">
        <v>44649.0</v>
      </c>
      <c r="P1291" s="6" t="s">
        <v>1608</v>
      </c>
      <c r="Q1291" s="21">
        <v>44650.0</v>
      </c>
      <c r="R1291" s="6" t="s">
        <v>2237</v>
      </c>
      <c r="S1291" s="20">
        <v>3.0</v>
      </c>
      <c r="T1291" s="6" t="s">
        <v>89</v>
      </c>
      <c r="U1291" s="6"/>
      <c r="V1291" s="6"/>
      <c r="W1291" s="6">
        <v>29.7314632</v>
      </c>
      <c r="X1291" s="6">
        <v>-95.3727109</v>
      </c>
    </row>
    <row r="1292" ht="15.75" customHeight="1">
      <c r="A1292" s="6">
        <v>14405.0</v>
      </c>
      <c r="B1292" s="6">
        <v>2022.0</v>
      </c>
      <c r="C1292" s="6" t="str">
        <f t="shared" si="5"/>
        <v>12106 BRAEWICK DR,Houston,Texas</v>
      </c>
      <c r="D1292" s="6" t="s">
        <v>2238</v>
      </c>
      <c r="E1292" s="6" t="s">
        <v>25</v>
      </c>
      <c r="F1292" s="6" t="s">
        <v>26</v>
      </c>
      <c r="G1292" s="6" t="s">
        <v>127</v>
      </c>
      <c r="H1292" s="6" t="s">
        <v>50</v>
      </c>
      <c r="I1292" s="6" t="str">
        <f>VLOOKUP(H1292,'Flow Location'!$A$1:$B$21,2,FALSE)</f>
        <v>Contained On Site, not within 5 ft. of Bayou/Surface Water/Drainage Ditch</v>
      </c>
      <c r="J1292" s="20">
        <v>0.0</v>
      </c>
      <c r="K1292" s="6" t="s">
        <v>51</v>
      </c>
      <c r="L1292" s="6" t="str">
        <f>VLOOKUP(K1292,'Structure type'!$A$1:$B$15,2,FALSE)</f>
        <v>Private Cleanout</v>
      </c>
      <c r="M1292" s="6" t="s">
        <v>30</v>
      </c>
      <c r="N1292" s="6" t="str">
        <f>VLOOKUP(M1292,'Excursion Cause'!$A$1:$B$34,2,FALSE)</f>
        <v>Grease Blockage</v>
      </c>
      <c r="O1292" s="21">
        <v>44649.0</v>
      </c>
      <c r="P1292" s="6" t="s">
        <v>2239</v>
      </c>
      <c r="Q1292" s="21">
        <v>44649.0</v>
      </c>
      <c r="R1292" s="6" t="s">
        <v>2239</v>
      </c>
      <c r="S1292" s="20">
        <v>0.0</v>
      </c>
      <c r="T1292" s="6" t="s">
        <v>33</v>
      </c>
      <c r="U1292" s="6"/>
      <c r="V1292" s="6"/>
      <c r="W1292" s="6">
        <v>29.6465782</v>
      </c>
      <c r="X1292" s="6">
        <v>-95.4978021</v>
      </c>
    </row>
    <row r="1293" ht="15.75" customHeight="1">
      <c r="A1293" s="6">
        <v>14406.0</v>
      </c>
      <c r="B1293" s="6">
        <v>2022.0</v>
      </c>
      <c r="C1293" s="6" t="str">
        <f t="shared" si="5"/>
        <v>4207 BILLINGSLEY ST,Houston,Texas</v>
      </c>
      <c r="D1293" s="6" t="s">
        <v>2240</v>
      </c>
      <c r="E1293" s="6" t="s">
        <v>25</v>
      </c>
      <c r="F1293" s="6" t="s">
        <v>26</v>
      </c>
      <c r="G1293" s="6" t="s">
        <v>161</v>
      </c>
      <c r="H1293" s="6" t="s">
        <v>1724</v>
      </c>
      <c r="I1293" s="6" t="str">
        <f>VLOOKUP(H1293,'Flow Location'!$A$1:$B$21,2,FALSE)</f>
        <v>Storm Sewer (not contained)</v>
      </c>
      <c r="J1293" s="20">
        <v>0.0</v>
      </c>
      <c r="K1293" s="6" t="s">
        <v>2241</v>
      </c>
      <c r="L1293" s="6" t="str">
        <f>VLOOKUP(K1293,'Structure type'!$A$1:$B$15,2,FALSE)</f>
        <v>Private Cleanout</v>
      </c>
      <c r="M1293" s="6" t="s">
        <v>2242</v>
      </c>
      <c r="N1293" s="6" t="str">
        <f>VLOOKUP(M1293,'Excursion Cause'!$A$1:$B$34,2,FALSE)</f>
        <v>Grease Blockage</v>
      </c>
      <c r="O1293" s="21">
        <v>44650.0</v>
      </c>
      <c r="P1293" s="6" t="s">
        <v>183</v>
      </c>
      <c r="Q1293" s="21">
        <v>44650.0</v>
      </c>
      <c r="R1293" s="6" t="s">
        <v>183</v>
      </c>
      <c r="S1293" s="20">
        <v>0.0</v>
      </c>
      <c r="T1293" s="6" t="s">
        <v>2243</v>
      </c>
      <c r="U1293" s="6"/>
      <c r="V1293" s="6"/>
      <c r="W1293" s="6">
        <v>29.7985843</v>
      </c>
      <c r="X1293" s="6">
        <v>-95.3623623</v>
      </c>
    </row>
    <row r="1294" ht="15.75" customHeight="1">
      <c r="A1294" s="6">
        <v>14410.0</v>
      </c>
      <c r="B1294" s="6">
        <v>2022.0</v>
      </c>
      <c r="C1294" s="6" t="str">
        <f t="shared" si="5"/>
        <v>19301 HIGHTOWER LN,Houston,Texas</v>
      </c>
      <c r="D1294" s="6" t="s">
        <v>2244</v>
      </c>
      <c r="E1294" s="6" t="s">
        <v>25</v>
      </c>
      <c r="F1294" s="6" t="s">
        <v>26</v>
      </c>
      <c r="G1294" s="6" t="s">
        <v>2245</v>
      </c>
      <c r="H1294" s="6" t="s">
        <v>50</v>
      </c>
      <c r="I1294" s="6" t="str">
        <f>VLOOKUP(H1294,'Flow Location'!$A$1:$B$21,2,FALSE)</f>
        <v>Contained On Site, not within 5 ft. of Bayou/Surface Water/Drainage Ditch</v>
      </c>
      <c r="J1294" s="20">
        <v>0.0</v>
      </c>
      <c r="K1294" s="6" t="s">
        <v>29</v>
      </c>
      <c r="L1294" s="6" t="str">
        <f>VLOOKUP(K1294,'Structure type'!$A$1:$B$15,2,FALSE)</f>
        <v>Manhole</v>
      </c>
      <c r="M1294" s="6" t="s">
        <v>30</v>
      </c>
      <c r="N1294" s="6" t="str">
        <f>VLOOKUP(M1294,'Excursion Cause'!$A$1:$B$34,2,FALSE)</f>
        <v>Grease Blockage</v>
      </c>
      <c r="O1294" s="21">
        <v>44650.0</v>
      </c>
      <c r="P1294" s="6" t="s">
        <v>854</v>
      </c>
      <c r="Q1294" s="21">
        <v>44650.0</v>
      </c>
      <c r="R1294" s="6" t="s">
        <v>854</v>
      </c>
      <c r="S1294" s="20">
        <v>0.0</v>
      </c>
      <c r="T1294" s="6" t="s">
        <v>33</v>
      </c>
      <c r="U1294" s="6"/>
      <c r="V1294" s="6"/>
      <c r="W1294" s="6">
        <v>29.9990464</v>
      </c>
      <c r="X1294" s="6">
        <v>-95.2820642</v>
      </c>
    </row>
    <row r="1295" ht="15.75" customHeight="1">
      <c r="A1295" s="6">
        <v>14411.0</v>
      </c>
      <c r="B1295" s="6">
        <v>2022.0</v>
      </c>
      <c r="C1295" s="6" t="str">
        <f t="shared" si="5"/>
        <v>7225 HIRSCH RD,Houston,Texas</v>
      </c>
      <c r="D1295" s="6" t="s">
        <v>2246</v>
      </c>
      <c r="E1295" s="6" t="s">
        <v>25</v>
      </c>
      <c r="F1295" s="6" t="s">
        <v>26</v>
      </c>
      <c r="G1295" s="6" t="s">
        <v>326</v>
      </c>
      <c r="H1295" s="6" t="s">
        <v>50</v>
      </c>
      <c r="I1295" s="6" t="str">
        <f>VLOOKUP(H1295,'Flow Location'!$A$1:$B$21,2,FALSE)</f>
        <v>Contained On Site, not within 5 ft. of Bayou/Surface Water/Drainage Ditch</v>
      </c>
      <c r="J1295" s="20">
        <v>0.0</v>
      </c>
      <c r="K1295" s="6" t="s">
        <v>29</v>
      </c>
      <c r="L1295" s="6" t="str">
        <f>VLOOKUP(K1295,'Structure type'!$A$1:$B$15,2,FALSE)</f>
        <v>Manhole</v>
      </c>
      <c r="M1295" s="6" t="s">
        <v>96</v>
      </c>
      <c r="N1295" s="6" t="str">
        <f>VLOOKUP(M1295,'Excursion Cause'!$A$1:$B$34,2,FALSE)</f>
        <v>Collection system temporary blockage</v>
      </c>
      <c r="O1295" s="21">
        <v>44650.0</v>
      </c>
      <c r="P1295" s="6" t="s">
        <v>940</v>
      </c>
      <c r="Q1295" s="21">
        <v>44650.0</v>
      </c>
      <c r="R1295" s="6" t="s">
        <v>940</v>
      </c>
      <c r="S1295" s="20">
        <v>0.0</v>
      </c>
      <c r="T1295" s="6" t="s">
        <v>118</v>
      </c>
      <c r="U1295" s="6"/>
      <c r="V1295" s="6"/>
      <c r="W1295" s="6">
        <v>29.8260318</v>
      </c>
      <c r="X1295" s="6">
        <v>-95.329102</v>
      </c>
    </row>
    <row r="1296" ht="15.75" customHeight="1">
      <c r="A1296" s="6">
        <v>14412.0</v>
      </c>
      <c r="B1296" s="6">
        <v>2022.0</v>
      </c>
      <c r="C1296" s="6" t="str">
        <f t="shared" si="5"/>
        <v>4046 LELIA ST,Houston,Texas</v>
      </c>
      <c r="D1296" s="6" t="s">
        <v>2247</v>
      </c>
      <c r="E1296" s="6" t="s">
        <v>25</v>
      </c>
      <c r="F1296" s="6" t="s">
        <v>26</v>
      </c>
      <c r="G1296" s="6" t="s">
        <v>43</v>
      </c>
      <c r="H1296" s="6" t="s">
        <v>2190</v>
      </c>
      <c r="I1296" s="6" t="str">
        <f>VLOOKUP(H1296,'Flow Location'!$A$1:$B$21,2,FALSE)</f>
        <v>Contained On Site</v>
      </c>
      <c r="J1296" s="20">
        <v>0.0</v>
      </c>
      <c r="K1296" s="6" t="s">
        <v>45</v>
      </c>
      <c r="L1296" s="6" t="str">
        <f>VLOOKUP(K1296,'Structure type'!$A$1:$B$15,2,FALSE)</f>
        <v>City Cleanout</v>
      </c>
      <c r="M1296" s="6" t="s">
        <v>2248</v>
      </c>
      <c r="N1296" s="6" t="str">
        <f>VLOOKUP(M1296,'Excursion Cause'!$A$1:$B$34,2,FALSE)</f>
        <v>Collection system structural blockage</v>
      </c>
      <c r="O1296" s="21">
        <v>44650.0</v>
      </c>
      <c r="P1296" s="6" t="s">
        <v>791</v>
      </c>
      <c r="Q1296" s="21">
        <v>44650.0</v>
      </c>
      <c r="R1296" s="6" t="s">
        <v>791</v>
      </c>
      <c r="S1296" s="20">
        <v>0.0</v>
      </c>
      <c r="T1296" s="6" t="s">
        <v>54</v>
      </c>
      <c r="U1296" s="6"/>
      <c r="V1296" s="6"/>
      <c r="W1296" s="6">
        <v>29.7888744</v>
      </c>
      <c r="X1296" s="6">
        <v>-95.3292246</v>
      </c>
    </row>
    <row r="1297" ht="15.75" customHeight="1">
      <c r="A1297" s="6">
        <v>14413.0</v>
      </c>
      <c r="B1297" s="6">
        <v>2022.0</v>
      </c>
      <c r="C1297" s="6" t="str">
        <f t="shared" si="5"/>
        <v>3425 EASTEX FWY,Houston,Texas</v>
      </c>
      <c r="D1297" s="6" t="s">
        <v>2249</v>
      </c>
      <c r="E1297" s="6" t="s">
        <v>25</v>
      </c>
      <c r="F1297" s="6" t="s">
        <v>26</v>
      </c>
      <c r="G1297" s="6" t="s">
        <v>43</v>
      </c>
      <c r="H1297" s="6" t="s">
        <v>1724</v>
      </c>
      <c r="I1297" s="6" t="str">
        <f>VLOOKUP(H1297,'Flow Location'!$A$1:$B$21,2,FALSE)</f>
        <v>Storm Sewer (not contained)</v>
      </c>
      <c r="J1297" s="20">
        <v>0.0</v>
      </c>
      <c r="K1297" s="6" t="s">
        <v>2250</v>
      </c>
      <c r="L1297" s="6" t="str">
        <f>VLOOKUP(K1297,'Structure type'!$A$1:$B$15,2,FALSE)</f>
        <v>Private Sample Well</v>
      </c>
      <c r="M1297" s="6" t="s">
        <v>56</v>
      </c>
      <c r="N1297" s="6" t="str">
        <f>VLOOKUP(M1297,'Excursion Cause'!$A$1:$B$34,2,FALSE)</f>
        <v>Rags/Wipes</v>
      </c>
      <c r="O1297" s="21">
        <v>44650.0</v>
      </c>
      <c r="P1297" s="6" t="s">
        <v>235</v>
      </c>
      <c r="Q1297" s="21">
        <v>44650.0</v>
      </c>
      <c r="R1297" s="6" t="s">
        <v>235</v>
      </c>
      <c r="S1297" s="20">
        <v>0.0</v>
      </c>
      <c r="T1297" s="6" t="s">
        <v>2251</v>
      </c>
      <c r="U1297" s="6"/>
      <c r="V1297" s="6"/>
      <c r="W1297" s="6">
        <v>29.7935559</v>
      </c>
      <c r="X1297" s="6">
        <v>-95.3406243</v>
      </c>
    </row>
    <row r="1298" ht="15.75" customHeight="1">
      <c r="A1298" s="6">
        <v>14416.0</v>
      </c>
      <c r="B1298" s="6">
        <v>2022.0</v>
      </c>
      <c r="C1298" s="6" t="str">
        <f t="shared" si="5"/>
        <v>7429 LONG POINT RD,Houston,Texas</v>
      </c>
      <c r="D1298" s="6" t="s">
        <v>2252</v>
      </c>
      <c r="E1298" s="6" t="s">
        <v>25</v>
      </c>
      <c r="F1298" s="6" t="s">
        <v>26</v>
      </c>
      <c r="G1298" s="6" t="s">
        <v>27</v>
      </c>
      <c r="H1298" s="6" t="s">
        <v>2190</v>
      </c>
      <c r="I1298" s="6" t="str">
        <f>VLOOKUP(H1298,'Flow Location'!$A$1:$B$21,2,FALSE)</f>
        <v>Contained On Site</v>
      </c>
      <c r="J1298" s="20">
        <v>0.0</v>
      </c>
      <c r="K1298" s="6" t="s">
        <v>51</v>
      </c>
      <c r="L1298" s="6" t="str">
        <f>VLOOKUP(K1298,'Structure type'!$A$1:$B$15,2,FALSE)</f>
        <v>Private Cleanout</v>
      </c>
      <c r="M1298" s="6" t="s">
        <v>2253</v>
      </c>
      <c r="N1298" s="6" t="str">
        <f>VLOOKUP(M1298,'Excursion Cause'!$A$1:$B$34,2,FALSE)</f>
        <v>Collection system temporary blockage</v>
      </c>
      <c r="O1298" s="21">
        <v>44650.0</v>
      </c>
      <c r="P1298" s="6" t="s">
        <v>1855</v>
      </c>
      <c r="Q1298" s="21">
        <v>44650.0</v>
      </c>
      <c r="R1298" s="6" t="s">
        <v>1855</v>
      </c>
      <c r="S1298" s="20">
        <v>0.0</v>
      </c>
      <c r="T1298" s="6" t="s">
        <v>118</v>
      </c>
      <c r="U1298" s="6"/>
      <c r="V1298" s="6"/>
      <c r="W1298" s="6">
        <v>29.8016813</v>
      </c>
      <c r="X1298" s="6">
        <v>-95.4773101</v>
      </c>
    </row>
    <row r="1299" ht="15.75" customHeight="1">
      <c r="A1299" s="6">
        <v>14424.0</v>
      </c>
      <c r="B1299" s="6">
        <v>2022.0</v>
      </c>
      <c r="C1299" s="6" t="str">
        <f t="shared" si="5"/>
        <v>6323 CRESTVILLE ST,Houston,Texas</v>
      </c>
      <c r="D1299" s="6" t="s">
        <v>2254</v>
      </c>
      <c r="E1299" s="6" t="s">
        <v>25</v>
      </c>
      <c r="F1299" s="6" t="s">
        <v>26</v>
      </c>
      <c r="G1299" s="6" t="s">
        <v>120</v>
      </c>
      <c r="H1299" s="6" t="s">
        <v>50</v>
      </c>
      <c r="I1299" s="6" t="str">
        <f>VLOOKUP(H1299,'Flow Location'!$A$1:$B$21,2,FALSE)</f>
        <v>Contained On Site, not within 5 ft. of Bayou/Surface Water/Drainage Ditch</v>
      </c>
      <c r="J1299" s="20">
        <v>0.0</v>
      </c>
      <c r="K1299" s="6" t="s">
        <v>45</v>
      </c>
      <c r="L1299" s="6" t="str">
        <f>VLOOKUP(K1299,'Structure type'!$A$1:$B$15,2,FALSE)</f>
        <v>City Cleanout</v>
      </c>
      <c r="M1299" s="6" t="s">
        <v>56</v>
      </c>
      <c r="N1299" s="6" t="str">
        <f>VLOOKUP(M1299,'Excursion Cause'!$A$1:$B$34,2,FALSE)</f>
        <v>Rags/Wipes</v>
      </c>
      <c r="O1299" s="21">
        <v>44650.0</v>
      </c>
      <c r="P1299" s="6" t="s">
        <v>2255</v>
      </c>
      <c r="Q1299" s="21">
        <v>44650.0</v>
      </c>
      <c r="R1299" s="6" t="s">
        <v>2255</v>
      </c>
      <c r="S1299" s="20">
        <v>0.0</v>
      </c>
      <c r="T1299" s="6" t="s">
        <v>89</v>
      </c>
      <c r="U1299" s="6"/>
      <c r="V1299" s="6"/>
      <c r="W1299" s="6">
        <v>29.6880595</v>
      </c>
      <c r="X1299" s="6">
        <v>-95.3268142</v>
      </c>
    </row>
    <row r="1300" ht="15.75" customHeight="1">
      <c r="A1300" s="6">
        <v>14426.0</v>
      </c>
      <c r="B1300" s="6">
        <v>2022.0</v>
      </c>
      <c r="C1300" s="6" t="str">
        <f t="shared" si="5"/>
        <v>3709 TOPPING ST,Houston,Texas</v>
      </c>
      <c r="D1300" s="6" t="s">
        <v>2256</v>
      </c>
      <c r="E1300" s="6" t="s">
        <v>25</v>
      </c>
      <c r="F1300" s="6" t="s">
        <v>26</v>
      </c>
      <c r="G1300" s="6" t="s">
        <v>109</v>
      </c>
      <c r="H1300" s="6" t="s">
        <v>50</v>
      </c>
      <c r="I1300" s="6" t="str">
        <f>VLOOKUP(H1300,'Flow Location'!$A$1:$B$21,2,FALSE)</f>
        <v>Contained On Site, not within 5 ft. of Bayou/Surface Water/Drainage Ditch</v>
      </c>
      <c r="J1300" s="20">
        <v>0.0</v>
      </c>
      <c r="K1300" s="6" t="s">
        <v>45</v>
      </c>
      <c r="L1300" s="6" t="str">
        <f>VLOOKUP(K1300,'Structure type'!$A$1:$B$15,2,FALSE)</f>
        <v>City Cleanout</v>
      </c>
      <c r="M1300" s="6" t="s">
        <v>56</v>
      </c>
      <c r="N1300" s="6" t="str">
        <f>VLOOKUP(M1300,'Excursion Cause'!$A$1:$B$34,2,FALSE)</f>
        <v>Rags/Wipes</v>
      </c>
      <c r="O1300" s="21">
        <v>44651.0</v>
      </c>
      <c r="P1300" s="6" t="s">
        <v>373</v>
      </c>
      <c r="Q1300" s="21">
        <v>44651.0</v>
      </c>
      <c r="R1300" s="6" t="s">
        <v>373</v>
      </c>
      <c r="S1300" s="20">
        <v>0.0</v>
      </c>
      <c r="T1300" s="6" t="s">
        <v>270</v>
      </c>
      <c r="U1300" s="6"/>
      <c r="V1300" s="6"/>
      <c r="W1300" s="6">
        <v>29.8577122</v>
      </c>
      <c r="X1300" s="6">
        <v>-95.3314635</v>
      </c>
    </row>
    <row r="1301" ht="15.75" customHeight="1">
      <c r="A1301" s="6">
        <v>14427.0</v>
      </c>
      <c r="B1301" s="6">
        <v>2022.0</v>
      </c>
      <c r="C1301" s="6" t="str">
        <f t="shared" si="5"/>
        <v>4447 MOUNT VERNON ST,Houston,Texas</v>
      </c>
      <c r="D1301" s="6" t="s">
        <v>1805</v>
      </c>
      <c r="E1301" s="6" t="s">
        <v>25</v>
      </c>
      <c r="F1301" s="6" t="s">
        <v>26</v>
      </c>
      <c r="G1301" s="6" t="s">
        <v>761</v>
      </c>
      <c r="H1301" s="6" t="s">
        <v>1977</v>
      </c>
      <c r="I1301" s="6" t="str">
        <f>VLOOKUP(H1301,'Flow Location'!$A$1:$B$21,2,FALSE)</f>
        <v>Bayou/surface water/drainage ditch</v>
      </c>
      <c r="J1301" s="20">
        <v>0.0</v>
      </c>
      <c r="K1301" s="6" t="s">
        <v>290</v>
      </c>
      <c r="L1301" s="6" t="str">
        <f>VLOOKUP(K1301,'Structure type'!$A$1:$B$15,2,FALSE)</f>
        <v>Gravity Main</v>
      </c>
      <c r="M1301" s="6" t="s">
        <v>30</v>
      </c>
      <c r="N1301" s="6" t="str">
        <f>VLOOKUP(M1301,'Excursion Cause'!$A$1:$B$34,2,FALSE)</f>
        <v>Grease Blockage</v>
      </c>
      <c r="O1301" s="21">
        <v>44651.0</v>
      </c>
      <c r="P1301" s="6" t="s">
        <v>2257</v>
      </c>
      <c r="Q1301" s="21">
        <v>44651.0</v>
      </c>
      <c r="R1301" s="6" t="s">
        <v>2257</v>
      </c>
      <c r="S1301" s="20">
        <v>0.0</v>
      </c>
      <c r="T1301" s="6" t="s">
        <v>59</v>
      </c>
      <c r="U1301" s="6"/>
      <c r="V1301" s="6"/>
      <c r="W1301" s="6">
        <v>29.7326705</v>
      </c>
      <c r="X1301" s="6">
        <v>-95.3934151</v>
      </c>
    </row>
    <row r="1302" ht="15.75" customHeight="1">
      <c r="A1302" s="6">
        <v>14428.0</v>
      </c>
      <c r="B1302" s="6">
        <v>2022.0</v>
      </c>
      <c r="C1302" s="6" t="str">
        <f t="shared" si="5"/>
        <v>5814 BRETSHIRE DR,Houston,Texas</v>
      </c>
      <c r="D1302" s="6" t="s">
        <v>2258</v>
      </c>
      <c r="E1302" s="6" t="s">
        <v>25</v>
      </c>
      <c r="F1302" s="6" t="s">
        <v>26</v>
      </c>
      <c r="G1302" s="6" t="s">
        <v>326</v>
      </c>
      <c r="H1302" s="6" t="s">
        <v>50</v>
      </c>
      <c r="I1302" s="6" t="str">
        <f>VLOOKUP(H1302,'Flow Location'!$A$1:$B$21,2,FALSE)</f>
        <v>Contained On Site, not within 5 ft. of Bayou/Surface Water/Drainage Ditch</v>
      </c>
      <c r="J1302" s="20">
        <v>0.0</v>
      </c>
      <c r="K1302" s="6" t="s">
        <v>51</v>
      </c>
      <c r="L1302" s="6" t="str">
        <f>VLOOKUP(K1302,'Structure type'!$A$1:$B$15,2,FALSE)</f>
        <v>Private Cleanout</v>
      </c>
      <c r="M1302" s="6" t="s">
        <v>56</v>
      </c>
      <c r="N1302" s="6" t="str">
        <f>VLOOKUP(M1302,'Excursion Cause'!$A$1:$B$34,2,FALSE)</f>
        <v>Rags/Wipes</v>
      </c>
      <c r="O1302" s="21">
        <v>44651.0</v>
      </c>
      <c r="P1302" s="6" t="s">
        <v>2005</v>
      </c>
      <c r="Q1302" s="21">
        <v>44651.0</v>
      </c>
      <c r="R1302" s="6" t="s">
        <v>2005</v>
      </c>
      <c r="S1302" s="20">
        <v>0.0</v>
      </c>
      <c r="T1302" s="6" t="s">
        <v>59</v>
      </c>
      <c r="U1302" s="6"/>
      <c r="V1302" s="6"/>
      <c r="W1302" s="6">
        <v>29.8598373</v>
      </c>
      <c r="X1302" s="6">
        <v>-95.3065453</v>
      </c>
    </row>
    <row r="1303" ht="15.75" customHeight="1">
      <c r="A1303" s="6">
        <v>14429.0</v>
      </c>
      <c r="B1303" s="6">
        <v>2022.0</v>
      </c>
      <c r="C1303" s="6" t="str">
        <f t="shared" si="5"/>
        <v>777 COOLWOOD DR,Houston,Texas</v>
      </c>
      <c r="D1303" s="6" t="s">
        <v>1328</v>
      </c>
      <c r="E1303" s="6" t="s">
        <v>25</v>
      </c>
      <c r="F1303" s="6" t="s">
        <v>26</v>
      </c>
      <c r="G1303" s="6" t="s">
        <v>656</v>
      </c>
      <c r="H1303" s="6" t="s">
        <v>1724</v>
      </c>
      <c r="I1303" s="6" t="str">
        <f>VLOOKUP(H1303,'Flow Location'!$A$1:$B$21,2,FALSE)</f>
        <v>Storm Sewer (not contained)</v>
      </c>
      <c r="J1303" s="20">
        <v>0.0</v>
      </c>
      <c r="K1303" s="6" t="s">
        <v>29</v>
      </c>
      <c r="L1303" s="6" t="str">
        <f>VLOOKUP(K1303,'Structure type'!$A$1:$B$15,2,FALSE)</f>
        <v>Manhole</v>
      </c>
      <c r="M1303" s="6" t="s">
        <v>2259</v>
      </c>
      <c r="N1303" s="6" t="str">
        <f>VLOOKUP(M1303,'Excursion Cause'!$A$1:$B$34,2,FALSE)</f>
        <v>Grease Blockage</v>
      </c>
      <c r="O1303" s="21">
        <v>44651.0</v>
      </c>
      <c r="P1303" s="6" t="s">
        <v>2260</v>
      </c>
      <c r="Q1303" s="21">
        <v>44651.0</v>
      </c>
      <c r="R1303" s="6" t="s">
        <v>2260</v>
      </c>
      <c r="S1303" s="20">
        <v>0.0</v>
      </c>
      <c r="T1303" s="6" t="s">
        <v>2261</v>
      </c>
      <c r="U1303" s="6"/>
      <c r="V1303" s="6"/>
      <c r="W1303" s="6">
        <v>29.776617</v>
      </c>
      <c r="X1303" s="6">
        <v>-95.2233541</v>
      </c>
    </row>
    <row r="1304" ht="15.75" customHeight="1">
      <c r="A1304" s="6">
        <v>14432.0</v>
      </c>
      <c r="B1304" s="6">
        <v>2022.0</v>
      </c>
      <c r="C1304" s="6" t="str">
        <f t="shared" si="5"/>
        <v>1266 DOVE ST,Houston,Texas</v>
      </c>
      <c r="D1304" s="6" t="s">
        <v>2262</v>
      </c>
      <c r="E1304" s="6" t="s">
        <v>25</v>
      </c>
      <c r="F1304" s="6" t="s">
        <v>26</v>
      </c>
      <c r="G1304" s="6" t="s">
        <v>623</v>
      </c>
      <c r="H1304" s="6" t="s">
        <v>1724</v>
      </c>
      <c r="I1304" s="6" t="str">
        <f>VLOOKUP(H1304,'Flow Location'!$A$1:$B$21,2,FALSE)</f>
        <v>Storm Sewer (not contained)</v>
      </c>
      <c r="J1304" s="20">
        <v>0.0</v>
      </c>
      <c r="K1304" s="6" t="s">
        <v>29</v>
      </c>
      <c r="L1304" s="6" t="str">
        <f>VLOOKUP(K1304,'Structure type'!$A$1:$B$15,2,FALSE)</f>
        <v>Manhole</v>
      </c>
      <c r="M1304" s="6" t="s">
        <v>2263</v>
      </c>
      <c r="N1304" s="6" t="str">
        <f>VLOOKUP(M1304,'Excursion Cause'!$A$1:$B$34,2,FALSE)</f>
        <v>Grease Blockage</v>
      </c>
      <c r="O1304" s="21">
        <v>44651.0</v>
      </c>
      <c r="P1304" s="6" t="s">
        <v>77</v>
      </c>
      <c r="Q1304" s="21">
        <v>44651.0</v>
      </c>
      <c r="R1304" s="6" t="s">
        <v>77</v>
      </c>
      <c r="S1304" s="20">
        <v>0.0</v>
      </c>
      <c r="T1304" s="6" t="s">
        <v>2264</v>
      </c>
      <c r="U1304" s="6"/>
      <c r="V1304" s="6"/>
      <c r="W1304" s="6">
        <v>29.7683793</v>
      </c>
      <c r="X1304" s="6">
        <v>-95.2117636</v>
      </c>
    </row>
    <row r="1305" ht="15.75" customHeight="1">
      <c r="A1305" s="6">
        <v>14434.0</v>
      </c>
      <c r="B1305" s="6">
        <v>2022.0</v>
      </c>
      <c r="C1305" s="6" t="str">
        <f t="shared" si="5"/>
        <v>2305 DES CHAUMES ST,Houston,Texas</v>
      </c>
      <c r="D1305" s="6" t="s">
        <v>2265</v>
      </c>
      <c r="E1305" s="6" t="s">
        <v>25</v>
      </c>
      <c r="F1305" s="6" t="s">
        <v>26</v>
      </c>
      <c r="G1305" s="6" t="s">
        <v>43</v>
      </c>
      <c r="H1305" s="6" t="s">
        <v>50</v>
      </c>
      <c r="I1305" s="6" t="str">
        <f>VLOOKUP(H1305,'Flow Location'!$A$1:$B$21,2,FALSE)</f>
        <v>Contained On Site, not within 5 ft. of Bayou/Surface Water/Drainage Ditch</v>
      </c>
      <c r="J1305" s="20">
        <v>0.0</v>
      </c>
      <c r="K1305" s="6" t="s">
        <v>51</v>
      </c>
      <c r="L1305" s="6" t="str">
        <f>VLOOKUP(K1305,'Structure type'!$A$1:$B$15,2,FALSE)</f>
        <v>Private Cleanout</v>
      </c>
      <c r="M1305" s="6" t="s">
        <v>30</v>
      </c>
      <c r="N1305" s="6" t="str">
        <f>VLOOKUP(M1305,'Excursion Cause'!$A$1:$B$34,2,FALSE)</f>
        <v>Grease Blockage</v>
      </c>
      <c r="O1305" s="21">
        <v>44651.0</v>
      </c>
      <c r="P1305" s="6" t="s">
        <v>1704</v>
      </c>
      <c r="Q1305" s="21">
        <v>44651.0</v>
      </c>
      <c r="R1305" s="6" t="s">
        <v>1704</v>
      </c>
      <c r="S1305" s="20">
        <v>0.0</v>
      </c>
      <c r="T1305" s="6" t="s">
        <v>59</v>
      </c>
      <c r="U1305" s="6"/>
      <c r="V1305" s="6"/>
      <c r="W1305" s="6">
        <v>29.783316</v>
      </c>
      <c r="X1305" s="6">
        <v>-95.3384642</v>
      </c>
    </row>
    <row r="1306" ht="15.75" customHeight="1">
      <c r="A1306" s="6">
        <v>14435.0</v>
      </c>
      <c r="B1306" s="6">
        <v>2022.0</v>
      </c>
      <c r="C1306" s="6" t="str">
        <f t="shared" si="5"/>
        <v>5123 FAIRGREEN LN,Houston,Texas</v>
      </c>
      <c r="D1306" s="6" t="s">
        <v>2266</v>
      </c>
      <c r="E1306" s="6" t="s">
        <v>25</v>
      </c>
      <c r="F1306" s="6" t="s">
        <v>26</v>
      </c>
      <c r="G1306" s="6" t="s">
        <v>301</v>
      </c>
      <c r="H1306" s="6" t="s">
        <v>1724</v>
      </c>
      <c r="I1306" s="6" t="str">
        <f>VLOOKUP(H1306,'Flow Location'!$A$1:$B$21,2,FALSE)</f>
        <v>Storm Sewer (not contained)</v>
      </c>
      <c r="J1306" s="20">
        <v>0.0</v>
      </c>
      <c r="K1306" s="6" t="s">
        <v>29</v>
      </c>
      <c r="L1306" s="6" t="str">
        <f>VLOOKUP(K1306,'Structure type'!$A$1:$B$15,2,FALSE)</f>
        <v>Manhole</v>
      </c>
      <c r="M1306" s="6" t="s">
        <v>2267</v>
      </c>
      <c r="N1306" s="6" t="str">
        <f>VLOOKUP(M1306,'Excursion Cause'!$A$1:$B$34,2,FALSE)</f>
        <v>Grease Blockage</v>
      </c>
      <c r="O1306" s="21">
        <v>44651.0</v>
      </c>
      <c r="P1306" s="6" t="s">
        <v>1128</v>
      </c>
      <c r="Q1306" s="21">
        <v>44651.0</v>
      </c>
      <c r="R1306" s="6" t="s">
        <v>1128</v>
      </c>
      <c r="S1306" s="20">
        <v>0.0</v>
      </c>
      <c r="T1306" s="6" t="s">
        <v>2268</v>
      </c>
      <c r="U1306" s="6"/>
      <c r="V1306" s="6"/>
      <c r="W1306" s="6">
        <v>29.6313452</v>
      </c>
      <c r="X1306" s="6">
        <v>-95.3476532</v>
      </c>
    </row>
    <row r="1307" ht="15.75" customHeight="1">
      <c r="A1307" s="6">
        <v>14436.0</v>
      </c>
      <c r="B1307" s="6">
        <v>2022.0</v>
      </c>
      <c r="C1307" s="6" t="str">
        <f t="shared" si="5"/>
        <v>9214 SHREVEPORT BLVD,Houston,Texas</v>
      </c>
      <c r="D1307" s="6" t="s">
        <v>2269</v>
      </c>
      <c r="E1307" s="6" t="s">
        <v>25</v>
      </c>
      <c r="F1307" s="6" t="s">
        <v>26</v>
      </c>
      <c r="G1307" s="6" t="s">
        <v>177</v>
      </c>
      <c r="H1307" s="6" t="s">
        <v>1724</v>
      </c>
      <c r="I1307" s="6" t="str">
        <f>VLOOKUP(H1307,'Flow Location'!$A$1:$B$21,2,FALSE)</f>
        <v>Storm Sewer (not contained)</v>
      </c>
      <c r="J1307" s="20">
        <v>0.0</v>
      </c>
      <c r="K1307" s="6" t="s">
        <v>45</v>
      </c>
      <c r="L1307" s="6" t="str">
        <f>VLOOKUP(K1307,'Structure type'!$A$1:$B$15,2,FALSE)</f>
        <v>City Cleanout</v>
      </c>
      <c r="M1307" s="6" t="s">
        <v>2270</v>
      </c>
      <c r="N1307" s="6" t="str">
        <f>VLOOKUP(M1307,'Excursion Cause'!$A$1:$B$34,2,FALSE)</f>
        <v>Grease Blockage</v>
      </c>
      <c r="O1307" s="21">
        <v>44651.0</v>
      </c>
      <c r="P1307" s="6" t="s">
        <v>2271</v>
      </c>
      <c r="Q1307" s="21">
        <v>44651.0</v>
      </c>
      <c r="R1307" s="6" t="s">
        <v>2271</v>
      </c>
      <c r="S1307" s="20">
        <v>0.0</v>
      </c>
      <c r="T1307" s="6" t="s">
        <v>2272</v>
      </c>
      <c r="U1307" s="6"/>
      <c r="V1307" s="6"/>
      <c r="W1307" s="6">
        <v>29.8441258</v>
      </c>
      <c r="X1307" s="6">
        <v>-95.2961005</v>
      </c>
    </row>
    <row r="1308" ht="15.75" customHeight="1">
      <c r="A1308" s="6">
        <v>14438.0</v>
      </c>
      <c r="B1308" s="6">
        <v>2022.0</v>
      </c>
      <c r="C1308" s="6" t="str">
        <f t="shared" si="5"/>
        <v>12062 WHITE CAP LN,Houston,Texas</v>
      </c>
      <c r="D1308" s="6" t="s">
        <v>434</v>
      </c>
      <c r="E1308" s="6" t="s">
        <v>25</v>
      </c>
      <c r="F1308" s="6" t="s">
        <v>26</v>
      </c>
      <c r="G1308" s="6" t="s">
        <v>91</v>
      </c>
      <c r="H1308" s="6" t="s">
        <v>1724</v>
      </c>
      <c r="I1308" s="6" t="str">
        <f>VLOOKUP(H1308,'Flow Location'!$A$1:$B$21,2,FALSE)</f>
        <v>Storm Sewer (not contained)</v>
      </c>
      <c r="J1308" s="20">
        <v>2224.0</v>
      </c>
      <c r="K1308" s="6" t="s">
        <v>29</v>
      </c>
      <c r="L1308" s="6" t="str">
        <f>VLOOKUP(K1308,'Structure type'!$A$1:$B$15,2,FALSE)</f>
        <v>Manhole</v>
      </c>
      <c r="M1308" s="6" t="s">
        <v>2273</v>
      </c>
      <c r="N1308" s="6" t="str">
        <f>VLOOKUP(M1308,'Excursion Cause'!$A$1:$B$34,2,FALSE)</f>
        <v>Grease Blockage</v>
      </c>
      <c r="O1308" s="21">
        <v>44651.0</v>
      </c>
      <c r="P1308" s="6" t="s">
        <v>1029</v>
      </c>
      <c r="Q1308" s="21">
        <v>44652.0</v>
      </c>
      <c r="R1308" s="6" t="s">
        <v>363</v>
      </c>
      <c r="S1308" s="20">
        <v>2.0</v>
      </c>
      <c r="T1308" s="6" t="s">
        <v>2274</v>
      </c>
      <c r="U1308" s="6"/>
      <c r="V1308" s="6"/>
      <c r="W1308" s="6">
        <v>29.6906498</v>
      </c>
      <c r="X1308" s="6">
        <v>-95.5909961</v>
      </c>
    </row>
    <row r="1309" ht="15.75" customHeight="1">
      <c r="A1309" s="6">
        <v>14441.0</v>
      </c>
      <c r="B1309" s="6">
        <v>2022.0</v>
      </c>
      <c r="C1309" s="6" t="str">
        <f t="shared" si="5"/>
        <v>7622 TEESDALE DR,Houston,Texas</v>
      </c>
      <c r="D1309" s="6" t="s">
        <v>1762</v>
      </c>
      <c r="E1309" s="6" t="s">
        <v>25</v>
      </c>
      <c r="F1309" s="6" t="s">
        <v>26</v>
      </c>
      <c r="G1309" s="6" t="s">
        <v>177</v>
      </c>
      <c r="H1309" s="6" t="s">
        <v>2275</v>
      </c>
      <c r="I1309" s="6" t="str">
        <f>VLOOKUP(H1309,'Flow Location'!$A$1:$B$21,2,FALSE)</f>
        <v>Contained On Site, not within 5 ft. of Bayou/Surface Water/Drainage Ditch</v>
      </c>
      <c r="J1309" s="20">
        <v>0.0</v>
      </c>
      <c r="K1309" s="6" t="s">
        <v>45</v>
      </c>
      <c r="L1309" s="6" t="str">
        <f>VLOOKUP(K1309,'Structure type'!$A$1:$B$15,2,FALSE)</f>
        <v>City Cleanout</v>
      </c>
      <c r="M1309" s="6" t="s">
        <v>56</v>
      </c>
      <c r="N1309" s="6" t="str">
        <f>VLOOKUP(M1309,'Excursion Cause'!$A$1:$B$34,2,FALSE)</f>
        <v>Rags/Wipes</v>
      </c>
      <c r="O1309" s="21">
        <v>44652.0</v>
      </c>
      <c r="P1309" s="6" t="s">
        <v>2120</v>
      </c>
      <c r="Q1309" s="21">
        <v>44652.0</v>
      </c>
      <c r="R1309" s="6" t="s">
        <v>2120</v>
      </c>
      <c r="S1309" s="20">
        <v>0.0</v>
      </c>
      <c r="T1309" s="6" t="s">
        <v>89</v>
      </c>
      <c r="U1309" s="6"/>
      <c r="V1309" s="6"/>
      <c r="W1309" s="6">
        <v>29.8457068</v>
      </c>
      <c r="X1309" s="6">
        <v>-95.2903844</v>
      </c>
    </row>
    <row r="1310" ht="15.75" customHeight="1">
      <c r="A1310" s="6">
        <v>14443.0</v>
      </c>
      <c r="B1310" s="6">
        <v>2022.0</v>
      </c>
      <c r="C1310" s="6" t="str">
        <f t="shared" si="5"/>
        <v>14101 BRIAR FOREST DR,Houston,Texas</v>
      </c>
      <c r="D1310" s="6" t="s">
        <v>2276</v>
      </c>
      <c r="E1310" s="6" t="s">
        <v>25</v>
      </c>
      <c r="F1310" s="6" t="s">
        <v>26</v>
      </c>
      <c r="G1310" s="6" t="s">
        <v>347</v>
      </c>
      <c r="H1310" s="6" t="s">
        <v>1724</v>
      </c>
      <c r="I1310" s="6" t="str">
        <f>VLOOKUP(H1310,'Flow Location'!$A$1:$B$21,2,FALSE)</f>
        <v>Storm Sewer (not contained)</v>
      </c>
      <c r="J1310" s="20">
        <v>585.0</v>
      </c>
      <c r="K1310" s="6" t="s">
        <v>29</v>
      </c>
      <c r="L1310" s="6" t="str">
        <f>VLOOKUP(K1310,'Structure type'!$A$1:$B$15,2,FALSE)</f>
        <v>Manhole</v>
      </c>
      <c r="M1310" s="6" t="s">
        <v>2277</v>
      </c>
      <c r="N1310" s="6" t="str">
        <f>VLOOKUP(M1310,'Excursion Cause'!$A$1:$B$34,2,FALSE)</f>
        <v>Grease Blockage</v>
      </c>
      <c r="O1310" s="21">
        <v>44652.0</v>
      </c>
      <c r="P1310" s="6" t="s">
        <v>1342</v>
      </c>
      <c r="Q1310" s="21">
        <v>44652.0</v>
      </c>
      <c r="R1310" s="6" t="s">
        <v>1173</v>
      </c>
      <c r="S1310" s="20">
        <v>5.0</v>
      </c>
      <c r="T1310" s="6" t="s">
        <v>2278</v>
      </c>
      <c r="U1310" s="6"/>
      <c r="V1310" s="6"/>
      <c r="W1310" s="6">
        <v>29.7560438</v>
      </c>
      <c r="X1310" s="6">
        <v>-95.6352991</v>
      </c>
    </row>
    <row r="1311" ht="15.75" customHeight="1">
      <c r="A1311" s="6">
        <v>14444.0</v>
      </c>
      <c r="B1311" s="6">
        <v>2022.0</v>
      </c>
      <c r="C1311" s="6" t="str">
        <f t="shared" si="5"/>
        <v>5338 FAIRGREEN LN,Houston,Texas</v>
      </c>
      <c r="D1311" s="6" t="s">
        <v>2279</v>
      </c>
      <c r="E1311" s="6" t="s">
        <v>25</v>
      </c>
      <c r="F1311" s="6" t="s">
        <v>26</v>
      </c>
      <c r="G1311" s="6" t="s">
        <v>301</v>
      </c>
      <c r="H1311" s="6" t="s">
        <v>2275</v>
      </c>
      <c r="I1311" s="6" t="str">
        <f>VLOOKUP(H1311,'Flow Location'!$A$1:$B$21,2,FALSE)</f>
        <v>Contained On Site, not within 5 ft. of Bayou/Surface Water/Drainage Ditch</v>
      </c>
      <c r="J1311" s="20">
        <v>0.0</v>
      </c>
      <c r="K1311" s="6" t="s">
        <v>198</v>
      </c>
      <c r="L1311" s="6" t="str">
        <f>VLOOKUP(K1311,'Structure type'!$A$1:$B$15,2,FALSE)</f>
        <v>Service Lateral</v>
      </c>
      <c r="M1311" s="6" t="s">
        <v>52</v>
      </c>
      <c r="N1311" s="6" t="str">
        <f>VLOOKUP(M1311,'Excursion Cause'!$A$1:$B$34,2,FALSE)</f>
        <v>Collection system structural blockage</v>
      </c>
      <c r="O1311" s="21">
        <v>44652.0</v>
      </c>
      <c r="P1311" s="6" t="s">
        <v>801</v>
      </c>
      <c r="Q1311" s="21">
        <v>44652.0</v>
      </c>
      <c r="R1311" s="6" t="s">
        <v>801</v>
      </c>
      <c r="S1311" s="20">
        <v>0.0</v>
      </c>
      <c r="T1311" s="6" t="s">
        <v>578</v>
      </c>
      <c r="U1311" s="6"/>
      <c r="V1311" s="6"/>
      <c r="W1311" s="6">
        <v>29.631299</v>
      </c>
      <c r="X1311" s="6">
        <v>-95.3415029</v>
      </c>
    </row>
    <row r="1312" ht="15.75" customHeight="1">
      <c r="A1312" s="6">
        <v>14447.0</v>
      </c>
      <c r="B1312" s="6">
        <v>2022.0</v>
      </c>
      <c r="C1312" s="6" t="str">
        <f t="shared" si="5"/>
        <v>16502 QUAIL DALE DR,Houston,Texas</v>
      </c>
      <c r="D1312" s="6" t="s">
        <v>2280</v>
      </c>
      <c r="E1312" s="6" t="s">
        <v>25</v>
      </c>
      <c r="F1312" s="6" t="s">
        <v>26</v>
      </c>
      <c r="G1312" s="6" t="s">
        <v>166</v>
      </c>
      <c r="H1312" s="6" t="s">
        <v>2275</v>
      </c>
      <c r="I1312" s="6" t="str">
        <f>VLOOKUP(H1312,'Flow Location'!$A$1:$B$21,2,FALSE)</f>
        <v>Contained On Site, not within 5 ft. of Bayou/Surface Water/Drainage Ditch</v>
      </c>
      <c r="J1312" s="20">
        <v>0.0</v>
      </c>
      <c r="K1312" s="6" t="s">
        <v>51</v>
      </c>
      <c r="L1312" s="6" t="str">
        <f>VLOOKUP(K1312,'Structure type'!$A$1:$B$15,2,FALSE)</f>
        <v>Private Cleanout</v>
      </c>
      <c r="M1312" s="6" t="s">
        <v>52</v>
      </c>
      <c r="N1312" s="6" t="str">
        <f>VLOOKUP(M1312,'Excursion Cause'!$A$1:$B$34,2,FALSE)</f>
        <v>Collection system structural blockage</v>
      </c>
      <c r="O1312" s="21">
        <v>44652.0</v>
      </c>
      <c r="P1312" s="6" t="s">
        <v>114</v>
      </c>
      <c r="Q1312" s="21">
        <v>44652.0</v>
      </c>
      <c r="R1312" s="6" t="s">
        <v>114</v>
      </c>
      <c r="S1312" s="20">
        <v>0.0</v>
      </c>
      <c r="T1312" s="6" t="s">
        <v>54</v>
      </c>
      <c r="U1312" s="6"/>
      <c r="V1312" s="6"/>
      <c r="W1312" s="6">
        <v>29.5874156</v>
      </c>
      <c r="X1312" s="6">
        <v>-95.5190697</v>
      </c>
    </row>
    <row r="1313" ht="15.75" customHeight="1">
      <c r="A1313" s="6">
        <v>14448.0</v>
      </c>
      <c r="B1313" s="6">
        <v>2022.0</v>
      </c>
      <c r="C1313" s="6" t="str">
        <f t="shared" si="5"/>
        <v>6748 PEERLESS ST,Houston,Texas</v>
      </c>
      <c r="D1313" s="6" t="s">
        <v>2281</v>
      </c>
      <c r="E1313" s="6" t="s">
        <v>25</v>
      </c>
      <c r="F1313" s="6" t="s">
        <v>26</v>
      </c>
      <c r="G1313" s="6" t="s">
        <v>238</v>
      </c>
      <c r="H1313" s="6" t="s">
        <v>1724</v>
      </c>
      <c r="I1313" s="6" t="str">
        <f>VLOOKUP(H1313,'Flow Location'!$A$1:$B$21,2,FALSE)</f>
        <v>Storm Sewer (not contained)</v>
      </c>
      <c r="J1313" s="20">
        <v>0.0</v>
      </c>
      <c r="K1313" s="6" t="s">
        <v>45</v>
      </c>
      <c r="L1313" s="6" t="str">
        <f>VLOOKUP(K1313,'Structure type'!$A$1:$B$15,2,FALSE)</f>
        <v>City Cleanout</v>
      </c>
      <c r="M1313" s="6" t="s">
        <v>56</v>
      </c>
      <c r="N1313" s="6" t="str">
        <f>VLOOKUP(M1313,'Excursion Cause'!$A$1:$B$34,2,FALSE)</f>
        <v>Rags/Wipes</v>
      </c>
      <c r="O1313" s="21">
        <v>44652.0</v>
      </c>
      <c r="P1313" s="6" t="s">
        <v>751</v>
      </c>
      <c r="Q1313" s="21">
        <v>44652.0</v>
      </c>
      <c r="R1313" s="6" t="s">
        <v>751</v>
      </c>
      <c r="S1313" s="20">
        <v>0.0</v>
      </c>
      <c r="T1313" s="6" t="s">
        <v>2282</v>
      </c>
      <c r="U1313" s="6"/>
      <c r="V1313" s="6"/>
      <c r="W1313" s="6">
        <v>29.6990101</v>
      </c>
      <c r="X1313" s="6">
        <v>-95.3720688</v>
      </c>
    </row>
    <row r="1314" ht="15.75" customHeight="1">
      <c r="A1314" s="6">
        <v>14451.0</v>
      </c>
      <c r="B1314" s="6">
        <v>2022.0</v>
      </c>
      <c r="C1314" s="6" t="str">
        <f t="shared" si="5"/>
        <v>1410 LAIRD ST,Houston,Texas</v>
      </c>
      <c r="D1314" s="6" t="s">
        <v>2283</v>
      </c>
      <c r="E1314" s="6" t="s">
        <v>25</v>
      </c>
      <c r="F1314" s="6" t="s">
        <v>26</v>
      </c>
      <c r="G1314" s="6" t="s">
        <v>232</v>
      </c>
      <c r="H1314" s="6" t="s">
        <v>28</v>
      </c>
      <c r="I1314" s="6" t="str">
        <f>VLOOKUP(H1314,'Flow Location'!$A$1:$B$21,2,FALSE)</f>
        <v>Storm Sewer (not contained)</v>
      </c>
      <c r="J1314" s="20">
        <v>232.0</v>
      </c>
      <c r="K1314" s="6" t="s">
        <v>198</v>
      </c>
      <c r="L1314" s="6" t="str">
        <f>VLOOKUP(K1314,'Structure type'!$A$1:$B$15,2,FALSE)</f>
        <v>Service Lateral</v>
      </c>
      <c r="M1314" s="6" t="s">
        <v>2284</v>
      </c>
      <c r="N1314" s="6" t="str">
        <f>VLOOKUP(M1314,'Excursion Cause'!$A$1:$B$34,2,FALSE)</f>
        <v>Collection system structural failure</v>
      </c>
      <c r="O1314" s="21">
        <v>44652.0</v>
      </c>
      <c r="P1314" s="6" t="s">
        <v>982</v>
      </c>
      <c r="Q1314" s="21">
        <v>44653.0</v>
      </c>
      <c r="R1314" s="6" t="s">
        <v>428</v>
      </c>
      <c r="S1314" s="20">
        <v>0.0</v>
      </c>
      <c r="T1314" s="6" t="s">
        <v>107</v>
      </c>
      <c r="U1314" s="6"/>
      <c r="V1314" s="6"/>
      <c r="W1314" s="6">
        <v>29.796442</v>
      </c>
      <c r="X1314" s="6">
        <v>-95.4106247</v>
      </c>
    </row>
    <row r="1315" ht="15.75" customHeight="1">
      <c r="A1315" s="6">
        <v>14453.0</v>
      </c>
      <c r="B1315" s="6">
        <v>2022.0</v>
      </c>
      <c r="C1315" s="6" t="str">
        <f t="shared" si="5"/>
        <v>9224 PECOS ST,Houston,Texas</v>
      </c>
      <c r="D1315" s="6" t="s">
        <v>2285</v>
      </c>
      <c r="E1315" s="6" t="s">
        <v>25</v>
      </c>
      <c r="F1315" s="6" t="s">
        <v>26</v>
      </c>
      <c r="G1315" s="6" t="s">
        <v>27</v>
      </c>
      <c r="H1315" s="6" t="s">
        <v>1724</v>
      </c>
      <c r="I1315" s="6" t="str">
        <f>VLOOKUP(H1315,'Flow Location'!$A$1:$B$21,2,FALSE)</f>
        <v>Storm Sewer (not contained)</v>
      </c>
      <c r="J1315" s="20">
        <v>84.0</v>
      </c>
      <c r="K1315" s="6" t="s">
        <v>29</v>
      </c>
      <c r="L1315" s="6" t="str">
        <f>VLOOKUP(K1315,'Structure type'!$A$1:$B$15,2,FALSE)</f>
        <v>Manhole</v>
      </c>
      <c r="M1315" s="6" t="s">
        <v>2286</v>
      </c>
      <c r="N1315" s="6" t="str">
        <f>VLOOKUP(M1315,'Excursion Cause'!$A$1:$B$34,2,FALSE)</f>
        <v>Grease Blockage</v>
      </c>
      <c r="O1315" s="21">
        <v>44653.0</v>
      </c>
      <c r="P1315" s="6" t="s">
        <v>833</v>
      </c>
      <c r="Q1315" s="21">
        <v>44653.0</v>
      </c>
      <c r="R1315" s="6" t="s">
        <v>219</v>
      </c>
      <c r="S1315" s="20">
        <v>1.0</v>
      </c>
      <c r="T1315" s="6" t="s">
        <v>2287</v>
      </c>
      <c r="U1315" s="6"/>
      <c r="V1315" s="6"/>
      <c r="W1315" s="6">
        <v>29.7979363</v>
      </c>
      <c r="X1315" s="6">
        <v>-95.5180022</v>
      </c>
    </row>
    <row r="1316" ht="15.75" customHeight="1">
      <c r="A1316" s="6">
        <v>14456.0</v>
      </c>
      <c r="B1316" s="6">
        <v>2022.0</v>
      </c>
      <c r="C1316" s="6" t="str">
        <f t="shared" si="5"/>
        <v>14311 BENITA ST,Houston,Texas</v>
      </c>
      <c r="D1316" s="6" t="s">
        <v>2288</v>
      </c>
      <c r="E1316" s="6" t="s">
        <v>25</v>
      </c>
      <c r="F1316" s="6" t="s">
        <v>26</v>
      </c>
      <c r="G1316" s="6" t="s">
        <v>384</v>
      </c>
      <c r="H1316" s="6" t="s">
        <v>50</v>
      </c>
      <c r="I1316" s="6" t="str">
        <f>VLOOKUP(H1316,'Flow Location'!$A$1:$B$21,2,FALSE)</f>
        <v>Contained On Site, not within 5 ft. of Bayou/Surface Water/Drainage Ditch</v>
      </c>
      <c r="J1316" s="20">
        <v>0.0</v>
      </c>
      <c r="K1316" s="6" t="s">
        <v>51</v>
      </c>
      <c r="L1316" s="6" t="str">
        <f>VLOOKUP(K1316,'Structure type'!$A$1:$B$15,2,FALSE)</f>
        <v>Private Cleanout</v>
      </c>
      <c r="M1316" s="6" t="s">
        <v>52</v>
      </c>
      <c r="N1316" s="6" t="str">
        <f>VLOOKUP(M1316,'Excursion Cause'!$A$1:$B$34,2,FALSE)</f>
        <v>Collection system structural blockage</v>
      </c>
      <c r="O1316" s="21">
        <v>44653.0</v>
      </c>
      <c r="P1316" s="6" t="s">
        <v>602</v>
      </c>
      <c r="Q1316" s="21">
        <v>44653.0</v>
      </c>
      <c r="R1316" s="6" t="s">
        <v>602</v>
      </c>
      <c r="S1316" s="20">
        <v>0.0</v>
      </c>
      <c r="T1316" s="6" t="s">
        <v>107</v>
      </c>
      <c r="U1316" s="6"/>
      <c r="V1316" s="6"/>
      <c r="W1316" s="6">
        <v>29.6251486</v>
      </c>
      <c r="X1316" s="6">
        <v>-95.5006209</v>
      </c>
    </row>
    <row r="1317" ht="15.75" customHeight="1">
      <c r="A1317" s="6">
        <v>14462.0</v>
      </c>
      <c r="B1317" s="6">
        <v>2022.0</v>
      </c>
      <c r="C1317" s="6" t="str">
        <f t="shared" si="5"/>
        <v>12023 BISSONNET ST,Houston,Texas</v>
      </c>
      <c r="D1317" s="6" t="s">
        <v>153</v>
      </c>
      <c r="E1317" s="6" t="s">
        <v>25</v>
      </c>
      <c r="F1317" s="6" t="s">
        <v>26</v>
      </c>
      <c r="G1317" s="6" t="s">
        <v>154</v>
      </c>
      <c r="H1317" s="6" t="s">
        <v>1724</v>
      </c>
      <c r="I1317" s="6" t="str">
        <f>VLOOKUP(H1317,'Flow Location'!$A$1:$B$21,2,FALSE)</f>
        <v>Storm Sewer (not contained)</v>
      </c>
      <c r="J1317" s="20">
        <v>1840.0</v>
      </c>
      <c r="K1317" s="6" t="s">
        <v>29</v>
      </c>
      <c r="L1317" s="6" t="str">
        <f>VLOOKUP(K1317,'Structure type'!$A$1:$B$15,2,FALSE)</f>
        <v>Manhole</v>
      </c>
      <c r="M1317" s="6" t="s">
        <v>2289</v>
      </c>
      <c r="N1317" s="6" t="str">
        <f>VLOOKUP(M1317,'Excursion Cause'!$A$1:$B$34,2,FALSE)</f>
        <v>Grease Blockage</v>
      </c>
      <c r="O1317" s="21">
        <v>44654.0</v>
      </c>
      <c r="P1317" s="6" t="s">
        <v>1191</v>
      </c>
      <c r="Q1317" s="21">
        <v>44654.0</v>
      </c>
      <c r="R1317" s="6" t="s">
        <v>324</v>
      </c>
      <c r="S1317" s="20">
        <v>4.0</v>
      </c>
      <c r="T1317" s="6" t="s">
        <v>2290</v>
      </c>
      <c r="U1317" s="6"/>
      <c r="V1317" s="6"/>
      <c r="W1317" s="6">
        <v>29.674508</v>
      </c>
      <c r="X1317" s="6">
        <v>-95.5905919</v>
      </c>
    </row>
    <row r="1318" ht="15.75" customHeight="1">
      <c r="A1318" s="6">
        <v>14469.0</v>
      </c>
      <c r="B1318" s="6">
        <v>2022.0</v>
      </c>
      <c r="C1318" s="6" t="str">
        <f t="shared" si="5"/>
        <v>7038 BENT BRANCH DR,Houston,Texas</v>
      </c>
      <c r="D1318" s="6" t="s">
        <v>2291</v>
      </c>
      <c r="E1318" s="6" t="s">
        <v>25</v>
      </c>
      <c r="F1318" s="6" t="s">
        <v>26</v>
      </c>
      <c r="G1318" s="6" t="s">
        <v>502</v>
      </c>
      <c r="H1318" s="6" t="s">
        <v>2275</v>
      </c>
      <c r="I1318" s="6" t="str">
        <f>VLOOKUP(H1318,'Flow Location'!$A$1:$B$21,2,FALSE)</f>
        <v>Contained On Site, not within 5 ft. of Bayou/Surface Water/Drainage Ditch</v>
      </c>
      <c r="J1318" s="20">
        <v>0.0</v>
      </c>
      <c r="K1318" s="6" t="s">
        <v>29</v>
      </c>
      <c r="L1318" s="6" t="str">
        <f>VLOOKUP(K1318,'Structure type'!$A$1:$B$15,2,FALSE)</f>
        <v>Manhole</v>
      </c>
      <c r="M1318" s="6" t="s">
        <v>56</v>
      </c>
      <c r="N1318" s="6" t="str">
        <f>VLOOKUP(M1318,'Excursion Cause'!$A$1:$B$34,2,FALSE)</f>
        <v>Rags/Wipes</v>
      </c>
      <c r="O1318" s="21">
        <v>44655.0</v>
      </c>
      <c r="P1318" s="6" t="s">
        <v>88</v>
      </c>
      <c r="Q1318" s="21">
        <v>44655.0</v>
      </c>
      <c r="R1318" s="6" t="s">
        <v>88</v>
      </c>
      <c r="S1318" s="20">
        <v>0.0</v>
      </c>
      <c r="T1318" s="6" t="s">
        <v>33</v>
      </c>
      <c r="U1318" s="6"/>
      <c r="V1318" s="6"/>
      <c r="W1318" s="6">
        <v>29.8727794</v>
      </c>
      <c r="X1318" s="6">
        <v>-95.4819288</v>
      </c>
    </row>
    <row r="1319" ht="15.75" customHeight="1">
      <c r="A1319" s="6">
        <v>14471.0</v>
      </c>
      <c r="B1319" s="6">
        <v>2022.0</v>
      </c>
      <c r="C1319" s="6" t="str">
        <f t="shared" si="5"/>
        <v>611 E ROGERS ST,Houston,Texas</v>
      </c>
      <c r="D1319" s="6" t="s">
        <v>2292</v>
      </c>
      <c r="E1319" s="6" t="s">
        <v>25</v>
      </c>
      <c r="F1319" s="6" t="s">
        <v>26</v>
      </c>
      <c r="G1319" s="6" t="s">
        <v>653</v>
      </c>
      <c r="H1319" s="6" t="s">
        <v>2275</v>
      </c>
      <c r="I1319" s="6" t="str">
        <f>VLOOKUP(H1319,'Flow Location'!$A$1:$B$21,2,FALSE)</f>
        <v>Contained On Site, not within 5 ft. of Bayou/Surface Water/Drainage Ditch</v>
      </c>
      <c r="J1319" s="20">
        <v>0.0</v>
      </c>
      <c r="K1319" s="6" t="s">
        <v>29</v>
      </c>
      <c r="L1319" s="6" t="str">
        <f>VLOOKUP(K1319,'Structure type'!$A$1:$B$15,2,FALSE)</f>
        <v>Manhole</v>
      </c>
      <c r="M1319" s="6" t="s">
        <v>56</v>
      </c>
      <c r="N1319" s="6" t="str">
        <f>VLOOKUP(M1319,'Excursion Cause'!$A$1:$B$34,2,FALSE)</f>
        <v>Rags/Wipes</v>
      </c>
      <c r="O1319" s="21">
        <v>44655.0</v>
      </c>
      <c r="P1319" s="6" t="s">
        <v>2293</v>
      </c>
      <c r="Q1319" s="21">
        <v>44655.0</v>
      </c>
      <c r="R1319" s="6" t="s">
        <v>2293</v>
      </c>
      <c r="S1319" s="20">
        <v>0.0</v>
      </c>
      <c r="T1319" s="6" t="s">
        <v>33</v>
      </c>
      <c r="U1319" s="6"/>
      <c r="V1319" s="6"/>
      <c r="W1319" s="6">
        <v>29.8438778</v>
      </c>
      <c r="X1319" s="6">
        <v>-95.3894901</v>
      </c>
    </row>
    <row r="1320" ht="15.75" customHeight="1">
      <c r="A1320" s="6">
        <v>14473.0</v>
      </c>
      <c r="B1320" s="6">
        <v>2022.0</v>
      </c>
      <c r="C1320" s="6" t="str">
        <f t="shared" si="5"/>
        <v>2901 ELMSIDE DR,Houston,Texas</v>
      </c>
      <c r="D1320" s="6" t="s">
        <v>2294</v>
      </c>
      <c r="E1320" s="6" t="s">
        <v>25</v>
      </c>
      <c r="F1320" s="6" t="s">
        <v>26</v>
      </c>
      <c r="G1320" s="6" t="s">
        <v>401</v>
      </c>
      <c r="H1320" s="6" t="s">
        <v>1724</v>
      </c>
      <c r="I1320" s="6" t="str">
        <f>VLOOKUP(H1320,'Flow Location'!$A$1:$B$21,2,FALSE)</f>
        <v>Storm Sewer (not contained)</v>
      </c>
      <c r="J1320" s="20">
        <v>3112.0</v>
      </c>
      <c r="K1320" s="6" t="s">
        <v>29</v>
      </c>
      <c r="L1320" s="6" t="str">
        <f>VLOOKUP(K1320,'Structure type'!$A$1:$B$15,2,FALSE)</f>
        <v>Manhole</v>
      </c>
      <c r="M1320" s="6" t="s">
        <v>2295</v>
      </c>
      <c r="N1320" s="6" t="str">
        <f>VLOOKUP(M1320,'Excursion Cause'!$A$1:$B$34,2,FALSE)</f>
        <v>Grease Blockage</v>
      </c>
      <c r="O1320" s="21">
        <v>44655.0</v>
      </c>
      <c r="P1320" s="6" t="s">
        <v>660</v>
      </c>
      <c r="Q1320" s="21">
        <v>44656.0</v>
      </c>
      <c r="R1320" s="6" t="s">
        <v>117</v>
      </c>
      <c r="S1320" s="20">
        <v>2.0</v>
      </c>
      <c r="T1320" s="6" t="s">
        <v>2296</v>
      </c>
      <c r="U1320" s="6"/>
      <c r="V1320" s="6"/>
      <c r="W1320" s="6">
        <v>29.7334307</v>
      </c>
      <c r="X1320" s="6">
        <v>-95.5424931</v>
      </c>
    </row>
    <row r="1321" ht="15.75" customHeight="1">
      <c r="A1321" s="6">
        <v>14478.0</v>
      </c>
      <c r="B1321" s="6">
        <v>2022.0</v>
      </c>
      <c r="C1321" s="6" t="str">
        <f t="shared" si="5"/>
        <v>3528 RUSSELL ST,Houston,Texas</v>
      </c>
      <c r="D1321" s="6" t="s">
        <v>2297</v>
      </c>
      <c r="E1321" s="6" t="s">
        <v>25</v>
      </c>
      <c r="F1321" s="6" t="s">
        <v>26</v>
      </c>
      <c r="G1321" s="6" t="s">
        <v>43</v>
      </c>
      <c r="H1321" s="6" t="s">
        <v>1724</v>
      </c>
      <c r="I1321" s="6" t="str">
        <f>VLOOKUP(H1321,'Flow Location'!$A$1:$B$21,2,FALSE)</f>
        <v>Storm Sewer (not contained)</v>
      </c>
      <c r="J1321" s="20">
        <v>0.0</v>
      </c>
      <c r="K1321" s="6" t="s">
        <v>2298</v>
      </c>
      <c r="L1321" s="6" t="str">
        <f>VLOOKUP(K1321,'Structure type'!$A$1:$B$15,2,FALSE)</f>
        <v>Private Cleanout</v>
      </c>
      <c r="M1321" s="6" t="s">
        <v>2299</v>
      </c>
      <c r="N1321" s="6" t="str">
        <f>VLOOKUP(M1321,'Excursion Cause'!$A$1:$B$34,2,FALSE)</f>
        <v>Grease Blockage</v>
      </c>
      <c r="O1321" s="21">
        <v>44655.0</v>
      </c>
      <c r="P1321" s="6" t="s">
        <v>2300</v>
      </c>
      <c r="Q1321" s="21">
        <v>44655.0</v>
      </c>
      <c r="R1321" s="6" t="s">
        <v>2300</v>
      </c>
      <c r="S1321" s="20">
        <v>0.0</v>
      </c>
      <c r="T1321" s="6" t="s">
        <v>2301</v>
      </c>
      <c r="U1321" s="6"/>
      <c r="V1321" s="6"/>
      <c r="W1321" s="6">
        <v>29.7934475</v>
      </c>
      <c r="X1321" s="6">
        <v>-95.3318871</v>
      </c>
    </row>
    <row r="1322" ht="15.75" customHeight="1">
      <c r="A1322" s="6">
        <v>14479.0</v>
      </c>
      <c r="B1322" s="6">
        <v>2022.0</v>
      </c>
      <c r="C1322" s="6" t="str">
        <f t="shared" si="5"/>
        <v>4034 CURLY OAKS DR,Houston,Texas</v>
      </c>
      <c r="D1322" s="6" t="s">
        <v>2302</v>
      </c>
      <c r="E1322" s="6" t="s">
        <v>25</v>
      </c>
      <c r="F1322" s="6" t="s">
        <v>26</v>
      </c>
      <c r="G1322" s="6" t="s">
        <v>517</v>
      </c>
      <c r="H1322" s="6" t="s">
        <v>2275</v>
      </c>
      <c r="I1322" s="6" t="str">
        <f>VLOOKUP(H1322,'Flow Location'!$A$1:$B$21,2,FALSE)</f>
        <v>Contained On Site, not within 5 ft. of Bayou/Surface Water/Drainage Ditch</v>
      </c>
      <c r="J1322" s="20">
        <v>330.0</v>
      </c>
      <c r="K1322" s="6" t="s">
        <v>29</v>
      </c>
      <c r="L1322" s="6" t="str">
        <f>VLOOKUP(K1322,'Structure type'!$A$1:$B$15,2,FALSE)</f>
        <v>Manhole</v>
      </c>
      <c r="M1322" s="6" t="s">
        <v>30</v>
      </c>
      <c r="N1322" s="6" t="str">
        <f>VLOOKUP(M1322,'Excursion Cause'!$A$1:$B$34,2,FALSE)</f>
        <v>Grease Blockage</v>
      </c>
      <c r="O1322" s="21">
        <v>44655.0</v>
      </c>
      <c r="P1322" s="6" t="s">
        <v>299</v>
      </c>
      <c r="Q1322" s="21">
        <v>44655.0</v>
      </c>
      <c r="R1322" s="6" t="s">
        <v>2097</v>
      </c>
      <c r="S1322" s="20">
        <v>3.0</v>
      </c>
      <c r="T1322" s="6" t="s">
        <v>59</v>
      </c>
      <c r="U1322" s="6"/>
      <c r="V1322" s="6"/>
      <c r="W1322" s="6">
        <v>29.6087371</v>
      </c>
      <c r="X1322" s="6">
        <v>-95.438542</v>
      </c>
    </row>
    <row r="1323" ht="15.75" customHeight="1">
      <c r="A1323" s="6">
        <v>14482.0</v>
      </c>
      <c r="B1323" s="6">
        <v>2022.0</v>
      </c>
      <c r="C1323" s="6" t="str">
        <f t="shared" si="5"/>
        <v>9119 BARTON ST,Houston,Texas</v>
      </c>
      <c r="D1323" s="6" t="s">
        <v>2303</v>
      </c>
      <c r="E1323" s="6" t="s">
        <v>25</v>
      </c>
      <c r="F1323" s="6" t="s">
        <v>26</v>
      </c>
      <c r="G1323" s="6" t="s">
        <v>95</v>
      </c>
      <c r="H1323" s="6" t="s">
        <v>1977</v>
      </c>
      <c r="I1323" s="6" t="str">
        <f>VLOOKUP(H1323,'Flow Location'!$A$1:$B$21,2,FALSE)</f>
        <v>Bayou/surface water/drainage ditch</v>
      </c>
      <c r="J1323" s="20">
        <v>0.0</v>
      </c>
      <c r="K1323" s="6" t="s">
        <v>45</v>
      </c>
      <c r="L1323" s="6" t="str">
        <f>VLOOKUP(K1323,'Structure type'!$A$1:$B$15,2,FALSE)</f>
        <v>City Cleanout</v>
      </c>
      <c r="M1323" s="6" t="s">
        <v>30</v>
      </c>
      <c r="N1323" s="6" t="str">
        <f>VLOOKUP(M1323,'Excursion Cause'!$A$1:$B$34,2,FALSE)</f>
        <v>Grease Blockage</v>
      </c>
      <c r="O1323" s="21">
        <v>44655.0</v>
      </c>
      <c r="P1323" s="6" t="s">
        <v>187</v>
      </c>
      <c r="Q1323" s="21">
        <v>44655.0</v>
      </c>
      <c r="R1323" s="6" t="s">
        <v>187</v>
      </c>
      <c r="S1323" s="20">
        <v>0.0</v>
      </c>
      <c r="T1323" s="6" t="s">
        <v>89</v>
      </c>
      <c r="U1323" s="6"/>
      <c r="V1323" s="6"/>
      <c r="W1323" s="6">
        <v>29.6422904</v>
      </c>
      <c r="X1323" s="6">
        <v>-95.2540591</v>
      </c>
    </row>
    <row r="1324" ht="15.75" customHeight="1">
      <c r="A1324" s="6">
        <v>14486.0</v>
      </c>
      <c r="B1324" s="6">
        <v>2022.0</v>
      </c>
      <c r="C1324" s="6" t="str">
        <f t="shared" si="5"/>
        <v>4111 LILLIAN ST,Houston,Texas</v>
      </c>
      <c r="D1324" s="6" t="s">
        <v>2113</v>
      </c>
      <c r="E1324" s="6" t="s">
        <v>25</v>
      </c>
      <c r="F1324" s="6" t="s">
        <v>26</v>
      </c>
      <c r="G1324" s="6" t="s">
        <v>158</v>
      </c>
      <c r="H1324" s="6" t="s">
        <v>2304</v>
      </c>
      <c r="I1324" s="6" t="str">
        <f>VLOOKUP(H1324,'Flow Location'!$A$1:$B$21,2,FALSE)</f>
        <v>Bayou/surface water/drainage ditch</v>
      </c>
      <c r="J1324" s="20">
        <v>226.0</v>
      </c>
      <c r="K1324" s="6" t="s">
        <v>29</v>
      </c>
      <c r="L1324" s="6" t="str">
        <f>VLOOKUP(K1324,'Structure type'!$A$1:$B$15,2,FALSE)</f>
        <v>Manhole</v>
      </c>
      <c r="M1324" s="6" t="s">
        <v>30</v>
      </c>
      <c r="N1324" s="6" t="str">
        <f>VLOOKUP(M1324,'Excursion Cause'!$A$1:$B$34,2,FALSE)</f>
        <v>Grease Blockage</v>
      </c>
      <c r="O1324" s="21">
        <v>44656.0</v>
      </c>
      <c r="P1324" s="6" t="s">
        <v>155</v>
      </c>
      <c r="Q1324" s="21">
        <v>44656.0</v>
      </c>
      <c r="R1324" s="6" t="s">
        <v>631</v>
      </c>
      <c r="S1324" s="20">
        <v>1.0</v>
      </c>
      <c r="T1324" s="6" t="s">
        <v>59</v>
      </c>
      <c r="U1324" s="6"/>
      <c r="V1324" s="6"/>
      <c r="W1324" s="6">
        <v>29.7693959</v>
      </c>
      <c r="X1324" s="6">
        <v>-95.4028628</v>
      </c>
    </row>
    <row r="1325" ht="15.75" customHeight="1">
      <c r="A1325" s="6">
        <v>14487.0</v>
      </c>
      <c r="B1325" s="6">
        <v>2022.0</v>
      </c>
      <c r="C1325" s="6" t="str">
        <f t="shared" si="5"/>
        <v>5629 GRAPEVINE ST,Houston,Texas</v>
      </c>
      <c r="D1325" s="6" t="s">
        <v>2305</v>
      </c>
      <c r="E1325" s="6" t="s">
        <v>25</v>
      </c>
      <c r="F1325" s="6" t="s">
        <v>26</v>
      </c>
      <c r="G1325" s="6" t="s">
        <v>384</v>
      </c>
      <c r="H1325" s="6" t="s">
        <v>1724</v>
      </c>
      <c r="I1325" s="6" t="str">
        <f>VLOOKUP(H1325,'Flow Location'!$A$1:$B$21,2,FALSE)</f>
        <v>Storm Sewer (not contained)</v>
      </c>
      <c r="J1325" s="20">
        <v>714.0</v>
      </c>
      <c r="K1325" s="6" t="s">
        <v>45</v>
      </c>
      <c r="L1325" s="6" t="str">
        <f>VLOOKUP(K1325,'Structure type'!$A$1:$B$15,2,FALSE)</f>
        <v>City Cleanout</v>
      </c>
      <c r="M1325" s="6" t="s">
        <v>2306</v>
      </c>
      <c r="N1325" s="6" t="str">
        <f>VLOOKUP(M1325,'Excursion Cause'!$A$1:$B$34,2,FALSE)</f>
        <v>Grease Blockage</v>
      </c>
      <c r="O1325" s="21">
        <v>44656.0</v>
      </c>
      <c r="P1325" s="6" t="s">
        <v>2094</v>
      </c>
      <c r="Q1325" s="21">
        <v>44656.0</v>
      </c>
      <c r="R1325" s="6" t="s">
        <v>766</v>
      </c>
      <c r="S1325" s="20">
        <v>2.0</v>
      </c>
      <c r="T1325" s="6" t="s">
        <v>2307</v>
      </c>
      <c r="U1325" s="6"/>
      <c r="V1325" s="6"/>
      <c r="W1325" s="6">
        <v>29.6158711</v>
      </c>
      <c r="X1325" s="6">
        <v>-95.4680008</v>
      </c>
    </row>
    <row r="1326" ht="15.75" customHeight="1">
      <c r="A1326" s="6">
        <v>14490.0</v>
      </c>
      <c r="B1326" s="6">
        <v>2022.0</v>
      </c>
      <c r="C1326" s="6" t="str">
        <f t="shared" si="5"/>
        <v>5245 TED ST,Houston,Texas</v>
      </c>
      <c r="D1326" s="6" t="s">
        <v>2308</v>
      </c>
      <c r="E1326" s="6" t="s">
        <v>25</v>
      </c>
      <c r="F1326" s="6" t="s">
        <v>26</v>
      </c>
      <c r="G1326" s="6" t="s">
        <v>253</v>
      </c>
      <c r="H1326" s="6" t="s">
        <v>2275</v>
      </c>
      <c r="I1326" s="6" t="str">
        <f>VLOOKUP(H1326,'Flow Location'!$A$1:$B$21,2,FALSE)</f>
        <v>Contained On Site, not within 5 ft. of Bayou/Surface Water/Drainage Ditch</v>
      </c>
      <c r="J1326" s="20">
        <v>0.0</v>
      </c>
      <c r="K1326" s="6" t="s">
        <v>198</v>
      </c>
      <c r="L1326" s="6" t="str">
        <f>VLOOKUP(K1326,'Structure type'!$A$1:$B$15,2,FALSE)</f>
        <v>Service Lateral</v>
      </c>
      <c r="M1326" s="6" t="s">
        <v>2309</v>
      </c>
      <c r="N1326" s="6" t="str">
        <f>VLOOKUP(M1326,'Excursion Cause'!$A$1:$B$34,2,FALSE)</f>
        <v>Collection system structural failure</v>
      </c>
      <c r="O1326" s="21">
        <v>44656.0</v>
      </c>
      <c r="P1326" s="6" t="s">
        <v>1051</v>
      </c>
      <c r="Q1326" s="21">
        <v>44656.0</v>
      </c>
      <c r="R1326" s="6" t="s">
        <v>1051</v>
      </c>
      <c r="S1326" s="20">
        <v>0.0</v>
      </c>
      <c r="T1326" s="6" t="s">
        <v>118</v>
      </c>
      <c r="U1326" s="6"/>
      <c r="V1326" s="6"/>
      <c r="W1326" s="6">
        <v>29.8437544</v>
      </c>
      <c r="X1326" s="6">
        <v>-95.5087577</v>
      </c>
    </row>
    <row r="1327" ht="15.75" customHeight="1">
      <c r="A1327" s="6">
        <v>14493.0</v>
      </c>
      <c r="B1327" s="6">
        <v>2022.0</v>
      </c>
      <c r="C1327" s="6" t="str">
        <f t="shared" si="5"/>
        <v>4117 GLENBROOK CT,Houston,Texas</v>
      </c>
      <c r="D1327" s="6" t="s">
        <v>2210</v>
      </c>
      <c r="E1327" s="6" t="s">
        <v>25</v>
      </c>
      <c r="F1327" s="6" t="s">
        <v>26</v>
      </c>
      <c r="G1327" s="6" t="s">
        <v>35</v>
      </c>
      <c r="H1327" s="6" t="s">
        <v>28</v>
      </c>
      <c r="I1327" s="6" t="str">
        <f>VLOOKUP(H1327,'Flow Location'!$A$1:$B$21,2,FALSE)</f>
        <v>Storm Sewer (not contained)</v>
      </c>
      <c r="J1327" s="20">
        <v>0.0</v>
      </c>
      <c r="K1327" s="6" t="s">
        <v>198</v>
      </c>
      <c r="L1327" s="6" t="str">
        <f>VLOOKUP(K1327,'Structure type'!$A$1:$B$15,2,FALSE)</f>
        <v>Service Lateral</v>
      </c>
      <c r="M1327" s="6" t="s">
        <v>2310</v>
      </c>
      <c r="N1327" s="6" t="str">
        <f>VLOOKUP(M1327,'Excursion Cause'!$A$1:$B$34,2,FALSE)</f>
        <v>Collection system structural failure</v>
      </c>
      <c r="O1327" s="21">
        <v>44656.0</v>
      </c>
      <c r="P1327" s="6" t="s">
        <v>2311</v>
      </c>
      <c r="Q1327" s="21">
        <v>44656.0</v>
      </c>
      <c r="R1327" s="6" t="s">
        <v>2311</v>
      </c>
      <c r="S1327" s="20">
        <v>0.0</v>
      </c>
      <c r="T1327" s="6" t="s">
        <v>89</v>
      </c>
      <c r="U1327" s="6"/>
      <c r="V1327" s="6"/>
      <c r="W1327" s="6">
        <v>29.6812636</v>
      </c>
      <c r="X1327" s="6">
        <v>-95.2743414</v>
      </c>
    </row>
    <row r="1328" ht="15.75" customHeight="1">
      <c r="A1328" s="6">
        <v>14497.0</v>
      </c>
      <c r="B1328" s="6">
        <v>2022.0</v>
      </c>
      <c r="C1328" s="6" t="str">
        <f t="shared" si="5"/>
        <v>5430 WINDING WAY DR,Houston,Texas</v>
      </c>
      <c r="D1328" s="6" t="s">
        <v>2312</v>
      </c>
      <c r="E1328" s="6" t="s">
        <v>25</v>
      </c>
      <c r="F1328" s="6" t="s">
        <v>26</v>
      </c>
      <c r="G1328" s="6" t="s">
        <v>222</v>
      </c>
      <c r="H1328" s="6" t="s">
        <v>2275</v>
      </c>
      <c r="I1328" s="6" t="str">
        <f>VLOOKUP(H1328,'Flow Location'!$A$1:$B$21,2,FALSE)</f>
        <v>Contained On Site, not within 5 ft. of Bayou/Surface Water/Drainage Ditch</v>
      </c>
      <c r="J1328" s="20">
        <v>0.0</v>
      </c>
      <c r="K1328" s="6" t="s">
        <v>45</v>
      </c>
      <c r="L1328" s="6" t="str">
        <f>VLOOKUP(K1328,'Structure type'!$A$1:$B$15,2,FALSE)</f>
        <v>City Cleanout</v>
      </c>
      <c r="M1328" s="6" t="s">
        <v>56</v>
      </c>
      <c r="N1328" s="6" t="str">
        <f>VLOOKUP(M1328,'Excursion Cause'!$A$1:$B$34,2,FALSE)</f>
        <v>Rags/Wipes</v>
      </c>
      <c r="O1328" s="21">
        <v>44657.0</v>
      </c>
      <c r="P1328" s="6" t="s">
        <v>318</v>
      </c>
      <c r="Q1328" s="21">
        <v>44657.0</v>
      </c>
      <c r="R1328" s="6" t="s">
        <v>318</v>
      </c>
      <c r="S1328" s="20">
        <v>0.0</v>
      </c>
      <c r="T1328" s="6" t="s">
        <v>74</v>
      </c>
      <c r="U1328" s="6"/>
      <c r="V1328" s="6"/>
      <c r="W1328" s="6">
        <v>29.8602803</v>
      </c>
      <c r="X1328" s="6">
        <v>-95.4673986</v>
      </c>
    </row>
    <row r="1329" ht="15.75" customHeight="1">
      <c r="A1329" s="6">
        <v>14499.0</v>
      </c>
      <c r="B1329" s="6">
        <v>2022.0</v>
      </c>
      <c r="C1329" s="6" t="str">
        <f t="shared" si="5"/>
        <v>37 E RIVERCREST DR,Houston,Texas</v>
      </c>
      <c r="D1329" s="6" t="s">
        <v>2313</v>
      </c>
      <c r="E1329" s="6" t="s">
        <v>25</v>
      </c>
      <c r="F1329" s="6" t="s">
        <v>26</v>
      </c>
      <c r="G1329" s="6" t="s">
        <v>401</v>
      </c>
      <c r="H1329" s="6" t="s">
        <v>2275</v>
      </c>
      <c r="I1329" s="6" t="str">
        <f>VLOOKUP(H1329,'Flow Location'!$A$1:$B$21,2,FALSE)</f>
        <v>Contained On Site, not within 5 ft. of Bayou/Surface Water/Drainage Ditch</v>
      </c>
      <c r="J1329" s="20">
        <v>0.0</v>
      </c>
      <c r="K1329" s="6" t="s">
        <v>45</v>
      </c>
      <c r="L1329" s="6" t="str">
        <f>VLOOKUP(K1329,'Structure type'!$A$1:$B$15,2,FALSE)</f>
        <v>City Cleanout</v>
      </c>
      <c r="M1329" s="6" t="s">
        <v>56</v>
      </c>
      <c r="N1329" s="6" t="str">
        <f>VLOOKUP(M1329,'Excursion Cause'!$A$1:$B$34,2,FALSE)</f>
        <v>Rags/Wipes</v>
      </c>
      <c r="O1329" s="21">
        <v>44657.0</v>
      </c>
      <c r="P1329" s="6" t="s">
        <v>795</v>
      </c>
      <c r="Q1329" s="21">
        <v>44657.0</v>
      </c>
      <c r="R1329" s="6" t="s">
        <v>795</v>
      </c>
      <c r="S1329" s="20">
        <v>0.0</v>
      </c>
      <c r="T1329" s="6" t="s">
        <v>270</v>
      </c>
      <c r="U1329" s="6"/>
      <c r="V1329" s="6"/>
      <c r="W1329" s="6">
        <v>29.7492705</v>
      </c>
      <c r="X1329" s="6">
        <v>-95.5438668</v>
      </c>
    </row>
    <row r="1330" ht="15.75" customHeight="1">
      <c r="A1330" s="6">
        <v>14501.0</v>
      </c>
      <c r="B1330" s="6">
        <v>2022.0</v>
      </c>
      <c r="C1330" s="6" t="str">
        <f t="shared" si="5"/>
        <v>3920 ERIE ST,Houston,Texas</v>
      </c>
      <c r="D1330" s="6" t="s">
        <v>2314</v>
      </c>
      <c r="E1330" s="6" t="s">
        <v>25</v>
      </c>
      <c r="F1330" s="6" t="s">
        <v>26</v>
      </c>
      <c r="G1330" s="6" t="s">
        <v>35</v>
      </c>
      <c r="H1330" s="6" t="s">
        <v>2275</v>
      </c>
      <c r="I1330" s="6" t="str">
        <f>VLOOKUP(H1330,'Flow Location'!$A$1:$B$21,2,FALSE)</f>
        <v>Contained On Site, not within 5 ft. of Bayou/Surface Water/Drainage Ditch</v>
      </c>
      <c r="J1330" s="20">
        <v>0.0</v>
      </c>
      <c r="K1330" s="6" t="s">
        <v>51</v>
      </c>
      <c r="L1330" s="6" t="str">
        <f>VLOOKUP(K1330,'Structure type'!$A$1:$B$15,2,FALSE)</f>
        <v>Private Cleanout</v>
      </c>
      <c r="M1330" s="6" t="s">
        <v>30</v>
      </c>
      <c r="N1330" s="6" t="str">
        <f>VLOOKUP(M1330,'Excursion Cause'!$A$1:$B$34,2,FALSE)</f>
        <v>Grease Blockage</v>
      </c>
      <c r="O1330" s="21">
        <v>44657.0</v>
      </c>
      <c r="P1330" s="6" t="s">
        <v>375</v>
      </c>
      <c r="Q1330" s="21">
        <v>44657.0</v>
      </c>
      <c r="R1330" s="6" t="s">
        <v>375</v>
      </c>
      <c r="S1330" s="20">
        <v>0.0</v>
      </c>
      <c r="T1330" s="6" t="s">
        <v>59</v>
      </c>
      <c r="U1330" s="6"/>
      <c r="V1330" s="6"/>
      <c r="W1330" s="6">
        <v>29.6846836</v>
      </c>
      <c r="X1330" s="6">
        <v>-95.2791661</v>
      </c>
    </row>
    <row r="1331" ht="15.75" customHeight="1">
      <c r="A1331" s="6">
        <v>14506.0</v>
      </c>
      <c r="B1331" s="6">
        <v>2022.0</v>
      </c>
      <c r="C1331" s="6" t="str">
        <f t="shared" si="5"/>
        <v>309 ROBMORE ST,Houston,Texas</v>
      </c>
      <c r="D1331" s="6" t="s">
        <v>2315</v>
      </c>
      <c r="E1331" s="6" t="s">
        <v>25</v>
      </c>
      <c r="F1331" s="6" t="s">
        <v>26</v>
      </c>
      <c r="G1331" s="6" t="s">
        <v>275</v>
      </c>
      <c r="H1331" s="6" t="s">
        <v>1724</v>
      </c>
      <c r="I1331" s="6" t="str">
        <f>VLOOKUP(H1331,'Flow Location'!$A$1:$B$21,2,FALSE)</f>
        <v>Storm Sewer (not contained)</v>
      </c>
      <c r="J1331" s="20">
        <v>0.0</v>
      </c>
      <c r="K1331" s="6" t="s">
        <v>29</v>
      </c>
      <c r="L1331" s="6" t="str">
        <f>VLOOKUP(K1331,'Structure type'!$A$1:$B$15,2,FALSE)</f>
        <v>Manhole</v>
      </c>
      <c r="M1331" s="6" t="s">
        <v>56</v>
      </c>
      <c r="N1331" s="6" t="str">
        <f>VLOOKUP(M1331,'Excursion Cause'!$A$1:$B$34,2,FALSE)</f>
        <v>Rags/Wipes</v>
      </c>
      <c r="O1331" s="21">
        <v>44657.0</v>
      </c>
      <c r="P1331" s="6" t="s">
        <v>971</v>
      </c>
      <c r="Q1331" s="21">
        <v>44657.0</v>
      </c>
      <c r="R1331" s="6" t="s">
        <v>971</v>
      </c>
      <c r="S1331" s="20">
        <v>0.0</v>
      </c>
      <c r="T1331" s="6" t="s">
        <v>2316</v>
      </c>
      <c r="U1331" s="6"/>
      <c r="V1331" s="6"/>
      <c r="W1331" s="6">
        <v>29.8549101</v>
      </c>
      <c r="X1331" s="6">
        <v>-95.3713338</v>
      </c>
    </row>
    <row r="1332" ht="15.75" customHeight="1">
      <c r="A1332" s="6">
        <v>14508.0</v>
      </c>
      <c r="B1332" s="6">
        <v>2022.0</v>
      </c>
      <c r="C1332" s="6" t="str">
        <f t="shared" si="5"/>
        <v>7525 SHERMAN ST,Houston,Texas</v>
      </c>
      <c r="D1332" s="6" t="s">
        <v>2033</v>
      </c>
      <c r="E1332" s="6" t="s">
        <v>25</v>
      </c>
      <c r="F1332" s="6" t="s">
        <v>26</v>
      </c>
      <c r="G1332" s="6" t="s">
        <v>365</v>
      </c>
      <c r="H1332" s="6" t="s">
        <v>2275</v>
      </c>
      <c r="I1332" s="6" t="str">
        <f>VLOOKUP(H1332,'Flow Location'!$A$1:$B$21,2,FALSE)</f>
        <v>Contained On Site, not within 5 ft. of Bayou/Surface Water/Drainage Ditch</v>
      </c>
      <c r="J1332" s="20">
        <v>0.0</v>
      </c>
      <c r="K1332" s="6" t="s">
        <v>51</v>
      </c>
      <c r="L1332" s="6" t="str">
        <f>VLOOKUP(K1332,'Structure type'!$A$1:$B$15,2,FALSE)</f>
        <v>Private Cleanout</v>
      </c>
      <c r="M1332" s="6" t="s">
        <v>2317</v>
      </c>
      <c r="N1332" s="6" t="str">
        <f>VLOOKUP(M1332,'Excursion Cause'!$A$1:$B$34,2,FALSE)</f>
        <v>Collection system structural blockage</v>
      </c>
      <c r="O1332" s="21">
        <v>44657.0</v>
      </c>
      <c r="P1332" s="6" t="s">
        <v>702</v>
      </c>
      <c r="Q1332" s="21">
        <v>44657.0</v>
      </c>
      <c r="R1332" s="6" t="s">
        <v>702</v>
      </c>
      <c r="S1332" s="20">
        <v>0.0</v>
      </c>
      <c r="T1332" s="6" t="s">
        <v>89</v>
      </c>
      <c r="U1332" s="6"/>
      <c r="V1332" s="6"/>
      <c r="W1332" s="6">
        <v>29.7344007</v>
      </c>
      <c r="X1332" s="6">
        <v>-95.2900782</v>
      </c>
    </row>
    <row r="1333" ht="15.75" customHeight="1">
      <c r="A1333" s="6">
        <v>14520.0</v>
      </c>
      <c r="B1333" s="6">
        <v>2022.0</v>
      </c>
      <c r="C1333" s="6" t="str">
        <f t="shared" si="5"/>
        <v>7933 DARLINGTON DR,Houston,Texas</v>
      </c>
      <c r="D1333" s="6" t="s">
        <v>2318</v>
      </c>
      <c r="E1333" s="6" t="s">
        <v>25</v>
      </c>
      <c r="F1333" s="6" t="s">
        <v>26</v>
      </c>
      <c r="G1333" s="6" t="s">
        <v>177</v>
      </c>
      <c r="H1333" s="6" t="s">
        <v>2275</v>
      </c>
      <c r="I1333" s="6" t="str">
        <f>VLOOKUP(H1333,'Flow Location'!$A$1:$B$21,2,FALSE)</f>
        <v>Contained On Site, not within 5 ft. of Bayou/Surface Water/Drainage Ditch</v>
      </c>
      <c r="J1333" s="20">
        <v>7.0</v>
      </c>
      <c r="K1333" s="6" t="s">
        <v>198</v>
      </c>
      <c r="L1333" s="6" t="str">
        <f>VLOOKUP(K1333,'Structure type'!$A$1:$B$15,2,FALSE)</f>
        <v>Service Lateral</v>
      </c>
      <c r="M1333" s="6" t="s">
        <v>2319</v>
      </c>
      <c r="N1333" s="6" t="str">
        <f>VLOOKUP(M1333,'Excursion Cause'!$A$1:$B$34,2,FALSE)</f>
        <v>Collection system structural blockage</v>
      </c>
      <c r="O1333" s="21">
        <v>44658.0</v>
      </c>
      <c r="P1333" s="6" t="s">
        <v>577</v>
      </c>
      <c r="Q1333" s="21">
        <v>44658.0</v>
      </c>
      <c r="R1333" s="6" t="s">
        <v>577</v>
      </c>
      <c r="S1333" s="20">
        <v>0.0</v>
      </c>
      <c r="T1333" s="6" t="s">
        <v>107</v>
      </c>
      <c r="U1333" s="6"/>
      <c r="V1333" s="6"/>
      <c r="W1333" s="6">
        <v>29.8349204</v>
      </c>
      <c r="X1333" s="6">
        <v>-95.2827069</v>
      </c>
    </row>
    <row r="1334" ht="15.75" customHeight="1">
      <c r="A1334" s="6">
        <v>14521.0</v>
      </c>
      <c r="B1334" s="6">
        <v>2022.0</v>
      </c>
      <c r="C1334" s="6" t="str">
        <f t="shared" si="5"/>
        <v>1834 HUGE OAKS ST,Houston,Texas</v>
      </c>
      <c r="D1334" s="6" t="s">
        <v>2320</v>
      </c>
      <c r="E1334" s="6" t="s">
        <v>25</v>
      </c>
      <c r="F1334" s="6" t="s">
        <v>26</v>
      </c>
      <c r="G1334" s="6" t="s">
        <v>27</v>
      </c>
      <c r="H1334" s="6" t="s">
        <v>2275</v>
      </c>
      <c r="I1334" s="6" t="str">
        <f>VLOOKUP(H1334,'Flow Location'!$A$1:$B$21,2,FALSE)</f>
        <v>Contained On Site, not within 5 ft. of Bayou/Surface Water/Drainage Ditch</v>
      </c>
      <c r="J1334" s="20">
        <v>0.0</v>
      </c>
      <c r="K1334" s="6" t="s">
        <v>198</v>
      </c>
      <c r="L1334" s="6" t="str">
        <f>VLOOKUP(K1334,'Structure type'!$A$1:$B$15,2,FALSE)</f>
        <v>Service Lateral</v>
      </c>
      <c r="M1334" s="6" t="s">
        <v>2321</v>
      </c>
      <c r="N1334" s="6" t="str">
        <f>VLOOKUP(M1334,'Excursion Cause'!$A$1:$B$34,2,FALSE)</f>
        <v>Collection system structural failure</v>
      </c>
      <c r="O1334" s="21">
        <v>44658.0</v>
      </c>
      <c r="P1334" s="6" t="s">
        <v>1329</v>
      </c>
      <c r="Q1334" s="21">
        <v>44658.0</v>
      </c>
      <c r="R1334" s="6" t="s">
        <v>1329</v>
      </c>
      <c r="S1334" s="20">
        <v>0.0</v>
      </c>
      <c r="T1334" s="6" t="s">
        <v>107</v>
      </c>
      <c r="U1334" s="6"/>
      <c r="V1334" s="6"/>
      <c r="W1334" s="6">
        <v>29.8045863</v>
      </c>
      <c r="X1334" s="6">
        <v>-95.4909647</v>
      </c>
    </row>
    <row r="1335" ht="15.75" customHeight="1">
      <c r="A1335" s="6">
        <v>14522.0</v>
      </c>
      <c r="B1335" s="6">
        <v>2022.0</v>
      </c>
      <c r="C1335" s="6" t="str">
        <f t="shared" si="5"/>
        <v>4903 AIRLINE DR,Houston,Texas</v>
      </c>
      <c r="D1335" s="6" t="s">
        <v>2322</v>
      </c>
      <c r="E1335" s="6" t="s">
        <v>25</v>
      </c>
      <c r="F1335" s="6" t="s">
        <v>26</v>
      </c>
      <c r="G1335" s="6" t="s">
        <v>653</v>
      </c>
      <c r="H1335" s="6" t="s">
        <v>1724</v>
      </c>
      <c r="I1335" s="6" t="str">
        <f>VLOOKUP(H1335,'Flow Location'!$A$1:$B$21,2,FALSE)</f>
        <v>Storm Sewer (not contained)</v>
      </c>
      <c r="J1335" s="22">
        <v>776.5</v>
      </c>
      <c r="K1335" s="6" t="s">
        <v>29</v>
      </c>
      <c r="L1335" s="6" t="str">
        <f>VLOOKUP(K1335,'Structure type'!$A$1:$B$15,2,FALSE)</f>
        <v>Manhole</v>
      </c>
      <c r="M1335" s="6" t="s">
        <v>2323</v>
      </c>
      <c r="N1335" s="6" t="str">
        <f>VLOOKUP(M1335,'Excursion Cause'!$A$1:$B$34,2,FALSE)</f>
        <v>Grease Blockage</v>
      </c>
      <c r="O1335" s="21">
        <v>44658.0</v>
      </c>
      <c r="P1335" s="6" t="s">
        <v>591</v>
      </c>
      <c r="Q1335" s="21">
        <v>44659.0</v>
      </c>
      <c r="R1335" s="6" t="s">
        <v>1169</v>
      </c>
      <c r="S1335" s="20">
        <v>1.0</v>
      </c>
      <c r="T1335" s="6" t="s">
        <v>2324</v>
      </c>
      <c r="U1335" s="6"/>
      <c r="V1335" s="6"/>
      <c r="W1335" s="6">
        <v>29.8376699</v>
      </c>
      <c r="X1335" s="6">
        <v>-95.38461</v>
      </c>
    </row>
    <row r="1336" ht="15.75" customHeight="1">
      <c r="A1336" s="6">
        <v>14524.0</v>
      </c>
      <c r="B1336" s="6">
        <v>2022.0</v>
      </c>
      <c r="C1336" s="6" t="str">
        <f t="shared" si="5"/>
        <v>8517 SHADY DR,Houston,Texas</v>
      </c>
      <c r="D1336" s="6" t="s">
        <v>2325</v>
      </c>
      <c r="E1336" s="6" t="s">
        <v>25</v>
      </c>
      <c r="F1336" s="6" t="s">
        <v>26</v>
      </c>
      <c r="G1336" s="6" t="s">
        <v>326</v>
      </c>
      <c r="H1336" s="6" t="s">
        <v>2275</v>
      </c>
      <c r="I1336" s="6" t="str">
        <f>VLOOKUP(H1336,'Flow Location'!$A$1:$B$21,2,FALSE)</f>
        <v>Contained On Site, not within 5 ft. of Bayou/Surface Water/Drainage Ditch</v>
      </c>
      <c r="J1336" s="20">
        <v>1243.0</v>
      </c>
      <c r="K1336" s="6" t="s">
        <v>45</v>
      </c>
      <c r="L1336" s="6" t="str">
        <f>VLOOKUP(K1336,'Structure type'!$A$1:$B$15,2,FALSE)</f>
        <v>City Cleanout</v>
      </c>
      <c r="M1336" s="6" t="s">
        <v>56</v>
      </c>
      <c r="N1336" s="6" t="str">
        <f>VLOOKUP(M1336,'Excursion Cause'!$A$1:$B$34,2,FALSE)</f>
        <v>Rags/Wipes</v>
      </c>
      <c r="O1336" s="21">
        <v>44658.0</v>
      </c>
      <c r="P1336" s="6" t="s">
        <v>2141</v>
      </c>
      <c r="Q1336" s="21">
        <v>44659.0</v>
      </c>
      <c r="R1336" s="6" t="s">
        <v>805</v>
      </c>
      <c r="S1336" s="20">
        <v>1.0</v>
      </c>
      <c r="T1336" s="6" t="s">
        <v>270</v>
      </c>
      <c r="U1336" s="6"/>
      <c r="V1336" s="6"/>
      <c r="W1336" s="6">
        <v>29.838338</v>
      </c>
      <c r="X1336" s="6">
        <v>-95.3089231</v>
      </c>
    </row>
    <row r="1337" ht="15.75" customHeight="1">
      <c r="A1337" s="6">
        <v>14529.0</v>
      </c>
      <c r="B1337" s="6">
        <v>2022.0</v>
      </c>
      <c r="C1337" s="6" t="str">
        <f t="shared" si="5"/>
        <v>3402 TAMPA ST,Houston,Texas</v>
      </c>
      <c r="D1337" s="6" t="s">
        <v>2326</v>
      </c>
      <c r="E1337" s="6" t="s">
        <v>25</v>
      </c>
      <c r="F1337" s="6" t="s">
        <v>26</v>
      </c>
      <c r="G1337" s="6" t="s">
        <v>238</v>
      </c>
      <c r="H1337" s="6" t="s">
        <v>1977</v>
      </c>
      <c r="I1337" s="6" t="str">
        <f>VLOOKUP(H1337,'Flow Location'!$A$1:$B$21,2,FALSE)</f>
        <v>Bayou/surface water/drainage ditch</v>
      </c>
      <c r="J1337" s="20">
        <v>564.0</v>
      </c>
      <c r="K1337" s="6" t="s">
        <v>29</v>
      </c>
      <c r="L1337" s="6" t="str">
        <f>VLOOKUP(K1337,'Structure type'!$A$1:$B$15,2,FALSE)</f>
        <v>Manhole</v>
      </c>
      <c r="M1337" s="6" t="s">
        <v>30</v>
      </c>
      <c r="N1337" s="6" t="str">
        <f>VLOOKUP(M1337,'Excursion Cause'!$A$1:$B$34,2,FALSE)</f>
        <v>Grease Blockage</v>
      </c>
      <c r="O1337" s="21">
        <v>44659.0</v>
      </c>
      <c r="P1337" s="6" t="s">
        <v>341</v>
      </c>
      <c r="Q1337" s="21">
        <v>44659.0</v>
      </c>
      <c r="R1337" s="6" t="s">
        <v>341</v>
      </c>
      <c r="S1337" s="20">
        <v>0.0</v>
      </c>
      <c r="T1337" s="6" t="s">
        <v>59</v>
      </c>
      <c r="U1337" s="6"/>
      <c r="V1337" s="6"/>
      <c r="W1337" s="6">
        <v>29.704929</v>
      </c>
      <c r="X1337" s="6">
        <v>-95.3684181</v>
      </c>
    </row>
    <row r="1338" ht="15.75" customHeight="1">
      <c r="A1338" s="6">
        <v>14531.0</v>
      </c>
      <c r="B1338" s="6">
        <v>2022.0</v>
      </c>
      <c r="C1338" s="6" t="str">
        <f t="shared" si="5"/>
        <v>8637 WOODLYN RD,Houston,Texas</v>
      </c>
      <c r="D1338" s="6" t="s">
        <v>830</v>
      </c>
      <c r="E1338" s="6" t="s">
        <v>25</v>
      </c>
      <c r="F1338" s="6" t="s">
        <v>26</v>
      </c>
      <c r="G1338" s="6" t="s">
        <v>177</v>
      </c>
      <c r="H1338" s="6" t="s">
        <v>44</v>
      </c>
      <c r="I1338" s="6" t="str">
        <f>VLOOKUP(H1338,'Flow Location'!$A$1:$B$21,2,FALSE)</f>
        <v>Bayou/surface water/drainage ditch</v>
      </c>
      <c r="J1338" s="20">
        <v>0.0</v>
      </c>
      <c r="K1338" s="6" t="s">
        <v>198</v>
      </c>
      <c r="L1338" s="6" t="str">
        <f>VLOOKUP(K1338,'Structure type'!$A$1:$B$15,2,FALSE)</f>
        <v>Service Lateral</v>
      </c>
      <c r="M1338" s="6" t="s">
        <v>2327</v>
      </c>
      <c r="N1338" s="6" t="str">
        <f>VLOOKUP(M1338,'Excursion Cause'!$A$1:$B$34,2,FALSE)</f>
        <v>Collection system structural failure</v>
      </c>
      <c r="O1338" s="21">
        <v>44659.0</v>
      </c>
      <c r="P1338" s="6" t="s">
        <v>1035</v>
      </c>
      <c r="Q1338" s="21">
        <v>44659.0</v>
      </c>
      <c r="R1338" s="6" t="s">
        <v>1035</v>
      </c>
      <c r="S1338" s="20">
        <v>0.0</v>
      </c>
      <c r="T1338" s="6" t="s">
        <v>2328</v>
      </c>
      <c r="U1338" s="6"/>
      <c r="V1338" s="6"/>
      <c r="W1338" s="6">
        <v>29.8421639</v>
      </c>
      <c r="X1338" s="6">
        <v>-95.2644851</v>
      </c>
    </row>
    <row r="1339" ht="15.75" customHeight="1">
      <c r="A1339" s="6">
        <v>14532.0</v>
      </c>
      <c r="B1339" s="6">
        <v>2022.0</v>
      </c>
      <c r="C1339" s="6" t="str">
        <f t="shared" si="5"/>
        <v>6321 BROOK LEA ST,Houston,Texas</v>
      </c>
      <c r="D1339" s="6" t="s">
        <v>2329</v>
      </c>
      <c r="E1339" s="6" t="s">
        <v>25</v>
      </c>
      <c r="F1339" s="6" t="s">
        <v>26</v>
      </c>
      <c r="G1339" s="6" t="s">
        <v>35</v>
      </c>
      <c r="H1339" s="6" t="s">
        <v>2275</v>
      </c>
      <c r="I1339" s="6" t="str">
        <f>VLOOKUP(H1339,'Flow Location'!$A$1:$B$21,2,FALSE)</f>
        <v>Contained On Site, not within 5 ft. of Bayou/Surface Water/Drainage Ditch</v>
      </c>
      <c r="J1339" s="20">
        <v>0.0</v>
      </c>
      <c r="K1339" s="6" t="s">
        <v>45</v>
      </c>
      <c r="L1339" s="6" t="str">
        <f>VLOOKUP(K1339,'Structure type'!$A$1:$B$15,2,FALSE)</f>
        <v>City Cleanout</v>
      </c>
      <c r="M1339" s="6" t="s">
        <v>56</v>
      </c>
      <c r="N1339" s="6" t="str">
        <f>VLOOKUP(M1339,'Excursion Cause'!$A$1:$B$34,2,FALSE)</f>
        <v>Rags/Wipes</v>
      </c>
      <c r="O1339" s="21">
        <v>44659.0</v>
      </c>
      <c r="P1339" s="6" t="s">
        <v>848</v>
      </c>
      <c r="Q1339" s="21">
        <v>44659.0</v>
      </c>
      <c r="R1339" s="6" t="s">
        <v>848</v>
      </c>
      <c r="S1339" s="20">
        <v>0.0</v>
      </c>
      <c r="T1339" s="6" t="s">
        <v>170</v>
      </c>
      <c r="U1339" s="6"/>
      <c r="V1339" s="6"/>
      <c r="W1339" s="6">
        <v>29.6887756</v>
      </c>
      <c r="X1339" s="6">
        <v>-95.3168458</v>
      </c>
    </row>
    <row r="1340" ht="15.75" customHeight="1">
      <c r="A1340" s="6">
        <v>14536.0</v>
      </c>
      <c r="B1340" s="6">
        <v>2022.0</v>
      </c>
      <c r="C1340" s="6" t="str">
        <f t="shared" si="5"/>
        <v>1423 PEACH SPRING DR,Houston,Texas</v>
      </c>
      <c r="D1340" s="6" t="s">
        <v>2330</v>
      </c>
      <c r="E1340" s="6" t="s">
        <v>25</v>
      </c>
      <c r="F1340" s="6" t="s">
        <v>26</v>
      </c>
      <c r="G1340" s="6" t="s">
        <v>502</v>
      </c>
      <c r="H1340" s="6" t="s">
        <v>2275</v>
      </c>
      <c r="I1340" s="6" t="str">
        <f>VLOOKUP(H1340,'Flow Location'!$A$1:$B$21,2,FALSE)</f>
        <v>Contained On Site, not within 5 ft. of Bayou/Surface Water/Drainage Ditch</v>
      </c>
      <c r="J1340" s="20">
        <v>354.0</v>
      </c>
      <c r="K1340" s="6" t="s">
        <v>51</v>
      </c>
      <c r="L1340" s="6" t="str">
        <f>VLOOKUP(K1340,'Structure type'!$A$1:$B$15,2,FALSE)</f>
        <v>Private Cleanout</v>
      </c>
      <c r="M1340" s="6" t="s">
        <v>30</v>
      </c>
      <c r="N1340" s="6" t="str">
        <f>VLOOKUP(M1340,'Excursion Cause'!$A$1:$B$34,2,FALSE)</f>
        <v>Grease Blockage</v>
      </c>
      <c r="O1340" s="21">
        <v>44659.0</v>
      </c>
      <c r="P1340" s="6" t="s">
        <v>428</v>
      </c>
      <c r="Q1340" s="21">
        <v>44659.0</v>
      </c>
      <c r="R1340" s="6" t="s">
        <v>2331</v>
      </c>
      <c r="S1340" s="20">
        <v>2.0</v>
      </c>
      <c r="T1340" s="6" t="s">
        <v>59</v>
      </c>
      <c r="U1340" s="6"/>
      <c r="V1340" s="6"/>
      <c r="W1340" s="6">
        <v>29.8892275</v>
      </c>
      <c r="X1340" s="6">
        <v>-95.4241954</v>
      </c>
    </row>
    <row r="1341" ht="15.75" customHeight="1">
      <c r="A1341" s="6">
        <v>14537.0</v>
      </c>
      <c r="B1341" s="6">
        <v>2022.0</v>
      </c>
      <c r="C1341" s="6" t="str">
        <f t="shared" si="5"/>
        <v>7800 LYONS AVE,Houston,Texas</v>
      </c>
      <c r="D1341" s="6" t="s">
        <v>2332</v>
      </c>
      <c r="E1341" s="6" t="s">
        <v>25</v>
      </c>
      <c r="F1341" s="6" t="s">
        <v>26</v>
      </c>
      <c r="G1341" s="6" t="s">
        <v>247</v>
      </c>
      <c r="H1341" s="6" t="s">
        <v>2275</v>
      </c>
      <c r="I1341" s="6" t="str">
        <f>VLOOKUP(H1341,'Flow Location'!$A$1:$B$21,2,FALSE)</f>
        <v>Contained On Site, not within 5 ft. of Bayou/Surface Water/Drainage Ditch</v>
      </c>
      <c r="J1341" s="20">
        <v>0.0</v>
      </c>
      <c r="K1341" s="6" t="s">
        <v>29</v>
      </c>
      <c r="L1341" s="6" t="str">
        <f>VLOOKUP(K1341,'Structure type'!$A$1:$B$15,2,FALSE)</f>
        <v>Manhole</v>
      </c>
      <c r="M1341" s="6" t="s">
        <v>30</v>
      </c>
      <c r="N1341" s="6" t="str">
        <f>VLOOKUP(M1341,'Excursion Cause'!$A$1:$B$34,2,FALSE)</f>
        <v>Grease Blockage</v>
      </c>
      <c r="O1341" s="21">
        <v>44659.0</v>
      </c>
      <c r="P1341" s="6" t="s">
        <v>411</v>
      </c>
      <c r="Q1341" s="21">
        <v>44660.0</v>
      </c>
      <c r="R1341" s="6" t="s">
        <v>382</v>
      </c>
      <c r="S1341" s="20">
        <v>0.0</v>
      </c>
      <c r="T1341" s="6" t="s">
        <v>33</v>
      </c>
      <c r="U1341" s="6"/>
      <c r="V1341" s="6"/>
      <c r="W1341" s="6">
        <v>29.7764842</v>
      </c>
      <c r="X1341" s="6">
        <v>-95.2880108</v>
      </c>
    </row>
    <row r="1342" ht="15.75" customHeight="1">
      <c r="A1342" s="6">
        <v>14538.0</v>
      </c>
      <c r="B1342" s="6">
        <v>2022.0</v>
      </c>
      <c r="C1342" s="6" t="str">
        <f t="shared" si="5"/>
        <v>4126 S ACRES DR,Houston,Texas</v>
      </c>
      <c r="D1342" s="6" t="s">
        <v>2333</v>
      </c>
      <c r="E1342" s="6" t="s">
        <v>25</v>
      </c>
      <c r="F1342" s="6" t="s">
        <v>26</v>
      </c>
      <c r="G1342" s="6" t="s">
        <v>419</v>
      </c>
      <c r="H1342" s="6" t="s">
        <v>2275</v>
      </c>
      <c r="I1342" s="6" t="str">
        <f>VLOOKUP(H1342,'Flow Location'!$A$1:$B$21,2,FALSE)</f>
        <v>Contained On Site, not within 5 ft. of Bayou/Surface Water/Drainage Ditch</v>
      </c>
      <c r="J1342" s="20">
        <v>0.0</v>
      </c>
      <c r="K1342" s="6" t="s">
        <v>51</v>
      </c>
      <c r="L1342" s="6" t="str">
        <f>VLOOKUP(K1342,'Structure type'!$A$1:$B$15,2,FALSE)</f>
        <v>Private Cleanout</v>
      </c>
      <c r="M1342" s="6" t="s">
        <v>52</v>
      </c>
      <c r="N1342" s="6" t="str">
        <f>VLOOKUP(M1342,'Excursion Cause'!$A$1:$B$34,2,FALSE)</f>
        <v>Collection system structural blockage</v>
      </c>
      <c r="O1342" s="21">
        <v>44659.0</v>
      </c>
      <c r="P1342" s="6" t="s">
        <v>2334</v>
      </c>
      <c r="Q1342" s="21">
        <v>44659.0</v>
      </c>
      <c r="R1342" s="6" t="s">
        <v>2334</v>
      </c>
      <c r="S1342" s="20">
        <v>0.0</v>
      </c>
      <c r="T1342" s="6" t="s">
        <v>54</v>
      </c>
      <c r="U1342" s="6"/>
      <c r="V1342" s="6"/>
      <c r="W1342" s="6">
        <v>29.6419733</v>
      </c>
      <c r="X1342" s="6">
        <v>-95.3619171</v>
      </c>
    </row>
    <row r="1343" ht="15.75" customHeight="1">
      <c r="A1343" s="6">
        <v>14543.0</v>
      </c>
      <c r="B1343" s="6">
        <v>2022.0</v>
      </c>
      <c r="C1343" s="6" t="str">
        <f t="shared" si="5"/>
        <v>614 CRESLINE ST,Houston,Texas</v>
      </c>
      <c r="D1343" s="6" t="s">
        <v>2335</v>
      </c>
      <c r="E1343" s="6" t="s">
        <v>25</v>
      </c>
      <c r="F1343" s="6" t="s">
        <v>26</v>
      </c>
      <c r="G1343" s="6" t="s">
        <v>275</v>
      </c>
      <c r="H1343" s="6" t="s">
        <v>2275</v>
      </c>
      <c r="I1343" s="6" t="str">
        <f>VLOOKUP(H1343,'Flow Location'!$A$1:$B$21,2,FALSE)</f>
        <v>Contained On Site, not within 5 ft. of Bayou/Surface Water/Drainage Ditch</v>
      </c>
      <c r="J1343" s="20">
        <v>0.0</v>
      </c>
      <c r="K1343" s="6" t="s">
        <v>45</v>
      </c>
      <c r="L1343" s="6" t="str">
        <f>VLOOKUP(K1343,'Structure type'!$A$1:$B$15,2,FALSE)</f>
        <v>City Cleanout</v>
      </c>
      <c r="M1343" s="6" t="s">
        <v>30</v>
      </c>
      <c r="N1343" s="6" t="str">
        <f>VLOOKUP(M1343,'Excursion Cause'!$A$1:$B$34,2,FALSE)</f>
        <v>Grease Blockage</v>
      </c>
      <c r="O1343" s="21">
        <v>44660.0</v>
      </c>
      <c r="P1343" s="6" t="s">
        <v>1146</v>
      </c>
      <c r="Q1343" s="21">
        <v>44660.0</v>
      </c>
      <c r="R1343" s="6" t="s">
        <v>1146</v>
      </c>
      <c r="S1343" s="20">
        <v>0.0</v>
      </c>
      <c r="T1343" s="6" t="s">
        <v>170</v>
      </c>
      <c r="U1343" s="6"/>
      <c r="V1343" s="6"/>
      <c r="W1343" s="6">
        <v>29.8604555</v>
      </c>
      <c r="X1343" s="6">
        <v>-95.3686209</v>
      </c>
    </row>
    <row r="1344" ht="15.75" customHeight="1">
      <c r="A1344" s="6">
        <v>14544.0</v>
      </c>
      <c r="B1344" s="6">
        <v>2022.0</v>
      </c>
      <c r="C1344" s="6" t="str">
        <f t="shared" si="5"/>
        <v>7054 HENDON LN,Houston,Texas</v>
      </c>
      <c r="D1344" s="6" t="s">
        <v>1703</v>
      </c>
      <c r="E1344" s="6" t="s">
        <v>25</v>
      </c>
      <c r="F1344" s="6" t="s">
        <v>26</v>
      </c>
      <c r="G1344" s="6" t="s">
        <v>471</v>
      </c>
      <c r="H1344" s="6" t="s">
        <v>1724</v>
      </c>
      <c r="I1344" s="6" t="str">
        <f>VLOOKUP(H1344,'Flow Location'!$A$1:$B$21,2,FALSE)</f>
        <v>Storm Sewer (not contained)</v>
      </c>
      <c r="J1344" s="20">
        <v>920.0</v>
      </c>
      <c r="K1344" s="6" t="s">
        <v>29</v>
      </c>
      <c r="L1344" s="6" t="str">
        <f>VLOOKUP(K1344,'Structure type'!$A$1:$B$15,2,FALSE)</f>
        <v>Manhole</v>
      </c>
      <c r="M1344" s="6" t="s">
        <v>2336</v>
      </c>
      <c r="N1344" s="6" t="str">
        <f>VLOOKUP(M1344,'Excursion Cause'!$A$1:$B$34,2,FALSE)</f>
        <v>Grease Blockage</v>
      </c>
      <c r="O1344" s="21">
        <v>44661.0</v>
      </c>
      <c r="P1344" s="6" t="s">
        <v>2028</v>
      </c>
      <c r="Q1344" s="21">
        <v>44661.0</v>
      </c>
      <c r="R1344" s="6" t="s">
        <v>1164</v>
      </c>
      <c r="S1344" s="20">
        <v>5.0</v>
      </c>
      <c r="T1344" s="6" t="s">
        <v>2337</v>
      </c>
      <c r="U1344" s="6"/>
      <c r="V1344" s="6"/>
      <c r="W1344" s="6">
        <v>29.6958565</v>
      </c>
      <c r="X1344" s="6">
        <v>-95.5085339</v>
      </c>
    </row>
    <row r="1345" ht="15.75" customHeight="1">
      <c r="A1345" s="6">
        <v>14548.0</v>
      </c>
      <c r="B1345" s="6">
        <v>2022.0</v>
      </c>
      <c r="C1345" s="6" t="str">
        <f t="shared" si="5"/>
        <v>9716 EDGEWORTH ST,Houston,Texas</v>
      </c>
      <c r="D1345" s="6" t="s">
        <v>2338</v>
      </c>
      <c r="E1345" s="6" t="s">
        <v>25</v>
      </c>
      <c r="F1345" s="6" t="s">
        <v>26</v>
      </c>
      <c r="G1345" s="6" t="s">
        <v>109</v>
      </c>
      <c r="H1345" s="6" t="s">
        <v>2304</v>
      </c>
      <c r="I1345" s="6" t="str">
        <f>VLOOKUP(H1345,'Flow Location'!$A$1:$B$21,2,FALSE)</f>
        <v>Bayou/surface water/drainage ditch</v>
      </c>
      <c r="J1345" s="20">
        <v>0.0</v>
      </c>
      <c r="K1345" s="6" t="s">
        <v>45</v>
      </c>
      <c r="L1345" s="6" t="str">
        <f>VLOOKUP(K1345,'Structure type'!$A$1:$B$15,2,FALSE)</f>
        <v>City Cleanout</v>
      </c>
      <c r="M1345" s="6" t="s">
        <v>56</v>
      </c>
      <c r="N1345" s="6" t="str">
        <f>VLOOKUP(M1345,'Excursion Cause'!$A$1:$B$34,2,FALSE)</f>
        <v>Rags/Wipes</v>
      </c>
      <c r="O1345" s="21">
        <v>44661.0</v>
      </c>
      <c r="P1345" s="6" t="s">
        <v>491</v>
      </c>
      <c r="Q1345" s="21">
        <v>44661.0</v>
      </c>
      <c r="R1345" s="6" t="s">
        <v>491</v>
      </c>
      <c r="S1345" s="20">
        <v>0.0</v>
      </c>
      <c r="T1345" s="6" t="s">
        <v>270</v>
      </c>
      <c r="U1345" s="6"/>
      <c r="V1345" s="6"/>
      <c r="W1345" s="6">
        <v>29.8525818</v>
      </c>
      <c r="X1345" s="6">
        <v>-95.3463039</v>
      </c>
    </row>
    <row r="1346" ht="15.75" customHeight="1">
      <c r="A1346" s="6">
        <v>14549.0</v>
      </c>
      <c r="B1346" s="6">
        <v>2022.0</v>
      </c>
      <c r="C1346" s="6" t="str">
        <f t="shared" si="5"/>
        <v>4001 HAMILTON ST,Houston,Texas</v>
      </c>
      <c r="D1346" s="6" t="s">
        <v>2339</v>
      </c>
      <c r="E1346" s="6" t="s">
        <v>25</v>
      </c>
      <c r="F1346" s="6" t="s">
        <v>26</v>
      </c>
      <c r="G1346" s="6" t="s">
        <v>308</v>
      </c>
      <c r="H1346" s="6" t="s">
        <v>2275</v>
      </c>
      <c r="I1346" s="6" t="str">
        <f>VLOOKUP(H1346,'Flow Location'!$A$1:$B$21,2,FALSE)</f>
        <v>Contained On Site, not within 5 ft. of Bayou/Surface Water/Drainage Ditch</v>
      </c>
      <c r="J1346" s="20">
        <v>84.0</v>
      </c>
      <c r="K1346" s="6" t="s">
        <v>45</v>
      </c>
      <c r="L1346" s="6" t="str">
        <f>VLOOKUP(K1346,'Structure type'!$A$1:$B$15,2,FALSE)</f>
        <v>City Cleanout</v>
      </c>
      <c r="M1346" s="6" t="s">
        <v>30</v>
      </c>
      <c r="N1346" s="6" t="str">
        <f>VLOOKUP(M1346,'Excursion Cause'!$A$1:$B$34,2,FALSE)</f>
        <v>Grease Blockage</v>
      </c>
      <c r="O1346" s="21">
        <v>44661.0</v>
      </c>
      <c r="P1346" s="6" t="s">
        <v>1173</v>
      </c>
      <c r="Q1346" s="21">
        <v>44661.0</v>
      </c>
      <c r="R1346" s="6" t="s">
        <v>149</v>
      </c>
      <c r="S1346" s="20">
        <v>1.0</v>
      </c>
      <c r="T1346" s="6" t="s">
        <v>74</v>
      </c>
      <c r="U1346" s="6"/>
      <c r="V1346" s="6"/>
      <c r="W1346" s="6">
        <v>29.7318453</v>
      </c>
      <c r="X1346" s="6">
        <v>-95.3732329</v>
      </c>
    </row>
    <row r="1347" ht="15.75" customHeight="1">
      <c r="A1347" s="6">
        <v>14551.0</v>
      </c>
      <c r="B1347" s="6">
        <v>2022.0</v>
      </c>
      <c r="C1347" s="6" t="str">
        <f t="shared" si="5"/>
        <v>8710 WILCREST DR,Houston,Texas</v>
      </c>
      <c r="D1347" s="6" t="s">
        <v>2340</v>
      </c>
      <c r="E1347" s="6" t="s">
        <v>25</v>
      </c>
      <c r="F1347" s="6" t="s">
        <v>26</v>
      </c>
      <c r="G1347" s="6" t="s">
        <v>154</v>
      </c>
      <c r="H1347" s="6" t="s">
        <v>1724</v>
      </c>
      <c r="I1347" s="6" t="str">
        <f>VLOOKUP(H1347,'Flow Location'!$A$1:$B$21,2,FALSE)</f>
        <v>Storm Sewer (not contained)</v>
      </c>
      <c r="J1347" s="20">
        <v>405.0</v>
      </c>
      <c r="K1347" s="6" t="s">
        <v>29</v>
      </c>
      <c r="L1347" s="6" t="str">
        <f>VLOOKUP(K1347,'Structure type'!$A$1:$B$15,2,FALSE)</f>
        <v>Manhole</v>
      </c>
      <c r="M1347" s="6" t="s">
        <v>2341</v>
      </c>
      <c r="N1347" s="6" t="str">
        <f>VLOOKUP(M1347,'Excursion Cause'!$A$1:$B$34,2,FALSE)</f>
        <v>Grease Blockage</v>
      </c>
      <c r="O1347" s="21">
        <v>44662.0</v>
      </c>
      <c r="P1347" s="6" t="s">
        <v>399</v>
      </c>
      <c r="Q1347" s="21">
        <v>44662.0</v>
      </c>
      <c r="R1347" s="6" t="s">
        <v>1572</v>
      </c>
      <c r="S1347" s="20">
        <v>3.0</v>
      </c>
      <c r="T1347" s="6" t="s">
        <v>2342</v>
      </c>
      <c r="U1347" s="6"/>
      <c r="V1347" s="6"/>
      <c r="W1347" s="6">
        <v>29.6825007</v>
      </c>
      <c r="X1347" s="6">
        <v>-95.5702032</v>
      </c>
    </row>
    <row r="1348" ht="15.75" customHeight="1">
      <c r="A1348" s="6">
        <v>14558.0</v>
      </c>
      <c r="B1348" s="6">
        <v>2022.0</v>
      </c>
      <c r="C1348" s="6" t="str">
        <f t="shared" si="5"/>
        <v>214 NAGLE ST,Houston,Texas</v>
      </c>
      <c r="D1348" s="6" t="s">
        <v>2343</v>
      </c>
      <c r="E1348" s="6" t="s">
        <v>25</v>
      </c>
      <c r="F1348" s="6" t="s">
        <v>26</v>
      </c>
      <c r="G1348" s="6" t="s">
        <v>172</v>
      </c>
      <c r="H1348" s="6" t="s">
        <v>2275</v>
      </c>
      <c r="I1348" s="6" t="str">
        <f>VLOOKUP(H1348,'Flow Location'!$A$1:$B$21,2,FALSE)</f>
        <v>Contained On Site, not within 5 ft. of Bayou/Surface Water/Drainage Ditch</v>
      </c>
      <c r="J1348" s="20">
        <v>0.0</v>
      </c>
      <c r="K1348" s="6" t="s">
        <v>45</v>
      </c>
      <c r="L1348" s="6" t="str">
        <f>VLOOKUP(K1348,'Structure type'!$A$1:$B$15,2,FALSE)</f>
        <v>City Cleanout</v>
      </c>
      <c r="M1348" s="6" t="s">
        <v>56</v>
      </c>
      <c r="N1348" s="6" t="str">
        <f>VLOOKUP(M1348,'Excursion Cause'!$A$1:$B$34,2,FALSE)</f>
        <v>Rags/Wipes</v>
      </c>
      <c r="O1348" s="21">
        <v>44662.0</v>
      </c>
      <c r="P1348" s="6" t="s">
        <v>131</v>
      </c>
      <c r="Q1348" s="21">
        <v>44662.0</v>
      </c>
      <c r="R1348" s="6" t="s">
        <v>131</v>
      </c>
      <c r="S1348" s="20">
        <v>0.0</v>
      </c>
      <c r="T1348" s="6" t="s">
        <v>270</v>
      </c>
      <c r="U1348" s="6"/>
      <c r="V1348" s="6"/>
      <c r="W1348" s="6">
        <v>29.7537928</v>
      </c>
      <c r="X1348" s="6">
        <v>-95.3458807</v>
      </c>
    </row>
    <row r="1349" ht="15.75" customHeight="1">
      <c r="A1349" s="6">
        <v>14560.0</v>
      </c>
      <c r="B1349" s="6">
        <v>2022.0</v>
      </c>
      <c r="C1349" s="6" t="str">
        <f t="shared" si="5"/>
        <v>910 FAIR OAKS DR,Houston,Texas</v>
      </c>
      <c r="D1349" s="6" t="s">
        <v>1033</v>
      </c>
      <c r="E1349" s="6" t="s">
        <v>25</v>
      </c>
      <c r="F1349" s="6" t="s">
        <v>26</v>
      </c>
      <c r="G1349" s="6" t="s">
        <v>141</v>
      </c>
      <c r="H1349" s="6" t="s">
        <v>1977</v>
      </c>
      <c r="I1349" s="6" t="str">
        <f>VLOOKUP(H1349,'Flow Location'!$A$1:$B$21,2,FALSE)</f>
        <v>Bayou/surface water/drainage ditch</v>
      </c>
      <c r="J1349" s="20">
        <v>84.0</v>
      </c>
      <c r="K1349" s="6" t="s">
        <v>51</v>
      </c>
      <c r="L1349" s="6" t="str">
        <f>VLOOKUP(K1349,'Structure type'!$A$1:$B$15,2,FALSE)</f>
        <v>Private Cleanout</v>
      </c>
      <c r="M1349" s="6" t="s">
        <v>30</v>
      </c>
      <c r="N1349" s="6" t="str">
        <f>VLOOKUP(M1349,'Excursion Cause'!$A$1:$B$34,2,FALSE)</f>
        <v>Grease Blockage</v>
      </c>
      <c r="O1349" s="21">
        <v>44662.0</v>
      </c>
      <c r="P1349" s="6" t="s">
        <v>240</v>
      </c>
      <c r="Q1349" s="21">
        <v>44663.0</v>
      </c>
      <c r="R1349" s="6" t="s">
        <v>1363</v>
      </c>
      <c r="S1349" s="20">
        <v>0.0</v>
      </c>
      <c r="T1349" s="6" t="s">
        <v>33</v>
      </c>
      <c r="U1349" s="6"/>
      <c r="V1349" s="6"/>
      <c r="W1349" s="6">
        <v>29.7305056</v>
      </c>
      <c r="X1349" s="6">
        <v>-95.3164179</v>
      </c>
    </row>
    <row r="1350" ht="15.75" customHeight="1">
      <c r="A1350" s="6">
        <v>14561.0</v>
      </c>
      <c r="B1350" s="6">
        <v>2022.0</v>
      </c>
      <c r="C1350" s="6" t="str">
        <f t="shared" si="5"/>
        <v>4122 DUVAL ST,Houston,Texas</v>
      </c>
      <c r="D1350" s="6" t="s">
        <v>1242</v>
      </c>
      <c r="E1350" s="6" t="s">
        <v>25</v>
      </c>
      <c r="F1350" s="6" t="s">
        <v>26</v>
      </c>
      <c r="G1350" s="6" t="s">
        <v>35</v>
      </c>
      <c r="H1350" s="6" t="s">
        <v>50</v>
      </c>
      <c r="I1350" s="6" t="str">
        <f>VLOOKUP(H1350,'Flow Location'!$A$1:$B$21,2,FALSE)</f>
        <v>Contained On Site, not within 5 ft. of Bayou/Surface Water/Drainage Ditch</v>
      </c>
      <c r="J1350" s="20">
        <v>0.0</v>
      </c>
      <c r="K1350" s="6" t="s">
        <v>45</v>
      </c>
      <c r="L1350" s="6" t="str">
        <f>VLOOKUP(K1350,'Structure type'!$A$1:$B$15,2,FALSE)</f>
        <v>City Cleanout</v>
      </c>
      <c r="M1350" s="6" t="s">
        <v>56</v>
      </c>
      <c r="N1350" s="6" t="str">
        <f>VLOOKUP(M1350,'Excursion Cause'!$A$1:$B$34,2,FALSE)</f>
        <v>Rags/Wipes</v>
      </c>
      <c r="O1350" s="21">
        <v>44663.0</v>
      </c>
      <c r="P1350" s="6" t="s">
        <v>1172</v>
      </c>
      <c r="Q1350" s="21">
        <v>44663.0</v>
      </c>
      <c r="R1350" s="6" t="s">
        <v>1172</v>
      </c>
      <c r="S1350" s="20">
        <v>0.0</v>
      </c>
      <c r="T1350" s="6" t="s">
        <v>74</v>
      </c>
      <c r="U1350" s="6"/>
      <c r="V1350" s="6"/>
      <c r="W1350" s="6">
        <v>29.7020777</v>
      </c>
      <c r="X1350" s="6">
        <v>-95.306922</v>
      </c>
    </row>
    <row r="1351" ht="15.75" customHeight="1">
      <c r="A1351" s="6">
        <v>14564.0</v>
      </c>
      <c r="B1351" s="6">
        <v>2022.0</v>
      </c>
      <c r="C1351" s="6" t="str">
        <f t="shared" si="5"/>
        <v>10950 GULF FWY,Houston,Texas</v>
      </c>
      <c r="D1351" s="6" t="s">
        <v>2344</v>
      </c>
      <c r="E1351" s="6" t="s">
        <v>25</v>
      </c>
      <c r="F1351" s="6" t="s">
        <v>26</v>
      </c>
      <c r="G1351" s="6" t="s">
        <v>49</v>
      </c>
      <c r="H1351" s="6" t="s">
        <v>1724</v>
      </c>
      <c r="I1351" s="6" t="str">
        <f>VLOOKUP(H1351,'Flow Location'!$A$1:$B$21,2,FALSE)</f>
        <v>Storm Sewer (not contained)</v>
      </c>
      <c r="J1351" s="20">
        <v>990.0</v>
      </c>
      <c r="K1351" s="6" t="s">
        <v>29</v>
      </c>
      <c r="L1351" s="6" t="str">
        <f>VLOOKUP(K1351,'Structure type'!$A$1:$B$15,2,FALSE)</f>
        <v>Manhole</v>
      </c>
      <c r="M1351" s="6" t="s">
        <v>56</v>
      </c>
      <c r="N1351" s="6" t="str">
        <f>VLOOKUP(M1351,'Excursion Cause'!$A$1:$B$34,2,FALSE)</f>
        <v>Rags/Wipes</v>
      </c>
      <c r="O1351" s="21">
        <v>44663.0</v>
      </c>
      <c r="P1351" s="6" t="s">
        <v>732</v>
      </c>
      <c r="Q1351" s="21">
        <v>44663.0</v>
      </c>
      <c r="R1351" s="6" t="s">
        <v>276</v>
      </c>
      <c r="S1351" s="20">
        <v>3.0</v>
      </c>
      <c r="T1351" s="6" t="s">
        <v>2345</v>
      </c>
      <c r="U1351" s="6"/>
      <c r="V1351" s="6"/>
      <c r="W1351" s="6">
        <v>29.6363578</v>
      </c>
      <c r="X1351" s="6">
        <v>-95.2396133</v>
      </c>
    </row>
    <row r="1352" ht="15.75" customHeight="1">
      <c r="A1352" s="6">
        <v>14567.0</v>
      </c>
      <c r="B1352" s="6">
        <v>2022.0</v>
      </c>
      <c r="C1352" s="6" t="str">
        <f t="shared" si="5"/>
        <v>1415 GREENS PKWY,Houston,Texas</v>
      </c>
      <c r="D1352" s="6" t="s">
        <v>2346</v>
      </c>
      <c r="E1352" s="6" t="s">
        <v>25</v>
      </c>
      <c r="F1352" s="6" t="s">
        <v>26</v>
      </c>
      <c r="G1352" s="6" t="s">
        <v>2203</v>
      </c>
      <c r="H1352" s="6" t="s">
        <v>1724</v>
      </c>
      <c r="I1352" s="6" t="str">
        <f>VLOOKUP(H1352,'Flow Location'!$A$1:$B$21,2,FALSE)</f>
        <v>Storm Sewer (not contained)</v>
      </c>
      <c r="J1352" s="20">
        <v>234.0</v>
      </c>
      <c r="K1352" s="6" t="s">
        <v>29</v>
      </c>
      <c r="L1352" s="6" t="str">
        <f>VLOOKUP(K1352,'Structure type'!$A$1:$B$15,2,FALSE)</f>
        <v>Manhole</v>
      </c>
      <c r="M1352" s="6" t="s">
        <v>2347</v>
      </c>
      <c r="N1352" s="6" t="str">
        <f>VLOOKUP(M1352,'Excursion Cause'!$A$1:$B$34,2,FALSE)</f>
        <v>Grease Blockage</v>
      </c>
      <c r="O1352" s="21">
        <v>44663.0</v>
      </c>
      <c r="P1352" s="6" t="s">
        <v>938</v>
      </c>
      <c r="Q1352" s="21">
        <v>44663.0</v>
      </c>
      <c r="R1352" s="6" t="s">
        <v>938</v>
      </c>
      <c r="S1352" s="20">
        <v>0.0</v>
      </c>
      <c r="T1352" s="6" t="s">
        <v>2348</v>
      </c>
      <c r="U1352" s="6"/>
      <c r="V1352" s="6"/>
      <c r="W1352" s="6">
        <v>29.9407439</v>
      </c>
      <c r="X1352" s="6">
        <v>-95.442674</v>
      </c>
    </row>
    <row r="1353" ht="15.75" customHeight="1">
      <c r="A1353" s="6">
        <v>14572.0</v>
      </c>
      <c r="B1353" s="6">
        <v>2022.0</v>
      </c>
      <c r="C1353" s="6" t="str">
        <f t="shared" si="5"/>
        <v>2907 DELANO ST,Houston,Texas</v>
      </c>
      <c r="D1353" s="6" t="s">
        <v>2349</v>
      </c>
      <c r="E1353" s="6" t="s">
        <v>25</v>
      </c>
      <c r="F1353" s="6" t="s">
        <v>26</v>
      </c>
      <c r="G1353" s="6" t="s">
        <v>308</v>
      </c>
      <c r="H1353" s="6" t="s">
        <v>2275</v>
      </c>
      <c r="I1353" s="6" t="str">
        <f>VLOOKUP(H1353,'Flow Location'!$A$1:$B$21,2,FALSE)</f>
        <v>Contained On Site, not within 5 ft. of Bayou/Surface Water/Drainage Ditch</v>
      </c>
      <c r="J1353" s="20">
        <v>0.0</v>
      </c>
      <c r="K1353" s="6" t="s">
        <v>45</v>
      </c>
      <c r="L1353" s="6" t="str">
        <f>VLOOKUP(K1353,'Structure type'!$A$1:$B$15,2,FALSE)</f>
        <v>City Cleanout</v>
      </c>
      <c r="M1353" s="6" t="s">
        <v>52</v>
      </c>
      <c r="N1353" s="6" t="str">
        <f>VLOOKUP(M1353,'Excursion Cause'!$A$1:$B$34,2,FALSE)</f>
        <v>Collection system structural blockage</v>
      </c>
      <c r="O1353" s="21">
        <v>44663.0</v>
      </c>
      <c r="P1353" s="6" t="s">
        <v>856</v>
      </c>
      <c r="Q1353" s="21">
        <v>44663.0</v>
      </c>
      <c r="R1353" s="6" t="s">
        <v>856</v>
      </c>
      <c r="S1353" s="20">
        <v>0.0</v>
      </c>
      <c r="T1353" s="6" t="s">
        <v>1233</v>
      </c>
      <c r="U1353" s="6"/>
      <c r="V1353" s="6"/>
      <c r="W1353" s="6">
        <v>29.7337417</v>
      </c>
      <c r="X1353" s="6">
        <v>-95.360167</v>
      </c>
    </row>
    <row r="1354" ht="15.75" customHeight="1">
      <c r="A1354" s="6">
        <v>14573.0</v>
      </c>
      <c r="B1354" s="6">
        <v>2022.0</v>
      </c>
      <c r="C1354" s="6" t="str">
        <f t="shared" si="5"/>
        <v>7637 HARWIN DR,Houston,Texas</v>
      </c>
      <c r="D1354" s="6" t="s">
        <v>2350</v>
      </c>
      <c r="E1354" s="6" t="s">
        <v>25</v>
      </c>
      <c r="F1354" s="6" t="s">
        <v>26</v>
      </c>
      <c r="G1354" s="6" t="s">
        <v>100</v>
      </c>
      <c r="H1354" s="6" t="s">
        <v>2275</v>
      </c>
      <c r="I1354" s="6" t="str">
        <f>VLOOKUP(H1354,'Flow Location'!$A$1:$B$21,2,FALSE)</f>
        <v>Contained On Site, not within 5 ft. of Bayou/Surface Water/Drainage Ditch</v>
      </c>
      <c r="J1354" s="20">
        <v>366.0</v>
      </c>
      <c r="K1354" s="6" t="s">
        <v>29</v>
      </c>
      <c r="L1354" s="6" t="str">
        <f>VLOOKUP(K1354,'Structure type'!$A$1:$B$15,2,FALSE)</f>
        <v>Manhole</v>
      </c>
      <c r="M1354" s="6" t="s">
        <v>30</v>
      </c>
      <c r="N1354" s="6" t="str">
        <f>VLOOKUP(M1354,'Excursion Cause'!$A$1:$B$34,2,FALSE)</f>
        <v>Grease Blockage</v>
      </c>
      <c r="O1354" s="21">
        <v>44663.0</v>
      </c>
      <c r="P1354" s="6" t="s">
        <v>2351</v>
      </c>
      <c r="Q1354" s="21">
        <v>44663.0</v>
      </c>
      <c r="R1354" s="6" t="s">
        <v>2352</v>
      </c>
      <c r="S1354" s="20">
        <v>1.0</v>
      </c>
      <c r="T1354" s="6" t="s">
        <v>59</v>
      </c>
      <c r="U1354" s="6"/>
      <c r="V1354" s="6"/>
      <c r="W1354" s="6">
        <v>29.7171353</v>
      </c>
      <c r="X1354" s="6">
        <v>-95.5190016</v>
      </c>
    </row>
    <row r="1355" ht="15.75" customHeight="1">
      <c r="A1355" s="6">
        <v>14575.0</v>
      </c>
      <c r="B1355" s="6">
        <v>2022.0</v>
      </c>
      <c r="C1355" s="6" t="str">
        <f t="shared" si="5"/>
        <v>5019 BRISBANE DR,Houston,Texas</v>
      </c>
      <c r="D1355" s="6" t="s">
        <v>2353</v>
      </c>
      <c r="E1355" s="6" t="s">
        <v>25</v>
      </c>
      <c r="F1355" s="6" t="s">
        <v>26</v>
      </c>
      <c r="G1355" s="6" t="s">
        <v>301</v>
      </c>
      <c r="H1355" s="6" t="s">
        <v>2275</v>
      </c>
      <c r="I1355" s="6" t="str">
        <f>VLOOKUP(H1355,'Flow Location'!$A$1:$B$21,2,FALSE)</f>
        <v>Contained On Site, not within 5 ft. of Bayou/Surface Water/Drainage Ditch</v>
      </c>
      <c r="J1355" s="20">
        <v>0.0</v>
      </c>
      <c r="K1355" s="6" t="s">
        <v>45</v>
      </c>
      <c r="L1355" s="6" t="str">
        <f>VLOOKUP(K1355,'Structure type'!$A$1:$B$15,2,FALSE)</f>
        <v>City Cleanout</v>
      </c>
      <c r="M1355" s="6" t="s">
        <v>56</v>
      </c>
      <c r="N1355" s="6" t="str">
        <f>VLOOKUP(M1355,'Excursion Cause'!$A$1:$B$34,2,FALSE)</f>
        <v>Rags/Wipes</v>
      </c>
      <c r="O1355" s="21">
        <v>44663.0</v>
      </c>
      <c r="P1355" s="6" t="s">
        <v>547</v>
      </c>
      <c r="Q1355" s="21">
        <v>44663.0</v>
      </c>
      <c r="R1355" s="6" t="s">
        <v>547</v>
      </c>
      <c r="S1355" s="20">
        <v>0.0</v>
      </c>
      <c r="T1355" s="6" t="s">
        <v>74</v>
      </c>
      <c r="U1355" s="6"/>
      <c r="V1355" s="6"/>
      <c r="W1355" s="6">
        <v>29.6379327</v>
      </c>
      <c r="X1355" s="6">
        <v>-95.3510114</v>
      </c>
    </row>
    <row r="1356" ht="15.75" customHeight="1">
      <c r="A1356" s="6">
        <v>14581.0</v>
      </c>
      <c r="B1356" s="6">
        <v>2022.0</v>
      </c>
      <c r="C1356" s="6" t="str">
        <f t="shared" si="5"/>
        <v>8902 N DEER MEADOW DR,Houston,Texas</v>
      </c>
      <c r="D1356" s="6" t="s">
        <v>2354</v>
      </c>
      <c r="E1356" s="6" t="s">
        <v>25</v>
      </c>
      <c r="F1356" s="6" t="s">
        <v>26</v>
      </c>
      <c r="G1356" s="6" t="s">
        <v>148</v>
      </c>
      <c r="H1356" s="6" t="s">
        <v>2275</v>
      </c>
      <c r="I1356" s="6" t="str">
        <f>VLOOKUP(H1356,'Flow Location'!$A$1:$B$21,2,FALSE)</f>
        <v>Contained On Site, not within 5 ft. of Bayou/Surface Water/Drainage Ditch</v>
      </c>
      <c r="J1356" s="20">
        <v>1363.0</v>
      </c>
      <c r="K1356" s="6" t="s">
        <v>29</v>
      </c>
      <c r="L1356" s="6" t="str">
        <f>VLOOKUP(K1356,'Structure type'!$A$1:$B$15,2,FALSE)</f>
        <v>Manhole</v>
      </c>
      <c r="M1356" s="6" t="s">
        <v>30</v>
      </c>
      <c r="N1356" s="6" t="str">
        <f>VLOOKUP(M1356,'Excursion Cause'!$A$1:$B$34,2,FALSE)</f>
        <v>Grease Blockage</v>
      </c>
      <c r="O1356" s="21">
        <v>44664.0</v>
      </c>
      <c r="P1356" s="6" t="s">
        <v>2355</v>
      </c>
      <c r="Q1356" s="21">
        <v>44665.0</v>
      </c>
      <c r="R1356" s="6" t="s">
        <v>503</v>
      </c>
      <c r="S1356" s="20">
        <v>1.0</v>
      </c>
      <c r="T1356" s="6" t="s">
        <v>33</v>
      </c>
      <c r="U1356" s="6"/>
      <c r="V1356" s="6"/>
      <c r="W1356" s="6">
        <v>29.6474851</v>
      </c>
      <c r="X1356" s="6">
        <v>-95.5328941</v>
      </c>
    </row>
    <row r="1357" ht="15.75" customHeight="1">
      <c r="A1357" s="6">
        <v>14589.0</v>
      </c>
      <c r="B1357" s="6">
        <v>2022.0</v>
      </c>
      <c r="C1357" s="6" t="str">
        <f t="shared" si="5"/>
        <v>7637 HARWIN DR,Houston,Texas</v>
      </c>
      <c r="D1357" s="6" t="s">
        <v>2350</v>
      </c>
      <c r="E1357" s="6" t="s">
        <v>25</v>
      </c>
      <c r="F1357" s="6" t="s">
        <v>26</v>
      </c>
      <c r="G1357" s="6" t="s">
        <v>100</v>
      </c>
      <c r="H1357" s="6" t="s">
        <v>1724</v>
      </c>
      <c r="I1357" s="6" t="str">
        <f>VLOOKUP(H1357,'Flow Location'!$A$1:$B$21,2,FALSE)</f>
        <v>Storm Sewer (not contained)</v>
      </c>
      <c r="J1357" s="20">
        <v>84.0</v>
      </c>
      <c r="K1357" s="6" t="s">
        <v>29</v>
      </c>
      <c r="L1357" s="6" t="str">
        <f>VLOOKUP(K1357,'Structure type'!$A$1:$B$15,2,FALSE)</f>
        <v>Manhole</v>
      </c>
      <c r="M1357" s="6" t="s">
        <v>2356</v>
      </c>
      <c r="N1357" s="6" t="str">
        <f>VLOOKUP(M1357,'Excursion Cause'!$A$1:$B$34,2,FALSE)</f>
        <v>Grease Blockage</v>
      </c>
      <c r="O1357" s="21">
        <v>44665.0</v>
      </c>
      <c r="P1357" s="6" t="s">
        <v>860</v>
      </c>
      <c r="Q1357" s="21">
        <v>44665.0</v>
      </c>
      <c r="R1357" s="6" t="s">
        <v>568</v>
      </c>
      <c r="S1357" s="20">
        <v>1.0</v>
      </c>
      <c r="T1357" s="6" t="s">
        <v>2357</v>
      </c>
      <c r="U1357" s="6"/>
      <c r="V1357" s="6"/>
      <c r="W1357" s="6">
        <v>29.7171353</v>
      </c>
      <c r="X1357" s="6">
        <v>-95.5190016</v>
      </c>
    </row>
    <row r="1358" ht="15.75" customHeight="1">
      <c r="A1358" s="6">
        <v>14592.0</v>
      </c>
      <c r="B1358" s="6">
        <v>2022.0</v>
      </c>
      <c r="C1358" s="6" t="str">
        <f t="shared" si="5"/>
        <v>1111 W LOOP FWY,Houston,Texas</v>
      </c>
      <c r="D1358" s="6" t="s">
        <v>2358</v>
      </c>
      <c r="E1358" s="6" t="s">
        <v>25</v>
      </c>
      <c r="F1358" s="6" t="s">
        <v>26</v>
      </c>
      <c r="G1358" s="6" t="s">
        <v>123</v>
      </c>
      <c r="H1358" s="6" t="s">
        <v>2275</v>
      </c>
      <c r="I1358" s="6" t="str">
        <f>VLOOKUP(H1358,'Flow Location'!$A$1:$B$21,2,FALSE)</f>
        <v>Contained On Site, not within 5 ft. of Bayou/Surface Water/Drainage Ditch</v>
      </c>
      <c r="J1358" s="20">
        <v>0.0</v>
      </c>
      <c r="K1358" s="6" t="s">
        <v>29</v>
      </c>
      <c r="L1358" s="6" t="str">
        <f>VLOOKUP(K1358,'Structure type'!$A$1:$B$15,2,FALSE)</f>
        <v>Manhole</v>
      </c>
      <c r="M1358" s="6" t="s">
        <v>56</v>
      </c>
      <c r="N1358" s="6" t="str">
        <f>VLOOKUP(M1358,'Excursion Cause'!$A$1:$B$34,2,FALSE)</f>
        <v>Rags/Wipes</v>
      </c>
      <c r="O1358" s="21">
        <v>44665.0</v>
      </c>
      <c r="P1358" s="6" t="s">
        <v>430</v>
      </c>
      <c r="Q1358" s="21">
        <v>44665.0</v>
      </c>
      <c r="R1358" s="6" t="s">
        <v>430</v>
      </c>
      <c r="S1358" s="20">
        <v>0.0</v>
      </c>
      <c r="T1358" s="6" t="s">
        <v>59</v>
      </c>
      <c r="U1358" s="6"/>
      <c r="V1358" s="6"/>
      <c r="W1358" s="6">
        <v>29.733646</v>
      </c>
      <c r="X1358" s="6">
        <v>-95.2668019</v>
      </c>
    </row>
    <row r="1359" ht="15.75" customHeight="1">
      <c r="A1359" s="6">
        <v>14595.0</v>
      </c>
      <c r="B1359" s="6">
        <v>2022.0</v>
      </c>
      <c r="C1359" s="6" t="str">
        <f t="shared" si="5"/>
        <v>3309 BEULAH ST,Houston,Texas</v>
      </c>
      <c r="D1359" s="6" t="s">
        <v>2359</v>
      </c>
      <c r="E1359" s="6" t="s">
        <v>25</v>
      </c>
      <c r="F1359" s="6" t="s">
        <v>26</v>
      </c>
      <c r="G1359" s="6" t="s">
        <v>308</v>
      </c>
      <c r="H1359" s="6" t="s">
        <v>2275</v>
      </c>
      <c r="I1359" s="6" t="str">
        <f>VLOOKUP(H1359,'Flow Location'!$A$1:$B$21,2,FALSE)</f>
        <v>Contained On Site, not within 5 ft. of Bayou/Surface Water/Drainage Ditch</v>
      </c>
      <c r="J1359" s="20">
        <v>97.0</v>
      </c>
      <c r="K1359" s="6" t="s">
        <v>51</v>
      </c>
      <c r="L1359" s="6" t="str">
        <f>VLOOKUP(K1359,'Structure type'!$A$1:$B$15,2,FALSE)</f>
        <v>Private Cleanout</v>
      </c>
      <c r="M1359" s="6" t="s">
        <v>30</v>
      </c>
      <c r="N1359" s="6" t="str">
        <f>VLOOKUP(M1359,'Excursion Cause'!$A$1:$B$34,2,FALSE)</f>
        <v>Grease Blockage</v>
      </c>
      <c r="O1359" s="21">
        <v>44665.0</v>
      </c>
      <c r="P1359" s="6" t="s">
        <v>1037</v>
      </c>
      <c r="Q1359" s="21">
        <v>44665.0</v>
      </c>
      <c r="R1359" s="6" t="s">
        <v>775</v>
      </c>
      <c r="S1359" s="20">
        <v>1.0</v>
      </c>
      <c r="T1359" s="6" t="s">
        <v>170</v>
      </c>
      <c r="U1359" s="6"/>
      <c r="V1359" s="6"/>
      <c r="W1359" s="6">
        <v>29.7304163</v>
      </c>
      <c r="X1359" s="6">
        <v>-95.3550011</v>
      </c>
    </row>
    <row r="1360" ht="15.75" customHeight="1">
      <c r="A1360" s="6">
        <v>14602.0</v>
      </c>
      <c r="B1360" s="6">
        <v>2022.0</v>
      </c>
      <c r="C1360" s="6" t="str">
        <f t="shared" si="5"/>
        <v>13825 STANCLIFF ST,Houston,Texas</v>
      </c>
      <c r="D1360" s="6" t="s">
        <v>2360</v>
      </c>
      <c r="E1360" s="6" t="s">
        <v>25</v>
      </c>
      <c r="F1360" s="6" t="s">
        <v>26</v>
      </c>
      <c r="G1360" s="6" t="s">
        <v>39</v>
      </c>
      <c r="H1360" s="6" t="s">
        <v>1724</v>
      </c>
      <c r="I1360" s="6" t="str">
        <f>VLOOKUP(H1360,'Flow Location'!$A$1:$B$21,2,FALSE)</f>
        <v>Storm Sewer (not contained)</v>
      </c>
      <c r="J1360" s="20">
        <v>472.0</v>
      </c>
      <c r="K1360" s="6" t="s">
        <v>29</v>
      </c>
      <c r="L1360" s="6" t="str">
        <f>VLOOKUP(K1360,'Structure type'!$A$1:$B$15,2,FALSE)</f>
        <v>Manhole</v>
      </c>
      <c r="M1360" s="6" t="s">
        <v>2361</v>
      </c>
      <c r="N1360" s="6" t="str">
        <f>VLOOKUP(M1360,'Excursion Cause'!$A$1:$B$34,2,FALSE)</f>
        <v>Grease Blockage</v>
      </c>
      <c r="O1360" s="21">
        <v>44666.0</v>
      </c>
      <c r="P1360" s="6" t="s">
        <v>817</v>
      </c>
      <c r="Q1360" s="21">
        <v>44666.0</v>
      </c>
      <c r="R1360" s="6" t="s">
        <v>2362</v>
      </c>
      <c r="S1360" s="20">
        <v>2.0</v>
      </c>
      <c r="T1360" s="6" t="s">
        <v>2363</v>
      </c>
      <c r="U1360" s="6"/>
      <c r="V1360" s="6"/>
      <c r="W1360" s="6">
        <v>29.6262639</v>
      </c>
      <c r="X1360" s="6">
        <v>-95.4536821</v>
      </c>
    </row>
    <row r="1361" ht="15.75" customHeight="1">
      <c r="A1361" s="6">
        <v>14603.0</v>
      </c>
      <c r="B1361" s="6">
        <v>2022.0</v>
      </c>
      <c r="C1361" s="6" t="str">
        <f t="shared" si="5"/>
        <v>4139 TROUT ST,Houston,Texas</v>
      </c>
      <c r="D1361" s="6" t="s">
        <v>2364</v>
      </c>
      <c r="E1361" s="6" t="s">
        <v>25</v>
      </c>
      <c r="F1361" s="6" t="s">
        <v>26</v>
      </c>
      <c r="G1361" s="6" t="s">
        <v>109</v>
      </c>
      <c r="H1361" s="6" t="s">
        <v>1397</v>
      </c>
      <c r="I1361" s="6" t="str">
        <f>VLOOKUP(H1361,'Flow Location'!$A$1:$B$21,2,FALSE)</f>
        <v>Bayou/surface water/drainage ditch</v>
      </c>
      <c r="J1361" s="20">
        <v>0.0</v>
      </c>
      <c r="K1361" s="6" t="s">
        <v>45</v>
      </c>
      <c r="L1361" s="6" t="str">
        <f>VLOOKUP(K1361,'Structure type'!$A$1:$B$15,2,FALSE)</f>
        <v>City Cleanout</v>
      </c>
      <c r="M1361" s="6" t="s">
        <v>2365</v>
      </c>
      <c r="N1361" s="6" t="str">
        <f>VLOOKUP(M1361,'Excursion Cause'!$A$1:$B$34,2,FALSE)</f>
        <v>Collection system structural failure</v>
      </c>
      <c r="O1361" s="21">
        <v>44666.0</v>
      </c>
      <c r="P1361" s="6" t="s">
        <v>403</v>
      </c>
      <c r="Q1361" s="21">
        <v>44666.0</v>
      </c>
      <c r="R1361" s="6" t="s">
        <v>403</v>
      </c>
      <c r="S1361" s="20">
        <v>0.0</v>
      </c>
      <c r="T1361" s="6" t="s">
        <v>107</v>
      </c>
      <c r="U1361" s="6"/>
      <c r="V1361" s="6"/>
      <c r="W1361" s="6">
        <v>29.8525209</v>
      </c>
      <c r="X1361" s="6">
        <v>-95.3246963</v>
      </c>
    </row>
    <row r="1362" ht="15.75" customHeight="1">
      <c r="A1362" s="6">
        <v>14605.0</v>
      </c>
      <c r="B1362" s="6">
        <v>2022.0</v>
      </c>
      <c r="C1362" s="6" t="str">
        <f t="shared" si="5"/>
        <v>4530 KINGSBURY ST,Houston,Texas</v>
      </c>
      <c r="D1362" s="6" t="s">
        <v>2366</v>
      </c>
      <c r="E1362" s="6" t="s">
        <v>25</v>
      </c>
      <c r="F1362" s="6" t="s">
        <v>26</v>
      </c>
      <c r="G1362" s="6" t="s">
        <v>238</v>
      </c>
      <c r="H1362" s="6" t="s">
        <v>2275</v>
      </c>
      <c r="I1362" s="6" t="str">
        <f>VLOOKUP(H1362,'Flow Location'!$A$1:$B$21,2,FALSE)</f>
        <v>Contained On Site, not within 5 ft. of Bayou/Surface Water/Drainage Ditch</v>
      </c>
      <c r="J1362" s="20">
        <v>0.0</v>
      </c>
      <c r="K1362" s="6" t="s">
        <v>29</v>
      </c>
      <c r="L1362" s="6" t="str">
        <f>VLOOKUP(K1362,'Structure type'!$A$1:$B$15,2,FALSE)</f>
        <v>Manhole</v>
      </c>
      <c r="M1362" s="6" t="s">
        <v>56</v>
      </c>
      <c r="N1362" s="6" t="str">
        <f>VLOOKUP(M1362,'Excursion Cause'!$A$1:$B$34,2,FALSE)</f>
        <v>Rags/Wipes</v>
      </c>
      <c r="O1362" s="21">
        <v>44666.0</v>
      </c>
      <c r="P1362" s="6" t="s">
        <v>580</v>
      </c>
      <c r="Q1362" s="21">
        <v>44666.0</v>
      </c>
      <c r="R1362" s="6" t="s">
        <v>580</v>
      </c>
      <c r="S1362" s="20">
        <v>0.0</v>
      </c>
      <c r="T1362" s="6" t="s">
        <v>33</v>
      </c>
      <c r="U1362" s="6"/>
      <c r="V1362" s="6"/>
      <c r="W1362" s="6">
        <v>29.6973896</v>
      </c>
      <c r="X1362" s="6">
        <v>-95.3472854</v>
      </c>
    </row>
    <row r="1363" ht="15.75" customHeight="1">
      <c r="A1363" s="6">
        <v>14607.0</v>
      </c>
      <c r="B1363" s="6">
        <v>2022.0</v>
      </c>
      <c r="C1363" s="6" t="str">
        <f t="shared" si="5"/>
        <v>11203 PEMBRIDGE DR,Houston,Texas</v>
      </c>
      <c r="D1363" s="6" t="s">
        <v>2367</v>
      </c>
      <c r="E1363" s="6" t="s">
        <v>25</v>
      </c>
      <c r="F1363" s="6" t="s">
        <v>26</v>
      </c>
      <c r="G1363" s="6" t="s">
        <v>148</v>
      </c>
      <c r="H1363" s="6" t="s">
        <v>2275</v>
      </c>
      <c r="I1363" s="6" t="str">
        <f>VLOOKUP(H1363,'Flow Location'!$A$1:$B$21,2,FALSE)</f>
        <v>Contained On Site, not within 5 ft. of Bayou/Surface Water/Drainage Ditch</v>
      </c>
      <c r="J1363" s="20">
        <v>1926.0</v>
      </c>
      <c r="K1363" s="6" t="s">
        <v>29</v>
      </c>
      <c r="L1363" s="6" t="str">
        <f>VLOOKUP(K1363,'Structure type'!$A$1:$B$15,2,FALSE)</f>
        <v>Manhole</v>
      </c>
      <c r="M1363" s="6" t="s">
        <v>30</v>
      </c>
      <c r="N1363" s="6" t="str">
        <f>VLOOKUP(M1363,'Excursion Cause'!$A$1:$B$34,2,FALSE)</f>
        <v>Grease Blockage</v>
      </c>
      <c r="O1363" s="21">
        <v>44666.0</v>
      </c>
      <c r="P1363" s="6" t="s">
        <v>2201</v>
      </c>
      <c r="Q1363" s="21">
        <v>44667.0</v>
      </c>
      <c r="R1363" s="6" t="s">
        <v>617</v>
      </c>
      <c r="S1363" s="20">
        <v>2.0</v>
      </c>
      <c r="T1363" s="6" t="s">
        <v>59</v>
      </c>
      <c r="U1363" s="6"/>
      <c r="V1363" s="6"/>
      <c r="W1363" s="6">
        <v>29.6568309</v>
      </c>
      <c r="X1363" s="6">
        <v>-95.5165849</v>
      </c>
    </row>
    <row r="1364" ht="15.75" customHeight="1">
      <c r="A1364" s="6">
        <v>47180.0</v>
      </c>
      <c r="B1364" s="6">
        <v>2022.0</v>
      </c>
      <c r="C1364" s="6" t="str">
        <f t="shared" si="5"/>
        <v>7114 DIXIE DR,Houston,Texas</v>
      </c>
      <c r="D1364" s="6" t="s">
        <v>2368</v>
      </c>
      <c r="E1364" s="6" t="s">
        <v>25</v>
      </c>
      <c r="F1364" s="6" t="s">
        <v>26</v>
      </c>
      <c r="G1364" s="6" t="s">
        <v>35</v>
      </c>
      <c r="H1364" s="6" t="s">
        <v>2275</v>
      </c>
      <c r="I1364" s="6" t="str">
        <f>VLOOKUP(H1364,'Flow Location'!$A$1:$B$21,2,FALSE)</f>
        <v>Contained On Site, not within 5 ft. of Bayou/Surface Water/Drainage Ditch</v>
      </c>
      <c r="J1364" s="20">
        <v>297.0</v>
      </c>
      <c r="K1364" s="6" t="s">
        <v>45</v>
      </c>
      <c r="L1364" s="6" t="str">
        <f>VLOOKUP(K1364,'Structure type'!$A$1:$B$15,2,FALSE)</f>
        <v>City Cleanout</v>
      </c>
      <c r="M1364" s="6" t="s">
        <v>30</v>
      </c>
      <c r="N1364" s="6" t="str">
        <f>VLOOKUP(M1364,'Excursion Cause'!$A$1:$B$34,2,FALSE)</f>
        <v>Grease Blockage</v>
      </c>
      <c r="O1364" s="21">
        <v>44667.0</v>
      </c>
      <c r="P1364" s="6" t="s">
        <v>919</v>
      </c>
      <c r="Q1364" s="21">
        <v>44667.0</v>
      </c>
      <c r="R1364" s="6" t="s">
        <v>791</v>
      </c>
      <c r="S1364" s="20">
        <v>1.0</v>
      </c>
      <c r="T1364" s="6" t="s">
        <v>74</v>
      </c>
      <c r="U1364" s="6"/>
      <c r="V1364" s="6"/>
      <c r="W1364" s="6">
        <v>29.6805094</v>
      </c>
      <c r="X1364" s="6">
        <v>-95.3040428</v>
      </c>
    </row>
    <row r="1365" ht="15.75" customHeight="1">
      <c r="A1365" s="6">
        <v>47181.0</v>
      </c>
      <c r="B1365" s="6">
        <v>2022.0</v>
      </c>
      <c r="C1365" s="6" t="str">
        <f t="shared" si="5"/>
        <v>9235 WESTHEIMER RD,Houston,Texas</v>
      </c>
      <c r="D1365" s="6" t="s">
        <v>2369</v>
      </c>
      <c r="E1365" s="6" t="s">
        <v>25</v>
      </c>
      <c r="F1365" s="6" t="s">
        <v>26</v>
      </c>
      <c r="G1365" s="6" t="s">
        <v>482</v>
      </c>
      <c r="H1365" s="6" t="s">
        <v>1724</v>
      </c>
      <c r="I1365" s="6" t="str">
        <f>VLOOKUP(H1365,'Flow Location'!$A$1:$B$21,2,FALSE)</f>
        <v>Storm Sewer (not contained)</v>
      </c>
      <c r="J1365" s="20">
        <v>366.0</v>
      </c>
      <c r="K1365" s="6" t="s">
        <v>29</v>
      </c>
      <c r="L1365" s="6" t="str">
        <f>VLOOKUP(K1365,'Structure type'!$A$1:$B$15,2,FALSE)</f>
        <v>Manhole</v>
      </c>
      <c r="M1365" s="6" t="s">
        <v>2370</v>
      </c>
      <c r="N1365" s="6" t="str">
        <f>VLOOKUP(M1365,'Excursion Cause'!$A$1:$B$34,2,FALSE)</f>
        <v>Grease Blockage</v>
      </c>
      <c r="O1365" s="21">
        <v>44667.0</v>
      </c>
      <c r="P1365" s="6" t="s">
        <v>610</v>
      </c>
      <c r="Q1365" s="21">
        <v>44667.0</v>
      </c>
      <c r="R1365" s="6" t="s">
        <v>606</v>
      </c>
      <c r="S1365" s="20">
        <v>1.0</v>
      </c>
      <c r="T1365" s="6" t="s">
        <v>2371</v>
      </c>
      <c r="U1365" s="6"/>
      <c r="V1365" s="6"/>
      <c r="W1365" s="6">
        <v>29.7363474</v>
      </c>
      <c r="X1365" s="6">
        <v>-95.5275204</v>
      </c>
    </row>
    <row r="1366" ht="15.75" customHeight="1">
      <c r="A1366" s="6">
        <v>47184.0</v>
      </c>
      <c r="B1366" s="6">
        <v>2022.0</v>
      </c>
      <c r="C1366" s="6" t="str">
        <f t="shared" si="5"/>
        <v>4114 CAPLIN ST,Houston,Texas</v>
      </c>
      <c r="D1366" s="6" t="s">
        <v>2372</v>
      </c>
      <c r="E1366" s="6" t="s">
        <v>25</v>
      </c>
      <c r="F1366" s="6" t="s">
        <v>26</v>
      </c>
      <c r="G1366" s="6" t="s">
        <v>43</v>
      </c>
      <c r="H1366" s="6" t="s">
        <v>1977</v>
      </c>
      <c r="I1366" s="6" t="str">
        <f>VLOOKUP(H1366,'Flow Location'!$A$1:$B$21,2,FALSE)</f>
        <v>Bayou/surface water/drainage ditch</v>
      </c>
      <c r="J1366" s="20">
        <v>0.0</v>
      </c>
      <c r="K1366" s="6" t="s">
        <v>45</v>
      </c>
      <c r="L1366" s="6" t="str">
        <f>VLOOKUP(K1366,'Structure type'!$A$1:$B$15,2,FALSE)</f>
        <v>City Cleanout</v>
      </c>
      <c r="M1366" s="6" t="s">
        <v>56</v>
      </c>
      <c r="N1366" s="6" t="str">
        <f>VLOOKUP(M1366,'Excursion Cause'!$A$1:$B$34,2,FALSE)</f>
        <v>Rags/Wipes</v>
      </c>
      <c r="O1366" s="21">
        <v>44667.0</v>
      </c>
      <c r="P1366" s="6" t="s">
        <v>117</v>
      </c>
      <c r="Q1366" s="21">
        <v>44667.0</v>
      </c>
      <c r="R1366" s="6" t="s">
        <v>117</v>
      </c>
      <c r="S1366" s="20">
        <v>0.0</v>
      </c>
      <c r="T1366" s="6" t="s">
        <v>270</v>
      </c>
      <c r="U1366" s="6"/>
      <c r="V1366" s="6"/>
      <c r="W1366" s="6">
        <v>29.8157547</v>
      </c>
      <c r="X1366" s="6">
        <v>-95.3298914</v>
      </c>
    </row>
    <row r="1367" ht="15.75" customHeight="1">
      <c r="A1367" s="6">
        <v>47185.0</v>
      </c>
      <c r="B1367" s="6">
        <v>2022.0</v>
      </c>
      <c r="C1367" s="6" t="str">
        <f t="shared" si="5"/>
        <v>8225 HOUSTON RD,Houston,Texas</v>
      </c>
      <c r="D1367" s="6" t="s">
        <v>2373</v>
      </c>
      <c r="E1367" s="6" t="s">
        <v>25</v>
      </c>
      <c r="F1367" s="6" t="s">
        <v>26</v>
      </c>
      <c r="G1367" s="6" t="s">
        <v>177</v>
      </c>
      <c r="H1367" s="6" t="s">
        <v>50</v>
      </c>
      <c r="I1367" s="6" t="str">
        <f>VLOOKUP(H1367,'Flow Location'!$A$1:$B$21,2,FALSE)</f>
        <v>Contained On Site, not within 5 ft. of Bayou/Surface Water/Drainage Ditch</v>
      </c>
      <c r="J1367" s="20">
        <v>0.0</v>
      </c>
      <c r="K1367" s="6" t="s">
        <v>45</v>
      </c>
      <c r="L1367" s="6" t="str">
        <f>VLOOKUP(K1367,'Structure type'!$A$1:$B$15,2,FALSE)</f>
        <v>City Cleanout</v>
      </c>
      <c r="M1367" s="6" t="s">
        <v>52</v>
      </c>
      <c r="N1367" s="6" t="str">
        <f>VLOOKUP(M1367,'Excursion Cause'!$A$1:$B$34,2,FALSE)</f>
        <v>Collection system structural blockage</v>
      </c>
      <c r="O1367" s="21">
        <v>44667.0</v>
      </c>
      <c r="P1367" s="6" t="s">
        <v>212</v>
      </c>
      <c r="Q1367" s="21">
        <v>44667.0</v>
      </c>
      <c r="R1367" s="6" t="s">
        <v>212</v>
      </c>
      <c r="S1367" s="20">
        <v>0.0</v>
      </c>
      <c r="T1367" s="6" t="s">
        <v>84</v>
      </c>
      <c r="U1367" s="6"/>
      <c r="V1367" s="6"/>
      <c r="W1367" s="6">
        <v>29.8371414</v>
      </c>
      <c r="X1367" s="6">
        <v>-95.2638383</v>
      </c>
    </row>
    <row r="1368" ht="15.75" customHeight="1">
      <c r="A1368" s="6">
        <v>47188.0</v>
      </c>
      <c r="B1368" s="6">
        <v>2022.0</v>
      </c>
      <c r="C1368" s="6" t="str">
        <f t="shared" si="5"/>
        <v>2313 FOUNTAIN VIEW DR,Houston,Texas</v>
      </c>
      <c r="D1368" s="6" t="s">
        <v>2374</v>
      </c>
      <c r="E1368" s="6" t="s">
        <v>25</v>
      </c>
      <c r="F1368" s="6" t="s">
        <v>26</v>
      </c>
      <c r="G1368" s="6" t="s">
        <v>689</v>
      </c>
      <c r="H1368" s="6" t="s">
        <v>50</v>
      </c>
      <c r="I1368" s="6" t="str">
        <f>VLOOKUP(H1368,'Flow Location'!$A$1:$B$21,2,FALSE)</f>
        <v>Contained On Site, not within 5 ft. of Bayou/Surface Water/Drainage Ditch</v>
      </c>
      <c r="J1368" s="20">
        <v>0.0</v>
      </c>
      <c r="K1368" s="6" t="s">
        <v>29</v>
      </c>
      <c r="L1368" s="6" t="str">
        <f>VLOOKUP(K1368,'Structure type'!$A$1:$B$15,2,FALSE)</f>
        <v>Manhole</v>
      </c>
      <c r="M1368" s="6" t="s">
        <v>30</v>
      </c>
      <c r="N1368" s="6" t="str">
        <f>VLOOKUP(M1368,'Excursion Cause'!$A$1:$B$34,2,FALSE)</f>
        <v>Grease Blockage</v>
      </c>
      <c r="O1368" s="21">
        <v>44668.0</v>
      </c>
      <c r="P1368" s="6" t="s">
        <v>1043</v>
      </c>
      <c r="Q1368" s="21">
        <v>44668.0</v>
      </c>
      <c r="R1368" s="6" t="s">
        <v>1043</v>
      </c>
      <c r="S1368" s="20">
        <v>0.0</v>
      </c>
      <c r="T1368" s="6" t="s">
        <v>33</v>
      </c>
      <c r="U1368" s="6"/>
      <c r="V1368" s="6"/>
      <c r="W1368" s="6">
        <v>29.7446121</v>
      </c>
      <c r="X1368" s="6">
        <v>-95.4861786</v>
      </c>
    </row>
    <row r="1369" ht="15.75" customHeight="1">
      <c r="A1369" s="6">
        <v>47194.0</v>
      </c>
      <c r="B1369" s="6">
        <v>2022.0</v>
      </c>
      <c r="C1369" s="6" t="str">
        <f t="shared" si="5"/>
        <v>2933 KIRK ST,Houston,Texas</v>
      </c>
      <c r="D1369" s="6" t="s">
        <v>2375</v>
      </c>
      <c r="E1369" s="6" t="s">
        <v>25</v>
      </c>
      <c r="F1369" s="6" t="s">
        <v>26</v>
      </c>
      <c r="G1369" s="6" t="s">
        <v>43</v>
      </c>
      <c r="H1369" s="6" t="s">
        <v>2275</v>
      </c>
      <c r="I1369" s="6" t="str">
        <f>VLOOKUP(H1369,'Flow Location'!$A$1:$B$21,2,FALSE)</f>
        <v>Contained On Site, not within 5 ft. of Bayou/Surface Water/Drainage Ditch</v>
      </c>
      <c r="J1369" s="20">
        <v>0.0</v>
      </c>
      <c r="K1369" s="6" t="s">
        <v>45</v>
      </c>
      <c r="L1369" s="6" t="str">
        <f>VLOOKUP(K1369,'Structure type'!$A$1:$B$15,2,FALSE)</f>
        <v>City Cleanout</v>
      </c>
      <c r="M1369" s="6" t="s">
        <v>2376</v>
      </c>
      <c r="N1369" s="6" t="str">
        <f>VLOOKUP(M1369,'Excursion Cause'!$A$1:$B$34,2,FALSE)</f>
        <v>Collection system temporary blockage</v>
      </c>
      <c r="O1369" s="21">
        <v>44669.0</v>
      </c>
      <c r="P1369" s="6" t="s">
        <v>1232</v>
      </c>
      <c r="Q1369" s="21">
        <v>44669.0</v>
      </c>
      <c r="R1369" s="6" t="s">
        <v>1232</v>
      </c>
      <c r="S1369" s="20">
        <v>0.0</v>
      </c>
      <c r="T1369" s="6" t="s">
        <v>89</v>
      </c>
      <c r="U1369" s="6"/>
      <c r="V1369" s="6"/>
      <c r="W1369" s="6">
        <v>29.7879341</v>
      </c>
      <c r="X1369" s="6">
        <v>-95.3268142</v>
      </c>
    </row>
    <row r="1370" ht="15.75" customHeight="1">
      <c r="A1370" s="6">
        <v>47195.0</v>
      </c>
      <c r="B1370" s="6">
        <v>2022.0</v>
      </c>
      <c r="C1370" s="6" t="str">
        <f t="shared" si="5"/>
        <v>8903 FONDREN VILLAGE DR,Houston,Texas</v>
      </c>
      <c r="D1370" s="6" t="s">
        <v>2377</v>
      </c>
      <c r="E1370" s="6" t="s">
        <v>25</v>
      </c>
      <c r="F1370" s="6" t="s">
        <v>26</v>
      </c>
      <c r="G1370" s="6" t="s">
        <v>148</v>
      </c>
      <c r="H1370" s="6" t="s">
        <v>1724</v>
      </c>
      <c r="I1370" s="6" t="str">
        <f>VLOOKUP(H1370,'Flow Location'!$A$1:$B$21,2,FALSE)</f>
        <v>Storm Sewer (not contained)</v>
      </c>
      <c r="J1370" s="20">
        <v>850.0</v>
      </c>
      <c r="K1370" s="6" t="s">
        <v>29</v>
      </c>
      <c r="L1370" s="6" t="str">
        <f>VLOOKUP(K1370,'Structure type'!$A$1:$B$15,2,FALSE)</f>
        <v>Manhole</v>
      </c>
      <c r="M1370" s="6" t="s">
        <v>2378</v>
      </c>
      <c r="N1370" s="6" t="str">
        <f>VLOOKUP(M1370,'Excursion Cause'!$A$1:$B$34,2,FALSE)</f>
        <v>Grease Blockage</v>
      </c>
      <c r="O1370" s="21">
        <v>44669.0</v>
      </c>
      <c r="P1370" s="6" t="s">
        <v>152</v>
      </c>
      <c r="Q1370" s="21">
        <v>44669.0</v>
      </c>
      <c r="R1370" s="6" t="s">
        <v>1827</v>
      </c>
      <c r="S1370" s="20">
        <v>5.0</v>
      </c>
      <c r="T1370" s="6" t="s">
        <v>2379</v>
      </c>
      <c r="U1370" s="6"/>
      <c r="V1370" s="6"/>
      <c r="W1370" s="6">
        <v>29.6455457</v>
      </c>
      <c r="X1370" s="6">
        <v>-95.5334085</v>
      </c>
    </row>
    <row r="1371" ht="15.75" customHeight="1">
      <c r="A1371" s="6">
        <v>47196.0</v>
      </c>
      <c r="B1371" s="6">
        <v>2022.0</v>
      </c>
      <c r="C1371" s="6" t="str">
        <f t="shared" si="5"/>
        <v>9003 ALTAMONT DR,Houston,Texas</v>
      </c>
      <c r="D1371" s="6" t="s">
        <v>2380</v>
      </c>
      <c r="E1371" s="6" t="s">
        <v>25</v>
      </c>
      <c r="F1371" s="6" t="s">
        <v>26</v>
      </c>
      <c r="G1371" s="6" t="s">
        <v>471</v>
      </c>
      <c r="H1371" s="6" t="s">
        <v>2275</v>
      </c>
      <c r="I1371" s="6" t="str">
        <f>VLOOKUP(H1371,'Flow Location'!$A$1:$B$21,2,FALSE)</f>
        <v>Contained On Site, not within 5 ft. of Bayou/Surface Water/Drainage Ditch</v>
      </c>
      <c r="J1371" s="20">
        <v>0.0</v>
      </c>
      <c r="K1371" s="6" t="s">
        <v>29</v>
      </c>
      <c r="L1371" s="6" t="str">
        <f>VLOOKUP(K1371,'Structure type'!$A$1:$B$15,2,FALSE)</f>
        <v>Manhole</v>
      </c>
      <c r="M1371" s="6" t="s">
        <v>30</v>
      </c>
      <c r="N1371" s="6" t="str">
        <f>VLOOKUP(M1371,'Excursion Cause'!$A$1:$B$34,2,FALSE)</f>
        <v>Grease Blockage</v>
      </c>
      <c r="O1371" s="21">
        <v>44669.0</v>
      </c>
      <c r="P1371" s="6" t="s">
        <v>1099</v>
      </c>
      <c r="Q1371" s="21">
        <v>44669.0</v>
      </c>
      <c r="R1371" s="6" t="s">
        <v>1099</v>
      </c>
      <c r="S1371" s="20">
        <v>0.0</v>
      </c>
      <c r="T1371" s="6" t="s">
        <v>59</v>
      </c>
      <c r="U1371" s="6"/>
      <c r="V1371" s="6"/>
      <c r="W1371" s="6">
        <v>29.6777251</v>
      </c>
      <c r="X1371" s="6">
        <v>-95.5353013</v>
      </c>
    </row>
    <row r="1372" ht="15.75" customHeight="1">
      <c r="A1372" s="6">
        <v>47203.0</v>
      </c>
      <c r="B1372" s="6">
        <v>2022.0</v>
      </c>
      <c r="C1372" s="6" t="str">
        <f t="shared" si="5"/>
        <v>3915 LAMAR ST,Houston,Texas</v>
      </c>
      <c r="D1372" s="6" t="s">
        <v>2381</v>
      </c>
      <c r="E1372" s="6" t="s">
        <v>25</v>
      </c>
      <c r="F1372" s="6" t="s">
        <v>26</v>
      </c>
      <c r="G1372" s="6" t="s">
        <v>141</v>
      </c>
      <c r="H1372" s="6" t="s">
        <v>2275</v>
      </c>
      <c r="I1372" s="6" t="str">
        <f>VLOOKUP(H1372,'Flow Location'!$A$1:$B$21,2,FALSE)</f>
        <v>Contained On Site, not within 5 ft. of Bayou/Surface Water/Drainage Ditch</v>
      </c>
      <c r="J1372" s="20">
        <v>0.0</v>
      </c>
      <c r="K1372" s="6" t="s">
        <v>198</v>
      </c>
      <c r="L1372" s="6" t="str">
        <f>VLOOKUP(K1372,'Structure type'!$A$1:$B$15,2,FALSE)</f>
        <v>Service Lateral</v>
      </c>
      <c r="M1372" s="6" t="s">
        <v>2382</v>
      </c>
      <c r="N1372" s="6" t="str">
        <f>VLOOKUP(M1372,'Excursion Cause'!$A$1:$B$34,2,FALSE)</f>
        <v>Collection system structural failure</v>
      </c>
      <c r="O1372" s="21">
        <v>44669.0</v>
      </c>
      <c r="P1372" s="6" t="s">
        <v>486</v>
      </c>
      <c r="Q1372" s="21">
        <v>44669.0</v>
      </c>
      <c r="R1372" s="6" t="s">
        <v>486</v>
      </c>
      <c r="S1372" s="20">
        <v>0.0</v>
      </c>
      <c r="T1372" s="6" t="s">
        <v>118</v>
      </c>
      <c r="U1372" s="6"/>
      <c r="V1372" s="6"/>
      <c r="W1372" s="6">
        <v>29.742547</v>
      </c>
      <c r="X1372" s="6">
        <v>-95.339521</v>
      </c>
    </row>
    <row r="1373" ht="15.75" customHeight="1">
      <c r="A1373" s="6">
        <v>47205.0</v>
      </c>
      <c r="B1373" s="6">
        <v>2022.0</v>
      </c>
      <c r="C1373" s="6" t="str">
        <f t="shared" si="5"/>
        <v>4108 DENMARK ST,Houston,Texas</v>
      </c>
      <c r="D1373" s="6" t="s">
        <v>2383</v>
      </c>
      <c r="E1373" s="6" t="s">
        <v>25</v>
      </c>
      <c r="F1373" s="6" t="s">
        <v>26</v>
      </c>
      <c r="G1373" s="6" t="s">
        <v>326</v>
      </c>
      <c r="H1373" s="6" t="s">
        <v>1397</v>
      </c>
      <c r="I1373" s="6" t="str">
        <f>VLOOKUP(H1373,'Flow Location'!$A$1:$B$21,2,FALSE)</f>
        <v>Bayou/surface water/drainage ditch</v>
      </c>
      <c r="J1373" s="20">
        <v>0.0</v>
      </c>
      <c r="K1373" s="6" t="s">
        <v>45</v>
      </c>
      <c r="L1373" s="6" t="str">
        <f>VLOOKUP(K1373,'Structure type'!$A$1:$B$15,2,FALSE)</f>
        <v>City Cleanout</v>
      </c>
      <c r="M1373" s="6" t="s">
        <v>2384</v>
      </c>
      <c r="N1373" s="6" t="str">
        <f>VLOOKUP(M1373,'Excursion Cause'!$A$1:$B$34,2,FALSE)</f>
        <v>Collection system structural blockage</v>
      </c>
      <c r="O1373" s="21">
        <v>44669.0</v>
      </c>
      <c r="P1373" s="6" t="s">
        <v>335</v>
      </c>
      <c r="Q1373" s="21">
        <v>44669.0</v>
      </c>
      <c r="R1373" s="6" t="s">
        <v>335</v>
      </c>
      <c r="S1373" s="20">
        <v>0.0</v>
      </c>
      <c r="T1373" s="6" t="s">
        <v>107</v>
      </c>
      <c r="U1373" s="6"/>
      <c r="V1373" s="6"/>
      <c r="W1373" s="6">
        <v>29.8269814</v>
      </c>
      <c r="X1373" s="6">
        <v>-95.3299824</v>
      </c>
    </row>
    <row r="1374" ht="15.75" customHeight="1">
      <c r="A1374" s="6">
        <v>47207.0</v>
      </c>
      <c r="B1374" s="6">
        <v>2022.0</v>
      </c>
      <c r="C1374" s="6" t="str">
        <f t="shared" si="5"/>
        <v>402 HIGHRIDGE ST,Houston,Texas</v>
      </c>
      <c r="D1374" s="6" t="s">
        <v>2385</v>
      </c>
      <c r="E1374" s="6" t="s">
        <v>25</v>
      </c>
      <c r="F1374" s="6" t="s">
        <v>26</v>
      </c>
      <c r="G1374" s="6" t="s">
        <v>656</v>
      </c>
      <c r="H1374" s="6" t="s">
        <v>2304</v>
      </c>
      <c r="I1374" s="6" t="str">
        <f>VLOOKUP(H1374,'Flow Location'!$A$1:$B$21,2,FALSE)</f>
        <v>Bayou/surface water/drainage ditch</v>
      </c>
      <c r="J1374" s="20">
        <v>189.0</v>
      </c>
      <c r="K1374" s="6" t="s">
        <v>290</v>
      </c>
      <c r="L1374" s="6" t="str">
        <f>VLOOKUP(K1374,'Structure type'!$A$1:$B$15,2,FALSE)</f>
        <v>Gravity Main</v>
      </c>
      <c r="M1374" s="6" t="s">
        <v>30</v>
      </c>
      <c r="N1374" s="6" t="str">
        <f>VLOOKUP(M1374,'Excursion Cause'!$A$1:$B$34,2,FALSE)</f>
        <v>Grease Blockage</v>
      </c>
      <c r="O1374" s="21">
        <v>44669.0</v>
      </c>
      <c r="P1374" s="6" t="s">
        <v>245</v>
      </c>
      <c r="Q1374" s="21">
        <v>44669.0</v>
      </c>
      <c r="R1374" s="6" t="s">
        <v>2386</v>
      </c>
      <c r="S1374" s="20">
        <v>1.0</v>
      </c>
      <c r="T1374" s="6" t="s">
        <v>33</v>
      </c>
      <c r="U1374" s="6"/>
      <c r="V1374" s="6"/>
      <c r="W1374" s="6">
        <v>29.79201</v>
      </c>
      <c r="X1374" s="6">
        <v>-95.208964</v>
      </c>
    </row>
    <row r="1375" ht="15.75" customHeight="1">
      <c r="A1375" s="6">
        <v>47210.0</v>
      </c>
      <c r="B1375" s="6">
        <v>2022.0</v>
      </c>
      <c r="C1375" s="6" t="str">
        <f t="shared" si="5"/>
        <v>8607 QUAIL HILLS DR,Houston,Texas</v>
      </c>
      <c r="D1375" s="6" t="s">
        <v>2387</v>
      </c>
      <c r="E1375" s="6" t="s">
        <v>25</v>
      </c>
      <c r="F1375" s="6" t="s">
        <v>26</v>
      </c>
      <c r="G1375" s="6" t="s">
        <v>166</v>
      </c>
      <c r="H1375" s="6" t="s">
        <v>2275</v>
      </c>
      <c r="I1375" s="6" t="str">
        <f>VLOOKUP(H1375,'Flow Location'!$A$1:$B$21,2,FALSE)</f>
        <v>Contained On Site, not within 5 ft. of Bayou/Surface Water/Drainage Ditch</v>
      </c>
      <c r="J1375" s="20">
        <v>513.0</v>
      </c>
      <c r="K1375" s="6" t="s">
        <v>290</v>
      </c>
      <c r="L1375" s="6" t="str">
        <f>VLOOKUP(K1375,'Structure type'!$A$1:$B$15,2,FALSE)</f>
        <v>Gravity Main</v>
      </c>
      <c r="M1375" s="6" t="s">
        <v>52</v>
      </c>
      <c r="N1375" s="6" t="str">
        <f>VLOOKUP(M1375,'Excursion Cause'!$A$1:$B$34,2,FALSE)</f>
        <v>Collection system structural blockage</v>
      </c>
      <c r="O1375" s="21">
        <v>44669.0</v>
      </c>
      <c r="P1375" s="6" t="s">
        <v>360</v>
      </c>
      <c r="Q1375" s="21">
        <v>44669.0</v>
      </c>
      <c r="R1375" s="6" t="s">
        <v>539</v>
      </c>
      <c r="S1375" s="20">
        <v>3.0</v>
      </c>
      <c r="T1375" s="6" t="s">
        <v>59</v>
      </c>
      <c r="U1375" s="6"/>
      <c r="V1375" s="6"/>
      <c r="W1375" s="6">
        <v>29.5892438</v>
      </c>
      <c r="X1375" s="6">
        <v>-95.5186144</v>
      </c>
    </row>
    <row r="1376" ht="15.75" customHeight="1">
      <c r="A1376" s="6">
        <v>47211.0</v>
      </c>
      <c r="B1376" s="6">
        <v>2022.0</v>
      </c>
      <c r="C1376" s="6" t="str">
        <f t="shared" si="5"/>
        <v>3803 JULIUS LN,Houston,Texas</v>
      </c>
      <c r="D1376" s="6" t="s">
        <v>2388</v>
      </c>
      <c r="E1376" s="6" t="s">
        <v>25</v>
      </c>
      <c r="F1376" s="6" t="s">
        <v>26</v>
      </c>
      <c r="G1376" s="6" t="s">
        <v>238</v>
      </c>
      <c r="H1376" s="6" t="s">
        <v>2275</v>
      </c>
      <c r="I1376" s="6" t="str">
        <f>VLOOKUP(H1376,'Flow Location'!$A$1:$B$21,2,FALSE)</f>
        <v>Contained On Site, not within 5 ft. of Bayou/Surface Water/Drainage Ditch</v>
      </c>
      <c r="J1376" s="20">
        <v>0.0</v>
      </c>
      <c r="K1376" s="6" t="s">
        <v>45</v>
      </c>
      <c r="L1376" s="6" t="str">
        <f>VLOOKUP(K1376,'Structure type'!$A$1:$B$15,2,FALSE)</f>
        <v>City Cleanout</v>
      </c>
      <c r="M1376" s="6" t="s">
        <v>56</v>
      </c>
      <c r="N1376" s="6" t="str">
        <f>VLOOKUP(M1376,'Excursion Cause'!$A$1:$B$34,2,FALSE)</f>
        <v>Rags/Wipes</v>
      </c>
      <c r="O1376" s="21">
        <v>44670.0</v>
      </c>
      <c r="P1376" s="6" t="s">
        <v>2389</v>
      </c>
      <c r="Q1376" s="21">
        <v>44670.0</v>
      </c>
      <c r="R1376" s="6" t="s">
        <v>2389</v>
      </c>
      <c r="S1376" s="20">
        <v>0.0</v>
      </c>
      <c r="T1376" s="6" t="s">
        <v>33</v>
      </c>
      <c r="U1376" s="6"/>
      <c r="V1376" s="6"/>
      <c r="W1376" s="6">
        <v>29.7071363</v>
      </c>
      <c r="X1376" s="6">
        <v>-95.3573398</v>
      </c>
    </row>
    <row r="1377" ht="15.75" customHeight="1">
      <c r="A1377" s="6">
        <v>47212.0</v>
      </c>
      <c r="B1377" s="6">
        <v>2022.0</v>
      </c>
      <c r="C1377" s="6" t="str">
        <f t="shared" si="5"/>
        <v>1266 DOVE ST,Houston,Texas</v>
      </c>
      <c r="D1377" s="6" t="s">
        <v>2262</v>
      </c>
      <c r="E1377" s="6" t="s">
        <v>25</v>
      </c>
      <c r="F1377" s="6" t="s">
        <v>26</v>
      </c>
      <c r="G1377" s="6" t="s">
        <v>623</v>
      </c>
      <c r="H1377" s="6" t="s">
        <v>1724</v>
      </c>
      <c r="I1377" s="6" t="str">
        <f>VLOOKUP(H1377,'Flow Location'!$A$1:$B$21,2,FALSE)</f>
        <v>Storm Sewer (not contained)</v>
      </c>
      <c r="J1377" s="20">
        <v>288.0</v>
      </c>
      <c r="K1377" s="6" t="s">
        <v>29</v>
      </c>
      <c r="L1377" s="6" t="str">
        <f>VLOOKUP(K1377,'Structure type'!$A$1:$B$15,2,FALSE)</f>
        <v>Manhole</v>
      </c>
      <c r="M1377" s="6" t="s">
        <v>56</v>
      </c>
      <c r="N1377" s="6" t="str">
        <f>VLOOKUP(M1377,'Excursion Cause'!$A$1:$B$34,2,FALSE)</f>
        <v>Rags/Wipes</v>
      </c>
      <c r="O1377" s="21">
        <v>44670.0</v>
      </c>
      <c r="P1377" s="6" t="s">
        <v>1759</v>
      </c>
      <c r="Q1377" s="21">
        <v>44670.0</v>
      </c>
      <c r="R1377" s="6" t="s">
        <v>36</v>
      </c>
      <c r="S1377" s="20">
        <v>2.0</v>
      </c>
      <c r="T1377" s="6" t="s">
        <v>2390</v>
      </c>
      <c r="U1377" s="6"/>
      <c r="V1377" s="6"/>
      <c r="W1377" s="6">
        <v>29.7683793</v>
      </c>
      <c r="X1377" s="6">
        <v>-95.2117636</v>
      </c>
    </row>
    <row r="1378" ht="15.75" customHeight="1">
      <c r="A1378" s="6">
        <v>47217.0</v>
      </c>
      <c r="B1378" s="6">
        <v>2022.0</v>
      </c>
      <c r="C1378" s="6" t="str">
        <f t="shared" si="5"/>
        <v>12706 COULSON ST,Houston,Texas</v>
      </c>
      <c r="D1378" s="6" t="s">
        <v>2391</v>
      </c>
      <c r="E1378" s="6" t="s">
        <v>25</v>
      </c>
      <c r="F1378" s="6" t="s">
        <v>26</v>
      </c>
      <c r="G1378" s="6" t="s">
        <v>623</v>
      </c>
      <c r="H1378" s="6" t="s">
        <v>1977</v>
      </c>
      <c r="I1378" s="6" t="str">
        <f>VLOOKUP(H1378,'Flow Location'!$A$1:$B$21,2,FALSE)</f>
        <v>Bayou/surface water/drainage ditch</v>
      </c>
      <c r="J1378" s="20">
        <v>0.0</v>
      </c>
      <c r="K1378" s="6" t="s">
        <v>45</v>
      </c>
      <c r="L1378" s="6" t="str">
        <f>VLOOKUP(K1378,'Structure type'!$A$1:$B$15,2,FALSE)</f>
        <v>City Cleanout</v>
      </c>
      <c r="M1378" s="6" t="s">
        <v>30</v>
      </c>
      <c r="N1378" s="6" t="str">
        <f>VLOOKUP(M1378,'Excursion Cause'!$A$1:$B$34,2,FALSE)</f>
        <v>Grease Blockage</v>
      </c>
      <c r="O1378" s="21">
        <v>44670.0</v>
      </c>
      <c r="P1378" s="6" t="s">
        <v>333</v>
      </c>
      <c r="Q1378" s="21">
        <v>44670.0</v>
      </c>
      <c r="R1378" s="6" t="s">
        <v>333</v>
      </c>
      <c r="S1378" s="20">
        <v>0.0</v>
      </c>
      <c r="T1378" s="6" t="s">
        <v>270</v>
      </c>
      <c r="U1378" s="6"/>
      <c r="V1378" s="6"/>
      <c r="W1378" s="6">
        <v>29.7625232</v>
      </c>
      <c r="X1378" s="6">
        <v>-95.2082586</v>
      </c>
    </row>
    <row r="1379" ht="15.75" customHeight="1">
      <c r="A1379" s="6">
        <v>47220.0</v>
      </c>
      <c r="B1379" s="6">
        <v>2022.0</v>
      </c>
      <c r="C1379" s="6" t="str">
        <f t="shared" si="5"/>
        <v>7907 ENDOR ST,Houston,Texas</v>
      </c>
      <c r="D1379" s="6" t="s">
        <v>2392</v>
      </c>
      <c r="E1379" s="6" t="s">
        <v>25</v>
      </c>
      <c r="F1379" s="6" t="s">
        <v>26</v>
      </c>
      <c r="G1379" s="6" t="s">
        <v>365</v>
      </c>
      <c r="H1379" s="6" t="s">
        <v>2190</v>
      </c>
      <c r="I1379" s="6" t="str">
        <f>VLOOKUP(H1379,'Flow Location'!$A$1:$B$21,2,FALSE)</f>
        <v>Contained On Site</v>
      </c>
      <c r="J1379" s="20">
        <v>0.0</v>
      </c>
      <c r="K1379" s="6" t="s">
        <v>45</v>
      </c>
      <c r="L1379" s="6" t="str">
        <f>VLOOKUP(K1379,'Structure type'!$A$1:$B$15,2,FALSE)</f>
        <v>City Cleanout</v>
      </c>
      <c r="M1379" s="6" t="s">
        <v>2393</v>
      </c>
      <c r="N1379" s="6" t="str">
        <f>VLOOKUP(M1379,'Excursion Cause'!$A$1:$B$34,2,FALSE)</f>
        <v>Grease Blockage</v>
      </c>
      <c r="O1379" s="21">
        <v>44670.0</v>
      </c>
      <c r="P1379" s="6" t="s">
        <v>2153</v>
      </c>
      <c r="Q1379" s="21">
        <v>44670.0</v>
      </c>
      <c r="R1379" s="6" t="s">
        <v>2153</v>
      </c>
      <c r="S1379" s="20">
        <v>0.0</v>
      </c>
      <c r="T1379" s="6" t="s">
        <v>2394</v>
      </c>
      <c r="U1379" s="6"/>
      <c r="V1379" s="6"/>
      <c r="W1379" s="6">
        <v>29.7240725</v>
      </c>
      <c r="X1379" s="6">
        <v>-95.2805691</v>
      </c>
    </row>
    <row r="1380" ht="15.75" customHeight="1">
      <c r="A1380" s="6">
        <v>47221.0</v>
      </c>
      <c r="B1380" s="6">
        <v>2022.0</v>
      </c>
      <c r="C1380" s="6" t="str">
        <f t="shared" si="5"/>
        <v>5927 SOUTHVILLE ST,Houston,Texas</v>
      </c>
      <c r="D1380" s="6" t="s">
        <v>2395</v>
      </c>
      <c r="E1380" s="6" t="s">
        <v>25</v>
      </c>
      <c r="F1380" s="6" t="s">
        <v>26</v>
      </c>
      <c r="G1380" s="6" t="s">
        <v>120</v>
      </c>
      <c r="H1380" s="6" t="s">
        <v>50</v>
      </c>
      <c r="I1380" s="6" t="str">
        <f>VLOOKUP(H1380,'Flow Location'!$A$1:$B$21,2,FALSE)</f>
        <v>Contained On Site, not within 5 ft. of Bayou/Surface Water/Drainage Ditch</v>
      </c>
      <c r="J1380" s="20">
        <v>0.0</v>
      </c>
      <c r="K1380" s="6" t="s">
        <v>29</v>
      </c>
      <c r="L1380" s="6" t="str">
        <f>VLOOKUP(K1380,'Structure type'!$A$1:$B$15,2,FALSE)</f>
        <v>Manhole</v>
      </c>
      <c r="M1380" s="6" t="s">
        <v>30</v>
      </c>
      <c r="N1380" s="6" t="str">
        <f>VLOOKUP(M1380,'Excursion Cause'!$A$1:$B$34,2,FALSE)</f>
        <v>Grease Blockage</v>
      </c>
      <c r="O1380" s="21">
        <v>44670.0</v>
      </c>
      <c r="P1380" s="6" t="s">
        <v>272</v>
      </c>
      <c r="Q1380" s="21">
        <v>44670.0</v>
      </c>
      <c r="R1380" s="6" t="s">
        <v>272</v>
      </c>
      <c r="S1380" s="20">
        <v>0.0</v>
      </c>
      <c r="T1380" s="6" t="s">
        <v>33</v>
      </c>
      <c r="U1380" s="6"/>
      <c r="V1380" s="6"/>
      <c r="W1380" s="6">
        <v>29.6814973</v>
      </c>
      <c r="X1380" s="6">
        <v>-95.3306545</v>
      </c>
    </row>
    <row r="1381" ht="15.75" customHeight="1">
      <c r="A1381" s="6">
        <v>47223.0</v>
      </c>
      <c r="B1381" s="6">
        <v>2022.0</v>
      </c>
      <c r="C1381" s="6" t="str">
        <f t="shared" si="5"/>
        <v>7626 GOUDIN DR,Houston,Texas</v>
      </c>
      <c r="D1381" s="6" t="s">
        <v>2396</v>
      </c>
      <c r="E1381" s="6" t="s">
        <v>25</v>
      </c>
      <c r="F1381" s="6" t="s">
        <v>26</v>
      </c>
      <c r="G1381" s="6" t="s">
        <v>166</v>
      </c>
      <c r="H1381" s="6" t="s">
        <v>1724</v>
      </c>
      <c r="I1381" s="6" t="str">
        <f>VLOOKUP(H1381,'Flow Location'!$A$1:$B$21,2,FALSE)</f>
        <v>Storm Sewer (not contained)</v>
      </c>
      <c r="J1381" s="20">
        <v>1044.0</v>
      </c>
      <c r="K1381" s="6" t="s">
        <v>29</v>
      </c>
      <c r="L1381" s="6" t="str">
        <f>VLOOKUP(K1381,'Structure type'!$A$1:$B$15,2,FALSE)</f>
        <v>Manhole</v>
      </c>
      <c r="M1381" s="6" t="s">
        <v>2397</v>
      </c>
      <c r="N1381" s="6" t="str">
        <f>VLOOKUP(M1381,'Excursion Cause'!$A$1:$B$34,2,FALSE)</f>
        <v>Grease Blockage</v>
      </c>
      <c r="O1381" s="21">
        <v>44670.0</v>
      </c>
      <c r="P1381" s="6" t="s">
        <v>2398</v>
      </c>
      <c r="Q1381" s="21">
        <v>44671.0</v>
      </c>
      <c r="R1381" s="6" t="s">
        <v>110</v>
      </c>
      <c r="S1381" s="20">
        <v>1.0</v>
      </c>
      <c r="T1381" s="6" t="s">
        <v>2399</v>
      </c>
      <c r="U1381" s="6"/>
      <c r="V1381" s="6"/>
      <c r="W1381" s="6">
        <v>29.6036817</v>
      </c>
      <c r="X1381" s="6">
        <v>-95.5025935</v>
      </c>
    </row>
    <row r="1382" ht="15.75" customHeight="1">
      <c r="A1382" s="6">
        <v>47229.0</v>
      </c>
      <c r="B1382" s="6">
        <v>2022.0</v>
      </c>
      <c r="C1382" s="6" t="str">
        <f t="shared" si="5"/>
        <v>2056 ANTOINE DR,Houston,Texas</v>
      </c>
      <c r="D1382" s="6" t="s">
        <v>2400</v>
      </c>
      <c r="E1382" s="6" t="s">
        <v>25</v>
      </c>
      <c r="F1382" s="6" t="s">
        <v>26</v>
      </c>
      <c r="G1382" s="6" t="s">
        <v>27</v>
      </c>
      <c r="H1382" s="6" t="s">
        <v>1724</v>
      </c>
      <c r="I1382" s="6" t="str">
        <f>VLOOKUP(H1382,'Flow Location'!$A$1:$B$21,2,FALSE)</f>
        <v>Storm Sewer (not contained)</v>
      </c>
      <c r="J1382" s="20">
        <v>0.0</v>
      </c>
      <c r="K1382" s="6" t="s">
        <v>29</v>
      </c>
      <c r="L1382" s="6" t="str">
        <f>VLOOKUP(K1382,'Structure type'!$A$1:$B$15,2,FALSE)</f>
        <v>Manhole</v>
      </c>
      <c r="M1382" s="6" t="s">
        <v>2401</v>
      </c>
      <c r="N1382" s="6" t="str">
        <f>VLOOKUP(M1382,'Excursion Cause'!$A$1:$B$34,2,FALSE)</f>
        <v>Grease Blockage</v>
      </c>
      <c r="O1382" s="21">
        <v>44671.0</v>
      </c>
      <c r="P1382" s="6" t="s">
        <v>506</v>
      </c>
      <c r="Q1382" s="21">
        <v>44672.0</v>
      </c>
      <c r="R1382" s="6" t="s">
        <v>985</v>
      </c>
      <c r="S1382" s="20">
        <v>0.0</v>
      </c>
      <c r="T1382" s="6" t="s">
        <v>2402</v>
      </c>
      <c r="U1382" s="6"/>
      <c r="V1382" s="6"/>
      <c r="W1382" s="6">
        <v>29.8075987</v>
      </c>
      <c r="X1382" s="6">
        <v>-95.4742996</v>
      </c>
    </row>
    <row r="1383" ht="15.75" customHeight="1">
      <c r="A1383" s="6">
        <v>47232.0</v>
      </c>
      <c r="B1383" s="6">
        <v>2022.0</v>
      </c>
      <c r="C1383" s="6" t="str">
        <f t="shared" si="5"/>
        <v>1010 SOUTH LN,Houston,Texas</v>
      </c>
      <c r="D1383" s="6" t="s">
        <v>2403</v>
      </c>
      <c r="E1383" s="6" t="s">
        <v>25</v>
      </c>
      <c r="F1383" s="6" t="s">
        <v>26</v>
      </c>
      <c r="G1383" s="6" t="s">
        <v>502</v>
      </c>
      <c r="H1383" s="6" t="s">
        <v>2275</v>
      </c>
      <c r="I1383" s="6" t="str">
        <f>VLOOKUP(H1383,'Flow Location'!$A$1:$B$21,2,FALSE)</f>
        <v>Contained On Site, not within 5 ft. of Bayou/Surface Water/Drainage Ditch</v>
      </c>
      <c r="J1383" s="20">
        <v>18.0</v>
      </c>
      <c r="K1383" s="6" t="s">
        <v>198</v>
      </c>
      <c r="L1383" s="6" t="str">
        <f>VLOOKUP(K1383,'Structure type'!$A$1:$B$15,2,FALSE)</f>
        <v>Service Lateral</v>
      </c>
      <c r="M1383" s="6" t="s">
        <v>2404</v>
      </c>
      <c r="N1383" s="6" t="str">
        <f>VLOOKUP(M1383,'Excursion Cause'!$A$1:$B$34,2,FALSE)</f>
        <v>Collection system structural failure</v>
      </c>
      <c r="O1383" s="21">
        <v>44671.0</v>
      </c>
      <c r="P1383" s="6" t="s">
        <v>2405</v>
      </c>
      <c r="Q1383" s="21">
        <v>44671.0</v>
      </c>
      <c r="R1383" s="6" t="s">
        <v>1021</v>
      </c>
      <c r="S1383" s="20">
        <v>2.0</v>
      </c>
      <c r="T1383" s="6" t="s">
        <v>54</v>
      </c>
      <c r="U1383" s="6"/>
      <c r="V1383" s="6"/>
      <c r="W1383" s="6">
        <v>29.8751549</v>
      </c>
      <c r="X1383" s="6">
        <v>-95.4263795</v>
      </c>
    </row>
    <row r="1384" ht="15.75" customHeight="1">
      <c r="A1384" s="6">
        <v>47235.0</v>
      </c>
      <c r="B1384" s="6">
        <v>2022.0</v>
      </c>
      <c r="C1384" s="6" t="str">
        <f t="shared" si="5"/>
        <v>9800 EASTEX FWY,Houston,Texas</v>
      </c>
      <c r="D1384" s="6" t="s">
        <v>2406</v>
      </c>
      <c r="E1384" s="6" t="s">
        <v>25</v>
      </c>
      <c r="F1384" s="6" t="s">
        <v>26</v>
      </c>
      <c r="G1384" s="6" t="s">
        <v>109</v>
      </c>
      <c r="H1384" s="6" t="s">
        <v>1977</v>
      </c>
      <c r="I1384" s="6" t="str">
        <f>VLOOKUP(H1384,'Flow Location'!$A$1:$B$21,2,FALSE)</f>
        <v>Bayou/surface water/drainage ditch</v>
      </c>
      <c r="J1384" s="20">
        <v>5374.0</v>
      </c>
      <c r="K1384" s="6" t="s">
        <v>29</v>
      </c>
      <c r="L1384" s="6" t="str">
        <f>VLOOKUP(K1384,'Structure type'!$A$1:$B$15,2,FALSE)</f>
        <v>Manhole</v>
      </c>
      <c r="M1384" s="6" t="s">
        <v>30</v>
      </c>
      <c r="N1384" s="6" t="str">
        <f>VLOOKUP(M1384,'Excursion Cause'!$A$1:$B$34,2,FALSE)</f>
        <v>Grease Blockage</v>
      </c>
      <c r="O1384" s="21">
        <v>44671.0</v>
      </c>
      <c r="P1384" s="6" t="s">
        <v>805</v>
      </c>
      <c r="Q1384" s="21">
        <v>44673.0</v>
      </c>
      <c r="R1384" s="6" t="s">
        <v>125</v>
      </c>
      <c r="S1384" s="20">
        <v>2.0</v>
      </c>
      <c r="T1384" s="6" t="s">
        <v>33</v>
      </c>
      <c r="U1384" s="6"/>
      <c r="V1384" s="6"/>
      <c r="W1384" s="6">
        <v>29.8523304</v>
      </c>
      <c r="X1384" s="6">
        <v>-95.3327011</v>
      </c>
    </row>
    <row r="1385" ht="15.75" customHeight="1">
      <c r="A1385" s="6">
        <v>47236.0</v>
      </c>
      <c r="B1385" s="6">
        <v>2022.0</v>
      </c>
      <c r="C1385" s="6" t="str">
        <f t="shared" si="5"/>
        <v>7964 AMELIA RD,Houston,Texas</v>
      </c>
      <c r="D1385" s="6" t="s">
        <v>2407</v>
      </c>
      <c r="E1385" s="6" t="s">
        <v>25</v>
      </c>
      <c r="F1385" s="6" t="s">
        <v>26</v>
      </c>
      <c r="G1385" s="6" t="s">
        <v>27</v>
      </c>
      <c r="H1385" s="6" t="s">
        <v>1724</v>
      </c>
      <c r="I1385" s="6" t="str">
        <f>VLOOKUP(H1385,'Flow Location'!$A$1:$B$21,2,FALSE)</f>
        <v>Storm Sewer (not contained)</v>
      </c>
      <c r="J1385" s="20">
        <v>204.0</v>
      </c>
      <c r="K1385" s="6" t="s">
        <v>29</v>
      </c>
      <c r="L1385" s="6" t="str">
        <f>VLOOKUP(K1385,'Structure type'!$A$1:$B$15,2,FALSE)</f>
        <v>Manhole</v>
      </c>
      <c r="M1385" s="6" t="s">
        <v>2408</v>
      </c>
      <c r="N1385" s="6" t="str">
        <f>VLOOKUP(M1385,'Excursion Cause'!$A$1:$B$34,2,FALSE)</f>
        <v>Grease Blockage</v>
      </c>
      <c r="O1385" s="21">
        <v>44671.0</v>
      </c>
      <c r="P1385" s="6" t="s">
        <v>645</v>
      </c>
      <c r="Q1385" s="21">
        <v>44671.0</v>
      </c>
      <c r="R1385" s="6" t="s">
        <v>2271</v>
      </c>
      <c r="S1385" s="20">
        <v>2.0</v>
      </c>
      <c r="T1385" s="6" t="s">
        <v>2409</v>
      </c>
      <c r="U1385" s="6"/>
      <c r="V1385" s="6"/>
      <c r="W1385" s="6">
        <v>29.8082283</v>
      </c>
      <c r="X1385" s="6">
        <v>-95.4874076</v>
      </c>
    </row>
    <row r="1386" ht="15.75" customHeight="1">
      <c r="A1386" s="6">
        <v>47239.0</v>
      </c>
      <c r="B1386" s="6">
        <v>2022.0</v>
      </c>
      <c r="C1386" s="6" t="str">
        <f t="shared" si="5"/>
        <v>8307 ROSWELL ST,Houston,Texas</v>
      </c>
      <c r="D1386" s="6" t="s">
        <v>652</v>
      </c>
      <c r="E1386" s="6" t="s">
        <v>25</v>
      </c>
      <c r="F1386" s="6" t="s">
        <v>26</v>
      </c>
      <c r="G1386" s="6" t="s">
        <v>653</v>
      </c>
      <c r="H1386" s="6" t="s">
        <v>2304</v>
      </c>
      <c r="I1386" s="6" t="str">
        <f>VLOOKUP(H1386,'Flow Location'!$A$1:$B$21,2,FALSE)</f>
        <v>Bayou/surface water/drainage ditch</v>
      </c>
      <c r="J1386" s="20">
        <v>0.0</v>
      </c>
      <c r="K1386" s="6" t="s">
        <v>45</v>
      </c>
      <c r="L1386" s="6" t="str">
        <f>VLOOKUP(K1386,'Structure type'!$A$1:$B$15,2,FALSE)</f>
        <v>City Cleanout</v>
      </c>
      <c r="M1386" s="6" t="s">
        <v>30</v>
      </c>
      <c r="N1386" s="6" t="str">
        <f>VLOOKUP(M1386,'Excursion Cause'!$A$1:$B$34,2,FALSE)</f>
        <v>Grease Blockage</v>
      </c>
      <c r="O1386" s="21">
        <v>44671.0</v>
      </c>
      <c r="P1386" s="6" t="s">
        <v>2410</v>
      </c>
      <c r="Q1386" s="21">
        <v>44671.0</v>
      </c>
      <c r="R1386" s="6" t="s">
        <v>2410</v>
      </c>
      <c r="S1386" s="20">
        <v>0.0</v>
      </c>
      <c r="T1386" s="6" t="s">
        <v>2411</v>
      </c>
      <c r="U1386" s="6"/>
      <c r="V1386" s="6"/>
      <c r="W1386" s="6">
        <v>29.8359839</v>
      </c>
      <c r="X1386" s="6">
        <v>-95.3695219</v>
      </c>
    </row>
    <row r="1387" ht="15.75" customHeight="1">
      <c r="A1387" s="6">
        <v>47240.0</v>
      </c>
      <c r="B1387" s="6">
        <v>2022.0</v>
      </c>
      <c r="C1387" s="6" t="str">
        <f t="shared" si="5"/>
        <v>1301 WAYSIDE DR,Houston,Texas</v>
      </c>
      <c r="D1387" s="6" t="s">
        <v>459</v>
      </c>
      <c r="E1387" s="6" t="s">
        <v>25</v>
      </c>
      <c r="F1387" s="6" t="s">
        <v>26</v>
      </c>
      <c r="G1387" s="6" t="s">
        <v>227</v>
      </c>
      <c r="H1387" s="6" t="s">
        <v>28</v>
      </c>
      <c r="I1387" s="6" t="str">
        <f>VLOOKUP(H1387,'Flow Location'!$A$1:$B$21,2,FALSE)</f>
        <v>Storm Sewer (not contained)</v>
      </c>
      <c r="J1387" s="20">
        <v>2050.0</v>
      </c>
      <c r="K1387" s="6" t="s">
        <v>29</v>
      </c>
      <c r="L1387" s="6" t="str">
        <f>VLOOKUP(K1387,'Structure type'!$A$1:$B$15,2,FALSE)</f>
        <v>Manhole</v>
      </c>
      <c r="M1387" s="6" t="s">
        <v>2412</v>
      </c>
      <c r="N1387" s="6" t="str">
        <f>VLOOKUP(M1387,'Excursion Cause'!$A$1:$B$34,2,FALSE)</f>
        <v>Collection system structural failure</v>
      </c>
      <c r="O1387" s="21">
        <v>44671.0</v>
      </c>
      <c r="P1387" s="6" t="s">
        <v>606</v>
      </c>
      <c r="Q1387" s="21">
        <v>44671.0</v>
      </c>
      <c r="R1387" s="6" t="s">
        <v>766</v>
      </c>
      <c r="S1387" s="20">
        <v>10.0</v>
      </c>
      <c r="T1387" s="6" t="s">
        <v>443</v>
      </c>
      <c r="U1387" s="6"/>
      <c r="V1387" s="6"/>
      <c r="W1387" s="6">
        <v>29.7730511</v>
      </c>
      <c r="X1387" s="6">
        <v>-95.2917465</v>
      </c>
    </row>
    <row r="1388" ht="15.75" customHeight="1">
      <c r="A1388" s="6">
        <v>47243.0</v>
      </c>
      <c r="B1388" s="6">
        <v>2022.0</v>
      </c>
      <c r="C1388" s="6" t="str">
        <f t="shared" si="5"/>
        <v>12100 STONE WEST DR,Houston,Texas</v>
      </c>
      <c r="D1388" s="6" t="s">
        <v>2413</v>
      </c>
      <c r="E1388" s="6" t="s">
        <v>25</v>
      </c>
      <c r="F1388" s="6" t="s">
        <v>26</v>
      </c>
      <c r="G1388" s="6" t="s">
        <v>127</v>
      </c>
      <c r="H1388" s="6" t="s">
        <v>2275</v>
      </c>
      <c r="I1388" s="6" t="str">
        <f>VLOOKUP(H1388,'Flow Location'!$A$1:$B$21,2,FALSE)</f>
        <v>Contained On Site, not within 5 ft. of Bayou/Surface Water/Drainage Ditch</v>
      </c>
      <c r="J1388" s="20">
        <v>0.0</v>
      </c>
      <c r="K1388" s="6" t="s">
        <v>29</v>
      </c>
      <c r="L1388" s="6" t="str">
        <f>VLOOKUP(K1388,'Structure type'!$A$1:$B$15,2,FALSE)</f>
        <v>Manhole</v>
      </c>
      <c r="M1388" s="6" t="s">
        <v>30</v>
      </c>
      <c r="N1388" s="6" t="str">
        <f>VLOOKUP(M1388,'Excursion Cause'!$A$1:$B$34,2,FALSE)</f>
        <v>Grease Blockage</v>
      </c>
      <c r="O1388" s="21">
        <v>44672.0</v>
      </c>
      <c r="P1388" s="6" t="s">
        <v>2005</v>
      </c>
      <c r="Q1388" s="21">
        <v>44672.0</v>
      </c>
      <c r="R1388" s="6" t="s">
        <v>2005</v>
      </c>
      <c r="S1388" s="20">
        <v>0.0</v>
      </c>
      <c r="T1388" s="6" t="s">
        <v>33</v>
      </c>
      <c r="U1388" s="6"/>
      <c r="V1388" s="6"/>
      <c r="W1388" s="6">
        <v>29.6473015</v>
      </c>
      <c r="X1388" s="6">
        <v>-95.4812867</v>
      </c>
    </row>
    <row r="1389" ht="15.75" customHeight="1">
      <c r="A1389" s="6">
        <v>47245.0</v>
      </c>
      <c r="B1389" s="6">
        <v>2022.0</v>
      </c>
      <c r="C1389" s="6" t="str">
        <f t="shared" si="5"/>
        <v>4713 PARADISE LN,Houston,Texas</v>
      </c>
      <c r="D1389" s="6" t="s">
        <v>2414</v>
      </c>
      <c r="E1389" s="6" t="s">
        <v>25</v>
      </c>
      <c r="F1389" s="6" t="s">
        <v>26</v>
      </c>
      <c r="G1389" s="6" t="s">
        <v>301</v>
      </c>
      <c r="H1389" s="6" t="s">
        <v>2275</v>
      </c>
      <c r="I1389" s="6" t="str">
        <f>VLOOKUP(H1389,'Flow Location'!$A$1:$B$21,2,FALSE)</f>
        <v>Contained On Site, not within 5 ft. of Bayou/Surface Water/Drainage Ditch</v>
      </c>
      <c r="J1389" s="20">
        <v>0.0</v>
      </c>
      <c r="K1389" s="6" t="s">
        <v>45</v>
      </c>
      <c r="L1389" s="6" t="str">
        <f>VLOOKUP(K1389,'Structure type'!$A$1:$B$15,2,FALSE)</f>
        <v>City Cleanout</v>
      </c>
      <c r="M1389" s="6" t="s">
        <v>30</v>
      </c>
      <c r="N1389" s="6" t="str">
        <f>VLOOKUP(M1389,'Excursion Cause'!$A$1:$B$34,2,FALSE)</f>
        <v>Grease Blockage</v>
      </c>
      <c r="O1389" s="21">
        <v>44672.0</v>
      </c>
      <c r="P1389" s="6" t="s">
        <v>212</v>
      </c>
      <c r="Q1389" s="21">
        <v>44672.0</v>
      </c>
      <c r="R1389" s="6" t="s">
        <v>212</v>
      </c>
      <c r="S1389" s="20">
        <v>0.0</v>
      </c>
      <c r="T1389" s="6" t="s">
        <v>74</v>
      </c>
      <c r="U1389" s="6"/>
      <c r="V1389" s="6"/>
      <c r="W1389" s="6">
        <v>29.6455469</v>
      </c>
      <c r="X1389" s="6">
        <v>-95.3553117</v>
      </c>
    </row>
    <row r="1390" ht="15.75" customHeight="1">
      <c r="A1390" s="6">
        <v>47246.0</v>
      </c>
      <c r="B1390" s="6">
        <v>2022.0</v>
      </c>
      <c r="C1390" s="6" t="str">
        <f t="shared" si="5"/>
        <v>4400 18TH ST,Houston,Texas</v>
      </c>
      <c r="D1390" s="6" t="s">
        <v>2415</v>
      </c>
      <c r="E1390" s="6" t="s">
        <v>25</v>
      </c>
      <c r="F1390" s="6" t="s">
        <v>26</v>
      </c>
      <c r="G1390" s="6" t="s">
        <v>76</v>
      </c>
      <c r="H1390" s="6" t="s">
        <v>1724</v>
      </c>
      <c r="I1390" s="6" t="str">
        <f>VLOOKUP(H1390,'Flow Location'!$A$1:$B$21,2,FALSE)</f>
        <v>Storm Sewer (not contained)</v>
      </c>
      <c r="J1390" s="20">
        <v>113.0</v>
      </c>
      <c r="K1390" s="6" t="s">
        <v>29</v>
      </c>
      <c r="L1390" s="6" t="str">
        <f>VLOOKUP(K1390,'Structure type'!$A$1:$B$15,2,FALSE)</f>
        <v>Manhole</v>
      </c>
      <c r="M1390" s="6" t="s">
        <v>2416</v>
      </c>
      <c r="N1390" s="6" t="str">
        <f>VLOOKUP(M1390,'Excursion Cause'!$A$1:$B$34,2,FALSE)</f>
        <v>Grease Blockage</v>
      </c>
      <c r="O1390" s="21">
        <v>44672.0</v>
      </c>
      <c r="P1390" s="6" t="s">
        <v>657</v>
      </c>
      <c r="Q1390" s="21">
        <v>44672.0</v>
      </c>
      <c r="R1390" s="6" t="s">
        <v>540</v>
      </c>
      <c r="S1390" s="20">
        <v>1.0</v>
      </c>
      <c r="T1390" s="6" t="s">
        <v>2417</v>
      </c>
      <c r="U1390" s="6"/>
      <c r="V1390" s="6"/>
      <c r="W1390" s="6">
        <v>29.8020222</v>
      </c>
      <c r="X1390" s="6">
        <v>-95.4526575</v>
      </c>
    </row>
    <row r="1391" ht="15.75" customHeight="1">
      <c r="A1391" s="6">
        <v>47248.0</v>
      </c>
      <c r="B1391" s="6">
        <v>2022.0</v>
      </c>
      <c r="C1391" s="6" t="str">
        <f t="shared" si="5"/>
        <v>10902 HAZEN ST,Houston,Texas</v>
      </c>
      <c r="D1391" s="6" t="s">
        <v>90</v>
      </c>
      <c r="E1391" s="6" t="s">
        <v>25</v>
      </c>
      <c r="F1391" s="6" t="s">
        <v>26</v>
      </c>
      <c r="G1391" s="6" t="s">
        <v>91</v>
      </c>
      <c r="H1391" s="6" t="s">
        <v>1724</v>
      </c>
      <c r="I1391" s="6" t="str">
        <f>VLOOKUP(H1391,'Flow Location'!$A$1:$B$21,2,FALSE)</f>
        <v>Storm Sewer (not contained)</v>
      </c>
      <c r="J1391" s="20">
        <v>245.0</v>
      </c>
      <c r="K1391" s="6" t="s">
        <v>29</v>
      </c>
      <c r="L1391" s="6" t="str">
        <f>VLOOKUP(K1391,'Structure type'!$A$1:$B$15,2,FALSE)</f>
        <v>Manhole</v>
      </c>
      <c r="M1391" s="6" t="s">
        <v>2418</v>
      </c>
      <c r="N1391" s="6" t="str">
        <f>VLOOKUP(M1391,'Excursion Cause'!$A$1:$B$34,2,FALSE)</f>
        <v>Grease Blockage</v>
      </c>
      <c r="O1391" s="21">
        <v>44673.0</v>
      </c>
      <c r="P1391" s="6" t="s">
        <v>283</v>
      </c>
      <c r="Q1391" s="21">
        <v>44673.0</v>
      </c>
      <c r="R1391" s="6" t="s">
        <v>203</v>
      </c>
      <c r="S1391" s="20">
        <v>1.0</v>
      </c>
      <c r="T1391" s="6" t="s">
        <v>2419</v>
      </c>
      <c r="U1391" s="6"/>
      <c r="V1391" s="6"/>
      <c r="W1391" s="6">
        <v>29.6926394</v>
      </c>
      <c r="X1391" s="6">
        <v>-95.5713887</v>
      </c>
    </row>
    <row r="1392" ht="15.75" customHeight="1">
      <c r="A1392" s="6">
        <v>47249.0</v>
      </c>
      <c r="B1392" s="6">
        <v>2022.0</v>
      </c>
      <c r="C1392" s="6" t="str">
        <f t="shared" si="5"/>
        <v>16122 CANARIDGE DR,Houston,Texas</v>
      </c>
      <c r="D1392" s="6" t="s">
        <v>2420</v>
      </c>
      <c r="E1392" s="6" t="s">
        <v>25</v>
      </c>
      <c r="F1392" s="6" t="s">
        <v>26</v>
      </c>
      <c r="G1392" s="6" t="s">
        <v>517</v>
      </c>
      <c r="H1392" s="6" t="s">
        <v>50</v>
      </c>
      <c r="I1392" s="6" t="str">
        <f>VLOOKUP(H1392,'Flow Location'!$A$1:$B$21,2,FALSE)</f>
        <v>Contained On Site, not within 5 ft. of Bayou/Surface Water/Drainage Ditch</v>
      </c>
      <c r="J1392" s="20">
        <v>130.0</v>
      </c>
      <c r="K1392" s="6" t="s">
        <v>29</v>
      </c>
      <c r="L1392" s="6" t="str">
        <f>VLOOKUP(K1392,'Structure type'!$A$1:$B$15,2,FALSE)</f>
        <v>Manhole</v>
      </c>
      <c r="M1392" s="6" t="s">
        <v>30</v>
      </c>
      <c r="N1392" s="6" t="str">
        <f>VLOOKUP(M1392,'Excursion Cause'!$A$1:$B$34,2,FALSE)</f>
        <v>Grease Blockage</v>
      </c>
      <c r="O1392" s="21">
        <v>44673.0</v>
      </c>
      <c r="P1392" s="6" t="s">
        <v>1071</v>
      </c>
      <c r="Q1392" s="21">
        <v>44673.0</v>
      </c>
      <c r="R1392" s="6" t="s">
        <v>490</v>
      </c>
      <c r="S1392" s="20">
        <v>1.0</v>
      </c>
      <c r="T1392" s="6" t="s">
        <v>33</v>
      </c>
      <c r="U1392" s="6"/>
      <c r="V1392" s="6"/>
      <c r="W1392" s="6">
        <v>29.5938936</v>
      </c>
      <c r="X1392" s="6">
        <v>-95.4784881</v>
      </c>
    </row>
    <row r="1393" ht="15.75" customHeight="1">
      <c r="A1393" s="6">
        <v>47250.0</v>
      </c>
      <c r="B1393" s="6">
        <v>2022.0</v>
      </c>
      <c r="C1393" s="6" t="str">
        <f t="shared" si="5"/>
        <v>4807 E RIDGE CREEK DR,Houston,Texas</v>
      </c>
      <c r="D1393" s="6" t="s">
        <v>2421</v>
      </c>
      <c r="E1393" s="6" t="s">
        <v>25</v>
      </c>
      <c r="F1393" s="6" t="s">
        <v>26</v>
      </c>
      <c r="G1393" s="6" t="s">
        <v>517</v>
      </c>
      <c r="H1393" s="6" t="s">
        <v>50</v>
      </c>
      <c r="I1393" s="6" t="str">
        <f>VLOOKUP(H1393,'Flow Location'!$A$1:$B$21,2,FALSE)</f>
        <v>Contained On Site, not within 5 ft. of Bayou/Surface Water/Drainage Ditch</v>
      </c>
      <c r="J1393" s="20">
        <v>0.0</v>
      </c>
      <c r="K1393" s="6" t="s">
        <v>29</v>
      </c>
      <c r="L1393" s="6" t="str">
        <f>VLOOKUP(K1393,'Structure type'!$A$1:$B$15,2,FALSE)</f>
        <v>Manhole</v>
      </c>
      <c r="M1393" s="6" t="s">
        <v>30</v>
      </c>
      <c r="N1393" s="6" t="str">
        <f>VLOOKUP(M1393,'Excursion Cause'!$A$1:$B$34,2,FALSE)</f>
        <v>Grease Blockage</v>
      </c>
      <c r="O1393" s="21">
        <v>44673.0</v>
      </c>
      <c r="P1393" s="6" t="s">
        <v>817</v>
      </c>
      <c r="Q1393" s="21">
        <v>44673.0</v>
      </c>
      <c r="R1393" s="6" t="s">
        <v>817</v>
      </c>
      <c r="S1393" s="20">
        <v>0.0</v>
      </c>
      <c r="T1393" s="6" t="s">
        <v>33</v>
      </c>
      <c r="U1393" s="6"/>
      <c r="V1393" s="6"/>
      <c r="W1393" s="6">
        <v>29.5896581</v>
      </c>
      <c r="X1393" s="6">
        <v>-95.4524942</v>
      </c>
    </row>
    <row r="1394" ht="15.75" customHeight="1">
      <c r="A1394" s="6">
        <v>47256.0</v>
      </c>
      <c r="B1394" s="6">
        <v>2022.0</v>
      </c>
      <c r="C1394" s="6" t="str">
        <f t="shared" si="5"/>
        <v>12906 BRANT ROCK DR,Houston,Texas</v>
      </c>
      <c r="D1394" s="6" t="s">
        <v>2422</v>
      </c>
      <c r="E1394" s="6" t="s">
        <v>25</v>
      </c>
      <c r="F1394" s="6" t="s">
        <v>26</v>
      </c>
      <c r="G1394" s="6" t="s">
        <v>313</v>
      </c>
      <c r="H1394" s="6" t="s">
        <v>1724</v>
      </c>
      <c r="I1394" s="6" t="str">
        <f>VLOOKUP(H1394,'Flow Location'!$A$1:$B$21,2,FALSE)</f>
        <v>Storm Sewer (not contained)</v>
      </c>
      <c r="J1394" s="20">
        <v>0.0</v>
      </c>
      <c r="K1394" s="6" t="s">
        <v>29</v>
      </c>
      <c r="L1394" s="6" t="str">
        <f>VLOOKUP(K1394,'Structure type'!$A$1:$B$15,2,FALSE)</f>
        <v>Manhole</v>
      </c>
      <c r="M1394" s="6" t="s">
        <v>2423</v>
      </c>
      <c r="N1394" s="6" t="str">
        <f>VLOOKUP(M1394,'Excursion Cause'!$A$1:$B$34,2,FALSE)</f>
        <v>Grease Blockage</v>
      </c>
      <c r="O1394" s="21">
        <v>44673.0</v>
      </c>
      <c r="P1394" s="6" t="s">
        <v>486</v>
      </c>
      <c r="Q1394" s="21">
        <v>44673.0</v>
      </c>
      <c r="R1394" s="6" t="s">
        <v>486</v>
      </c>
      <c r="S1394" s="20">
        <v>0.0</v>
      </c>
      <c r="T1394" s="6" t="s">
        <v>2424</v>
      </c>
      <c r="U1394" s="6"/>
      <c r="V1394" s="6"/>
      <c r="W1394" s="6">
        <v>29.7173398</v>
      </c>
      <c r="X1394" s="6">
        <v>-95.6122339</v>
      </c>
    </row>
    <row r="1395" ht="15.75" customHeight="1">
      <c r="A1395" s="6">
        <v>47259.0</v>
      </c>
      <c r="B1395" s="6">
        <v>2022.0</v>
      </c>
      <c r="C1395" s="6" t="str">
        <f t="shared" si="5"/>
        <v>11675 W BELLFORT AVE,Houston,Texas</v>
      </c>
      <c r="D1395" s="6" t="s">
        <v>2425</v>
      </c>
      <c r="E1395" s="6" t="s">
        <v>25</v>
      </c>
      <c r="F1395" s="6" t="s">
        <v>26</v>
      </c>
      <c r="G1395" s="6" t="s">
        <v>154</v>
      </c>
      <c r="H1395" s="6" t="s">
        <v>1724</v>
      </c>
      <c r="I1395" s="6" t="str">
        <f>VLOOKUP(H1395,'Flow Location'!$A$1:$B$21,2,FALSE)</f>
        <v>Storm Sewer (not contained)</v>
      </c>
      <c r="J1395" s="20">
        <v>556.0</v>
      </c>
      <c r="K1395" s="6" t="s">
        <v>29</v>
      </c>
      <c r="L1395" s="6" t="str">
        <f>VLOOKUP(K1395,'Structure type'!$A$1:$B$15,2,FALSE)</f>
        <v>Manhole</v>
      </c>
      <c r="M1395" s="6" t="s">
        <v>2426</v>
      </c>
      <c r="N1395" s="6" t="str">
        <f>VLOOKUP(M1395,'Excursion Cause'!$A$1:$B$34,2,FALSE)</f>
        <v>Grease Blockage</v>
      </c>
      <c r="O1395" s="21">
        <v>44673.0</v>
      </c>
      <c r="P1395" s="6" t="s">
        <v>1248</v>
      </c>
      <c r="Q1395" s="21">
        <v>44673.0</v>
      </c>
      <c r="R1395" s="6" t="s">
        <v>380</v>
      </c>
      <c r="S1395" s="20">
        <v>4.0</v>
      </c>
      <c r="T1395" s="6" t="s">
        <v>2427</v>
      </c>
      <c r="U1395" s="6"/>
      <c r="V1395" s="6"/>
      <c r="W1395" s="6">
        <v>29.6568268</v>
      </c>
      <c r="X1395" s="6">
        <v>-95.5824052</v>
      </c>
    </row>
    <row r="1396" ht="15.75" customHeight="1">
      <c r="A1396" s="6">
        <v>47270.0</v>
      </c>
      <c r="B1396" s="6">
        <v>2022.0</v>
      </c>
      <c r="C1396" s="6" t="str">
        <f t="shared" si="5"/>
        <v>3409 HARDIE ST,Houston,Texas</v>
      </c>
      <c r="D1396" s="6" t="s">
        <v>2428</v>
      </c>
      <c r="E1396" s="6" t="s">
        <v>25</v>
      </c>
      <c r="F1396" s="6" t="s">
        <v>26</v>
      </c>
      <c r="G1396" s="6" t="s">
        <v>43</v>
      </c>
      <c r="H1396" s="6" t="s">
        <v>1724</v>
      </c>
      <c r="I1396" s="6" t="str">
        <f>VLOOKUP(H1396,'Flow Location'!$A$1:$B$21,2,FALSE)</f>
        <v>Storm Sewer (not contained)</v>
      </c>
      <c r="J1396" s="20">
        <v>771.0</v>
      </c>
      <c r="K1396" s="6" t="s">
        <v>45</v>
      </c>
      <c r="L1396" s="6" t="str">
        <f>VLOOKUP(K1396,'Structure type'!$A$1:$B$15,2,FALSE)</f>
        <v>City Cleanout</v>
      </c>
      <c r="M1396" s="6" t="s">
        <v>56</v>
      </c>
      <c r="N1396" s="6" t="str">
        <f>VLOOKUP(M1396,'Excursion Cause'!$A$1:$B$34,2,FALSE)</f>
        <v>Rags/Wipes</v>
      </c>
      <c r="O1396" s="21">
        <v>44675.0</v>
      </c>
      <c r="P1396" s="6" t="s">
        <v>2429</v>
      </c>
      <c r="Q1396" s="21">
        <v>44675.0</v>
      </c>
      <c r="R1396" s="6" t="s">
        <v>93</v>
      </c>
      <c r="S1396" s="20">
        <v>3.0</v>
      </c>
      <c r="T1396" s="6" t="s">
        <v>2430</v>
      </c>
      <c r="U1396" s="6"/>
      <c r="V1396" s="6"/>
      <c r="W1396" s="6">
        <v>29.8052473</v>
      </c>
      <c r="X1396" s="6">
        <v>-95.3345684</v>
      </c>
    </row>
    <row r="1397" ht="15.75" customHeight="1">
      <c r="A1397" s="6">
        <v>47271.0</v>
      </c>
      <c r="B1397" s="6">
        <v>2022.0</v>
      </c>
      <c r="C1397" s="6" t="str">
        <f t="shared" si="5"/>
        <v>12150 BISSONNET ST,Houston,Texas</v>
      </c>
      <c r="D1397" s="6" t="s">
        <v>2431</v>
      </c>
      <c r="E1397" s="6" t="s">
        <v>25</v>
      </c>
      <c r="F1397" s="6" t="s">
        <v>26</v>
      </c>
      <c r="G1397" s="6" t="s">
        <v>154</v>
      </c>
      <c r="H1397" s="6" t="s">
        <v>50</v>
      </c>
      <c r="I1397" s="6" t="str">
        <f>VLOOKUP(H1397,'Flow Location'!$A$1:$B$21,2,FALSE)</f>
        <v>Contained On Site, not within 5 ft. of Bayou/Surface Water/Drainage Ditch</v>
      </c>
      <c r="J1397" s="20">
        <v>0.0</v>
      </c>
      <c r="K1397" s="6" t="s">
        <v>29</v>
      </c>
      <c r="L1397" s="6" t="str">
        <f>VLOOKUP(K1397,'Structure type'!$A$1:$B$15,2,FALSE)</f>
        <v>Manhole</v>
      </c>
      <c r="M1397" s="6" t="s">
        <v>30</v>
      </c>
      <c r="N1397" s="6" t="str">
        <f>VLOOKUP(M1397,'Excursion Cause'!$A$1:$B$34,2,FALSE)</f>
        <v>Grease Blockage</v>
      </c>
      <c r="O1397" s="21">
        <v>44675.0</v>
      </c>
      <c r="P1397" s="6" t="s">
        <v>483</v>
      </c>
      <c r="Q1397" s="21">
        <v>44675.0</v>
      </c>
      <c r="R1397" s="6" t="s">
        <v>483</v>
      </c>
      <c r="S1397" s="20">
        <v>0.0</v>
      </c>
      <c r="T1397" s="6" t="s">
        <v>33</v>
      </c>
      <c r="U1397" s="6"/>
      <c r="V1397" s="6"/>
      <c r="W1397" s="6">
        <v>29.6759543</v>
      </c>
      <c r="X1397" s="6">
        <v>-95.592747</v>
      </c>
    </row>
    <row r="1398" ht="15.75" customHeight="1">
      <c r="A1398" s="6">
        <v>47276.0</v>
      </c>
      <c r="B1398" s="6">
        <v>2022.0</v>
      </c>
      <c r="C1398" s="6" t="str">
        <f t="shared" si="5"/>
        <v>7111 AVENUE H,Houston,Texas</v>
      </c>
      <c r="D1398" s="6" t="s">
        <v>2432</v>
      </c>
      <c r="E1398" s="6" t="s">
        <v>25</v>
      </c>
      <c r="F1398" s="6" t="s">
        <v>26</v>
      </c>
      <c r="G1398" s="6" t="s">
        <v>227</v>
      </c>
      <c r="H1398" s="6" t="s">
        <v>44</v>
      </c>
      <c r="I1398" s="6" t="str">
        <f>VLOOKUP(H1398,'Flow Location'!$A$1:$B$21,2,FALSE)</f>
        <v>Bayou/surface water/drainage ditch</v>
      </c>
      <c r="J1398" s="20">
        <v>0.0</v>
      </c>
      <c r="K1398" s="6" t="s">
        <v>45</v>
      </c>
      <c r="L1398" s="6" t="str">
        <f>VLOOKUP(K1398,'Structure type'!$A$1:$B$15,2,FALSE)</f>
        <v>City Cleanout</v>
      </c>
      <c r="M1398" s="6" t="s">
        <v>2433</v>
      </c>
      <c r="N1398" s="6" t="str">
        <f>VLOOKUP(M1398,'Excursion Cause'!$A$1:$B$34,2,FALSE)</f>
        <v>Collection system structural blockage</v>
      </c>
      <c r="O1398" s="21">
        <v>44676.0</v>
      </c>
      <c r="P1398" s="6" t="s">
        <v>716</v>
      </c>
      <c r="Q1398" s="21">
        <v>44676.0</v>
      </c>
      <c r="R1398" s="6" t="s">
        <v>716</v>
      </c>
      <c r="S1398" s="20">
        <v>0.0</v>
      </c>
      <c r="T1398" s="6" t="s">
        <v>270</v>
      </c>
      <c r="U1398" s="6"/>
      <c r="V1398" s="6"/>
      <c r="W1398" s="6">
        <v>29.7397271</v>
      </c>
      <c r="X1398" s="6">
        <v>-95.297365</v>
      </c>
    </row>
    <row r="1399" ht="15.75" customHeight="1">
      <c r="A1399" s="6">
        <v>47286.0</v>
      </c>
      <c r="B1399" s="6">
        <v>2022.0</v>
      </c>
      <c r="C1399" s="6" t="str">
        <f t="shared" si="5"/>
        <v>5020 BATON ROUGE,Houston,Texas</v>
      </c>
      <c r="D1399" s="6" t="s">
        <v>2434</v>
      </c>
      <c r="E1399" s="6" t="s">
        <v>25</v>
      </c>
      <c r="F1399" s="6" t="s">
        <v>26</v>
      </c>
      <c r="G1399" s="6" t="s">
        <v>177</v>
      </c>
      <c r="H1399" s="6" t="s">
        <v>50</v>
      </c>
      <c r="I1399" s="6" t="str">
        <f>VLOOKUP(H1399,'Flow Location'!$A$1:$B$21,2,FALSE)</f>
        <v>Contained On Site, not within 5 ft. of Bayou/Surface Water/Drainage Ditch</v>
      </c>
      <c r="J1399" s="20">
        <v>0.0</v>
      </c>
      <c r="K1399" s="6" t="s">
        <v>198</v>
      </c>
      <c r="L1399" s="6" t="str">
        <f>VLOOKUP(K1399,'Structure type'!$A$1:$B$15,2,FALSE)</f>
        <v>Service Lateral</v>
      </c>
      <c r="M1399" s="6" t="s">
        <v>81</v>
      </c>
      <c r="N1399" s="6" t="str">
        <f>VLOOKUP(M1399,'Excursion Cause'!$A$1:$B$34,2,FALSE)</f>
        <v>Collection system structural failure</v>
      </c>
      <c r="O1399" s="21">
        <v>44676.0</v>
      </c>
      <c r="P1399" s="6" t="s">
        <v>145</v>
      </c>
      <c r="Q1399" s="21">
        <v>44676.0</v>
      </c>
      <c r="R1399" s="6" t="s">
        <v>145</v>
      </c>
      <c r="S1399" s="20">
        <v>0.0</v>
      </c>
      <c r="T1399" s="6" t="s">
        <v>107</v>
      </c>
      <c r="U1399" s="6"/>
      <c r="V1399" s="6"/>
      <c r="W1399" s="6">
        <v>29.8172352</v>
      </c>
      <c r="X1399" s="6">
        <v>-95.3168623</v>
      </c>
    </row>
    <row r="1400" ht="15.75" customHeight="1">
      <c r="A1400" s="6">
        <v>47290.0</v>
      </c>
      <c r="B1400" s="6">
        <v>2022.0</v>
      </c>
      <c r="C1400" s="6" t="str">
        <f t="shared" si="5"/>
        <v>9726 SAN CARLOS ST,Houston,Texas</v>
      </c>
      <c r="D1400" s="6" t="s">
        <v>2435</v>
      </c>
      <c r="E1400" s="6" t="s">
        <v>25</v>
      </c>
      <c r="F1400" s="6" t="s">
        <v>26</v>
      </c>
      <c r="G1400" s="6" t="s">
        <v>656</v>
      </c>
      <c r="H1400" s="6" t="s">
        <v>50</v>
      </c>
      <c r="I1400" s="6" t="str">
        <f>VLOOKUP(H1400,'Flow Location'!$A$1:$B$21,2,FALSE)</f>
        <v>Contained On Site, not within 5 ft. of Bayou/Surface Water/Drainage Ditch</v>
      </c>
      <c r="J1400" s="20">
        <v>0.0</v>
      </c>
      <c r="K1400" s="6" t="s">
        <v>198</v>
      </c>
      <c r="L1400" s="6" t="str">
        <f>VLOOKUP(K1400,'Structure type'!$A$1:$B$15,2,FALSE)</f>
        <v>Service Lateral</v>
      </c>
      <c r="M1400" s="6" t="s">
        <v>30</v>
      </c>
      <c r="N1400" s="6" t="str">
        <f>VLOOKUP(M1400,'Excursion Cause'!$A$1:$B$34,2,FALSE)</f>
        <v>Grease Blockage</v>
      </c>
      <c r="O1400" s="21">
        <v>44676.0</v>
      </c>
      <c r="P1400" s="6" t="s">
        <v>635</v>
      </c>
      <c r="Q1400" s="21">
        <v>44676.0</v>
      </c>
      <c r="R1400" s="6" t="s">
        <v>635</v>
      </c>
      <c r="S1400" s="20">
        <v>0.0</v>
      </c>
      <c r="T1400" s="6" t="s">
        <v>59</v>
      </c>
      <c r="U1400" s="6"/>
      <c r="V1400" s="6"/>
      <c r="W1400" s="6">
        <v>29.7967206</v>
      </c>
      <c r="X1400" s="6">
        <v>-95.2559768</v>
      </c>
    </row>
    <row r="1401" ht="15.75" customHeight="1">
      <c r="A1401" s="6">
        <v>47296.0</v>
      </c>
      <c r="B1401" s="6">
        <v>2022.0</v>
      </c>
      <c r="C1401" s="6" t="str">
        <f t="shared" si="5"/>
        <v>7119 THORNWILD RD,Houston,Texas</v>
      </c>
      <c r="D1401" s="6" t="s">
        <v>2436</v>
      </c>
      <c r="E1401" s="6" t="s">
        <v>25</v>
      </c>
      <c r="F1401" s="6" t="s">
        <v>26</v>
      </c>
      <c r="G1401" s="6" t="s">
        <v>166</v>
      </c>
      <c r="H1401" s="6" t="s">
        <v>50</v>
      </c>
      <c r="I1401" s="6" t="str">
        <f>VLOOKUP(H1401,'Flow Location'!$A$1:$B$21,2,FALSE)</f>
        <v>Contained On Site, not within 5 ft. of Bayou/Surface Water/Drainage Ditch</v>
      </c>
      <c r="J1401" s="20">
        <v>0.0</v>
      </c>
      <c r="K1401" s="6" t="s">
        <v>29</v>
      </c>
      <c r="L1401" s="6" t="str">
        <f>VLOOKUP(K1401,'Structure type'!$A$1:$B$15,2,FALSE)</f>
        <v>Manhole</v>
      </c>
      <c r="M1401" s="6" t="s">
        <v>30</v>
      </c>
      <c r="N1401" s="6" t="str">
        <f>VLOOKUP(M1401,'Excursion Cause'!$A$1:$B$34,2,FALSE)</f>
        <v>Grease Blockage</v>
      </c>
      <c r="O1401" s="21">
        <v>44676.0</v>
      </c>
      <c r="P1401" s="6" t="s">
        <v>2437</v>
      </c>
      <c r="Q1401" s="21">
        <v>44676.0</v>
      </c>
      <c r="R1401" s="6" t="s">
        <v>2437</v>
      </c>
      <c r="S1401" s="20">
        <v>0.0</v>
      </c>
      <c r="T1401" s="6" t="s">
        <v>59</v>
      </c>
      <c r="U1401" s="6"/>
      <c r="V1401" s="6"/>
      <c r="W1401" s="6">
        <v>29.6011614</v>
      </c>
      <c r="X1401" s="6">
        <v>-95.4935615</v>
      </c>
    </row>
    <row r="1402" ht="15.75" customHeight="1">
      <c r="A1402" s="6">
        <v>47299.0</v>
      </c>
      <c r="B1402" s="6">
        <v>2022.0</v>
      </c>
      <c r="C1402" s="6" t="str">
        <f t="shared" si="5"/>
        <v>6023 IRISH HILL DR,Houston,Texas</v>
      </c>
      <c r="D1402" s="6" t="s">
        <v>2438</v>
      </c>
      <c r="E1402" s="6" t="s">
        <v>25</v>
      </c>
      <c r="F1402" s="6" t="s">
        <v>26</v>
      </c>
      <c r="G1402" s="6" t="s">
        <v>517</v>
      </c>
      <c r="H1402" s="6" t="s">
        <v>50</v>
      </c>
      <c r="I1402" s="6" t="str">
        <f>VLOOKUP(H1402,'Flow Location'!$A$1:$B$21,2,FALSE)</f>
        <v>Contained On Site, not within 5 ft. of Bayou/Surface Water/Drainage Ditch</v>
      </c>
      <c r="J1402" s="20">
        <v>0.0</v>
      </c>
      <c r="K1402" s="6" t="s">
        <v>29</v>
      </c>
      <c r="L1402" s="6" t="str">
        <f>VLOOKUP(K1402,'Structure type'!$A$1:$B$15,2,FALSE)</f>
        <v>Manhole</v>
      </c>
      <c r="M1402" s="6" t="s">
        <v>96</v>
      </c>
      <c r="N1402" s="6" t="str">
        <f>VLOOKUP(M1402,'Excursion Cause'!$A$1:$B$34,2,FALSE)</f>
        <v>Collection system temporary blockage</v>
      </c>
      <c r="O1402" s="21">
        <v>44677.0</v>
      </c>
      <c r="P1402" s="6" t="s">
        <v>262</v>
      </c>
      <c r="Q1402" s="21">
        <v>44677.0</v>
      </c>
      <c r="R1402" s="6" t="s">
        <v>262</v>
      </c>
      <c r="S1402" s="20">
        <v>0.0</v>
      </c>
      <c r="T1402" s="6" t="s">
        <v>118</v>
      </c>
      <c r="U1402" s="6"/>
      <c r="V1402" s="6"/>
      <c r="W1402" s="6">
        <v>29.5992035</v>
      </c>
      <c r="X1402" s="6">
        <v>-95.4753381</v>
      </c>
    </row>
    <row r="1403" ht="15.75" customHeight="1">
      <c r="A1403" s="6">
        <v>47303.0</v>
      </c>
      <c r="B1403" s="6">
        <v>2022.0</v>
      </c>
      <c r="C1403" s="6" t="str">
        <f t="shared" si="5"/>
        <v>2840 SHADOWBRIAR DR,Houston,Texas</v>
      </c>
      <c r="D1403" s="6" t="s">
        <v>2439</v>
      </c>
      <c r="E1403" s="6" t="s">
        <v>25</v>
      </c>
      <c r="F1403" s="6" t="s">
        <v>26</v>
      </c>
      <c r="G1403" s="6" t="s">
        <v>347</v>
      </c>
      <c r="H1403" s="6" t="s">
        <v>1724</v>
      </c>
      <c r="I1403" s="6" t="str">
        <f>VLOOKUP(H1403,'Flow Location'!$A$1:$B$21,2,FALSE)</f>
        <v>Storm Sewer (not contained)</v>
      </c>
      <c r="J1403" s="20">
        <v>955.0</v>
      </c>
      <c r="K1403" s="6" t="s">
        <v>29</v>
      </c>
      <c r="L1403" s="6" t="str">
        <f>VLOOKUP(K1403,'Structure type'!$A$1:$B$15,2,FALSE)</f>
        <v>Manhole</v>
      </c>
      <c r="M1403" s="6" t="s">
        <v>2440</v>
      </c>
      <c r="N1403" s="6" t="str">
        <f>VLOOKUP(M1403,'Excursion Cause'!$A$1:$B$34,2,FALSE)</f>
        <v>Grease Blockage</v>
      </c>
      <c r="O1403" s="21">
        <v>44677.0</v>
      </c>
      <c r="P1403" s="6" t="s">
        <v>2441</v>
      </c>
      <c r="Q1403" s="21">
        <v>44677.0</v>
      </c>
      <c r="R1403" s="6" t="s">
        <v>1162</v>
      </c>
      <c r="S1403" s="20">
        <v>5.0</v>
      </c>
      <c r="T1403" s="6" t="s">
        <v>2442</v>
      </c>
      <c r="U1403" s="6"/>
      <c r="V1403" s="6"/>
      <c r="W1403" s="6">
        <v>29.7344699</v>
      </c>
      <c r="X1403" s="6">
        <v>-95.5997411</v>
      </c>
    </row>
    <row r="1404" ht="15.75" customHeight="1">
      <c r="A1404" s="6">
        <v>47304.0</v>
      </c>
      <c r="B1404" s="6">
        <v>2022.0</v>
      </c>
      <c r="C1404" s="6" t="str">
        <f t="shared" si="5"/>
        <v>2706 WESTHEIMER RD,Houston,Texas</v>
      </c>
      <c r="D1404" s="6" t="s">
        <v>2443</v>
      </c>
      <c r="E1404" s="6" t="s">
        <v>25</v>
      </c>
      <c r="F1404" s="6" t="s">
        <v>26</v>
      </c>
      <c r="G1404" s="6" t="s">
        <v>112</v>
      </c>
      <c r="H1404" s="6" t="s">
        <v>1724</v>
      </c>
      <c r="I1404" s="6" t="str">
        <f>VLOOKUP(H1404,'Flow Location'!$A$1:$B$21,2,FALSE)</f>
        <v>Storm Sewer (not contained)</v>
      </c>
      <c r="J1404" s="20">
        <v>242.0</v>
      </c>
      <c r="K1404" s="6" t="s">
        <v>2444</v>
      </c>
      <c r="L1404" s="6" t="str">
        <f>VLOOKUP(K1404,'Structure type'!$A$1:$B$15,2,FALSE)</f>
        <v>Private Sample Well</v>
      </c>
      <c r="M1404" s="6" t="s">
        <v>2445</v>
      </c>
      <c r="N1404" s="6" t="str">
        <f>VLOOKUP(M1404,'Excursion Cause'!$A$1:$B$34,2,FALSE)</f>
        <v>Grease Blockage</v>
      </c>
      <c r="O1404" s="21">
        <v>44677.0</v>
      </c>
      <c r="P1404" s="6" t="s">
        <v>1095</v>
      </c>
      <c r="Q1404" s="21">
        <v>44677.0</v>
      </c>
      <c r="R1404" s="6" t="s">
        <v>200</v>
      </c>
      <c r="S1404" s="20">
        <v>2.0</v>
      </c>
      <c r="T1404" s="6" t="s">
        <v>2446</v>
      </c>
      <c r="U1404" s="6"/>
      <c r="V1404" s="6"/>
      <c r="W1404" s="6">
        <v>29.7426326</v>
      </c>
      <c r="X1404" s="6">
        <v>-95.4204285</v>
      </c>
    </row>
    <row r="1405" ht="15.75" customHeight="1">
      <c r="A1405" s="6">
        <v>47306.0</v>
      </c>
      <c r="B1405" s="6">
        <v>2022.0</v>
      </c>
      <c r="C1405" s="6" t="str">
        <f t="shared" si="5"/>
        <v>10615 MEADOWGLEN LN,Houston,Texas</v>
      </c>
      <c r="D1405" s="6" t="s">
        <v>1133</v>
      </c>
      <c r="E1405" s="6" t="s">
        <v>25</v>
      </c>
      <c r="F1405" s="6" t="s">
        <v>26</v>
      </c>
      <c r="G1405" s="6" t="s">
        <v>401</v>
      </c>
      <c r="H1405" s="6" t="s">
        <v>2275</v>
      </c>
      <c r="I1405" s="6" t="str">
        <f>VLOOKUP(H1405,'Flow Location'!$A$1:$B$21,2,FALSE)</f>
        <v>Contained On Site, not within 5 ft. of Bayou/Surface Water/Drainage Ditch</v>
      </c>
      <c r="J1405" s="20">
        <v>0.0</v>
      </c>
      <c r="K1405" s="6" t="s">
        <v>29</v>
      </c>
      <c r="L1405" s="6" t="str">
        <f>VLOOKUP(K1405,'Structure type'!$A$1:$B$15,2,FALSE)</f>
        <v>Manhole</v>
      </c>
      <c r="M1405" s="6" t="s">
        <v>30</v>
      </c>
      <c r="N1405" s="6" t="str">
        <f>VLOOKUP(M1405,'Excursion Cause'!$A$1:$B$34,2,FALSE)</f>
        <v>Grease Blockage</v>
      </c>
      <c r="O1405" s="21">
        <v>44677.0</v>
      </c>
      <c r="P1405" s="6" t="s">
        <v>2115</v>
      </c>
      <c r="Q1405" s="21">
        <v>44677.0</v>
      </c>
      <c r="R1405" s="6" t="s">
        <v>2115</v>
      </c>
      <c r="S1405" s="20">
        <v>0.0</v>
      </c>
      <c r="T1405" s="6" t="s">
        <v>474</v>
      </c>
      <c r="U1405" s="6"/>
      <c r="V1405" s="6"/>
      <c r="W1405" s="6">
        <v>29.7305992</v>
      </c>
      <c r="X1405" s="6">
        <v>-95.5623045</v>
      </c>
    </row>
    <row r="1406" ht="15.75" customHeight="1">
      <c r="A1406" s="6">
        <v>47307.0</v>
      </c>
      <c r="B1406" s="6">
        <v>2022.0</v>
      </c>
      <c r="C1406" s="6" t="str">
        <f t="shared" si="5"/>
        <v>7015 OAK BOUGH DR,Houston,Texas</v>
      </c>
      <c r="D1406" s="6" t="s">
        <v>2447</v>
      </c>
      <c r="E1406" s="6" t="s">
        <v>25</v>
      </c>
      <c r="F1406" s="6" t="s">
        <v>26</v>
      </c>
      <c r="G1406" s="6" t="s">
        <v>502</v>
      </c>
      <c r="H1406" s="6" t="s">
        <v>2275</v>
      </c>
      <c r="I1406" s="6" t="str">
        <f>VLOOKUP(H1406,'Flow Location'!$A$1:$B$21,2,FALSE)</f>
        <v>Contained On Site, not within 5 ft. of Bayou/Surface Water/Drainage Ditch</v>
      </c>
      <c r="J1406" s="20">
        <v>0.0</v>
      </c>
      <c r="K1406" s="6" t="s">
        <v>51</v>
      </c>
      <c r="L1406" s="6" t="str">
        <f>VLOOKUP(K1406,'Structure type'!$A$1:$B$15,2,FALSE)</f>
        <v>Private Cleanout</v>
      </c>
      <c r="M1406" s="6" t="s">
        <v>2448</v>
      </c>
      <c r="N1406" s="6" t="str">
        <f>VLOOKUP(M1406,'Excursion Cause'!$A$1:$B$34,2,FALSE)</f>
        <v>Collection system structural failure</v>
      </c>
      <c r="O1406" s="21">
        <v>44677.0</v>
      </c>
      <c r="P1406" s="6" t="s">
        <v>1169</v>
      </c>
      <c r="Q1406" s="21">
        <v>44677.0</v>
      </c>
      <c r="R1406" s="6" t="s">
        <v>1169</v>
      </c>
      <c r="S1406" s="20">
        <v>0.0</v>
      </c>
      <c r="T1406" s="6" t="s">
        <v>474</v>
      </c>
      <c r="U1406" s="6"/>
      <c r="V1406" s="6"/>
      <c r="W1406" s="6">
        <v>29.8714307</v>
      </c>
      <c r="X1406" s="6">
        <v>-95.4844471</v>
      </c>
    </row>
    <row r="1407" ht="15.75" customHeight="1">
      <c r="A1407" s="6">
        <v>47308.0</v>
      </c>
      <c r="B1407" s="6">
        <v>2022.0</v>
      </c>
      <c r="C1407" s="6" t="str">
        <f t="shared" si="5"/>
        <v>2510 BEATTY ST,Houston,Texas</v>
      </c>
      <c r="D1407" s="6" t="s">
        <v>2449</v>
      </c>
      <c r="E1407" s="6" t="s">
        <v>25</v>
      </c>
      <c r="F1407" s="6" t="s">
        <v>26</v>
      </c>
      <c r="G1407" s="6" t="s">
        <v>141</v>
      </c>
      <c r="H1407" s="6" t="s">
        <v>2275</v>
      </c>
      <c r="I1407" s="6" t="str">
        <f>VLOOKUP(H1407,'Flow Location'!$A$1:$B$21,2,FALSE)</f>
        <v>Contained On Site, not within 5 ft. of Bayou/Surface Water/Drainage Ditch</v>
      </c>
      <c r="J1407" s="20">
        <v>0.0</v>
      </c>
      <c r="K1407" s="6" t="s">
        <v>29</v>
      </c>
      <c r="L1407" s="6" t="str">
        <f>VLOOKUP(K1407,'Structure type'!$A$1:$B$15,2,FALSE)</f>
        <v>Manhole</v>
      </c>
      <c r="M1407" s="6" t="s">
        <v>30</v>
      </c>
      <c r="N1407" s="6" t="str">
        <f>VLOOKUP(M1407,'Excursion Cause'!$A$1:$B$34,2,FALSE)</f>
        <v>Grease Blockage</v>
      </c>
      <c r="O1407" s="21">
        <v>44677.0</v>
      </c>
      <c r="P1407" s="6" t="s">
        <v>2450</v>
      </c>
      <c r="Q1407" s="21">
        <v>44677.0</v>
      </c>
      <c r="R1407" s="6" t="s">
        <v>2450</v>
      </c>
      <c r="S1407" s="20">
        <v>0.0</v>
      </c>
      <c r="T1407" s="6" t="s">
        <v>33</v>
      </c>
      <c r="U1407" s="6"/>
      <c r="V1407" s="6"/>
      <c r="W1407" s="6">
        <v>29.7101205</v>
      </c>
      <c r="X1407" s="6">
        <v>-95.3105584</v>
      </c>
    </row>
    <row r="1408" ht="15.75" customHeight="1">
      <c r="A1408" s="6">
        <v>47309.0</v>
      </c>
      <c r="B1408" s="6">
        <v>2022.0</v>
      </c>
      <c r="C1408" s="6" t="str">
        <f t="shared" si="5"/>
        <v>8025 LENORE ST,Houston,Texas</v>
      </c>
      <c r="D1408" s="6" t="s">
        <v>2451</v>
      </c>
      <c r="E1408" s="6" t="s">
        <v>25</v>
      </c>
      <c r="F1408" s="6" t="s">
        <v>26</v>
      </c>
      <c r="G1408" s="6" t="s">
        <v>135</v>
      </c>
      <c r="H1408" s="6" t="s">
        <v>2275</v>
      </c>
      <c r="I1408" s="6" t="str">
        <f>VLOOKUP(H1408,'Flow Location'!$A$1:$B$21,2,FALSE)</f>
        <v>Contained On Site, not within 5 ft. of Bayou/Surface Water/Drainage Ditch</v>
      </c>
      <c r="J1408" s="20">
        <v>0.0</v>
      </c>
      <c r="K1408" s="6" t="s">
        <v>45</v>
      </c>
      <c r="L1408" s="6" t="str">
        <f>VLOOKUP(K1408,'Structure type'!$A$1:$B$15,2,FALSE)</f>
        <v>City Cleanout</v>
      </c>
      <c r="M1408" s="6" t="s">
        <v>56</v>
      </c>
      <c r="N1408" s="6" t="str">
        <f>VLOOKUP(M1408,'Excursion Cause'!$A$1:$B$34,2,FALSE)</f>
        <v>Rags/Wipes</v>
      </c>
      <c r="O1408" s="21">
        <v>44677.0</v>
      </c>
      <c r="P1408" s="6" t="s">
        <v>1157</v>
      </c>
      <c r="Q1408" s="21">
        <v>44677.0</v>
      </c>
      <c r="R1408" s="6" t="s">
        <v>1157</v>
      </c>
      <c r="S1408" s="20">
        <v>0.0</v>
      </c>
      <c r="T1408" s="6" t="s">
        <v>170</v>
      </c>
      <c r="U1408" s="6"/>
      <c r="V1408" s="6"/>
      <c r="W1408" s="6">
        <v>29.6760164</v>
      </c>
      <c r="X1408" s="6">
        <v>-95.2645217</v>
      </c>
    </row>
    <row r="1409" ht="15.75" customHeight="1">
      <c r="A1409" s="6">
        <v>47311.0</v>
      </c>
      <c r="B1409" s="6">
        <v>2022.0</v>
      </c>
      <c r="C1409" s="6" t="str">
        <f t="shared" si="5"/>
        <v>1406 LAWRENCE ST,Houston,Texas</v>
      </c>
      <c r="D1409" s="6" t="s">
        <v>2452</v>
      </c>
      <c r="E1409" s="6" t="s">
        <v>25</v>
      </c>
      <c r="F1409" s="6" t="s">
        <v>26</v>
      </c>
      <c r="G1409" s="6" t="s">
        <v>232</v>
      </c>
      <c r="H1409" s="6" t="s">
        <v>2275</v>
      </c>
      <c r="I1409" s="6" t="str">
        <f>VLOOKUP(H1409,'Flow Location'!$A$1:$B$21,2,FALSE)</f>
        <v>Contained On Site, not within 5 ft. of Bayou/Surface Water/Drainage Ditch</v>
      </c>
      <c r="J1409" s="20">
        <v>0.0</v>
      </c>
      <c r="K1409" s="6" t="s">
        <v>198</v>
      </c>
      <c r="L1409" s="6" t="str">
        <f>VLOOKUP(K1409,'Structure type'!$A$1:$B$15,2,FALSE)</f>
        <v>Service Lateral</v>
      </c>
      <c r="M1409" s="6" t="s">
        <v>2453</v>
      </c>
      <c r="N1409" s="6" t="str">
        <f>VLOOKUP(M1409,'Excursion Cause'!$A$1:$B$34,2,FALSE)</f>
        <v>Collection system structural failure</v>
      </c>
      <c r="O1409" s="21">
        <v>44677.0</v>
      </c>
      <c r="P1409" s="6" t="s">
        <v>142</v>
      </c>
      <c r="Q1409" s="21">
        <v>44677.0</v>
      </c>
      <c r="R1409" s="6" t="s">
        <v>142</v>
      </c>
      <c r="S1409" s="20">
        <v>0.0</v>
      </c>
      <c r="T1409" s="6" t="s">
        <v>170</v>
      </c>
      <c r="U1409" s="6"/>
      <c r="V1409" s="6"/>
      <c r="W1409" s="6">
        <v>29.7963514</v>
      </c>
      <c r="X1409" s="6">
        <v>-95.4074165</v>
      </c>
    </row>
    <row r="1410" ht="15.75" customHeight="1">
      <c r="A1410" s="6">
        <v>47314.0</v>
      </c>
      <c r="B1410" s="6">
        <v>2022.0</v>
      </c>
      <c r="C1410" s="6" t="str">
        <f t="shared" si="5"/>
        <v>5531 CHANTILLY LN,Houston,Texas</v>
      </c>
      <c r="D1410" s="6" t="s">
        <v>2454</v>
      </c>
      <c r="E1410" s="6" t="s">
        <v>25</v>
      </c>
      <c r="F1410" s="6" t="s">
        <v>26</v>
      </c>
      <c r="G1410" s="6" t="s">
        <v>76</v>
      </c>
      <c r="H1410" s="6" t="s">
        <v>1724</v>
      </c>
      <c r="I1410" s="6" t="str">
        <f>VLOOKUP(H1410,'Flow Location'!$A$1:$B$21,2,FALSE)</f>
        <v>Storm Sewer (not contained)</v>
      </c>
      <c r="J1410" s="20">
        <v>1188.0</v>
      </c>
      <c r="K1410" s="6" t="s">
        <v>29</v>
      </c>
      <c r="L1410" s="6" t="str">
        <f>VLOOKUP(K1410,'Structure type'!$A$1:$B$15,2,FALSE)</f>
        <v>Manhole</v>
      </c>
      <c r="M1410" s="6" t="s">
        <v>56</v>
      </c>
      <c r="N1410" s="6" t="str">
        <f>VLOOKUP(M1410,'Excursion Cause'!$A$1:$B$34,2,FALSE)</f>
        <v>Rags/Wipes</v>
      </c>
      <c r="O1410" s="21">
        <v>44678.0</v>
      </c>
      <c r="P1410" s="6" t="s">
        <v>121</v>
      </c>
      <c r="Q1410" s="21">
        <v>44678.0</v>
      </c>
      <c r="R1410" s="6" t="s">
        <v>121</v>
      </c>
      <c r="S1410" s="20">
        <v>0.0</v>
      </c>
      <c r="T1410" s="6" t="s">
        <v>2455</v>
      </c>
      <c r="U1410" s="6"/>
      <c r="V1410" s="6"/>
      <c r="W1410" s="6">
        <v>29.8282088</v>
      </c>
      <c r="X1410" s="6">
        <v>-95.4746068</v>
      </c>
    </row>
    <row r="1411" ht="15.75" customHeight="1">
      <c r="A1411" s="6">
        <v>47323.0</v>
      </c>
      <c r="B1411" s="6">
        <v>2022.0</v>
      </c>
      <c r="C1411" s="6" t="str">
        <f t="shared" si="5"/>
        <v>511 DERBYSHIRE DR,Houston,Texas</v>
      </c>
      <c r="D1411" s="6" t="s">
        <v>2456</v>
      </c>
      <c r="E1411" s="6" t="s">
        <v>25</v>
      </c>
      <c r="F1411" s="6" t="s">
        <v>26</v>
      </c>
      <c r="G1411" s="6" t="s">
        <v>49</v>
      </c>
      <c r="H1411" s="6" t="s">
        <v>1724</v>
      </c>
      <c r="I1411" s="6" t="str">
        <f>VLOOKUP(H1411,'Flow Location'!$A$1:$B$21,2,FALSE)</f>
        <v>Storm Sewer (not contained)</v>
      </c>
      <c r="J1411" s="20">
        <v>1768.0</v>
      </c>
      <c r="K1411" s="6" t="s">
        <v>29</v>
      </c>
      <c r="L1411" s="6" t="str">
        <f>VLOOKUP(K1411,'Structure type'!$A$1:$B$15,2,FALSE)</f>
        <v>Manhole</v>
      </c>
      <c r="M1411" s="6" t="s">
        <v>2457</v>
      </c>
      <c r="N1411" s="6" t="str">
        <f>VLOOKUP(M1411,'Excursion Cause'!$A$1:$B$34,2,FALSE)</f>
        <v>Grease Blockage</v>
      </c>
      <c r="O1411" s="21">
        <v>44678.0</v>
      </c>
      <c r="P1411" s="6" t="s">
        <v>637</v>
      </c>
      <c r="Q1411" s="21">
        <v>44679.0</v>
      </c>
      <c r="R1411" s="6" t="s">
        <v>565</v>
      </c>
      <c r="S1411" s="20">
        <v>1.0</v>
      </c>
      <c r="T1411" s="6" t="s">
        <v>2458</v>
      </c>
      <c r="U1411" s="6"/>
      <c r="V1411" s="6"/>
      <c r="W1411" s="6">
        <v>29.5958887</v>
      </c>
      <c r="X1411" s="6">
        <v>-95.1802719</v>
      </c>
    </row>
    <row r="1412" ht="15.75" customHeight="1">
      <c r="A1412" s="6">
        <v>47324.0</v>
      </c>
      <c r="B1412" s="6">
        <v>2022.0</v>
      </c>
      <c r="C1412" s="6" t="str">
        <f t="shared" si="5"/>
        <v>6410 KASSARINE PASS,Houston,Texas</v>
      </c>
      <c r="D1412" s="6" t="s">
        <v>2459</v>
      </c>
      <c r="E1412" s="6" t="s">
        <v>25</v>
      </c>
      <c r="F1412" s="6" t="s">
        <v>26</v>
      </c>
      <c r="G1412" s="6" t="s">
        <v>120</v>
      </c>
      <c r="H1412" s="6" t="s">
        <v>50</v>
      </c>
      <c r="I1412" s="6" t="str">
        <f>VLOOKUP(H1412,'Flow Location'!$A$1:$B$21,2,FALSE)</f>
        <v>Contained On Site, not within 5 ft. of Bayou/Surface Water/Drainage Ditch</v>
      </c>
      <c r="J1412" s="20">
        <v>0.0</v>
      </c>
      <c r="K1412" s="6" t="s">
        <v>29</v>
      </c>
      <c r="L1412" s="6" t="str">
        <f>VLOOKUP(K1412,'Structure type'!$A$1:$B$15,2,FALSE)</f>
        <v>Manhole</v>
      </c>
      <c r="M1412" s="6" t="s">
        <v>30</v>
      </c>
      <c r="N1412" s="6" t="str">
        <f>VLOOKUP(M1412,'Excursion Cause'!$A$1:$B$34,2,FALSE)</f>
        <v>Grease Blockage</v>
      </c>
      <c r="O1412" s="21">
        <v>44678.0</v>
      </c>
      <c r="P1412" s="6" t="s">
        <v>978</v>
      </c>
      <c r="Q1412" s="21">
        <v>44678.0</v>
      </c>
      <c r="R1412" s="6" t="s">
        <v>978</v>
      </c>
      <c r="S1412" s="20">
        <v>0.0</v>
      </c>
      <c r="T1412" s="6" t="s">
        <v>33</v>
      </c>
      <c r="U1412" s="6"/>
      <c r="V1412" s="6"/>
      <c r="W1412" s="6">
        <v>29.68672</v>
      </c>
      <c r="X1412" s="6">
        <v>-95.3342771</v>
      </c>
    </row>
    <row r="1413" ht="15.75" customHeight="1">
      <c r="A1413" s="6">
        <v>47325.0</v>
      </c>
      <c r="B1413" s="6">
        <v>2022.0</v>
      </c>
      <c r="C1413" s="6" t="str">
        <f t="shared" si="5"/>
        <v>3412 GRAUSTARK ST,Houston,Texas</v>
      </c>
      <c r="D1413" s="6" t="s">
        <v>2460</v>
      </c>
      <c r="E1413" s="6" t="s">
        <v>25</v>
      </c>
      <c r="F1413" s="6" t="s">
        <v>26</v>
      </c>
      <c r="G1413" s="6" t="s">
        <v>761</v>
      </c>
      <c r="H1413" s="6" t="s">
        <v>50</v>
      </c>
      <c r="I1413" s="6" t="str">
        <f>VLOOKUP(H1413,'Flow Location'!$A$1:$B$21,2,FALSE)</f>
        <v>Contained On Site, not within 5 ft. of Bayou/Surface Water/Drainage Ditch</v>
      </c>
      <c r="J1413" s="20">
        <v>0.0</v>
      </c>
      <c r="K1413" s="6" t="s">
        <v>198</v>
      </c>
      <c r="L1413" s="6" t="str">
        <f>VLOOKUP(K1413,'Structure type'!$A$1:$B$15,2,FALSE)</f>
        <v>Service Lateral</v>
      </c>
      <c r="M1413" s="6" t="s">
        <v>52</v>
      </c>
      <c r="N1413" s="6" t="str">
        <f>VLOOKUP(M1413,'Excursion Cause'!$A$1:$B$34,2,FALSE)</f>
        <v>Collection system structural blockage</v>
      </c>
      <c r="O1413" s="21">
        <v>44679.0</v>
      </c>
      <c r="P1413" s="6" t="s">
        <v>57</v>
      </c>
      <c r="Q1413" s="21">
        <v>44679.0</v>
      </c>
      <c r="R1413" s="6" t="s">
        <v>57</v>
      </c>
      <c r="S1413" s="20">
        <v>0.0</v>
      </c>
      <c r="T1413" s="6" t="s">
        <v>89</v>
      </c>
      <c r="U1413" s="6"/>
      <c r="V1413" s="6"/>
      <c r="W1413" s="6">
        <v>29.7417373</v>
      </c>
      <c r="X1413" s="6">
        <v>-95.3951903</v>
      </c>
    </row>
    <row r="1414" ht="15.75" customHeight="1">
      <c r="A1414" s="6">
        <v>47326.0</v>
      </c>
      <c r="B1414" s="6">
        <v>2022.0</v>
      </c>
      <c r="C1414" s="6" t="str">
        <f t="shared" si="5"/>
        <v>6540 TUSKEGEE ST,Houston,Texas</v>
      </c>
      <c r="D1414" s="6" t="s">
        <v>2461</v>
      </c>
      <c r="E1414" s="6" t="s">
        <v>25</v>
      </c>
      <c r="F1414" s="6" t="s">
        <v>26</v>
      </c>
      <c r="G1414" s="6" t="s">
        <v>222</v>
      </c>
      <c r="H1414" s="6" t="s">
        <v>50</v>
      </c>
      <c r="I1414" s="6" t="str">
        <f>VLOOKUP(H1414,'Flow Location'!$A$1:$B$21,2,FALSE)</f>
        <v>Contained On Site, not within 5 ft. of Bayou/Surface Water/Drainage Ditch</v>
      </c>
      <c r="J1414" s="20">
        <v>0.0</v>
      </c>
      <c r="K1414" s="6" t="s">
        <v>51</v>
      </c>
      <c r="L1414" s="6" t="str">
        <f>VLOOKUP(K1414,'Structure type'!$A$1:$B$15,2,FALSE)</f>
        <v>Private Cleanout</v>
      </c>
      <c r="M1414" s="6" t="s">
        <v>81</v>
      </c>
      <c r="N1414" s="6" t="str">
        <f>VLOOKUP(M1414,'Excursion Cause'!$A$1:$B$34,2,FALSE)</f>
        <v>Collection system structural failure</v>
      </c>
      <c r="O1414" s="21">
        <v>44679.0</v>
      </c>
      <c r="P1414" s="6" t="s">
        <v>106</v>
      </c>
      <c r="Q1414" s="21">
        <v>44679.0</v>
      </c>
      <c r="R1414" s="6" t="s">
        <v>106</v>
      </c>
      <c r="S1414" s="20">
        <v>0.0</v>
      </c>
      <c r="T1414" s="6" t="s">
        <v>118</v>
      </c>
      <c r="U1414" s="6"/>
      <c r="V1414" s="6"/>
      <c r="W1414" s="6">
        <v>29.8594234</v>
      </c>
      <c r="X1414" s="6">
        <v>-95.4258151</v>
      </c>
    </row>
    <row r="1415" ht="15.75" customHeight="1">
      <c r="A1415" s="6">
        <v>47328.0</v>
      </c>
      <c r="B1415" s="6">
        <v>2022.0</v>
      </c>
      <c r="C1415" s="6" t="str">
        <f t="shared" si="5"/>
        <v>10936 MEADOWGLEN LN,Houston,Texas</v>
      </c>
      <c r="D1415" s="6" t="s">
        <v>2462</v>
      </c>
      <c r="E1415" s="6" t="s">
        <v>25</v>
      </c>
      <c r="F1415" s="6" t="s">
        <v>26</v>
      </c>
      <c r="G1415" s="6" t="s">
        <v>344</v>
      </c>
      <c r="H1415" s="6" t="s">
        <v>1724</v>
      </c>
      <c r="I1415" s="6" t="str">
        <f>VLOOKUP(H1415,'Flow Location'!$A$1:$B$21,2,FALSE)</f>
        <v>Storm Sewer (not contained)</v>
      </c>
      <c r="J1415" s="20">
        <v>452.0</v>
      </c>
      <c r="K1415" s="6" t="s">
        <v>29</v>
      </c>
      <c r="L1415" s="6" t="str">
        <f>VLOOKUP(K1415,'Structure type'!$A$1:$B$15,2,FALSE)</f>
        <v>Manhole</v>
      </c>
      <c r="M1415" s="6" t="s">
        <v>2463</v>
      </c>
      <c r="N1415" s="6" t="str">
        <f>VLOOKUP(M1415,'Excursion Cause'!$A$1:$B$34,2,FALSE)</f>
        <v>Grease Blockage</v>
      </c>
      <c r="O1415" s="21">
        <v>44679.0</v>
      </c>
      <c r="P1415" s="6" t="s">
        <v>1198</v>
      </c>
      <c r="Q1415" s="21">
        <v>44679.0</v>
      </c>
      <c r="R1415" s="6" t="s">
        <v>491</v>
      </c>
      <c r="S1415" s="20">
        <v>2.0</v>
      </c>
      <c r="T1415" s="6" t="s">
        <v>2464</v>
      </c>
      <c r="U1415" s="6"/>
      <c r="V1415" s="6"/>
      <c r="W1415" s="6">
        <v>29.7329997</v>
      </c>
      <c r="X1415" s="6">
        <v>-95.5683939</v>
      </c>
    </row>
    <row r="1416" ht="15.75" customHeight="1">
      <c r="A1416" s="6">
        <v>47332.0</v>
      </c>
      <c r="B1416" s="6">
        <v>2022.0</v>
      </c>
      <c r="C1416" s="6" t="str">
        <f t="shared" si="5"/>
        <v>4821 BOICEWOOD ST,Houston,Texas</v>
      </c>
      <c r="D1416" s="6" t="s">
        <v>2465</v>
      </c>
      <c r="E1416" s="6" t="s">
        <v>25</v>
      </c>
      <c r="F1416" s="6" t="s">
        <v>26</v>
      </c>
      <c r="G1416" s="6" t="s">
        <v>326</v>
      </c>
      <c r="H1416" s="6" t="s">
        <v>2275</v>
      </c>
      <c r="I1416" s="6" t="str">
        <f>VLOOKUP(H1416,'Flow Location'!$A$1:$B$21,2,FALSE)</f>
        <v>Contained On Site, not within 5 ft. of Bayou/Surface Water/Drainage Ditch</v>
      </c>
      <c r="J1416" s="20">
        <v>0.0</v>
      </c>
      <c r="K1416" s="6" t="s">
        <v>45</v>
      </c>
      <c r="L1416" s="6" t="str">
        <f>VLOOKUP(K1416,'Structure type'!$A$1:$B$15,2,FALSE)</f>
        <v>City Cleanout</v>
      </c>
      <c r="M1416" s="6" t="s">
        <v>2466</v>
      </c>
      <c r="N1416" s="6" t="str">
        <f>VLOOKUP(M1416,'Excursion Cause'!$A$1:$B$34,2,FALSE)</f>
        <v>Collection system structural blockage</v>
      </c>
      <c r="O1416" s="21">
        <v>44679.0</v>
      </c>
      <c r="P1416" s="6" t="s">
        <v>289</v>
      </c>
      <c r="Q1416" s="21">
        <v>44679.0</v>
      </c>
      <c r="R1416" s="6" t="s">
        <v>289</v>
      </c>
      <c r="S1416" s="20">
        <v>0.0</v>
      </c>
      <c r="T1416" s="6" t="s">
        <v>270</v>
      </c>
      <c r="U1416" s="6"/>
      <c r="V1416" s="6"/>
      <c r="W1416" s="6">
        <v>29.8428165</v>
      </c>
      <c r="X1416" s="6">
        <v>-95.3195149</v>
      </c>
    </row>
    <row r="1417" ht="15.75" customHeight="1">
      <c r="A1417" s="6">
        <v>47337.0</v>
      </c>
      <c r="B1417" s="6">
        <v>2022.0</v>
      </c>
      <c r="C1417" s="6" t="str">
        <f t="shared" si="5"/>
        <v>13610 SUNROSE LN,Houston,Texas</v>
      </c>
      <c r="D1417" s="6" t="s">
        <v>2467</v>
      </c>
      <c r="E1417" s="6" t="s">
        <v>25</v>
      </c>
      <c r="F1417" s="6" t="s">
        <v>26</v>
      </c>
      <c r="G1417" s="6" t="s">
        <v>39</v>
      </c>
      <c r="H1417" s="6" t="s">
        <v>2275</v>
      </c>
      <c r="I1417" s="6" t="str">
        <f>VLOOKUP(H1417,'Flow Location'!$A$1:$B$21,2,FALSE)</f>
        <v>Contained On Site, not within 5 ft. of Bayou/Surface Water/Drainage Ditch</v>
      </c>
      <c r="J1417" s="20">
        <v>0.0</v>
      </c>
      <c r="K1417" s="6" t="s">
        <v>29</v>
      </c>
      <c r="L1417" s="6" t="str">
        <f>VLOOKUP(K1417,'Structure type'!$A$1:$B$15,2,FALSE)</f>
        <v>Manhole</v>
      </c>
      <c r="M1417" s="6" t="s">
        <v>30</v>
      </c>
      <c r="N1417" s="6" t="str">
        <f>VLOOKUP(M1417,'Excursion Cause'!$A$1:$B$34,2,FALSE)</f>
        <v>Grease Blockage</v>
      </c>
      <c r="O1417" s="21">
        <v>44679.0</v>
      </c>
      <c r="P1417" s="6" t="s">
        <v>1592</v>
      </c>
      <c r="Q1417" s="21">
        <v>44679.0</v>
      </c>
      <c r="R1417" s="6" t="s">
        <v>1592</v>
      </c>
      <c r="S1417" s="20">
        <v>0.0</v>
      </c>
      <c r="T1417" s="6" t="s">
        <v>33</v>
      </c>
      <c r="U1417" s="6"/>
      <c r="V1417" s="6"/>
      <c r="W1417" s="6">
        <v>29.6296766</v>
      </c>
      <c r="X1417" s="6">
        <v>-95.4632332</v>
      </c>
    </row>
    <row r="1418" ht="15.75" customHeight="1">
      <c r="A1418" s="6">
        <v>47341.0</v>
      </c>
      <c r="B1418" s="6">
        <v>2022.0</v>
      </c>
      <c r="C1418" s="6" t="str">
        <f t="shared" si="5"/>
        <v>10936 MEADOWGLEN LN,Houston,Texas</v>
      </c>
      <c r="D1418" s="6" t="s">
        <v>2462</v>
      </c>
      <c r="E1418" s="6" t="s">
        <v>25</v>
      </c>
      <c r="F1418" s="6" t="s">
        <v>26</v>
      </c>
      <c r="G1418" s="6" t="s">
        <v>344</v>
      </c>
      <c r="H1418" s="6" t="s">
        <v>1724</v>
      </c>
      <c r="I1418" s="6" t="str">
        <f>VLOOKUP(H1418,'Flow Location'!$A$1:$B$21,2,FALSE)</f>
        <v>Storm Sewer (not contained)</v>
      </c>
      <c r="J1418" s="20">
        <v>162.0</v>
      </c>
      <c r="K1418" s="6" t="s">
        <v>29</v>
      </c>
      <c r="L1418" s="6" t="str">
        <f>VLOOKUP(K1418,'Structure type'!$A$1:$B$15,2,FALSE)</f>
        <v>Manhole</v>
      </c>
      <c r="M1418" s="6" t="s">
        <v>2468</v>
      </c>
      <c r="N1418" s="6" t="str">
        <f>VLOOKUP(M1418,'Excursion Cause'!$A$1:$B$34,2,FALSE)</f>
        <v>Grease Blockage</v>
      </c>
      <c r="O1418" s="21">
        <v>44680.0</v>
      </c>
      <c r="P1418" s="6" t="s">
        <v>921</v>
      </c>
      <c r="Q1418" s="21">
        <v>44680.0</v>
      </c>
      <c r="R1418" s="6" t="s">
        <v>173</v>
      </c>
      <c r="S1418" s="20">
        <v>2.0</v>
      </c>
      <c r="T1418" s="6" t="s">
        <v>2469</v>
      </c>
      <c r="U1418" s="6"/>
      <c r="V1418" s="6"/>
      <c r="W1418" s="6">
        <v>29.7329997</v>
      </c>
      <c r="X1418" s="6">
        <v>-95.5683939</v>
      </c>
    </row>
    <row r="1419" ht="15.75" customHeight="1">
      <c r="A1419" s="6">
        <v>47343.0</v>
      </c>
      <c r="B1419" s="6">
        <v>2022.0</v>
      </c>
      <c r="C1419" s="6" t="str">
        <f t="shared" si="5"/>
        <v>2003 E CROSSTIMBERS ST,Houston,Texas</v>
      </c>
      <c r="D1419" s="6" t="s">
        <v>1019</v>
      </c>
      <c r="E1419" s="6" t="s">
        <v>25</v>
      </c>
      <c r="F1419" s="6" t="s">
        <v>26</v>
      </c>
      <c r="G1419" s="6" t="s">
        <v>109</v>
      </c>
      <c r="H1419" s="6" t="s">
        <v>2275</v>
      </c>
      <c r="I1419" s="6" t="str">
        <f>VLOOKUP(H1419,'Flow Location'!$A$1:$B$21,2,FALSE)</f>
        <v>Contained On Site, not within 5 ft. of Bayou/Surface Water/Drainage Ditch</v>
      </c>
      <c r="J1419" s="20">
        <v>0.0</v>
      </c>
      <c r="K1419" s="6" t="s">
        <v>45</v>
      </c>
      <c r="L1419" s="6" t="str">
        <f>VLOOKUP(K1419,'Structure type'!$A$1:$B$15,2,FALSE)</f>
        <v>City Cleanout</v>
      </c>
      <c r="M1419" s="6" t="s">
        <v>56</v>
      </c>
      <c r="N1419" s="6" t="str">
        <f>VLOOKUP(M1419,'Excursion Cause'!$A$1:$B$34,2,FALSE)</f>
        <v>Rags/Wipes</v>
      </c>
      <c r="O1419" s="21">
        <v>44680.0</v>
      </c>
      <c r="P1419" s="6" t="s">
        <v>651</v>
      </c>
      <c r="Q1419" s="21">
        <v>44680.0</v>
      </c>
      <c r="R1419" s="6" t="s">
        <v>651</v>
      </c>
      <c r="S1419" s="20">
        <v>0.0</v>
      </c>
      <c r="T1419" s="6" t="s">
        <v>270</v>
      </c>
      <c r="U1419" s="6"/>
      <c r="V1419" s="6"/>
      <c r="W1419" s="6">
        <v>29.8289144</v>
      </c>
      <c r="X1419" s="6">
        <v>-95.349288</v>
      </c>
    </row>
    <row r="1420" ht="15.75" customHeight="1">
      <c r="A1420" s="6">
        <v>47344.0</v>
      </c>
      <c r="B1420" s="6">
        <v>2022.0</v>
      </c>
      <c r="C1420" s="6" t="str">
        <f t="shared" si="5"/>
        <v>122 GESSNER RD,Houston,Texas</v>
      </c>
      <c r="D1420" s="6" t="s">
        <v>2470</v>
      </c>
      <c r="E1420" s="6" t="s">
        <v>25</v>
      </c>
      <c r="F1420" s="6" t="s">
        <v>26</v>
      </c>
      <c r="G1420" s="6" t="s">
        <v>123</v>
      </c>
      <c r="H1420" s="6" t="s">
        <v>2275</v>
      </c>
      <c r="I1420" s="6" t="str">
        <f>VLOOKUP(H1420,'Flow Location'!$A$1:$B$21,2,FALSE)</f>
        <v>Contained On Site, not within 5 ft. of Bayou/Surface Water/Drainage Ditch</v>
      </c>
      <c r="J1420" s="20">
        <v>0.0</v>
      </c>
      <c r="K1420" s="6" t="s">
        <v>51</v>
      </c>
      <c r="L1420" s="6" t="str">
        <f>VLOOKUP(K1420,'Structure type'!$A$1:$B$15,2,FALSE)</f>
        <v>Private Cleanout</v>
      </c>
      <c r="M1420" s="6" t="s">
        <v>759</v>
      </c>
      <c r="N1420" s="6" t="str">
        <f>VLOOKUP(M1420,'Excursion Cause'!$A$1:$B$34,2,FALSE)</f>
        <v>Roots</v>
      </c>
      <c r="O1420" s="21">
        <v>44680.0</v>
      </c>
      <c r="P1420" s="6" t="s">
        <v>257</v>
      </c>
      <c r="Q1420" s="21">
        <v>44680.0</v>
      </c>
      <c r="R1420" s="6" t="s">
        <v>257</v>
      </c>
      <c r="S1420" s="20">
        <v>0.0</v>
      </c>
      <c r="T1420" s="6" t="s">
        <v>107</v>
      </c>
      <c r="U1420" s="6"/>
      <c r="V1420" s="6"/>
      <c r="W1420" s="6">
        <v>29.7569869</v>
      </c>
      <c r="X1420" s="6">
        <v>-95.544382</v>
      </c>
    </row>
    <row r="1421" ht="15.75" customHeight="1">
      <c r="A1421" s="6">
        <v>47349.0</v>
      </c>
      <c r="B1421" s="6">
        <v>2022.0</v>
      </c>
      <c r="C1421" s="6" t="str">
        <f t="shared" si="5"/>
        <v>1420 KINGWOOD DR,Houston,Texas</v>
      </c>
      <c r="D1421" s="6" t="s">
        <v>2471</v>
      </c>
      <c r="E1421" s="6" t="s">
        <v>25</v>
      </c>
      <c r="F1421" s="6" t="s">
        <v>26</v>
      </c>
      <c r="G1421" s="6" t="s">
        <v>1078</v>
      </c>
      <c r="H1421" s="6" t="s">
        <v>1724</v>
      </c>
      <c r="I1421" s="6" t="str">
        <f>VLOOKUP(H1421,'Flow Location'!$A$1:$B$21,2,FALSE)</f>
        <v>Storm Sewer (not contained)</v>
      </c>
      <c r="J1421" s="20">
        <v>15.0</v>
      </c>
      <c r="K1421" s="6" t="s">
        <v>29</v>
      </c>
      <c r="L1421" s="6" t="str">
        <f>VLOOKUP(K1421,'Structure type'!$A$1:$B$15,2,FALSE)</f>
        <v>Manhole</v>
      </c>
      <c r="M1421" s="6" t="s">
        <v>2472</v>
      </c>
      <c r="N1421" s="6" t="str">
        <f>VLOOKUP(M1421,'Excursion Cause'!$A$1:$B$34,2,FALSE)</f>
        <v>Grease Blockage</v>
      </c>
      <c r="O1421" s="21">
        <v>44680.0</v>
      </c>
      <c r="P1421" s="6" t="s">
        <v>380</v>
      </c>
      <c r="Q1421" s="21">
        <v>44680.0</v>
      </c>
      <c r="R1421" s="6" t="s">
        <v>2473</v>
      </c>
      <c r="S1421" s="20">
        <v>1.0</v>
      </c>
      <c r="T1421" s="6" t="s">
        <v>2474</v>
      </c>
      <c r="U1421" s="6"/>
      <c r="V1421" s="6"/>
      <c r="W1421" s="6">
        <v>30.0487119</v>
      </c>
      <c r="X1421" s="6">
        <v>-95.2342331</v>
      </c>
    </row>
    <row r="1422" ht="15.75" customHeight="1">
      <c r="A1422" s="6">
        <v>47352.0</v>
      </c>
      <c r="B1422" s="6">
        <v>2022.0</v>
      </c>
      <c r="C1422" s="6" t="str">
        <f t="shared" si="5"/>
        <v>10166 INWOOD HOLLOW LN,Houston,Texas</v>
      </c>
      <c r="D1422" s="6" t="s">
        <v>2475</v>
      </c>
      <c r="E1422" s="6" t="s">
        <v>25</v>
      </c>
      <c r="F1422" s="6" t="s">
        <v>26</v>
      </c>
      <c r="G1422" s="6" t="s">
        <v>502</v>
      </c>
      <c r="H1422" s="6" t="s">
        <v>1724</v>
      </c>
      <c r="I1422" s="6" t="str">
        <f>VLOOKUP(H1422,'Flow Location'!$A$1:$B$21,2,FALSE)</f>
        <v>Storm Sewer (not contained)</v>
      </c>
      <c r="J1422" s="20">
        <v>2927.0</v>
      </c>
      <c r="K1422" s="6" t="s">
        <v>29</v>
      </c>
      <c r="L1422" s="6" t="str">
        <f>VLOOKUP(K1422,'Structure type'!$A$1:$B$15,2,FALSE)</f>
        <v>Manhole</v>
      </c>
      <c r="M1422" s="6" t="s">
        <v>2476</v>
      </c>
      <c r="N1422" s="6" t="str">
        <f>VLOOKUP(M1422,'Excursion Cause'!$A$1:$B$34,2,FALSE)</f>
        <v>Grease Blockage</v>
      </c>
      <c r="O1422" s="21">
        <v>44681.0</v>
      </c>
      <c r="P1422" s="6" t="s">
        <v>651</v>
      </c>
      <c r="Q1422" s="21">
        <v>44683.0</v>
      </c>
      <c r="R1422" s="6" t="s">
        <v>529</v>
      </c>
      <c r="S1422" s="20">
        <v>1.0</v>
      </c>
      <c r="T1422" s="6" t="s">
        <v>2477</v>
      </c>
      <c r="U1422" s="6"/>
      <c r="V1422" s="6"/>
      <c r="W1422" s="6">
        <v>29.88908</v>
      </c>
      <c r="X1422" s="6">
        <v>-95.493608</v>
      </c>
    </row>
    <row r="1423" ht="15.75" customHeight="1">
      <c r="A1423" s="6">
        <v>47353.0</v>
      </c>
      <c r="B1423" s="6">
        <v>2022.0</v>
      </c>
      <c r="C1423" s="6" t="str">
        <f t="shared" si="5"/>
        <v>12023 BISSONNET ST,Houston,Texas</v>
      </c>
      <c r="D1423" s="6" t="s">
        <v>153</v>
      </c>
      <c r="E1423" s="6" t="s">
        <v>25</v>
      </c>
      <c r="F1423" s="6" t="s">
        <v>26</v>
      </c>
      <c r="G1423" s="6" t="s">
        <v>154</v>
      </c>
      <c r="H1423" s="6" t="s">
        <v>1724</v>
      </c>
      <c r="I1423" s="6" t="str">
        <f>VLOOKUP(H1423,'Flow Location'!$A$1:$B$21,2,FALSE)</f>
        <v>Storm Sewer (not contained)</v>
      </c>
      <c r="J1423" s="20">
        <v>303.0</v>
      </c>
      <c r="K1423" s="6" t="s">
        <v>29</v>
      </c>
      <c r="L1423" s="6" t="str">
        <f>VLOOKUP(K1423,'Structure type'!$A$1:$B$15,2,FALSE)</f>
        <v>Manhole</v>
      </c>
      <c r="M1423" s="6" t="s">
        <v>2478</v>
      </c>
      <c r="N1423" s="6" t="str">
        <f>VLOOKUP(M1423,'Excursion Cause'!$A$1:$B$34,2,FALSE)</f>
        <v>Grease Blockage</v>
      </c>
      <c r="O1423" s="21">
        <v>44682.0</v>
      </c>
      <c r="P1423" s="6" t="s">
        <v>342</v>
      </c>
      <c r="Q1423" s="21">
        <v>44682.0</v>
      </c>
      <c r="R1423" s="6" t="s">
        <v>2479</v>
      </c>
      <c r="S1423" s="20">
        <v>3.0</v>
      </c>
      <c r="T1423" s="6" t="s">
        <v>2480</v>
      </c>
      <c r="U1423" s="6"/>
      <c r="V1423" s="6"/>
      <c r="W1423" s="6">
        <v>29.674508</v>
      </c>
      <c r="X1423" s="6">
        <v>-95.5905919</v>
      </c>
    </row>
    <row r="1424" ht="15.75" customHeight="1">
      <c r="A1424" s="6">
        <v>47355.0</v>
      </c>
      <c r="B1424" s="6">
        <v>2022.0</v>
      </c>
      <c r="C1424" s="6" t="str">
        <f t="shared" si="5"/>
        <v>3510 MOUNT PLEASANT ST,Houston,Texas</v>
      </c>
      <c r="D1424" s="6" t="s">
        <v>327</v>
      </c>
      <c r="E1424" s="6" t="s">
        <v>25</v>
      </c>
      <c r="F1424" s="6" t="s">
        <v>26</v>
      </c>
      <c r="G1424" s="6" t="s">
        <v>238</v>
      </c>
      <c r="H1424" s="6" t="s">
        <v>50</v>
      </c>
      <c r="I1424" s="6" t="str">
        <f>VLOOKUP(H1424,'Flow Location'!$A$1:$B$21,2,FALSE)</f>
        <v>Contained On Site, not within 5 ft. of Bayou/Surface Water/Drainage Ditch</v>
      </c>
      <c r="J1424" s="20">
        <v>0.0</v>
      </c>
      <c r="K1424" s="6" t="s">
        <v>45</v>
      </c>
      <c r="L1424" s="6" t="str">
        <f>VLOOKUP(K1424,'Structure type'!$A$1:$B$15,2,FALSE)</f>
        <v>City Cleanout</v>
      </c>
      <c r="M1424" s="6" t="s">
        <v>56</v>
      </c>
      <c r="N1424" s="6" t="str">
        <f>VLOOKUP(M1424,'Excursion Cause'!$A$1:$B$34,2,FALSE)</f>
        <v>Rags/Wipes</v>
      </c>
      <c r="O1424" s="21">
        <v>44683.0</v>
      </c>
      <c r="P1424" s="6" t="s">
        <v>103</v>
      </c>
      <c r="Q1424" s="21">
        <v>44683.0</v>
      </c>
      <c r="R1424" s="6" t="s">
        <v>103</v>
      </c>
      <c r="S1424" s="20">
        <v>0.0</v>
      </c>
      <c r="T1424" s="6" t="s">
        <v>170</v>
      </c>
      <c r="U1424" s="6"/>
      <c r="V1424" s="6"/>
      <c r="W1424" s="6">
        <v>29.6875444</v>
      </c>
      <c r="X1424" s="6">
        <v>-95.3735359</v>
      </c>
    </row>
    <row r="1425" ht="15.75" customHeight="1">
      <c r="A1425" s="6">
        <v>47357.0</v>
      </c>
      <c r="B1425" s="6">
        <v>2022.0</v>
      </c>
      <c r="C1425" s="6" t="str">
        <f t="shared" si="5"/>
        <v>2200 JEFFERSON ST,Houston,Texas</v>
      </c>
      <c r="D1425" s="6" t="s">
        <v>2481</v>
      </c>
      <c r="E1425" s="6" t="s">
        <v>25</v>
      </c>
      <c r="F1425" s="6" t="s">
        <v>26</v>
      </c>
      <c r="G1425" s="6" t="s">
        <v>172</v>
      </c>
      <c r="H1425" s="6" t="s">
        <v>50</v>
      </c>
      <c r="I1425" s="6" t="str">
        <f>VLOOKUP(H1425,'Flow Location'!$A$1:$B$21,2,FALSE)</f>
        <v>Contained On Site, not within 5 ft. of Bayou/Surface Water/Drainage Ditch</v>
      </c>
      <c r="J1425" s="20">
        <v>116.0</v>
      </c>
      <c r="K1425" s="6" t="s">
        <v>29</v>
      </c>
      <c r="L1425" s="6" t="str">
        <f>VLOOKUP(K1425,'Structure type'!$A$1:$B$15,2,FALSE)</f>
        <v>Manhole</v>
      </c>
      <c r="M1425" s="6" t="s">
        <v>30</v>
      </c>
      <c r="N1425" s="6" t="str">
        <f>VLOOKUP(M1425,'Excursion Cause'!$A$1:$B$34,2,FALSE)</f>
        <v>Grease Blockage</v>
      </c>
      <c r="O1425" s="21">
        <v>44683.0</v>
      </c>
      <c r="P1425" s="6" t="s">
        <v>1032</v>
      </c>
      <c r="Q1425" s="21">
        <v>44683.0</v>
      </c>
      <c r="R1425" s="6" t="s">
        <v>995</v>
      </c>
      <c r="S1425" s="20">
        <v>2.0</v>
      </c>
      <c r="T1425" s="6" t="s">
        <v>59</v>
      </c>
      <c r="U1425" s="6"/>
      <c r="V1425" s="6"/>
      <c r="W1425" s="6">
        <v>29.7443853</v>
      </c>
      <c r="X1425" s="6">
        <v>-95.3593106</v>
      </c>
    </row>
    <row r="1426" ht="15.75" customHeight="1">
      <c r="A1426" s="6">
        <v>47358.0</v>
      </c>
      <c r="B1426" s="6">
        <v>2022.0</v>
      </c>
      <c r="C1426" s="6" t="str">
        <f t="shared" si="5"/>
        <v>9571 W AIRPORT BLVD,Houston,Texas</v>
      </c>
      <c r="D1426" s="6" t="s">
        <v>2482</v>
      </c>
      <c r="E1426" s="6" t="s">
        <v>25</v>
      </c>
      <c r="F1426" s="6" t="s">
        <v>26</v>
      </c>
      <c r="G1426" s="6" t="s">
        <v>214</v>
      </c>
      <c r="H1426" s="6" t="s">
        <v>50</v>
      </c>
      <c r="I1426" s="6" t="str">
        <f>VLOOKUP(H1426,'Flow Location'!$A$1:$B$21,2,FALSE)</f>
        <v>Contained On Site, not within 5 ft. of Bayou/Surface Water/Drainage Ditch</v>
      </c>
      <c r="J1426" s="20">
        <v>0.0</v>
      </c>
      <c r="K1426" s="6" t="s">
        <v>45</v>
      </c>
      <c r="L1426" s="6" t="str">
        <f>VLOOKUP(K1426,'Structure type'!$A$1:$B$15,2,FALSE)</f>
        <v>City Cleanout</v>
      </c>
      <c r="M1426" s="6" t="s">
        <v>30</v>
      </c>
      <c r="N1426" s="6" t="str">
        <f>VLOOKUP(M1426,'Excursion Cause'!$A$1:$B$34,2,FALSE)</f>
        <v>Grease Blockage</v>
      </c>
      <c r="O1426" s="21">
        <v>44683.0</v>
      </c>
      <c r="P1426" s="6" t="s">
        <v>2483</v>
      </c>
      <c r="Q1426" s="21">
        <v>44683.0</v>
      </c>
      <c r="R1426" s="6" t="s">
        <v>2483</v>
      </c>
      <c r="S1426" s="20">
        <v>0.0</v>
      </c>
      <c r="T1426" s="6" t="s">
        <v>89</v>
      </c>
      <c r="U1426" s="6"/>
      <c r="V1426" s="6"/>
      <c r="W1426" s="6">
        <v>29.6410021</v>
      </c>
      <c r="X1426" s="6">
        <v>-95.547578</v>
      </c>
    </row>
    <row r="1427" ht="15.75" customHeight="1">
      <c r="A1427" s="6">
        <v>47360.0</v>
      </c>
      <c r="B1427" s="6">
        <v>2022.0</v>
      </c>
      <c r="C1427" s="6" t="str">
        <f t="shared" si="5"/>
        <v>8635 MEADVILLE ST,Houston,Texas</v>
      </c>
      <c r="D1427" s="6" t="s">
        <v>2484</v>
      </c>
      <c r="E1427" s="6" t="s">
        <v>25</v>
      </c>
      <c r="F1427" s="6" t="s">
        <v>26</v>
      </c>
      <c r="G1427" s="6" t="s">
        <v>398</v>
      </c>
      <c r="H1427" s="6" t="s">
        <v>2190</v>
      </c>
      <c r="I1427" s="6" t="str">
        <f>VLOOKUP(H1427,'Flow Location'!$A$1:$B$21,2,FALSE)</f>
        <v>Contained On Site</v>
      </c>
      <c r="J1427" s="20">
        <v>40.0</v>
      </c>
      <c r="K1427" s="6" t="s">
        <v>2485</v>
      </c>
      <c r="L1427" s="6" t="str">
        <f>VLOOKUP(K1427,'Structure type'!$A$1:$B$15,2,FALSE)</f>
        <v>Private Cleanout</v>
      </c>
      <c r="M1427" s="6" t="s">
        <v>2486</v>
      </c>
      <c r="N1427" s="6" t="str">
        <f>VLOOKUP(M1427,'Excursion Cause'!$A$1:$B$34,2,FALSE)</f>
        <v>Grease Blockage</v>
      </c>
      <c r="O1427" s="21">
        <v>44683.0</v>
      </c>
      <c r="P1427" s="6" t="s">
        <v>617</v>
      </c>
      <c r="Q1427" s="21">
        <v>44683.0</v>
      </c>
      <c r="R1427" s="6" t="s">
        <v>617</v>
      </c>
      <c r="S1427" s="20">
        <v>0.0</v>
      </c>
      <c r="T1427" s="6" t="s">
        <v>2487</v>
      </c>
      <c r="U1427" s="6"/>
      <c r="V1427" s="6"/>
      <c r="W1427" s="6">
        <v>29.6606714</v>
      </c>
      <c r="X1427" s="6">
        <v>-95.2634518</v>
      </c>
    </row>
    <row r="1428" ht="15.75" customHeight="1">
      <c r="A1428" s="6">
        <v>47361.0</v>
      </c>
      <c r="B1428" s="6">
        <v>2022.0</v>
      </c>
      <c r="C1428" s="6" t="str">
        <f t="shared" si="5"/>
        <v>3615 OLD SPANISH TRL,Houston,Texas</v>
      </c>
      <c r="D1428" s="6" t="s">
        <v>2157</v>
      </c>
      <c r="E1428" s="6" t="s">
        <v>25</v>
      </c>
      <c r="F1428" s="6" t="s">
        <v>26</v>
      </c>
      <c r="G1428" s="6" t="s">
        <v>238</v>
      </c>
      <c r="H1428" s="6" t="s">
        <v>50</v>
      </c>
      <c r="I1428" s="6" t="str">
        <f>VLOOKUP(H1428,'Flow Location'!$A$1:$B$21,2,FALSE)</f>
        <v>Contained On Site, not within 5 ft. of Bayou/Surface Water/Drainage Ditch</v>
      </c>
      <c r="J1428" s="20">
        <v>270.0</v>
      </c>
      <c r="K1428" s="6" t="s">
        <v>29</v>
      </c>
      <c r="L1428" s="6" t="str">
        <f>VLOOKUP(K1428,'Structure type'!$A$1:$B$15,2,FALSE)</f>
        <v>Manhole</v>
      </c>
      <c r="M1428" s="6" t="s">
        <v>30</v>
      </c>
      <c r="N1428" s="6" t="str">
        <f>VLOOKUP(M1428,'Excursion Cause'!$A$1:$B$34,2,FALSE)</f>
        <v>Grease Blockage</v>
      </c>
      <c r="O1428" s="21">
        <v>44683.0</v>
      </c>
      <c r="P1428" s="6" t="s">
        <v>995</v>
      </c>
      <c r="Q1428" s="21">
        <v>44683.0</v>
      </c>
      <c r="R1428" s="6" t="s">
        <v>192</v>
      </c>
      <c r="S1428" s="20">
        <v>2.0</v>
      </c>
      <c r="T1428" s="6" t="s">
        <v>33</v>
      </c>
      <c r="U1428" s="6"/>
      <c r="V1428" s="6"/>
      <c r="W1428" s="6">
        <v>29.7026975</v>
      </c>
      <c r="X1428" s="6">
        <v>-95.3633488</v>
      </c>
    </row>
    <row r="1429" ht="15.75" customHeight="1">
      <c r="A1429" s="6">
        <v>47367.0</v>
      </c>
      <c r="B1429" s="6">
        <v>2022.0</v>
      </c>
      <c r="C1429" s="6" t="str">
        <f t="shared" si="5"/>
        <v>3206 IOLA ST,Houston,Texas</v>
      </c>
      <c r="D1429" s="6" t="s">
        <v>2488</v>
      </c>
      <c r="E1429" s="6" t="s">
        <v>25</v>
      </c>
      <c r="F1429" s="6" t="s">
        <v>26</v>
      </c>
      <c r="G1429" s="6" t="s">
        <v>135</v>
      </c>
      <c r="H1429" s="6" t="s">
        <v>1724</v>
      </c>
      <c r="I1429" s="6" t="str">
        <f>VLOOKUP(H1429,'Flow Location'!$A$1:$B$21,2,FALSE)</f>
        <v>Storm Sewer (not contained)</v>
      </c>
      <c r="J1429" s="20">
        <v>309.0</v>
      </c>
      <c r="K1429" s="6" t="s">
        <v>45</v>
      </c>
      <c r="L1429" s="6" t="str">
        <f>VLOOKUP(K1429,'Structure type'!$A$1:$B$15,2,FALSE)</f>
        <v>City Cleanout</v>
      </c>
      <c r="M1429" s="6" t="s">
        <v>2489</v>
      </c>
      <c r="N1429" s="6" t="str">
        <f>VLOOKUP(M1429,'Excursion Cause'!$A$1:$B$34,2,FALSE)</f>
        <v>Grease Blockage</v>
      </c>
      <c r="O1429" s="21">
        <v>44683.0</v>
      </c>
      <c r="P1429" s="6" t="s">
        <v>215</v>
      </c>
      <c r="Q1429" s="21">
        <v>44683.0</v>
      </c>
      <c r="R1429" s="6" t="s">
        <v>1037</v>
      </c>
      <c r="S1429" s="20">
        <v>3.0</v>
      </c>
      <c r="T1429" s="6" t="s">
        <v>2490</v>
      </c>
      <c r="U1429" s="6"/>
      <c r="V1429" s="6"/>
      <c r="W1429" s="6">
        <v>29.6944779</v>
      </c>
      <c r="X1429" s="6">
        <v>-95.2724821</v>
      </c>
    </row>
    <row r="1430" ht="15.75" customHeight="1">
      <c r="A1430" s="6">
        <v>47370.0</v>
      </c>
      <c r="B1430" s="6">
        <v>2022.0</v>
      </c>
      <c r="C1430" s="6" t="str">
        <f t="shared" si="5"/>
        <v>7516 HILLCROFT AVE,Houston,Texas</v>
      </c>
      <c r="D1430" s="6" t="s">
        <v>2491</v>
      </c>
      <c r="E1430" s="6" t="s">
        <v>25</v>
      </c>
      <c r="F1430" s="6" t="s">
        <v>26</v>
      </c>
      <c r="G1430" s="6" t="s">
        <v>287</v>
      </c>
      <c r="H1430" s="6" t="s">
        <v>1724</v>
      </c>
      <c r="I1430" s="6" t="str">
        <f>VLOOKUP(H1430,'Flow Location'!$A$1:$B$21,2,FALSE)</f>
        <v>Storm Sewer (not contained)</v>
      </c>
      <c r="J1430" s="20">
        <v>0.0</v>
      </c>
      <c r="K1430" s="6" t="s">
        <v>45</v>
      </c>
      <c r="L1430" s="6" t="str">
        <f>VLOOKUP(K1430,'Structure type'!$A$1:$B$15,2,FALSE)</f>
        <v>City Cleanout</v>
      </c>
      <c r="M1430" s="6" t="s">
        <v>2492</v>
      </c>
      <c r="N1430" s="6" t="str">
        <f>VLOOKUP(M1430,'Excursion Cause'!$A$1:$B$34,2,FALSE)</f>
        <v>Grease Blockage</v>
      </c>
      <c r="O1430" s="21">
        <v>44683.0</v>
      </c>
      <c r="P1430" s="6" t="s">
        <v>1324</v>
      </c>
      <c r="Q1430" s="21">
        <v>44683.0</v>
      </c>
      <c r="R1430" s="6" t="s">
        <v>1324</v>
      </c>
      <c r="S1430" s="20">
        <v>0.0</v>
      </c>
      <c r="T1430" s="6" t="s">
        <v>2493</v>
      </c>
      <c r="U1430" s="6"/>
      <c r="V1430" s="6"/>
      <c r="W1430" s="6">
        <v>29.6967154</v>
      </c>
      <c r="X1430" s="6">
        <v>-95.4934641</v>
      </c>
    </row>
    <row r="1431" ht="15.75" customHeight="1">
      <c r="A1431" s="6">
        <v>47373.0</v>
      </c>
      <c r="B1431" s="6">
        <v>2022.0</v>
      </c>
      <c r="C1431" s="6" t="str">
        <f t="shared" si="5"/>
        <v>1834 GESSNER DR,Houston,Texas</v>
      </c>
      <c r="D1431" s="6" t="s">
        <v>2494</v>
      </c>
      <c r="E1431" s="6" t="s">
        <v>25</v>
      </c>
      <c r="F1431" s="6" t="s">
        <v>26</v>
      </c>
      <c r="G1431" s="6" t="s">
        <v>294</v>
      </c>
      <c r="H1431" s="6" t="s">
        <v>50</v>
      </c>
      <c r="I1431" s="6" t="str">
        <f>VLOOKUP(H1431,'Flow Location'!$A$1:$B$21,2,FALSE)</f>
        <v>Contained On Site, not within 5 ft. of Bayou/Surface Water/Drainage Ditch</v>
      </c>
      <c r="J1431" s="20">
        <v>0.0</v>
      </c>
      <c r="K1431" s="6" t="s">
        <v>51</v>
      </c>
      <c r="L1431" s="6" t="str">
        <f>VLOOKUP(K1431,'Structure type'!$A$1:$B$15,2,FALSE)</f>
        <v>Private Cleanout</v>
      </c>
      <c r="M1431" s="6" t="s">
        <v>30</v>
      </c>
      <c r="N1431" s="6" t="str">
        <f>VLOOKUP(M1431,'Excursion Cause'!$A$1:$B$34,2,FALSE)</f>
        <v>Grease Blockage</v>
      </c>
      <c r="O1431" s="21">
        <v>44684.0</v>
      </c>
      <c r="P1431" s="6" t="s">
        <v>984</v>
      </c>
      <c r="Q1431" s="21">
        <v>44684.0</v>
      </c>
      <c r="R1431" s="6" t="s">
        <v>984</v>
      </c>
      <c r="S1431" s="20">
        <v>0.0</v>
      </c>
      <c r="T1431" s="6" t="s">
        <v>118</v>
      </c>
      <c r="U1431" s="6"/>
      <c r="V1431" s="6"/>
      <c r="W1431" s="6">
        <v>29.8055725</v>
      </c>
      <c r="X1431" s="6">
        <v>-95.5446223</v>
      </c>
    </row>
    <row r="1432" ht="15.75" customHeight="1">
      <c r="A1432" s="6">
        <v>47376.0</v>
      </c>
      <c r="B1432" s="6">
        <v>2022.0</v>
      </c>
      <c r="C1432" s="6" t="str">
        <f t="shared" si="5"/>
        <v>3115 KIRBY DR,Houston,Texas</v>
      </c>
      <c r="D1432" s="6" t="s">
        <v>2495</v>
      </c>
      <c r="E1432" s="6" t="s">
        <v>25</v>
      </c>
      <c r="F1432" s="6" t="s">
        <v>26</v>
      </c>
      <c r="G1432" s="6" t="s">
        <v>112</v>
      </c>
      <c r="H1432" s="6" t="s">
        <v>1724</v>
      </c>
      <c r="I1432" s="6" t="str">
        <f>VLOOKUP(H1432,'Flow Location'!$A$1:$B$21,2,FALSE)</f>
        <v>Storm Sewer (not contained)</v>
      </c>
      <c r="J1432" s="20">
        <v>415.0</v>
      </c>
      <c r="K1432" s="6" t="s">
        <v>29</v>
      </c>
      <c r="L1432" s="6" t="str">
        <f>VLOOKUP(K1432,'Structure type'!$A$1:$B$15,2,FALSE)</f>
        <v>Manhole</v>
      </c>
      <c r="M1432" s="6" t="s">
        <v>2496</v>
      </c>
      <c r="N1432" s="6" t="str">
        <f>VLOOKUP(M1432,'Excursion Cause'!$A$1:$B$34,2,FALSE)</f>
        <v>Grease Blockage</v>
      </c>
      <c r="O1432" s="21">
        <v>44684.0</v>
      </c>
      <c r="P1432" s="6" t="s">
        <v>164</v>
      </c>
      <c r="Q1432" s="21">
        <v>44684.0</v>
      </c>
      <c r="R1432" s="6" t="s">
        <v>149</v>
      </c>
      <c r="S1432" s="20">
        <v>3.0</v>
      </c>
      <c r="T1432" s="6" t="s">
        <v>2497</v>
      </c>
      <c r="U1432" s="6"/>
      <c r="V1432" s="6"/>
      <c r="W1432" s="6">
        <v>29.7364868</v>
      </c>
      <c r="X1432" s="6">
        <v>-95.4183017</v>
      </c>
    </row>
    <row r="1433" ht="15.75" customHeight="1">
      <c r="A1433" s="6">
        <v>47380.0</v>
      </c>
      <c r="B1433" s="6">
        <v>2022.0</v>
      </c>
      <c r="C1433" s="6" t="str">
        <f t="shared" si="5"/>
        <v>4528 KINGSBURY ST,Houston,Texas</v>
      </c>
      <c r="D1433" s="6" t="s">
        <v>2498</v>
      </c>
      <c r="E1433" s="6" t="s">
        <v>25</v>
      </c>
      <c r="F1433" s="6" t="s">
        <v>26</v>
      </c>
      <c r="G1433" s="6" t="s">
        <v>238</v>
      </c>
      <c r="H1433" s="6" t="s">
        <v>2190</v>
      </c>
      <c r="I1433" s="6" t="str">
        <f>VLOOKUP(H1433,'Flow Location'!$A$1:$B$21,2,FALSE)</f>
        <v>Contained On Site</v>
      </c>
      <c r="J1433" s="20">
        <v>0.0</v>
      </c>
      <c r="K1433" s="6" t="s">
        <v>198</v>
      </c>
      <c r="L1433" s="6" t="str">
        <f>VLOOKUP(K1433,'Structure type'!$A$1:$B$15,2,FALSE)</f>
        <v>Service Lateral</v>
      </c>
      <c r="M1433" s="6" t="s">
        <v>2499</v>
      </c>
      <c r="N1433" s="6" t="str">
        <f>VLOOKUP(M1433,'Excursion Cause'!$A$1:$B$34,2,FALSE)</f>
        <v>Collection system structural blockage</v>
      </c>
      <c r="O1433" s="21">
        <v>44684.0</v>
      </c>
      <c r="P1433" s="6" t="s">
        <v>367</v>
      </c>
      <c r="Q1433" s="21">
        <v>44684.0</v>
      </c>
      <c r="R1433" s="6" t="s">
        <v>367</v>
      </c>
      <c r="S1433" s="20">
        <v>0.0</v>
      </c>
      <c r="T1433" s="6" t="s">
        <v>170</v>
      </c>
      <c r="U1433" s="6"/>
      <c r="V1433" s="6"/>
      <c r="W1433" s="6">
        <v>29.6974783</v>
      </c>
      <c r="X1433" s="6">
        <v>-95.3474598</v>
      </c>
    </row>
    <row r="1434" ht="15.75" customHeight="1">
      <c r="A1434" s="6">
        <v>47387.0</v>
      </c>
      <c r="B1434" s="6">
        <v>2022.0</v>
      </c>
      <c r="C1434" s="6" t="str">
        <f t="shared" si="5"/>
        <v>6227 AUTUMN ARBOR DR,Houston,Texas</v>
      </c>
      <c r="D1434" s="6" t="s">
        <v>2500</v>
      </c>
      <c r="E1434" s="6" t="s">
        <v>25</v>
      </c>
      <c r="F1434" s="6" t="s">
        <v>26</v>
      </c>
      <c r="G1434" s="6" t="s">
        <v>76</v>
      </c>
      <c r="H1434" s="6" t="s">
        <v>50</v>
      </c>
      <c r="I1434" s="6" t="str">
        <f>VLOOKUP(H1434,'Flow Location'!$A$1:$B$21,2,FALSE)</f>
        <v>Contained On Site, not within 5 ft. of Bayou/Surface Water/Drainage Ditch</v>
      </c>
      <c r="J1434" s="20">
        <v>454.0</v>
      </c>
      <c r="K1434" s="6" t="s">
        <v>51</v>
      </c>
      <c r="L1434" s="6" t="str">
        <f>VLOOKUP(K1434,'Structure type'!$A$1:$B$15,2,FALSE)</f>
        <v>Private Cleanout</v>
      </c>
      <c r="M1434" s="6" t="s">
        <v>30</v>
      </c>
      <c r="N1434" s="6" t="str">
        <f>VLOOKUP(M1434,'Excursion Cause'!$A$1:$B$34,2,FALSE)</f>
        <v>Grease Blockage</v>
      </c>
      <c r="O1434" s="21">
        <v>44685.0</v>
      </c>
      <c r="P1434" s="6" t="s">
        <v>2501</v>
      </c>
      <c r="Q1434" s="21">
        <v>44685.0</v>
      </c>
      <c r="R1434" s="6" t="s">
        <v>2501</v>
      </c>
      <c r="S1434" s="20">
        <v>0.0</v>
      </c>
      <c r="T1434" s="6" t="s">
        <v>33</v>
      </c>
      <c r="U1434" s="6"/>
      <c r="V1434" s="6"/>
      <c r="W1434" s="6">
        <v>29.8435252</v>
      </c>
      <c r="X1434" s="6">
        <v>-95.4840484</v>
      </c>
    </row>
    <row r="1435" ht="15.75" customHeight="1">
      <c r="A1435" s="6">
        <v>47389.0</v>
      </c>
      <c r="B1435" s="6">
        <v>2022.0</v>
      </c>
      <c r="C1435" s="6" t="str">
        <f t="shared" si="5"/>
        <v>1702 CHESTNUT ST,Houston,Texas</v>
      </c>
      <c r="D1435" s="6" t="s">
        <v>2502</v>
      </c>
      <c r="E1435" s="6" t="s">
        <v>25</v>
      </c>
      <c r="F1435" s="6" t="s">
        <v>26</v>
      </c>
      <c r="G1435" s="6" t="s">
        <v>161</v>
      </c>
      <c r="H1435" s="6" t="s">
        <v>2275</v>
      </c>
      <c r="I1435" s="6" t="str">
        <f>VLOOKUP(H1435,'Flow Location'!$A$1:$B$21,2,FALSE)</f>
        <v>Contained On Site, not within 5 ft. of Bayou/Surface Water/Drainage Ditch</v>
      </c>
      <c r="J1435" s="20">
        <v>0.0</v>
      </c>
      <c r="K1435" s="6" t="s">
        <v>45</v>
      </c>
      <c r="L1435" s="6" t="str">
        <f>VLOOKUP(K1435,'Structure type'!$A$1:$B$15,2,FALSE)</f>
        <v>City Cleanout</v>
      </c>
      <c r="M1435" s="6" t="s">
        <v>2503</v>
      </c>
      <c r="N1435" s="6" t="str">
        <f>VLOOKUP(M1435,'Excursion Cause'!$A$1:$B$34,2,FALSE)</f>
        <v>Collection system structural failure</v>
      </c>
      <c r="O1435" s="21">
        <v>44685.0</v>
      </c>
      <c r="P1435" s="6" t="s">
        <v>2504</v>
      </c>
      <c r="Q1435" s="21">
        <v>44685.0</v>
      </c>
      <c r="R1435" s="6" t="s">
        <v>2504</v>
      </c>
      <c r="S1435" s="20">
        <v>0.0</v>
      </c>
      <c r="T1435" s="6" t="s">
        <v>84</v>
      </c>
      <c r="U1435" s="6"/>
      <c r="V1435" s="6"/>
      <c r="W1435" s="6">
        <v>29.775361</v>
      </c>
      <c r="X1435" s="6">
        <v>-95.358232</v>
      </c>
    </row>
    <row r="1436" ht="15.75" customHeight="1">
      <c r="A1436" s="6">
        <v>47390.0</v>
      </c>
      <c r="B1436" s="6">
        <v>2022.0</v>
      </c>
      <c r="C1436" s="6" t="str">
        <f t="shared" si="5"/>
        <v>2518 DORRINGTON ST,Houston,Texas</v>
      </c>
      <c r="D1436" s="6" t="s">
        <v>2505</v>
      </c>
      <c r="E1436" s="6" t="s">
        <v>25</v>
      </c>
      <c r="F1436" s="6" t="s">
        <v>26</v>
      </c>
      <c r="G1436" s="6" t="s">
        <v>512</v>
      </c>
      <c r="H1436" s="6" t="s">
        <v>2275</v>
      </c>
      <c r="I1436" s="6" t="str">
        <f>VLOOKUP(H1436,'Flow Location'!$A$1:$B$21,2,FALSE)</f>
        <v>Contained On Site, not within 5 ft. of Bayou/Surface Water/Drainage Ditch</v>
      </c>
      <c r="J1436" s="20">
        <v>0.0</v>
      </c>
      <c r="K1436" s="6" t="s">
        <v>51</v>
      </c>
      <c r="L1436" s="6" t="str">
        <f>VLOOKUP(K1436,'Structure type'!$A$1:$B$15,2,FALSE)</f>
        <v>Private Cleanout</v>
      </c>
      <c r="M1436" s="6" t="s">
        <v>30</v>
      </c>
      <c r="N1436" s="6" t="str">
        <f>VLOOKUP(M1436,'Excursion Cause'!$A$1:$B$34,2,FALSE)</f>
        <v>Grease Blockage</v>
      </c>
      <c r="O1436" s="21">
        <v>44685.0</v>
      </c>
      <c r="P1436" s="6" t="s">
        <v>679</v>
      </c>
      <c r="Q1436" s="21">
        <v>44686.0</v>
      </c>
      <c r="R1436" s="6" t="s">
        <v>1090</v>
      </c>
      <c r="S1436" s="20">
        <v>0.0</v>
      </c>
      <c r="T1436" s="6" t="s">
        <v>59</v>
      </c>
      <c r="U1436" s="6"/>
      <c r="V1436" s="6"/>
      <c r="W1436" s="6">
        <v>29.7055432</v>
      </c>
      <c r="X1436" s="6">
        <v>-95.4177031</v>
      </c>
    </row>
    <row r="1437" ht="15.75" customHeight="1">
      <c r="A1437" s="6">
        <v>47392.0</v>
      </c>
      <c r="B1437" s="6">
        <v>2022.0</v>
      </c>
      <c r="C1437" s="6" t="str">
        <f t="shared" si="5"/>
        <v>3403 SAGE RD,Houston,Texas</v>
      </c>
      <c r="D1437" s="6" t="s">
        <v>2506</v>
      </c>
      <c r="E1437" s="6" t="s">
        <v>25</v>
      </c>
      <c r="F1437" s="6" t="s">
        <v>26</v>
      </c>
      <c r="G1437" s="6" t="s">
        <v>993</v>
      </c>
      <c r="H1437" s="6" t="s">
        <v>1724</v>
      </c>
      <c r="I1437" s="6" t="str">
        <f>VLOOKUP(H1437,'Flow Location'!$A$1:$B$21,2,FALSE)</f>
        <v>Storm Sewer (not contained)</v>
      </c>
      <c r="J1437" s="20">
        <v>0.0</v>
      </c>
      <c r="K1437" s="6" t="s">
        <v>29</v>
      </c>
      <c r="L1437" s="6" t="str">
        <f>VLOOKUP(K1437,'Structure type'!$A$1:$B$15,2,FALSE)</f>
        <v>Manhole</v>
      </c>
      <c r="M1437" s="6" t="s">
        <v>2507</v>
      </c>
      <c r="N1437" s="6" t="str">
        <f>VLOOKUP(M1437,'Excursion Cause'!$A$1:$B$34,2,FALSE)</f>
        <v>Grease Blockage</v>
      </c>
      <c r="O1437" s="21">
        <v>44685.0</v>
      </c>
      <c r="P1437" s="6" t="s">
        <v>1258</v>
      </c>
      <c r="Q1437" s="21">
        <v>44685.0</v>
      </c>
      <c r="R1437" s="6" t="s">
        <v>1258</v>
      </c>
      <c r="S1437" s="20">
        <v>0.0</v>
      </c>
      <c r="T1437" s="6" t="s">
        <v>2508</v>
      </c>
      <c r="U1437" s="6"/>
      <c r="V1437" s="6"/>
      <c r="W1437" s="6">
        <v>29.7313418</v>
      </c>
      <c r="X1437" s="6">
        <v>-95.4663832</v>
      </c>
    </row>
    <row r="1438" ht="15.75" customHeight="1">
      <c r="A1438" s="6">
        <v>47395.0</v>
      </c>
      <c r="B1438" s="6">
        <v>2022.0</v>
      </c>
      <c r="C1438" s="6" t="str">
        <f t="shared" si="5"/>
        <v>5537 LAWNDALE ST,Houston,Texas</v>
      </c>
      <c r="D1438" s="6" t="s">
        <v>2509</v>
      </c>
      <c r="E1438" s="6" t="s">
        <v>25</v>
      </c>
      <c r="F1438" s="6" t="s">
        <v>26</v>
      </c>
      <c r="G1438" s="6" t="s">
        <v>141</v>
      </c>
      <c r="H1438" s="6" t="s">
        <v>50</v>
      </c>
      <c r="I1438" s="6" t="str">
        <f>VLOOKUP(H1438,'Flow Location'!$A$1:$B$21,2,FALSE)</f>
        <v>Contained On Site, not within 5 ft. of Bayou/Surface Water/Drainage Ditch</v>
      </c>
      <c r="J1438" s="20">
        <v>0.0</v>
      </c>
      <c r="K1438" s="6" t="s">
        <v>198</v>
      </c>
      <c r="L1438" s="6" t="str">
        <f>VLOOKUP(K1438,'Structure type'!$A$1:$B$15,2,FALSE)</f>
        <v>Service Lateral</v>
      </c>
      <c r="M1438" s="6" t="s">
        <v>52</v>
      </c>
      <c r="N1438" s="6" t="str">
        <f>VLOOKUP(M1438,'Excursion Cause'!$A$1:$B$34,2,FALSE)</f>
        <v>Collection system structural blockage</v>
      </c>
      <c r="O1438" s="21">
        <v>44685.0</v>
      </c>
      <c r="P1438" s="6" t="s">
        <v>146</v>
      </c>
      <c r="Q1438" s="21">
        <v>44685.0</v>
      </c>
      <c r="R1438" s="6" t="s">
        <v>1819</v>
      </c>
      <c r="S1438" s="20">
        <v>0.0</v>
      </c>
      <c r="T1438" s="6" t="s">
        <v>89</v>
      </c>
      <c r="U1438" s="6"/>
      <c r="V1438" s="6"/>
      <c r="W1438" s="6">
        <v>29.7270786</v>
      </c>
      <c r="X1438" s="6">
        <v>-95.3181413</v>
      </c>
    </row>
    <row r="1439" ht="15.75" customHeight="1">
      <c r="A1439" s="6">
        <v>47397.0</v>
      </c>
      <c r="B1439" s="6">
        <v>2022.0</v>
      </c>
      <c r="C1439" s="6" t="str">
        <f t="shared" si="5"/>
        <v>7018 ALDER DR,Houston,Texas</v>
      </c>
      <c r="D1439" s="6" t="s">
        <v>2510</v>
      </c>
      <c r="E1439" s="6" t="s">
        <v>25</v>
      </c>
      <c r="F1439" s="6" t="s">
        <v>26</v>
      </c>
      <c r="G1439" s="6" t="s">
        <v>287</v>
      </c>
      <c r="H1439" s="6" t="s">
        <v>2275</v>
      </c>
      <c r="I1439" s="6" t="str">
        <f>VLOOKUP(H1439,'Flow Location'!$A$1:$B$21,2,FALSE)</f>
        <v>Contained On Site, not within 5 ft. of Bayou/Surface Water/Drainage Ditch</v>
      </c>
      <c r="J1439" s="20">
        <v>0.0</v>
      </c>
      <c r="K1439" s="6" t="s">
        <v>45</v>
      </c>
      <c r="L1439" s="6" t="str">
        <f>VLOOKUP(K1439,'Structure type'!$A$1:$B$15,2,FALSE)</f>
        <v>City Cleanout</v>
      </c>
      <c r="M1439" s="6" t="s">
        <v>30</v>
      </c>
      <c r="N1439" s="6" t="str">
        <f>VLOOKUP(M1439,'Excursion Cause'!$A$1:$B$34,2,FALSE)</f>
        <v>Grease Blockage</v>
      </c>
      <c r="O1439" s="21">
        <v>44685.0</v>
      </c>
      <c r="P1439" s="6" t="s">
        <v>304</v>
      </c>
      <c r="Q1439" s="21">
        <v>44685.0</v>
      </c>
      <c r="R1439" s="6" t="s">
        <v>304</v>
      </c>
      <c r="S1439" s="20">
        <v>0.0</v>
      </c>
      <c r="T1439" s="6" t="s">
        <v>33</v>
      </c>
      <c r="U1439" s="6"/>
      <c r="V1439" s="6"/>
      <c r="W1439" s="6">
        <v>29.703073</v>
      </c>
      <c r="X1439" s="6">
        <v>-95.4811604</v>
      </c>
    </row>
    <row r="1440" ht="15.75" customHeight="1">
      <c r="A1440" s="6">
        <v>47399.0</v>
      </c>
      <c r="B1440" s="6">
        <v>2022.0</v>
      </c>
      <c r="C1440" s="6" t="str">
        <f t="shared" si="5"/>
        <v>1493 CHEATHAM LN,Houston,Texas</v>
      </c>
      <c r="D1440" s="6" t="s">
        <v>2511</v>
      </c>
      <c r="E1440" s="6" t="s">
        <v>25</v>
      </c>
      <c r="F1440" s="6" t="s">
        <v>26</v>
      </c>
      <c r="G1440" s="6" t="s">
        <v>623</v>
      </c>
      <c r="H1440" s="6" t="s">
        <v>50</v>
      </c>
      <c r="I1440" s="6" t="str">
        <f>VLOOKUP(H1440,'Flow Location'!$A$1:$B$21,2,FALSE)</f>
        <v>Contained On Site, not within 5 ft. of Bayou/Surface Water/Drainage Ditch</v>
      </c>
      <c r="J1440" s="20">
        <v>0.0</v>
      </c>
      <c r="K1440" s="6" t="s">
        <v>45</v>
      </c>
      <c r="L1440" s="6" t="str">
        <f>VLOOKUP(K1440,'Structure type'!$A$1:$B$15,2,FALSE)</f>
        <v>City Cleanout</v>
      </c>
      <c r="M1440" s="6" t="s">
        <v>81</v>
      </c>
      <c r="N1440" s="6" t="str">
        <f>VLOOKUP(M1440,'Excursion Cause'!$A$1:$B$34,2,FALSE)</f>
        <v>Collection system structural failure</v>
      </c>
      <c r="O1440" s="21">
        <v>44686.0</v>
      </c>
      <c r="P1440" s="6" t="s">
        <v>116</v>
      </c>
      <c r="Q1440" s="21">
        <v>44686.0</v>
      </c>
      <c r="R1440" s="6" t="s">
        <v>2512</v>
      </c>
      <c r="S1440" s="20">
        <v>0.0</v>
      </c>
      <c r="T1440" s="6" t="s">
        <v>89</v>
      </c>
      <c r="U1440" s="6"/>
      <c r="V1440" s="6"/>
      <c r="W1440" s="6">
        <v>29.7636421</v>
      </c>
      <c r="X1440" s="6">
        <v>-95.201578</v>
      </c>
    </row>
    <row r="1441" ht="15.75" customHeight="1">
      <c r="A1441" s="6">
        <v>47401.0</v>
      </c>
      <c r="B1441" s="6">
        <v>2022.0</v>
      </c>
      <c r="C1441" s="6" t="str">
        <f t="shared" si="5"/>
        <v>1500 SHERWOOD FOREST ST,Houston,Texas</v>
      </c>
      <c r="D1441" s="6" t="s">
        <v>2513</v>
      </c>
      <c r="E1441" s="6" t="s">
        <v>25</v>
      </c>
      <c r="F1441" s="6" t="s">
        <v>26</v>
      </c>
      <c r="G1441" s="6" t="s">
        <v>699</v>
      </c>
      <c r="H1441" s="6" t="s">
        <v>2162</v>
      </c>
      <c r="I1441" s="6" t="str">
        <f>VLOOKUP(H1441,'Flow Location'!$A$1:$B$21,2,FALSE)</f>
        <v>Drainage Ditch</v>
      </c>
      <c r="J1441" s="20">
        <v>0.0</v>
      </c>
      <c r="K1441" s="6" t="s">
        <v>198</v>
      </c>
      <c r="L1441" s="6" t="str">
        <f>VLOOKUP(K1441,'Structure type'!$A$1:$B$15,2,FALSE)</f>
        <v>Service Lateral</v>
      </c>
      <c r="M1441" s="6" t="s">
        <v>2514</v>
      </c>
      <c r="N1441" s="6" t="str">
        <f>VLOOKUP(M1441,'Excursion Cause'!$A$1:$B$34,2,FALSE)</f>
        <v>Collection system structural blockage</v>
      </c>
      <c r="O1441" s="21">
        <v>44686.0</v>
      </c>
      <c r="P1441" s="6" t="s">
        <v>2515</v>
      </c>
      <c r="Q1441" s="21">
        <v>44686.0</v>
      </c>
      <c r="R1441" s="6" t="s">
        <v>2515</v>
      </c>
      <c r="S1441" s="20">
        <v>0.0</v>
      </c>
      <c r="T1441" s="6" t="s">
        <v>118</v>
      </c>
      <c r="U1441" s="6"/>
      <c r="V1441" s="6"/>
      <c r="W1441" s="6">
        <v>29.793138</v>
      </c>
      <c r="X1441" s="6">
        <v>-95.5793893</v>
      </c>
    </row>
    <row r="1442" ht="15.75" customHeight="1">
      <c r="A1442" s="6">
        <v>47404.0</v>
      </c>
      <c r="B1442" s="6">
        <v>2022.0</v>
      </c>
      <c r="C1442" s="6" t="str">
        <f t="shared" si="5"/>
        <v>3701 COCHRAN ST,Houston,Texas</v>
      </c>
      <c r="D1442" s="6" t="s">
        <v>2516</v>
      </c>
      <c r="E1442" s="6" t="s">
        <v>25</v>
      </c>
      <c r="F1442" s="6" t="s">
        <v>26</v>
      </c>
      <c r="G1442" s="6" t="s">
        <v>161</v>
      </c>
      <c r="H1442" s="6" t="s">
        <v>50</v>
      </c>
      <c r="I1442" s="6" t="str">
        <f>VLOOKUP(H1442,'Flow Location'!$A$1:$B$21,2,FALSE)</f>
        <v>Contained On Site, not within 5 ft. of Bayou/Surface Water/Drainage Ditch</v>
      </c>
      <c r="J1442" s="20">
        <v>0.0</v>
      </c>
      <c r="K1442" s="6" t="s">
        <v>51</v>
      </c>
      <c r="L1442" s="6" t="str">
        <f>VLOOKUP(K1442,'Structure type'!$A$1:$B$15,2,FALSE)</f>
        <v>Private Cleanout</v>
      </c>
      <c r="M1442" s="6" t="s">
        <v>30</v>
      </c>
      <c r="N1442" s="6" t="str">
        <f>VLOOKUP(M1442,'Excursion Cause'!$A$1:$B$34,2,FALSE)</f>
        <v>Grease Blockage</v>
      </c>
      <c r="O1442" s="21">
        <v>44686.0</v>
      </c>
      <c r="P1442" s="6" t="s">
        <v>2517</v>
      </c>
      <c r="Q1442" s="21">
        <v>44686.0</v>
      </c>
      <c r="R1442" s="6" t="s">
        <v>2517</v>
      </c>
      <c r="S1442" s="20">
        <v>0.0</v>
      </c>
      <c r="T1442" s="6" t="s">
        <v>33</v>
      </c>
      <c r="U1442" s="6"/>
      <c r="V1442" s="6"/>
      <c r="W1442" s="6">
        <v>29.7941433</v>
      </c>
      <c r="X1442" s="6">
        <v>-95.3563711</v>
      </c>
    </row>
    <row r="1443" ht="15.75" customHeight="1">
      <c r="A1443" s="6">
        <v>47407.0</v>
      </c>
      <c r="B1443" s="6">
        <v>2022.0</v>
      </c>
      <c r="C1443" s="6" t="str">
        <f t="shared" si="5"/>
        <v>1243 S KIRKWOOD RD,Houston,Texas</v>
      </c>
      <c r="D1443" s="6" t="s">
        <v>2518</v>
      </c>
      <c r="E1443" s="6" t="s">
        <v>25</v>
      </c>
      <c r="F1443" s="6" t="s">
        <v>26</v>
      </c>
      <c r="G1443" s="6" t="s">
        <v>347</v>
      </c>
      <c r="H1443" s="6" t="s">
        <v>50</v>
      </c>
      <c r="I1443" s="6" t="str">
        <f>VLOOKUP(H1443,'Flow Location'!$A$1:$B$21,2,FALSE)</f>
        <v>Contained On Site, not within 5 ft. of Bayou/Surface Water/Drainage Ditch</v>
      </c>
      <c r="J1443" s="20">
        <v>0.0</v>
      </c>
      <c r="K1443" s="6" t="s">
        <v>45</v>
      </c>
      <c r="L1443" s="6" t="str">
        <f>VLOOKUP(K1443,'Structure type'!$A$1:$B$15,2,FALSE)</f>
        <v>City Cleanout</v>
      </c>
      <c r="M1443" s="6" t="s">
        <v>30</v>
      </c>
      <c r="N1443" s="6" t="str">
        <f>VLOOKUP(M1443,'Excursion Cause'!$A$1:$B$34,2,FALSE)</f>
        <v>Grease Blockage</v>
      </c>
      <c r="O1443" s="21">
        <v>44686.0</v>
      </c>
      <c r="P1443" s="6" t="s">
        <v>826</v>
      </c>
      <c r="Q1443" s="21">
        <v>44686.0</v>
      </c>
      <c r="R1443" s="6" t="s">
        <v>826</v>
      </c>
      <c r="S1443" s="20">
        <v>0.0</v>
      </c>
      <c r="T1443" s="6" t="s">
        <v>59</v>
      </c>
      <c r="U1443" s="6"/>
      <c r="V1443" s="6"/>
      <c r="W1443" s="6">
        <v>29.7581782</v>
      </c>
      <c r="X1443" s="6">
        <v>-95.5882854</v>
      </c>
    </row>
    <row r="1444" ht="15.75" customHeight="1">
      <c r="A1444" s="6">
        <v>47409.0</v>
      </c>
      <c r="B1444" s="6">
        <v>2022.0</v>
      </c>
      <c r="C1444" s="6" t="str">
        <f t="shared" si="5"/>
        <v>7111 AVENUE H,Houston,Texas</v>
      </c>
      <c r="D1444" s="6" t="s">
        <v>2432</v>
      </c>
      <c r="E1444" s="6" t="s">
        <v>25</v>
      </c>
      <c r="F1444" s="6" t="s">
        <v>26</v>
      </c>
      <c r="G1444" s="6" t="s">
        <v>227</v>
      </c>
      <c r="H1444" s="6" t="s">
        <v>50</v>
      </c>
      <c r="I1444" s="6" t="str">
        <f>VLOOKUP(H1444,'Flow Location'!$A$1:$B$21,2,FALSE)</f>
        <v>Contained On Site, not within 5 ft. of Bayou/Surface Water/Drainage Ditch</v>
      </c>
      <c r="J1444" s="20">
        <v>0.0</v>
      </c>
      <c r="K1444" s="6" t="s">
        <v>45</v>
      </c>
      <c r="L1444" s="6" t="str">
        <f>VLOOKUP(K1444,'Structure type'!$A$1:$B$15,2,FALSE)</f>
        <v>City Cleanout</v>
      </c>
      <c r="M1444" s="6" t="s">
        <v>52</v>
      </c>
      <c r="N1444" s="6" t="str">
        <f>VLOOKUP(M1444,'Excursion Cause'!$A$1:$B$34,2,FALSE)</f>
        <v>Collection system structural blockage</v>
      </c>
      <c r="O1444" s="21">
        <v>44686.0</v>
      </c>
      <c r="P1444" s="6" t="s">
        <v>2519</v>
      </c>
      <c r="Q1444" s="21">
        <v>44686.0</v>
      </c>
      <c r="R1444" s="6" t="s">
        <v>2519</v>
      </c>
      <c r="S1444" s="20">
        <v>0.0</v>
      </c>
      <c r="T1444" s="6" t="s">
        <v>89</v>
      </c>
      <c r="U1444" s="6"/>
      <c r="V1444" s="6"/>
      <c r="W1444" s="6">
        <v>29.7397271</v>
      </c>
      <c r="X1444" s="6">
        <v>-95.297365</v>
      </c>
    </row>
    <row r="1445" ht="15.75" customHeight="1">
      <c r="A1445" s="6">
        <v>47410.0</v>
      </c>
      <c r="B1445" s="6">
        <v>2022.0</v>
      </c>
      <c r="C1445" s="6" t="str">
        <f t="shared" si="5"/>
        <v>8470 GOLD CREEK DR,Houston,Texas</v>
      </c>
      <c r="D1445" s="6" t="s">
        <v>2520</v>
      </c>
      <c r="E1445" s="6" t="s">
        <v>25</v>
      </c>
      <c r="F1445" s="6" t="s">
        <v>26</v>
      </c>
      <c r="G1445" s="6" t="s">
        <v>294</v>
      </c>
      <c r="H1445" s="6" t="s">
        <v>1724</v>
      </c>
      <c r="I1445" s="6" t="str">
        <f>VLOOKUP(H1445,'Flow Location'!$A$1:$B$21,2,FALSE)</f>
        <v>Storm Sewer (not contained)</v>
      </c>
      <c r="J1445" s="20">
        <v>143.0</v>
      </c>
      <c r="K1445" s="6" t="s">
        <v>290</v>
      </c>
      <c r="L1445" s="6" t="str">
        <f>VLOOKUP(K1445,'Structure type'!$A$1:$B$15,2,FALSE)</f>
        <v>Gravity Main</v>
      </c>
      <c r="M1445" s="6" t="s">
        <v>2521</v>
      </c>
      <c r="N1445" s="6" t="str">
        <f>VLOOKUP(M1445,'Excursion Cause'!$A$1:$B$34,2,FALSE)</f>
        <v>Grease Blockage</v>
      </c>
      <c r="O1445" s="21">
        <v>44686.0</v>
      </c>
      <c r="P1445" s="6" t="s">
        <v>260</v>
      </c>
      <c r="Q1445" s="21">
        <v>44686.0</v>
      </c>
      <c r="R1445" s="6" t="s">
        <v>637</v>
      </c>
      <c r="S1445" s="20">
        <v>1.0</v>
      </c>
      <c r="T1445" s="6" t="s">
        <v>2522</v>
      </c>
      <c r="U1445" s="6"/>
      <c r="V1445" s="6"/>
      <c r="W1445" s="6">
        <v>29.8240532</v>
      </c>
      <c r="X1445" s="6">
        <v>-95.4992892</v>
      </c>
    </row>
    <row r="1446" ht="15.75" customHeight="1">
      <c r="A1446" s="6">
        <v>47414.0</v>
      </c>
      <c r="B1446" s="6">
        <v>2022.0</v>
      </c>
      <c r="C1446" s="6" t="str">
        <f t="shared" si="5"/>
        <v>4817 BOICEWOOD ST,Houston,Texas</v>
      </c>
      <c r="D1446" s="6" t="s">
        <v>2523</v>
      </c>
      <c r="E1446" s="6" t="s">
        <v>25</v>
      </c>
      <c r="F1446" s="6" t="s">
        <v>26</v>
      </c>
      <c r="G1446" s="6" t="s">
        <v>326</v>
      </c>
      <c r="H1446" s="6" t="s">
        <v>2275</v>
      </c>
      <c r="I1446" s="6" t="str">
        <f>VLOOKUP(H1446,'Flow Location'!$A$1:$B$21,2,FALSE)</f>
        <v>Contained On Site, not within 5 ft. of Bayou/Surface Water/Drainage Ditch</v>
      </c>
      <c r="J1446" s="20">
        <v>0.0</v>
      </c>
      <c r="K1446" s="6" t="s">
        <v>198</v>
      </c>
      <c r="L1446" s="6" t="str">
        <f>VLOOKUP(K1446,'Structure type'!$A$1:$B$15,2,FALSE)</f>
        <v>Service Lateral</v>
      </c>
      <c r="M1446" s="6" t="s">
        <v>2524</v>
      </c>
      <c r="N1446" s="6" t="str">
        <f>VLOOKUP(M1446,'Excursion Cause'!$A$1:$B$34,2,FALSE)</f>
        <v>Collection system structural blockage</v>
      </c>
      <c r="O1446" s="21">
        <v>44686.0</v>
      </c>
      <c r="P1446" s="6" t="s">
        <v>1592</v>
      </c>
      <c r="Q1446" s="21">
        <v>44686.0</v>
      </c>
      <c r="R1446" s="6" t="s">
        <v>1592</v>
      </c>
      <c r="S1446" s="20">
        <v>0.0</v>
      </c>
      <c r="T1446" s="6" t="s">
        <v>118</v>
      </c>
      <c r="U1446" s="6"/>
      <c r="V1446" s="6"/>
      <c r="W1446" s="6">
        <v>29.8428145</v>
      </c>
      <c r="X1446" s="6">
        <v>-95.3196119</v>
      </c>
    </row>
    <row r="1447" ht="15.75" customHeight="1">
      <c r="A1447" s="6">
        <v>47417.0</v>
      </c>
      <c r="B1447" s="6">
        <v>2022.0</v>
      </c>
      <c r="C1447" s="6" t="str">
        <f t="shared" si="5"/>
        <v>6154 ROCKY NOOK DR,Houston,Texas</v>
      </c>
      <c r="D1447" s="6" t="s">
        <v>2525</v>
      </c>
      <c r="E1447" s="6" t="s">
        <v>25</v>
      </c>
      <c r="F1447" s="6" t="s">
        <v>26</v>
      </c>
      <c r="G1447" s="6" t="s">
        <v>853</v>
      </c>
      <c r="H1447" s="6" t="s">
        <v>2275</v>
      </c>
      <c r="I1447" s="6" t="str">
        <f>VLOOKUP(H1447,'Flow Location'!$A$1:$B$21,2,FALSE)</f>
        <v>Contained On Site, not within 5 ft. of Bayou/Surface Water/Drainage Ditch</v>
      </c>
      <c r="J1447" s="20">
        <v>0.0</v>
      </c>
      <c r="K1447" s="6" t="s">
        <v>45</v>
      </c>
      <c r="L1447" s="6" t="str">
        <f>VLOOKUP(K1447,'Structure type'!$A$1:$B$15,2,FALSE)</f>
        <v>City Cleanout</v>
      </c>
      <c r="M1447" s="6" t="s">
        <v>56</v>
      </c>
      <c r="N1447" s="6" t="str">
        <f>VLOOKUP(M1447,'Excursion Cause'!$A$1:$B$34,2,FALSE)</f>
        <v>Rags/Wipes</v>
      </c>
      <c r="O1447" s="21">
        <v>44687.0</v>
      </c>
      <c r="P1447" s="6" t="s">
        <v>457</v>
      </c>
      <c r="Q1447" s="21">
        <v>44687.0</v>
      </c>
      <c r="R1447" s="6" t="s">
        <v>457</v>
      </c>
      <c r="S1447" s="20">
        <v>0.0</v>
      </c>
      <c r="T1447" s="6" t="s">
        <v>170</v>
      </c>
      <c r="U1447" s="6"/>
      <c r="V1447" s="6"/>
      <c r="W1447" s="6">
        <v>29.96337</v>
      </c>
      <c r="X1447" s="6">
        <v>-95.2955887</v>
      </c>
    </row>
    <row r="1448" ht="15.75" customHeight="1">
      <c r="A1448" s="6">
        <v>47419.0</v>
      </c>
      <c r="B1448" s="6">
        <v>2022.0</v>
      </c>
      <c r="C1448" s="6" t="str">
        <f t="shared" si="5"/>
        <v>15810 BAZELBRIAR LN,Houston,Texas</v>
      </c>
      <c r="D1448" s="6" t="s">
        <v>2526</v>
      </c>
      <c r="E1448" s="6" t="s">
        <v>25</v>
      </c>
      <c r="F1448" s="6" t="s">
        <v>26</v>
      </c>
      <c r="G1448" s="6" t="s">
        <v>166</v>
      </c>
      <c r="H1448" s="6" t="s">
        <v>1724</v>
      </c>
      <c r="I1448" s="6" t="str">
        <f>VLOOKUP(H1448,'Flow Location'!$A$1:$B$21,2,FALSE)</f>
        <v>Storm Sewer (not contained)</v>
      </c>
      <c r="J1448" s="20">
        <v>5735.0</v>
      </c>
      <c r="K1448" s="6" t="s">
        <v>29</v>
      </c>
      <c r="L1448" s="6" t="str">
        <f>VLOOKUP(K1448,'Structure type'!$A$1:$B$15,2,FALSE)</f>
        <v>Manhole</v>
      </c>
      <c r="M1448" s="6" t="s">
        <v>2527</v>
      </c>
      <c r="N1448" s="6" t="str">
        <f>VLOOKUP(M1448,'Excursion Cause'!$A$1:$B$34,2,FALSE)</f>
        <v>Grease Blockage</v>
      </c>
      <c r="O1448" s="21">
        <v>44687.0</v>
      </c>
      <c r="P1448" s="6" t="s">
        <v>1170</v>
      </c>
      <c r="Q1448" s="21">
        <v>44691.0</v>
      </c>
      <c r="R1448" s="6" t="s">
        <v>901</v>
      </c>
      <c r="S1448" s="20">
        <v>1.0</v>
      </c>
      <c r="T1448" s="6" t="s">
        <v>2528</v>
      </c>
      <c r="U1448" s="6"/>
      <c r="V1448" s="6"/>
      <c r="W1448" s="6">
        <v>29.5965963</v>
      </c>
      <c r="X1448" s="6">
        <v>-95.5018529</v>
      </c>
    </row>
    <row r="1449" ht="15.75" customHeight="1">
      <c r="A1449" s="6">
        <v>47420.0</v>
      </c>
      <c r="B1449" s="6">
        <v>2022.0</v>
      </c>
      <c r="C1449" s="6" t="str">
        <f t="shared" si="5"/>
        <v>9523 GULF BRIDGE ST,Houston,Texas</v>
      </c>
      <c r="D1449" s="6" t="s">
        <v>1626</v>
      </c>
      <c r="E1449" s="6" t="s">
        <v>25</v>
      </c>
      <c r="F1449" s="6" t="s">
        <v>26</v>
      </c>
      <c r="G1449" s="6" t="s">
        <v>95</v>
      </c>
      <c r="H1449" s="6" t="s">
        <v>2190</v>
      </c>
      <c r="I1449" s="6" t="str">
        <f>VLOOKUP(H1449,'Flow Location'!$A$1:$B$21,2,FALSE)</f>
        <v>Contained On Site</v>
      </c>
      <c r="J1449" s="20">
        <v>0.0</v>
      </c>
      <c r="K1449" s="6" t="s">
        <v>45</v>
      </c>
      <c r="L1449" s="6" t="str">
        <f>VLOOKUP(K1449,'Structure type'!$A$1:$B$15,2,FALSE)</f>
        <v>City Cleanout</v>
      </c>
      <c r="M1449" s="6" t="s">
        <v>56</v>
      </c>
      <c r="N1449" s="6" t="str">
        <f>VLOOKUP(M1449,'Excursion Cause'!$A$1:$B$34,2,FALSE)</f>
        <v>Rags/Wipes</v>
      </c>
      <c r="O1449" s="21">
        <v>44687.0</v>
      </c>
      <c r="P1449" s="6" t="s">
        <v>192</v>
      </c>
      <c r="Q1449" s="21">
        <v>44687.0</v>
      </c>
      <c r="R1449" s="6" t="s">
        <v>872</v>
      </c>
      <c r="S1449" s="20">
        <v>0.0</v>
      </c>
      <c r="T1449" s="6" t="s">
        <v>2529</v>
      </c>
      <c r="U1449" s="6"/>
      <c r="V1449" s="6"/>
      <c r="W1449" s="6">
        <v>29.6088284</v>
      </c>
      <c r="X1449" s="6">
        <v>-95.2464165</v>
      </c>
    </row>
    <row r="1450" ht="15.75" customHeight="1">
      <c r="A1450" s="6">
        <v>47423.0</v>
      </c>
      <c r="B1450" s="6">
        <v>2022.0</v>
      </c>
      <c r="C1450" s="6" t="str">
        <f t="shared" si="5"/>
        <v>2403 BRANARD ST,Houston,Texas</v>
      </c>
      <c r="D1450" s="6" t="s">
        <v>2530</v>
      </c>
      <c r="E1450" s="6" t="s">
        <v>25</v>
      </c>
      <c r="F1450" s="6" t="s">
        <v>26</v>
      </c>
      <c r="G1450" s="6" t="s">
        <v>112</v>
      </c>
      <c r="H1450" s="6" t="s">
        <v>50</v>
      </c>
      <c r="I1450" s="6" t="str">
        <f>VLOOKUP(H1450,'Flow Location'!$A$1:$B$21,2,FALSE)</f>
        <v>Contained On Site, not within 5 ft. of Bayou/Surface Water/Drainage Ditch</v>
      </c>
      <c r="J1450" s="20">
        <v>0.0</v>
      </c>
      <c r="K1450" s="6" t="s">
        <v>45</v>
      </c>
      <c r="L1450" s="6" t="str">
        <f>VLOOKUP(K1450,'Structure type'!$A$1:$B$15,2,FALSE)</f>
        <v>City Cleanout</v>
      </c>
      <c r="M1450" s="6" t="s">
        <v>30</v>
      </c>
      <c r="N1450" s="6" t="str">
        <f>VLOOKUP(M1450,'Excursion Cause'!$A$1:$B$34,2,FALSE)</f>
        <v>Grease Blockage</v>
      </c>
      <c r="O1450" s="21">
        <v>44687.0</v>
      </c>
      <c r="P1450" s="6" t="s">
        <v>2531</v>
      </c>
      <c r="Q1450" s="21">
        <v>44687.0</v>
      </c>
      <c r="R1450" s="6" t="s">
        <v>2531</v>
      </c>
      <c r="S1450" s="20">
        <v>0.0</v>
      </c>
      <c r="T1450" s="6" t="s">
        <v>270</v>
      </c>
      <c r="U1450" s="6"/>
      <c r="V1450" s="6"/>
      <c r="W1450" s="6">
        <v>29.7368106</v>
      </c>
      <c r="X1450" s="6">
        <v>-95.4165164</v>
      </c>
    </row>
    <row r="1451" ht="15.75" customHeight="1">
      <c r="A1451" s="6">
        <v>47424.0</v>
      </c>
      <c r="B1451" s="6">
        <v>2022.0</v>
      </c>
      <c r="C1451" s="6" t="str">
        <f t="shared" si="5"/>
        <v>5211 GREEN TREE RD,Houston,Texas</v>
      </c>
      <c r="D1451" s="6" t="s">
        <v>2532</v>
      </c>
      <c r="E1451" s="6" t="s">
        <v>25</v>
      </c>
      <c r="F1451" s="6" t="s">
        <v>26</v>
      </c>
      <c r="G1451" s="6" t="s">
        <v>993</v>
      </c>
      <c r="H1451" s="6" t="s">
        <v>1397</v>
      </c>
      <c r="I1451" s="6" t="str">
        <f>VLOOKUP(H1451,'Flow Location'!$A$1:$B$21,2,FALSE)</f>
        <v>Bayou/surface water/drainage ditch</v>
      </c>
      <c r="J1451" s="20">
        <v>1065.0</v>
      </c>
      <c r="K1451" s="6" t="s">
        <v>29</v>
      </c>
      <c r="L1451" s="6" t="str">
        <f>VLOOKUP(K1451,'Structure type'!$A$1:$B$15,2,FALSE)</f>
        <v>Manhole</v>
      </c>
      <c r="M1451" s="6" t="s">
        <v>30</v>
      </c>
      <c r="N1451" s="6" t="str">
        <f>VLOOKUP(M1451,'Excursion Cause'!$A$1:$B$34,2,FALSE)</f>
        <v>Grease Blockage</v>
      </c>
      <c r="O1451" s="21">
        <v>44687.0</v>
      </c>
      <c r="P1451" s="6" t="s">
        <v>2533</v>
      </c>
      <c r="Q1451" s="21">
        <v>44688.0</v>
      </c>
      <c r="R1451" s="6" t="s">
        <v>110</v>
      </c>
      <c r="S1451" s="20">
        <v>1.0</v>
      </c>
      <c r="T1451" s="6" t="s">
        <v>59</v>
      </c>
      <c r="U1451" s="6"/>
      <c r="V1451" s="6"/>
      <c r="W1451" s="6">
        <v>29.7649989</v>
      </c>
      <c r="X1451" s="6">
        <v>-95.4686477</v>
      </c>
    </row>
    <row r="1452" ht="15.75" customHeight="1">
      <c r="A1452" s="6">
        <v>47425.0</v>
      </c>
      <c r="B1452" s="6">
        <v>2022.0</v>
      </c>
      <c r="C1452" s="6" t="str">
        <f t="shared" si="5"/>
        <v>5110 PARKRIDGE DR,Houston,Texas</v>
      </c>
      <c r="D1452" s="6" t="s">
        <v>1278</v>
      </c>
      <c r="E1452" s="6" t="s">
        <v>25</v>
      </c>
      <c r="F1452" s="6" t="s">
        <v>26</v>
      </c>
      <c r="G1452" s="6" t="s">
        <v>517</v>
      </c>
      <c r="H1452" s="6" t="s">
        <v>50</v>
      </c>
      <c r="I1452" s="6" t="str">
        <f>VLOOKUP(H1452,'Flow Location'!$A$1:$B$21,2,FALSE)</f>
        <v>Contained On Site, not within 5 ft. of Bayou/Surface Water/Drainage Ditch</v>
      </c>
      <c r="J1452" s="20">
        <v>394.0</v>
      </c>
      <c r="K1452" s="6" t="s">
        <v>29</v>
      </c>
      <c r="L1452" s="6" t="str">
        <f>VLOOKUP(K1452,'Structure type'!$A$1:$B$15,2,FALSE)</f>
        <v>Manhole</v>
      </c>
      <c r="M1452" s="6" t="s">
        <v>30</v>
      </c>
      <c r="N1452" s="6" t="str">
        <f>VLOOKUP(M1452,'Excursion Cause'!$A$1:$B$34,2,FALSE)</f>
        <v>Grease Blockage</v>
      </c>
      <c r="O1452" s="21">
        <v>44688.0</v>
      </c>
      <c r="P1452" s="6" t="s">
        <v>368</v>
      </c>
      <c r="Q1452" s="21">
        <v>44688.0</v>
      </c>
      <c r="R1452" s="6" t="s">
        <v>1049</v>
      </c>
      <c r="S1452" s="20">
        <v>1.0</v>
      </c>
      <c r="T1452" s="6" t="s">
        <v>33</v>
      </c>
      <c r="U1452" s="6"/>
      <c r="V1452" s="6"/>
      <c r="W1452" s="6">
        <v>29.584118</v>
      </c>
      <c r="X1452" s="6">
        <v>-95.4648801</v>
      </c>
    </row>
    <row r="1453" ht="15.75" customHeight="1">
      <c r="A1453" s="6">
        <v>47426.0</v>
      </c>
      <c r="B1453" s="6">
        <v>2022.0</v>
      </c>
      <c r="C1453" s="6" t="str">
        <f t="shared" si="5"/>
        <v>249 GEORGIA ST,Houston,Texas</v>
      </c>
      <c r="D1453" s="6" t="s">
        <v>2534</v>
      </c>
      <c r="E1453" s="6" t="s">
        <v>25</v>
      </c>
      <c r="F1453" s="6" t="s">
        <v>26</v>
      </c>
      <c r="G1453" s="6" t="s">
        <v>247</v>
      </c>
      <c r="H1453" s="6" t="s">
        <v>2275</v>
      </c>
      <c r="I1453" s="6" t="str">
        <f>VLOOKUP(H1453,'Flow Location'!$A$1:$B$21,2,FALSE)</f>
        <v>Contained On Site, not within 5 ft. of Bayou/Surface Water/Drainage Ditch</v>
      </c>
      <c r="J1453" s="20">
        <v>0.0</v>
      </c>
      <c r="K1453" s="6" t="s">
        <v>29</v>
      </c>
      <c r="L1453" s="6" t="str">
        <f>VLOOKUP(K1453,'Structure type'!$A$1:$B$15,2,FALSE)</f>
        <v>Manhole</v>
      </c>
      <c r="M1453" s="6" t="s">
        <v>30</v>
      </c>
      <c r="N1453" s="6" t="str">
        <f>VLOOKUP(M1453,'Excursion Cause'!$A$1:$B$34,2,FALSE)</f>
        <v>Grease Blockage</v>
      </c>
      <c r="O1453" s="21">
        <v>44688.0</v>
      </c>
      <c r="P1453" s="6" t="s">
        <v>399</v>
      </c>
      <c r="Q1453" s="21">
        <v>44688.0</v>
      </c>
      <c r="R1453" s="6" t="s">
        <v>399</v>
      </c>
      <c r="S1453" s="20">
        <v>0.0</v>
      </c>
      <c r="T1453" s="6" t="s">
        <v>59</v>
      </c>
      <c r="U1453" s="6"/>
      <c r="V1453" s="6"/>
      <c r="W1453" s="6">
        <v>29.7420273</v>
      </c>
      <c r="X1453" s="6">
        <v>-95.2589943</v>
      </c>
    </row>
    <row r="1454" ht="15.75" customHeight="1">
      <c r="A1454" s="6">
        <v>47427.0</v>
      </c>
      <c r="B1454" s="6">
        <v>2022.0</v>
      </c>
      <c r="C1454" s="6" t="str">
        <f t="shared" si="5"/>
        <v>5671 YALE ST,Houston,Texas</v>
      </c>
      <c r="D1454" s="6" t="s">
        <v>2535</v>
      </c>
      <c r="E1454" s="6" t="s">
        <v>25</v>
      </c>
      <c r="F1454" s="6" t="s">
        <v>26</v>
      </c>
      <c r="G1454" s="6" t="s">
        <v>275</v>
      </c>
      <c r="H1454" s="6" t="s">
        <v>1724</v>
      </c>
      <c r="I1454" s="6" t="str">
        <f>VLOOKUP(H1454,'Flow Location'!$A$1:$B$21,2,FALSE)</f>
        <v>Storm Sewer (not contained)</v>
      </c>
      <c r="J1454" s="20">
        <v>464.0</v>
      </c>
      <c r="K1454" s="6" t="s">
        <v>29</v>
      </c>
      <c r="L1454" s="6" t="str">
        <f>VLOOKUP(K1454,'Structure type'!$A$1:$B$15,2,FALSE)</f>
        <v>Manhole</v>
      </c>
      <c r="M1454" s="6" t="s">
        <v>2536</v>
      </c>
      <c r="N1454" s="6" t="str">
        <f>VLOOKUP(M1454,'Excursion Cause'!$A$1:$B$34,2,FALSE)</f>
        <v>Grease Blockage</v>
      </c>
      <c r="O1454" s="21">
        <v>44688.0</v>
      </c>
      <c r="P1454" s="6" t="s">
        <v>219</v>
      </c>
      <c r="Q1454" s="21">
        <v>44688.0</v>
      </c>
      <c r="R1454" s="6" t="s">
        <v>749</v>
      </c>
      <c r="S1454" s="20">
        <v>2.0</v>
      </c>
      <c r="T1454" s="6" t="s">
        <v>2537</v>
      </c>
      <c r="U1454" s="6"/>
      <c r="V1454" s="6"/>
      <c r="W1454" s="6">
        <v>29.8490676</v>
      </c>
      <c r="X1454" s="6">
        <v>-95.4068609</v>
      </c>
    </row>
    <row r="1455" ht="15.75" customHeight="1">
      <c r="A1455" s="6">
        <v>47430.0</v>
      </c>
      <c r="B1455" s="6">
        <v>2022.0</v>
      </c>
      <c r="C1455" s="6" t="str">
        <f t="shared" si="5"/>
        <v>4102 LEMAC DR,Houston,Texas</v>
      </c>
      <c r="D1455" s="6" t="s">
        <v>2538</v>
      </c>
      <c r="E1455" s="6" t="s">
        <v>25</v>
      </c>
      <c r="F1455" s="6" t="s">
        <v>26</v>
      </c>
      <c r="G1455" s="6" t="s">
        <v>65</v>
      </c>
      <c r="H1455" s="6" t="s">
        <v>50</v>
      </c>
      <c r="I1455" s="6" t="str">
        <f>VLOOKUP(H1455,'Flow Location'!$A$1:$B$21,2,FALSE)</f>
        <v>Contained On Site, not within 5 ft. of Bayou/Surface Water/Drainage Ditch</v>
      </c>
      <c r="J1455" s="22">
        <v>712.5</v>
      </c>
      <c r="K1455" s="6" t="s">
        <v>45</v>
      </c>
      <c r="L1455" s="6" t="str">
        <f>VLOOKUP(K1455,'Structure type'!$A$1:$B$15,2,FALSE)</f>
        <v>City Cleanout</v>
      </c>
      <c r="M1455" s="6" t="s">
        <v>56</v>
      </c>
      <c r="N1455" s="6" t="str">
        <f>VLOOKUP(M1455,'Excursion Cause'!$A$1:$B$34,2,FALSE)</f>
        <v>Rags/Wipes</v>
      </c>
      <c r="O1455" s="21">
        <v>44688.0</v>
      </c>
      <c r="P1455" s="6" t="s">
        <v>40</v>
      </c>
      <c r="Q1455" s="21">
        <v>44688.0</v>
      </c>
      <c r="R1455" s="6" t="s">
        <v>887</v>
      </c>
      <c r="S1455" s="20">
        <v>3.0</v>
      </c>
      <c r="T1455" s="6" t="s">
        <v>74</v>
      </c>
      <c r="U1455" s="6"/>
      <c r="V1455" s="6"/>
      <c r="W1455" s="6">
        <v>29.6787332</v>
      </c>
      <c r="X1455" s="6">
        <v>-95.4430344</v>
      </c>
    </row>
    <row r="1456" ht="15.75" customHeight="1">
      <c r="A1456" s="6">
        <v>47436.0</v>
      </c>
      <c r="B1456" s="6">
        <v>2022.0</v>
      </c>
      <c r="C1456" s="6" t="str">
        <f t="shared" si="5"/>
        <v>10842 CORONA LN,Houston,Texas</v>
      </c>
      <c r="D1456" s="6" t="s">
        <v>2539</v>
      </c>
      <c r="E1456" s="6" t="s">
        <v>25</v>
      </c>
      <c r="F1456" s="6" t="s">
        <v>26</v>
      </c>
      <c r="G1456" s="6" t="s">
        <v>91</v>
      </c>
      <c r="H1456" s="6" t="s">
        <v>1724</v>
      </c>
      <c r="I1456" s="6" t="str">
        <f>VLOOKUP(H1456,'Flow Location'!$A$1:$B$21,2,FALSE)</f>
        <v>Storm Sewer (not contained)</v>
      </c>
      <c r="J1456" s="20">
        <v>452.0</v>
      </c>
      <c r="K1456" s="6" t="s">
        <v>29</v>
      </c>
      <c r="L1456" s="6" t="str">
        <f>VLOOKUP(K1456,'Structure type'!$A$1:$B$15,2,FALSE)</f>
        <v>Manhole</v>
      </c>
      <c r="M1456" s="6" t="s">
        <v>2540</v>
      </c>
      <c r="N1456" s="6" t="str">
        <f>VLOOKUP(M1456,'Excursion Cause'!$A$1:$B$34,2,FALSE)</f>
        <v>Grease Blockage</v>
      </c>
      <c r="O1456" s="21">
        <v>44689.0</v>
      </c>
      <c r="P1456" s="6" t="s">
        <v>1099</v>
      </c>
      <c r="Q1456" s="21">
        <v>44689.0</v>
      </c>
      <c r="R1456" s="6" t="s">
        <v>235</v>
      </c>
      <c r="S1456" s="20">
        <v>2.0</v>
      </c>
      <c r="T1456" s="6" t="s">
        <v>2541</v>
      </c>
      <c r="U1456" s="6"/>
      <c r="V1456" s="6"/>
      <c r="W1456" s="6">
        <v>29.6949729</v>
      </c>
      <c r="X1456" s="6">
        <v>-95.5708111</v>
      </c>
    </row>
    <row r="1457" ht="15.75" customHeight="1">
      <c r="A1457" s="6">
        <v>47440.0</v>
      </c>
      <c r="B1457" s="6">
        <v>2022.0</v>
      </c>
      <c r="C1457" s="6" t="str">
        <f t="shared" si="5"/>
        <v>5103 TIMBER SHADE DR,Houston,Texas</v>
      </c>
      <c r="D1457" s="6" t="s">
        <v>2542</v>
      </c>
      <c r="E1457" s="6" t="s">
        <v>25</v>
      </c>
      <c r="F1457" s="6" t="s">
        <v>26</v>
      </c>
      <c r="G1457" s="6" t="s">
        <v>555</v>
      </c>
      <c r="H1457" s="6" t="s">
        <v>50</v>
      </c>
      <c r="I1457" s="6" t="str">
        <f>VLOOKUP(H1457,'Flow Location'!$A$1:$B$21,2,FALSE)</f>
        <v>Contained On Site, not within 5 ft. of Bayou/Surface Water/Drainage Ditch</v>
      </c>
      <c r="J1457" s="20">
        <v>0.0</v>
      </c>
      <c r="K1457" s="6" t="s">
        <v>190</v>
      </c>
      <c r="L1457" s="6" t="str">
        <f>VLOOKUP(K1457,'Structure type'!$A$1:$B$15,2,FALSE)</f>
        <v>Force Main</v>
      </c>
      <c r="M1457" s="6" t="s">
        <v>620</v>
      </c>
      <c r="N1457" s="6" t="str">
        <f>VLOOKUP(M1457,'Excursion Cause'!$A$1:$B$34,2,FALSE)</f>
        <v>Air Relief Valve (ARV) Failure</v>
      </c>
      <c r="O1457" s="21">
        <v>44689.0</v>
      </c>
      <c r="P1457" s="6" t="s">
        <v>2543</v>
      </c>
      <c r="Q1457" s="21">
        <v>44689.0</v>
      </c>
      <c r="R1457" s="6" t="s">
        <v>2543</v>
      </c>
      <c r="S1457" s="20">
        <v>0.0</v>
      </c>
      <c r="T1457" s="6" t="s">
        <v>193</v>
      </c>
      <c r="U1457" s="6"/>
      <c r="V1457" s="6"/>
      <c r="W1457" s="6">
        <v>30.0526585</v>
      </c>
      <c r="X1457" s="6">
        <v>-95.1678379</v>
      </c>
    </row>
    <row r="1458" ht="15.75" customHeight="1">
      <c r="A1458" s="6">
        <v>47445.0</v>
      </c>
      <c r="B1458" s="6">
        <v>2022.0</v>
      </c>
      <c r="C1458" s="6" t="str">
        <f t="shared" si="5"/>
        <v>2635 GESSNER DR,Houston,Texas</v>
      </c>
      <c r="D1458" s="6" t="s">
        <v>2544</v>
      </c>
      <c r="E1458" s="6" t="s">
        <v>25</v>
      </c>
      <c r="F1458" s="6" t="s">
        <v>26</v>
      </c>
      <c r="G1458" s="6" t="s">
        <v>294</v>
      </c>
      <c r="H1458" s="6" t="s">
        <v>50</v>
      </c>
      <c r="I1458" s="6" t="str">
        <f>VLOOKUP(H1458,'Flow Location'!$A$1:$B$21,2,FALSE)</f>
        <v>Contained On Site, not within 5 ft. of Bayou/Surface Water/Drainage Ditch</v>
      </c>
      <c r="J1458" s="20">
        <v>0.0</v>
      </c>
      <c r="K1458" s="6" t="s">
        <v>45</v>
      </c>
      <c r="L1458" s="6" t="str">
        <f>VLOOKUP(K1458,'Structure type'!$A$1:$B$15,2,FALSE)</f>
        <v>City Cleanout</v>
      </c>
      <c r="M1458" s="6" t="s">
        <v>30</v>
      </c>
      <c r="N1458" s="6" t="str">
        <f>VLOOKUP(M1458,'Excursion Cause'!$A$1:$B$34,2,FALSE)</f>
        <v>Grease Blockage</v>
      </c>
      <c r="O1458" s="21">
        <v>44690.0</v>
      </c>
      <c r="P1458" s="6" t="s">
        <v>1858</v>
      </c>
      <c r="Q1458" s="21">
        <v>44690.0</v>
      </c>
      <c r="R1458" s="6" t="s">
        <v>1858</v>
      </c>
      <c r="S1458" s="20">
        <v>0.0</v>
      </c>
      <c r="T1458" s="6" t="s">
        <v>33</v>
      </c>
      <c r="U1458" s="6"/>
      <c r="V1458" s="6"/>
      <c r="W1458" s="6">
        <v>29.8201342</v>
      </c>
      <c r="X1458" s="6">
        <v>-95.5456916</v>
      </c>
    </row>
    <row r="1459" ht="15.75" customHeight="1">
      <c r="A1459" s="6">
        <v>47447.0</v>
      </c>
      <c r="B1459" s="6">
        <v>2022.0</v>
      </c>
      <c r="C1459" s="6" t="str">
        <f t="shared" si="5"/>
        <v>9415 E AVENUE L,Houston,Texas</v>
      </c>
      <c r="D1459" s="6" t="s">
        <v>2545</v>
      </c>
      <c r="E1459" s="6" t="s">
        <v>25</v>
      </c>
      <c r="F1459" s="6" t="s">
        <v>26</v>
      </c>
      <c r="G1459" s="6" t="s">
        <v>365</v>
      </c>
      <c r="H1459" s="6" t="s">
        <v>2275</v>
      </c>
      <c r="I1459" s="6" t="str">
        <f>VLOOKUP(H1459,'Flow Location'!$A$1:$B$21,2,FALSE)</f>
        <v>Contained On Site, not within 5 ft. of Bayou/Surface Water/Drainage Ditch</v>
      </c>
      <c r="J1459" s="20">
        <v>0.0</v>
      </c>
      <c r="K1459" s="6" t="s">
        <v>198</v>
      </c>
      <c r="L1459" s="6" t="str">
        <f>VLOOKUP(K1459,'Structure type'!$A$1:$B$15,2,FALSE)</f>
        <v>Service Lateral</v>
      </c>
      <c r="M1459" s="6" t="s">
        <v>52</v>
      </c>
      <c r="N1459" s="6" t="str">
        <f>VLOOKUP(M1459,'Excursion Cause'!$A$1:$B$34,2,FALSE)</f>
        <v>Collection system structural blockage</v>
      </c>
      <c r="O1459" s="21">
        <v>44690.0</v>
      </c>
      <c r="P1459" s="6" t="s">
        <v>408</v>
      </c>
      <c r="Q1459" s="21">
        <v>44690.0</v>
      </c>
      <c r="R1459" s="6" t="s">
        <v>408</v>
      </c>
      <c r="S1459" s="20">
        <v>0.0</v>
      </c>
      <c r="T1459" s="6" t="s">
        <v>170</v>
      </c>
      <c r="U1459" s="6"/>
      <c r="V1459" s="6"/>
      <c r="W1459" s="6">
        <v>29.7179833</v>
      </c>
      <c r="X1459" s="6">
        <v>-95.2594347</v>
      </c>
    </row>
    <row r="1460" ht="15.75" customHeight="1">
      <c r="A1460" s="6">
        <v>47449.0</v>
      </c>
      <c r="B1460" s="6">
        <v>2022.0</v>
      </c>
      <c r="C1460" s="6" t="str">
        <f t="shared" si="5"/>
        <v>4818 IRVINGTON BLVD,Houston,Texas</v>
      </c>
      <c r="D1460" s="6" t="s">
        <v>2546</v>
      </c>
      <c r="E1460" s="6" t="s">
        <v>25</v>
      </c>
      <c r="F1460" s="6" t="s">
        <v>26</v>
      </c>
      <c r="G1460" s="6" t="s">
        <v>161</v>
      </c>
      <c r="H1460" s="6" t="s">
        <v>1724</v>
      </c>
      <c r="I1460" s="6" t="str">
        <f>VLOOKUP(H1460,'Flow Location'!$A$1:$B$21,2,FALSE)</f>
        <v>Storm Sewer (not contained)</v>
      </c>
      <c r="J1460" s="20">
        <v>332.0</v>
      </c>
      <c r="K1460" s="6" t="s">
        <v>29</v>
      </c>
      <c r="L1460" s="6" t="str">
        <f>VLOOKUP(K1460,'Structure type'!$A$1:$B$15,2,FALSE)</f>
        <v>Manhole</v>
      </c>
      <c r="M1460" s="6" t="s">
        <v>2547</v>
      </c>
      <c r="N1460" s="6" t="str">
        <f>VLOOKUP(M1460,'Excursion Cause'!$A$1:$B$34,2,FALSE)</f>
        <v>Grease Blockage</v>
      </c>
      <c r="O1460" s="21">
        <v>44690.0</v>
      </c>
      <c r="P1460" s="6" t="s">
        <v>1029</v>
      </c>
      <c r="Q1460" s="21">
        <v>44690.0</v>
      </c>
      <c r="R1460" s="6" t="s">
        <v>911</v>
      </c>
      <c r="S1460" s="20">
        <v>2.0</v>
      </c>
      <c r="T1460" s="6" t="s">
        <v>2548</v>
      </c>
      <c r="U1460" s="6"/>
      <c r="V1460" s="6"/>
      <c r="W1460" s="6">
        <v>29.8046741</v>
      </c>
      <c r="X1460" s="6">
        <v>-95.3606304</v>
      </c>
    </row>
    <row r="1461" ht="15.75" customHeight="1">
      <c r="A1461" s="6">
        <v>47452.0</v>
      </c>
      <c r="B1461" s="6">
        <v>2022.0</v>
      </c>
      <c r="C1461" s="6" t="str">
        <f t="shared" si="5"/>
        <v>10002 INWOOD DR,Houston,Texas</v>
      </c>
      <c r="D1461" s="6" t="s">
        <v>2549</v>
      </c>
      <c r="E1461" s="6" t="s">
        <v>25</v>
      </c>
      <c r="F1461" s="6" t="s">
        <v>26</v>
      </c>
      <c r="G1461" s="6" t="s">
        <v>401</v>
      </c>
      <c r="H1461" s="6" t="s">
        <v>28</v>
      </c>
      <c r="I1461" s="6" t="str">
        <f>VLOOKUP(H1461,'Flow Location'!$A$1:$B$21,2,FALSE)</f>
        <v>Storm Sewer (not contained)</v>
      </c>
      <c r="J1461" s="20">
        <v>20377.0</v>
      </c>
      <c r="K1461" s="6" t="s">
        <v>290</v>
      </c>
      <c r="L1461" s="6" t="str">
        <f>VLOOKUP(K1461,'Structure type'!$A$1:$B$15,2,FALSE)</f>
        <v>Gravity Main</v>
      </c>
      <c r="M1461" s="23" t="s">
        <v>2550</v>
      </c>
      <c r="N1461" s="6" t="str">
        <f>VLOOKUP(M1461,'Excursion Cause'!$A$1:$B$34,2,FALSE)</f>
        <v>Cross-connection to Storm Sewer</v>
      </c>
      <c r="O1461" s="21">
        <v>44691.0</v>
      </c>
      <c r="P1461" s="6" t="s">
        <v>136</v>
      </c>
      <c r="Q1461" s="21">
        <v>44705.0</v>
      </c>
      <c r="R1461" s="6" t="s">
        <v>529</v>
      </c>
      <c r="S1461" s="20">
        <v>1.0</v>
      </c>
      <c r="T1461" s="6" t="s">
        <v>118</v>
      </c>
      <c r="U1461" s="6"/>
      <c r="V1461" s="6"/>
      <c r="W1461" s="6">
        <v>29.7458985</v>
      </c>
      <c r="X1461" s="6">
        <v>-95.5487437</v>
      </c>
    </row>
    <row r="1462" ht="15.75" customHeight="1">
      <c r="A1462" s="6">
        <v>47455.0</v>
      </c>
      <c r="B1462" s="6">
        <v>2022.0</v>
      </c>
      <c r="C1462" s="6" t="str">
        <f t="shared" si="5"/>
        <v>9801 MEADOWGLEN LN,Houston,Texas</v>
      </c>
      <c r="D1462" s="6" t="s">
        <v>2551</v>
      </c>
      <c r="E1462" s="6" t="s">
        <v>25</v>
      </c>
      <c r="F1462" s="6" t="s">
        <v>26</v>
      </c>
      <c r="G1462" s="6" t="s">
        <v>401</v>
      </c>
      <c r="H1462" s="6" t="s">
        <v>50</v>
      </c>
      <c r="I1462" s="6" t="str">
        <f>VLOOKUP(H1462,'Flow Location'!$A$1:$B$21,2,FALSE)</f>
        <v>Contained On Site, not within 5 ft. of Bayou/Surface Water/Drainage Ditch</v>
      </c>
      <c r="J1462" s="20">
        <v>636.0</v>
      </c>
      <c r="K1462" s="6" t="s">
        <v>29</v>
      </c>
      <c r="L1462" s="6" t="str">
        <f>VLOOKUP(K1462,'Structure type'!$A$1:$B$15,2,FALSE)</f>
        <v>Manhole</v>
      </c>
      <c r="M1462" s="6" t="s">
        <v>30</v>
      </c>
      <c r="N1462" s="6" t="str">
        <f>VLOOKUP(M1462,'Excursion Cause'!$A$1:$B$34,2,FALSE)</f>
        <v>Grease Blockage</v>
      </c>
      <c r="O1462" s="21">
        <v>44691.0</v>
      </c>
      <c r="P1462" s="6" t="s">
        <v>1896</v>
      </c>
      <c r="Q1462" s="21">
        <v>44691.0</v>
      </c>
      <c r="R1462" s="6" t="s">
        <v>472</v>
      </c>
      <c r="S1462" s="20">
        <v>4.0</v>
      </c>
      <c r="T1462" s="6" t="s">
        <v>33</v>
      </c>
      <c r="U1462" s="6"/>
      <c r="V1462" s="6"/>
      <c r="W1462" s="6">
        <v>29.731109</v>
      </c>
      <c r="X1462" s="6">
        <v>-95.544412</v>
      </c>
    </row>
    <row r="1463" ht="15.75" customHeight="1">
      <c r="A1463" s="6">
        <v>47459.0</v>
      </c>
      <c r="B1463" s="6">
        <v>2022.0</v>
      </c>
      <c r="C1463" s="6" t="str">
        <f t="shared" si="5"/>
        <v>2930 LAZY LANE BLVD,Houston,Texas</v>
      </c>
      <c r="D1463" s="6" t="s">
        <v>2552</v>
      </c>
      <c r="E1463" s="6" t="s">
        <v>25</v>
      </c>
      <c r="F1463" s="6" t="s">
        <v>26</v>
      </c>
      <c r="G1463" s="6" t="s">
        <v>80</v>
      </c>
      <c r="H1463" s="6" t="s">
        <v>2275</v>
      </c>
      <c r="I1463" s="6" t="str">
        <f>VLOOKUP(H1463,'Flow Location'!$A$1:$B$21,2,FALSE)</f>
        <v>Contained On Site, not within 5 ft. of Bayou/Surface Water/Drainage Ditch</v>
      </c>
      <c r="J1463" s="20">
        <v>0.0</v>
      </c>
      <c r="K1463" s="6" t="s">
        <v>29</v>
      </c>
      <c r="L1463" s="6" t="str">
        <f>VLOOKUP(K1463,'Structure type'!$A$1:$B$15,2,FALSE)</f>
        <v>Manhole</v>
      </c>
      <c r="M1463" s="6" t="s">
        <v>30</v>
      </c>
      <c r="N1463" s="6" t="str">
        <f>VLOOKUP(M1463,'Excursion Cause'!$A$1:$B$34,2,FALSE)</f>
        <v>Grease Blockage</v>
      </c>
      <c r="O1463" s="21">
        <v>44692.0</v>
      </c>
      <c r="P1463" s="6" t="s">
        <v>331</v>
      </c>
      <c r="Q1463" s="21">
        <v>44692.0</v>
      </c>
      <c r="R1463" s="6" t="s">
        <v>331</v>
      </c>
      <c r="S1463" s="20">
        <v>0.0</v>
      </c>
      <c r="T1463" s="6" t="s">
        <v>59</v>
      </c>
      <c r="U1463" s="6"/>
      <c r="V1463" s="6"/>
      <c r="W1463" s="6">
        <v>29.7572933</v>
      </c>
      <c r="X1463" s="6">
        <v>-95.4192707</v>
      </c>
    </row>
    <row r="1464" ht="15.75" customHeight="1">
      <c r="A1464" s="6">
        <v>47460.0</v>
      </c>
      <c r="B1464" s="6">
        <v>2022.0</v>
      </c>
      <c r="C1464" s="6" t="str">
        <f t="shared" si="5"/>
        <v>10507 SWAN GLEN DR,Houston,Texas</v>
      </c>
      <c r="D1464" s="6" t="s">
        <v>2184</v>
      </c>
      <c r="E1464" s="6" t="s">
        <v>25</v>
      </c>
      <c r="F1464" s="6" t="s">
        <v>26</v>
      </c>
      <c r="G1464" s="6" t="s">
        <v>154</v>
      </c>
      <c r="H1464" s="6" t="s">
        <v>1724</v>
      </c>
      <c r="I1464" s="6" t="str">
        <f>VLOOKUP(H1464,'Flow Location'!$A$1:$B$21,2,FALSE)</f>
        <v>Storm Sewer (not contained)</v>
      </c>
      <c r="J1464" s="20">
        <v>405.0</v>
      </c>
      <c r="K1464" s="6" t="s">
        <v>29</v>
      </c>
      <c r="L1464" s="6" t="str">
        <f>VLOOKUP(K1464,'Structure type'!$A$1:$B$15,2,FALSE)</f>
        <v>Manhole</v>
      </c>
      <c r="M1464" s="6" t="s">
        <v>2553</v>
      </c>
      <c r="N1464" s="6" t="str">
        <f>VLOOKUP(M1464,'Excursion Cause'!$A$1:$B$34,2,FALSE)</f>
        <v>Grease Blockage</v>
      </c>
      <c r="O1464" s="21">
        <v>44692.0</v>
      </c>
      <c r="P1464" s="6" t="s">
        <v>285</v>
      </c>
      <c r="Q1464" s="21">
        <v>44692.0</v>
      </c>
      <c r="R1464" s="6" t="s">
        <v>643</v>
      </c>
      <c r="S1464" s="20">
        <v>3.0</v>
      </c>
      <c r="T1464" s="6" t="s">
        <v>2554</v>
      </c>
      <c r="U1464" s="6"/>
      <c r="V1464" s="6"/>
      <c r="W1464" s="6">
        <v>29.6670611</v>
      </c>
      <c r="X1464" s="6">
        <v>-95.5890938</v>
      </c>
    </row>
    <row r="1465" ht="15.75" customHeight="1">
      <c r="A1465" s="6">
        <v>47464.0</v>
      </c>
      <c r="B1465" s="6">
        <v>2022.0</v>
      </c>
      <c r="C1465" s="6" t="str">
        <f t="shared" si="5"/>
        <v>2006 VERMONT ST,Houston,Texas</v>
      </c>
      <c r="D1465" s="6" t="s">
        <v>2555</v>
      </c>
      <c r="E1465" s="6" t="s">
        <v>25</v>
      </c>
      <c r="F1465" s="6" t="s">
        <v>26</v>
      </c>
      <c r="G1465" s="6" t="s">
        <v>80</v>
      </c>
      <c r="H1465" s="6" t="s">
        <v>28</v>
      </c>
      <c r="I1465" s="6" t="str">
        <f>VLOOKUP(H1465,'Flow Location'!$A$1:$B$21,2,FALSE)</f>
        <v>Storm Sewer (not contained)</v>
      </c>
      <c r="J1465" s="20">
        <v>0.0</v>
      </c>
      <c r="K1465" s="6" t="s">
        <v>290</v>
      </c>
      <c r="L1465" s="6" t="str">
        <f>VLOOKUP(K1465,'Structure type'!$A$1:$B$15,2,FALSE)</f>
        <v>Gravity Main</v>
      </c>
      <c r="M1465" s="6" t="s">
        <v>2556</v>
      </c>
      <c r="N1465" s="6" t="str">
        <f>VLOOKUP(M1465,'Excursion Cause'!$A$1:$B$34,2,FALSE)</f>
        <v>Collection system structural failure</v>
      </c>
      <c r="O1465" s="21">
        <v>44692.0</v>
      </c>
      <c r="P1465" s="6" t="s">
        <v>2557</v>
      </c>
      <c r="Q1465" s="21">
        <v>44692.0</v>
      </c>
      <c r="R1465" s="6" t="s">
        <v>2557</v>
      </c>
      <c r="S1465" s="20">
        <v>0.0</v>
      </c>
      <c r="T1465" s="6" t="s">
        <v>107</v>
      </c>
      <c r="U1465" s="6"/>
      <c r="V1465" s="6"/>
      <c r="W1465" s="6">
        <v>29.7492855</v>
      </c>
      <c r="X1465" s="6">
        <v>-95.4083085</v>
      </c>
    </row>
    <row r="1466" ht="15.75" customHeight="1">
      <c r="A1466" s="6">
        <v>47466.0</v>
      </c>
      <c r="B1466" s="6">
        <v>2022.0</v>
      </c>
      <c r="C1466" s="6" t="str">
        <f t="shared" si="5"/>
        <v>7557 MAIN ST,Houston,Texas</v>
      </c>
      <c r="D1466" s="6" t="s">
        <v>2558</v>
      </c>
      <c r="E1466" s="6" t="s">
        <v>25</v>
      </c>
      <c r="F1466" s="6" t="s">
        <v>26</v>
      </c>
      <c r="G1466" s="6" t="s">
        <v>512</v>
      </c>
      <c r="H1466" s="6" t="s">
        <v>1724</v>
      </c>
      <c r="I1466" s="6" t="str">
        <f>VLOOKUP(H1466,'Flow Location'!$A$1:$B$21,2,FALSE)</f>
        <v>Storm Sewer (not contained)</v>
      </c>
      <c r="J1466" s="20">
        <v>498.0</v>
      </c>
      <c r="K1466" s="6" t="s">
        <v>29</v>
      </c>
      <c r="L1466" s="6" t="str">
        <f>VLOOKUP(K1466,'Structure type'!$A$1:$B$15,2,FALSE)</f>
        <v>Manhole</v>
      </c>
      <c r="M1466" s="6" t="s">
        <v>2559</v>
      </c>
      <c r="N1466" s="6" t="str">
        <f>VLOOKUP(M1466,'Excursion Cause'!$A$1:$B$34,2,FALSE)</f>
        <v>Grease Blockage</v>
      </c>
      <c r="O1466" s="21">
        <v>44692.0</v>
      </c>
      <c r="P1466" s="6" t="s">
        <v>375</v>
      </c>
      <c r="Q1466" s="21">
        <v>44692.0</v>
      </c>
      <c r="R1466" s="6" t="s">
        <v>1039</v>
      </c>
      <c r="S1466" s="20">
        <v>3.0</v>
      </c>
      <c r="T1466" s="6" t="s">
        <v>2560</v>
      </c>
      <c r="U1466" s="6"/>
      <c r="V1466" s="6"/>
      <c r="W1466" s="6">
        <v>29.6980784</v>
      </c>
      <c r="X1466" s="6">
        <v>-95.4110134</v>
      </c>
    </row>
    <row r="1467" ht="15.75" customHeight="1">
      <c r="A1467" s="6">
        <v>47467.0</v>
      </c>
      <c r="B1467" s="6">
        <v>2022.0</v>
      </c>
      <c r="C1467" s="6" t="str">
        <f t="shared" si="5"/>
        <v>808 CANADIAN ST,Houston,Texas</v>
      </c>
      <c r="D1467" s="6" t="s">
        <v>2561</v>
      </c>
      <c r="E1467" s="6" t="s">
        <v>25</v>
      </c>
      <c r="F1467" s="6" t="s">
        <v>26</v>
      </c>
      <c r="G1467" s="6" t="s">
        <v>161</v>
      </c>
      <c r="H1467" s="6" t="s">
        <v>2275</v>
      </c>
      <c r="I1467" s="6" t="str">
        <f>VLOOKUP(H1467,'Flow Location'!$A$1:$B$21,2,FALSE)</f>
        <v>Contained On Site, not within 5 ft. of Bayou/Surface Water/Drainage Ditch</v>
      </c>
      <c r="J1467" s="20">
        <v>0.0</v>
      </c>
      <c r="K1467" s="6" t="s">
        <v>45</v>
      </c>
      <c r="L1467" s="6" t="str">
        <f>VLOOKUP(K1467,'Structure type'!$A$1:$B$15,2,FALSE)</f>
        <v>City Cleanout</v>
      </c>
      <c r="M1467" s="6" t="s">
        <v>30</v>
      </c>
      <c r="N1467" s="6" t="str">
        <f>VLOOKUP(M1467,'Excursion Cause'!$A$1:$B$34,2,FALSE)</f>
        <v>Grease Blockage</v>
      </c>
      <c r="O1467" s="21">
        <v>44692.0</v>
      </c>
      <c r="P1467" s="6" t="s">
        <v>2562</v>
      </c>
      <c r="Q1467" s="21">
        <v>44692.0</v>
      </c>
      <c r="R1467" s="6" t="s">
        <v>2562</v>
      </c>
      <c r="S1467" s="20">
        <v>0.0</v>
      </c>
      <c r="T1467" s="6" t="s">
        <v>59</v>
      </c>
      <c r="U1467" s="6"/>
      <c r="V1467" s="6"/>
      <c r="W1467" s="6">
        <v>29.8047074</v>
      </c>
      <c r="X1467" s="6">
        <v>-95.3603647</v>
      </c>
    </row>
    <row r="1468" ht="15.75" customHeight="1">
      <c r="A1468" s="6">
        <v>47468.0</v>
      </c>
      <c r="B1468" s="6">
        <v>2022.0</v>
      </c>
      <c r="C1468" s="6" t="str">
        <f t="shared" si="5"/>
        <v>7125 SIDNEY ST,Houston,Texas</v>
      </c>
      <c r="D1468" s="6" t="s">
        <v>2563</v>
      </c>
      <c r="E1468" s="6" t="s">
        <v>25</v>
      </c>
      <c r="F1468" s="6" t="s">
        <v>26</v>
      </c>
      <c r="G1468" s="6" t="s">
        <v>238</v>
      </c>
      <c r="H1468" s="6" t="s">
        <v>50</v>
      </c>
      <c r="I1468" s="6" t="str">
        <f>VLOOKUP(H1468,'Flow Location'!$A$1:$B$21,2,FALSE)</f>
        <v>Contained On Site, not within 5 ft. of Bayou/Surface Water/Drainage Ditch</v>
      </c>
      <c r="J1468" s="20">
        <v>0.0</v>
      </c>
      <c r="K1468" s="6" t="s">
        <v>45</v>
      </c>
      <c r="L1468" s="6" t="str">
        <f>VLOOKUP(K1468,'Structure type'!$A$1:$B$15,2,FALSE)</f>
        <v>City Cleanout</v>
      </c>
      <c r="M1468" s="6" t="s">
        <v>30</v>
      </c>
      <c r="N1468" s="6" t="str">
        <f>VLOOKUP(M1468,'Excursion Cause'!$A$1:$B$34,2,FALSE)</f>
        <v>Grease Blockage</v>
      </c>
      <c r="O1468" s="21">
        <v>44692.0</v>
      </c>
      <c r="P1468" s="6" t="s">
        <v>1268</v>
      </c>
      <c r="Q1468" s="21">
        <v>44692.0</v>
      </c>
      <c r="R1468" s="6" t="s">
        <v>1268</v>
      </c>
      <c r="S1468" s="20">
        <v>0.0</v>
      </c>
      <c r="T1468" s="6" t="s">
        <v>170</v>
      </c>
      <c r="U1468" s="6"/>
      <c r="V1468" s="6"/>
      <c r="W1468" s="6">
        <v>29.6853771</v>
      </c>
      <c r="X1468" s="6">
        <v>-95.3585172</v>
      </c>
    </row>
    <row r="1469" ht="15.75" customHeight="1">
      <c r="A1469" s="6">
        <v>47470.0</v>
      </c>
      <c r="B1469" s="6">
        <v>2022.0</v>
      </c>
      <c r="C1469" s="6" t="str">
        <f t="shared" si="5"/>
        <v>216 BAYWOOD ST,Houston,Texas</v>
      </c>
      <c r="D1469" s="6" t="s">
        <v>2564</v>
      </c>
      <c r="E1469" s="6" t="s">
        <v>25</v>
      </c>
      <c r="F1469" s="6" t="s">
        <v>26</v>
      </c>
      <c r="G1469" s="6" t="s">
        <v>227</v>
      </c>
      <c r="H1469" s="6" t="s">
        <v>2275</v>
      </c>
      <c r="I1469" s="6" t="str">
        <f>VLOOKUP(H1469,'Flow Location'!$A$1:$B$21,2,FALSE)</f>
        <v>Contained On Site, not within 5 ft. of Bayou/Surface Water/Drainage Ditch</v>
      </c>
      <c r="J1469" s="20">
        <v>0.0</v>
      </c>
      <c r="K1469" s="6" t="s">
        <v>51</v>
      </c>
      <c r="L1469" s="6" t="str">
        <f>VLOOKUP(K1469,'Structure type'!$A$1:$B$15,2,FALSE)</f>
        <v>Private Cleanout</v>
      </c>
      <c r="M1469" s="6" t="s">
        <v>2565</v>
      </c>
      <c r="N1469" s="6" t="str">
        <f>VLOOKUP(M1469,'Excursion Cause'!$A$1:$B$34,2,FALSE)</f>
        <v>Collection system structural failure</v>
      </c>
      <c r="O1469" s="21">
        <v>44692.0</v>
      </c>
      <c r="P1469" s="6" t="s">
        <v>2566</v>
      </c>
      <c r="Q1469" s="21">
        <v>44692.0</v>
      </c>
      <c r="R1469" s="6" t="s">
        <v>2566</v>
      </c>
      <c r="S1469" s="20">
        <v>0.0</v>
      </c>
      <c r="T1469" s="6" t="s">
        <v>54</v>
      </c>
      <c r="U1469" s="6"/>
      <c r="V1469" s="6"/>
      <c r="W1469" s="6">
        <v>29.7468235</v>
      </c>
      <c r="X1469" s="6">
        <v>-95.3178475</v>
      </c>
    </row>
    <row r="1470" ht="15.75" customHeight="1">
      <c r="A1470" s="6">
        <v>47472.0</v>
      </c>
      <c r="B1470" s="6">
        <v>2022.0</v>
      </c>
      <c r="C1470" s="6" t="str">
        <f t="shared" si="5"/>
        <v>3903 ERBY ST,Houston,Texas</v>
      </c>
      <c r="D1470" s="6" t="s">
        <v>2567</v>
      </c>
      <c r="E1470" s="6" t="s">
        <v>25</v>
      </c>
      <c r="F1470" s="6" t="s">
        <v>26</v>
      </c>
      <c r="G1470" s="6" t="s">
        <v>35</v>
      </c>
      <c r="H1470" s="6" t="s">
        <v>144</v>
      </c>
      <c r="I1470" s="6" t="str">
        <f>VLOOKUP(H1470,'Flow Location'!$A$1:$B$21,2,FALSE)</f>
        <v>Storm Sewer - contained</v>
      </c>
      <c r="J1470" s="20">
        <v>0.0</v>
      </c>
      <c r="K1470" s="6" t="s">
        <v>45</v>
      </c>
      <c r="L1470" s="6" t="str">
        <f>VLOOKUP(K1470,'Structure type'!$A$1:$B$15,2,FALSE)</f>
        <v>City Cleanout</v>
      </c>
      <c r="M1470" s="6" t="s">
        <v>30</v>
      </c>
      <c r="N1470" s="6" t="str">
        <f>VLOOKUP(M1470,'Excursion Cause'!$A$1:$B$34,2,FALSE)</f>
        <v>Grease Blockage</v>
      </c>
      <c r="O1470" s="21">
        <v>44692.0</v>
      </c>
      <c r="P1470" s="6" t="s">
        <v>2568</v>
      </c>
      <c r="Q1470" s="21">
        <v>44692.0</v>
      </c>
      <c r="R1470" s="6" t="s">
        <v>2568</v>
      </c>
      <c r="S1470" s="20">
        <v>0.0</v>
      </c>
      <c r="T1470" s="6" t="s">
        <v>2569</v>
      </c>
      <c r="U1470" s="6"/>
      <c r="V1470" s="6"/>
      <c r="W1470" s="6">
        <v>29.7022701</v>
      </c>
      <c r="X1470" s="6">
        <v>-95.3145186</v>
      </c>
    </row>
    <row r="1471" ht="15.75" customHeight="1">
      <c r="A1471" s="6">
        <v>47476.0</v>
      </c>
      <c r="B1471" s="6">
        <v>2022.0</v>
      </c>
      <c r="C1471" s="6" t="str">
        <f t="shared" si="5"/>
        <v>11314 ENDICOTT LN,Houston,Texas</v>
      </c>
      <c r="D1471" s="6" t="s">
        <v>2570</v>
      </c>
      <c r="E1471" s="6" t="s">
        <v>25</v>
      </c>
      <c r="F1471" s="6" t="s">
        <v>26</v>
      </c>
      <c r="G1471" s="6" t="s">
        <v>127</v>
      </c>
      <c r="H1471" s="6" t="s">
        <v>50</v>
      </c>
      <c r="I1471" s="6" t="str">
        <f>VLOOKUP(H1471,'Flow Location'!$A$1:$B$21,2,FALSE)</f>
        <v>Contained On Site, not within 5 ft. of Bayou/Surface Water/Drainage Ditch</v>
      </c>
      <c r="J1471" s="20">
        <v>0.0</v>
      </c>
      <c r="K1471" s="6" t="s">
        <v>45</v>
      </c>
      <c r="L1471" s="6" t="str">
        <f>VLOOKUP(K1471,'Structure type'!$A$1:$B$15,2,FALSE)</f>
        <v>City Cleanout</v>
      </c>
      <c r="M1471" s="6" t="s">
        <v>52</v>
      </c>
      <c r="N1471" s="6" t="str">
        <f>VLOOKUP(M1471,'Excursion Cause'!$A$1:$B$34,2,FALSE)</f>
        <v>Collection system structural blockage</v>
      </c>
      <c r="O1471" s="21">
        <v>44692.0</v>
      </c>
      <c r="P1471" s="6" t="s">
        <v>2571</v>
      </c>
      <c r="Q1471" s="21">
        <v>44692.0</v>
      </c>
      <c r="R1471" s="6" t="s">
        <v>2571</v>
      </c>
      <c r="S1471" s="20">
        <v>0.0</v>
      </c>
      <c r="T1471" s="6" t="s">
        <v>170</v>
      </c>
      <c r="U1471" s="6"/>
      <c r="V1471" s="6"/>
      <c r="W1471" s="6">
        <v>29.6578624</v>
      </c>
      <c r="X1471" s="6">
        <v>-95.4756717</v>
      </c>
    </row>
    <row r="1472" ht="15.75" customHeight="1">
      <c r="A1472" s="6">
        <v>47478.0</v>
      </c>
      <c r="B1472" s="6">
        <v>2022.0</v>
      </c>
      <c r="C1472" s="6" t="str">
        <f t="shared" si="5"/>
        <v>5323 OAK COVE DR,Houston,Texas</v>
      </c>
      <c r="D1472" s="6" t="s">
        <v>2572</v>
      </c>
      <c r="E1472" s="6" t="s">
        <v>25</v>
      </c>
      <c r="F1472" s="6" t="s">
        <v>26</v>
      </c>
      <c r="G1472" s="6" t="s">
        <v>222</v>
      </c>
      <c r="H1472" s="6" t="s">
        <v>1724</v>
      </c>
      <c r="I1472" s="6" t="str">
        <f>VLOOKUP(H1472,'Flow Location'!$A$1:$B$21,2,FALSE)</f>
        <v>Storm Sewer (not contained)</v>
      </c>
      <c r="J1472" s="20">
        <v>874.0</v>
      </c>
      <c r="K1472" s="6" t="s">
        <v>29</v>
      </c>
      <c r="L1472" s="6" t="str">
        <f>VLOOKUP(K1472,'Structure type'!$A$1:$B$15,2,FALSE)</f>
        <v>Manhole</v>
      </c>
      <c r="M1472" s="6" t="s">
        <v>2573</v>
      </c>
      <c r="N1472" s="6" t="str">
        <f>VLOOKUP(M1472,'Excursion Cause'!$A$1:$B$34,2,FALSE)</f>
        <v>Grease Blockage</v>
      </c>
      <c r="O1472" s="21">
        <v>44692.0</v>
      </c>
      <c r="P1472" s="6" t="s">
        <v>2574</v>
      </c>
      <c r="Q1472" s="21">
        <v>44693.0</v>
      </c>
      <c r="R1472" s="6" t="s">
        <v>995</v>
      </c>
      <c r="S1472" s="20">
        <v>1.0</v>
      </c>
      <c r="T1472" s="6" t="s">
        <v>2575</v>
      </c>
      <c r="U1472" s="6"/>
      <c r="V1472" s="6"/>
      <c r="W1472" s="6">
        <v>29.8561845</v>
      </c>
      <c r="X1472" s="6">
        <v>-95.4651334</v>
      </c>
    </row>
    <row r="1473" ht="15.75" customHeight="1">
      <c r="A1473" s="6">
        <v>47479.0</v>
      </c>
      <c r="B1473" s="6">
        <v>2022.0</v>
      </c>
      <c r="C1473" s="6" t="str">
        <f t="shared" si="5"/>
        <v>1243 S KIRKWOOD RD,Houston,Texas</v>
      </c>
      <c r="D1473" s="6" t="s">
        <v>2518</v>
      </c>
      <c r="E1473" s="6" t="s">
        <v>25</v>
      </c>
      <c r="F1473" s="6" t="s">
        <v>26</v>
      </c>
      <c r="G1473" s="6" t="s">
        <v>347</v>
      </c>
      <c r="H1473" s="6" t="s">
        <v>2275</v>
      </c>
      <c r="I1473" s="6" t="str">
        <f>VLOOKUP(H1473,'Flow Location'!$A$1:$B$21,2,FALSE)</f>
        <v>Contained On Site, not within 5 ft. of Bayou/Surface Water/Drainage Ditch</v>
      </c>
      <c r="J1473" s="20">
        <v>0.0</v>
      </c>
      <c r="K1473" s="6" t="s">
        <v>45</v>
      </c>
      <c r="L1473" s="6" t="str">
        <f>VLOOKUP(K1473,'Structure type'!$A$1:$B$15,2,FALSE)</f>
        <v>City Cleanout</v>
      </c>
      <c r="M1473" s="6" t="s">
        <v>2576</v>
      </c>
      <c r="N1473" s="6" t="str">
        <f>VLOOKUP(M1473,'Excursion Cause'!$A$1:$B$34,2,FALSE)</f>
        <v>Collection system structural failure</v>
      </c>
      <c r="O1473" s="21">
        <v>44693.0</v>
      </c>
      <c r="P1473" s="6" t="s">
        <v>2577</v>
      </c>
      <c r="Q1473" s="21">
        <v>44693.0</v>
      </c>
      <c r="R1473" s="6" t="s">
        <v>2577</v>
      </c>
      <c r="S1473" s="20">
        <v>0.0</v>
      </c>
      <c r="T1473" s="6" t="s">
        <v>1335</v>
      </c>
      <c r="U1473" s="6"/>
      <c r="V1473" s="6"/>
      <c r="W1473" s="6">
        <v>29.7581782</v>
      </c>
      <c r="X1473" s="6">
        <v>-95.5882854</v>
      </c>
    </row>
    <row r="1474" ht="15.75" customHeight="1">
      <c r="A1474" s="6">
        <v>47487.0</v>
      </c>
      <c r="B1474" s="6">
        <v>2022.0</v>
      </c>
      <c r="C1474" s="6" t="str">
        <f t="shared" si="5"/>
        <v>7726 HOWTON,Houston,Texas</v>
      </c>
      <c r="D1474" s="6" t="s">
        <v>2578</v>
      </c>
      <c r="E1474" s="6" t="s">
        <v>25</v>
      </c>
      <c r="F1474" s="6" t="s">
        <v>26</v>
      </c>
      <c r="G1474" s="6" t="s">
        <v>177</v>
      </c>
      <c r="H1474" s="6" t="s">
        <v>50</v>
      </c>
      <c r="I1474" s="6" t="str">
        <f>VLOOKUP(H1474,'Flow Location'!$A$1:$B$21,2,FALSE)</f>
        <v>Contained On Site, not within 5 ft. of Bayou/Surface Water/Drainage Ditch</v>
      </c>
      <c r="J1474" s="20">
        <v>0.0</v>
      </c>
      <c r="K1474" s="6" t="s">
        <v>45</v>
      </c>
      <c r="L1474" s="6" t="str">
        <f>VLOOKUP(K1474,'Structure type'!$A$1:$B$15,2,FALSE)</f>
        <v>City Cleanout</v>
      </c>
      <c r="M1474" s="6" t="s">
        <v>56</v>
      </c>
      <c r="N1474" s="6" t="str">
        <f>VLOOKUP(M1474,'Excursion Cause'!$A$1:$B$34,2,FALSE)</f>
        <v>Rags/Wipes</v>
      </c>
      <c r="O1474" s="21">
        <v>44694.0</v>
      </c>
      <c r="P1474" s="6" t="s">
        <v>1108</v>
      </c>
      <c r="Q1474" s="21">
        <v>44694.0</v>
      </c>
      <c r="R1474" s="6" t="s">
        <v>1108</v>
      </c>
      <c r="S1474" s="20">
        <v>0.0</v>
      </c>
      <c r="T1474" s="6" t="s">
        <v>170</v>
      </c>
      <c r="U1474" s="6"/>
      <c r="V1474" s="6"/>
      <c r="W1474" s="6">
        <v>29.8179628</v>
      </c>
      <c r="X1474" s="6">
        <v>-95.2862443</v>
      </c>
    </row>
    <row r="1475" ht="15.75" customHeight="1">
      <c r="A1475" s="6">
        <v>47488.0</v>
      </c>
      <c r="B1475" s="6">
        <v>2022.0</v>
      </c>
      <c r="C1475" s="6" t="str">
        <f t="shared" si="5"/>
        <v>8018 HICKOK LN,Houston,Texas</v>
      </c>
      <c r="D1475" s="6" t="s">
        <v>2579</v>
      </c>
      <c r="E1475" s="6" t="s">
        <v>25</v>
      </c>
      <c r="F1475" s="6" t="s">
        <v>26</v>
      </c>
      <c r="G1475" s="6" t="s">
        <v>95</v>
      </c>
      <c r="H1475" s="6" t="s">
        <v>1724</v>
      </c>
      <c r="I1475" s="6" t="str">
        <f>VLOOKUP(H1475,'Flow Location'!$A$1:$B$21,2,FALSE)</f>
        <v>Storm Sewer (not contained)</v>
      </c>
      <c r="J1475" s="20">
        <v>0.0</v>
      </c>
      <c r="K1475" s="6" t="s">
        <v>45</v>
      </c>
      <c r="L1475" s="6" t="str">
        <f>VLOOKUP(K1475,'Structure type'!$A$1:$B$15,2,FALSE)</f>
        <v>City Cleanout</v>
      </c>
      <c r="M1475" s="6" t="s">
        <v>56</v>
      </c>
      <c r="N1475" s="6" t="str">
        <f>VLOOKUP(M1475,'Excursion Cause'!$A$1:$B$34,2,FALSE)</f>
        <v>Rags/Wipes</v>
      </c>
      <c r="O1475" s="21">
        <v>44694.0</v>
      </c>
      <c r="P1475" s="6" t="s">
        <v>93</v>
      </c>
      <c r="Q1475" s="21">
        <v>44694.0</v>
      </c>
      <c r="R1475" s="6" t="s">
        <v>93</v>
      </c>
      <c r="S1475" s="20">
        <v>0.0</v>
      </c>
      <c r="T1475" s="6" t="s">
        <v>2580</v>
      </c>
      <c r="U1475" s="6"/>
      <c r="V1475" s="6"/>
      <c r="W1475" s="6">
        <v>29.6288966</v>
      </c>
      <c r="X1475" s="6">
        <v>-95.2775463</v>
      </c>
    </row>
    <row r="1476" ht="15.75" customHeight="1">
      <c r="A1476" s="6">
        <v>47489.0</v>
      </c>
      <c r="B1476" s="6">
        <v>2022.0</v>
      </c>
      <c r="C1476" s="6" t="str">
        <f t="shared" si="5"/>
        <v>1005 DEFENDER ST,Houston,Texas</v>
      </c>
      <c r="D1476" s="6" t="s">
        <v>908</v>
      </c>
      <c r="E1476" s="6" t="s">
        <v>25</v>
      </c>
      <c r="F1476" s="6" t="s">
        <v>26</v>
      </c>
      <c r="G1476" s="6" t="s">
        <v>247</v>
      </c>
      <c r="H1476" s="6" t="s">
        <v>1977</v>
      </c>
      <c r="I1476" s="6" t="str">
        <f>VLOOKUP(H1476,'Flow Location'!$A$1:$B$21,2,FALSE)</f>
        <v>Bayou/surface water/drainage ditch</v>
      </c>
      <c r="J1476" s="24">
        <v>147.75</v>
      </c>
      <c r="K1476" s="6" t="s">
        <v>190</v>
      </c>
      <c r="L1476" s="6" t="str">
        <f>VLOOKUP(K1476,'Structure type'!$A$1:$B$15,2,FALSE)</f>
        <v>Force Main</v>
      </c>
      <c r="M1476" s="6" t="s">
        <v>2581</v>
      </c>
      <c r="N1476" s="6" t="str">
        <f>VLOOKUP(M1476,'Excursion Cause'!$A$1:$B$34,2,FALSE)</f>
        <v>Air Relief Valve (ARV) Failure</v>
      </c>
      <c r="O1476" s="21">
        <v>44694.0</v>
      </c>
      <c r="P1476" s="6" t="s">
        <v>726</v>
      </c>
      <c r="Q1476" s="21">
        <v>44694.0</v>
      </c>
      <c r="R1476" s="6" t="s">
        <v>786</v>
      </c>
      <c r="S1476" s="20">
        <v>1.0</v>
      </c>
      <c r="T1476" s="6" t="s">
        <v>193</v>
      </c>
      <c r="U1476" s="6"/>
      <c r="V1476" s="6"/>
      <c r="W1476" s="6">
        <v>29.7410654</v>
      </c>
      <c r="X1476" s="6">
        <v>-95.2637302</v>
      </c>
    </row>
    <row r="1477" ht="15.75" customHeight="1">
      <c r="A1477" s="6">
        <v>47496.0</v>
      </c>
      <c r="B1477" s="6">
        <v>2022.0</v>
      </c>
      <c r="C1477" s="6" t="str">
        <f t="shared" si="5"/>
        <v>8814 SAGER DR,Houston,Texas</v>
      </c>
      <c r="D1477" s="6" t="s">
        <v>2582</v>
      </c>
      <c r="E1477" s="6" t="s">
        <v>25</v>
      </c>
      <c r="F1477" s="6" t="s">
        <v>26</v>
      </c>
      <c r="G1477" s="6" t="s">
        <v>69</v>
      </c>
      <c r="H1477" s="6" t="s">
        <v>50</v>
      </c>
      <c r="I1477" s="6" t="str">
        <f>VLOOKUP(H1477,'Flow Location'!$A$1:$B$21,2,FALSE)</f>
        <v>Contained On Site, not within 5 ft. of Bayou/Surface Water/Drainage Ditch</v>
      </c>
      <c r="J1477" s="20">
        <v>0.0</v>
      </c>
      <c r="K1477" s="6" t="s">
        <v>51</v>
      </c>
      <c r="L1477" s="6" t="str">
        <f>VLOOKUP(K1477,'Structure type'!$A$1:$B$15,2,FALSE)</f>
        <v>Private Cleanout</v>
      </c>
      <c r="M1477" s="6" t="s">
        <v>759</v>
      </c>
      <c r="N1477" s="6" t="str">
        <f>VLOOKUP(M1477,'Excursion Cause'!$A$1:$B$34,2,FALSE)</f>
        <v>Roots</v>
      </c>
      <c r="O1477" s="21">
        <v>44696.0</v>
      </c>
      <c r="P1477" s="6" t="s">
        <v>836</v>
      </c>
      <c r="Q1477" s="21">
        <v>44696.0</v>
      </c>
      <c r="R1477" s="6" t="s">
        <v>1829</v>
      </c>
      <c r="S1477" s="20">
        <v>0.0</v>
      </c>
      <c r="T1477" s="6" t="s">
        <v>118</v>
      </c>
      <c r="U1477" s="6"/>
      <c r="V1477" s="6"/>
      <c r="W1477" s="6">
        <v>29.6828532</v>
      </c>
      <c r="X1477" s="6">
        <v>-95.467112</v>
      </c>
    </row>
    <row r="1478" ht="15.75" customHeight="1">
      <c r="A1478" s="6">
        <v>47497.0</v>
      </c>
      <c r="B1478" s="6">
        <v>2022.0</v>
      </c>
      <c r="C1478" s="6" t="str">
        <f t="shared" si="5"/>
        <v>9221 PAGEWOOD LN,Houston,Texas</v>
      </c>
      <c r="D1478" s="6" t="s">
        <v>2583</v>
      </c>
      <c r="E1478" s="6" t="s">
        <v>25</v>
      </c>
      <c r="F1478" s="6" t="s">
        <v>26</v>
      </c>
      <c r="G1478" s="6" t="s">
        <v>482</v>
      </c>
      <c r="H1478" s="6" t="s">
        <v>1724</v>
      </c>
      <c r="I1478" s="6" t="str">
        <f>VLOOKUP(H1478,'Flow Location'!$A$1:$B$21,2,FALSE)</f>
        <v>Storm Sewer (not contained)</v>
      </c>
      <c r="J1478" s="20">
        <v>2872.0</v>
      </c>
      <c r="K1478" s="6" t="s">
        <v>29</v>
      </c>
      <c r="L1478" s="6" t="str">
        <f>VLOOKUP(K1478,'Structure type'!$A$1:$B$15,2,FALSE)</f>
        <v>Manhole</v>
      </c>
      <c r="M1478" s="6" t="s">
        <v>2584</v>
      </c>
      <c r="N1478" s="6" t="str">
        <f>VLOOKUP(M1478,'Excursion Cause'!$A$1:$B$34,2,FALSE)</f>
        <v>Grease Blockage</v>
      </c>
      <c r="O1478" s="21">
        <v>44696.0</v>
      </c>
      <c r="P1478" s="6" t="s">
        <v>844</v>
      </c>
      <c r="Q1478" s="21">
        <v>44697.0</v>
      </c>
      <c r="R1478" s="6" t="s">
        <v>817</v>
      </c>
      <c r="S1478" s="20">
        <v>2.0</v>
      </c>
      <c r="T1478" s="6" t="s">
        <v>2585</v>
      </c>
      <c r="U1478" s="6"/>
      <c r="V1478" s="6"/>
      <c r="W1478" s="6">
        <v>29.7247281</v>
      </c>
      <c r="X1478" s="6">
        <v>-95.5270588</v>
      </c>
    </row>
    <row r="1479" ht="15.75" customHeight="1">
      <c r="A1479" s="6">
        <v>47501.0</v>
      </c>
      <c r="B1479" s="6">
        <v>2022.0</v>
      </c>
      <c r="C1479" s="6" t="str">
        <f t="shared" si="5"/>
        <v>9506 TOWER ST,Houston,Texas</v>
      </c>
      <c r="D1479" s="6" t="s">
        <v>2586</v>
      </c>
      <c r="E1479" s="6" t="s">
        <v>25</v>
      </c>
      <c r="F1479" s="6" t="s">
        <v>26</v>
      </c>
      <c r="G1479" s="6" t="s">
        <v>502</v>
      </c>
      <c r="H1479" s="6" t="s">
        <v>1397</v>
      </c>
      <c r="I1479" s="6" t="str">
        <f>VLOOKUP(H1479,'Flow Location'!$A$1:$B$21,2,FALSE)</f>
        <v>Bayou/surface water/drainage ditch</v>
      </c>
      <c r="J1479" s="20">
        <v>0.0</v>
      </c>
      <c r="K1479" s="6" t="s">
        <v>45</v>
      </c>
      <c r="L1479" s="6" t="str">
        <f>VLOOKUP(K1479,'Structure type'!$A$1:$B$15,2,FALSE)</f>
        <v>City Cleanout</v>
      </c>
      <c r="M1479" s="6" t="s">
        <v>2587</v>
      </c>
      <c r="N1479" s="6" t="str">
        <f>VLOOKUP(M1479,'Excursion Cause'!$A$1:$B$34,2,FALSE)</f>
        <v>Collection system structural failure</v>
      </c>
      <c r="O1479" s="21">
        <v>44696.0</v>
      </c>
      <c r="P1479" s="6" t="s">
        <v>289</v>
      </c>
      <c r="Q1479" s="21">
        <v>44696.0</v>
      </c>
      <c r="R1479" s="6" t="s">
        <v>289</v>
      </c>
      <c r="S1479" s="20">
        <v>0.0</v>
      </c>
      <c r="T1479" s="6" t="s">
        <v>118</v>
      </c>
      <c r="U1479" s="6"/>
      <c r="V1479" s="6"/>
      <c r="W1479" s="6">
        <v>29.8812923</v>
      </c>
      <c r="X1479" s="6">
        <v>-95.4376608</v>
      </c>
    </row>
    <row r="1480" ht="15.75" customHeight="1">
      <c r="A1480" s="6">
        <v>47505.0</v>
      </c>
      <c r="B1480" s="6">
        <v>2022.0</v>
      </c>
      <c r="C1480" s="6" t="str">
        <f t="shared" si="5"/>
        <v>1259 W TIDWELL RD,Houston,Texas</v>
      </c>
      <c r="D1480" s="6" t="s">
        <v>2588</v>
      </c>
      <c r="E1480" s="6" t="s">
        <v>25</v>
      </c>
      <c r="F1480" s="6" t="s">
        <v>26</v>
      </c>
      <c r="G1480" s="6" t="s">
        <v>222</v>
      </c>
      <c r="H1480" s="6" t="s">
        <v>28</v>
      </c>
      <c r="I1480" s="6" t="str">
        <f>VLOOKUP(H1480,'Flow Location'!$A$1:$B$21,2,FALSE)</f>
        <v>Storm Sewer (not contained)</v>
      </c>
      <c r="J1480" s="20">
        <v>862.0</v>
      </c>
      <c r="K1480" s="6" t="s">
        <v>198</v>
      </c>
      <c r="L1480" s="6" t="str">
        <f>VLOOKUP(K1480,'Structure type'!$A$1:$B$15,2,FALSE)</f>
        <v>Service Lateral</v>
      </c>
      <c r="M1480" s="6" t="s">
        <v>2589</v>
      </c>
      <c r="N1480" s="6" t="str">
        <f>VLOOKUP(M1480,'Excursion Cause'!$A$1:$B$34,2,FALSE)</f>
        <v>Collection system structural failure</v>
      </c>
      <c r="O1480" s="21">
        <v>44697.0</v>
      </c>
      <c r="P1480" s="6" t="s">
        <v>427</v>
      </c>
      <c r="Q1480" s="21">
        <v>44697.0</v>
      </c>
      <c r="R1480" s="6" t="s">
        <v>670</v>
      </c>
      <c r="S1480" s="20">
        <v>2.0</v>
      </c>
      <c r="T1480" s="6" t="s">
        <v>54</v>
      </c>
      <c r="U1480" s="6"/>
      <c r="V1480" s="6"/>
      <c r="W1480" s="6">
        <v>29.8468006</v>
      </c>
      <c r="X1480" s="6">
        <v>-95.4314763</v>
      </c>
    </row>
    <row r="1481" ht="15.75" customHeight="1">
      <c r="A1481" s="6">
        <v>47508.0</v>
      </c>
      <c r="B1481" s="6">
        <v>2022.0</v>
      </c>
      <c r="C1481" s="6" t="str">
        <f t="shared" si="5"/>
        <v>8311 WINKLER DR,Houston,Texas</v>
      </c>
      <c r="D1481" s="6" t="s">
        <v>2590</v>
      </c>
      <c r="E1481" s="6" t="s">
        <v>25</v>
      </c>
      <c r="F1481" s="6" t="s">
        <v>26</v>
      </c>
      <c r="G1481" s="6" t="s">
        <v>135</v>
      </c>
      <c r="H1481" s="6" t="s">
        <v>1724</v>
      </c>
      <c r="I1481" s="6" t="str">
        <f>VLOOKUP(H1481,'Flow Location'!$A$1:$B$21,2,FALSE)</f>
        <v>Storm Sewer (not contained)</v>
      </c>
      <c r="J1481" s="20">
        <v>140.0</v>
      </c>
      <c r="K1481" s="6" t="s">
        <v>29</v>
      </c>
      <c r="L1481" s="6" t="str">
        <f>VLOOKUP(K1481,'Structure type'!$A$1:$B$15,2,FALSE)</f>
        <v>Manhole</v>
      </c>
      <c r="M1481" s="6" t="s">
        <v>2591</v>
      </c>
      <c r="N1481" s="6" t="str">
        <f>VLOOKUP(M1481,'Excursion Cause'!$A$1:$B$34,2,FALSE)</f>
        <v>Grease Blockage</v>
      </c>
      <c r="O1481" s="21">
        <v>44697.0</v>
      </c>
      <c r="P1481" s="6" t="s">
        <v>215</v>
      </c>
      <c r="Q1481" s="21">
        <v>44697.0</v>
      </c>
      <c r="R1481" s="6" t="s">
        <v>245</v>
      </c>
      <c r="S1481" s="20">
        <v>2.0</v>
      </c>
      <c r="T1481" s="6" t="s">
        <v>2592</v>
      </c>
      <c r="U1481" s="6"/>
      <c r="V1481" s="6"/>
      <c r="W1481" s="6">
        <v>29.6779992</v>
      </c>
      <c r="X1481" s="6">
        <v>-95.2678928</v>
      </c>
    </row>
    <row r="1482" ht="15.75" customHeight="1">
      <c r="A1482" s="6">
        <v>47511.0</v>
      </c>
      <c r="B1482" s="6">
        <v>2022.0</v>
      </c>
      <c r="C1482" s="6" t="str">
        <f t="shared" si="5"/>
        <v>7302 MOUNTBATTEN RD,Houston,Texas</v>
      </c>
      <c r="D1482" s="6" t="s">
        <v>2593</v>
      </c>
      <c r="E1482" s="6" t="s">
        <v>25</v>
      </c>
      <c r="F1482" s="6" t="s">
        <v>26</v>
      </c>
      <c r="G1482" s="6" t="s">
        <v>120</v>
      </c>
      <c r="H1482" s="6" t="s">
        <v>50</v>
      </c>
      <c r="I1482" s="6" t="str">
        <f>VLOOKUP(H1482,'Flow Location'!$A$1:$B$21,2,FALSE)</f>
        <v>Contained On Site, not within 5 ft. of Bayou/Surface Water/Drainage Ditch</v>
      </c>
      <c r="J1482" s="20">
        <v>0.0</v>
      </c>
      <c r="K1482" s="6" t="s">
        <v>45</v>
      </c>
      <c r="L1482" s="6" t="str">
        <f>VLOOKUP(K1482,'Structure type'!$A$1:$B$15,2,FALSE)</f>
        <v>City Cleanout</v>
      </c>
      <c r="M1482" s="6" t="s">
        <v>56</v>
      </c>
      <c r="N1482" s="6" t="str">
        <f>VLOOKUP(M1482,'Excursion Cause'!$A$1:$B$34,2,FALSE)</f>
        <v>Rags/Wipes</v>
      </c>
      <c r="O1482" s="21">
        <v>44697.0</v>
      </c>
      <c r="P1482" s="6" t="s">
        <v>260</v>
      </c>
      <c r="Q1482" s="21">
        <v>44697.0</v>
      </c>
      <c r="R1482" s="6" t="s">
        <v>260</v>
      </c>
      <c r="S1482" s="20">
        <v>0.0</v>
      </c>
      <c r="T1482" s="6" t="s">
        <v>89</v>
      </c>
      <c r="U1482" s="6"/>
      <c r="V1482" s="6"/>
      <c r="W1482" s="6">
        <v>29.6780441</v>
      </c>
      <c r="X1482" s="6">
        <v>-95.3406454</v>
      </c>
    </row>
    <row r="1483" ht="15.75" customHeight="1">
      <c r="A1483" s="6">
        <v>47515.0</v>
      </c>
      <c r="B1483" s="6">
        <v>2022.0</v>
      </c>
      <c r="C1483" s="6" t="str">
        <f t="shared" si="5"/>
        <v>4206 LILLIAN ST,Houston,Texas</v>
      </c>
      <c r="D1483" s="6" t="s">
        <v>2594</v>
      </c>
      <c r="E1483" s="6" t="s">
        <v>25</v>
      </c>
      <c r="F1483" s="6" t="s">
        <v>26</v>
      </c>
      <c r="G1483" s="6" t="s">
        <v>158</v>
      </c>
      <c r="H1483" s="6" t="s">
        <v>1397</v>
      </c>
      <c r="I1483" s="6" t="str">
        <f>VLOOKUP(H1483,'Flow Location'!$A$1:$B$21,2,FALSE)</f>
        <v>Bayou/surface water/drainage ditch</v>
      </c>
      <c r="J1483" s="20">
        <v>0.0</v>
      </c>
      <c r="K1483" s="6" t="s">
        <v>29</v>
      </c>
      <c r="L1483" s="6" t="str">
        <f>VLOOKUP(K1483,'Structure type'!$A$1:$B$15,2,FALSE)</f>
        <v>Manhole</v>
      </c>
      <c r="M1483" s="6" t="s">
        <v>30</v>
      </c>
      <c r="N1483" s="6" t="str">
        <f>VLOOKUP(M1483,'Excursion Cause'!$A$1:$B$34,2,FALSE)</f>
        <v>Grease Blockage</v>
      </c>
      <c r="O1483" s="21">
        <v>44698.0</v>
      </c>
      <c r="P1483" s="6" t="s">
        <v>376</v>
      </c>
      <c r="Q1483" s="21">
        <v>44698.0</v>
      </c>
      <c r="R1483" s="6" t="s">
        <v>376</v>
      </c>
      <c r="S1483" s="20">
        <v>0.0</v>
      </c>
      <c r="T1483" s="6" t="s">
        <v>59</v>
      </c>
      <c r="U1483" s="6"/>
      <c r="V1483" s="6"/>
      <c r="W1483" s="6">
        <v>29.769696</v>
      </c>
      <c r="X1483" s="6">
        <v>-95.403019</v>
      </c>
    </row>
    <row r="1484" ht="15.75" customHeight="1">
      <c r="A1484" s="6">
        <v>47516.0</v>
      </c>
      <c r="B1484" s="6">
        <v>2022.0</v>
      </c>
      <c r="C1484" s="6" t="str">
        <f t="shared" si="5"/>
        <v>10118 ASHVILLE DR,Houston,Texas</v>
      </c>
      <c r="D1484" s="6" t="s">
        <v>2595</v>
      </c>
      <c r="E1484" s="6" t="s">
        <v>25</v>
      </c>
      <c r="F1484" s="6" t="s">
        <v>26</v>
      </c>
      <c r="G1484" s="6" t="s">
        <v>105</v>
      </c>
      <c r="H1484" s="6" t="s">
        <v>50</v>
      </c>
      <c r="I1484" s="6" t="str">
        <f>VLOOKUP(H1484,'Flow Location'!$A$1:$B$21,2,FALSE)</f>
        <v>Contained On Site, not within 5 ft. of Bayou/Surface Water/Drainage Ditch</v>
      </c>
      <c r="J1484" s="20">
        <v>0.0</v>
      </c>
      <c r="K1484" s="6" t="s">
        <v>290</v>
      </c>
      <c r="L1484" s="6" t="str">
        <f>VLOOKUP(K1484,'Structure type'!$A$1:$B$15,2,FALSE)</f>
        <v>Gravity Main</v>
      </c>
      <c r="M1484" s="6" t="s">
        <v>81</v>
      </c>
      <c r="N1484" s="6" t="str">
        <f>VLOOKUP(M1484,'Excursion Cause'!$A$1:$B$34,2,FALSE)</f>
        <v>Collection system structural failure</v>
      </c>
      <c r="O1484" s="21">
        <v>44698.0</v>
      </c>
      <c r="P1484" s="6" t="s">
        <v>794</v>
      </c>
      <c r="Q1484" s="21">
        <v>44698.0</v>
      </c>
      <c r="R1484" s="6" t="s">
        <v>794</v>
      </c>
      <c r="S1484" s="20">
        <v>0.0</v>
      </c>
      <c r="T1484" s="6" t="s">
        <v>33</v>
      </c>
      <c r="U1484" s="6"/>
      <c r="V1484" s="6"/>
      <c r="W1484" s="6">
        <v>29.6483754</v>
      </c>
      <c r="X1484" s="6">
        <v>-95.3721129</v>
      </c>
    </row>
    <row r="1485" ht="15.75" customHeight="1">
      <c r="A1485" s="6">
        <v>47520.0</v>
      </c>
      <c r="B1485" s="6">
        <v>2022.0</v>
      </c>
      <c r="C1485" s="6" t="str">
        <f t="shared" si="5"/>
        <v>2114 MASON ST,Houston,Texas</v>
      </c>
      <c r="D1485" s="6" t="s">
        <v>2596</v>
      </c>
      <c r="E1485" s="6" t="s">
        <v>25</v>
      </c>
      <c r="F1485" s="6" t="s">
        <v>26</v>
      </c>
      <c r="G1485" s="6" t="s">
        <v>761</v>
      </c>
      <c r="H1485" s="6" t="s">
        <v>1724</v>
      </c>
      <c r="I1485" s="6" t="str">
        <f>VLOOKUP(H1485,'Flow Location'!$A$1:$B$21,2,FALSE)</f>
        <v>Storm Sewer (not contained)</v>
      </c>
      <c r="J1485" s="20">
        <v>1171.0</v>
      </c>
      <c r="K1485" s="6" t="s">
        <v>29</v>
      </c>
      <c r="L1485" s="6" t="str">
        <f>VLOOKUP(K1485,'Structure type'!$A$1:$B$15,2,FALSE)</f>
        <v>Manhole</v>
      </c>
      <c r="M1485" s="6" t="s">
        <v>2597</v>
      </c>
      <c r="N1485" s="6" t="str">
        <f>VLOOKUP(M1485,'Excursion Cause'!$A$1:$B$34,2,FALSE)</f>
        <v>Grease Blockage</v>
      </c>
      <c r="O1485" s="21">
        <v>44698.0</v>
      </c>
      <c r="P1485" s="6" t="s">
        <v>1162</v>
      </c>
      <c r="Q1485" s="21">
        <v>44699.0</v>
      </c>
      <c r="R1485" s="6" t="s">
        <v>110</v>
      </c>
      <c r="S1485" s="20">
        <v>1.0</v>
      </c>
      <c r="T1485" s="6" t="s">
        <v>2598</v>
      </c>
      <c r="U1485" s="6"/>
      <c r="V1485" s="6"/>
      <c r="W1485" s="6">
        <v>29.7498679</v>
      </c>
      <c r="X1485" s="6">
        <v>-95.3850456</v>
      </c>
    </row>
    <row r="1486" ht="15.75" customHeight="1">
      <c r="A1486" s="6">
        <v>47526.0</v>
      </c>
      <c r="B1486" s="6">
        <v>2022.0</v>
      </c>
      <c r="C1486" s="6" t="str">
        <f t="shared" si="5"/>
        <v>2021 VERMONT ST,Houston,Texas</v>
      </c>
      <c r="D1486" s="6" t="s">
        <v>2599</v>
      </c>
      <c r="E1486" s="6" t="s">
        <v>25</v>
      </c>
      <c r="F1486" s="6" t="s">
        <v>26</v>
      </c>
      <c r="G1486" s="6" t="s">
        <v>80</v>
      </c>
      <c r="H1486" s="6" t="s">
        <v>2275</v>
      </c>
      <c r="I1486" s="6" t="str">
        <f>VLOOKUP(H1486,'Flow Location'!$A$1:$B$21,2,FALSE)</f>
        <v>Contained On Site, not within 5 ft. of Bayou/Surface Water/Drainage Ditch</v>
      </c>
      <c r="J1486" s="20">
        <v>0.0</v>
      </c>
      <c r="K1486" s="6" t="s">
        <v>198</v>
      </c>
      <c r="L1486" s="6" t="str">
        <f>VLOOKUP(K1486,'Structure type'!$A$1:$B$15,2,FALSE)</f>
        <v>Service Lateral</v>
      </c>
      <c r="M1486" s="6" t="s">
        <v>81</v>
      </c>
      <c r="N1486" s="6" t="str">
        <f>VLOOKUP(M1486,'Excursion Cause'!$A$1:$B$34,2,FALSE)</f>
        <v>Collection system structural failure</v>
      </c>
      <c r="O1486" s="21">
        <v>44699.0</v>
      </c>
      <c r="P1486" s="6" t="s">
        <v>414</v>
      </c>
      <c r="Q1486" s="21">
        <v>44699.0</v>
      </c>
      <c r="R1486" s="6" t="s">
        <v>414</v>
      </c>
      <c r="S1486" s="20">
        <v>0.0</v>
      </c>
      <c r="T1486" s="6" t="s">
        <v>54</v>
      </c>
      <c r="U1486" s="6"/>
      <c r="V1486" s="6"/>
      <c r="W1486" s="6">
        <v>29.7489742</v>
      </c>
      <c r="X1486" s="6">
        <v>-95.4093637</v>
      </c>
    </row>
    <row r="1487" ht="15.75" customHeight="1">
      <c r="A1487" s="6">
        <v>47527.0</v>
      </c>
      <c r="B1487" s="6">
        <v>2022.0</v>
      </c>
      <c r="C1487" s="6" t="str">
        <f t="shared" si="5"/>
        <v>9221 PAGEWOOD LN,Houston,Texas</v>
      </c>
      <c r="D1487" s="6" t="s">
        <v>2583</v>
      </c>
      <c r="E1487" s="6" t="s">
        <v>25</v>
      </c>
      <c r="F1487" s="6" t="s">
        <v>26</v>
      </c>
      <c r="G1487" s="6" t="s">
        <v>482</v>
      </c>
      <c r="H1487" s="6" t="s">
        <v>1724</v>
      </c>
      <c r="I1487" s="6" t="str">
        <f>VLOOKUP(H1487,'Flow Location'!$A$1:$B$21,2,FALSE)</f>
        <v>Storm Sewer (not contained)</v>
      </c>
      <c r="J1487" s="20">
        <v>2872.0</v>
      </c>
      <c r="K1487" s="6" t="s">
        <v>29</v>
      </c>
      <c r="L1487" s="6" t="str">
        <f>VLOOKUP(K1487,'Structure type'!$A$1:$B$15,2,FALSE)</f>
        <v>Manhole</v>
      </c>
      <c r="M1487" s="6" t="s">
        <v>2600</v>
      </c>
      <c r="N1487" s="6" t="str">
        <f>VLOOKUP(M1487,'Excursion Cause'!$A$1:$B$34,2,FALSE)</f>
        <v>Grease Blockage</v>
      </c>
      <c r="O1487" s="21">
        <v>44696.0</v>
      </c>
      <c r="P1487" s="6" t="s">
        <v>844</v>
      </c>
      <c r="Q1487" s="21">
        <v>44697.0</v>
      </c>
      <c r="R1487" s="6" t="s">
        <v>817</v>
      </c>
      <c r="S1487" s="20">
        <v>2.0</v>
      </c>
      <c r="T1487" s="6" t="s">
        <v>2601</v>
      </c>
      <c r="U1487" s="6"/>
      <c r="V1487" s="6"/>
      <c r="W1487" s="6">
        <v>29.7247281</v>
      </c>
      <c r="X1487" s="6">
        <v>-95.5270588</v>
      </c>
    </row>
    <row r="1488" ht="15.75" customHeight="1">
      <c r="A1488" s="6">
        <v>47528.0</v>
      </c>
      <c r="B1488" s="6">
        <v>2022.0</v>
      </c>
      <c r="C1488" s="6" t="str">
        <f t="shared" si="5"/>
        <v>9311 PAGEWOOD LN,Houston,Texas</v>
      </c>
      <c r="D1488" s="6" t="s">
        <v>2602</v>
      </c>
      <c r="E1488" s="6" t="s">
        <v>25</v>
      </c>
      <c r="F1488" s="6" t="s">
        <v>26</v>
      </c>
      <c r="G1488" s="6" t="s">
        <v>482</v>
      </c>
      <c r="H1488" s="6" t="s">
        <v>1724</v>
      </c>
      <c r="I1488" s="6" t="str">
        <f>VLOOKUP(H1488,'Flow Location'!$A$1:$B$21,2,FALSE)</f>
        <v>Storm Sewer (not contained)</v>
      </c>
      <c r="J1488" s="20">
        <v>2872.0</v>
      </c>
      <c r="K1488" s="6" t="s">
        <v>29</v>
      </c>
      <c r="L1488" s="6" t="str">
        <f>VLOOKUP(K1488,'Structure type'!$A$1:$B$15,2,FALSE)</f>
        <v>Manhole</v>
      </c>
      <c r="M1488" s="6" t="s">
        <v>2603</v>
      </c>
      <c r="N1488" s="6" t="str">
        <f>VLOOKUP(M1488,'Excursion Cause'!$A$1:$B$34,2,FALSE)</f>
        <v>Grease Blockage</v>
      </c>
      <c r="O1488" s="21">
        <v>44696.0</v>
      </c>
      <c r="P1488" s="6" t="s">
        <v>844</v>
      </c>
      <c r="Q1488" s="21">
        <v>44697.0</v>
      </c>
      <c r="R1488" s="6" t="s">
        <v>817</v>
      </c>
      <c r="S1488" s="20">
        <v>2.0</v>
      </c>
      <c r="T1488" s="6" t="s">
        <v>2604</v>
      </c>
      <c r="U1488" s="6"/>
      <c r="V1488" s="6"/>
      <c r="W1488" s="6">
        <v>29.7258359</v>
      </c>
      <c r="X1488" s="6">
        <v>-95.5297714</v>
      </c>
    </row>
    <row r="1489" ht="15.75" customHeight="1">
      <c r="A1489" s="6">
        <v>47531.0</v>
      </c>
      <c r="B1489" s="6">
        <v>2022.0</v>
      </c>
      <c r="C1489" s="6" t="str">
        <f t="shared" si="5"/>
        <v>10780 WESTHEIMER RD,Houston,Texas</v>
      </c>
      <c r="D1489" s="6" t="s">
        <v>2605</v>
      </c>
      <c r="E1489" s="6" t="s">
        <v>25</v>
      </c>
      <c r="F1489" s="6" t="s">
        <v>26</v>
      </c>
      <c r="G1489" s="6" t="s">
        <v>401</v>
      </c>
      <c r="H1489" s="6" t="s">
        <v>50</v>
      </c>
      <c r="I1489" s="6" t="str">
        <f>VLOOKUP(H1489,'Flow Location'!$A$1:$B$21,2,FALSE)</f>
        <v>Contained On Site, not within 5 ft. of Bayou/Surface Water/Drainage Ditch</v>
      </c>
      <c r="J1489" s="20">
        <v>0.0</v>
      </c>
      <c r="K1489" s="6" t="s">
        <v>782</v>
      </c>
      <c r="L1489" s="6" t="str">
        <f>VLOOKUP(K1489,'Structure type'!$A$1:$B$15,2,FALSE)</f>
        <v>Private Sample Well</v>
      </c>
      <c r="M1489" s="6" t="s">
        <v>56</v>
      </c>
      <c r="N1489" s="6" t="str">
        <f>VLOOKUP(M1489,'Excursion Cause'!$A$1:$B$34,2,FALSE)</f>
        <v>Rags/Wipes</v>
      </c>
      <c r="O1489" s="21">
        <v>44698.0</v>
      </c>
      <c r="P1489" s="6" t="s">
        <v>807</v>
      </c>
      <c r="Q1489" s="21">
        <v>44698.0</v>
      </c>
      <c r="R1489" s="6" t="s">
        <v>807</v>
      </c>
      <c r="S1489" s="20">
        <v>0.0</v>
      </c>
      <c r="T1489" s="6" t="s">
        <v>59</v>
      </c>
      <c r="U1489" s="6"/>
      <c r="V1489" s="6"/>
      <c r="W1489" s="6">
        <v>29.7371977</v>
      </c>
      <c r="X1489" s="6">
        <v>-95.5666847</v>
      </c>
    </row>
    <row r="1490" ht="15.75" customHeight="1">
      <c r="A1490" s="6">
        <v>47532.0</v>
      </c>
      <c r="B1490" s="6">
        <v>2022.0</v>
      </c>
      <c r="C1490" s="6" t="str">
        <f t="shared" si="5"/>
        <v>6812 BROWNSVILLE ST,Houston,Texas</v>
      </c>
      <c r="D1490" s="6" t="s">
        <v>2606</v>
      </c>
      <c r="E1490" s="6" t="s">
        <v>25</v>
      </c>
      <c r="F1490" s="6" t="s">
        <v>26</v>
      </c>
      <c r="G1490" s="6" t="s">
        <v>86</v>
      </c>
      <c r="H1490" s="6" t="s">
        <v>44</v>
      </c>
      <c r="I1490" s="6" t="str">
        <f>VLOOKUP(H1490,'Flow Location'!$A$1:$B$21,2,FALSE)</f>
        <v>Bayou/surface water/drainage ditch</v>
      </c>
      <c r="J1490" s="20">
        <v>116.0</v>
      </c>
      <c r="K1490" s="6" t="s">
        <v>198</v>
      </c>
      <c r="L1490" s="6" t="str">
        <f>VLOOKUP(K1490,'Structure type'!$A$1:$B$15,2,FALSE)</f>
        <v>Service Lateral</v>
      </c>
      <c r="M1490" s="6" t="s">
        <v>2607</v>
      </c>
      <c r="N1490" s="6" t="str">
        <f>VLOOKUP(M1490,'Excursion Cause'!$A$1:$B$34,2,FALSE)</f>
        <v>Collection system structural failure</v>
      </c>
      <c r="O1490" s="21">
        <v>44700.0</v>
      </c>
      <c r="P1490" s="6" t="s">
        <v>1615</v>
      </c>
      <c r="Q1490" s="21">
        <v>44700.0</v>
      </c>
      <c r="R1490" s="6" t="s">
        <v>117</v>
      </c>
      <c r="S1490" s="20">
        <v>1.0</v>
      </c>
      <c r="T1490" s="6" t="s">
        <v>118</v>
      </c>
      <c r="U1490" s="6"/>
      <c r="V1490" s="6"/>
      <c r="W1490" s="6">
        <v>29.7813125</v>
      </c>
      <c r="X1490" s="6">
        <v>-95.3019473</v>
      </c>
    </row>
    <row r="1491" ht="15.75" customHeight="1">
      <c r="A1491" s="6">
        <v>47533.0</v>
      </c>
      <c r="B1491" s="6">
        <v>2022.0</v>
      </c>
      <c r="C1491" s="6" t="str">
        <f t="shared" si="5"/>
        <v>4609 MARKET ST,Houston,Texas</v>
      </c>
      <c r="D1491" s="6" t="s">
        <v>2608</v>
      </c>
      <c r="E1491" s="6" t="s">
        <v>25</v>
      </c>
      <c r="F1491" s="6" t="s">
        <v>26</v>
      </c>
      <c r="G1491" s="6" t="s">
        <v>86</v>
      </c>
      <c r="H1491" s="6" t="s">
        <v>2275</v>
      </c>
      <c r="I1491" s="6" t="str">
        <f>VLOOKUP(H1491,'Flow Location'!$A$1:$B$21,2,FALSE)</f>
        <v>Contained On Site, not within 5 ft. of Bayou/Surface Water/Drainage Ditch</v>
      </c>
      <c r="J1491" s="20">
        <v>0.0</v>
      </c>
      <c r="K1491" s="6" t="s">
        <v>29</v>
      </c>
      <c r="L1491" s="6" t="str">
        <f>VLOOKUP(K1491,'Structure type'!$A$1:$B$15,2,FALSE)</f>
        <v>Manhole</v>
      </c>
      <c r="M1491" s="6" t="s">
        <v>30</v>
      </c>
      <c r="N1491" s="6" t="str">
        <f>VLOOKUP(M1491,'Excursion Cause'!$A$1:$B$34,2,FALSE)</f>
        <v>Grease Blockage</v>
      </c>
      <c r="O1491" s="21">
        <v>44700.0</v>
      </c>
      <c r="P1491" s="6" t="s">
        <v>63</v>
      </c>
      <c r="Q1491" s="21">
        <v>44700.0</v>
      </c>
      <c r="R1491" s="6" t="s">
        <v>63</v>
      </c>
      <c r="S1491" s="20">
        <v>0.0</v>
      </c>
      <c r="T1491" s="6" t="s">
        <v>59</v>
      </c>
      <c r="U1491" s="6"/>
      <c r="V1491" s="6"/>
      <c r="W1491" s="6">
        <v>29.7729916</v>
      </c>
      <c r="X1491" s="6">
        <v>-95.3236914</v>
      </c>
    </row>
    <row r="1492" ht="15.75" customHeight="1">
      <c r="A1492" s="6">
        <v>47536.0</v>
      </c>
      <c r="B1492" s="6">
        <v>2022.0</v>
      </c>
      <c r="C1492" s="6" t="str">
        <f t="shared" si="5"/>
        <v>9954 STELLA LINK RD,Houston,Texas</v>
      </c>
      <c r="D1492" s="6" t="s">
        <v>2609</v>
      </c>
      <c r="E1492" s="6" t="s">
        <v>25</v>
      </c>
      <c r="F1492" s="6" t="s">
        <v>26</v>
      </c>
      <c r="G1492" s="6" t="s">
        <v>65</v>
      </c>
      <c r="H1492" s="6" t="s">
        <v>28</v>
      </c>
      <c r="I1492" s="6" t="str">
        <f>VLOOKUP(H1492,'Flow Location'!$A$1:$B$21,2,FALSE)</f>
        <v>Storm Sewer (not contained)</v>
      </c>
      <c r="J1492" s="20">
        <v>0.0</v>
      </c>
      <c r="K1492" s="6" t="s">
        <v>45</v>
      </c>
      <c r="L1492" s="6" t="str">
        <f>VLOOKUP(K1492,'Structure type'!$A$1:$B$15,2,FALSE)</f>
        <v>City Cleanout</v>
      </c>
      <c r="M1492" s="6" t="s">
        <v>2610</v>
      </c>
      <c r="N1492" s="6" t="str">
        <f>VLOOKUP(M1492,'Excursion Cause'!$A$1:$B$34,2,FALSE)</f>
        <v>Collection system structural failure</v>
      </c>
      <c r="O1492" s="21">
        <v>44700.0</v>
      </c>
      <c r="P1492" s="6" t="s">
        <v>1307</v>
      </c>
      <c r="Q1492" s="21">
        <v>44700.0</v>
      </c>
      <c r="R1492" s="6" t="s">
        <v>1307</v>
      </c>
      <c r="S1492" s="20">
        <v>0.0</v>
      </c>
      <c r="T1492" s="6" t="s">
        <v>118</v>
      </c>
      <c r="U1492" s="6"/>
      <c r="V1492" s="6"/>
      <c r="W1492" s="6">
        <v>29.673583</v>
      </c>
      <c r="X1492" s="6">
        <v>-95.4401304</v>
      </c>
    </row>
    <row r="1493" ht="15.75" customHeight="1">
      <c r="A1493" s="6">
        <v>47539.0</v>
      </c>
      <c r="B1493" s="6">
        <v>2022.0</v>
      </c>
      <c r="C1493" s="6" t="str">
        <f t="shared" si="5"/>
        <v>2308 CANAL ST,Houston,Texas</v>
      </c>
      <c r="D1493" s="6" t="s">
        <v>2611</v>
      </c>
      <c r="E1493" s="6" t="s">
        <v>25</v>
      </c>
      <c r="F1493" s="6" t="s">
        <v>26</v>
      </c>
      <c r="G1493" s="6" t="s">
        <v>172</v>
      </c>
      <c r="H1493" s="6" t="s">
        <v>1724</v>
      </c>
      <c r="I1493" s="6" t="str">
        <f>VLOOKUP(H1493,'Flow Location'!$A$1:$B$21,2,FALSE)</f>
        <v>Storm Sewer (not contained)</v>
      </c>
      <c r="J1493" s="20">
        <v>315.0</v>
      </c>
      <c r="K1493" s="6" t="s">
        <v>29</v>
      </c>
      <c r="L1493" s="6" t="str">
        <f>VLOOKUP(K1493,'Structure type'!$A$1:$B$15,2,FALSE)</f>
        <v>Manhole</v>
      </c>
      <c r="M1493" s="6" t="s">
        <v>2612</v>
      </c>
      <c r="N1493" s="6" t="str">
        <f>VLOOKUP(M1493,'Excursion Cause'!$A$1:$B$34,2,FALSE)</f>
        <v>Grease Blockage</v>
      </c>
      <c r="O1493" s="21">
        <v>44701.0</v>
      </c>
      <c r="P1493" s="6" t="s">
        <v>1336</v>
      </c>
      <c r="Q1493" s="21">
        <v>44701.0</v>
      </c>
      <c r="R1493" s="6" t="s">
        <v>191</v>
      </c>
      <c r="S1493" s="20">
        <v>3.0</v>
      </c>
      <c r="T1493" s="6" t="s">
        <v>2613</v>
      </c>
      <c r="U1493" s="6"/>
      <c r="V1493" s="6"/>
      <c r="W1493" s="6">
        <v>29.7579446</v>
      </c>
      <c r="X1493" s="6">
        <v>-95.347116</v>
      </c>
    </row>
    <row r="1494" ht="15.75" customHeight="1">
      <c r="A1494" s="6">
        <v>47542.0</v>
      </c>
      <c r="B1494" s="6">
        <v>2022.0</v>
      </c>
      <c r="C1494" s="6" t="str">
        <f t="shared" si="5"/>
        <v>3356 FOUNTAIN VIEW DR,Houston,Texas</v>
      </c>
      <c r="D1494" s="6" t="s">
        <v>2614</v>
      </c>
      <c r="E1494" s="6" t="s">
        <v>25</v>
      </c>
      <c r="F1494" s="6" t="s">
        <v>26</v>
      </c>
      <c r="G1494" s="6" t="s">
        <v>689</v>
      </c>
      <c r="H1494" s="6" t="s">
        <v>2275</v>
      </c>
      <c r="I1494" s="6" t="str">
        <f>VLOOKUP(H1494,'Flow Location'!$A$1:$B$21,2,FALSE)</f>
        <v>Contained On Site, not within 5 ft. of Bayou/Surface Water/Drainage Ditch</v>
      </c>
      <c r="J1494" s="22">
        <v>3098.9</v>
      </c>
      <c r="K1494" s="6" t="s">
        <v>190</v>
      </c>
      <c r="L1494" s="6" t="str">
        <f>VLOOKUP(K1494,'Structure type'!$A$1:$B$15,2,FALSE)</f>
        <v>Force Main</v>
      </c>
      <c r="M1494" s="6" t="s">
        <v>620</v>
      </c>
      <c r="N1494" s="6" t="str">
        <f>VLOOKUP(M1494,'Excursion Cause'!$A$1:$B$34,2,FALSE)</f>
        <v>Air Relief Valve (ARV) Failure</v>
      </c>
      <c r="O1494" s="21">
        <v>44698.0</v>
      </c>
      <c r="P1494" s="6" t="s">
        <v>2615</v>
      </c>
      <c r="Q1494" s="21">
        <v>44698.0</v>
      </c>
      <c r="R1494" s="6" t="s">
        <v>529</v>
      </c>
      <c r="S1494" s="20">
        <v>12.0</v>
      </c>
      <c r="T1494" s="6" t="s">
        <v>118</v>
      </c>
      <c r="U1494" s="6"/>
      <c r="V1494" s="6"/>
      <c r="W1494" s="6">
        <v>29.7287386</v>
      </c>
      <c r="X1494" s="6">
        <v>-95.4844785</v>
      </c>
    </row>
    <row r="1495" ht="15.75" customHeight="1">
      <c r="A1495" s="6">
        <v>47544.0</v>
      </c>
      <c r="B1495" s="6">
        <v>2022.0</v>
      </c>
      <c r="C1495" s="6" t="str">
        <f t="shared" si="5"/>
        <v>1103 W GRAY ST,Houston,Texas</v>
      </c>
      <c r="D1495" s="6" t="s">
        <v>2616</v>
      </c>
      <c r="E1495" s="6" t="s">
        <v>25</v>
      </c>
      <c r="F1495" s="6" t="s">
        <v>26</v>
      </c>
      <c r="G1495" s="6" t="s">
        <v>80</v>
      </c>
      <c r="H1495" s="6" t="s">
        <v>50</v>
      </c>
      <c r="I1495" s="6" t="str">
        <f>VLOOKUP(H1495,'Flow Location'!$A$1:$B$21,2,FALSE)</f>
        <v>Contained On Site, not within 5 ft. of Bayou/Surface Water/Drainage Ditch</v>
      </c>
      <c r="J1495" s="20">
        <v>0.0</v>
      </c>
      <c r="K1495" s="6" t="s">
        <v>51</v>
      </c>
      <c r="L1495" s="6" t="str">
        <f>VLOOKUP(K1495,'Structure type'!$A$1:$B$15,2,FALSE)</f>
        <v>Private Cleanout</v>
      </c>
      <c r="M1495" s="6" t="s">
        <v>30</v>
      </c>
      <c r="N1495" s="6" t="str">
        <f>VLOOKUP(M1495,'Excursion Cause'!$A$1:$B$34,2,FALSE)</f>
        <v>Grease Blockage</v>
      </c>
      <c r="O1495" s="21">
        <v>44701.0</v>
      </c>
      <c r="P1495" s="6" t="s">
        <v>282</v>
      </c>
      <c r="Q1495" s="21">
        <v>44701.0</v>
      </c>
      <c r="R1495" s="6" t="s">
        <v>282</v>
      </c>
      <c r="S1495" s="20">
        <v>0.0</v>
      </c>
      <c r="T1495" s="6" t="s">
        <v>33</v>
      </c>
      <c r="U1495" s="6"/>
      <c r="V1495" s="6"/>
      <c r="W1495" s="6">
        <v>29.7529989</v>
      </c>
      <c r="X1495" s="6">
        <v>-95.3924374</v>
      </c>
    </row>
    <row r="1496" ht="15.75" customHeight="1">
      <c r="A1496" s="6">
        <v>47546.0</v>
      </c>
      <c r="B1496" s="6">
        <v>2022.0</v>
      </c>
      <c r="C1496" s="6" t="str">
        <f t="shared" si="5"/>
        <v>4102 LEMAC DR,Houston,Texas</v>
      </c>
      <c r="D1496" s="6" t="s">
        <v>2538</v>
      </c>
      <c r="E1496" s="6" t="s">
        <v>25</v>
      </c>
      <c r="F1496" s="6" t="s">
        <v>26</v>
      </c>
      <c r="G1496" s="6" t="s">
        <v>65</v>
      </c>
      <c r="H1496" s="6" t="s">
        <v>2275</v>
      </c>
      <c r="I1496" s="6" t="str">
        <f>VLOOKUP(H1496,'Flow Location'!$A$1:$B$21,2,FALSE)</f>
        <v>Contained On Site, not within 5 ft. of Bayou/Surface Water/Drainage Ditch</v>
      </c>
      <c r="J1496" s="20">
        <v>0.0</v>
      </c>
      <c r="K1496" s="6" t="s">
        <v>45</v>
      </c>
      <c r="L1496" s="6" t="str">
        <f>VLOOKUP(K1496,'Structure type'!$A$1:$B$15,2,FALSE)</f>
        <v>City Cleanout</v>
      </c>
      <c r="M1496" s="6" t="s">
        <v>56</v>
      </c>
      <c r="N1496" s="6" t="str">
        <f>VLOOKUP(M1496,'Excursion Cause'!$A$1:$B$34,2,FALSE)</f>
        <v>Rags/Wipes</v>
      </c>
      <c r="O1496" s="21">
        <v>44701.0</v>
      </c>
      <c r="P1496" s="6" t="s">
        <v>513</v>
      </c>
      <c r="Q1496" s="21">
        <v>44701.0</v>
      </c>
      <c r="R1496" s="6" t="s">
        <v>513</v>
      </c>
      <c r="S1496" s="20">
        <v>0.0</v>
      </c>
      <c r="T1496" s="6" t="s">
        <v>74</v>
      </c>
      <c r="U1496" s="6"/>
      <c r="V1496" s="6"/>
      <c r="W1496" s="6">
        <v>29.6787332</v>
      </c>
      <c r="X1496" s="6">
        <v>-95.4430344</v>
      </c>
    </row>
    <row r="1497" ht="15.75" customHeight="1">
      <c r="A1497" s="6">
        <v>47548.0</v>
      </c>
      <c r="B1497" s="6">
        <v>2022.0</v>
      </c>
      <c r="C1497" s="6" t="str">
        <f t="shared" si="5"/>
        <v>8932 SAGE PLACE DR,Houston,Texas</v>
      </c>
      <c r="D1497" s="6" t="s">
        <v>2617</v>
      </c>
      <c r="E1497" s="6" t="s">
        <v>25</v>
      </c>
      <c r="F1497" s="6" t="s">
        <v>26</v>
      </c>
      <c r="G1497" s="6" t="s">
        <v>148</v>
      </c>
      <c r="H1497" s="6" t="s">
        <v>50</v>
      </c>
      <c r="I1497" s="6" t="str">
        <f>VLOOKUP(H1497,'Flow Location'!$A$1:$B$21,2,FALSE)</f>
        <v>Contained On Site, not within 5 ft. of Bayou/Surface Water/Drainage Ditch</v>
      </c>
      <c r="J1497" s="22">
        <v>607.5</v>
      </c>
      <c r="K1497" s="6" t="s">
        <v>29</v>
      </c>
      <c r="L1497" s="6" t="str">
        <f>VLOOKUP(K1497,'Structure type'!$A$1:$B$15,2,FALSE)</f>
        <v>Manhole</v>
      </c>
      <c r="M1497" s="6" t="s">
        <v>30</v>
      </c>
      <c r="N1497" s="6" t="str">
        <f>VLOOKUP(M1497,'Excursion Cause'!$A$1:$B$34,2,FALSE)</f>
        <v>Grease Blockage</v>
      </c>
      <c r="O1497" s="21">
        <v>44702.0</v>
      </c>
      <c r="P1497" s="6" t="s">
        <v>402</v>
      </c>
      <c r="Q1497" s="21">
        <v>44702.0</v>
      </c>
      <c r="R1497" s="6" t="s">
        <v>110</v>
      </c>
      <c r="S1497" s="20">
        <v>5.0</v>
      </c>
      <c r="T1497" s="6" t="s">
        <v>33</v>
      </c>
      <c r="U1497" s="6"/>
      <c r="V1497" s="6"/>
      <c r="W1497" s="6">
        <v>29.6508658</v>
      </c>
      <c r="X1497" s="6">
        <v>-95.5355314</v>
      </c>
    </row>
    <row r="1498" ht="15.75" customHeight="1">
      <c r="A1498" s="6">
        <v>47550.0</v>
      </c>
      <c r="B1498" s="6">
        <v>2022.0</v>
      </c>
      <c r="C1498" s="6" t="str">
        <f t="shared" si="5"/>
        <v>7742 SIGN ST,Houston,Texas</v>
      </c>
      <c r="D1498" s="6" t="s">
        <v>2618</v>
      </c>
      <c r="E1498" s="6" t="s">
        <v>25</v>
      </c>
      <c r="F1498" s="6" t="s">
        <v>26</v>
      </c>
      <c r="G1498" s="6" t="s">
        <v>166</v>
      </c>
      <c r="H1498" s="6" t="s">
        <v>2275</v>
      </c>
      <c r="I1498" s="6" t="str">
        <f>VLOOKUP(H1498,'Flow Location'!$A$1:$B$21,2,FALSE)</f>
        <v>Contained On Site, not within 5 ft. of Bayou/Surface Water/Drainage Ditch</v>
      </c>
      <c r="J1498" s="20">
        <v>0.0</v>
      </c>
      <c r="K1498" s="6" t="s">
        <v>29</v>
      </c>
      <c r="L1498" s="6" t="str">
        <f>VLOOKUP(K1498,'Structure type'!$A$1:$B$15,2,FALSE)</f>
        <v>Manhole</v>
      </c>
      <c r="M1498" s="6" t="s">
        <v>30</v>
      </c>
      <c r="N1498" s="6" t="str">
        <f>VLOOKUP(M1498,'Excursion Cause'!$A$1:$B$34,2,FALSE)</f>
        <v>Grease Blockage</v>
      </c>
      <c r="O1498" s="21">
        <v>44701.0</v>
      </c>
      <c r="P1498" s="6" t="s">
        <v>529</v>
      </c>
      <c r="Q1498" s="21">
        <v>44701.0</v>
      </c>
      <c r="R1498" s="6" t="s">
        <v>529</v>
      </c>
      <c r="S1498" s="20">
        <v>0.0</v>
      </c>
      <c r="T1498" s="6" t="s">
        <v>59</v>
      </c>
      <c r="U1498" s="6"/>
      <c r="V1498" s="6"/>
      <c r="W1498" s="6">
        <v>29.6036235</v>
      </c>
      <c r="X1498" s="6">
        <v>-95.5071827</v>
      </c>
    </row>
    <row r="1499" ht="15.75" customHeight="1">
      <c r="A1499" s="6">
        <v>47553.0</v>
      </c>
      <c r="B1499" s="6">
        <v>2022.0</v>
      </c>
      <c r="C1499" s="6" t="str">
        <f t="shared" si="5"/>
        <v>2120 WALKER ST,Houston,Texas</v>
      </c>
      <c r="D1499" s="6" t="s">
        <v>2129</v>
      </c>
      <c r="E1499" s="6" t="s">
        <v>25</v>
      </c>
      <c r="F1499" s="6" t="s">
        <v>26</v>
      </c>
      <c r="G1499" s="6" t="s">
        <v>172</v>
      </c>
      <c r="H1499" s="6" t="s">
        <v>2275</v>
      </c>
      <c r="I1499" s="6" t="str">
        <f>VLOOKUP(H1499,'Flow Location'!$A$1:$B$21,2,FALSE)</f>
        <v>Contained On Site, not within 5 ft. of Bayou/Surface Water/Drainage Ditch</v>
      </c>
      <c r="J1499" s="20">
        <v>0.0</v>
      </c>
      <c r="K1499" s="6" t="s">
        <v>29</v>
      </c>
      <c r="L1499" s="6" t="str">
        <f>VLOOKUP(K1499,'Structure type'!$A$1:$B$15,2,FALSE)</f>
        <v>Manhole</v>
      </c>
      <c r="M1499" s="6" t="s">
        <v>30</v>
      </c>
      <c r="N1499" s="6" t="str">
        <f>VLOOKUP(M1499,'Excursion Cause'!$A$1:$B$34,2,FALSE)</f>
        <v>Grease Blockage</v>
      </c>
      <c r="O1499" s="21">
        <v>44703.0</v>
      </c>
      <c r="P1499" s="6" t="s">
        <v>1176</v>
      </c>
      <c r="Q1499" s="21">
        <v>44703.0</v>
      </c>
      <c r="R1499" s="6" t="s">
        <v>1176</v>
      </c>
      <c r="S1499" s="20">
        <v>0.0</v>
      </c>
      <c r="T1499" s="6" t="s">
        <v>33</v>
      </c>
      <c r="U1499" s="6"/>
      <c r="V1499" s="6"/>
      <c r="W1499" s="6">
        <v>29.7516519</v>
      </c>
      <c r="X1499" s="6">
        <v>-95.3548004</v>
      </c>
    </row>
    <row r="1500" ht="15.75" customHeight="1">
      <c r="A1500" s="6">
        <v>47555.0</v>
      </c>
      <c r="B1500" s="6">
        <v>2022.0</v>
      </c>
      <c r="C1500" s="6" t="str">
        <f t="shared" si="5"/>
        <v>6812 BROWNSVILLE ST,Houston,Texas</v>
      </c>
      <c r="D1500" s="6" t="s">
        <v>2606</v>
      </c>
      <c r="E1500" s="6" t="s">
        <v>25</v>
      </c>
      <c r="F1500" s="6" t="s">
        <v>26</v>
      </c>
      <c r="G1500" s="6" t="s">
        <v>86</v>
      </c>
      <c r="H1500" s="6" t="s">
        <v>50</v>
      </c>
      <c r="I1500" s="6" t="str">
        <f>VLOOKUP(H1500,'Flow Location'!$A$1:$B$21,2,FALSE)</f>
        <v>Contained On Site, not within 5 ft. of Bayou/Surface Water/Drainage Ditch</v>
      </c>
      <c r="J1500" s="20">
        <v>1482.0</v>
      </c>
      <c r="K1500" s="6" t="s">
        <v>198</v>
      </c>
      <c r="L1500" s="6" t="str">
        <f>VLOOKUP(K1500,'Structure type'!$A$1:$B$15,2,FALSE)</f>
        <v>Service Lateral</v>
      </c>
      <c r="M1500" s="6" t="s">
        <v>81</v>
      </c>
      <c r="N1500" s="6" t="str">
        <f>VLOOKUP(M1500,'Excursion Cause'!$A$1:$B$34,2,FALSE)</f>
        <v>Collection system structural failure</v>
      </c>
      <c r="O1500" s="21">
        <v>44703.0</v>
      </c>
      <c r="P1500" s="6" t="s">
        <v>532</v>
      </c>
      <c r="Q1500" s="21">
        <v>44704.0</v>
      </c>
      <c r="R1500" s="6" t="s">
        <v>639</v>
      </c>
      <c r="S1500" s="20">
        <v>1.0</v>
      </c>
      <c r="T1500" s="6" t="s">
        <v>118</v>
      </c>
      <c r="U1500" s="6"/>
      <c r="V1500" s="6"/>
      <c r="W1500" s="6">
        <v>29.7813125</v>
      </c>
      <c r="X1500" s="6">
        <v>-95.3019473</v>
      </c>
    </row>
    <row r="1501" ht="15.75" customHeight="1">
      <c r="A1501" s="6">
        <v>47560.0</v>
      </c>
      <c r="B1501" s="6">
        <v>2022.0</v>
      </c>
      <c r="C1501" s="6" t="str">
        <f t="shared" si="5"/>
        <v>1202 UVALDE RD,Houston,Texas</v>
      </c>
      <c r="D1501" s="6" t="s">
        <v>2619</v>
      </c>
      <c r="E1501" s="6" t="s">
        <v>25</v>
      </c>
      <c r="F1501" s="6" t="s">
        <v>26</v>
      </c>
      <c r="G1501" s="6" t="s">
        <v>623</v>
      </c>
      <c r="H1501" s="6" t="s">
        <v>2275</v>
      </c>
      <c r="I1501" s="6" t="str">
        <f>VLOOKUP(H1501,'Flow Location'!$A$1:$B$21,2,FALSE)</f>
        <v>Contained On Site, not within 5 ft. of Bayou/Surface Water/Drainage Ditch</v>
      </c>
      <c r="J1501" s="20">
        <v>0.0</v>
      </c>
      <c r="K1501" s="6" t="s">
        <v>29</v>
      </c>
      <c r="L1501" s="6" t="str">
        <f>VLOOKUP(K1501,'Structure type'!$A$1:$B$15,2,FALSE)</f>
        <v>Manhole</v>
      </c>
      <c r="M1501" s="6" t="s">
        <v>30</v>
      </c>
      <c r="N1501" s="6" t="str">
        <f>VLOOKUP(M1501,'Excursion Cause'!$A$1:$B$34,2,FALSE)</f>
        <v>Grease Blockage</v>
      </c>
      <c r="O1501" s="21">
        <v>44704.0</v>
      </c>
      <c r="P1501" s="6" t="s">
        <v>485</v>
      </c>
      <c r="Q1501" s="21">
        <v>44704.0</v>
      </c>
      <c r="R1501" s="6" t="s">
        <v>485</v>
      </c>
      <c r="S1501" s="20">
        <v>0.0</v>
      </c>
      <c r="T1501" s="6" t="s">
        <v>33</v>
      </c>
      <c r="U1501" s="6"/>
      <c r="V1501" s="6"/>
      <c r="W1501" s="6">
        <v>29.7730929</v>
      </c>
      <c r="X1501" s="6">
        <v>-95.1876116</v>
      </c>
    </row>
    <row r="1502" ht="15.75" customHeight="1">
      <c r="A1502" s="6">
        <v>47563.0</v>
      </c>
      <c r="B1502" s="6">
        <v>2022.0</v>
      </c>
      <c r="C1502" s="6" t="str">
        <f t="shared" si="5"/>
        <v>1300 AUGUSTA DR,Houston,Texas</v>
      </c>
      <c r="D1502" s="6" t="s">
        <v>2620</v>
      </c>
      <c r="E1502" s="6" t="s">
        <v>25</v>
      </c>
      <c r="F1502" s="6" t="s">
        <v>26</v>
      </c>
      <c r="G1502" s="6" t="s">
        <v>689</v>
      </c>
      <c r="H1502" s="6" t="s">
        <v>50</v>
      </c>
      <c r="I1502" s="6" t="str">
        <f>VLOOKUP(H1502,'Flow Location'!$A$1:$B$21,2,FALSE)</f>
        <v>Contained On Site, not within 5 ft. of Bayou/Surface Water/Drainage Ditch</v>
      </c>
      <c r="J1502" s="20">
        <v>2560.0</v>
      </c>
      <c r="K1502" s="6" t="s">
        <v>29</v>
      </c>
      <c r="L1502" s="6" t="str">
        <f>VLOOKUP(K1502,'Structure type'!$A$1:$B$15,2,FALSE)</f>
        <v>Manhole</v>
      </c>
      <c r="M1502" s="6" t="s">
        <v>30</v>
      </c>
      <c r="N1502" s="6" t="str">
        <f>VLOOKUP(M1502,'Excursion Cause'!$A$1:$B$34,2,FALSE)</f>
        <v>Grease Blockage</v>
      </c>
      <c r="O1502" s="21">
        <v>44704.0</v>
      </c>
      <c r="P1502" s="6" t="s">
        <v>1268</v>
      </c>
      <c r="Q1502" s="21">
        <v>44705.0</v>
      </c>
      <c r="R1502" s="6" t="s">
        <v>478</v>
      </c>
      <c r="S1502" s="20">
        <v>2.0</v>
      </c>
      <c r="T1502" s="6" t="s">
        <v>33</v>
      </c>
      <c r="U1502" s="6"/>
      <c r="V1502" s="6"/>
      <c r="W1502" s="6">
        <v>29.7541079</v>
      </c>
      <c r="X1502" s="6">
        <v>-95.4833929</v>
      </c>
    </row>
    <row r="1503" ht="15.75" customHeight="1">
      <c r="A1503" s="6">
        <v>47568.0</v>
      </c>
      <c r="B1503" s="6">
        <v>2022.0</v>
      </c>
      <c r="C1503" s="6" t="str">
        <f t="shared" si="5"/>
        <v>6400 W BELLFORT AVE,Houston,Texas</v>
      </c>
      <c r="D1503" s="6" t="s">
        <v>2621</v>
      </c>
      <c r="E1503" s="6" t="s">
        <v>25</v>
      </c>
      <c r="F1503" s="6" t="s">
        <v>26</v>
      </c>
      <c r="G1503" s="6" t="s">
        <v>69</v>
      </c>
      <c r="H1503" s="6" t="s">
        <v>28</v>
      </c>
      <c r="I1503" s="6" t="str">
        <f>VLOOKUP(H1503,'Flow Location'!$A$1:$B$21,2,FALSE)</f>
        <v>Storm Sewer (not contained)</v>
      </c>
      <c r="J1503" s="20">
        <v>1935.0</v>
      </c>
      <c r="K1503" s="6" t="s">
        <v>29</v>
      </c>
      <c r="L1503" s="6" t="str">
        <f>VLOOKUP(K1503,'Structure type'!$A$1:$B$15,2,FALSE)</f>
        <v>Manhole</v>
      </c>
      <c r="M1503" s="6" t="s">
        <v>2622</v>
      </c>
      <c r="N1503" s="6" t="str">
        <f>VLOOKUP(M1503,'Excursion Cause'!$A$1:$B$34,2,FALSE)</f>
        <v>Collection system temporary blockage</v>
      </c>
      <c r="O1503" s="21">
        <v>44705.0</v>
      </c>
      <c r="P1503" s="6" t="s">
        <v>921</v>
      </c>
      <c r="Q1503" s="21">
        <v>44705.0</v>
      </c>
      <c r="R1503" s="6" t="s">
        <v>643</v>
      </c>
      <c r="S1503" s="20">
        <v>15.0</v>
      </c>
      <c r="T1503" s="6" t="s">
        <v>118</v>
      </c>
      <c r="U1503" s="6"/>
      <c r="V1503" s="6"/>
      <c r="W1503" s="6">
        <v>29.6571207</v>
      </c>
      <c r="X1503" s="6">
        <v>-95.5035821</v>
      </c>
    </row>
    <row r="1504" ht="15.75" customHeight="1">
      <c r="A1504" s="6">
        <v>47573.0</v>
      </c>
      <c r="B1504" s="6">
        <v>2022.0</v>
      </c>
      <c r="C1504" s="6" t="str">
        <f t="shared" si="5"/>
        <v>234 E JANISCH RD,Houston,Texas</v>
      </c>
      <c r="D1504" s="6" t="s">
        <v>2623</v>
      </c>
      <c r="E1504" s="6" t="s">
        <v>25</v>
      </c>
      <c r="F1504" s="6" t="s">
        <v>26</v>
      </c>
      <c r="G1504" s="6" t="s">
        <v>653</v>
      </c>
      <c r="H1504" s="6" t="s">
        <v>1724</v>
      </c>
      <c r="I1504" s="6" t="str">
        <f>VLOOKUP(H1504,'Flow Location'!$A$1:$B$21,2,FALSE)</f>
        <v>Storm Sewer (not contained)</v>
      </c>
      <c r="J1504" s="20">
        <v>0.0</v>
      </c>
      <c r="K1504" s="6" t="s">
        <v>2624</v>
      </c>
      <c r="L1504" s="6" t="str">
        <f>VLOOKUP(K1504,'Structure type'!$A$1:$B$15,2,FALSE)</f>
        <v>Private Cleanout</v>
      </c>
      <c r="M1504" s="6" t="s">
        <v>2625</v>
      </c>
      <c r="N1504" s="6" t="str">
        <f>VLOOKUP(M1504,'Excursion Cause'!$A$1:$B$34,2,FALSE)</f>
        <v>Grease Blockage</v>
      </c>
      <c r="O1504" s="21">
        <v>44705.0</v>
      </c>
      <c r="P1504" s="6" t="s">
        <v>872</v>
      </c>
      <c r="Q1504" s="21">
        <v>44705.0</v>
      </c>
      <c r="R1504" s="6" t="s">
        <v>872</v>
      </c>
      <c r="S1504" s="20">
        <v>0.0</v>
      </c>
      <c r="T1504" s="6" t="s">
        <v>2626</v>
      </c>
      <c r="U1504" s="6"/>
      <c r="V1504" s="6"/>
      <c r="W1504" s="6">
        <v>29.8371068</v>
      </c>
      <c r="X1504" s="6">
        <v>-95.398434</v>
      </c>
    </row>
    <row r="1505" ht="15.75" customHeight="1">
      <c r="A1505" s="6">
        <v>47575.0</v>
      </c>
      <c r="B1505" s="6">
        <v>2022.0</v>
      </c>
      <c r="C1505" s="6" t="str">
        <f t="shared" si="5"/>
        <v>7925 COOK RD,Houston,Texas</v>
      </c>
      <c r="D1505" s="6" t="s">
        <v>2627</v>
      </c>
      <c r="E1505" s="6" t="s">
        <v>25</v>
      </c>
      <c r="F1505" s="6" t="s">
        <v>26</v>
      </c>
      <c r="G1505" s="6" t="s">
        <v>91</v>
      </c>
      <c r="H1505" s="6" t="s">
        <v>1724</v>
      </c>
      <c r="I1505" s="6" t="str">
        <f>VLOOKUP(H1505,'Flow Location'!$A$1:$B$21,2,FALSE)</f>
        <v>Storm Sewer (not contained)</v>
      </c>
      <c r="J1505" s="22">
        <v>594.5</v>
      </c>
      <c r="K1505" s="6" t="s">
        <v>29</v>
      </c>
      <c r="L1505" s="6" t="str">
        <f>VLOOKUP(K1505,'Structure type'!$A$1:$B$15,2,FALSE)</f>
        <v>Manhole</v>
      </c>
      <c r="M1505" s="6" t="s">
        <v>2628</v>
      </c>
      <c r="N1505" s="6" t="str">
        <f>VLOOKUP(M1505,'Excursion Cause'!$A$1:$B$34,2,FALSE)</f>
        <v>Grease Blockage</v>
      </c>
      <c r="O1505" s="21">
        <v>44705.0</v>
      </c>
      <c r="P1505" s="6" t="s">
        <v>2410</v>
      </c>
      <c r="Q1505" s="21">
        <v>44706.0</v>
      </c>
      <c r="R1505" s="6" t="s">
        <v>503</v>
      </c>
      <c r="S1505" s="20">
        <v>1.0</v>
      </c>
      <c r="T1505" s="6" t="s">
        <v>2629</v>
      </c>
      <c r="U1505" s="6"/>
      <c r="V1505" s="6"/>
      <c r="W1505" s="6">
        <v>29.6918058</v>
      </c>
      <c r="X1505" s="6">
        <v>-95.5955332</v>
      </c>
    </row>
    <row r="1506" ht="15.75" customHeight="1">
      <c r="A1506" s="6">
        <v>47576.0</v>
      </c>
      <c r="B1506" s="6">
        <v>2022.0</v>
      </c>
      <c r="C1506" s="6" t="str">
        <f t="shared" si="5"/>
        <v>7108 AVENUE J,Houston,Texas</v>
      </c>
      <c r="D1506" s="6" t="s">
        <v>2630</v>
      </c>
      <c r="E1506" s="6" t="s">
        <v>25</v>
      </c>
      <c r="F1506" s="6" t="s">
        <v>26</v>
      </c>
      <c r="G1506" s="6" t="s">
        <v>227</v>
      </c>
      <c r="H1506" s="6" t="s">
        <v>50</v>
      </c>
      <c r="I1506" s="6" t="str">
        <f>VLOOKUP(H1506,'Flow Location'!$A$1:$B$21,2,FALSE)</f>
        <v>Contained On Site, not within 5 ft. of Bayou/Surface Water/Drainage Ditch</v>
      </c>
      <c r="J1506" s="20">
        <v>0.0</v>
      </c>
      <c r="K1506" s="6" t="s">
        <v>45</v>
      </c>
      <c r="L1506" s="6" t="str">
        <f>VLOOKUP(K1506,'Structure type'!$A$1:$B$15,2,FALSE)</f>
        <v>City Cleanout</v>
      </c>
      <c r="M1506" s="6" t="s">
        <v>30</v>
      </c>
      <c r="N1506" s="6" t="str">
        <f>VLOOKUP(M1506,'Excursion Cause'!$A$1:$B$34,2,FALSE)</f>
        <v>Grease Blockage</v>
      </c>
      <c r="O1506" s="21">
        <v>44705.0</v>
      </c>
      <c r="P1506" s="6" t="s">
        <v>2631</v>
      </c>
      <c r="Q1506" s="21">
        <v>44705.0</v>
      </c>
      <c r="R1506" s="6" t="s">
        <v>2631</v>
      </c>
      <c r="S1506" s="20">
        <v>0.0</v>
      </c>
      <c r="T1506" s="6" t="s">
        <v>270</v>
      </c>
      <c r="U1506" s="6"/>
      <c r="V1506" s="6"/>
      <c r="W1506" s="6">
        <v>29.7406576</v>
      </c>
      <c r="X1506" s="6">
        <v>-95.296737</v>
      </c>
    </row>
    <row r="1507" ht="15.75" customHeight="1">
      <c r="A1507" s="6">
        <v>47577.0</v>
      </c>
      <c r="B1507" s="6">
        <v>2022.0</v>
      </c>
      <c r="C1507" s="6" t="str">
        <f t="shared" si="5"/>
        <v>1717 FLAGSTONE TER,Houston,Texas</v>
      </c>
      <c r="D1507" s="6" t="s">
        <v>2632</v>
      </c>
      <c r="E1507" s="6" t="s">
        <v>25</v>
      </c>
      <c r="F1507" s="6" t="s">
        <v>26</v>
      </c>
      <c r="G1507" s="6" t="s">
        <v>135</v>
      </c>
      <c r="H1507" s="6" t="s">
        <v>2275</v>
      </c>
      <c r="I1507" s="6" t="str">
        <f>VLOOKUP(H1507,'Flow Location'!$A$1:$B$21,2,FALSE)</f>
        <v>Contained On Site, not within 5 ft. of Bayou/Surface Water/Drainage Ditch</v>
      </c>
      <c r="J1507" s="20">
        <v>0.0</v>
      </c>
      <c r="K1507" s="6" t="s">
        <v>45</v>
      </c>
      <c r="L1507" s="6" t="str">
        <f>VLOOKUP(K1507,'Structure type'!$A$1:$B$15,2,FALSE)</f>
        <v>City Cleanout</v>
      </c>
      <c r="M1507" s="6" t="s">
        <v>2633</v>
      </c>
      <c r="N1507" s="6" t="str">
        <f>VLOOKUP(M1507,'Excursion Cause'!$A$1:$B$34,2,FALSE)</f>
        <v>Collection system structural blockage</v>
      </c>
      <c r="O1507" s="21">
        <v>44705.0</v>
      </c>
      <c r="P1507" s="6" t="s">
        <v>2533</v>
      </c>
      <c r="Q1507" s="21">
        <v>44705.0</v>
      </c>
      <c r="R1507" s="6" t="s">
        <v>2533</v>
      </c>
      <c r="S1507" s="20">
        <v>0.0</v>
      </c>
      <c r="T1507" s="6" t="s">
        <v>270</v>
      </c>
      <c r="U1507" s="6"/>
      <c r="V1507" s="6"/>
      <c r="W1507" s="6">
        <v>29.6848735</v>
      </c>
      <c r="X1507" s="6">
        <v>-95.2357845</v>
      </c>
    </row>
    <row r="1508" ht="15.75" customHeight="1">
      <c r="A1508" s="6">
        <v>47579.0</v>
      </c>
      <c r="B1508" s="6">
        <v>2022.0</v>
      </c>
      <c r="C1508" s="6" t="str">
        <f t="shared" si="5"/>
        <v>439 W GAYWOOD DR,Houston,Texas</v>
      </c>
      <c r="D1508" s="6" t="s">
        <v>2634</v>
      </c>
      <c r="E1508" s="6" t="s">
        <v>25</v>
      </c>
      <c r="F1508" s="6" t="s">
        <v>26</v>
      </c>
      <c r="G1508" s="6" t="s">
        <v>520</v>
      </c>
      <c r="H1508" s="6" t="s">
        <v>50</v>
      </c>
      <c r="I1508" s="6" t="str">
        <f>VLOOKUP(H1508,'Flow Location'!$A$1:$B$21,2,FALSE)</f>
        <v>Contained On Site, not within 5 ft. of Bayou/Surface Water/Drainage Ditch</v>
      </c>
      <c r="J1508" s="20">
        <v>0.0</v>
      </c>
      <c r="K1508" s="6" t="s">
        <v>45</v>
      </c>
      <c r="L1508" s="6" t="str">
        <f>VLOOKUP(K1508,'Structure type'!$A$1:$B$15,2,FALSE)</f>
        <v>City Cleanout</v>
      </c>
      <c r="M1508" s="6" t="s">
        <v>56</v>
      </c>
      <c r="N1508" s="6" t="str">
        <f>VLOOKUP(M1508,'Excursion Cause'!$A$1:$B$34,2,FALSE)</f>
        <v>Rags/Wipes</v>
      </c>
      <c r="O1508" s="21">
        <v>44706.0</v>
      </c>
      <c r="P1508" s="6" t="s">
        <v>1182</v>
      </c>
      <c r="Q1508" s="21">
        <v>44706.0</v>
      </c>
      <c r="R1508" s="6" t="s">
        <v>1182</v>
      </c>
      <c r="S1508" s="20">
        <v>0.0</v>
      </c>
      <c r="T1508" s="6" t="s">
        <v>270</v>
      </c>
      <c r="U1508" s="6"/>
      <c r="V1508" s="6"/>
      <c r="W1508" s="6">
        <v>29.7721012</v>
      </c>
      <c r="X1508" s="6">
        <v>-95.5732421</v>
      </c>
    </row>
    <row r="1509" ht="15.75" customHeight="1">
      <c r="A1509" s="6">
        <v>47581.0</v>
      </c>
      <c r="B1509" s="6">
        <v>2022.0</v>
      </c>
      <c r="C1509" s="6" t="str">
        <f t="shared" si="5"/>
        <v>6403 UNDERHILL ST,Houston,Texas</v>
      </c>
      <c r="D1509" s="6" t="s">
        <v>2635</v>
      </c>
      <c r="E1509" s="6" t="s">
        <v>25</v>
      </c>
      <c r="F1509" s="6" t="s">
        <v>26</v>
      </c>
      <c r="G1509" s="6" t="s">
        <v>76</v>
      </c>
      <c r="H1509" s="6" t="s">
        <v>2275</v>
      </c>
      <c r="I1509" s="6" t="str">
        <f>VLOOKUP(H1509,'Flow Location'!$A$1:$B$21,2,FALSE)</f>
        <v>Contained On Site, not within 5 ft. of Bayou/Surface Water/Drainage Ditch</v>
      </c>
      <c r="J1509" s="20">
        <v>0.0</v>
      </c>
      <c r="K1509" s="6" t="s">
        <v>29</v>
      </c>
      <c r="L1509" s="6" t="str">
        <f>VLOOKUP(K1509,'Structure type'!$A$1:$B$15,2,FALSE)</f>
        <v>Manhole</v>
      </c>
      <c r="M1509" s="6" t="s">
        <v>30</v>
      </c>
      <c r="N1509" s="6" t="str">
        <f>VLOOKUP(M1509,'Excursion Cause'!$A$1:$B$34,2,FALSE)</f>
        <v>Grease Blockage</v>
      </c>
      <c r="O1509" s="21">
        <v>44706.0</v>
      </c>
      <c r="P1509" s="6" t="s">
        <v>524</v>
      </c>
      <c r="Q1509" s="21">
        <v>44706.0</v>
      </c>
      <c r="R1509" s="6" t="s">
        <v>524</v>
      </c>
      <c r="S1509" s="20">
        <v>0.0</v>
      </c>
      <c r="T1509" s="6" t="s">
        <v>33</v>
      </c>
      <c r="U1509" s="6"/>
      <c r="V1509" s="6"/>
      <c r="W1509" s="6">
        <v>29.8270744</v>
      </c>
      <c r="X1509" s="6">
        <v>-95.4853547</v>
      </c>
    </row>
    <row r="1510" ht="15.75" customHeight="1">
      <c r="A1510" s="6">
        <v>47582.0</v>
      </c>
      <c r="B1510" s="6">
        <v>2022.0</v>
      </c>
      <c r="C1510" s="6" t="str">
        <f t="shared" si="5"/>
        <v>7939 CAROLWOOD DR,Houston,Texas</v>
      </c>
      <c r="D1510" s="6" t="s">
        <v>2636</v>
      </c>
      <c r="E1510" s="6" t="s">
        <v>25</v>
      </c>
      <c r="F1510" s="6" t="s">
        <v>26</v>
      </c>
      <c r="G1510" s="6" t="s">
        <v>177</v>
      </c>
      <c r="H1510" s="6" t="s">
        <v>28</v>
      </c>
      <c r="I1510" s="6" t="str">
        <f>VLOOKUP(H1510,'Flow Location'!$A$1:$B$21,2,FALSE)</f>
        <v>Storm Sewer (not contained)</v>
      </c>
      <c r="J1510" s="20">
        <v>0.0</v>
      </c>
      <c r="K1510" s="6" t="s">
        <v>51</v>
      </c>
      <c r="L1510" s="6" t="str">
        <f>VLOOKUP(K1510,'Structure type'!$A$1:$B$15,2,FALSE)</f>
        <v>Private Cleanout</v>
      </c>
      <c r="M1510" s="6" t="s">
        <v>2637</v>
      </c>
      <c r="N1510" s="6" t="str">
        <f>VLOOKUP(M1510,'Excursion Cause'!$A$1:$B$34,2,FALSE)</f>
        <v>Collection system structural failure</v>
      </c>
      <c r="O1510" s="21">
        <v>44706.0</v>
      </c>
      <c r="P1510" s="6" t="s">
        <v>1280</v>
      </c>
      <c r="Q1510" s="21">
        <v>44706.0</v>
      </c>
      <c r="R1510" s="6" t="s">
        <v>1280</v>
      </c>
      <c r="S1510" s="20">
        <v>0.0</v>
      </c>
      <c r="T1510" s="6" t="s">
        <v>54</v>
      </c>
      <c r="U1510" s="6"/>
      <c r="V1510" s="6"/>
      <c r="W1510" s="6">
        <v>29.8364252</v>
      </c>
      <c r="X1510" s="6">
        <v>-95.2823114</v>
      </c>
    </row>
    <row r="1511" ht="15.75" customHeight="1">
      <c r="A1511" s="6">
        <v>47608.0</v>
      </c>
      <c r="B1511" s="6">
        <v>2022.0</v>
      </c>
      <c r="C1511" s="6" t="str">
        <f t="shared" si="5"/>
        <v>4911 E RIDGE CREEK DR,Houston,Texas</v>
      </c>
      <c r="D1511" s="6" t="s">
        <v>2638</v>
      </c>
      <c r="E1511" s="6" t="s">
        <v>25</v>
      </c>
      <c r="F1511" s="6" t="s">
        <v>26</v>
      </c>
      <c r="G1511" s="6" t="s">
        <v>517</v>
      </c>
      <c r="H1511" s="6" t="s">
        <v>1724</v>
      </c>
      <c r="I1511" s="6" t="str">
        <f>VLOOKUP(H1511,'Flow Location'!$A$1:$B$21,2,FALSE)</f>
        <v>Storm Sewer (not contained)</v>
      </c>
      <c r="J1511" s="22">
        <v>237.5</v>
      </c>
      <c r="K1511" s="6" t="s">
        <v>29</v>
      </c>
      <c r="L1511" s="6" t="str">
        <f>VLOOKUP(K1511,'Structure type'!$A$1:$B$15,2,FALSE)</f>
        <v>Manhole</v>
      </c>
      <c r="M1511" s="6" t="s">
        <v>2639</v>
      </c>
      <c r="N1511" s="6" t="str">
        <f>VLOOKUP(M1511,'Excursion Cause'!$A$1:$B$34,2,FALSE)</f>
        <v>Grease Blockage</v>
      </c>
      <c r="O1511" s="21">
        <v>44708.0</v>
      </c>
      <c r="P1511" s="6" t="s">
        <v>1170</v>
      </c>
      <c r="Q1511" s="21">
        <v>44708.0</v>
      </c>
      <c r="R1511" s="6" t="s">
        <v>1173</v>
      </c>
      <c r="S1511" s="20">
        <v>3.0</v>
      </c>
      <c r="T1511" s="6" t="s">
        <v>2640</v>
      </c>
      <c r="U1511" s="6"/>
      <c r="V1511" s="6"/>
      <c r="W1511" s="6">
        <v>29.5880622</v>
      </c>
      <c r="X1511" s="6">
        <v>-95.4541388</v>
      </c>
    </row>
    <row r="1512" ht="15.75" customHeight="1">
      <c r="A1512" s="6">
        <v>47609.0</v>
      </c>
      <c r="B1512" s="6">
        <v>2022.0</v>
      </c>
      <c r="C1512" s="6" t="str">
        <f t="shared" si="5"/>
        <v>8 TIEL WAY,Houston,Texas</v>
      </c>
      <c r="D1512" s="6" t="s">
        <v>2641</v>
      </c>
      <c r="E1512" s="6" t="s">
        <v>25</v>
      </c>
      <c r="F1512" s="6" t="s">
        <v>26</v>
      </c>
      <c r="G1512" s="6" t="s">
        <v>80</v>
      </c>
      <c r="H1512" s="6" t="s">
        <v>1724</v>
      </c>
      <c r="I1512" s="6" t="str">
        <f>VLOOKUP(H1512,'Flow Location'!$A$1:$B$21,2,FALSE)</f>
        <v>Storm Sewer (not contained)</v>
      </c>
      <c r="J1512" s="20">
        <v>5819.0</v>
      </c>
      <c r="K1512" s="6" t="s">
        <v>2642</v>
      </c>
      <c r="L1512" s="6" t="str">
        <f>VLOOKUP(K1512,'Structure type'!$A$1:$B$15,2,FALSE)</f>
        <v>#N/A</v>
      </c>
      <c r="M1512" s="6" t="s">
        <v>2643</v>
      </c>
      <c r="N1512" s="6" t="str">
        <f>VLOOKUP(M1512,'Excursion Cause'!$A$1:$B$34,2,FALSE)</f>
        <v>Grease Blockage</v>
      </c>
      <c r="O1512" s="21">
        <v>44708.0</v>
      </c>
      <c r="P1512" s="6" t="s">
        <v>203</v>
      </c>
      <c r="Q1512" s="21">
        <v>44712.0</v>
      </c>
      <c r="R1512" s="6" t="s">
        <v>235</v>
      </c>
      <c r="S1512" s="20">
        <v>1.0</v>
      </c>
      <c r="T1512" s="6" t="s">
        <v>2644</v>
      </c>
      <c r="U1512" s="6"/>
      <c r="V1512" s="6"/>
      <c r="W1512" s="6">
        <v>29.7605448</v>
      </c>
      <c r="X1512" s="6">
        <v>-95.409975</v>
      </c>
    </row>
    <row r="1513" ht="15.75" customHeight="1">
      <c r="A1513" s="6">
        <v>47612.0</v>
      </c>
      <c r="B1513" s="6">
        <v>2022.0</v>
      </c>
      <c r="C1513" s="6" t="str">
        <f t="shared" si="5"/>
        <v>9310 LONG POINT RD,Houston,Texas</v>
      </c>
      <c r="D1513" s="6" t="s">
        <v>1348</v>
      </c>
      <c r="E1513" s="6" t="s">
        <v>25</v>
      </c>
      <c r="F1513" s="6" t="s">
        <v>26</v>
      </c>
      <c r="G1513" s="6" t="s">
        <v>27</v>
      </c>
      <c r="H1513" s="6" t="s">
        <v>1724</v>
      </c>
      <c r="I1513" s="6" t="str">
        <f>VLOOKUP(H1513,'Flow Location'!$A$1:$B$21,2,FALSE)</f>
        <v>Storm Sewer (not contained)</v>
      </c>
      <c r="J1513" s="20">
        <v>1004.0</v>
      </c>
      <c r="K1513" s="6" t="s">
        <v>29</v>
      </c>
      <c r="L1513" s="6" t="str">
        <f>VLOOKUP(K1513,'Structure type'!$A$1:$B$15,2,FALSE)</f>
        <v>Manhole</v>
      </c>
      <c r="M1513" s="6" t="s">
        <v>2645</v>
      </c>
      <c r="N1513" s="6" t="str">
        <f>VLOOKUP(M1513,'Excursion Cause'!$A$1:$B$34,2,FALSE)</f>
        <v>Grease Blockage</v>
      </c>
      <c r="O1513" s="21">
        <v>44708.0</v>
      </c>
      <c r="P1513" s="6" t="s">
        <v>1967</v>
      </c>
      <c r="Q1513" s="21">
        <v>44709.0</v>
      </c>
      <c r="R1513" s="6" t="s">
        <v>617</v>
      </c>
      <c r="S1513" s="20">
        <v>1.0</v>
      </c>
      <c r="T1513" s="6" t="s">
        <v>2646</v>
      </c>
      <c r="U1513" s="6"/>
      <c r="V1513" s="6"/>
      <c r="W1513" s="6">
        <v>29.7997856</v>
      </c>
      <c r="X1513" s="6">
        <v>-95.5213381</v>
      </c>
    </row>
    <row r="1514" ht="15.75" customHeight="1">
      <c r="A1514" s="6">
        <v>47617.0</v>
      </c>
      <c r="B1514" s="6">
        <v>2022.0</v>
      </c>
      <c r="C1514" s="6" t="str">
        <f t="shared" si="5"/>
        <v>14430 MINETTA ST,Houston,Texas</v>
      </c>
      <c r="D1514" s="6" t="s">
        <v>1954</v>
      </c>
      <c r="E1514" s="6" t="s">
        <v>25</v>
      </c>
      <c r="F1514" s="6" t="s">
        <v>26</v>
      </c>
      <c r="G1514" s="6" t="s">
        <v>127</v>
      </c>
      <c r="H1514" s="6" t="s">
        <v>50</v>
      </c>
      <c r="I1514" s="6" t="str">
        <f>VLOOKUP(H1514,'Flow Location'!$A$1:$B$21,2,FALSE)</f>
        <v>Contained On Site, not within 5 ft. of Bayou/Surface Water/Drainage Ditch</v>
      </c>
      <c r="J1514" s="20">
        <v>0.0</v>
      </c>
      <c r="K1514" s="6" t="s">
        <v>45</v>
      </c>
      <c r="L1514" s="6" t="str">
        <f>VLOOKUP(K1514,'Structure type'!$A$1:$B$15,2,FALSE)</f>
        <v>City Cleanout</v>
      </c>
      <c r="M1514" s="6" t="s">
        <v>56</v>
      </c>
      <c r="N1514" s="6" t="str">
        <f>VLOOKUP(M1514,'Excursion Cause'!$A$1:$B$34,2,FALSE)</f>
        <v>Rags/Wipes</v>
      </c>
      <c r="O1514" s="21">
        <v>44709.0</v>
      </c>
      <c r="P1514" s="6" t="s">
        <v>728</v>
      </c>
      <c r="Q1514" s="21">
        <v>44709.0</v>
      </c>
      <c r="R1514" s="6" t="s">
        <v>728</v>
      </c>
      <c r="S1514" s="20">
        <v>0.0</v>
      </c>
      <c r="T1514" s="6" t="s">
        <v>89</v>
      </c>
      <c r="U1514" s="6"/>
      <c r="V1514" s="6"/>
      <c r="W1514" s="6">
        <v>29.6363399</v>
      </c>
      <c r="X1514" s="6">
        <v>-95.5017682</v>
      </c>
    </row>
    <row r="1515" ht="15.75" customHeight="1">
      <c r="A1515" s="6">
        <v>47618.0</v>
      </c>
      <c r="B1515" s="6">
        <v>2022.0</v>
      </c>
      <c r="C1515" s="6" t="str">
        <f t="shared" si="5"/>
        <v>9707 TIMBERSIDE DR,Houston,Texas</v>
      </c>
      <c r="D1515" s="6" t="s">
        <v>1416</v>
      </c>
      <c r="E1515" s="6" t="s">
        <v>25</v>
      </c>
      <c r="F1515" s="6" t="s">
        <v>26</v>
      </c>
      <c r="G1515" s="6" t="s">
        <v>65</v>
      </c>
      <c r="H1515" s="6" t="s">
        <v>1724</v>
      </c>
      <c r="I1515" s="6" t="str">
        <f>VLOOKUP(H1515,'Flow Location'!$A$1:$B$21,2,FALSE)</f>
        <v>Storm Sewer (not contained)</v>
      </c>
      <c r="J1515" s="22">
        <v>3247.5</v>
      </c>
      <c r="K1515" s="6" t="s">
        <v>29</v>
      </c>
      <c r="L1515" s="6" t="str">
        <f>VLOOKUP(K1515,'Structure type'!$A$1:$B$15,2,FALSE)</f>
        <v>Manhole</v>
      </c>
      <c r="M1515" s="6" t="s">
        <v>2647</v>
      </c>
      <c r="N1515" s="6" t="str">
        <f>VLOOKUP(M1515,'Excursion Cause'!$A$1:$B$34,2,FALSE)</f>
        <v>Grease Blockage</v>
      </c>
      <c r="O1515" s="21">
        <v>44709.0</v>
      </c>
      <c r="P1515" s="6" t="s">
        <v>1164</v>
      </c>
      <c r="Q1515" s="21">
        <v>44710.0</v>
      </c>
      <c r="R1515" s="6" t="s">
        <v>678</v>
      </c>
      <c r="S1515" s="20">
        <v>3.0</v>
      </c>
      <c r="T1515" s="6" t="s">
        <v>2648</v>
      </c>
      <c r="U1515" s="6"/>
      <c r="V1515" s="6"/>
      <c r="W1515" s="6">
        <v>29.6773525</v>
      </c>
      <c r="X1515" s="6">
        <v>-95.4321945</v>
      </c>
    </row>
    <row r="1516" ht="15.75" customHeight="1">
      <c r="A1516" s="6">
        <v>47619.0</v>
      </c>
      <c r="B1516" s="6">
        <v>2022.0</v>
      </c>
      <c r="C1516" s="6" t="str">
        <f t="shared" si="5"/>
        <v>1634 S KIRKWOOD RD,Houston,Texas</v>
      </c>
      <c r="D1516" s="6" t="s">
        <v>2649</v>
      </c>
      <c r="E1516" s="6" t="s">
        <v>25</v>
      </c>
      <c r="F1516" s="6" t="s">
        <v>26</v>
      </c>
      <c r="G1516" s="6" t="s">
        <v>347</v>
      </c>
      <c r="H1516" s="6" t="s">
        <v>50</v>
      </c>
      <c r="I1516" s="6" t="str">
        <f>VLOOKUP(H1516,'Flow Location'!$A$1:$B$21,2,FALSE)</f>
        <v>Contained On Site, not within 5 ft. of Bayou/Surface Water/Drainage Ditch</v>
      </c>
      <c r="J1516" s="20">
        <v>0.0</v>
      </c>
      <c r="K1516" s="6" t="s">
        <v>29</v>
      </c>
      <c r="L1516" s="6" t="str">
        <f>VLOOKUP(K1516,'Structure type'!$A$1:$B$15,2,FALSE)</f>
        <v>Manhole</v>
      </c>
      <c r="M1516" s="6" t="s">
        <v>30</v>
      </c>
      <c r="N1516" s="6" t="str">
        <f>VLOOKUP(M1516,'Excursion Cause'!$A$1:$B$34,2,FALSE)</f>
        <v>Grease Blockage</v>
      </c>
      <c r="O1516" s="21">
        <v>44709.0</v>
      </c>
      <c r="P1516" s="6" t="s">
        <v>1605</v>
      </c>
      <c r="Q1516" s="21">
        <v>44709.0</v>
      </c>
      <c r="R1516" s="6" t="s">
        <v>1605</v>
      </c>
      <c r="S1516" s="20">
        <v>0.0</v>
      </c>
      <c r="T1516" s="6" t="s">
        <v>59</v>
      </c>
      <c r="U1516" s="6"/>
      <c r="V1516" s="6"/>
      <c r="W1516" s="6">
        <v>29.7509387</v>
      </c>
      <c r="X1516" s="6">
        <v>-95.5858124</v>
      </c>
    </row>
    <row r="1517" ht="15.75" customHeight="1">
      <c r="A1517" s="6">
        <v>47622.0</v>
      </c>
      <c r="B1517" s="6">
        <v>2022.0</v>
      </c>
      <c r="C1517" s="6" t="str">
        <f t="shared" si="5"/>
        <v>2033 S GESSNER RD,Houston,Texas</v>
      </c>
      <c r="D1517" s="6" t="s">
        <v>2650</v>
      </c>
      <c r="E1517" s="6" t="s">
        <v>25</v>
      </c>
      <c r="F1517" s="6" t="s">
        <v>26</v>
      </c>
      <c r="G1517" s="6" t="s">
        <v>482</v>
      </c>
      <c r="H1517" s="6" t="s">
        <v>1724</v>
      </c>
      <c r="I1517" s="6" t="str">
        <f>VLOOKUP(H1517,'Flow Location'!$A$1:$B$21,2,FALSE)</f>
        <v>Storm Sewer (not contained)</v>
      </c>
      <c r="J1517" s="20">
        <v>1029.0</v>
      </c>
      <c r="K1517" s="6" t="s">
        <v>29</v>
      </c>
      <c r="L1517" s="6" t="str">
        <f>VLOOKUP(K1517,'Structure type'!$A$1:$B$15,2,FALSE)</f>
        <v>Manhole</v>
      </c>
      <c r="M1517" s="6" t="s">
        <v>2651</v>
      </c>
      <c r="N1517" s="6" t="str">
        <f>VLOOKUP(M1517,'Excursion Cause'!$A$1:$B$34,2,FALSE)</f>
        <v>Grease Blockage</v>
      </c>
      <c r="O1517" s="21">
        <v>44709.0</v>
      </c>
      <c r="P1517" s="6" t="s">
        <v>2652</v>
      </c>
      <c r="Q1517" s="21">
        <v>44710.0</v>
      </c>
      <c r="R1517" s="6" t="s">
        <v>666</v>
      </c>
      <c r="S1517" s="20">
        <v>1.0</v>
      </c>
      <c r="T1517" s="6" t="s">
        <v>2653</v>
      </c>
      <c r="U1517" s="6"/>
      <c r="V1517" s="6"/>
      <c r="W1517" s="6">
        <v>29.7437955</v>
      </c>
      <c r="X1517" s="6">
        <v>-95.5381283</v>
      </c>
    </row>
    <row r="1518" ht="15.75" customHeight="1">
      <c r="A1518" s="6">
        <v>47623.0</v>
      </c>
      <c r="B1518" s="6">
        <v>2022.0</v>
      </c>
      <c r="C1518" s="6" t="str">
        <f t="shared" si="5"/>
        <v>3802 MEYER ST,Houston,Texas</v>
      </c>
      <c r="D1518" s="6" t="s">
        <v>2654</v>
      </c>
      <c r="E1518" s="6" t="s">
        <v>25</v>
      </c>
      <c r="F1518" s="6" t="s">
        <v>26</v>
      </c>
      <c r="G1518" s="6" t="s">
        <v>35</v>
      </c>
      <c r="H1518" s="6" t="s">
        <v>2275</v>
      </c>
      <c r="I1518" s="6" t="str">
        <f>VLOOKUP(H1518,'Flow Location'!$A$1:$B$21,2,FALSE)</f>
        <v>Contained On Site, not within 5 ft. of Bayou/Surface Water/Drainage Ditch</v>
      </c>
      <c r="J1518" s="20">
        <v>232.0</v>
      </c>
      <c r="K1518" s="6" t="s">
        <v>29</v>
      </c>
      <c r="L1518" s="6" t="str">
        <f>VLOOKUP(K1518,'Structure type'!$A$1:$B$15,2,FALSE)</f>
        <v>Manhole</v>
      </c>
      <c r="M1518" s="6" t="s">
        <v>30</v>
      </c>
      <c r="N1518" s="6" t="str">
        <f>VLOOKUP(M1518,'Excursion Cause'!$A$1:$B$34,2,FALSE)</f>
        <v>Grease Blockage</v>
      </c>
      <c r="O1518" s="21">
        <v>44710.0</v>
      </c>
      <c r="P1518" s="6" t="s">
        <v>373</v>
      </c>
      <c r="Q1518" s="21">
        <v>44710.0</v>
      </c>
      <c r="R1518" s="6" t="s">
        <v>1744</v>
      </c>
      <c r="S1518" s="20">
        <v>2.0</v>
      </c>
      <c r="T1518" s="6" t="s">
        <v>33</v>
      </c>
      <c r="U1518" s="6"/>
      <c r="V1518" s="6"/>
      <c r="W1518" s="6">
        <v>29.6857791</v>
      </c>
      <c r="X1518" s="6">
        <v>-95.302989</v>
      </c>
    </row>
    <row r="1519" ht="15.75" customHeight="1">
      <c r="A1519" s="6">
        <v>47625.0</v>
      </c>
      <c r="B1519" s="6">
        <v>2022.0</v>
      </c>
      <c r="C1519" s="6" t="str">
        <f t="shared" si="5"/>
        <v>10119 VICTORIA FALLS LN,Houston,Texas</v>
      </c>
      <c r="D1519" s="6" t="s">
        <v>2655</v>
      </c>
      <c r="E1519" s="6" t="s">
        <v>25</v>
      </c>
      <c r="F1519" s="6" t="s">
        <v>26</v>
      </c>
      <c r="G1519" s="6" t="s">
        <v>95</v>
      </c>
      <c r="H1519" s="6" t="s">
        <v>144</v>
      </c>
      <c r="I1519" s="6" t="str">
        <f>VLOOKUP(H1519,'Flow Location'!$A$1:$B$21,2,FALSE)</f>
        <v>Storm Sewer - contained</v>
      </c>
      <c r="J1519" s="20">
        <v>210.0</v>
      </c>
      <c r="K1519" s="6" t="s">
        <v>29</v>
      </c>
      <c r="L1519" s="6" t="str">
        <f>VLOOKUP(K1519,'Structure type'!$A$1:$B$15,2,FALSE)</f>
        <v>Manhole</v>
      </c>
      <c r="M1519" s="6" t="s">
        <v>30</v>
      </c>
      <c r="N1519" s="6" t="str">
        <f>VLOOKUP(M1519,'Excursion Cause'!$A$1:$B$34,2,FALSE)</f>
        <v>Grease Blockage</v>
      </c>
      <c r="O1519" s="21">
        <v>44710.0</v>
      </c>
      <c r="P1519" s="6" t="s">
        <v>106</v>
      </c>
      <c r="Q1519" s="21">
        <v>44710.0</v>
      </c>
      <c r="R1519" s="6" t="s">
        <v>106</v>
      </c>
      <c r="S1519" s="20">
        <v>0.0</v>
      </c>
      <c r="T1519" s="6" t="s">
        <v>2656</v>
      </c>
      <c r="U1519" s="6"/>
      <c r="V1519" s="6"/>
      <c r="W1519" s="6">
        <v>29.6244425</v>
      </c>
      <c r="X1519" s="6">
        <v>-95.2351998</v>
      </c>
    </row>
    <row r="1520" ht="15.75" customHeight="1">
      <c r="A1520" s="6">
        <v>47627.0</v>
      </c>
      <c r="B1520" s="6">
        <v>2022.0</v>
      </c>
      <c r="C1520" s="6" t="str">
        <f t="shared" si="5"/>
        <v>11219 NORTH FWY,Houston,Texas</v>
      </c>
      <c r="D1520" s="6" t="s">
        <v>2657</v>
      </c>
      <c r="E1520" s="6" t="s">
        <v>25</v>
      </c>
      <c r="F1520" s="6" t="s">
        <v>26</v>
      </c>
      <c r="G1520" s="6" t="s">
        <v>570</v>
      </c>
      <c r="H1520" s="6" t="s">
        <v>1724</v>
      </c>
      <c r="I1520" s="6" t="str">
        <f>VLOOKUP(H1520,'Flow Location'!$A$1:$B$21,2,FALSE)</f>
        <v>Storm Sewer (not contained)</v>
      </c>
      <c r="J1520" s="22">
        <v>190.5</v>
      </c>
      <c r="K1520" s="6" t="s">
        <v>29</v>
      </c>
      <c r="L1520" s="6" t="str">
        <f>VLOOKUP(K1520,'Structure type'!$A$1:$B$15,2,FALSE)</f>
        <v>Manhole</v>
      </c>
      <c r="M1520" s="6" t="s">
        <v>2658</v>
      </c>
      <c r="N1520" s="6" t="str">
        <f>VLOOKUP(M1520,'Excursion Cause'!$A$1:$B$34,2,FALSE)</f>
        <v>Grease Blockage</v>
      </c>
      <c r="O1520" s="21">
        <v>44710.0</v>
      </c>
      <c r="P1520" s="6" t="s">
        <v>468</v>
      </c>
      <c r="Q1520" s="21">
        <v>44710.0</v>
      </c>
      <c r="R1520" s="6" t="s">
        <v>2659</v>
      </c>
      <c r="S1520" s="20">
        <v>2.0</v>
      </c>
      <c r="T1520" s="6" t="s">
        <v>2660</v>
      </c>
      <c r="U1520" s="6"/>
      <c r="V1520" s="6"/>
      <c r="W1520" s="6">
        <v>29.9288499</v>
      </c>
      <c r="X1520" s="6">
        <v>-95.4133529</v>
      </c>
    </row>
    <row r="1521" ht="15.75" customHeight="1">
      <c r="A1521" s="6">
        <v>47628.0</v>
      </c>
      <c r="B1521" s="6">
        <v>2022.0</v>
      </c>
      <c r="C1521" s="6" t="str">
        <f t="shared" si="5"/>
        <v>2828 OLD SPANISH TRL,Houston,Texas</v>
      </c>
      <c r="D1521" s="6" t="s">
        <v>2661</v>
      </c>
      <c r="E1521" s="6" t="s">
        <v>25</v>
      </c>
      <c r="F1521" s="6" t="s">
        <v>26</v>
      </c>
      <c r="G1521" s="6" t="s">
        <v>426</v>
      </c>
      <c r="H1521" s="6" t="s">
        <v>1724</v>
      </c>
      <c r="I1521" s="6" t="str">
        <f>VLOOKUP(H1521,'Flow Location'!$A$1:$B$21,2,FALSE)</f>
        <v>Storm Sewer (not contained)</v>
      </c>
      <c r="J1521" s="20">
        <v>975.0</v>
      </c>
      <c r="K1521" s="6" t="s">
        <v>29</v>
      </c>
      <c r="L1521" s="6" t="str">
        <f>VLOOKUP(K1521,'Structure type'!$A$1:$B$15,2,FALSE)</f>
        <v>Manhole</v>
      </c>
      <c r="M1521" s="6" t="s">
        <v>2662</v>
      </c>
      <c r="N1521" s="6" t="str">
        <f>VLOOKUP(M1521,'Excursion Cause'!$A$1:$B$34,2,FALSE)</f>
        <v>Grease Blockage</v>
      </c>
      <c r="O1521" s="21">
        <v>44710.0</v>
      </c>
      <c r="P1521" s="6" t="s">
        <v>1173</v>
      </c>
      <c r="Q1521" s="21">
        <v>44710.0</v>
      </c>
      <c r="R1521" s="6" t="s">
        <v>637</v>
      </c>
      <c r="S1521" s="20">
        <v>5.0</v>
      </c>
      <c r="T1521" s="6" t="s">
        <v>2663</v>
      </c>
      <c r="U1521" s="6"/>
      <c r="V1521" s="6"/>
      <c r="W1521" s="6">
        <v>29.6986202</v>
      </c>
      <c r="X1521" s="6">
        <v>-95.3853322</v>
      </c>
    </row>
    <row r="1522" ht="15.75" customHeight="1">
      <c r="A1522" s="6">
        <v>47632.0</v>
      </c>
      <c r="B1522" s="6">
        <v>2022.0</v>
      </c>
      <c r="C1522" s="6" t="str">
        <f t="shared" si="5"/>
        <v>7417 CADDO RD,Houston,Texas</v>
      </c>
      <c r="D1522" s="6" t="s">
        <v>2664</v>
      </c>
      <c r="E1522" s="6" t="s">
        <v>25</v>
      </c>
      <c r="F1522" s="6" t="s">
        <v>26</v>
      </c>
      <c r="G1522" s="6" t="s">
        <v>326</v>
      </c>
      <c r="H1522" s="6" t="s">
        <v>2275</v>
      </c>
      <c r="I1522" s="6" t="str">
        <f>VLOOKUP(H1522,'Flow Location'!$A$1:$B$21,2,FALSE)</f>
        <v>Contained On Site, not within 5 ft. of Bayou/Surface Water/Drainage Ditch</v>
      </c>
      <c r="J1522" s="20">
        <v>0.0</v>
      </c>
      <c r="K1522" s="6" t="s">
        <v>29</v>
      </c>
      <c r="L1522" s="6" t="str">
        <f>VLOOKUP(K1522,'Structure type'!$A$1:$B$15,2,FALSE)</f>
        <v>Manhole</v>
      </c>
      <c r="M1522" s="6" t="s">
        <v>30</v>
      </c>
      <c r="N1522" s="6" t="str">
        <f>VLOOKUP(M1522,'Excursion Cause'!$A$1:$B$34,2,FALSE)</f>
        <v>Grease Blockage</v>
      </c>
      <c r="O1522" s="21">
        <v>44711.0</v>
      </c>
      <c r="P1522" s="6" t="s">
        <v>901</v>
      </c>
      <c r="Q1522" s="21">
        <v>44711.0</v>
      </c>
      <c r="R1522" s="6" t="s">
        <v>901</v>
      </c>
      <c r="S1522" s="20">
        <v>0.0</v>
      </c>
      <c r="T1522" s="6" t="s">
        <v>33</v>
      </c>
      <c r="U1522" s="6"/>
      <c r="V1522" s="6"/>
      <c r="W1522" s="6">
        <v>29.8570651</v>
      </c>
      <c r="X1522" s="6">
        <v>-95.2943949</v>
      </c>
    </row>
    <row r="1523" ht="15.75" customHeight="1">
      <c r="A1523" s="6">
        <v>47636.0</v>
      </c>
      <c r="B1523" s="6">
        <v>2022.0</v>
      </c>
      <c r="C1523" s="6" t="str">
        <f t="shared" si="5"/>
        <v>1607 OVID ST,Houston,Texas</v>
      </c>
      <c r="D1523" s="6" t="s">
        <v>2665</v>
      </c>
      <c r="E1523" s="6" t="s">
        <v>25</v>
      </c>
      <c r="F1523" s="6" t="s">
        <v>26</v>
      </c>
      <c r="G1523" s="6" t="s">
        <v>158</v>
      </c>
      <c r="H1523" s="6" t="s">
        <v>44</v>
      </c>
      <c r="I1523" s="6" t="str">
        <f>VLOOKUP(H1523,'Flow Location'!$A$1:$B$21,2,FALSE)</f>
        <v>Bayou/surface water/drainage ditch</v>
      </c>
      <c r="J1523" s="20">
        <v>5760.0</v>
      </c>
      <c r="K1523" s="6" t="s">
        <v>198</v>
      </c>
      <c r="L1523" s="6" t="str">
        <f>VLOOKUP(K1523,'Structure type'!$A$1:$B$15,2,FALSE)</f>
        <v>Service Lateral</v>
      </c>
      <c r="M1523" s="6" t="s">
        <v>2666</v>
      </c>
      <c r="N1523" s="6" t="str">
        <f>VLOOKUP(M1523,'Excursion Cause'!$A$1:$B$34,2,FALSE)</f>
        <v>Collection system structural failure</v>
      </c>
      <c r="O1523" s="21">
        <v>44712.0</v>
      </c>
      <c r="P1523" s="6" t="s">
        <v>1027</v>
      </c>
      <c r="Q1523" s="21">
        <v>44714.0</v>
      </c>
      <c r="R1523" s="6" t="s">
        <v>1027</v>
      </c>
      <c r="S1523" s="20">
        <v>2.0</v>
      </c>
      <c r="T1523" s="6" t="s">
        <v>107</v>
      </c>
      <c r="U1523" s="6"/>
      <c r="V1523" s="6"/>
      <c r="W1523" s="6">
        <v>29.7757961</v>
      </c>
      <c r="X1523" s="6">
        <v>-95.3740395</v>
      </c>
    </row>
    <row r="1524" ht="15.75" customHeight="1">
      <c r="A1524" s="6">
        <v>47643.0</v>
      </c>
      <c r="B1524" s="6">
        <v>2022.0</v>
      </c>
      <c r="C1524" s="6" t="str">
        <f t="shared" si="5"/>
        <v>1039 YALE ST,Houston,Texas</v>
      </c>
      <c r="D1524" s="6" t="s">
        <v>1366</v>
      </c>
      <c r="E1524" s="6" t="s">
        <v>25</v>
      </c>
      <c r="F1524" s="6" t="s">
        <v>26</v>
      </c>
      <c r="G1524" s="6" t="s">
        <v>232</v>
      </c>
      <c r="H1524" s="6" t="s">
        <v>50</v>
      </c>
      <c r="I1524" s="6" t="str">
        <f>VLOOKUP(H1524,'Flow Location'!$A$1:$B$21,2,FALSE)</f>
        <v>Contained On Site, not within 5 ft. of Bayou/Surface Water/Drainage Ditch</v>
      </c>
      <c r="J1524" s="20">
        <v>555.0</v>
      </c>
      <c r="K1524" s="6" t="s">
        <v>51</v>
      </c>
      <c r="L1524" s="6" t="str">
        <f>VLOOKUP(K1524,'Structure type'!$A$1:$B$15,2,FALSE)</f>
        <v>Private Cleanout</v>
      </c>
      <c r="M1524" s="6" t="s">
        <v>30</v>
      </c>
      <c r="N1524" s="6" t="str">
        <f>VLOOKUP(M1524,'Excursion Cause'!$A$1:$B$34,2,FALSE)</f>
        <v>Grease Blockage</v>
      </c>
      <c r="O1524" s="21">
        <v>44712.0</v>
      </c>
      <c r="P1524" s="6" t="s">
        <v>882</v>
      </c>
      <c r="Q1524" s="21">
        <v>44712.0</v>
      </c>
      <c r="R1524" s="6" t="s">
        <v>791</v>
      </c>
      <c r="S1524" s="20">
        <v>3.0</v>
      </c>
      <c r="T1524" s="6" t="s">
        <v>33</v>
      </c>
      <c r="U1524" s="6"/>
      <c r="V1524" s="6"/>
      <c r="W1524" s="6">
        <v>29.7903919</v>
      </c>
      <c r="X1524" s="6">
        <v>-95.3992675</v>
      </c>
    </row>
    <row r="1525" ht="15.75" customHeight="1">
      <c r="A1525" s="6">
        <v>47644.0</v>
      </c>
      <c r="B1525" s="6">
        <v>2022.0</v>
      </c>
      <c r="C1525" s="6" t="str">
        <f t="shared" si="5"/>
        <v>5427 ASHBROOK DR,Houston,Texas</v>
      </c>
      <c r="D1525" s="6" t="s">
        <v>2667</v>
      </c>
      <c r="E1525" s="6" t="s">
        <v>25</v>
      </c>
      <c r="F1525" s="6" t="s">
        <v>26</v>
      </c>
      <c r="G1525" s="6" t="s">
        <v>287</v>
      </c>
      <c r="H1525" s="6" t="s">
        <v>1397</v>
      </c>
      <c r="I1525" s="6" t="str">
        <f>VLOOKUP(H1525,'Flow Location'!$A$1:$B$21,2,FALSE)</f>
        <v>Bayou/surface water/drainage ditch</v>
      </c>
      <c r="J1525" s="22">
        <v>646.5</v>
      </c>
      <c r="K1525" s="6" t="s">
        <v>29</v>
      </c>
      <c r="L1525" s="6" t="str">
        <f>VLOOKUP(K1525,'Structure type'!$A$1:$B$15,2,FALSE)</f>
        <v>Manhole</v>
      </c>
      <c r="M1525" s="6" t="s">
        <v>759</v>
      </c>
      <c r="N1525" s="6" t="str">
        <f>VLOOKUP(M1525,'Excursion Cause'!$A$1:$B$34,2,FALSE)</f>
        <v>Roots</v>
      </c>
      <c r="O1525" s="21">
        <v>44712.0</v>
      </c>
      <c r="P1525" s="6" t="s">
        <v>926</v>
      </c>
      <c r="Q1525" s="21">
        <v>44713.0</v>
      </c>
      <c r="R1525" s="6" t="s">
        <v>169</v>
      </c>
      <c r="S1525" s="20">
        <v>1.0</v>
      </c>
      <c r="T1525" s="6" t="s">
        <v>33</v>
      </c>
      <c r="U1525" s="6"/>
      <c r="V1525" s="6"/>
      <c r="W1525" s="6">
        <v>29.7143622</v>
      </c>
      <c r="X1525" s="6">
        <v>-95.4754259</v>
      </c>
    </row>
    <row r="1526" ht="15.75" customHeight="1">
      <c r="A1526" s="6">
        <v>47645.0</v>
      </c>
      <c r="B1526" s="6">
        <v>2022.0</v>
      </c>
      <c r="C1526" s="6" t="str">
        <f t="shared" si="5"/>
        <v>13334 INDIAN BLANKET LN,Houston,Texas</v>
      </c>
      <c r="D1526" s="6" t="s">
        <v>2668</v>
      </c>
      <c r="E1526" s="6" t="s">
        <v>25</v>
      </c>
      <c r="F1526" s="6" t="s">
        <v>26</v>
      </c>
      <c r="G1526" s="6" t="s">
        <v>1218</v>
      </c>
      <c r="H1526" s="6" t="s">
        <v>2275</v>
      </c>
      <c r="I1526" s="6" t="str">
        <f>VLOOKUP(H1526,'Flow Location'!$A$1:$B$21,2,FALSE)</f>
        <v>Contained On Site, not within 5 ft. of Bayou/Surface Water/Drainage Ditch</v>
      </c>
      <c r="J1526" s="20">
        <v>106.0</v>
      </c>
      <c r="K1526" s="6" t="s">
        <v>45</v>
      </c>
      <c r="L1526" s="6" t="str">
        <f>VLOOKUP(K1526,'Structure type'!$A$1:$B$15,2,FALSE)</f>
        <v>City Cleanout</v>
      </c>
      <c r="M1526" s="6" t="s">
        <v>56</v>
      </c>
      <c r="N1526" s="6" t="str">
        <f>VLOOKUP(M1526,'Excursion Cause'!$A$1:$B$34,2,FALSE)</f>
        <v>Rags/Wipes</v>
      </c>
      <c r="O1526" s="21">
        <v>44712.0</v>
      </c>
      <c r="P1526" s="6" t="s">
        <v>490</v>
      </c>
      <c r="Q1526" s="21">
        <v>44712.0</v>
      </c>
      <c r="R1526" s="6" t="s">
        <v>162</v>
      </c>
      <c r="S1526" s="20">
        <v>1.0</v>
      </c>
      <c r="T1526" s="6" t="s">
        <v>74</v>
      </c>
      <c r="U1526" s="6"/>
      <c r="V1526" s="6"/>
      <c r="W1526" s="6">
        <v>29.7092811</v>
      </c>
      <c r="X1526" s="6">
        <v>-95.6189931</v>
      </c>
    </row>
    <row r="1527" ht="15.75" customHeight="1">
      <c r="A1527" s="6">
        <v>47648.0</v>
      </c>
      <c r="B1527" s="6">
        <v>2022.0</v>
      </c>
      <c r="C1527" s="6" t="str">
        <f t="shared" si="5"/>
        <v>10651 EMNORA LN,Houston,Texas</v>
      </c>
      <c r="D1527" s="6" t="s">
        <v>2669</v>
      </c>
      <c r="E1527" s="6" t="s">
        <v>25</v>
      </c>
      <c r="F1527" s="6" t="s">
        <v>26</v>
      </c>
      <c r="G1527" s="6" t="s">
        <v>699</v>
      </c>
      <c r="H1527" s="6" t="s">
        <v>50</v>
      </c>
      <c r="I1527" s="6" t="str">
        <f>VLOOKUP(H1527,'Flow Location'!$A$1:$B$21,2,FALSE)</f>
        <v>Contained On Site, not within 5 ft. of Bayou/Surface Water/Drainage Ditch</v>
      </c>
      <c r="J1527" s="20">
        <v>0.0</v>
      </c>
      <c r="K1527" s="6" t="s">
        <v>198</v>
      </c>
      <c r="L1527" s="6" t="str">
        <f>VLOOKUP(K1527,'Structure type'!$A$1:$B$15,2,FALSE)</f>
        <v>Service Lateral</v>
      </c>
      <c r="M1527" s="6" t="s">
        <v>81</v>
      </c>
      <c r="N1527" s="6" t="str">
        <f>VLOOKUP(M1527,'Excursion Cause'!$A$1:$B$34,2,FALSE)</f>
        <v>Collection system structural failure</v>
      </c>
      <c r="O1527" s="21">
        <v>44712.0</v>
      </c>
      <c r="P1527" s="6" t="s">
        <v>58</v>
      </c>
      <c r="Q1527" s="21">
        <v>44712.0</v>
      </c>
      <c r="R1527" s="6" t="s">
        <v>58</v>
      </c>
      <c r="S1527" s="20">
        <v>0.0</v>
      </c>
      <c r="T1527" s="6" t="s">
        <v>170</v>
      </c>
      <c r="U1527" s="6"/>
      <c r="V1527" s="6"/>
      <c r="W1527" s="6">
        <v>29.8148545</v>
      </c>
      <c r="X1527" s="6">
        <v>-95.5614203</v>
      </c>
    </row>
    <row r="1528" ht="15.75" customHeight="1">
      <c r="A1528" s="6">
        <v>47650.0</v>
      </c>
      <c r="B1528" s="6">
        <v>2022.0</v>
      </c>
      <c r="C1528" s="6" t="str">
        <f t="shared" si="5"/>
        <v>9430 CONCOURSE DR,Houston,Texas</v>
      </c>
      <c r="D1528" s="6" t="s">
        <v>2670</v>
      </c>
      <c r="E1528" s="6" t="s">
        <v>25</v>
      </c>
      <c r="F1528" s="6" t="s">
        <v>26</v>
      </c>
      <c r="G1528" s="6" t="s">
        <v>100</v>
      </c>
      <c r="H1528" s="6" t="s">
        <v>1724</v>
      </c>
      <c r="I1528" s="6" t="str">
        <f>VLOOKUP(H1528,'Flow Location'!$A$1:$B$21,2,FALSE)</f>
        <v>Storm Sewer (not contained)</v>
      </c>
      <c r="J1528" s="20">
        <v>400.0</v>
      </c>
      <c r="K1528" s="6" t="s">
        <v>29</v>
      </c>
      <c r="L1528" s="6" t="str">
        <f>VLOOKUP(K1528,'Structure type'!$A$1:$B$15,2,FALSE)</f>
        <v>Manhole</v>
      </c>
      <c r="M1528" s="6" t="s">
        <v>2671</v>
      </c>
      <c r="N1528" s="6" t="str">
        <f>VLOOKUP(M1528,'Excursion Cause'!$A$1:$B$34,2,FALSE)</f>
        <v>Grease Blockage</v>
      </c>
      <c r="O1528" s="21">
        <v>44712.0</v>
      </c>
      <c r="P1528" s="6" t="s">
        <v>1608</v>
      </c>
      <c r="Q1528" s="21">
        <v>44712.0</v>
      </c>
      <c r="R1528" s="6" t="s">
        <v>1608</v>
      </c>
      <c r="S1528" s="20">
        <v>0.0</v>
      </c>
      <c r="T1528" s="6" t="s">
        <v>2672</v>
      </c>
      <c r="U1528" s="6"/>
      <c r="V1528" s="6"/>
      <c r="W1528" s="6">
        <v>29.6788763</v>
      </c>
      <c r="X1528" s="6">
        <v>-95.5569289</v>
      </c>
    </row>
    <row r="1529" ht="15.75" customHeight="1">
      <c r="A1529" s="6">
        <v>47654.0</v>
      </c>
      <c r="B1529" s="6">
        <v>2022.0</v>
      </c>
      <c r="C1529" s="6" t="str">
        <f t="shared" si="5"/>
        <v>9615 KEMPWOOD DR,Houston,Texas</v>
      </c>
      <c r="D1529" s="6" t="s">
        <v>1404</v>
      </c>
      <c r="E1529" s="6" t="s">
        <v>25</v>
      </c>
      <c r="F1529" s="6" t="s">
        <v>26</v>
      </c>
      <c r="G1529" s="6" t="s">
        <v>294</v>
      </c>
      <c r="H1529" s="6" t="s">
        <v>1724</v>
      </c>
      <c r="I1529" s="6" t="str">
        <f>VLOOKUP(H1529,'Flow Location'!$A$1:$B$21,2,FALSE)</f>
        <v>Storm Sewer (not contained)</v>
      </c>
      <c r="J1529" s="20">
        <v>53.0</v>
      </c>
      <c r="K1529" s="6" t="s">
        <v>29</v>
      </c>
      <c r="L1529" s="6" t="str">
        <f>VLOOKUP(K1529,'Structure type'!$A$1:$B$15,2,FALSE)</f>
        <v>Manhole</v>
      </c>
      <c r="M1529" s="6" t="s">
        <v>2673</v>
      </c>
      <c r="N1529" s="6" t="str">
        <f>VLOOKUP(M1529,'Excursion Cause'!$A$1:$B$34,2,FALSE)</f>
        <v>Grease Blockage</v>
      </c>
      <c r="O1529" s="21">
        <v>44713.0</v>
      </c>
      <c r="P1529" s="6" t="s">
        <v>2674</v>
      </c>
      <c r="Q1529" s="21">
        <v>44713.0</v>
      </c>
      <c r="R1529" s="6" t="s">
        <v>995</v>
      </c>
      <c r="S1529" s="20">
        <v>1.0</v>
      </c>
      <c r="T1529" s="6" t="s">
        <v>2675</v>
      </c>
      <c r="U1529" s="6"/>
      <c r="V1529" s="6"/>
      <c r="W1529" s="6">
        <v>29.8213931</v>
      </c>
      <c r="X1529" s="6">
        <v>-95.5306847</v>
      </c>
    </row>
    <row r="1530" ht="15.75" customHeight="1">
      <c r="A1530" s="6">
        <v>47656.0</v>
      </c>
      <c r="B1530" s="6">
        <v>2022.0</v>
      </c>
      <c r="C1530" s="6" t="str">
        <f t="shared" si="5"/>
        <v>1803 LUBBOCK ST,Houston,Texas</v>
      </c>
      <c r="D1530" s="6" t="s">
        <v>2676</v>
      </c>
      <c r="E1530" s="6" t="s">
        <v>25</v>
      </c>
      <c r="F1530" s="6" t="s">
        <v>26</v>
      </c>
      <c r="G1530" s="6" t="s">
        <v>158</v>
      </c>
      <c r="H1530" s="6" t="s">
        <v>50</v>
      </c>
      <c r="I1530" s="6" t="str">
        <f>VLOOKUP(H1530,'Flow Location'!$A$1:$B$21,2,FALSE)</f>
        <v>Contained On Site, not within 5 ft. of Bayou/Surface Water/Drainage Ditch</v>
      </c>
      <c r="J1530" s="20">
        <v>215.0</v>
      </c>
      <c r="K1530" s="6" t="s">
        <v>45</v>
      </c>
      <c r="L1530" s="6" t="str">
        <f>VLOOKUP(K1530,'Structure type'!$A$1:$B$15,2,FALSE)</f>
        <v>City Cleanout</v>
      </c>
      <c r="M1530" s="6" t="s">
        <v>56</v>
      </c>
      <c r="N1530" s="6" t="str">
        <f>VLOOKUP(M1530,'Excursion Cause'!$A$1:$B$34,2,FALSE)</f>
        <v>Rags/Wipes</v>
      </c>
      <c r="O1530" s="21">
        <v>44713.0</v>
      </c>
      <c r="P1530" s="6" t="s">
        <v>617</v>
      </c>
      <c r="Q1530" s="21">
        <v>44713.0</v>
      </c>
      <c r="R1530" s="6" t="s">
        <v>1103</v>
      </c>
      <c r="S1530" s="20">
        <v>1.0</v>
      </c>
      <c r="T1530" s="6" t="s">
        <v>74</v>
      </c>
      <c r="U1530" s="6"/>
      <c r="V1530" s="6"/>
      <c r="W1530" s="6">
        <v>29.7653009</v>
      </c>
      <c r="X1530" s="6">
        <v>-95.3758974</v>
      </c>
    </row>
    <row r="1531" ht="15.75" customHeight="1">
      <c r="A1531" s="6">
        <v>47658.0</v>
      </c>
      <c r="B1531" s="6">
        <v>2022.0</v>
      </c>
      <c r="C1531" s="6" t="str">
        <f t="shared" si="5"/>
        <v>803 CENTERWOOD DR,Houston,Texas</v>
      </c>
      <c r="D1531" s="6" t="s">
        <v>2677</v>
      </c>
      <c r="E1531" s="6" t="s">
        <v>25</v>
      </c>
      <c r="F1531" s="6" t="s">
        <v>26</v>
      </c>
      <c r="G1531" s="6" t="s">
        <v>656</v>
      </c>
      <c r="H1531" s="6" t="s">
        <v>50</v>
      </c>
      <c r="I1531" s="6" t="str">
        <f>VLOOKUP(H1531,'Flow Location'!$A$1:$B$21,2,FALSE)</f>
        <v>Contained On Site, not within 5 ft. of Bayou/Surface Water/Drainage Ditch</v>
      </c>
      <c r="J1531" s="20">
        <v>606.0</v>
      </c>
      <c r="K1531" s="6" t="s">
        <v>29</v>
      </c>
      <c r="L1531" s="6" t="str">
        <f>VLOOKUP(K1531,'Structure type'!$A$1:$B$15,2,FALSE)</f>
        <v>Manhole</v>
      </c>
      <c r="M1531" s="6" t="s">
        <v>30</v>
      </c>
      <c r="N1531" s="6" t="str">
        <f>VLOOKUP(M1531,'Excursion Cause'!$A$1:$B$34,2,FALSE)</f>
        <v>Grease Blockage</v>
      </c>
      <c r="O1531" s="21">
        <v>44713.0</v>
      </c>
      <c r="P1531" s="6" t="s">
        <v>2028</v>
      </c>
      <c r="Q1531" s="21">
        <v>44713.0</v>
      </c>
      <c r="R1531" s="6" t="s">
        <v>53</v>
      </c>
      <c r="S1531" s="20">
        <v>2.0</v>
      </c>
      <c r="T1531" s="6" t="s">
        <v>59</v>
      </c>
      <c r="U1531" s="6"/>
      <c r="V1531" s="6"/>
      <c r="W1531" s="6">
        <v>29.7762327</v>
      </c>
      <c r="X1531" s="6">
        <v>-95.2265248</v>
      </c>
    </row>
    <row r="1532" ht="15.75" customHeight="1">
      <c r="A1532" s="6">
        <v>47659.0</v>
      </c>
      <c r="B1532" s="6">
        <v>2022.0</v>
      </c>
      <c r="C1532" s="6" t="str">
        <f t="shared" si="5"/>
        <v>2001 KARBACH ST,Houston,Texas</v>
      </c>
      <c r="D1532" s="6" t="s">
        <v>2678</v>
      </c>
      <c r="E1532" s="6" t="s">
        <v>25</v>
      </c>
      <c r="F1532" s="6" t="s">
        <v>26</v>
      </c>
      <c r="G1532" s="6" t="s">
        <v>76</v>
      </c>
      <c r="H1532" s="6" t="s">
        <v>1724</v>
      </c>
      <c r="I1532" s="6" t="str">
        <f>VLOOKUP(H1532,'Flow Location'!$A$1:$B$21,2,FALSE)</f>
        <v>Storm Sewer (not contained)</v>
      </c>
      <c r="J1532" s="22">
        <v>691.5</v>
      </c>
      <c r="K1532" s="6" t="s">
        <v>45</v>
      </c>
      <c r="L1532" s="6" t="str">
        <f>VLOOKUP(K1532,'Structure type'!$A$1:$B$15,2,FALSE)</f>
        <v>City Cleanout</v>
      </c>
      <c r="M1532" s="6" t="s">
        <v>2679</v>
      </c>
      <c r="N1532" s="6" t="str">
        <f>VLOOKUP(M1532,'Excursion Cause'!$A$1:$B$34,2,FALSE)</f>
        <v>Grease Blockage</v>
      </c>
      <c r="O1532" s="21">
        <v>44713.0</v>
      </c>
      <c r="P1532" s="6" t="s">
        <v>77</v>
      </c>
      <c r="Q1532" s="21">
        <v>44714.0</v>
      </c>
      <c r="R1532" s="6" t="s">
        <v>532</v>
      </c>
      <c r="S1532" s="20">
        <v>1.0</v>
      </c>
      <c r="T1532" s="6" t="s">
        <v>2680</v>
      </c>
      <c r="U1532" s="6"/>
      <c r="V1532" s="6"/>
      <c r="W1532" s="6">
        <v>29.8044831</v>
      </c>
      <c r="X1532" s="6">
        <v>-95.4613174</v>
      </c>
    </row>
    <row r="1533" ht="15.75" customHeight="1">
      <c r="A1533" s="6">
        <v>47666.0</v>
      </c>
      <c r="B1533" s="6">
        <v>2022.0</v>
      </c>
      <c r="C1533" s="6" t="str">
        <f t="shared" si="5"/>
        <v>7511 TIMBERWAY LN,Houston,Texas</v>
      </c>
      <c r="D1533" s="6" t="s">
        <v>2681</v>
      </c>
      <c r="E1533" s="6" t="s">
        <v>25</v>
      </c>
      <c r="F1533" s="6" t="s">
        <v>26</v>
      </c>
      <c r="G1533" s="6" t="s">
        <v>91</v>
      </c>
      <c r="H1533" s="6" t="s">
        <v>1724</v>
      </c>
      <c r="I1533" s="6" t="str">
        <f>VLOOKUP(H1533,'Flow Location'!$A$1:$B$21,2,FALSE)</f>
        <v>Storm Sewer (not contained)</v>
      </c>
      <c r="J1533" s="20">
        <v>2138.0</v>
      </c>
      <c r="K1533" s="6" t="s">
        <v>29</v>
      </c>
      <c r="L1533" s="6" t="str">
        <f>VLOOKUP(K1533,'Structure type'!$A$1:$B$15,2,FALSE)</f>
        <v>Manhole</v>
      </c>
      <c r="M1533" s="6" t="s">
        <v>2682</v>
      </c>
      <c r="N1533" s="6" t="str">
        <f>VLOOKUP(M1533,'Excursion Cause'!$A$1:$B$34,2,FALSE)</f>
        <v>Grease Blockage</v>
      </c>
      <c r="O1533" s="21">
        <v>44713.0</v>
      </c>
      <c r="P1533" s="6" t="s">
        <v>755</v>
      </c>
      <c r="Q1533" s="21">
        <v>44714.0</v>
      </c>
      <c r="R1533" s="6" t="s">
        <v>1599</v>
      </c>
      <c r="S1533" s="20">
        <v>2.0</v>
      </c>
      <c r="T1533" s="6" t="s">
        <v>2683</v>
      </c>
      <c r="U1533" s="6"/>
      <c r="V1533" s="6"/>
      <c r="W1533" s="6">
        <v>29.6950787</v>
      </c>
      <c r="X1533" s="6">
        <v>-95.6080349</v>
      </c>
    </row>
    <row r="1534" ht="15.75" customHeight="1">
      <c r="A1534" s="6">
        <v>47667.0</v>
      </c>
      <c r="B1534" s="6">
        <v>2022.0</v>
      </c>
      <c r="C1534" s="6" t="str">
        <f t="shared" si="5"/>
        <v>10715 MEADOWGLEN LN,Houston,Texas</v>
      </c>
      <c r="D1534" s="6" t="s">
        <v>2684</v>
      </c>
      <c r="E1534" s="6" t="s">
        <v>25</v>
      </c>
      <c r="F1534" s="6" t="s">
        <v>26</v>
      </c>
      <c r="G1534" s="6" t="s">
        <v>401</v>
      </c>
      <c r="H1534" s="6" t="s">
        <v>1724</v>
      </c>
      <c r="I1534" s="6" t="str">
        <f>VLOOKUP(H1534,'Flow Location'!$A$1:$B$21,2,FALSE)</f>
        <v>Storm Sewer (not contained)</v>
      </c>
      <c r="J1534" s="20">
        <v>759.0</v>
      </c>
      <c r="K1534" s="6" t="s">
        <v>29</v>
      </c>
      <c r="L1534" s="6" t="str">
        <f>VLOOKUP(K1534,'Structure type'!$A$1:$B$15,2,FALSE)</f>
        <v>Manhole</v>
      </c>
      <c r="M1534" s="6" t="s">
        <v>2685</v>
      </c>
      <c r="N1534" s="6" t="str">
        <f>VLOOKUP(M1534,'Excursion Cause'!$A$1:$B$34,2,FALSE)</f>
        <v>Grease Blockage</v>
      </c>
      <c r="O1534" s="21">
        <v>44714.0</v>
      </c>
      <c r="P1534" s="6" t="s">
        <v>994</v>
      </c>
      <c r="Q1534" s="21">
        <v>44714.0</v>
      </c>
      <c r="R1534" s="6" t="s">
        <v>40</v>
      </c>
      <c r="S1534" s="20">
        <v>3.0</v>
      </c>
      <c r="T1534" s="6" t="s">
        <v>2686</v>
      </c>
      <c r="U1534" s="6"/>
      <c r="V1534" s="6"/>
      <c r="W1534" s="6">
        <v>29.7311554</v>
      </c>
      <c r="X1534" s="6">
        <v>-95.5634671</v>
      </c>
    </row>
    <row r="1535" ht="15.75" customHeight="1">
      <c r="A1535" s="6">
        <v>47668.0</v>
      </c>
      <c r="B1535" s="6">
        <v>2022.0</v>
      </c>
      <c r="C1535" s="6" t="str">
        <f t="shared" si="5"/>
        <v>221 BOLDEN ST,Houston,Texas</v>
      </c>
      <c r="D1535" s="6" t="s">
        <v>2687</v>
      </c>
      <c r="E1535" s="6" t="s">
        <v>25</v>
      </c>
      <c r="F1535" s="6" t="s">
        <v>26</v>
      </c>
      <c r="G1535" s="6" t="s">
        <v>247</v>
      </c>
      <c r="H1535" s="6" t="s">
        <v>50</v>
      </c>
      <c r="I1535" s="6" t="str">
        <f>VLOOKUP(H1535,'Flow Location'!$A$1:$B$21,2,FALSE)</f>
        <v>Contained On Site, not within 5 ft. of Bayou/Surface Water/Drainage Ditch</v>
      </c>
      <c r="J1535" s="20">
        <v>1784.0</v>
      </c>
      <c r="K1535" s="6" t="s">
        <v>51</v>
      </c>
      <c r="L1535" s="6" t="str">
        <f>VLOOKUP(K1535,'Structure type'!$A$1:$B$15,2,FALSE)</f>
        <v>Private Cleanout</v>
      </c>
      <c r="M1535" s="6" t="s">
        <v>30</v>
      </c>
      <c r="N1535" s="6" t="str">
        <f>VLOOKUP(M1535,'Excursion Cause'!$A$1:$B$34,2,FALSE)</f>
        <v>Grease Blockage</v>
      </c>
      <c r="O1535" s="21">
        <v>44714.0</v>
      </c>
      <c r="P1535" s="6" t="s">
        <v>92</v>
      </c>
      <c r="Q1535" s="21">
        <v>44715.0</v>
      </c>
      <c r="R1535" s="6" t="s">
        <v>958</v>
      </c>
      <c r="S1535" s="20">
        <v>1.0</v>
      </c>
      <c r="T1535" s="6" t="s">
        <v>33</v>
      </c>
      <c r="U1535" s="6"/>
      <c r="V1535" s="6"/>
      <c r="W1535" s="6">
        <v>29.7384256</v>
      </c>
      <c r="X1535" s="6">
        <v>-95.2586293</v>
      </c>
    </row>
    <row r="1536" ht="15.75" customHeight="1">
      <c r="A1536" s="6">
        <v>47672.0</v>
      </c>
      <c r="B1536" s="6">
        <v>2022.0</v>
      </c>
      <c r="C1536" s="6" t="str">
        <f t="shared" si="5"/>
        <v>1846 COLQUITT ST,Houston,Texas</v>
      </c>
      <c r="D1536" s="6" t="s">
        <v>2688</v>
      </c>
      <c r="E1536" s="6" t="s">
        <v>25</v>
      </c>
      <c r="F1536" s="6" t="s">
        <v>26</v>
      </c>
      <c r="G1536" s="6" t="s">
        <v>112</v>
      </c>
      <c r="H1536" s="6" t="s">
        <v>2275</v>
      </c>
      <c r="I1536" s="6" t="str">
        <f>VLOOKUP(H1536,'Flow Location'!$A$1:$B$21,2,FALSE)</f>
        <v>Contained On Site, not within 5 ft. of Bayou/Surface Water/Drainage Ditch</v>
      </c>
      <c r="J1536" s="20">
        <v>0.0</v>
      </c>
      <c r="K1536" s="6" t="s">
        <v>45</v>
      </c>
      <c r="L1536" s="6" t="str">
        <f>VLOOKUP(K1536,'Structure type'!$A$1:$B$15,2,FALSE)</f>
        <v>City Cleanout</v>
      </c>
      <c r="M1536" s="6" t="s">
        <v>30</v>
      </c>
      <c r="N1536" s="6" t="str">
        <f>VLOOKUP(M1536,'Excursion Cause'!$A$1:$B$34,2,FALSE)</f>
        <v>Grease Blockage</v>
      </c>
      <c r="O1536" s="21">
        <v>44714.0</v>
      </c>
      <c r="P1536" s="6" t="s">
        <v>1972</v>
      </c>
      <c r="Q1536" s="21">
        <v>44714.0</v>
      </c>
      <c r="R1536" s="6" t="s">
        <v>1972</v>
      </c>
      <c r="S1536" s="20">
        <v>0.0</v>
      </c>
      <c r="T1536" s="6" t="s">
        <v>170</v>
      </c>
      <c r="U1536" s="6"/>
      <c r="V1536" s="6"/>
      <c r="W1536" s="6">
        <v>29.7352771</v>
      </c>
      <c r="X1536" s="6">
        <v>-95.406642</v>
      </c>
    </row>
    <row r="1537" ht="15.75" customHeight="1">
      <c r="A1537" s="6">
        <v>47678.0</v>
      </c>
      <c r="B1537" s="6">
        <v>2022.0</v>
      </c>
      <c r="C1537" s="6" t="str">
        <f t="shared" si="5"/>
        <v>10615 MEADOWGLEN LN,Houston,Texas</v>
      </c>
      <c r="D1537" s="6" t="s">
        <v>1133</v>
      </c>
      <c r="E1537" s="6" t="s">
        <v>25</v>
      </c>
      <c r="F1537" s="6" t="s">
        <v>26</v>
      </c>
      <c r="G1537" s="6" t="s">
        <v>401</v>
      </c>
      <c r="H1537" s="6" t="s">
        <v>1724</v>
      </c>
      <c r="I1537" s="6" t="str">
        <f>VLOOKUP(H1537,'Flow Location'!$A$1:$B$21,2,FALSE)</f>
        <v>Storm Sewer (not contained)</v>
      </c>
      <c r="J1537" s="20">
        <v>759.0</v>
      </c>
      <c r="K1537" s="6" t="s">
        <v>29</v>
      </c>
      <c r="L1537" s="6" t="str">
        <f>VLOOKUP(K1537,'Structure type'!$A$1:$B$15,2,FALSE)</f>
        <v>Manhole</v>
      </c>
      <c r="M1537" s="6" t="s">
        <v>2689</v>
      </c>
      <c r="N1537" s="6" t="str">
        <f>VLOOKUP(M1537,'Excursion Cause'!$A$1:$B$34,2,FALSE)</f>
        <v>Grease Blockage</v>
      </c>
      <c r="O1537" s="21">
        <v>44714.0</v>
      </c>
      <c r="P1537" s="6" t="s">
        <v>994</v>
      </c>
      <c r="Q1537" s="21">
        <v>44714.0</v>
      </c>
      <c r="R1537" s="6" t="s">
        <v>40</v>
      </c>
      <c r="S1537" s="20">
        <v>3.0</v>
      </c>
      <c r="T1537" s="6" t="s">
        <v>2690</v>
      </c>
      <c r="U1537" s="6"/>
      <c r="V1537" s="6"/>
      <c r="W1537" s="6">
        <v>29.7305992</v>
      </c>
      <c r="X1537" s="6">
        <v>-95.5623045</v>
      </c>
    </row>
    <row r="1538" ht="15.75" customHeight="1">
      <c r="A1538" s="6">
        <v>47679.0</v>
      </c>
      <c r="B1538" s="6">
        <v>2022.0</v>
      </c>
      <c r="C1538" s="6" t="str">
        <f t="shared" si="5"/>
        <v>10615 MEADOWGLEN LN,Houston,Texas</v>
      </c>
      <c r="D1538" s="6" t="s">
        <v>1133</v>
      </c>
      <c r="E1538" s="6" t="s">
        <v>25</v>
      </c>
      <c r="F1538" s="6" t="s">
        <v>26</v>
      </c>
      <c r="G1538" s="6" t="s">
        <v>401</v>
      </c>
      <c r="H1538" s="6" t="s">
        <v>1724</v>
      </c>
      <c r="I1538" s="6" t="str">
        <f>VLOOKUP(H1538,'Flow Location'!$A$1:$B$21,2,FALSE)</f>
        <v>Storm Sewer (not contained)</v>
      </c>
      <c r="J1538" s="20">
        <v>759.0</v>
      </c>
      <c r="K1538" s="6" t="s">
        <v>29</v>
      </c>
      <c r="L1538" s="6" t="str">
        <f>VLOOKUP(K1538,'Structure type'!$A$1:$B$15,2,FALSE)</f>
        <v>Manhole</v>
      </c>
      <c r="M1538" s="6" t="s">
        <v>2691</v>
      </c>
      <c r="N1538" s="6" t="str">
        <f>VLOOKUP(M1538,'Excursion Cause'!$A$1:$B$34,2,FALSE)</f>
        <v>Grease Blockage</v>
      </c>
      <c r="O1538" s="21">
        <v>44714.0</v>
      </c>
      <c r="P1538" s="6" t="s">
        <v>994</v>
      </c>
      <c r="Q1538" s="21">
        <v>44714.0</v>
      </c>
      <c r="R1538" s="6" t="s">
        <v>40</v>
      </c>
      <c r="S1538" s="20">
        <v>3.0</v>
      </c>
      <c r="T1538" s="6" t="s">
        <v>2692</v>
      </c>
      <c r="U1538" s="6"/>
      <c r="V1538" s="6"/>
      <c r="W1538" s="6">
        <v>29.7305992</v>
      </c>
      <c r="X1538" s="6">
        <v>-95.5623045</v>
      </c>
    </row>
    <row r="1539" ht="15.75" customHeight="1">
      <c r="A1539" s="6">
        <v>47682.0</v>
      </c>
      <c r="B1539" s="6">
        <v>2022.0</v>
      </c>
      <c r="C1539" s="6" t="str">
        <f t="shared" si="5"/>
        <v>7915 CAROLWOOD DR,Houston,Texas</v>
      </c>
      <c r="D1539" s="6" t="s">
        <v>2693</v>
      </c>
      <c r="E1539" s="6" t="s">
        <v>25</v>
      </c>
      <c r="F1539" s="6" t="s">
        <v>26</v>
      </c>
      <c r="G1539" s="6" t="s">
        <v>177</v>
      </c>
      <c r="H1539" s="6" t="s">
        <v>2275</v>
      </c>
      <c r="I1539" s="6" t="str">
        <f>VLOOKUP(H1539,'Flow Location'!$A$1:$B$21,2,FALSE)</f>
        <v>Contained On Site, not within 5 ft. of Bayou/Surface Water/Drainage Ditch</v>
      </c>
      <c r="J1539" s="20">
        <v>0.0</v>
      </c>
      <c r="K1539" s="6" t="s">
        <v>290</v>
      </c>
      <c r="L1539" s="6" t="str">
        <f>VLOOKUP(K1539,'Structure type'!$A$1:$B$15,2,FALSE)</f>
        <v>Gravity Main</v>
      </c>
      <c r="M1539" s="6" t="s">
        <v>2694</v>
      </c>
      <c r="N1539" s="6" t="str">
        <f>VLOOKUP(M1539,'Excursion Cause'!$A$1:$B$34,2,FALSE)</f>
        <v>Collection system structural blockage</v>
      </c>
      <c r="O1539" s="21">
        <v>44715.0</v>
      </c>
      <c r="P1539" s="6" t="s">
        <v>1829</v>
      </c>
      <c r="Q1539" s="21">
        <v>44715.0</v>
      </c>
      <c r="R1539" s="6" t="s">
        <v>1829</v>
      </c>
      <c r="S1539" s="20">
        <v>0.0</v>
      </c>
      <c r="T1539" s="6" t="s">
        <v>118</v>
      </c>
      <c r="U1539" s="6"/>
      <c r="V1539" s="6"/>
      <c r="W1539" s="6">
        <v>29.8364218</v>
      </c>
      <c r="X1539" s="6">
        <v>-95.2834616</v>
      </c>
    </row>
    <row r="1540" ht="15.75" customHeight="1">
      <c r="A1540" s="6">
        <v>47687.0</v>
      </c>
      <c r="B1540" s="6">
        <v>2022.0</v>
      </c>
      <c r="C1540" s="6" t="str">
        <f t="shared" si="5"/>
        <v>1107 WILLARD ST,Houston,Texas</v>
      </c>
      <c r="D1540" s="6" t="s">
        <v>2695</v>
      </c>
      <c r="E1540" s="6" t="s">
        <v>25</v>
      </c>
      <c r="F1540" s="6" t="s">
        <v>26</v>
      </c>
      <c r="G1540" s="6" t="s">
        <v>761</v>
      </c>
      <c r="H1540" s="6" t="s">
        <v>50</v>
      </c>
      <c r="I1540" s="6" t="str">
        <f>VLOOKUP(H1540,'Flow Location'!$A$1:$B$21,2,FALSE)</f>
        <v>Contained On Site, not within 5 ft. of Bayou/Surface Water/Drainage Ditch</v>
      </c>
      <c r="J1540" s="20">
        <v>0.0</v>
      </c>
      <c r="K1540" s="6" t="s">
        <v>51</v>
      </c>
      <c r="L1540" s="6" t="str">
        <f>VLOOKUP(K1540,'Structure type'!$A$1:$B$15,2,FALSE)</f>
        <v>Private Cleanout</v>
      </c>
      <c r="M1540" s="6" t="s">
        <v>52</v>
      </c>
      <c r="N1540" s="6" t="str">
        <f>VLOOKUP(M1540,'Excursion Cause'!$A$1:$B$34,2,FALSE)</f>
        <v>Collection system structural blockage</v>
      </c>
      <c r="O1540" s="21">
        <v>44717.0</v>
      </c>
      <c r="P1540" s="6" t="s">
        <v>2696</v>
      </c>
      <c r="Q1540" s="21">
        <v>44717.0</v>
      </c>
      <c r="R1540" s="6" t="s">
        <v>2696</v>
      </c>
      <c r="S1540" s="20">
        <v>0.0</v>
      </c>
      <c r="T1540" s="6" t="s">
        <v>107</v>
      </c>
      <c r="U1540" s="6"/>
      <c r="V1540" s="6"/>
      <c r="W1540" s="6">
        <v>29.7508938</v>
      </c>
      <c r="X1540" s="6">
        <v>-95.3924406</v>
      </c>
    </row>
    <row r="1541" ht="15.75" customHeight="1">
      <c r="A1541" s="6">
        <v>47690.0</v>
      </c>
      <c r="B1541" s="6">
        <v>2022.0</v>
      </c>
      <c r="C1541" s="6" t="str">
        <f t="shared" si="5"/>
        <v>3407 PARKRIDGE GLEN DR,Houston,Texas</v>
      </c>
      <c r="D1541" s="6" t="s">
        <v>2697</v>
      </c>
      <c r="E1541" s="6" t="s">
        <v>25</v>
      </c>
      <c r="F1541" s="6" t="s">
        <v>26</v>
      </c>
      <c r="G1541" s="6" t="s">
        <v>313</v>
      </c>
      <c r="H1541" s="6" t="s">
        <v>1724</v>
      </c>
      <c r="I1541" s="6" t="str">
        <f>VLOOKUP(H1541,'Flow Location'!$A$1:$B$21,2,FALSE)</f>
        <v>Storm Sewer (not contained)</v>
      </c>
      <c r="J1541" s="20">
        <v>162.0</v>
      </c>
      <c r="K1541" s="6" t="s">
        <v>29</v>
      </c>
      <c r="L1541" s="6" t="str">
        <f>VLOOKUP(K1541,'Structure type'!$A$1:$B$15,2,FALSE)</f>
        <v>Manhole</v>
      </c>
      <c r="M1541" s="6" t="s">
        <v>2698</v>
      </c>
      <c r="N1541" s="6" t="str">
        <f>VLOOKUP(M1541,'Excursion Cause'!$A$1:$B$34,2,FALSE)</f>
        <v>Grease Blockage</v>
      </c>
      <c r="O1541" s="21">
        <v>44717.0</v>
      </c>
      <c r="P1541" s="6" t="s">
        <v>565</v>
      </c>
      <c r="Q1541" s="21">
        <v>44717.0</v>
      </c>
      <c r="R1541" s="6" t="s">
        <v>192</v>
      </c>
      <c r="S1541" s="20">
        <v>2.0</v>
      </c>
      <c r="T1541" s="6" t="s">
        <v>2699</v>
      </c>
      <c r="U1541" s="6"/>
      <c r="V1541" s="6"/>
      <c r="W1541" s="6">
        <v>29.7221416</v>
      </c>
      <c r="X1541" s="6">
        <v>-95.6206538</v>
      </c>
    </row>
    <row r="1542" ht="15.75" customHeight="1">
      <c r="A1542" s="6">
        <v>47692.0</v>
      </c>
      <c r="B1542" s="6">
        <v>2022.0</v>
      </c>
      <c r="C1542" s="6" t="str">
        <f t="shared" si="5"/>
        <v>6805 ROSWELL ST,Houston,Texas</v>
      </c>
      <c r="D1542" s="6" t="s">
        <v>2700</v>
      </c>
      <c r="E1542" s="6" t="s">
        <v>25</v>
      </c>
      <c r="F1542" s="6" t="s">
        <v>26</v>
      </c>
      <c r="G1542" s="6" t="s">
        <v>653</v>
      </c>
      <c r="H1542" s="6" t="s">
        <v>1724</v>
      </c>
      <c r="I1542" s="6" t="str">
        <f>VLOOKUP(H1542,'Flow Location'!$A$1:$B$21,2,FALSE)</f>
        <v>Storm Sewer (not contained)</v>
      </c>
      <c r="J1542" s="20">
        <v>0.0</v>
      </c>
      <c r="K1542" s="6" t="s">
        <v>29</v>
      </c>
      <c r="L1542" s="6" t="str">
        <f>VLOOKUP(K1542,'Structure type'!$A$1:$B$15,2,FALSE)</f>
        <v>Manhole</v>
      </c>
      <c r="M1542" s="6" t="s">
        <v>2701</v>
      </c>
      <c r="N1542" s="6" t="str">
        <f>VLOOKUP(M1542,'Excursion Cause'!$A$1:$B$34,2,FALSE)</f>
        <v>Grease Blockage</v>
      </c>
      <c r="O1542" s="21">
        <v>44718.0</v>
      </c>
      <c r="P1542" s="6" t="s">
        <v>2515</v>
      </c>
      <c r="Q1542" s="21">
        <v>44718.0</v>
      </c>
      <c r="R1542" s="6" t="s">
        <v>2515</v>
      </c>
      <c r="S1542" s="20">
        <v>0.0</v>
      </c>
      <c r="T1542" s="6" t="s">
        <v>2702</v>
      </c>
      <c r="U1542" s="6"/>
      <c r="V1542" s="6"/>
      <c r="W1542" s="6">
        <v>29.8201072</v>
      </c>
      <c r="X1542" s="6">
        <v>-95.3698776</v>
      </c>
    </row>
    <row r="1543" ht="15.75" customHeight="1">
      <c r="A1543" s="6">
        <v>47696.0</v>
      </c>
      <c r="B1543" s="6">
        <v>2022.0</v>
      </c>
      <c r="C1543" s="6" t="str">
        <f t="shared" si="5"/>
        <v>7715 FAWN TERRACE DR,Houston,Texas</v>
      </c>
      <c r="D1543" s="6" t="s">
        <v>2703</v>
      </c>
      <c r="E1543" s="6" t="s">
        <v>25</v>
      </c>
      <c r="F1543" s="6" t="s">
        <v>26</v>
      </c>
      <c r="G1543" s="6" t="s">
        <v>148</v>
      </c>
      <c r="H1543" s="6" t="s">
        <v>2275</v>
      </c>
      <c r="I1543" s="6" t="str">
        <f>VLOOKUP(H1543,'Flow Location'!$A$1:$B$21,2,FALSE)</f>
        <v>Contained On Site, not within 5 ft. of Bayou/Surface Water/Drainage Ditch</v>
      </c>
      <c r="J1543" s="20">
        <v>1406.0</v>
      </c>
      <c r="K1543" s="6" t="s">
        <v>29</v>
      </c>
      <c r="L1543" s="6" t="str">
        <f>VLOOKUP(K1543,'Structure type'!$A$1:$B$15,2,FALSE)</f>
        <v>Manhole</v>
      </c>
      <c r="M1543" s="6" t="s">
        <v>30</v>
      </c>
      <c r="N1543" s="6" t="str">
        <f>VLOOKUP(M1543,'Excursion Cause'!$A$1:$B$34,2,FALSE)</f>
        <v>Grease Blockage</v>
      </c>
      <c r="O1543" s="21">
        <v>44718.0</v>
      </c>
      <c r="P1543" s="6" t="s">
        <v>265</v>
      </c>
      <c r="Q1543" s="21">
        <v>44719.0</v>
      </c>
      <c r="R1543" s="6" t="s">
        <v>125</v>
      </c>
      <c r="S1543" s="20">
        <v>1.0</v>
      </c>
      <c r="T1543" s="6" t="s">
        <v>33</v>
      </c>
      <c r="U1543" s="6"/>
      <c r="V1543" s="6"/>
      <c r="W1543" s="6">
        <v>29.6462233</v>
      </c>
      <c r="X1543" s="6">
        <v>-95.5127572</v>
      </c>
    </row>
    <row r="1544" ht="15.75" customHeight="1">
      <c r="A1544" s="6">
        <v>47702.0</v>
      </c>
      <c r="B1544" s="6">
        <v>2022.0</v>
      </c>
      <c r="C1544" s="6" t="str">
        <f t="shared" si="5"/>
        <v>114 ROBMORE ST,Houston,Texas</v>
      </c>
      <c r="D1544" s="6" t="s">
        <v>2704</v>
      </c>
      <c r="E1544" s="6" t="s">
        <v>25</v>
      </c>
      <c r="F1544" s="6" t="s">
        <v>26</v>
      </c>
      <c r="G1544" s="6" t="s">
        <v>275</v>
      </c>
      <c r="H1544" s="6" t="s">
        <v>1397</v>
      </c>
      <c r="I1544" s="6" t="str">
        <f>VLOOKUP(H1544,'Flow Location'!$A$1:$B$21,2,FALSE)</f>
        <v>Bayou/surface water/drainage ditch</v>
      </c>
      <c r="J1544" s="20">
        <v>0.0</v>
      </c>
      <c r="K1544" s="6" t="s">
        <v>198</v>
      </c>
      <c r="L1544" s="6" t="str">
        <f>VLOOKUP(K1544,'Structure type'!$A$1:$B$15,2,FALSE)</f>
        <v>Service Lateral</v>
      </c>
      <c r="M1544" s="6" t="s">
        <v>30</v>
      </c>
      <c r="N1544" s="6" t="str">
        <f>VLOOKUP(M1544,'Excursion Cause'!$A$1:$B$34,2,FALSE)</f>
        <v>Grease Blockage</v>
      </c>
      <c r="O1544" s="21">
        <v>44718.0</v>
      </c>
      <c r="P1544" s="6" t="s">
        <v>240</v>
      </c>
      <c r="Q1544" s="21">
        <v>44718.0</v>
      </c>
      <c r="R1544" s="6" t="s">
        <v>240</v>
      </c>
      <c r="S1544" s="20">
        <v>0.0</v>
      </c>
      <c r="T1544" s="6" t="s">
        <v>33</v>
      </c>
      <c r="U1544" s="6"/>
      <c r="V1544" s="6"/>
      <c r="W1544" s="6">
        <v>29.8544215</v>
      </c>
      <c r="X1544" s="6">
        <v>-95.3793892</v>
      </c>
    </row>
    <row r="1545" ht="15.75" customHeight="1">
      <c r="A1545" s="6">
        <v>47703.0</v>
      </c>
      <c r="B1545" s="6">
        <v>2022.0</v>
      </c>
      <c r="C1545" s="6" t="str">
        <f t="shared" si="5"/>
        <v>12723 EASTBROOK DR,Houston,Texas</v>
      </c>
      <c r="D1545" s="6" t="s">
        <v>2705</v>
      </c>
      <c r="E1545" s="6" t="s">
        <v>25</v>
      </c>
      <c r="F1545" s="6" t="s">
        <v>26</v>
      </c>
      <c r="G1545" s="6" t="s">
        <v>656</v>
      </c>
      <c r="H1545" s="6" t="s">
        <v>50</v>
      </c>
      <c r="I1545" s="6" t="str">
        <f>VLOOKUP(H1545,'Flow Location'!$A$1:$B$21,2,FALSE)</f>
        <v>Contained On Site, not within 5 ft. of Bayou/Surface Water/Drainage Ditch</v>
      </c>
      <c r="J1545" s="20">
        <v>0.0</v>
      </c>
      <c r="K1545" s="6" t="s">
        <v>190</v>
      </c>
      <c r="L1545" s="6" t="str">
        <f>VLOOKUP(K1545,'Structure type'!$A$1:$B$15,2,FALSE)</f>
        <v>Force Main</v>
      </c>
      <c r="M1545" s="6" t="s">
        <v>620</v>
      </c>
      <c r="N1545" s="6" t="str">
        <f>VLOOKUP(M1545,'Excursion Cause'!$A$1:$B$34,2,FALSE)</f>
        <v>Air Relief Valve (ARV) Failure</v>
      </c>
      <c r="O1545" s="21">
        <v>44718.0</v>
      </c>
      <c r="P1545" s="6" t="s">
        <v>562</v>
      </c>
      <c r="Q1545" s="21">
        <v>44718.0</v>
      </c>
      <c r="R1545" s="6" t="s">
        <v>562</v>
      </c>
      <c r="S1545" s="20">
        <v>0.0</v>
      </c>
      <c r="T1545" s="6" t="s">
        <v>118</v>
      </c>
      <c r="U1545" s="6"/>
      <c r="V1545" s="6"/>
      <c r="W1545" s="6">
        <v>29.7924091</v>
      </c>
      <c r="X1545" s="6">
        <v>-95.2133202</v>
      </c>
    </row>
    <row r="1546" ht="15.75" customHeight="1">
      <c r="A1546" s="6">
        <v>47712.0</v>
      </c>
      <c r="B1546" s="6">
        <v>2022.0</v>
      </c>
      <c r="C1546" s="6" t="str">
        <f t="shared" si="5"/>
        <v>1039 YALE ST,Houston,Texas</v>
      </c>
      <c r="D1546" s="6" t="s">
        <v>1366</v>
      </c>
      <c r="E1546" s="6" t="s">
        <v>25</v>
      </c>
      <c r="F1546" s="6" t="s">
        <v>26</v>
      </c>
      <c r="G1546" s="6" t="s">
        <v>232</v>
      </c>
      <c r="H1546" s="6" t="s">
        <v>50</v>
      </c>
      <c r="I1546" s="6" t="str">
        <f>VLOOKUP(H1546,'Flow Location'!$A$1:$B$21,2,FALSE)</f>
        <v>Contained On Site, not within 5 ft. of Bayou/Surface Water/Drainage Ditch</v>
      </c>
      <c r="J1546" s="20">
        <v>196.0</v>
      </c>
      <c r="K1546" s="6" t="s">
        <v>51</v>
      </c>
      <c r="L1546" s="6" t="str">
        <f>VLOOKUP(K1546,'Structure type'!$A$1:$B$15,2,FALSE)</f>
        <v>Private Cleanout</v>
      </c>
      <c r="M1546" s="6" t="s">
        <v>30</v>
      </c>
      <c r="N1546" s="6" t="str">
        <f>VLOOKUP(M1546,'Excursion Cause'!$A$1:$B$34,2,FALSE)</f>
        <v>Grease Blockage</v>
      </c>
      <c r="O1546" s="21">
        <v>44720.0</v>
      </c>
      <c r="P1546" s="6" t="s">
        <v>1336</v>
      </c>
      <c r="Q1546" s="21">
        <v>44720.0</v>
      </c>
      <c r="R1546" s="6" t="s">
        <v>374</v>
      </c>
      <c r="S1546" s="20">
        <v>1.0</v>
      </c>
      <c r="T1546" s="6" t="s">
        <v>59</v>
      </c>
      <c r="U1546" s="6"/>
      <c r="V1546" s="6"/>
      <c r="W1546" s="6">
        <v>29.7903919</v>
      </c>
      <c r="X1546" s="6">
        <v>-95.3992675</v>
      </c>
    </row>
    <row r="1547" ht="15.75" customHeight="1">
      <c r="A1547" s="6">
        <v>47714.0</v>
      </c>
      <c r="B1547" s="6">
        <v>2022.0</v>
      </c>
      <c r="C1547" s="6" t="str">
        <f t="shared" si="5"/>
        <v>3505 S DAIRY ASHFORD RD,Houston,Texas</v>
      </c>
      <c r="D1547" s="6" t="s">
        <v>2706</v>
      </c>
      <c r="E1547" s="6" t="s">
        <v>25</v>
      </c>
      <c r="F1547" s="6" t="s">
        <v>26</v>
      </c>
      <c r="G1547" s="6" t="s">
        <v>313</v>
      </c>
      <c r="H1547" s="6" t="s">
        <v>50</v>
      </c>
      <c r="I1547" s="6" t="str">
        <f>VLOOKUP(H1547,'Flow Location'!$A$1:$B$21,2,FALSE)</f>
        <v>Contained On Site, not within 5 ft. of Bayou/Surface Water/Drainage Ditch</v>
      </c>
      <c r="J1547" s="20">
        <v>384.0</v>
      </c>
      <c r="K1547" s="6" t="s">
        <v>29</v>
      </c>
      <c r="L1547" s="6" t="str">
        <f>VLOOKUP(K1547,'Structure type'!$A$1:$B$15,2,FALSE)</f>
        <v>Manhole</v>
      </c>
      <c r="M1547" s="6" t="s">
        <v>52</v>
      </c>
      <c r="N1547" s="6" t="str">
        <f>VLOOKUP(M1547,'Excursion Cause'!$A$1:$B$34,2,FALSE)</f>
        <v>Collection system structural blockage</v>
      </c>
      <c r="O1547" s="21">
        <v>44720.0</v>
      </c>
      <c r="P1547" s="6" t="s">
        <v>341</v>
      </c>
      <c r="Q1547" s="21">
        <v>44720.0</v>
      </c>
      <c r="R1547" s="6" t="s">
        <v>1274</v>
      </c>
      <c r="S1547" s="20">
        <v>1.0</v>
      </c>
      <c r="T1547" s="6" t="s">
        <v>107</v>
      </c>
      <c r="U1547" s="6"/>
      <c r="V1547" s="6"/>
      <c r="W1547" s="6">
        <v>29.7220475</v>
      </c>
      <c r="X1547" s="6">
        <v>-95.6041737</v>
      </c>
    </row>
    <row r="1548" ht="15.75" customHeight="1">
      <c r="A1548" s="6">
        <v>47715.0</v>
      </c>
      <c r="B1548" s="6">
        <v>2022.0</v>
      </c>
      <c r="C1548" s="6" t="str">
        <f t="shared" si="5"/>
        <v>2201 CONGRESS ST,Houston,Texas</v>
      </c>
      <c r="D1548" s="6" t="s">
        <v>2707</v>
      </c>
      <c r="E1548" s="6" t="s">
        <v>25</v>
      </c>
      <c r="F1548" s="6" t="s">
        <v>26</v>
      </c>
      <c r="G1548" s="6" t="s">
        <v>172</v>
      </c>
      <c r="H1548" s="6" t="s">
        <v>28</v>
      </c>
      <c r="I1548" s="6" t="str">
        <f>VLOOKUP(H1548,'Flow Location'!$A$1:$B$21,2,FALSE)</f>
        <v>Storm Sewer (not contained)</v>
      </c>
      <c r="J1548" s="20">
        <v>1461.0</v>
      </c>
      <c r="K1548" s="6" t="s">
        <v>29</v>
      </c>
      <c r="L1548" s="6" t="str">
        <f>VLOOKUP(K1548,'Structure type'!$A$1:$B$15,2,FALSE)</f>
        <v>Manhole</v>
      </c>
      <c r="M1548" s="6" t="s">
        <v>2708</v>
      </c>
      <c r="N1548" s="6" t="str">
        <f>VLOOKUP(M1548,'Excursion Cause'!$A$1:$B$34,2,FALSE)</f>
        <v>Collection system structural blockage</v>
      </c>
      <c r="O1548" s="21">
        <v>44720.0</v>
      </c>
      <c r="P1548" s="6" t="s">
        <v>1301</v>
      </c>
      <c r="Q1548" s="21">
        <v>44721.0</v>
      </c>
      <c r="R1548" s="6" t="s">
        <v>374</v>
      </c>
      <c r="S1548" s="20">
        <v>1.0</v>
      </c>
      <c r="T1548" s="6" t="s">
        <v>107</v>
      </c>
      <c r="U1548" s="6"/>
      <c r="V1548" s="6"/>
      <c r="W1548" s="6">
        <v>29.7561681</v>
      </c>
      <c r="X1548" s="6">
        <v>-95.3500053</v>
      </c>
    </row>
    <row r="1549" ht="15.75" customHeight="1">
      <c r="A1549" s="6">
        <v>47721.0</v>
      </c>
      <c r="B1549" s="6">
        <v>2022.0</v>
      </c>
      <c r="C1549" s="6" t="str">
        <f t="shared" si="5"/>
        <v>8122 GLEN VALLEY DR,Houston,Texas</v>
      </c>
      <c r="D1549" s="6" t="s">
        <v>2709</v>
      </c>
      <c r="E1549" s="6" t="s">
        <v>25</v>
      </c>
      <c r="F1549" s="6" t="s">
        <v>26</v>
      </c>
      <c r="G1549" s="6" t="s">
        <v>398</v>
      </c>
      <c r="H1549" s="6" t="s">
        <v>2275</v>
      </c>
      <c r="I1549" s="6" t="str">
        <f>VLOOKUP(H1549,'Flow Location'!$A$1:$B$21,2,FALSE)</f>
        <v>Contained On Site, not within 5 ft. of Bayou/Surface Water/Drainage Ditch</v>
      </c>
      <c r="J1549" s="20">
        <v>0.0</v>
      </c>
      <c r="K1549" s="6" t="s">
        <v>51</v>
      </c>
      <c r="L1549" s="6" t="str">
        <f>VLOOKUP(K1549,'Structure type'!$A$1:$B$15,2,FALSE)</f>
        <v>Private Cleanout</v>
      </c>
      <c r="M1549" s="6" t="s">
        <v>2710</v>
      </c>
      <c r="N1549" s="6" t="str">
        <f>VLOOKUP(M1549,'Excursion Cause'!$A$1:$B$34,2,FALSE)</f>
        <v>Collection system structural failure</v>
      </c>
      <c r="O1549" s="21">
        <v>44721.0</v>
      </c>
      <c r="P1549" s="6" t="s">
        <v>152</v>
      </c>
      <c r="Q1549" s="21">
        <v>44721.0</v>
      </c>
      <c r="R1549" s="6" t="s">
        <v>822</v>
      </c>
      <c r="S1549" s="20">
        <v>0.0</v>
      </c>
      <c r="T1549" s="6" t="s">
        <v>118</v>
      </c>
      <c r="U1549" s="6"/>
      <c r="V1549" s="6"/>
      <c r="W1549" s="6">
        <v>29.675463</v>
      </c>
      <c r="X1549" s="6">
        <v>-95.2755047</v>
      </c>
    </row>
    <row r="1550" ht="15.75" customHeight="1">
      <c r="A1550" s="6">
        <v>47728.0</v>
      </c>
      <c r="B1550" s="6">
        <v>2022.0</v>
      </c>
      <c r="C1550" s="6" t="str">
        <f t="shared" si="5"/>
        <v>9615 KEMPWOOD DR,Houston,Texas</v>
      </c>
      <c r="D1550" s="6" t="s">
        <v>1404</v>
      </c>
      <c r="E1550" s="6" t="s">
        <v>25</v>
      </c>
      <c r="F1550" s="6" t="s">
        <v>26</v>
      </c>
      <c r="G1550" s="6" t="s">
        <v>294</v>
      </c>
      <c r="H1550" s="6" t="s">
        <v>1724</v>
      </c>
      <c r="I1550" s="6" t="str">
        <f>VLOOKUP(H1550,'Flow Location'!$A$1:$B$21,2,FALSE)</f>
        <v>Storm Sewer (not contained)</v>
      </c>
      <c r="J1550" s="20">
        <v>300.0</v>
      </c>
      <c r="K1550" s="6" t="s">
        <v>29</v>
      </c>
      <c r="L1550" s="6" t="str">
        <f>VLOOKUP(K1550,'Structure type'!$A$1:$B$15,2,FALSE)</f>
        <v>Manhole</v>
      </c>
      <c r="M1550" s="6" t="s">
        <v>2711</v>
      </c>
      <c r="N1550" s="6" t="str">
        <f>VLOOKUP(M1550,'Excursion Cause'!$A$1:$B$34,2,FALSE)</f>
        <v>Grease Blockage</v>
      </c>
      <c r="O1550" s="21">
        <v>44722.0</v>
      </c>
      <c r="P1550" s="6" t="s">
        <v>36</v>
      </c>
      <c r="Q1550" s="21">
        <v>44722.0</v>
      </c>
      <c r="R1550" s="6" t="s">
        <v>1036</v>
      </c>
      <c r="S1550" s="20">
        <v>2.0</v>
      </c>
      <c r="T1550" s="6" t="s">
        <v>2712</v>
      </c>
      <c r="U1550" s="6"/>
      <c r="V1550" s="6"/>
      <c r="W1550" s="6">
        <v>29.8213931</v>
      </c>
      <c r="X1550" s="6">
        <v>-95.5306847</v>
      </c>
    </row>
    <row r="1551" ht="15.75" customHeight="1">
      <c r="A1551" s="6">
        <v>47732.0</v>
      </c>
      <c r="B1551" s="6">
        <v>2022.0</v>
      </c>
      <c r="C1551" s="6" t="str">
        <f t="shared" si="5"/>
        <v>8102 WESTHEIMER RD,Houston,Texas</v>
      </c>
      <c r="D1551" s="6" t="s">
        <v>2713</v>
      </c>
      <c r="E1551" s="6" t="s">
        <v>25</v>
      </c>
      <c r="F1551" s="6" t="s">
        <v>26</v>
      </c>
      <c r="G1551" s="6" t="s">
        <v>482</v>
      </c>
      <c r="H1551" s="6" t="s">
        <v>1724</v>
      </c>
      <c r="I1551" s="6" t="str">
        <f>VLOOKUP(H1551,'Flow Location'!$A$1:$B$21,2,FALSE)</f>
        <v>Storm Sewer (not contained)</v>
      </c>
      <c r="J1551" s="24">
        <v>16.75</v>
      </c>
      <c r="K1551" s="6" t="s">
        <v>2714</v>
      </c>
      <c r="L1551" s="6" t="str">
        <f>VLOOKUP(K1551,'Structure type'!$A$1:$B$15,2,FALSE)</f>
        <v>#N/A</v>
      </c>
      <c r="M1551" s="6" t="s">
        <v>56</v>
      </c>
      <c r="N1551" s="6" t="str">
        <f>VLOOKUP(M1551,'Excursion Cause'!$A$1:$B$34,2,FALSE)</f>
        <v>Rags/Wipes</v>
      </c>
      <c r="O1551" s="21">
        <v>44722.0</v>
      </c>
      <c r="P1551" s="6" t="s">
        <v>78</v>
      </c>
      <c r="Q1551" s="21">
        <v>44722.0</v>
      </c>
      <c r="R1551" s="6" t="s">
        <v>1306</v>
      </c>
      <c r="S1551" s="20">
        <v>0.0</v>
      </c>
      <c r="T1551" s="6" t="s">
        <v>2715</v>
      </c>
      <c r="U1551" s="6"/>
      <c r="V1551" s="6"/>
      <c r="W1551" s="6">
        <v>29.7382309</v>
      </c>
      <c r="X1551" s="6">
        <v>-95.5106404</v>
      </c>
    </row>
    <row r="1552" ht="15.75" customHeight="1">
      <c r="A1552" s="6">
        <v>47733.0</v>
      </c>
      <c r="B1552" s="6">
        <v>2022.0</v>
      </c>
      <c r="C1552" s="6" t="str">
        <f t="shared" si="5"/>
        <v>7125 SIDNEY ST,Houston,Texas</v>
      </c>
      <c r="D1552" s="6" t="s">
        <v>2563</v>
      </c>
      <c r="E1552" s="6" t="s">
        <v>25</v>
      </c>
      <c r="F1552" s="6" t="s">
        <v>26</v>
      </c>
      <c r="G1552" s="6" t="s">
        <v>238</v>
      </c>
      <c r="H1552" s="6" t="s">
        <v>1397</v>
      </c>
      <c r="I1552" s="6" t="str">
        <f>VLOOKUP(H1552,'Flow Location'!$A$1:$B$21,2,FALSE)</f>
        <v>Bayou/surface water/drainage ditch</v>
      </c>
      <c r="J1552" s="20">
        <v>0.0</v>
      </c>
      <c r="K1552" s="6" t="s">
        <v>45</v>
      </c>
      <c r="L1552" s="6" t="str">
        <f>VLOOKUP(K1552,'Structure type'!$A$1:$B$15,2,FALSE)</f>
        <v>City Cleanout</v>
      </c>
      <c r="M1552" s="6" t="s">
        <v>56</v>
      </c>
      <c r="N1552" s="6" t="str">
        <f>VLOOKUP(M1552,'Excursion Cause'!$A$1:$B$34,2,FALSE)</f>
        <v>Rags/Wipes</v>
      </c>
      <c r="O1552" s="21">
        <v>44722.0</v>
      </c>
      <c r="P1552" s="6" t="s">
        <v>537</v>
      </c>
      <c r="Q1552" s="21">
        <v>44722.0</v>
      </c>
      <c r="R1552" s="6" t="s">
        <v>537</v>
      </c>
      <c r="S1552" s="20">
        <v>0.0</v>
      </c>
      <c r="T1552" s="6" t="s">
        <v>170</v>
      </c>
      <c r="U1552" s="6"/>
      <c r="V1552" s="6"/>
      <c r="W1552" s="6">
        <v>29.6853771</v>
      </c>
      <c r="X1552" s="6">
        <v>-95.3585172</v>
      </c>
    </row>
    <row r="1553" ht="15.75" customHeight="1">
      <c r="A1553" s="6">
        <v>47735.0</v>
      </c>
      <c r="B1553" s="6">
        <v>2022.0</v>
      </c>
      <c r="C1553" s="6" t="str">
        <f t="shared" si="5"/>
        <v>5839 SOUTHMONT ST,Houston,Texas</v>
      </c>
      <c r="D1553" s="6" t="s">
        <v>2716</v>
      </c>
      <c r="E1553" s="6" t="s">
        <v>25</v>
      </c>
      <c r="F1553" s="6" t="s">
        <v>26</v>
      </c>
      <c r="G1553" s="6" t="s">
        <v>120</v>
      </c>
      <c r="H1553" s="6" t="s">
        <v>2190</v>
      </c>
      <c r="I1553" s="6" t="str">
        <f>VLOOKUP(H1553,'Flow Location'!$A$1:$B$21,2,FALSE)</f>
        <v>Contained On Site</v>
      </c>
      <c r="J1553" s="20">
        <v>0.0</v>
      </c>
      <c r="K1553" s="6" t="s">
        <v>2717</v>
      </c>
      <c r="L1553" s="6" t="str">
        <f>VLOOKUP(K1553,'Structure type'!$A$1:$B$15,2,FALSE)</f>
        <v>Private Cleanout</v>
      </c>
      <c r="M1553" s="6" t="s">
        <v>56</v>
      </c>
      <c r="N1553" s="6" t="str">
        <f>VLOOKUP(M1553,'Excursion Cause'!$A$1:$B$34,2,FALSE)</f>
        <v>Rags/Wipes</v>
      </c>
      <c r="O1553" s="21">
        <v>44722.0</v>
      </c>
      <c r="P1553" s="6" t="s">
        <v>606</v>
      </c>
      <c r="Q1553" s="21">
        <v>44723.0</v>
      </c>
      <c r="R1553" s="6" t="s">
        <v>946</v>
      </c>
      <c r="S1553" s="20">
        <v>0.0</v>
      </c>
      <c r="T1553" s="6" t="s">
        <v>2718</v>
      </c>
      <c r="U1553" s="6"/>
      <c r="V1553" s="6"/>
      <c r="W1553" s="6">
        <v>29.6865253</v>
      </c>
      <c r="X1553" s="6">
        <v>-95.3313082</v>
      </c>
    </row>
    <row r="1554" ht="15.75" customHeight="1">
      <c r="A1554" s="6">
        <v>47736.0</v>
      </c>
      <c r="B1554" s="6">
        <v>2022.0</v>
      </c>
      <c r="C1554" s="6" t="str">
        <f t="shared" si="5"/>
        <v>8181 COLONY ST,Houston,Texas</v>
      </c>
      <c r="D1554" s="6" t="s">
        <v>2719</v>
      </c>
      <c r="E1554" s="6" t="s">
        <v>25</v>
      </c>
      <c r="F1554" s="6" t="s">
        <v>26</v>
      </c>
      <c r="G1554" s="6" t="s">
        <v>100</v>
      </c>
      <c r="H1554" s="6" t="s">
        <v>2275</v>
      </c>
      <c r="I1554" s="6" t="str">
        <f>VLOOKUP(H1554,'Flow Location'!$A$1:$B$21,2,FALSE)</f>
        <v>Contained On Site, not within 5 ft. of Bayou/Surface Water/Drainage Ditch</v>
      </c>
      <c r="J1554" s="20">
        <v>324.0</v>
      </c>
      <c r="K1554" s="6" t="s">
        <v>29</v>
      </c>
      <c r="L1554" s="6" t="str">
        <f>VLOOKUP(K1554,'Structure type'!$A$1:$B$15,2,FALSE)</f>
        <v>Manhole</v>
      </c>
      <c r="M1554" s="6" t="s">
        <v>30</v>
      </c>
      <c r="N1554" s="6" t="str">
        <f>VLOOKUP(M1554,'Excursion Cause'!$A$1:$B$34,2,FALSE)</f>
        <v>Grease Blockage</v>
      </c>
      <c r="O1554" s="21">
        <v>44723.0</v>
      </c>
      <c r="P1554" s="6" t="s">
        <v>262</v>
      </c>
      <c r="Q1554" s="21">
        <v>44723.0</v>
      </c>
      <c r="R1554" s="6" t="s">
        <v>529</v>
      </c>
      <c r="S1554" s="20">
        <v>2.0</v>
      </c>
      <c r="T1554" s="6" t="s">
        <v>59</v>
      </c>
      <c r="U1554" s="6"/>
      <c r="V1554" s="6"/>
      <c r="W1554" s="6">
        <v>29.6902723</v>
      </c>
      <c r="X1554" s="6">
        <v>-95.5476601</v>
      </c>
    </row>
    <row r="1555" ht="15.75" customHeight="1">
      <c r="A1555" s="6">
        <v>47738.0</v>
      </c>
      <c r="B1555" s="6">
        <v>2022.0</v>
      </c>
      <c r="C1555" s="6" t="str">
        <f t="shared" si="5"/>
        <v>6825 S LOOP FWY,Houston,Texas</v>
      </c>
      <c r="D1555" s="6" t="s">
        <v>2720</v>
      </c>
      <c r="E1555" s="6" t="s">
        <v>25</v>
      </c>
      <c r="F1555" s="6" t="s">
        <v>26</v>
      </c>
      <c r="G1555" s="6" t="s">
        <v>135</v>
      </c>
      <c r="H1555" s="6" t="s">
        <v>50</v>
      </c>
      <c r="I1555" s="6" t="str">
        <f>VLOOKUP(H1555,'Flow Location'!$A$1:$B$21,2,FALSE)</f>
        <v>Contained On Site, not within 5 ft. of Bayou/Surface Water/Drainage Ditch</v>
      </c>
      <c r="J1555" s="20">
        <v>0.0</v>
      </c>
      <c r="K1555" s="6" t="s">
        <v>29</v>
      </c>
      <c r="L1555" s="6" t="str">
        <f>VLOOKUP(K1555,'Structure type'!$A$1:$B$15,2,FALSE)</f>
        <v>Manhole</v>
      </c>
      <c r="M1555" s="6" t="s">
        <v>56</v>
      </c>
      <c r="N1555" s="6" t="str">
        <f>VLOOKUP(M1555,'Excursion Cause'!$A$1:$B$34,2,FALSE)</f>
        <v>Rags/Wipes</v>
      </c>
      <c r="O1555" s="21">
        <v>44723.0</v>
      </c>
      <c r="P1555" s="6" t="s">
        <v>409</v>
      </c>
      <c r="Q1555" s="21">
        <v>44723.0</v>
      </c>
      <c r="R1555" s="6" t="s">
        <v>409</v>
      </c>
      <c r="S1555" s="20">
        <v>0.0</v>
      </c>
      <c r="T1555" s="6" t="s">
        <v>59</v>
      </c>
      <c r="U1555" s="6"/>
      <c r="V1555" s="6"/>
      <c r="W1555" s="6">
        <v>29.7085112</v>
      </c>
      <c r="X1555" s="6">
        <v>-95.2709665</v>
      </c>
    </row>
    <row r="1556" ht="15.75" customHeight="1">
      <c r="A1556" s="6">
        <v>47745.0</v>
      </c>
      <c r="B1556" s="6">
        <v>2022.0</v>
      </c>
      <c r="C1556" s="6" t="str">
        <f t="shared" si="5"/>
        <v>7844 GREEN LAWN DR,Houston,Texas</v>
      </c>
      <c r="D1556" s="6" t="s">
        <v>2721</v>
      </c>
      <c r="E1556" s="6" t="s">
        <v>25</v>
      </c>
      <c r="F1556" s="6" t="s">
        <v>26</v>
      </c>
      <c r="G1556" s="6" t="s">
        <v>502</v>
      </c>
      <c r="H1556" s="6" t="s">
        <v>1724</v>
      </c>
      <c r="I1556" s="6" t="str">
        <f>VLOOKUP(H1556,'Flow Location'!$A$1:$B$21,2,FALSE)</f>
        <v>Storm Sewer (not contained)</v>
      </c>
      <c r="J1556" s="22">
        <v>1681.5</v>
      </c>
      <c r="K1556" s="6" t="s">
        <v>29</v>
      </c>
      <c r="L1556" s="6" t="str">
        <f>VLOOKUP(K1556,'Structure type'!$A$1:$B$15,2,FALSE)</f>
        <v>Manhole</v>
      </c>
      <c r="M1556" s="6" t="s">
        <v>2722</v>
      </c>
      <c r="N1556" s="6" t="str">
        <f>VLOOKUP(M1556,'Excursion Cause'!$A$1:$B$34,2,FALSE)</f>
        <v>Grease Blockage</v>
      </c>
      <c r="O1556" s="21">
        <v>44724.0</v>
      </c>
      <c r="P1556" s="6" t="s">
        <v>686</v>
      </c>
      <c r="Q1556" s="21">
        <v>44725.0</v>
      </c>
      <c r="R1556" s="6" t="s">
        <v>660</v>
      </c>
      <c r="S1556" s="20">
        <v>2.0</v>
      </c>
      <c r="T1556" s="6" t="s">
        <v>2723</v>
      </c>
      <c r="U1556" s="6"/>
      <c r="V1556" s="6"/>
      <c r="W1556" s="6">
        <v>29.8798861</v>
      </c>
      <c r="X1556" s="6">
        <v>-95.4787232</v>
      </c>
    </row>
    <row r="1557" ht="15.75" customHeight="1">
      <c r="A1557" s="6">
        <v>47754.0</v>
      </c>
      <c r="B1557" s="6">
        <v>2022.0</v>
      </c>
      <c r="C1557" s="6" t="str">
        <f t="shared" si="5"/>
        <v>4706 YELLOWSTONE BLVD,Houston,Texas</v>
      </c>
      <c r="D1557" s="6" t="s">
        <v>2724</v>
      </c>
      <c r="E1557" s="6" t="s">
        <v>25</v>
      </c>
      <c r="F1557" s="6" t="s">
        <v>26</v>
      </c>
      <c r="G1557" s="6" t="s">
        <v>238</v>
      </c>
      <c r="H1557" s="6" t="s">
        <v>1724</v>
      </c>
      <c r="I1557" s="6" t="str">
        <f>VLOOKUP(H1557,'Flow Location'!$A$1:$B$21,2,FALSE)</f>
        <v>Storm Sewer (not contained)</v>
      </c>
      <c r="J1557" s="20">
        <v>0.0</v>
      </c>
      <c r="K1557" s="6" t="s">
        <v>45</v>
      </c>
      <c r="L1557" s="6" t="str">
        <f>VLOOKUP(K1557,'Structure type'!$A$1:$B$15,2,FALSE)</f>
        <v>City Cleanout</v>
      </c>
      <c r="M1557" s="6" t="s">
        <v>56</v>
      </c>
      <c r="N1557" s="6" t="str">
        <f>VLOOKUP(M1557,'Excursion Cause'!$A$1:$B$34,2,FALSE)</f>
        <v>Rags/Wipes</v>
      </c>
      <c r="O1557" s="21">
        <v>44725.0</v>
      </c>
      <c r="P1557" s="6" t="s">
        <v>958</v>
      </c>
      <c r="Q1557" s="21">
        <v>44725.0</v>
      </c>
      <c r="R1557" s="6" t="s">
        <v>958</v>
      </c>
      <c r="S1557" s="20">
        <v>0.0</v>
      </c>
      <c r="T1557" s="6" t="s">
        <v>2725</v>
      </c>
      <c r="U1557" s="6"/>
      <c r="V1557" s="6"/>
      <c r="W1557" s="6">
        <v>29.690057</v>
      </c>
      <c r="X1557" s="6">
        <v>-95.3502935</v>
      </c>
    </row>
    <row r="1558" ht="15.75" customHeight="1">
      <c r="A1558" s="6">
        <v>47759.0</v>
      </c>
      <c r="B1558" s="6">
        <v>2022.0</v>
      </c>
      <c r="C1558" s="6" t="str">
        <f t="shared" si="5"/>
        <v>14003 DUBLIN ST,Houston,Texas</v>
      </c>
      <c r="D1558" s="6" t="s">
        <v>2726</v>
      </c>
      <c r="E1558" s="6" t="s">
        <v>25</v>
      </c>
      <c r="F1558" s="6" t="s">
        <v>26</v>
      </c>
      <c r="G1558" s="6" t="s">
        <v>384</v>
      </c>
      <c r="H1558" s="6" t="s">
        <v>1724</v>
      </c>
      <c r="I1558" s="6" t="str">
        <f>VLOOKUP(H1558,'Flow Location'!$A$1:$B$21,2,FALSE)</f>
        <v>Storm Sewer (not contained)</v>
      </c>
      <c r="J1558" s="20">
        <v>208.0</v>
      </c>
      <c r="K1558" s="6" t="s">
        <v>29</v>
      </c>
      <c r="L1558" s="6" t="str">
        <f>VLOOKUP(K1558,'Structure type'!$A$1:$B$15,2,FALSE)</f>
        <v>Manhole</v>
      </c>
      <c r="M1558" s="6" t="s">
        <v>2727</v>
      </c>
      <c r="N1558" s="6" t="str">
        <f>VLOOKUP(M1558,'Excursion Cause'!$A$1:$B$34,2,FALSE)</f>
        <v>Grease Blockage</v>
      </c>
      <c r="O1558" s="21">
        <v>44726.0</v>
      </c>
      <c r="P1558" s="6" t="s">
        <v>256</v>
      </c>
      <c r="Q1558" s="21">
        <v>44726.0</v>
      </c>
      <c r="R1558" s="6" t="s">
        <v>159</v>
      </c>
      <c r="S1558" s="20">
        <v>2.0</v>
      </c>
      <c r="T1558" s="6" t="s">
        <v>2728</v>
      </c>
      <c r="U1558" s="6"/>
      <c r="V1558" s="6"/>
      <c r="W1558" s="6">
        <v>29.631719</v>
      </c>
      <c r="X1558" s="6">
        <v>-95.4935921</v>
      </c>
    </row>
    <row r="1559" ht="15.75" customHeight="1">
      <c r="A1559" s="6">
        <v>47769.0</v>
      </c>
      <c r="B1559" s="6">
        <v>2022.0</v>
      </c>
      <c r="C1559" s="6" t="str">
        <f t="shared" si="5"/>
        <v>5909 FONDREN RD,Houston,Texas</v>
      </c>
      <c r="D1559" s="6" t="s">
        <v>1376</v>
      </c>
      <c r="E1559" s="6" t="s">
        <v>25</v>
      </c>
      <c r="F1559" s="6" t="s">
        <v>26</v>
      </c>
      <c r="G1559" s="6" t="s">
        <v>100</v>
      </c>
      <c r="H1559" s="6" t="s">
        <v>2275</v>
      </c>
      <c r="I1559" s="6" t="str">
        <f>VLOOKUP(H1559,'Flow Location'!$A$1:$B$21,2,FALSE)</f>
        <v>Contained On Site, not within 5 ft. of Bayou/Surface Water/Drainage Ditch</v>
      </c>
      <c r="J1559" s="20">
        <v>1466.0</v>
      </c>
      <c r="K1559" s="6" t="s">
        <v>29</v>
      </c>
      <c r="L1559" s="6" t="str">
        <f>VLOOKUP(K1559,'Structure type'!$A$1:$B$15,2,FALSE)</f>
        <v>Manhole</v>
      </c>
      <c r="M1559" s="6" t="s">
        <v>30</v>
      </c>
      <c r="N1559" s="6" t="str">
        <f>VLOOKUP(M1559,'Excursion Cause'!$A$1:$B$34,2,FALSE)</f>
        <v>Grease Blockage</v>
      </c>
      <c r="O1559" s="21">
        <v>44727.0</v>
      </c>
      <c r="P1559" s="6" t="s">
        <v>142</v>
      </c>
      <c r="Q1559" s="21">
        <v>44728.0</v>
      </c>
      <c r="R1559" s="6" t="s">
        <v>409</v>
      </c>
      <c r="S1559" s="20">
        <v>1.0</v>
      </c>
      <c r="T1559" s="6" t="s">
        <v>54</v>
      </c>
      <c r="U1559" s="6"/>
      <c r="V1559" s="6"/>
      <c r="W1559" s="6">
        <v>29.7160916</v>
      </c>
      <c r="X1559" s="6">
        <v>-95.5186229</v>
      </c>
    </row>
    <row r="1560" ht="15.75" customHeight="1">
      <c r="A1560" s="6">
        <v>47778.0</v>
      </c>
      <c r="B1560" s="6">
        <v>2022.0</v>
      </c>
      <c r="C1560" s="6" t="str">
        <f t="shared" si="5"/>
        <v>11202 MEADOWGLEN LN,Houston,Texas</v>
      </c>
      <c r="D1560" s="6" t="s">
        <v>2729</v>
      </c>
      <c r="E1560" s="6" t="s">
        <v>25</v>
      </c>
      <c r="F1560" s="6" t="s">
        <v>26</v>
      </c>
      <c r="G1560" s="6" t="s">
        <v>313</v>
      </c>
      <c r="H1560" s="6" t="s">
        <v>1724</v>
      </c>
      <c r="I1560" s="6" t="str">
        <f>VLOOKUP(H1560,'Flow Location'!$A$1:$B$21,2,FALSE)</f>
        <v>Storm Sewer (not contained)</v>
      </c>
      <c r="J1560" s="20">
        <v>930.0</v>
      </c>
      <c r="K1560" s="6" t="s">
        <v>29</v>
      </c>
      <c r="L1560" s="6" t="str">
        <f>VLOOKUP(K1560,'Structure type'!$A$1:$B$15,2,FALSE)</f>
        <v>Manhole</v>
      </c>
      <c r="M1560" s="6" t="s">
        <v>2730</v>
      </c>
      <c r="N1560" s="6" t="str">
        <f>VLOOKUP(M1560,'Excursion Cause'!$A$1:$B$34,2,FALSE)</f>
        <v>Grease Blockage</v>
      </c>
      <c r="O1560" s="21">
        <v>44729.0</v>
      </c>
      <c r="P1560" s="6" t="s">
        <v>1158</v>
      </c>
      <c r="Q1560" s="21">
        <v>44729.0</v>
      </c>
      <c r="R1560" s="6" t="s">
        <v>315</v>
      </c>
      <c r="S1560" s="20">
        <v>10.0</v>
      </c>
      <c r="T1560" s="6" t="s">
        <v>2731</v>
      </c>
      <c r="U1560" s="6"/>
      <c r="V1560" s="6"/>
      <c r="W1560" s="6">
        <v>29.7330652</v>
      </c>
      <c r="X1560" s="6">
        <v>-95.5735854</v>
      </c>
    </row>
    <row r="1561" ht="15.75" customHeight="1">
      <c r="A1561" s="6">
        <v>47779.0</v>
      </c>
      <c r="B1561" s="6">
        <v>2022.0</v>
      </c>
      <c r="C1561" s="6" t="str">
        <f t="shared" si="5"/>
        <v>738 HOFFMAN ST,Houston,Texas</v>
      </c>
      <c r="D1561" s="6" t="s">
        <v>2732</v>
      </c>
      <c r="E1561" s="6" t="s">
        <v>25</v>
      </c>
      <c r="F1561" s="6" t="s">
        <v>26</v>
      </c>
      <c r="G1561" s="6" t="s">
        <v>86</v>
      </c>
      <c r="H1561" s="6" t="s">
        <v>50</v>
      </c>
      <c r="I1561" s="6" t="str">
        <f>VLOOKUP(H1561,'Flow Location'!$A$1:$B$21,2,FALSE)</f>
        <v>Contained On Site, not within 5 ft. of Bayou/Surface Water/Drainage Ditch</v>
      </c>
      <c r="J1561" s="20">
        <v>0.0</v>
      </c>
      <c r="K1561" s="6" t="s">
        <v>29</v>
      </c>
      <c r="L1561" s="6" t="str">
        <f>VLOOKUP(K1561,'Structure type'!$A$1:$B$15,2,FALSE)</f>
        <v>Manhole</v>
      </c>
      <c r="M1561" s="6" t="s">
        <v>30</v>
      </c>
      <c r="N1561" s="6" t="str">
        <f>VLOOKUP(M1561,'Excursion Cause'!$A$1:$B$34,2,FALSE)</f>
        <v>Grease Blockage</v>
      </c>
      <c r="O1561" s="21">
        <v>44729.0</v>
      </c>
      <c r="P1561" s="6" t="s">
        <v>543</v>
      </c>
      <c r="Q1561" s="21">
        <v>44729.0</v>
      </c>
      <c r="R1561" s="6" t="s">
        <v>543</v>
      </c>
      <c r="S1561" s="20">
        <v>0.0</v>
      </c>
      <c r="T1561" s="6" t="s">
        <v>33</v>
      </c>
      <c r="U1561" s="6"/>
      <c r="V1561" s="6"/>
      <c r="W1561" s="6">
        <v>29.7751411</v>
      </c>
      <c r="X1561" s="6">
        <v>-95.3107201</v>
      </c>
    </row>
    <row r="1562" ht="15.75" customHeight="1">
      <c r="A1562" s="6">
        <v>47786.0</v>
      </c>
      <c r="B1562" s="6">
        <v>2022.0</v>
      </c>
      <c r="C1562" s="6" t="str">
        <f t="shared" si="5"/>
        <v>600 E ANDERSON RD,Houston,Texas</v>
      </c>
      <c r="D1562" s="6" t="s">
        <v>2733</v>
      </c>
      <c r="E1562" s="6" t="s">
        <v>25</v>
      </c>
      <c r="F1562" s="6" t="s">
        <v>26</v>
      </c>
      <c r="G1562" s="6" t="s">
        <v>419</v>
      </c>
      <c r="H1562" s="6" t="s">
        <v>2275</v>
      </c>
      <c r="I1562" s="6" t="str">
        <f>VLOOKUP(H1562,'Flow Location'!$A$1:$B$21,2,FALSE)</f>
        <v>Contained On Site, not within 5 ft. of Bayou/Surface Water/Drainage Ditch</v>
      </c>
      <c r="J1562" s="20">
        <v>1109.0</v>
      </c>
      <c r="K1562" s="6" t="s">
        <v>45</v>
      </c>
      <c r="L1562" s="6" t="str">
        <f>VLOOKUP(K1562,'Structure type'!$A$1:$B$15,2,FALSE)</f>
        <v>City Cleanout</v>
      </c>
      <c r="M1562" s="6" t="s">
        <v>30</v>
      </c>
      <c r="N1562" s="6" t="str">
        <f>VLOOKUP(M1562,'Excursion Cause'!$A$1:$B$34,2,FALSE)</f>
        <v>Grease Blockage</v>
      </c>
      <c r="O1562" s="21">
        <v>44731.0</v>
      </c>
      <c r="P1562" s="6" t="s">
        <v>1041</v>
      </c>
      <c r="Q1562" s="21">
        <v>44732.0</v>
      </c>
      <c r="R1562" s="6" t="s">
        <v>1065</v>
      </c>
      <c r="S1562" s="20">
        <v>1.0</v>
      </c>
      <c r="T1562" s="6" t="s">
        <v>74</v>
      </c>
      <c r="U1562" s="6"/>
      <c r="V1562" s="6"/>
      <c r="W1562" s="6">
        <v>29.6055563</v>
      </c>
      <c r="X1562" s="6">
        <v>-95.4103763</v>
      </c>
    </row>
    <row r="1563" ht="15.75" customHeight="1">
      <c r="A1563" s="6">
        <v>47790.0</v>
      </c>
      <c r="B1563" s="6">
        <v>2022.0</v>
      </c>
      <c r="C1563" s="6" t="str">
        <f t="shared" si="5"/>
        <v>13302 INNSHIRE LN,Houston,Texas</v>
      </c>
      <c r="D1563" s="6" t="s">
        <v>2734</v>
      </c>
      <c r="E1563" s="6" t="s">
        <v>25</v>
      </c>
      <c r="F1563" s="6" t="s">
        <v>26</v>
      </c>
      <c r="G1563" s="6" t="s">
        <v>623</v>
      </c>
      <c r="H1563" s="6" t="s">
        <v>50</v>
      </c>
      <c r="I1563" s="6" t="str">
        <f>VLOOKUP(H1563,'Flow Location'!$A$1:$B$21,2,FALSE)</f>
        <v>Contained On Site, not within 5 ft. of Bayou/Surface Water/Drainage Ditch</v>
      </c>
      <c r="J1563" s="20">
        <v>0.0</v>
      </c>
      <c r="K1563" s="6" t="s">
        <v>29</v>
      </c>
      <c r="L1563" s="6" t="str">
        <f>VLOOKUP(K1563,'Structure type'!$A$1:$B$15,2,FALSE)</f>
        <v>Manhole</v>
      </c>
      <c r="M1563" s="6" t="s">
        <v>52</v>
      </c>
      <c r="N1563" s="6" t="str">
        <f>VLOOKUP(M1563,'Excursion Cause'!$A$1:$B$34,2,FALSE)</f>
        <v>Collection system structural blockage</v>
      </c>
      <c r="O1563" s="21">
        <v>44732.0</v>
      </c>
      <c r="P1563" s="6" t="s">
        <v>817</v>
      </c>
      <c r="Q1563" s="21">
        <v>44732.0</v>
      </c>
      <c r="R1563" s="6" t="s">
        <v>817</v>
      </c>
      <c r="S1563" s="20">
        <v>0.0</v>
      </c>
      <c r="T1563" s="6" t="s">
        <v>1335</v>
      </c>
      <c r="U1563" s="6"/>
      <c r="V1563" s="6"/>
      <c r="W1563" s="6">
        <v>29.6336996</v>
      </c>
      <c r="X1563" s="6">
        <v>-95.455445</v>
      </c>
    </row>
    <row r="1564" ht="15.75" customHeight="1">
      <c r="A1564" s="6">
        <v>47791.0</v>
      </c>
      <c r="B1564" s="6">
        <v>2022.0</v>
      </c>
      <c r="C1564" s="6" t="str">
        <f t="shared" si="5"/>
        <v>16403 LOST QUAIL DR,Houston,Texas</v>
      </c>
      <c r="D1564" s="6" t="s">
        <v>2735</v>
      </c>
      <c r="E1564" s="6" t="s">
        <v>25</v>
      </c>
      <c r="F1564" s="6" t="s">
        <v>26</v>
      </c>
      <c r="G1564" s="6" t="s">
        <v>166</v>
      </c>
      <c r="H1564" s="6" t="s">
        <v>2275</v>
      </c>
      <c r="I1564" s="6" t="str">
        <f>VLOOKUP(H1564,'Flow Location'!$A$1:$B$21,2,FALSE)</f>
        <v>Contained On Site, not within 5 ft. of Bayou/Surface Water/Drainage Ditch</v>
      </c>
      <c r="J1564" s="20">
        <v>151.0</v>
      </c>
      <c r="K1564" s="6" t="s">
        <v>29</v>
      </c>
      <c r="L1564" s="6" t="str">
        <f>VLOOKUP(K1564,'Structure type'!$A$1:$B$15,2,FALSE)</f>
        <v>Manhole</v>
      </c>
      <c r="M1564" s="6" t="s">
        <v>30</v>
      </c>
      <c r="N1564" s="6" t="str">
        <f>VLOOKUP(M1564,'Excursion Cause'!$A$1:$B$34,2,FALSE)</f>
        <v>Grease Blockage</v>
      </c>
      <c r="O1564" s="21">
        <v>44732.0</v>
      </c>
      <c r="P1564" s="6" t="s">
        <v>1301</v>
      </c>
      <c r="Q1564" s="21">
        <v>44732.0</v>
      </c>
      <c r="R1564" s="6" t="s">
        <v>802</v>
      </c>
      <c r="S1564" s="20">
        <v>1.0</v>
      </c>
      <c r="T1564" s="6" t="s">
        <v>59</v>
      </c>
      <c r="U1564" s="6"/>
      <c r="V1564" s="6"/>
      <c r="W1564" s="6">
        <v>29.5887934</v>
      </c>
      <c r="X1564" s="6">
        <v>-95.5168438</v>
      </c>
    </row>
    <row r="1565" ht="15.75" customHeight="1">
      <c r="A1565" s="6">
        <v>47795.0</v>
      </c>
      <c r="B1565" s="6">
        <v>2022.0</v>
      </c>
      <c r="C1565" s="6" t="str">
        <f t="shared" si="5"/>
        <v>1109 HYDE PARK BLVD,Houston,Texas</v>
      </c>
      <c r="D1565" s="6" t="s">
        <v>2736</v>
      </c>
      <c r="E1565" s="6" t="s">
        <v>25</v>
      </c>
      <c r="F1565" s="6" t="s">
        <v>26</v>
      </c>
      <c r="G1565" s="6" t="s">
        <v>761</v>
      </c>
      <c r="H1565" s="6" t="s">
        <v>1724</v>
      </c>
      <c r="I1565" s="6" t="str">
        <f>VLOOKUP(H1565,'Flow Location'!$A$1:$B$21,2,FALSE)</f>
        <v>Storm Sewer (not contained)</v>
      </c>
      <c r="J1565" s="20">
        <v>121.0</v>
      </c>
      <c r="K1565" s="6" t="s">
        <v>45</v>
      </c>
      <c r="L1565" s="6" t="str">
        <f>VLOOKUP(K1565,'Structure type'!$A$1:$B$15,2,FALSE)</f>
        <v>City Cleanout</v>
      </c>
      <c r="M1565" s="6" t="s">
        <v>56</v>
      </c>
      <c r="N1565" s="6" t="str">
        <f>VLOOKUP(M1565,'Excursion Cause'!$A$1:$B$34,2,FALSE)</f>
        <v>Rags/Wipes</v>
      </c>
      <c r="O1565" s="21">
        <v>44732.0</v>
      </c>
      <c r="P1565" s="6" t="s">
        <v>1526</v>
      </c>
      <c r="Q1565" s="21">
        <v>44732.0</v>
      </c>
      <c r="R1565" s="6" t="s">
        <v>549</v>
      </c>
      <c r="S1565" s="20">
        <v>1.0</v>
      </c>
      <c r="T1565" s="6" t="s">
        <v>2737</v>
      </c>
      <c r="U1565" s="6"/>
      <c r="V1565" s="6"/>
      <c r="W1565" s="6">
        <v>29.7471263</v>
      </c>
      <c r="X1565" s="6">
        <v>-95.392409</v>
      </c>
    </row>
    <row r="1566" ht="15.75" customHeight="1">
      <c r="A1566" s="6">
        <v>47796.0</v>
      </c>
      <c r="B1566" s="6">
        <v>2022.0</v>
      </c>
      <c r="C1566" s="6" t="str">
        <f t="shared" si="5"/>
        <v>106 SADDLEBROOK LN,Houston,Texas</v>
      </c>
      <c r="D1566" s="6" t="s">
        <v>2738</v>
      </c>
      <c r="E1566" s="6" t="s">
        <v>25</v>
      </c>
      <c r="F1566" s="6" t="s">
        <v>26</v>
      </c>
      <c r="G1566" s="6" t="s">
        <v>123</v>
      </c>
      <c r="H1566" s="6" t="s">
        <v>1724</v>
      </c>
      <c r="I1566" s="6" t="str">
        <f>VLOOKUP(H1566,'Flow Location'!$A$1:$B$21,2,FALSE)</f>
        <v>Storm Sewer (not contained)</v>
      </c>
      <c r="J1566" s="20">
        <v>104.0</v>
      </c>
      <c r="K1566" s="6" t="s">
        <v>29</v>
      </c>
      <c r="L1566" s="6" t="str">
        <f>VLOOKUP(K1566,'Structure type'!$A$1:$B$15,2,FALSE)</f>
        <v>Manhole</v>
      </c>
      <c r="M1566" s="6" t="s">
        <v>2739</v>
      </c>
      <c r="N1566" s="6" t="str">
        <f>VLOOKUP(M1566,'Excursion Cause'!$A$1:$B$34,2,FALSE)</f>
        <v>Grease Blockage</v>
      </c>
      <c r="O1566" s="21">
        <v>44732.0</v>
      </c>
      <c r="P1566" s="6" t="s">
        <v>184</v>
      </c>
      <c r="Q1566" s="21">
        <v>44732.0</v>
      </c>
      <c r="R1566" s="6" t="s">
        <v>71</v>
      </c>
      <c r="S1566" s="20">
        <v>1.0</v>
      </c>
      <c r="T1566" s="6" t="s">
        <v>2740</v>
      </c>
      <c r="U1566" s="6"/>
      <c r="V1566" s="6"/>
      <c r="W1566" s="6">
        <v>29.778958</v>
      </c>
      <c r="X1566" s="6">
        <v>-95.4811213</v>
      </c>
    </row>
    <row r="1567" ht="15.75" customHeight="1">
      <c r="A1567" s="6">
        <v>47799.0</v>
      </c>
      <c r="B1567" s="6">
        <v>2022.0</v>
      </c>
      <c r="C1567" s="6" t="str">
        <f t="shared" si="5"/>
        <v>11303 BARRETT BRAE DR,Houston,Texas</v>
      </c>
      <c r="D1567" s="6" t="s">
        <v>2741</v>
      </c>
      <c r="E1567" s="6" t="s">
        <v>25</v>
      </c>
      <c r="F1567" s="6" t="s">
        <v>26</v>
      </c>
      <c r="G1567" s="6" t="s">
        <v>91</v>
      </c>
      <c r="H1567" s="6" t="s">
        <v>50</v>
      </c>
      <c r="I1567" s="6" t="str">
        <f>VLOOKUP(H1567,'Flow Location'!$A$1:$B$21,2,FALSE)</f>
        <v>Contained On Site, not within 5 ft. of Bayou/Surface Water/Drainage Ditch</v>
      </c>
      <c r="J1567" s="20">
        <v>0.0</v>
      </c>
      <c r="K1567" s="6" t="s">
        <v>45</v>
      </c>
      <c r="L1567" s="6" t="str">
        <f>VLOOKUP(K1567,'Structure type'!$A$1:$B$15,2,FALSE)</f>
        <v>City Cleanout</v>
      </c>
      <c r="M1567" s="6" t="s">
        <v>56</v>
      </c>
      <c r="N1567" s="6" t="str">
        <f>VLOOKUP(M1567,'Excursion Cause'!$A$1:$B$34,2,FALSE)</f>
        <v>Rags/Wipes</v>
      </c>
      <c r="O1567" s="21">
        <v>44733.0</v>
      </c>
      <c r="P1567" s="6" t="s">
        <v>823</v>
      </c>
      <c r="Q1567" s="21">
        <v>44733.0</v>
      </c>
      <c r="R1567" s="6" t="s">
        <v>823</v>
      </c>
      <c r="S1567" s="20">
        <v>0.0</v>
      </c>
      <c r="T1567" s="6" t="s">
        <v>170</v>
      </c>
      <c r="U1567" s="6"/>
      <c r="V1567" s="6"/>
      <c r="W1567" s="6">
        <v>29.6853337</v>
      </c>
      <c r="X1567" s="6">
        <v>-95.5765832</v>
      </c>
    </row>
    <row r="1568" ht="15.75" customHeight="1">
      <c r="A1568" s="6">
        <v>47804.0</v>
      </c>
      <c r="B1568" s="6">
        <v>2022.0</v>
      </c>
      <c r="C1568" s="6" t="str">
        <f t="shared" si="5"/>
        <v>5017 DENMARK ST,Houston,Texas</v>
      </c>
      <c r="D1568" s="6" t="s">
        <v>2742</v>
      </c>
      <c r="E1568" s="6" t="s">
        <v>25</v>
      </c>
      <c r="F1568" s="6" t="s">
        <v>26</v>
      </c>
      <c r="G1568" s="6" t="s">
        <v>326</v>
      </c>
      <c r="H1568" s="6" t="s">
        <v>1397</v>
      </c>
      <c r="I1568" s="6" t="str">
        <f>VLOOKUP(H1568,'Flow Location'!$A$1:$B$21,2,FALSE)</f>
        <v>Bayou/surface water/drainage ditch</v>
      </c>
      <c r="J1568" s="22">
        <v>351.6</v>
      </c>
      <c r="K1568" s="6" t="s">
        <v>45</v>
      </c>
      <c r="L1568" s="6" t="str">
        <f>VLOOKUP(K1568,'Structure type'!$A$1:$B$15,2,FALSE)</f>
        <v>City Cleanout</v>
      </c>
      <c r="M1568" s="6" t="s">
        <v>30</v>
      </c>
      <c r="N1568" s="6" t="str">
        <f>VLOOKUP(M1568,'Excursion Cause'!$A$1:$B$34,2,FALSE)</f>
        <v>Grease Blockage</v>
      </c>
      <c r="O1568" s="21">
        <v>44733.0</v>
      </c>
      <c r="P1568" s="6" t="s">
        <v>1105</v>
      </c>
      <c r="Q1568" s="21">
        <v>44734.0</v>
      </c>
      <c r="R1568" s="6" t="s">
        <v>428</v>
      </c>
      <c r="S1568" s="20">
        <v>0.0</v>
      </c>
      <c r="T1568" s="6" t="s">
        <v>89</v>
      </c>
      <c r="U1568" s="6"/>
      <c r="V1568" s="6"/>
      <c r="W1568" s="6">
        <v>29.8277354</v>
      </c>
      <c r="X1568" s="6">
        <v>-95.3168756</v>
      </c>
    </row>
    <row r="1569" ht="15.75" customHeight="1">
      <c r="A1569" s="6">
        <v>47808.0</v>
      </c>
      <c r="B1569" s="6">
        <v>2022.0</v>
      </c>
      <c r="C1569" s="6" t="str">
        <f t="shared" si="5"/>
        <v>5700 THOUSAND OAKS CIR,Houston,Texas</v>
      </c>
      <c r="D1569" s="6" t="s">
        <v>2743</v>
      </c>
      <c r="E1569" s="6" t="s">
        <v>25</v>
      </c>
      <c r="F1569" s="6" t="s">
        <v>26</v>
      </c>
      <c r="G1569" s="6" t="s">
        <v>76</v>
      </c>
      <c r="H1569" s="6" t="s">
        <v>1724</v>
      </c>
      <c r="I1569" s="6" t="str">
        <f>VLOOKUP(H1569,'Flow Location'!$A$1:$B$21,2,FALSE)</f>
        <v>Storm Sewer (not contained)</v>
      </c>
      <c r="J1569" s="20">
        <v>158.0</v>
      </c>
      <c r="K1569" s="6" t="s">
        <v>45</v>
      </c>
      <c r="L1569" s="6" t="str">
        <f>VLOOKUP(K1569,'Structure type'!$A$1:$B$15,2,FALSE)</f>
        <v>City Cleanout</v>
      </c>
      <c r="M1569" s="6" t="s">
        <v>2744</v>
      </c>
      <c r="N1569" s="6" t="str">
        <f>VLOOKUP(M1569,'Excursion Cause'!$A$1:$B$34,2,FALSE)</f>
        <v>Grease Blockage</v>
      </c>
      <c r="O1569" s="21">
        <v>44734.0</v>
      </c>
      <c r="P1569" s="6" t="s">
        <v>320</v>
      </c>
      <c r="Q1569" s="21">
        <v>44734.0</v>
      </c>
      <c r="R1569" s="6" t="s">
        <v>537</v>
      </c>
      <c r="S1569" s="20">
        <v>1.0</v>
      </c>
      <c r="T1569" s="6" t="s">
        <v>2745</v>
      </c>
      <c r="U1569" s="6"/>
      <c r="V1569" s="6"/>
      <c r="W1569" s="6">
        <v>29.8173822</v>
      </c>
      <c r="X1569" s="6">
        <v>-95.4748116</v>
      </c>
    </row>
    <row r="1570" ht="15.75" customHeight="1">
      <c r="A1570" s="6">
        <v>47810.0</v>
      </c>
      <c r="B1570" s="6">
        <v>2022.0</v>
      </c>
      <c r="C1570" s="6" t="str">
        <f t="shared" si="5"/>
        <v>907 GREGG ST,Houston,Texas</v>
      </c>
      <c r="D1570" s="6" t="s">
        <v>2746</v>
      </c>
      <c r="E1570" s="6" t="s">
        <v>25</v>
      </c>
      <c r="F1570" s="6" t="s">
        <v>26</v>
      </c>
      <c r="G1570" s="6" t="s">
        <v>86</v>
      </c>
      <c r="H1570" s="6" t="s">
        <v>50</v>
      </c>
      <c r="I1570" s="6" t="str">
        <f>VLOOKUP(H1570,'Flow Location'!$A$1:$B$21,2,FALSE)</f>
        <v>Contained On Site, not within 5 ft. of Bayou/Surface Water/Drainage Ditch</v>
      </c>
      <c r="J1570" s="20">
        <v>0.0</v>
      </c>
      <c r="K1570" s="6" t="s">
        <v>45</v>
      </c>
      <c r="L1570" s="6" t="str">
        <f>VLOOKUP(K1570,'Structure type'!$A$1:$B$15,2,FALSE)</f>
        <v>City Cleanout</v>
      </c>
      <c r="M1570" s="6" t="s">
        <v>56</v>
      </c>
      <c r="N1570" s="6" t="str">
        <f>VLOOKUP(M1570,'Excursion Cause'!$A$1:$B$34,2,FALSE)</f>
        <v>Rags/Wipes</v>
      </c>
      <c r="O1570" s="21">
        <v>44734.0</v>
      </c>
      <c r="P1570" s="6" t="s">
        <v>295</v>
      </c>
      <c r="Q1570" s="21">
        <v>44734.0</v>
      </c>
      <c r="R1570" s="6" t="s">
        <v>295</v>
      </c>
      <c r="S1570" s="20">
        <v>0.0</v>
      </c>
      <c r="T1570" s="6" t="s">
        <v>270</v>
      </c>
      <c r="U1570" s="6"/>
      <c r="V1570" s="6"/>
      <c r="W1570" s="6">
        <v>29.7697351</v>
      </c>
      <c r="X1570" s="6">
        <v>-95.3359687</v>
      </c>
    </row>
    <row r="1571" ht="15.75" customHeight="1">
      <c r="A1571" s="6">
        <v>47814.0</v>
      </c>
      <c r="B1571" s="6">
        <v>2022.0</v>
      </c>
      <c r="C1571" s="6" t="str">
        <f t="shared" si="5"/>
        <v>5700 THOUSAND OAKS CIR,Houston,Texas</v>
      </c>
      <c r="D1571" s="6" t="s">
        <v>2743</v>
      </c>
      <c r="E1571" s="6" t="s">
        <v>25</v>
      </c>
      <c r="F1571" s="6" t="s">
        <v>26</v>
      </c>
      <c r="G1571" s="6" t="s">
        <v>76</v>
      </c>
      <c r="H1571" s="6" t="s">
        <v>1724</v>
      </c>
      <c r="I1571" s="6" t="str">
        <f>VLOOKUP(H1571,'Flow Location'!$A$1:$B$21,2,FALSE)</f>
        <v>Storm Sewer (not contained)</v>
      </c>
      <c r="J1571" s="20">
        <v>248.0</v>
      </c>
      <c r="K1571" s="6" t="s">
        <v>45</v>
      </c>
      <c r="L1571" s="6" t="str">
        <f>VLOOKUP(K1571,'Structure type'!$A$1:$B$15,2,FALSE)</f>
        <v>City Cleanout</v>
      </c>
      <c r="M1571" s="6" t="s">
        <v>2747</v>
      </c>
      <c r="N1571" s="6" t="str">
        <f>VLOOKUP(M1571,'Excursion Cause'!$A$1:$B$34,2,FALSE)</f>
        <v>Grease Blockage</v>
      </c>
      <c r="O1571" s="21">
        <v>44735.0</v>
      </c>
      <c r="P1571" s="6" t="s">
        <v>810</v>
      </c>
      <c r="Q1571" s="21">
        <v>44735.0</v>
      </c>
      <c r="R1571" s="6" t="s">
        <v>1342</v>
      </c>
      <c r="S1571" s="20">
        <v>2.0</v>
      </c>
      <c r="T1571" s="6" t="s">
        <v>2748</v>
      </c>
      <c r="U1571" s="6"/>
      <c r="V1571" s="6"/>
      <c r="W1571" s="6">
        <v>29.8173822</v>
      </c>
      <c r="X1571" s="6">
        <v>-95.4748116</v>
      </c>
    </row>
    <row r="1572" ht="15.75" customHeight="1">
      <c r="A1572" s="6">
        <v>47817.0</v>
      </c>
      <c r="B1572" s="6">
        <v>2022.0</v>
      </c>
      <c r="C1572" s="6" t="str">
        <f t="shared" si="5"/>
        <v>3800 AUDLEY ST,Houston,Texas</v>
      </c>
      <c r="D1572" s="6" t="s">
        <v>2042</v>
      </c>
      <c r="E1572" s="6" t="s">
        <v>25</v>
      </c>
      <c r="F1572" s="6" t="s">
        <v>26</v>
      </c>
      <c r="G1572" s="6" t="s">
        <v>112</v>
      </c>
      <c r="H1572" s="6" t="s">
        <v>1724</v>
      </c>
      <c r="I1572" s="6" t="str">
        <f>VLOOKUP(H1572,'Flow Location'!$A$1:$B$21,2,FALSE)</f>
        <v>Storm Sewer (not contained)</v>
      </c>
      <c r="J1572" s="20">
        <v>690.0</v>
      </c>
      <c r="K1572" s="6" t="s">
        <v>29</v>
      </c>
      <c r="L1572" s="6" t="str">
        <f>VLOOKUP(K1572,'Structure type'!$A$1:$B$15,2,FALSE)</f>
        <v>Manhole</v>
      </c>
      <c r="M1572" s="6" t="s">
        <v>2749</v>
      </c>
      <c r="N1572" s="6" t="str">
        <f>VLOOKUP(M1572,'Excursion Cause'!$A$1:$B$34,2,FALSE)</f>
        <v>Grease Blockage</v>
      </c>
      <c r="O1572" s="21">
        <v>44735.0</v>
      </c>
      <c r="P1572" s="6" t="s">
        <v>142</v>
      </c>
      <c r="Q1572" s="21">
        <v>44735.0</v>
      </c>
      <c r="R1572" s="6" t="s">
        <v>1090</v>
      </c>
      <c r="S1572" s="20">
        <v>2.0</v>
      </c>
      <c r="T1572" s="6" t="s">
        <v>2750</v>
      </c>
      <c r="U1572" s="6"/>
      <c r="V1572" s="6"/>
      <c r="W1572" s="6">
        <v>29.7324479</v>
      </c>
      <c r="X1572" s="6">
        <v>-95.4266443</v>
      </c>
    </row>
    <row r="1573" ht="15.75" customHeight="1">
      <c r="A1573" s="6">
        <v>47819.0</v>
      </c>
      <c r="B1573" s="6">
        <v>2022.0</v>
      </c>
      <c r="C1573" s="6" t="str">
        <f t="shared" si="5"/>
        <v>15004 CROSSWINDS DR,Houston,Texas</v>
      </c>
      <c r="D1573" s="6" t="s">
        <v>2751</v>
      </c>
      <c r="E1573" s="6" t="s">
        <v>25</v>
      </c>
      <c r="F1573" s="6" t="s">
        <v>26</v>
      </c>
      <c r="G1573" s="6" t="s">
        <v>1210</v>
      </c>
      <c r="H1573" s="6" t="s">
        <v>2275</v>
      </c>
      <c r="I1573" s="6" t="str">
        <f>VLOOKUP(H1573,'Flow Location'!$A$1:$B$21,2,FALSE)</f>
        <v>Contained On Site, not within 5 ft. of Bayou/Surface Water/Drainage Ditch</v>
      </c>
      <c r="J1573" s="20">
        <v>975.0</v>
      </c>
      <c r="K1573" s="6" t="s">
        <v>29</v>
      </c>
      <c r="L1573" s="6" t="str">
        <f>VLOOKUP(K1573,'Structure type'!$A$1:$B$15,2,FALSE)</f>
        <v>Manhole</v>
      </c>
      <c r="M1573" s="6" t="s">
        <v>2752</v>
      </c>
      <c r="N1573" s="6" t="str">
        <f>VLOOKUP(M1573,'Excursion Cause'!$A$1:$B$34,2,FALSE)</f>
        <v>Collection system temporary blockage</v>
      </c>
      <c r="O1573" s="21">
        <v>44735.0</v>
      </c>
      <c r="P1573" s="6" t="s">
        <v>315</v>
      </c>
      <c r="Q1573" s="21">
        <v>44735.0</v>
      </c>
      <c r="R1573" s="6" t="s">
        <v>872</v>
      </c>
      <c r="S1573" s="20">
        <v>13.0</v>
      </c>
      <c r="T1573" s="6" t="s">
        <v>193</v>
      </c>
      <c r="U1573" s="6"/>
      <c r="V1573" s="6"/>
      <c r="W1573" s="6">
        <v>29.9372613</v>
      </c>
      <c r="X1573" s="6">
        <v>-95.3132432</v>
      </c>
    </row>
    <row r="1574" ht="15.75" customHeight="1">
      <c r="A1574" s="6">
        <v>47829.0</v>
      </c>
      <c r="B1574" s="6">
        <v>2022.0</v>
      </c>
      <c r="C1574" s="6" t="str">
        <f t="shared" si="5"/>
        <v>1434 SILVERDALE ST,Houston,Texas</v>
      </c>
      <c r="D1574" s="6" t="s">
        <v>1949</v>
      </c>
      <c r="E1574" s="6" t="s">
        <v>25</v>
      </c>
      <c r="F1574" s="6" t="s">
        <v>26</v>
      </c>
      <c r="G1574" s="6" t="s">
        <v>247</v>
      </c>
      <c r="H1574" s="6" t="s">
        <v>50</v>
      </c>
      <c r="I1574" s="6" t="str">
        <f>VLOOKUP(H1574,'Flow Location'!$A$1:$B$21,2,FALSE)</f>
        <v>Contained On Site, not within 5 ft. of Bayou/Surface Water/Drainage Ditch</v>
      </c>
      <c r="J1574" s="20">
        <v>0.0</v>
      </c>
      <c r="K1574" s="6" t="s">
        <v>29</v>
      </c>
      <c r="L1574" s="6" t="str">
        <f>VLOOKUP(K1574,'Structure type'!$A$1:$B$15,2,FALSE)</f>
        <v>Manhole</v>
      </c>
      <c r="M1574" s="6" t="s">
        <v>30</v>
      </c>
      <c r="N1574" s="6" t="str">
        <f>VLOOKUP(M1574,'Excursion Cause'!$A$1:$B$34,2,FALSE)</f>
        <v>Grease Blockage</v>
      </c>
      <c r="O1574" s="21">
        <v>44736.0</v>
      </c>
      <c r="P1574" s="6" t="s">
        <v>356</v>
      </c>
      <c r="Q1574" s="21">
        <v>44736.0</v>
      </c>
      <c r="R1574" s="6" t="s">
        <v>309</v>
      </c>
      <c r="S1574" s="20">
        <v>0.0</v>
      </c>
      <c r="T1574" s="6" t="s">
        <v>59</v>
      </c>
      <c r="U1574" s="6"/>
      <c r="V1574" s="6"/>
      <c r="W1574" s="6">
        <v>29.764721</v>
      </c>
      <c r="X1574" s="6">
        <v>-95.2751781</v>
      </c>
    </row>
    <row r="1575" ht="15.75" customHeight="1">
      <c r="A1575" s="6">
        <v>48832.0</v>
      </c>
      <c r="B1575" s="6">
        <v>2022.0</v>
      </c>
      <c r="C1575" s="6" t="str">
        <f t="shared" si="5"/>
        <v>1554 ELLIOTT ST,Houston,Texas</v>
      </c>
      <c r="D1575" s="6" t="s">
        <v>2753</v>
      </c>
      <c r="E1575" s="6" t="s">
        <v>25</v>
      </c>
      <c r="F1575" s="6" t="s">
        <v>26</v>
      </c>
      <c r="G1575" s="6" t="s">
        <v>141</v>
      </c>
      <c r="H1575" s="6" t="s">
        <v>2275</v>
      </c>
      <c r="I1575" s="6" t="str">
        <f>VLOOKUP(H1575,'Flow Location'!$A$1:$B$21,2,FALSE)</f>
        <v>Contained On Site, not within 5 ft. of Bayou/Surface Water/Drainage Ditch</v>
      </c>
      <c r="J1575" s="20">
        <v>0.0</v>
      </c>
      <c r="K1575" s="6" t="s">
        <v>29</v>
      </c>
      <c r="L1575" s="6" t="str">
        <f>VLOOKUP(K1575,'Structure type'!$A$1:$B$15,2,FALSE)</f>
        <v>Manhole</v>
      </c>
      <c r="M1575" s="6" t="s">
        <v>30</v>
      </c>
      <c r="N1575" s="6" t="str">
        <f>VLOOKUP(M1575,'Excursion Cause'!$A$1:$B$34,2,FALSE)</f>
        <v>Grease Blockage</v>
      </c>
      <c r="O1575" s="21">
        <v>44737.0</v>
      </c>
      <c r="P1575" s="6" t="s">
        <v>924</v>
      </c>
      <c r="Q1575" s="21">
        <v>44737.0</v>
      </c>
      <c r="R1575" s="6" t="s">
        <v>2479</v>
      </c>
      <c r="S1575" s="20">
        <v>0.0</v>
      </c>
      <c r="T1575" s="6" t="s">
        <v>59</v>
      </c>
      <c r="U1575" s="6"/>
      <c r="V1575" s="6"/>
      <c r="W1575" s="6">
        <v>29.7270182</v>
      </c>
      <c r="X1575" s="6">
        <v>-95.326527</v>
      </c>
    </row>
    <row r="1576" ht="15.75" customHeight="1">
      <c r="A1576" s="6">
        <v>48833.0</v>
      </c>
      <c r="B1576" s="6">
        <v>2022.0</v>
      </c>
      <c r="C1576" s="6" t="str">
        <f t="shared" si="5"/>
        <v>5514 HIRSCH RD,Houston,Texas</v>
      </c>
      <c r="D1576" s="6" t="s">
        <v>2754</v>
      </c>
      <c r="E1576" s="6" t="s">
        <v>25</v>
      </c>
      <c r="F1576" s="6" t="s">
        <v>26</v>
      </c>
      <c r="G1576" s="6" t="s">
        <v>43</v>
      </c>
      <c r="H1576" s="6" t="s">
        <v>1724</v>
      </c>
      <c r="I1576" s="6" t="str">
        <f>VLOOKUP(H1576,'Flow Location'!$A$1:$B$21,2,FALSE)</f>
        <v>Storm Sewer (not contained)</v>
      </c>
      <c r="J1576" s="20">
        <v>81.0</v>
      </c>
      <c r="K1576" s="6" t="s">
        <v>29</v>
      </c>
      <c r="L1576" s="6" t="str">
        <f>VLOOKUP(K1576,'Structure type'!$A$1:$B$15,2,FALSE)</f>
        <v>Manhole</v>
      </c>
      <c r="M1576" s="6" t="s">
        <v>2755</v>
      </c>
      <c r="N1576" s="6" t="str">
        <f>VLOOKUP(M1576,'Excursion Cause'!$A$1:$B$34,2,FALSE)</f>
        <v>Grease Blockage</v>
      </c>
      <c r="O1576" s="21">
        <v>44737.0</v>
      </c>
      <c r="P1576" s="6" t="s">
        <v>1023</v>
      </c>
      <c r="Q1576" s="21">
        <v>44737.0</v>
      </c>
      <c r="R1576" s="6" t="s">
        <v>196</v>
      </c>
      <c r="S1576" s="20">
        <v>1.0</v>
      </c>
      <c r="T1576" s="6" t="s">
        <v>2756</v>
      </c>
      <c r="U1576" s="6"/>
      <c r="V1576" s="6"/>
      <c r="W1576" s="6">
        <v>29.8104925</v>
      </c>
      <c r="X1576" s="6">
        <v>-95.3279982</v>
      </c>
    </row>
    <row r="1577" ht="15.75" customHeight="1">
      <c r="A1577" s="6">
        <v>48835.0</v>
      </c>
      <c r="B1577" s="6">
        <v>2022.0</v>
      </c>
      <c r="C1577" s="6" t="str">
        <f t="shared" si="5"/>
        <v>1444 ALEXANDER ST,Houston,Texas</v>
      </c>
      <c r="D1577" s="6" t="s">
        <v>2757</v>
      </c>
      <c r="E1577" s="6" t="s">
        <v>25</v>
      </c>
      <c r="F1577" s="6" t="s">
        <v>26</v>
      </c>
      <c r="G1577" s="6" t="s">
        <v>232</v>
      </c>
      <c r="H1577" s="6" t="s">
        <v>1397</v>
      </c>
      <c r="I1577" s="6" t="str">
        <f>VLOOKUP(H1577,'Flow Location'!$A$1:$B$21,2,FALSE)</f>
        <v>Bayou/surface water/drainage ditch</v>
      </c>
      <c r="J1577" s="20">
        <v>0.0</v>
      </c>
      <c r="K1577" s="6" t="s">
        <v>29</v>
      </c>
      <c r="L1577" s="6" t="str">
        <f>VLOOKUP(K1577,'Structure type'!$A$1:$B$15,2,FALSE)</f>
        <v>Manhole</v>
      </c>
      <c r="M1577" s="6" t="s">
        <v>30</v>
      </c>
      <c r="N1577" s="6" t="str">
        <f>VLOOKUP(M1577,'Excursion Cause'!$A$1:$B$34,2,FALSE)</f>
        <v>Grease Blockage</v>
      </c>
      <c r="O1577" s="21">
        <v>44738.0</v>
      </c>
      <c r="P1577" s="6" t="s">
        <v>1119</v>
      </c>
      <c r="Q1577" s="21">
        <v>44738.0</v>
      </c>
      <c r="R1577" s="6" t="s">
        <v>1526</v>
      </c>
      <c r="S1577" s="20">
        <v>0.0</v>
      </c>
      <c r="T1577" s="6" t="s">
        <v>33</v>
      </c>
      <c r="U1577" s="6"/>
      <c r="V1577" s="6"/>
      <c r="W1577" s="6">
        <v>29.7976606</v>
      </c>
      <c r="X1577" s="6">
        <v>-95.4081779</v>
      </c>
    </row>
    <row r="1578" ht="15.75" customHeight="1">
      <c r="A1578" s="6">
        <v>48843.0</v>
      </c>
      <c r="B1578" s="6">
        <v>2022.0</v>
      </c>
      <c r="C1578" s="6" t="str">
        <f t="shared" si="5"/>
        <v>10402 TOWN AND COUNTRY
WAY,Houston,Texas</v>
      </c>
      <c r="D1578" s="25" t="s">
        <v>2758</v>
      </c>
      <c r="E1578" s="6" t="s">
        <v>25</v>
      </c>
      <c r="F1578" s="6" t="s">
        <v>26</v>
      </c>
      <c r="G1578" s="6" t="s">
        <v>123</v>
      </c>
      <c r="H1578" s="6" t="s">
        <v>1724</v>
      </c>
      <c r="I1578" s="6" t="str">
        <f>VLOOKUP(H1578,'Flow Location'!$A$1:$B$21,2,FALSE)</f>
        <v>Storm Sewer (not contained)</v>
      </c>
      <c r="J1578" s="20">
        <v>4086.0</v>
      </c>
      <c r="K1578" s="6" t="s">
        <v>29</v>
      </c>
      <c r="L1578" s="6" t="str">
        <f>VLOOKUP(K1578,'Structure type'!$A$1:$B$15,2,FALSE)</f>
        <v>Manhole</v>
      </c>
      <c r="M1578" s="6" t="s">
        <v>2759</v>
      </c>
      <c r="N1578" s="6" t="str">
        <f>VLOOKUP(M1578,'Excursion Cause'!$A$1:$B$34,2,FALSE)</f>
        <v>Grease Blockage</v>
      </c>
      <c r="O1578" s="21">
        <v>44739.0</v>
      </c>
      <c r="P1578" s="6" t="s">
        <v>841</v>
      </c>
      <c r="Q1578" s="21">
        <v>44740.0</v>
      </c>
      <c r="R1578" s="6" t="s">
        <v>125</v>
      </c>
      <c r="S1578" s="20">
        <v>3.0</v>
      </c>
      <c r="T1578" s="6" t="s">
        <v>2760</v>
      </c>
      <c r="U1578" s="6"/>
      <c r="V1578" s="6"/>
      <c r="W1578" s="6">
        <v>29.782037</v>
      </c>
      <c r="X1578" s="6">
        <v>-95.5543315</v>
      </c>
    </row>
    <row r="1579" ht="15.75" customHeight="1">
      <c r="A1579" s="6">
        <v>48852.0</v>
      </c>
      <c r="B1579" s="6">
        <v>2022.0</v>
      </c>
      <c r="C1579" s="6" t="str">
        <f t="shared" si="5"/>
        <v>9717 BEVLYN DR,Houston,Texas</v>
      </c>
      <c r="D1579" s="6" t="s">
        <v>2761</v>
      </c>
      <c r="E1579" s="6" t="s">
        <v>25</v>
      </c>
      <c r="F1579" s="6" t="s">
        <v>26</v>
      </c>
      <c r="G1579" s="6" t="s">
        <v>65</v>
      </c>
      <c r="H1579" s="6" t="s">
        <v>2275</v>
      </c>
      <c r="I1579" s="6" t="str">
        <f>VLOOKUP(H1579,'Flow Location'!$A$1:$B$21,2,FALSE)</f>
        <v>Contained On Site, not within 5 ft. of Bayou/Surface Water/Drainage Ditch</v>
      </c>
      <c r="J1579" s="20">
        <v>465.0</v>
      </c>
      <c r="K1579" s="6" t="s">
        <v>29</v>
      </c>
      <c r="L1579" s="6" t="str">
        <f>VLOOKUP(K1579,'Structure type'!$A$1:$B$15,2,FALSE)</f>
        <v>Manhole</v>
      </c>
      <c r="M1579" s="6" t="s">
        <v>30</v>
      </c>
      <c r="N1579" s="6" t="str">
        <f>VLOOKUP(M1579,'Excursion Cause'!$A$1:$B$34,2,FALSE)</f>
        <v>Grease Blockage</v>
      </c>
      <c r="O1579" s="21">
        <v>44740.0</v>
      </c>
      <c r="P1579" s="6" t="s">
        <v>1229</v>
      </c>
      <c r="Q1579" s="21">
        <v>44740.0</v>
      </c>
      <c r="R1579" s="6" t="s">
        <v>2410</v>
      </c>
      <c r="S1579" s="20">
        <v>1.0</v>
      </c>
      <c r="T1579" s="6" t="s">
        <v>33</v>
      </c>
      <c r="U1579" s="6"/>
      <c r="V1579" s="6"/>
      <c r="W1579" s="6">
        <v>29.6809597</v>
      </c>
      <c r="X1579" s="6">
        <v>-95.4303255</v>
      </c>
    </row>
    <row r="1580" ht="15.75" customHeight="1">
      <c r="A1580" s="6">
        <v>48855.0</v>
      </c>
      <c r="B1580" s="6">
        <v>2022.0</v>
      </c>
      <c r="C1580" s="6" t="str">
        <f t="shared" si="5"/>
        <v>50 SORTERS MCCLELLAN RD,Houston,Texas</v>
      </c>
      <c r="D1580" s="6" t="s">
        <v>2762</v>
      </c>
      <c r="E1580" s="6" t="s">
        <v>25</v>
      </c>
      <c r="F1580" s="6" t="s">
        <v>26</v>
      </c>
      <c r="G1580" s="6" t="s">
        <v>1078</v>
      </c>
      <c r="H1580" s="6" t="s">
        <v>50</v>
      </c>
      <c r="I1580" s="6" t="str">
        <f>VLOOKUP(H1580,'Flow Location'!$A$1:$B$21,2,FALSE)</f>
        <v>Contained On Site, not within 5 ft. of Bayou/Surface Water/Drainage Ditch</v>
      </c>
      <c r="J1580" s="20">
        <v>2580.0</v>
      </c>
      <c r="K1580" s="6" t="s">
        <v>29</v>
      </c>
      <c r="L1580" s="6" t="str">
        <f>VLOOKUP(K1580,'Structure type'!$A$1:$B$15,2,FALSE)</f>
        <v>Manhole</v>
      </c>
      <c r="M1580" s="6" t="s">
        <v>52</v>
      </c>
      <c r="N1580" s="6" t="str">
        <f>VLOOKUP(M1580,'Excursion Cause'!$A$1:$B$34,2,FALSE)</f>
        <v>Collection system structural blockage</v>
      </c>
      <c r="O1580" s="21">
        <v>44740.0</v>
      </c>
      <c r="P1580" s="6" t="s">
        <v>291</v>
      </c>
      <c r="Q1580" s="21">
        <v>44740.0</v>
      </c>
      <c r="R1580" s="6" t="s">
        <v>2763</v>
      </c>
      <c r="S1580" s="20">
        <v>30.0</v>
      </c>
      <c r="T1580" s="6" t="s">
        <v>2656</v>
      </c>
      <c r="U1580" s="6"/>
      <c r="V1580" s="6"/>
      <c r="W1580" s="6">
        <v>30.0352761</v>
      </c>
      <c r="X1580" s="6">
        <v>-95.258508</v>
      </c>
    </row>
    <row r="1581" ht="15.75" customHeight="1">
      <c r="A1581" s="6">
        <v>48861.0</v>
      </c>
      <c r="B1581" s="6">
        <v>2022.0</v>
      </c>
      <c r="C1581" s="6" t="str">
        <f t="shared" si="5"/>
        <v>230 VICTORIA DR,Houston,Texas</v>
      </c>
      <c r="D1581" s="6" t="s">
        <v>1851</v>
      </c>
      <c r="E1581" s="6" t="s">
        <v>25</v>
      </c>
      <c r="F1581" s="6" t="s">
        <v>26</v>
      </c>
      <c r="G1581" s="6" t="s">
        <v>653</v>
      </c>
      <c r="H1581" s="6" t="s">
        <v>1397</v>
      </c>
      <c r="I1581" s="6" t="str">
        <f>VLOOKUP(H1581,'Flow Location'!$A$1:$B$21,2,FALSE)</f>
        <v>Bayou/surface water/drainage ditch</v>
      </c>
      <c r="J1581" s="20">
        <v>0.0</v>
      </c>
      <c r="K1581" s="6" t="s">
        <v>29</v>
      </c>
      <c r="L1581" s="6" t="str">
        <f>VLOOKUP(K1581,'Structure type'!$A$1:$B$15,2,FALSE)</f>
        <v>Manhole</v>
      </c>
      <c r="M1581" s="6" t="s">
        <v>30</v>
      </c>
      <c r="N1581" s="6" t="str">
        <f>VLOOKUP(M1581,'Excursion Cause'!$A$1:$B$34,2,FALSE)</f>
        <v>Grease Blockage</v>
      </c>
      <c r="O1581" s="21">
        <v>44741.0</v>
      </c>
      <c r="P1581" s="6" t="s">
        <v>1827</v>
      </c>
      <c r="Q1581" s="21">
        <v>44741.0</v>
      </c>
      <c r="R1581" s="6" t="s">
        <v>491</v>
      </c>
      <c r="S1581" s="20">
        <v>0.0</v>
      </c>
      <c r="T1581" s="6" t="s">
        <v>33</v>
      </c>
      <c r="U1581" s="6"/>
      <c r="V1581" s="6"/>
      <c r="W1581" s="6">
        <v>29.8353789</v>
      </c>
      <c r="X1581" s="6">
        <v>-95.3988021</v>
      </c>
    </row>
    <row r="1582" ht="15.75" customHeight="1">
      <c r="A1582" s="6">
        <v>48866.0</v>
      </c>
      <c r="B1582" s="6">
        <v>2022.0</v>
      </c>
      <c r="C1582" s="6" t="str">
        <f t="shared" si="5"/>
        <v>4400 N SHEPHERD DR,Houston,Texas</v>
      </c>
      <c r="D1582" s="6" t="s">
        <v>2764</v>
      </c>
      <c r="E1582" s="6" t="s">
        <v>25</v>
      </c>
      <c r="F1582" s="6" t="s">
        <v>26</v>
      </c>
      <c r="G1582" s="6" t="s">
        <v>218</v>
      </c>
      <c r="H1582" s="6" t="s">
        <v>1724</v>
      </c>
      <c r="I1582" s="6" t="str">
        <f>VLOOKUP(H1582,'Flow Location'!$A$1:$B$21,2,FALSE)</f>
        <v>Storm Sewer (not contained)</v>
      </c>
      <c r="J1582" s="20">
        <v>267.0</v>
      </c>
      <c r="K1582" s="6" t="s">
        <v>29</v>
      </c>
      <c r="L1582" s="6" t="str">
        <f>VLOOKUP(K1582,'Structure type'!$A$1:$B$15,2,FALSE)</f>
        <v>Manhole</v>
      </c>
      <c r="M1582" s="6" t="s">
        <v>56</v>
      </c>
      <c r="N1582" s="6" t="str">
        <f>VLOOKUP(M1582,'Excursion Cause'!$A$1:$B$34,2,FALSE)</f>
        <v>Rags/Wipes</v>
      </c>
      <c r="O1582" s="21">
        <v>44742.0</v>
      </c>
      <c r="P1582" s="6" t="s">
        <v>2765</v>
      </c>
      <c r="Q1582" s="21">
        <v>44742.0</v>
      </c>
      <c r="R1582" s="6" t="s">
        <v>2766</v>
      </c>
      <c r="S1582" s="20">
        <v>1.0</v>
      </c>
      <c r="T1582" s="6" t="s">
        <v>2767</v>
      </c>
      <c r="U1582" s="6"/>
      <c r="V1582" s="6"/>
      <c r="W1582" s="6">
        <v>29.8282398</v>
      </c>
      <c r="X1582" s="6">
        <v>-95.410427</v>
      </c>
    </row>
    <row r="1583" ht="15.75" customHeight="1">
      <c r="A1583" s="6">
        <v>48868.0</v>
      </c>
      <c r="B1583" s="6">
        <v>2022.0</v>
      </c>
      <c r="C1583" s="6" t="str">
        <f t="shared" si="5"/>
        <v>12210 W BELLFORT ST,Houston,Texas</v>
      </c>
      <c r="D1583" s="6" t="s">
        <v>2768</v>
      </c>
      <c r="E1583" s="6" t="s">
        <v>25</v>
      </c>
      <c r="F1583" s="6" t="s">
        <v>26</v>
      </c>
      <c r="G1583" s="6" t="s">
        <v>189</v>
      </c>
      <c r="H1583" s="6" t="s">
        <v>28</v>
      </c>
      <c r="I1583" s="6" t="str">
        <f>VLOOKUP(H1583,'Flow Location'!$A$1:$B$21,2,FALSE)</f>
        <v>Storm Sewer (not contained)</v>
      </c>
      <c r="J1583" s="20">
        <v>1032.0</v>
      </c>
      <c r="K1583" s="6" t="s">
        <v>190</v>
      </c>
      <c r="L1583" s="6" t="str">
        <f>VLOOKUP(K1583,'Structure type'!$A$1:$B$15,2,FALSE)</f>
        <v>Force Main</v>
      </c>
      <c r="M1583" s="6" t="s">
        <v>620</v>
      </c>
      <c r="N1583" s="6" t="str">
        <f>VLOOKUP(M1583,'Excursion Cause'!$A$1:$B$34,2,FALSE)</f>
        <v>Air Relief Valve (ARV) Failure</v>
      </c>
      <c r="O1583" s="21">
        <v>44742.0</v>
      </c>
      <c r="P1583" s="6" t="s">
        <v>684</v>
      </c>
      <c r="Q1583" s="21">
        <v>44742.0</v>
      </c>
      <c r="R1583" s="6" t="s">
        <v>537</v>
      </c>
      <c r="S1583" s="20">
        <v>3.0</v>
      </c>
      <c r="T1583" s="6" t="s">
        <v>118</v>
      </c>
      <c r="U1583" s="6"/>
      <c r="V1583" s="6"/>
      <c r="W1583" s="6">
        <v>29.6593437</v>
      </c>
      <c r="X1583" s="6">
        <v>-95.5922951</v>
      </c>
    </row>
    <row r="1584" ht="15.75" customHeight="1">
      <c r="A1584" s="6">
        <v>48876.0</v>
      </c>
      <c r="B1584" s="6">
        <v>2022.0</v>
      </c>
      <c r="C1584" s="6" t="str">
        <f t="shared" si="5"/>
        <v>1301 WAYSIDE DR,Houston,Texas</v>
      </c>
      <c r="D1584" s="6" t="s">
        <v>459</v>
      </c>
      <c r="E1584" s="6" t="s">
        <v>25</v>
      </c>
      <c r="F1584" s="6" t="s">
        <v>26</v>
      </c>
      <c r="G1584" s="6" t="s">
        <v>227</v>
      </c>
      <c r="H1584" s="6" t="s">
        <v>28</v>
      </c>
      <c r="I1584" s="6" t="str">
        <f>VLOOKUP(H1584,'Flow Location'!$A$1:$B$21,2,FALSE)</f>
        <v>Storm Sewer (not contained)</v>
      </c>
      <c r="J1584" s="20">
        <v>6048.0</v>
      </c>
      <c r="K1584" s="6" t="s">
        <v>29</v>
      </c>
      <c r="L1584" s="6" t="str">
        <f>VLOOKUP(K1584,'Structure type'!$A$1:$B$15,2,FALSE)</f>
        <v>Manhole</v>
      </c>
      <c r="M1584" s="6" t="s">
        <v>2769</v>
      </c>
      <c r="N1584" s="6" t="str">
        <f>VLOOKUP(M1584,'Excursion Cause'!$A$1:$B$34,2,FALSE)</f>
        <v>Collection system ‐ wet weather</v>
      </c>
      <c r="O1584" s="21">
        <v>44743.0</v>
      </c>
      <c r="P1584" s="6" t="s">
        <v>711</v>
      </c>
      <c r="Q1584" s="21">
        <v>44743.0</v>
      </c>
      <c r="R1584" s="6" t="s">
        <v>917</v>
      </c>
      <c r="S1584" s="20">
        <v>10.0</v>
      </c>
      <c r="T1584" s="6" t="s">
        <v>118</v>
      </c>
      <c r="U1584" s="6"/>
      <c r="V1584" s="6"/>
      <c r="W1584" s="6">
        <v>29.7730511</v>
      </c>
      <c r="X1584" s="6">
        <v>-95.2917465</v>
      </c>
    </row>
    <row r="1585" ht="15.75" customHeight="1">
      <c r="A1585" s="6">
        <v>48877.0</v>
      </c>
      <c r="B1585" s="6">
        <v>2022.0</v>
      </c>
      <c r="C1585" s="6" t="str">
        <f t="shared" si="5"/>
        <v>6820 LYONS AVE,Houston,Texas</v>
      </c>
      <c r="D1585" s="6" t="s">
        <v>461</v>
      </c>
      <c r="E1585" s="6" t="s">
        <v>25</v>
      </c>
      <c r="F1585" s="6" t="s">
        <v>26</v>
      </c>
      <c r="G1585" s="6" t="s">
        <v>86</v>
      </c>
      <c r="H1585" s="6" t="s">
        <v>28</v>
      </c>
      <c r="I1585" s="6" t="str">
        <f>VLOOKUP(H1585,'Flow Location'!$A$1:$B$21,2,FALSE)</f>
        <v>Storm Sewer (not contained)</v>
      </c>
      <c r="J1585" s="20">
        <v>1228.0</v>
      </c>
      <c r="K1585" s="6" t="s">
        <v>29</v>
      </c>
      <c r="L1585" s="6" t="str">
        <f>VLOOKUP(K1585,'Structure type'!$A$1:$B$15,2,FALSE)</f>
        <v>Manhole</v>
      </c>
      <c r="M1585" s="6" t="s">
        <v>2770</v>
      </c>
      <c r="N1585" s="6" t="str">
        <f>VLOOKUP(M1585,'Excursion Cause'!$A$1:$B$34,2,FALSE)</f>
        <v>Collection system ‐ wet weather</v>
      </c>
      <c r="O1585" s="21">
        <v>44743.0</v>
      </c>
      <c r="P1585" s="6" t="s">
        <v>635</v>
      </c>
      <c r="Q1585" s="21">
        <v>44743.0</v>
      </c>
      <c r="R1585" s="6" t="s">
        <v>637</v>
      </c>
      <c r="S1585" s="20">
        <v>8.0</v>
      </c>
      <c r="T1585" s="6" t="s">
        <v>118</v>
      </c>
      <c r="U1585" s="6"/>
      <c r="V1585" s="6"/>
      <c r="W1585" s="6">
        <v>29.7763237</v>
      </c>
      <c r="X1585" s="6">
        <v>-95.3015022</v>
      </c>
    </row>
    <row r="1586" ht="15.75" customHeight="1">
      <c r="A1586" s="6">
        <v>48880.0</v>
      </c>
      <c r="B1586" s="6">
        <v>2022.0</v>
      </c>
      <c r="C1586" s="6" t="str">
        <f t="shared" si="5"/>
        <v>9002 STERLINGSHIRE ST,Houston,Texas</v>
      </c>
      <c r="D1586" s="6" t="s">
        <v>2771</v>
      </c>
      <c r="E1586" s="6" t="s">
        <v>25</v>
      </c>
      <c r="F1586" s="6" t="s">
        <v>26</v>
      </c>
      <c r="G1586" s="6" t="s">
        <v>387</v>
      </c>
      <c r="H1586" s="6" t="s">
        <v>1724</v>
      </c>
      <c r="I1586" s="6" t="str">
        <f>VLOOKUP(H1586,'Flow Location'!$A$1:$B$21,2,FALSE)</f>
        <v>Storm Sewer (not contained)</v>
      </c>
      <c r="J1586" s="20">
        <v>9662.0</v>
      </c>
      <c r="K1586" s="6" t="s">
        <v>29</v>
      </c>
      <c r="L1586" s="6" t="str">
        <f>VLOOKUP(K1586,'Structure type'!$A$1:$B$15,2,FALSE)</f>
        <v>Manhole</v>
      </c>
      <c r="M1586" s="6" t="s">
        <v>2772</v>
      </c>
      <c r="N1586" s="6" t="str">
        <f>VLOOKUP(M1586,'Excursion Cause'!$A$1:$B$34,2,FALSE)</f>
        <v>Grease Blockage</v>
      </c>
      <c r="O1586" s="21">
        <v>44744.0</v>
      </c>
      <c r="P1586" s="6" t="s">
        <v>341</v>
      </c>
      <c r="Q1586" s="21">
        <v>44747.0</v>
      </c>
      <c r="R1586" s="6" t="s">
        <v>113</v>
      </c>
      <c r="S1586" s="20">
        <v>2.0</v>
      </c>
      <c r="T1586" s="6" t="s">
        <v>2773</v>
      </c>
      <c r="U1586" s="6"/>
      <c r="V1586" s="6"/>
      <c r="W1586" s="6">
        <v>29.8531355</v>
      </c>
      <c r="X1586" s="6">
        <v>-95.2566707</v>
      </c>
    </row>
    <row r="1587" ht="15.75" customHeight="1">
      <c r="A1587" s="6">
        <v>48886.0</v>
      </c>
      <c r="B1587" s="6">
        <v>2022.0</v>
      </c>
      <c r="C1587" s="6" t="str">
        <f t="shared" si="5"/>
        <v>8310 JORINE DR,Houston,Texas</v>
      </c>
      <c r="D1587" s="6" t="s">
        <v>2774</v>
      </c>
      <c r="E1587" s="6" t="s">
        <v>25</v>
      </c>
      <c r="F1587" s="6" t="s">
        <v>26</v>
      </c>
      <c r="G1587" s="6" t="s">
        <v>100</v>
      </c>
      <c r="H1587" s="6" t="s">
        <v>1724</v>
      </c>
      <c r="I1587" s="6" t="str">
        <f>VLOOKUP(H1587,'Flow Location'!$A$1:$B$21,2,FALSE)</f>
        <v>Storm Sewer (not contained)</v>
      </c>
      <c r="J1587" s="20">
        <v>378.0</v>
      </c>
      <c r="K1587" s="6" t="s">
        <v>29</v>
      </c>
      <c r="L1587" s="6" t="str">
        <f>VLOOKUP(K1587,'Structure type'!$A$1:$B$15,2,FALSE)</f>
        <v>Manhole</v>
      </c>
      <c r="M1587" s="6" t="s">
        <v>2775</v>
      </c>
      <c r="N1587" s="6" t="str">
        <f>VLOOKUP(M1587,'Excursion Cause'!$A$1:$B$34,2,FALSE)</f>
        <v>Grease Blockage</v>
      </c>
      <c r="O1587" s="21">
        <v>44747.0</v>
      </c>
      <c r="P1587" s="6" t="s">
        <v>450</v>
      </c>
      <c r="Q1587" s="21">
        <v>44747.0</v>
      </c>
      <c r="R1587" s="6" t="s">
        <v>483</v>
      </c>
      <c r="S1587" s="20">
        <v>2.0</v>
      </c>
      <c r="T1587" s="6" t="s">
        <v>2776</v>
      </c>
      <c r="U1587" s="6"/>
      <c r="V1587" s="6"/>
      <c r="W1587" s="6">
        <v>29.6865484</v>
      </c>
      <c r="X1587" s="6">
        <v>-95.542893</v>
      </c>
    </row>
    <row r="1588" ht="15.75" customHeight="1">
      <c r="A1588" s="6">
        <v>48891.0</v>
      </c>
      <c r="B1588" s="6">
        <v>2022.0</v>
      </c>
      <c r="C1588" s="6" t="str">
        <f t="shared" si="5"/>
        <v>8201 RICHMOND AVE,Houston,Texas</v>
      </c>
      <c r="D1588" s="6" t="s">
        <v>880</v>
      </c>
      <c r="E1588" s="6" t="s">
        <v>25</v>
      </c>
      <c r="F1588" s="6" t="s">
        <v>26</v>
      </c>
      <c r="G1588" s="6" t="s">
        <v>482</v>
      </c>
      <c r="H1588" s="6" t="s">
        <v>1724</v>
      </c>
      <c r="I1588" s="6" t="str">
        <f>VLOOKUP(H1588,'Flow Location'!$A$1:$B$21,2,FALSE)</f>
        <v>Storm Sewer (not contained)</v>
      </c>
      <c r="J1588" s="20">
        <v>196.0</v>
      </c>
      <c r="K1588" s="6" t="s">
        <v>45</v>
      </c>
      <c r="L1588" s="6" t="str">
        <f>VLOOKUP(K1588,'Structure type'!$A$1:$B$15,2,FALSE)</f>
        <v>City Cleanout</v>
      </c>
      <c r="M1588" s="6" t="s">
        <v>2777</v>
      </c>
      <c r="N1588" s="6" t="str">
        <f>VLOOKUP(M1588,'Excursion Cause'!$A$1:$B$34,2,FALSE)</f>
        <v>Grease Blockage</v>
      </c>
      <c r="O1588" s="21">
        <v>44747.0</v>
      </c>
      <c r="P1588" s="6" t="s">
        <v>926</v>
      </c>
      <c r="Q1588" s="21">
        <v>44747.0</v>
      </c>
      <c r="R1588" s="6" t="s">
        <v>215</v>
      </c>
      <c r="S1588" s="20">
        <v>2.0</v>
      </c>
      <c r="T1588" s="6" t="s">
        <v>2778</v>
      </c>
      <c r="U1588" s="6"/>
      <c r="V1588" s="6"/>
      <c r="W1588" s="6">
        <v>29.7282739</v>
      </c>
      <c r="X1588" s="6">
        <v>-95.5128105</v>
      </c>
    </row>
    <row r="1589" ht="15.75" customHeight="1">
      <c r="A1589" s="6">
        <v>48898.0</v>
      </c>
      <c r="B1589" s="6">
        <v>2022.0</v>
      </c>
      <c r="C1589" s="6" t="str">
        <f t="shared" si="5"/>
        <v>5206 ALDINE BENDER RD,Houston,Texas</v>
      </c>
      <c r="D1589" s="6" t="s">
        <v>1209</v>
      </c>
      <c r="E1589" s="6" t="s">
        <v>25</v>
      </c>
      <c r="F1589" s="6" t="s">
        <v>26</v>
      </c>
      <c r="G1589" s="6" t="s">
        <v>1210</v>
      </c>
      <c r="H1589" s="6" t="s">
        <v>1724</v>
      </c>
      <c r="I1589" s="6" t="str">
        <f>VLOOKUP(H1589,'Flow Location'!$A$1:$B$21,2,FALSE)</f>
        <v>Storm Sewer (not contained)</v>
      </c>
      <c r="J1589" s="20">
        <v>3820.0</v>
      </c>
      <c r="K1589" s="6" t="s">
        <v>29</v>
      </c>
      <c r="L1589" s="6" t="str">
        <f>VLOOKUP(K1589,'Structure type'!$A$1:$B$15,2,FALSE)</f>
        <v>Manhole</v>
      </c>
      <c r="M1589" s="6" t="s">
        <v>2779</v>
      </c>
      <c r="N1589" s="6" t="str">
        <f>VLOOKUP(M1589,'Excursion Cause'!$A$1:$B$34,2,FALSE)</f>
        <v>Grease Blockage</v>
      </c>
      <c r="O1589" s="21">
        <v>44748.0</v>
      </c>
      <c r="P1589" s="6" t="s">
        <v>624</v>
      </c>
      <c r="Q1589" s="21">
        <v>44748.0</v>
      </c>
      <c r="R1589" s="6" t="s">
        <v>159</v>
      </c>
      <c r="S1589" s="20">
        <v>20.0</v>
      </c>
      <c r="T1589" s="6" t="s">
        <v>2780</v>
      </c>
      <c r="U1589" s="6"/>
      <c r="V1589" s="6"/>
      <c r="W1589" s="6">
        <v>29.9301239</v>
      </c>
      <c r="X1589" s="6">
        <v>-95.3133994</v>
      </c>
    </row>
    <row r="1590" ht="15.75" customHeight="1">
      <c r="A1590" s="6">
        <v>48899.0</v>
      </c>
      <c r="B1590" s="6">
        <v>2022.0</v>
      </c>
      <c r="C1590" s="6" t="str">
        <f t="shared" si="5"/>
        <v>5206 ALDINE BENDER RD,Houston,Texas</v>
      </c>
      <c r="D1590" s="6" t="s">
        <v>1209</v>
      </c>
      <c r="E1590" s="6" t="s">
        <v>25</v>
      </c>
      <c r="F1590" s="6" t="s">
        <v>26</v>
      </c>
      <c r="G1590" s="6" t="s">
        <v>1210</v>
      </c>
      <c r="H1590" s="6" t="s">
        <v>1724</v>
      </c>
      <c r="I1590" s="6" t="str">
        <f>VLOOKUP(H1590,'Flow Location'!$A$1:$B$21,2,FALSE)</f>
        <v>Storm Sewer (not contained)</v>
      </c>
      <c r="J1590" s="20">
        <v>573.0</v>
      </c>
      <c r="K1590" s="6" t="s">
        <v>29</v>
      </c>
      <c r="L1590" s="6" t="str">
        <f>VLOOKUP(K1590,'Structure type'!$A$1:$B$15,2,FALSE)</f>
        <v>Manhole</v>
      </c>
      <c r="M1590" s="6" t="s">
        <v>2781</v>
      </c>
      <c r="N1590" s="6" t="str">
        <f>VLOOKUP(M1590,'Excursion Cause'!$A$1:$B$34,2,FALSE)</f>
        <v>Grease Blockage</v>
      </c>
      <c r="O1590" s="21">
        <v>44748.0</v>
      </c>
      <c r="P1590" s="6" t="s">
        <v>624</v>
      </c>
      <c r="Q1590" s="21">
        <v>44748.0</v>
      </c>
      <c r="R1590" s="6" t="s">
        <v>159</v>
      </c>
      <c r="S1590" s="20">
        <v>3.0</v>
      </c>
      <c r="T1590" s="6" t="s">
        <v>2782</v>
      </c>
      <c r="U1590" s="6"/>
      <c r="V1590" s="6"/>
      <c r="W1590" s="6">
        <v>29.9301239</v>
      </c>
      <c r="X1590" s="6">
        <v>-95.3133994</v>
      </c>
    </row>
    <row r="1591" ht="15.75" customHeight="1">
      <c r="A1591" s="6">
        <v>48900.0</v>
      </c>
      <c r="B1591" s="6">
        <v>2022.0</v>
      </c>
      <c r="C1591" s="6" t="str">
        <f t="shared" si="5"/>
        <v>5264 AEROPARK DR,Houston,Texas</v>
      </c>
      <c r="D1591" s="6" t="s">
        <v>2783</v>
      </c>
      <c r="E1591" s="6" t="s">
        <v>25</v>
      </c>
      <c r="F1591" s="6" t="s">
        <v>26</v>
      </c>
      <c r="G1591" s="6" t="s">
        <v>1210</v>
      </c>
      <c r="H1591" s="6" t="s">
        <v>1724</v>
      </c>
      <c r="I1591" s="6" t="str">
        <f>VLOOKUP(H1591,'Flow Location'!$A$1:$B$21,2,FALSE)</f>
        <v>Storm Sewer (not contained)</v>
      </c>
      <c r="J1591" s="20">
        <v>191.0</v>
      </c>
      <c r="K1591" s="6" t="s">
        <v>29</v>
      </c>
      <c r="L1591" s="6" t="str">
        <f>VLOOKUP(K1591,'Structure type'!$A$1:$B$15,2,FALSE)</f>
        <v>Manhole</v>
      </c>
      <c r="M1591" s="6" t="s">
        <v>2784</v>
      </c>
      <c r="N1591" s="6" t="str">
        <f>VLOOKUP(M1591,'Excursion Cause'!$A$1:$B$34,2,FALSE)</f>
        <v>Grease Blockage</v>
      </c>
      <c r="O1591" s="21">
        <v>44748.0</v>
      </c>
      <c r="P1591" s="6" t="s">
        <v>624</v>
      </c>
      <c r="Q1591" s="21">
        <v>44748.0</v>
      </c>
      <c r="R1591" s="6" t="s">
        <v>159</v>
      </c>
      <c r="S1591" s="20">
        <v>1.0</v>
      </c>
      <c r="T1591" s="6" t="s">
        <v>2785</v>
      </c>
      <c r="U1591" s="6"/>
      <c r="V1591" s="6"/>
      <c r="W1591" s="6">
        <v>29.9349467</v>
      </c>
      <c r="X1591" s="6">
        <v>-95.3134209</v>
      </c>
    </row>
    <row r="1592" ht="15.75" customHeight="1">
      <c r="A1592" s="6">
        <v>48904.0</v>
      </c>
      <c r="B1592" s="6">
        <v>2022.0</v>
      </c>
      <c r="C1592" s="6" t="str">
        <f t="shared" si="5"/>
        <v>4305 ROGERS ST,Houston,Texas</v>
      </c>
      <c r="D1592" s="6" t="s">
        <v>2786</v>
      </c>
      <c r="E1592" s="6" t="s">
        <v>25</v>
      </c>
      <c r="F1592" s="6" t="s">
        <v>26</v>
      </c>
      <c r="G1592" s="6" t="s">
        <v>653</v>
      </c>
      <c r="H1592" s="6" t="s">
        <v>50</v>
      </c>
      <c r="I1592" s="6" t="str">
        <f>VLOOKUP(H1592,'Flow Location'!$A$1:$B$21,2,FALSE)</f>
        <v>Contained On Site, not within 5 ft. of Bayou/Surface Water/Drainage Ditch</v>
      </c>
      <c r="J1592" s="20">
        <v>0.0</v>
      </c>
      <c r="K1592" s="6" t="s">
        <v>198</v>
      </c>
      <c r="L1592" s="6" t="str">
        <f>VLOOKUP(K1592,'Structure type'!$A$1:$B$15,2,FALSE)</f>
        <v>Service Lateral</v>
      </c>
      <c r="M1592" s="6" t="s">
        <v>81</v>
      </c>
      <c r="N1592" s="6" t="str">
        <f>VLOOKUP(M1592,'Excursion Cause'!$A$1:$B$34,2,FALSE)</f>
        <v>Collection system structural failure</v>
      </c>
      <c r="O1592" s="21">
        <v>44749.0</v>
      </c>
      <c r="P1592" s="6" t="s">
        <v>1327</v>
      </c>
      <c r="Q1592" s="21">
        <v>44749.0</v>
      </c>
      <c r="R1592" s="6" t="s">
        <v>821</v>
      </c>
      <c r="S1592" s="20">
        <v>0.0</v>
      </c>
      <c r="T1592" s="6" t="s">
        <v>118</v>
      </c>
      <c r="U1592" s="6"/>
      <c r="V1592" s="6"/>
      <c r="W1592" s="6">
        <v>29.8273867</v>
      </c>
      <c r="X1592" s="6">
        <v>-95.3860691</v>
      </c>
    </row>
    <row r="1593" ht="15.75" customHeight="1">
      <c r="A1593" s="6">
        <v>48908.0</v>
      </c>
      <c r="B1593" s="6">
        <v>2022.0</v>
      </c>
      <c r="C1593" s="6" t="str">
        <f t="shared" si="5"/>
        <v>1108 STUDER ST,Houston,Texas</v>
      </c>
      <c r="D1593" s="6" t="s">
        <v>2787</v>
      </c>
      <c r="E1593" s="6" t="s">
        <v>25</v>
      </c>
      <c r="F1593" s="6" t="s">
        <v>26</v>
      </c>
      <c r="G1593" s="6" t="s">
        <v>158</v>
      </c>
      <c r="H1593" s="6" t="s">
        <v>2275</v>
      </c>
      <c r="I1593" s="6" t="str">
        <f>VLOOKUP(H1593,'Flow Location'!$A$1:$B$21,2,FALSE)</f>
        <v>Contained On Site, not within 5 ft. of Bayou/Surface Water/Drainage Ditch</v>
      </c>
      <c r="J1593" s="20">
        <v>0.0</v>
      </c>
      <c r="K1593" s="6" t="s">
        <v>198</v>
      </c>
      <c r="L1593" s="6" t="str">
        <f>VLOOKUP(K1593,'Structure type'!$A$1:$B$15,2,FALSE)</f>
        <v>Service Lateral</v>
      </c>
      <c r="M1593" s="6" t="s">
        <v>759</v>
      </c>
      <c r="N1593" s="6" t="str">
        <f>VLOOKUP(M1593,'Excursion Cause'!$A$1:$B$34,2,FALSE)</f>
        <v>Roots</v>
      </c>
      <c r="O1593" s="21">
        <v>44749.0</v>
      </c>
      <c r="P1593" s="6" t="s">
        <v>1280</v>
      </c>
      <c r="Q1593" s="21">
        <v>44749.0</v>
      </c>
      <c r="R1593" s="6" t="s">
        <v>248</v>
      </c>
      <c r="S1593" s="20">
        <v>0.0</v>
      </c>
      <c r="T1593" s="6" t="s">
        <v>170</v>
      </c>
      <c r="U1593" s="6"/>
      <c r="V1593" s="6"/>
      <c r="W1593" s="6">
        <v>29.7714123</v>
      </c>
      <c r="X1593" s="6">
        <v>-95.4152912</v>
      </c>
    </row>
    <row r="1594" ht="15.75" customHeight="1">
      <c r="A1594" s="6">
        <v>48910.0</v>
      </c>
      <c r="B1594" s="6">
        <v>2022.0</v>
      </c>
      <c r="C1594" s="6" t="str">
        <f t="shared" si="5"/>
        <v>2214 HOSKINS DR,Houston,Texas</v>
      </c>
      <c r="D1594" s="6" t="s">
        <v>2788</v>
      </c>
      <c r="E1594" s="6" t="s">
        <v>25</v>
      </c>
      <c r="F1594" s="6" t="s">
        <v>26</v>
      </c>
      <c r="G1594" s="6" t="s">
        <v>294</v>
      </c>
      <c r="H1594" s="6" t="s">
        <v>1397</v>
      </c>
      <c r="I1594" s="6" t="str">
        <f>VLOOKUP(H1594,'Flow Location'!$A$1:$B$21,2,FALSE)</f>
        <v>Bayou/surface water/drainage ditch</v>
      </c>
      <c r="J1594" s="20">
        <v>0.0</v>
      </c>
      <c r="K1594" s="6" t="s">
        <v>45</v>
      </c>
      <c r="L1594" s="6" t="str">
        <f>VLOOKUP(K1594,'Structure type'!$A$1:$B$15,2,FALSE)</f>
        <v>City Cleanout</v>
      </c>
      <c r="M1594" s="6" t="s">
        <v>30</v>
      </c>
      <c r="N1594" s="6" t="str">
        <f>VLOOKUP(M1594,'Excursion Cause'!$A$1:$B$34,2,FALSE)</f>
        <v>Grease Blockage</v>
      </c>
      <c r="O1594" s="21">
        <v>44749.0</v>
      </c>
      <c r="P1594" s="6" t="s">
        <v>97</v>
      </c>
      <c r="Q1594" s="21">
        <v>44749.0</v>
      </c>
      <c r="R1594" s="6" t="s">
        <v>192</v>
      </c>
      <c r="S1594" s="20">
        <v>0.0</v>
      </c>
      <c r="T1594" s="6" t="s">
        <v>170</v>
      </c>
      <c r="U1594" s="6"/>
      <c r="V1594" s="6"/>
      <c r="W1594" s="6">
        <v>29.8125423</v>
      </c>
      <c r="X1594" s="6">
        <v>-95.5224129</v>
      </c>
    </row>
    <row r="1595" ht="15.75" customHeight="1">
      <c r="A1595" s="6">
        <v>48916.0</v>
      </c>
      <c r="B1595" s="6">
        <v>2022.0</v>
      </c>
      <c r="C1595" s="6" t="str">
        <f t="shared" si="5"/>
        <v>6603 LEEDALE ST,Houston,Texas</v>
      </c>
      <c r="D1595" s="6" t="s">
        <v>2789</v>
      </c>
      <c r="E1595" s="6" t="s">
        <v>25</v>
      </c>
      <c r="F1595" s="6" t="s">
        <v>26</v>
      </c>
      <c r="G1595" s="6" t="s">
        <v>326</v>
      </c>
      <c r="H1595" s="6" t="s">
        <v>50</v>
      </c>
      <c r="I1595" s="6" t="str">
        <f>VLOOKUP(H1595,'Flow Location'!$A$1:$B$21,2,FALSE)</f>
        <v>Contained On Site, not within 5 ft. of Bayou/Surface Water/Drainage Ditch</v>
      </c>
      <c r="J1595" s="20">
        <v>0.0</v>
      </c>
      <c r="K1595" s="6" t="s">
        <v>29</v>
      </c>
      <c r="L1595" s="6" t="str">
        <f>VLOOKUP(K1595,'Structure type'!$A$1:$B$15,2,FALSE)</f>
        <v>Manhole</v>
      </c>
      <c r="M1595" s="6" t="s">
        <v>30</v>
      </c>
      <c r="N1595" s="6" t="str">
        <f>VLOOKUP(M1595,'Excursion Cause'!$A$1:$B$34,2,FALSE)</f>
        <v>Grease Blockage</v>
      </c>
      <c r="O1595" s="21">
        <v>44750.0</v>
      </c>
      <c r="P1595" s="6" t="s">
        <v>329</v>
      </c>
      <c r="Q1595" s="21">
        <v>44750.0</v>
      </c>
      <c r="R1595" s="6" t="s">
        <v>524</v>
      </c>
      <c r="S1595" s="20">
        <v>0.0</v>
      </c>
      <c r="T1595" s="6" t="s">
        <v>474</v>
      </c>
      <c r="U1595" s="6"/>
      <c r="V1595" s="6"/>
      <c r="W1595" s="6">
        <v>29.8757653</v>
      </c>
      <c r="X1595" s="6">
        <v>-95.2905069</v>
      </c>
    </row>
    <row r="1596" ht="15.75" customHeight="1">
      <c r="A1596" s="6">
        <v>48918.0</v>
      </c>
      <c r="B1596" s="6">
        <v>2022.0</v>
      </c>
      <c r="C1596" s="6" t="str">
        <f t="shared" si="5"/>
        <v>907 GREGG ST,Houston,Texas</v>
      </c>
      <c r="D1596" s="6" t="s">
        <v>2746</v>
      </c>
      <c r="E1596" s="6" t="s">
        <v>25</v>
      </c>
      <c r="F1596" s="6" t="s">
        <v>26</v>
      </c>
      <c r="G1596" s="6" t="s">
        <v>86</v>
      </c>
      <c r="H1596" s="6" t="s">
        <v>50</v>
      </c>
      <c r="I1596" s="6" t="str">
        <f>VLOOKUP(H1596,'Flow Location'!$A$1:$B$21,2,FALSE)</f>
        <v>Contained On Site, not within 5 ft. of Bayou/Surface Water/Drainage Ditch</v>
      </c>
      <c r="J1596" s="20">
        <v>0.0</v>
      </c>
      <c r="K1596" s="6" t="s">
        <v>45</v>
      </c>
      <c r="L1596" s="6" t="str">
        <f>VLOOKUP(K1596,'Structure type'!$A$1:$B$15,2,FALSE)</f>
        <v>City Cleanout</v>
      </c>
      <c r="M1596" s="6" t="s">
        <v>56</v>
      </c>
      <c r="N1596" s="6" t="str">
        <f>VLOOKUP(M1596,'Excursion Cause'!$A$1:$B$34,2,FALSE)</f>
        <v>Rags/Wipes</v>
      </c>
      <c r="O1596" s="21">
        <v>44750.0</v>
      </c>
      <c r="P1596" s="6" t="s">
        <v>490</v>
      </c>
      <c r="Q1596" s="21">
        <v>44750.0</v>
      </c>
      <c r="R1596" s="6" t="s">
        <v>1763</v>
      </c>
      <c r="S1596" s="20">
        <v>0.0</v>
      </c>
      <c r="T1596" s="6" t="s">
        <v>270</v>
      </c>
      <c r="U1596" s="6"/>
      <c r="V1596" s="6"/>
      <c r="W1596" s="6">
        <v>29.7697351</v>
      </c>
      <c r="X1596" s="6">
        <v>-95.3359687</v>
      </c>
    </row>
    <row r="1597" ht="15.75" customHeight="1">
      <c r="A1597" s="6">
        <v>48921.0</v>
      </c>
      <c r="B1597" s="6">
        <v>2022.0</v>
      </c>
      <c r="C1597" s="6" t="str">
        <f t="shared" si="5"/>
        <v>7305 BOGGESS RD,Houston,Texas</v>
      </c>
      <c r="D1597" s="6" t="s">
        <v>2790</v>
      </c>
      <c r="E1597" s="6" t="s">
        <v>25</v>
      </c>
      <c r="F1597" s="6" t="s">
        <v>26</v>
      </c>
      <c r="G1597" s="6" t="s">
        <v>326</v>
      </c>
      <c r="H1597" s="6" t="s">
        <v>50</v>
      </c>
      <c r="I1597" s="6" t="str">
        <f>VLOOKUP(H1597,'Flow Location'!$A$1:$B$21,2,FALSE)</f>
        <v>Contained On Site, not within 5 ft. of Bayou/Surface Water/Drainage Ditch</v>
      </c>
      <c r="J1597" s="20">
        <v>201.0</v>
      </c>
      <c r="K1597" s="6" t="s">
        <v>51</v>
      </c>
      <c r="L1597" s="6" t="str">
        <f>VLOOKUP(K1597,'Structure type'!$A$1:$B$15,2,FALSE)</f>
        <v>Private Cleanout</v>
      </c>
      <c r="M1597" s="6" t="s">
        <v>30</v>
      </c>
      <c r="N1597" s="6" t="str">
        <f>VLOOKUP(M1597,'Excursion Cause'!$A$1:$B$34,2,FALSE)</f>
        <v>Grease Blockage</v>
      </c>
      <c r="O1597" s="21">
        <v>44750.0</v>
      </c>
      <c r="P1597" s="6" t="s">
        <v>614</v>
      </c>
      <c r="Q1597" s="21">
        <v>44750.0</v>
      </c>
      <c r="R1597" s="6" t="s">
        <v>196</v>
      </c>
      <c r="S1597" s="20">
        <v>1.0</v>
      </c>
      <c r="T1597" s="6" t="s">
        <v>33</v>
      </c>
      <c r="U1597" s="6"/>
      <c r="V1597" s="6"/>
      <c r="W1597" s="6">
        <v>29.860979</v>
      </c>
      <c r="X1597" s="6">
        <v>-95.296223</v>
      </c>
    </row>
    <row r="1598" ht="15.75" customHeight="1">
      <c r="A1598" s="6">
        <v>48922.0</v>
      </c>
      <c r="B1598" s="6">
        <v>2022.0</v>
      </c>
      <c r="C1598" s="6" t="str">
        <f t="shared" si="5"/>
        <v>220 MEADOWFERN DR,Houston,Texas</v>
      </c>
      <c r="D1598" s="6" t="s">
        <v>2791</v>
      </c>
      <c r="E1598" s="6" t="s">
        <v>25</v>
      </c>
      <c r="F1598" s="6" t="s">
        <v>26</v>
      </c>
      <c r="G1598" s="6" t="s">
        <v>2203</v>
      </c>
      <c r="H1598" s="6" t="s">
        <v>2275</v>
      </c>
      <c r="I1598" s="6" t="str">
        <f>VLOOKUP(H1598,'Flow Location'!$A$1:$B$21,2,FALSE)</f>
        <v>Contained On Site, not within 5 ft. of Bayou/Surface Water/Drainage Ditch</v>
      </c>
      <c r="J1598" s="20">
        <v>0.0</v>
      </c>
      <c r="K1598" s="6" t="s">
        <v>29</v>
      </c>
      <c r="L1598" s="6" t="str">
        <f>VLOOKUP(K1598,'Structure type'!$A$1:$B$15,2,FALSE)</f>
        <v>Manhole</v>
      </c>
      <c r="M1598" s="6" t="s">
        <v>2792</v>
      </c>
      <c r="N1598" s="6" t="str">
        <f>VLOOKUP(M1598,'Excursion Cause'!$A$1:$B$34,2,FALSE)</f>
        <v>Collection system temporary blockage</v>
      </c>
      <c r="O1598" s="21">
        <v>44750.0</v>
      </c>
      <c r="P1598" s="6" t="s">
        <v>2793</v>
      </c>
      <c r="Q1598" s="21">
        <v>44750.0</v>
      </c>
      <c r="R1598" s="6" t="s">
        <v>430</v>
      </c>
      <c r="S1598" s="20">
        <v>0.0</v>
      </c>
      <c r="T1598" s="6" t="s">
        <v>59</v>
      </c>
      <c r="U1598" s="6"/>
      <c r="V1598" s="6"/>
      <c r="W1598" s="6">
        <v>29.9550481</v>
      </c>
      <c r="X1598" s="6">
        <v>-95.4202196</v>
      </c>
    </row>
    <row r="1599" ht="15.75" customHeight="1">
      <c r="A1599" s="6">
        <v>48929.0</v>
      </c>
      <c r="B1599" s="6">
        <v>2022.0</v>
      </c>
      <c r="C1599" s="6" t="str">
        <f t="shared" si="5"/>
        <v>4518 FALLEN OAKS DR,Houston,Texas</v>
      </c>
      <c r="D1599" s="6" t="s">
        <v>2794</v>
      </c>
      <c r="E1599" s="6" t="s">
        <v>25</v>
      </c>
      <c r="F1599" s="6" t="s">
        <v>26</v>
      </c>
      <c r="G1599" s="6" t="s">
        <v>222</v>
      </c>
      <c r="H1599" s="6" t="s">
        <v>50</v>
      </c>
      <c r="I1599" s="6" t="str">
        <f>VLOOKUP(H1599,'Flow Location'!$A$1:$B$21,2,FALSE)</f>
        <v>Contained On Site, not within 5 ft. of Bayou/Surface Water/Drainage Ditch</v>
      </c>
      <c r="J1599" s="20">
        <v>0.0</v>
      </c>
      <c r="K1599" s="6" t="s">
        <v>51</v>
      </c>
      <c r="L1599" s="6" t="str">
        <f>VLOOKUP(K1599,'Structure type'!$A$1:$B$15,2,FALSE)</f>
        <v>Private Cleanout</v>
      </c>
      <c r="M1599" s="6" t="s">
        <v>56</v>
      </c>
      <c r="N1599" s="6" t="str">
        <f>VLOOKUP(M1599,'Excursion Cause'!$A$1:$B$34,2,FALSE)</f>
        <v>Rags/Wipes</v>
      </c>
      <c r="O1599" s="21">
        <v>44751.0</v>
      </c>
      <c r="P1599" s="6" t="s">
        <v>791</v>
      </c>
      <c r="Q1599" s="21">
        <v>44751.0</v>
      </c>
      <c r="R1599" s="6" t="s">
        <v>156</v>
      </c>
      <c r="S1599" s="20">
        <v>0.0</v>
      </c>
      <c r="T1599" s="6" t="s">
        <v>59</v>
      </c>
      <c r="U1599" s="6"/>
      <c r="V1599" s="6"/>
      <c r="W1599" s="6">
        <v>29.8446055</v>
      </c>
      <c r="X1599" s="6">
        <v>-95.4562336</v>
      </c>
    </row>
    <row r="1600" ht="15.75" customHeight="1">
      <c r="A1600" s="6">
        <v>48932.0</v>
      </c>
      <c r="B1600" s="6">
        <v>2022.0</v>
      </c>
      <c r="C1600" s="6" t="str">
        <f t="shared" si="5"/>
        <v>7407 AUGUSTINE DR,Houston,Texas</v>
      </c>
      <c r="D1600" s="6" t="s">
        <v>2795</v>
      </c>
      <c r="E1600" s="6" t="s">
        <v>25</v>
      </c>
      <c r="F1600" s="6" t="s">
        <v>26</v>
      </c>
      <c r="G1600" s="6" t="s">
        <v>100</v>
      </c>
      <c r="H1600" s="6" t="s">
        <v>2275</v>
      </c>
      <c r="I1600" s="6" t="str">
        <f>VLOOKUP(H1600,'Flow Location'!$A$1:$B$21,2,FALSE)</f>
        <v>Contained On Site, not within 5 ft. of Bayou/Surface Water/Drainage Ditch</v>
      </c>
      <c r="J1600" s="20">
        <v>0.0</v>
      </c>
      <c r="K1600" s="6" t="s">
        <v>29</v>
      </c>
      <c r="L1600" s="6" t="str">
        <f>VLOOKUP(K1600,'Structure type'!$A$1:$B$15,2,FALSE)</f>
        <v>Manhole</v>
      </c>
      <c r="M1600" s="6" t="s">
        <v>30</v>
      </c>
      <c r="N1600" s="6" t="str">
        <f>VLOOKUP(M1600,'Excursion Cause'!$A$1:$B$34,2,FALSE)</f>
        <v>Grease Blockage</v>
      </c>
      <c r="O1600" s="21">
        <v>44752.0</v>
      </c>
      <c r="P1600" s="6" t="s">
        <v>672</v>
      </c>
      <c r="Q1600" s="21">
        <v>44752.0</v>
      </c>
      <c r="R1600" s="6" t="s">
        <v>919</v>
      </c>
      <c r="S1600" s="20">
        <v>0.0</v>
      </c>
      <c r="T1600" s="6" t="s">
        <v>33</v>
      </c>
      <c r="U1600" s="6"/>
      <c r="V1600" s="6"/>
      <c r="W1600" s="6">
        <v>29.6976861</v>
      </c>
      <c r="X1600" s="6">
        <v>-95.5387199</v>
      </c>
    </row>
    <row r="1601" ht="15.75" customHeight="1">
      <c r="A1601" s="6">
        <v>48933.0</v>
      </c>
      <c r="B1601" s="6">
        <v>2022.0</v>
      </c>
      <c r="C1601" s="6" t="str">
        <f t="shared" si="5"/>
        <v>13410 ASCOT GLEN LN,Houston,Texas</v>
      </c>
      <c r="D1601" s="6" t="s">
        <v>2796</v>
      </c>
      <c r="E1601" s="6" t="s">
        <v>25</v>
      </c>
      <c r="F1601" s="6" t="s">
        <v>26</v>
      </c>
      <c r="G1601" s="6" t="s">
        <v>313</v>
      </c>
      <c r="H1601" s="6" t="s">
        <v>50</v>
      </c>
      <c r="I1601" s="6" t="str">
        <f>VLOOKUP(H1601,'Flow Location'!$A$1:$B$21,2,FALSE)</f>
        <v>Contained On Site, not within 5 ft. of Bayou/Surface Water/Drainage Ditch</v>
      </c>
      <c r="J1601" s="20">
        <v>0.0</v>
      </c>
      <c r="K1601" s="6" t="s">
        <v>45</v>
      </c>
      <c r="L1601" s="6" t="str">
        <f>VLOOKUP(K1601,'Structure type'!$A$1:$B$15,2,FALSE)</f>
        <v>City Cleanout</v>
      </c>
      <c r="M1601" s="6" t="s">
        <v>56</v>
      </c>
      <c r="N1601" s="6" t="str">
        <f>VLOOKUP(M1601,'Excursion Cause'!$A$1:$B$34,2,FALSE)</f>
        <v>Rags/Wipes</v>
      </c>
      <c r="O1601" s="21">
        <v>44752.0</v>
      </c>
      <c r="P1601" s="6" t="s">
        <v>1111</v>
      </c>
      <c r="Q1601" s="21">
        <v>44752.0</v>
      </c>
      <c r="R1601" s="6" t="s">
        <v>1027</v>
      </c>
      <c r="S1601" s="20">
        <v>0.0</v>
      </c>
      <c r="T1601" s="6" t="s">
        <v>270</v>
      </c>
      <c r="U1601" s="6"/>
      <c r="V1601" s="6"/>
      <c r="W1601" s="6">
        <v>29.7191263</v>
      </c>
      <c r="X1601" s="6">
        <v>-95.6226115</v>
      </c>
    </row>
    <row r="1602" ht="15.75" customHeight="1">
      <c r="A1602" s="6">
        <v>48934.0</v>
      </c>
      <c r="B1602" s="6">
        <v>2022.0</v>
      </c>
      <c r="C1602" s="6" t="str">
        <f t="shared" si="5"/>
        <v>2074 ANTOINE DR,Houston,Texas</v>
      </c>
      <c r="D1602" s="6" t="s">
        <v>72</v>
      </c>
      <c r="E1602" s="6" t="s">
        <v>25</v>
      </c>
      <c r="F1602" s="6" t="s">
        <v>26</v>
      </c>
      <c r="G1602" s="6" t="s">
        <v>27</v>
      </c>
      <c r="H1602" s="6" t="s">
        <v>2275</v>
      </c>
      <c r="I1602" s="6" t="str">
        <f>VLOOKUP(H1602,'Flow Location'!$A$1:$B$21,2,FALSE)</f>
        <v>Contained On Site, not within 5 ft. of Bayou/Surface Water/Drainage Ditch</v>
      </c>
      <c r="J1602" s="20">
        <v>206.0</v>
      </c>
      <c r="K1602" s="6" t="s">
        <v>29</v>
      </c>
      <c r="L1602" s="6" t="str">
        <f>VLOOKUP(K1602,'Structure type'!$A$1:$B$15,2,FALSE)</f>
        <v>Manhole</v>
      </c>
      <c r="M1602" s="6" t="s">
        <v>30</v>
      </c>
      <c r="N1602" s="6" t="str">
        <f>VLOOKUP(M1602,'Excursion Cause'!$A$1:$B$34,2,FALSE)</f>
        <v>Grease Blockage</v>
      </c>
      <c r="O1602" s="21">
        <v>44752.0</v>
      </c>
      <c r="P1602" s="6" t="s">
        <v>1545</v>
      </c>
      <c r="Q1602" s="21">
        <v>44752.0</v>
      </c>
      <c r="R1602" s="6" t="s">
        <v>522</v>
      </c>
      <c r="S1602" s="20">
        <v>2.0</v>
      </c>
      <c r="T1602" s="6" t="s">
        <v>33</v>
      </c>
      <c r="U1602" s="6"/>
      <c r="V1602" s="6"/>
      <c r="W1602" s="6">
        <v>29.8092179</v>
      </c>
      <c r="X1602" s="6">
        <v>-95.4749344</v>
      </c>
    </row>
    <row r="1603" ht="15.75" customHeight="1">
      <c r="A1603" s="6">
        <v>48936.0</v>
      </c>
      <c r="B1603" s="6">
        <v>2022.0</v>
      </c>
      <c r="C1603" s="6" t="str">
        <f t="shared" si="5"/>
        <v>777 COOLWOOD DR,Houston,Texas</v>
      </c>
      <c r="D1603" s="6" t="s">
        <v>1328</v>
      </c>
      <c r="E1603" s="6" t="s">
        <v>25</v>
      </c>
      <c r="F1603" s="6" t="s">
        <v>26</v>
      </c>
      <c r="G1603" s="6" t="s">
        <v>656</v>
      </c>
      <c r="H1603" s="6" t="s">
        <v>50</v>
      </c>
      <c r="I1603" s="6" t="str">
        <f>VLOOKUP(H1603,'Flow Location'!$A$1:$B$21,2,FALSE)</f>
        <v>Contained On Site, not within 5 ft. of Bayou/Surface Water/Drainage Ditch</v>
      </c>
      <c r="J1603" s="20">
        <v>1076.0</v>
      </c>
      <c r="K1603" s="6" t="s">
        <v>29</v>
      </c>
      <c r="L1603" s="6" t="str">
        <f>VLOOKUP(K1603,'Structure type'!$A$1:$B$15,2,FALSE)</f>
        <v>Manhole</v>
      </c>
      <c r="M1603" s="6" t="s">
        <v>30</v>
      </c>
      <c r="N1603" s="6" t="str">
        <f>VLOOKUP(M1603,'Excursion Cause'!$A$1:$B$34,2,FALSE)</f>
        <v>Grease Blockage</v>
      </c>
      <c r="O1603" s="21">
        <v>44753.0</v>
      </c>
      <c r="P1603" s="6" t="s">
        <v>953</v>
      </c>
      <c r="Q1603" s="21">
        <v>44753.0</v>
      </c>
      <c r="R1603" s="6" t="s">
        <v>1076</v>
      </c>
      <c r="S1603" s="20">
        <v>2.0</v>
      </c>
      <c r="T1603" s="6" t="s">
        <v>33</v>
      </c>
      <c r="U1603" s="6"/>
      <c r="V1603" s="6"/>
      <c r="W1603" s="6">
        <v>29.776617</v>
      </c>
      <c r="X1603" s="6">
        <v>-95.2233541</v>
      </c>
    </row>
    <row r="1604" ht="15.75" customHeight="1">
      <c r="A1604" s="6">
        <v>48939.0</v>
      </c>
      <c r="B1604" s="6">
        <v>2022.0</v>
      </c>
      <c r="C1604" s="6" t="str">
        <f t="shared" si="5"/>
        <v>7331 ATHLONE DR,Houston,Texas</v>
      </c>
      <c r="D1604" s="6" t="s">
        <v>2797</v>
      </c>
      <c r="E1604" s="6" t="s">
        <v>25</v>
      </c>
      <c r="F1604" s="6" t="s">
        <v>26</v>
      </c>
      <c r="G1604" s="6" t="s">
        <v>502</v>
      </c>
      <c r="H1604" s="6" t="s">
        <v>50</v>
      </c>
      <c r="I1604" s="6" t="str">
        <f>VLOOKUP(H1604,'Flow Location'!$A$1:$B$21,2,FALSE)</f>
        <v>Contained On Site, not within 5 ft. of Bayou/Surface Water/Drainage Ditch</v>
      </c>
      <c r="J1604" s="20">
        <v>0.0</v>
      </c>
      <c r="K1604" s="6" t="s">
        <v>29</v>
      </c>
      <c r="L1604" s="6" t="str">
        <f>VLOOKUP(K1604,'Structure type'!$A$1:$B$15,2,FALSE)</f>
        <v>Manhole</v>
      </c>
      <c r="M1604" s="6" t="s">
        <v>81</v>
      </c>
      <c r="N1604" s="6" t="str">
        <f>VLOOKUP(M1604,'Excursion Cause'!$A$1:$B$34,2,FALSE)</f>
        <v>Collection system structural failure</v>
      </c>
      <c r="O1604" s="21">
        <v>44753.0</v>
      </c>
      <c r="P1604" s="6" t="s">
        <v>1794</v>
      </c>
      <c r="Q1604" s="21">
        <v>44753.0</v>
      </c>
      <c r="R1604" s="6" t="s">
        <v>2504</v>
      </c>
      <c r="S1604" s="20">
        <v>0.0</v>
      </c>
      <c r="T1604" s="6" t="s">
        <v>107</v>
      </c>
      <c r="U1604" s="6"/>
      <c r="V1604" s="6"/>
      <c r="W1604" s="6">
        <v>29.8679933</v>
      </c>
      <c r="X1604" s="6">
        <v>-95.4634059</v>
      </c>
    </row>
    <row r="1605" ht="15.75" customHeight="1">
      <c r="A1605" s="6">
        <v>48942.0</v>
      </c>
      <c r="B1605" s="6">
        <v>2022.0</v>
      </c>
      <c r="C1605" s="6" t="str">
        <f t="shared" si="5"/>
        <v>802 41ST ST,Houston,Texas</v>
      </c>
      <c r="D1605" s="6" t="s">
        <v>2798</v>
      </c>
      <c r="E1605" s="6" t="s">
        <v>25</v>
      </c>
      <c r="F1605" s="6" t="s">
        <v>26</v>
      </c>
      <c r="G1605" s="6" t="s">
        <v>218</v>
      </c>
      <c r="H1605" s="6" t="s">
        <v>50</v>
      </c>
      <c r="I1605" s="6" t="str">
        <f>VLOOKUP(H1605,'Flow Location'!$A$1:$B$21,2,FALSE)</f>
        <v>Contained On Site, not within 5 ft. of Bayou/Surface Water/Drainage Ditch</v>
      </c>
      <c r="J1605" s="20">
        <v>0.0</v>
      </c>
      <c r="K1605" s="6" t="s">
        <v>45</v>
      </c>
      <c r="L1605" s="6" t="str">
        <f>VLOOKUP(K1605,'Structure type'!$A$1:$B$15,2,FALSE)</f>
        <v>City Cleanout</v>
      </c>
      <c r="M1605" s="6" t="s">
        <v>56</v>
      </c>
      <c r="N1605" s="6" t="str">
        <f>VLOOKUP(M1605,'Excursion Cause'!$A$1:$B$34,2,FALSE)</f>
        <v>Rags/Wipes</v>
      </c>
      <c r="O1605" s="21">
        <v>44753.0</v>
      </c>
      <c r="P1605" s="6" t="s">
        <v>2355</v>
      </c>
      <c r="Q1605" s="21">
        <v>44753.0</v>
      </c>
      <c r="R1605" s="6" t="s">
        <v>412</v>
      </c>
      <c r="S1605" s="20">
        <v>0.0</v>
      </c>
      <c r="T1605" s="6" t="s">
        <v>33</v>
      </c>
      <c r="U1605" s="6"/>
      <c r="V1605" s="6"/>
      <c r="W1605" s="6">
        <v>29.8244949</v>
      </c>
      <c r="X1605" s="6">
        <v>-95.4147571</v>
      </c>
    </row>
    <row r="1606" ht="15.75" customHeight="1">
      <c r="A1606" s="6">
        <v>48949.0</v>
      </c>
      <c r="B1606" s="6">
        <v>2022.0</v>
      </c>
      <c r="C1606" s="6" t="str">
        <f t="shared" si="5"/>
        <v>6320 WINDSWEPT LN,Houston,Texas</v>
      </c>
      <c r="D1606" s="6" t="s">
        <v>2799</v>
      </c>
      <c r="E1606" s="6" t="s">
        <v>25</v>
      </c>
      <c r="F1606" s="6" t="s">
        <v>26</v>
      </c>
      <c r="G1606" s="6" t="s">
        <v>689</v>
      </c>
      <c r="H1606" s="6" t="s">
        <v>1724</v>
      </c>
      <c r="I1606" s="6" t="str">
        <f>VLOOKUP(H1606,'Flow Location'!$A$1:$B$21,2,FALSE)</f>
        <v>Storm Sewer (not contained)</v>
      </c>
      <c r="J1606" s="20">
        <v>564.0</v>
      </c>
      <c r="K1606" s="6" t="s">
        <v>29</v>
      </c>
      <c r="L1606" s="6" t="str">
        <f>VLOOKUP(K1606,'Structure type'!$A$1:$B$15,2,FALSE)</f>
        <v>Manhole</v>
      </c>
      <c r="M1606" s="6" t="s">
        <v>2800</v>
      </c>
      <c r="N1606" s="6" t="str">
        <f>VLOOKUP(M1606,'Excursion Cause'!$A$1:$B$34,2,FALSE)</f>
        <v>Grease Blockage</v>
      </c>
      <c r="O1606" s="21">
        <v>44754.0</v>
      </c>
      <c r="P1606" s="6" t="s">
        <v>588</v>
      </c>
      <c r="Q1606" s="21">
        <v>44754.0</v>
      </c>
      <c r="R1606" s="6" t="s">
        <v>192</v>
      </c>
      <c r="S1606" s="20">
        <v>4.0</v>
      </c>
      <c r="T1606" s="6" t="s">
        <v>2801</v>
      </c>
      <c r="U1606" s="6"/>
      <c r="V1606" s="6"/>
      <c r="W1606" s="6">
        <v>29.7266197</v>
      </c>
      <c r="X1606" s="6">
        <v>-95.4937168</v>
      </c>
    </row>
    <row r="1607" ht="15.75" customHeight="1">
      <c r="A1607" s="6">
        <v>48955.0</v>
      </c>
      <c r="B1607" s="6">
        <v>2022.0</v>
      </c>
      <c r="C1607" s="6" t="str">
        <f t="shared" si="5"/>
        <v>7102 LYONS AVE,Houston,Texas</v>
      </c>
      <c r="D1607" s="6" t="s">
        <v>2802</v>
      </c>
      <c r="E1607" s="6" t="s">
        <v>25</v>
      </c>
      <c r="F1607" s="6" t="s">
        <v>26</v>
      </c>
      <c r="G1607" s="6" t="s">
        <v>86</v>
      </c>
      <c r="H1607" s="6" t="s">
        <v>1724</v>
      </c>
      <c r="I1607" s="6" t="str">
        <f>VLOOKUP(H1607,'Flow Location'!$A$1:$B$21,2,FALSE)</f>
        <v>Storm Sewer (not contained)</v>
      </c>
      <c r="J1607" s="20">
        <v>687.0</v>
      </c>
      <c r="K1607" s="6" t="s">
        <v>29</v>
      </c>
      <c r="L1607" s="6" t="str">
        <f>VLOOKUP(K1607,'Structure type'!$A$1:$B$15,2,FALSE)</f>
        <v>Manhole</v>
      </c>
      <c r="M1607" s="6" t="s">
        <v>2803</v>
      </c>
      <c r="N1607" s="6" t="str">
        <f>VLOOKUP(M1607,'Excursion Cause'!$A$1:$B$34,2,FALSE)</f>
        <v>Grease Blockage</v>
      </c>
      <c r="O1607" s="21">
        <v>44754.0</v>
      </c>
      <c r="P1607" s="6" t="s">
        <v>658</v>
      </c>
      <c r="Q1607" s="21">
        <v>44754.0</v>
      </c>
      <c r="R1607" s="6" t="s">
        <v>2804</v>
      </c>
      <c r="S1607" s="20">
        <v>3.0</v>
      </c>
      <c r="T1607" s="6" t="s">
        <v>2805</v>
      </c>
      <c r="U1607" s="6"/>
      <c r="V1607" s="6"/>
      <c r="W1607" s="6">
        <v>29.7763191</v>
      </c>
      <c r="X1607" s="6">
        <v>-95.2985705</v>
      </c>
    </row>
    <row r="1608" ht="15.75" customHeight="1">
      <c r="A1608" s="6">
        <v>48956.0</v>
      </c>
      <c r="B1608" s="6">
        <v>2022.0</v>
      </c>
      <c r="C1608" s="6" t="str">
        <f t="shared" si="5"/>
        <v>3401 STONEWALL ST,Houston,Texas</v>
      </c>
      <c r="D1608" s="6" t="s">
        <v>2806</v>
      </c>
      <c r="E1608" s="6" t="s">
        <v>25</v>
      </c>
      <c r="F1608" s="6" t="s">
        <v>26</v>
      </c>
      <c r="G1608" s="6" t="s">
        <v>86</v>
      </c>
      <c r="H1608" s="6" t="s">
        <v>28</v>
      </c>
      <c r="I1608" s="6" t="str">
        <f>VLOOKUP(H1608,'Flow Location'!$A$1:$B$21,2,FALSE)</f>
        <v>Storm Sewer (not contained)</v>
      </c>
      <c r="J1608" s="20">
        <v>0.0</v>
      </c>
      <c r="K1608" s="6" t="s">
        <v>29</v>
      </c>
      <c r="L1608" s="6" t="str">
        <f>VLOOKUP(K1608,'Structure type'!$A$1:$B$15,2,FALSE)</f>
        <v>Manhole</v>
      </c>
      <c r="M1608" s="6" t="s">
        <v>2807</v>
      </c>
      <c r="N1608" s="6" t="str">
        <f>VLOOKUP(M1608,'Excursion Cause'!$A$1:$B$34,2,FALSE)</f>
        <v>Collection system structural failure</v>
      </c>
      <c r="O1608" s="21">
        <v>44755.0</v>
      </c>
      <c r="P1608" s="6" t="s">
        <v>191</v>
      </c>
      <c r="Q1608" s="21">
        <v>44755.0</v>
      </c>
      <c r="R1608" s="6" t="s">
        <v>110</v>
      </c>
      <c r="S1608" s="20">
        <v>0.0</v>
      </c>
      <c r="T1608" s="6" t="s">
        <v>107</v>
      </c>
      <c r="U1608" s="6"/>
      <c r="V1608" s="6"/>
      <c r="W1608" s="6">
        <v>29.773396</v>
      </c>
      <c r="X1608" s="6">
        <v>-95.335598</v>
      </c>
    </row>
    <row r="1609" ht="15.75" customHeight="1">
      <c r="A1609" s="6">
        <v>48959.0</v>
      </c>
      <c r="B1609" s="6">
        <v>2022.0</v>
      </c>
      <c r="C1609" s="6" t="str">
        <f t="shared" si="5"/>
        <v>5502 HOHEN CIR,Houston,Texas</v>
      </c>
      <c r="D1609" s="6" t="s">
        <v>2808</v>
      </c>
      <c r="E1609" s="6" t="s">
        <v>25</v>
      </c>
      <c r="F1609" s="6" t="s">
        <v>26</v>
      </c>
      <c r="G1609" s="6" t="s">
        <v>222</v>
      </c>
      <c r="H1609" s="6" t="s">
        <v>1724</v>
      </c>
      <c r="I1609" s="6" t="str">
        <f>VLOOKUP(H1609,'Flow Location'!$A$1:$B$21,2,FALSE)</f>
        <v>Storm Sewer (not contained)</v>
      </c>
      <c r="J1609" s="20">
        <v>104.0</v>
      </c>
      <c r="K1609" s="6" t="s">
        <v>29</v>
      </c>
      <c r="L1609" s="6" t="str">
        <f>VLOOKUP(K1609,'Structure type'!$A$1:$B$15,2,FALSE)</f>
        <v>Manhole</v>
      </c>
      <c r="M1609" s="6" t="s">
        <v>2809</v>
      </c>
      <c r="N1609" s="6" t="str">
        <f>VLOOKUP(M1609,'Excursion Cause'!$A$1:$B$34,2,FALSE)</f>
        <v>Grease Blockage</v>
      </c>
      <c r="O1609" s="21">
        <v>44755.0</v>
      </c>
      <c r="P1609" s="6" t="s">
        <v>564</v>
      </c>
      <c r="Q1609" s="21">
        <v>44755.0</v>
      </c>
      <c r="R1609" s="6" t="s">
        <v>1763</v>
      </c>
      <c r="S1609" s="20">
        <v>1.0</v>
      </c>
      <c r="T1609" s="6" t="s">
        <v>2810</v>
      </c>
      <c r="U1609" s="6"/>
      <c r="V1609" s="6"/>
      <c r="W1609" s="6">
        <v>29.8452878</v>
      </c>
      <c r="X1609" s="6">
        <v>-95.4572007</v>
      </c>
    </row>
    <row r="1610" ht="15.75" customHeight="1">
      <c r="A1610" s="6">
        <v>48965.0</v>
      </c>
      <c r="B1610" s="6">
        <v>2022.0</v>
      </c>
      <c r="C1610" s="6" t="str">
        <f t="shared" si="5"/>
        <v>11811 NORTH FWY,Houston,Texas</v>
      </c>
      <c r="D1610" s="6" t="s">
        <v>2811</v>
      </c>
      <c r="E1610" s="6" t="s">
        <v>25</v>
      </c>
      <c r="F1610" s="6" t="s">
        <v>26</v>
      </c>
      <c r="G1610" s="6" t="s">
        <v>393</v>
      </c>
      <c r="H1610" s="6" t="s">
        <v>1724</v>
      </c>
      <c r="I1610" s="6" t="str">
        <f>VLOOKUP(H1610,'Flow Location'!$A$1:$B$21,2,FALSE)</f>
        <v>Storm Sewer (not contained)</v>
      </c>
      <c r="J1610" s="20">
        <v>202.0</v>
      </c>
      <c r="K1610" s="6" t="s">
        <v>29</v>
      </c>
      <c r="L1610" s="6" t="str">
        <f>VLOOKUP(K1610,'Structure type'!$A$1:$B$15,2,FALSE)</f>
        <v>Manhole</v>
      </c>
      <c r="M1610" s="6" t="s">
        <v>2812</v>
      </c>
      <c r="N1610" s="6" t="str">
        <f>VLOOKUP(M1610,'Excursion Cause'!$A$1:$B$34,2,FALSE)</f>
        <v>Grease Blockage</v>
      </c>
      <c r="O1610" s="21">
        <v>44755.0</v>
      </c>
      <c r="P1610" s="6" t="s">
        <v>2813</v>
      </c>
      <c r="Q1610" s="21">
        <v>44756.0</v>
      </c>
      <c r="R1610" s="6" t="s">
        <v>527</v>
      </c>
      <c r="S1610" s="20">
        <v>1.0</v>
      </c>
      <c r="T1610" s="6" t="s">
        <v>2814</v>
      </c>
      <c r="U1610" s="6"/>
      <c r="V1610" s="6"/>
      <c r="W1610" s="6">
        <v>29.9358466</v>
      </c>
      <c r="X1610" s="6">
        <v>-95.4140001</v>
      </c>
    </row>
    <row r="1611" ht="15.75" customHeight="1">
      <c r="A1611" s="6">
        <v>48972.0</v>
      </c>
      <c r="B1611" s="6">
        <v>2022.0</v>
      </c>
      <c r="C1611" s="6" t="str">
        <f t="shared" si="5"/>
        <v>12620 W BELLFORT AVE,Houston,Texas</v>
      </c>
      <c r="D1611" s="6" t="s">
        <v>2815</v>
      </c>
      <c r="E1611" s="6" t="s">
        <v>25</v>
      </c>
      <c r="F1611" s="6" t="s">
        <v>26</v>
      </c>
      <c r="G1611" s="6" t="s">
        <v>2816</v>
      </c>
      <c r="H1611" s="6" t="s">
        <v>28</v>
      </c>
      <c r="I1611" s="6" t="str">
        <f>VLOOKUP(H1611,'Flow Location'!$A$1:$B$21,2,FALSE)</f>
        <v>Storm Sewer (not contained)</v>
      </c>
      <c r="J1611" s="20">
        <v>1476.0</v>
      </c>
      <c r="K1611" s="6" t="s">
        <v>190</v>
      </c>
      <c r="L1611" s="6" t="str">
        <f>VLOOKUP(K1611,'Structure type'!$A$1:$B$15,2,FALSE)</f>
        <v>Force Main</v>
      </c>
      <c r="M1611" s="6" t="s">
        <v>620</v>
      </c>
      <c r="N1611" s="6" t="str">
        <f>VLOOKUP(M1611,'Excursion Cause'!$A$1:$B$34,2,FALSE)</f>
        <v>Air Relief Valve (ARV) Failure</v>
      </c>
      <c r="O1611" s="21">
        <v>44756.0</v>
      </c>
      <c r="P1611" s="6" t="s">
        <v>1871</v>
      </c>
      <c r="Q1611" s="21">
        <v>44756.0</v>
      </c>
      <c r="R1611" s="6" t="s">
        <v>637</v>
      </c>
      <c r="S1611" s="20">
        <v>3.0</v>
      </c>
      <c r="T1611" s="6" t="s">
        <v>118</v>
      </c>
      <c r="U1611" s="6"/>
      <c r="V1611" s="6"/>
      <c r="W1611" s="6">
        <v>29.661591</v>
      </c>
      <c r="X1611" s="6">
        <v>-95.6053474</v>
      </c>
    </row>
    <row r="1612" ht="15.75" customHeight="1">
      <c r="A1612" s="6">
        <v>48973.0</v>
      </c>
      <c r="B1612" s="6">
        <v>2022.0</v>
      </c>
      <c r="C1612" s="6" t="str">
        <f t="shared" si="5"/>
        <v>9724 BENNETT ST,Houston,Texas</v>
      </c>
      <c r="D1612" s="6" t="s">
        <v>2817</v>
      </c>
      <c r="E1612" s="6" t="s">
        <v>25</v>
      </c>
      <c r="F1612" s="6" t="s">
        <v>26</v>
      </c>
      <c r="G1612" s="6" t="s">
        <v>247</v>
      </c>
      <c r="H1612" s="6" t="s">
        <v>50</v>
      </c>
      <c r="I1612" s="6" t="str">
        <f>VLOOKUP(H1612,'Flow Location'!$A$1:$B$21,2,FALSE)</f>
        <v>Contained On Site, not within 5 ft. of Bayou/Surface Water/Drainage Ditch</v>
      </c>
      <c r="J1612" s="20">
        <v>0.0</v>
      </c>
      <c r="K1612" s="6" t="s">
        <v>45</v>
      </c>
      <c r="L1612" s="6" t="str">
        <f>VLOOKUP(K1612,'Structure type'!$A$1:$B$15,2,FALSE)</f>
        <v>City Cleanout</v>
      </c>
      <c r="M1612" s="6" t="s">
        <v>30</v>
      </c>
      <c r="N1612" s="6" t="str">
        <f>VLOOKUP(M1612,'Excursion Cause'!$A$1:$B$34,2,FALSE)</f>
        <v>Grease Blockage</v>
      </c>
      <c r="O1612" s="21">
        <v>44757.0</v>
      </c>
      <c r="P1612" s="6" t="s">
        <v>2674</v>
      </c>
      <c r="Q1612" s="21">
        <v>44757.0</v>
      </c>
      <c r="R1612" s="6" t="s">
        <v>1071</v>
      </c>
      <c r="S1612" s="20">
        <v>0.0</v>
      </c>
      <c r="T1612" s="6" t="s">
        <v>170</v>
      </c>
      <c r="U1612" s="6"/>
      <c r="V1612" s="6"/>
      <c r="W1612" s="6">
        <v>29.7514841</v>
      </c>
      <c r="X1612" s="6">
        <v>-95.2569563</v>
      </c>
    </row>
    <row r="1613" ht="15.75" customHeight="1">
      <c r="A1613" s="6">
        <v>48974.0</v>
      </c>
      <c r="B1613" s="6">
        <v>2022.0</v>
      </c>
      <c r="C1613" s="6" t="str">
        <f t="shared" si="5"/>
        <v>6501 A PICKENS ST,Houston,Texas</v>
      </c>
      <c r="D1613" s="6" t="s">
        <v>2818</v>
      </c>
      <c r="E1613" s="6" t="s">
        <v>25</v>
      </c>
      <c r="F1613" s="6" t="s">
        <v>26</v>
      </c>
      <c r="G1613" s="6" t="s">
        <v>158</v>
      </c>
      <c r="H1613" s="6" t="s">
        <v>1724</v>
      </c>
      <c r="I1613" s="6" t="str">
        <f>VLOOKUP(H1613,'Flow Location'!$A$1:$B$21,2,FALSE)</f>
        <v>Storm Sewer (not contained)</v>
      </c>
      <c r="J1613" s="20">
        <v>112.0</v>
      </c>
      <c r="K1613" s="6" t="s">
        <v>29</v>
      </c>
      <c r="L1613" s="6" t="str">
        <f>VLOOKUP(K1613,'Structure type'!$A$1:$B$15,2,FALSE)</f>
        <v>Manhole</v>
      </c>
      <c r="M1613" s="6" t="s">
        <v>2819</v>
      </c>
      <c r="N1613" s="6" t="str">
        <f>VLOOKUP(M1613,'Excursion Cause'!$A$1:$B$34,2,FALSE)</f>
        <v>Grease Blockage</v>
      </c>
      <c r="O1613" s="21">
        <v>44757.0</v>
      </c>
      <c r="P1613" s="6" t="s">
        <v>195</v>
      </c>
      <c r="Q1613" s="21">
        <v>44757.0</v>
      </c>
      <c r="R1613" s="6" t="s">
        <v>1035</v>
      </c>
      <c r="S1613" s="20">
        <v>2.0</v>
      </c>
      <c r="T1613" s="6" t="s">
        <v>2820</v>
      </c>
      <c r="U1613" s="6"/>
      <c r="V1613" s="6"/>
      <c r="W1613" s="6">
        <v>29.7719851</v>
      </c>
      <c r="X1613" s="6">
        <v>-95.4286206</v>
      </c>
    </row>
    <row r="1614" ht="15.75" customHeight="1">
      <c r="A1614" s="6">
        <v>48980.0</v>
      </c>
      <c r="B1614" s="6">
        <v>2022.0</v>
      </c>
      <c r="C1614" s="6" t="str">
        <f t="shared" si="5"/>
        <v>1433 N SHEPHERD DR,Houston,Texas</v>
      </c>
      <c r="D1614" s="6" t="s">
        <v>2821</v>
      </c>
      <c r="E1614" s="6" t="s">
        <v>25</v>
      </c>
      <c r="F1614" s="6" t="s">
        <v>26</v>
      </c>
      <c r="G1614" s="6" t="s">
        <v>232</v>
      </c>
      <c r="H1614" s="6" t="s">
        <v>2275</v>
      </c>
      <c r="I1614" s="6" t="str">
        <f>VLOOKUP(H1614,'Flow Location'!$A$1:$B$21,2,FALSE)</f>
        <v>Contained On Site, not within 5 ft. of Bayou/Surface Water/Drainage Ditch</v>
      </c>
      <c r="J1614" s="20">
        <v>222.0</v>
      </c>
      <c r="K1614" s="6" t="s">
        <v>782</v>
      </c>
      <c r="L1614" s="6" t="str">
        <f>VLOOKUP(K1614,'Structure type'!$A$1:$B$15,2,FALSE)</f>
        <v>Private Sample Well</v>
      </c>
      <c r="M1614" s="6" t="s">
        <v>52</v>
      </c>
      <c r="N1614" s="6" t="str">
        <f>VLOOKUP(M1614,'Excursion Cause'!$A$1:$B$34,2,FALSE)</f>
        <v>Collection system structural blockage</v>
      </c>
      <c r="O1614" s="21">
        <v>44758.0</v>
      </c>
      <c r="P1614" s="6" t="s">
        <v>1342</v>
      </c>
      <c r="Q1614" s="21">
        <v>44758.0</v>
      </c>
      <c r="R1614" s="6" t="s">
        <v>537</v>
      </c>
      <c r="S1614" s="20">
        <v>1.0</v>
      </c>
      <c r="T1614" s="6" t="s">
        <v>89</v>
      </c>
      <c r="U1614" s="6"/>
      <c r="V1614" s="6"/>
      <c r="W1614" s="6">
        <v>29.7972963</v>
      </c>
      <c r="X1614" s="6">
        <v>-95.4103383</v>
      </c>
    </row>
    <row r="1615" ht="15.75" customHeight="1">
      <c r="A1615" s="6">
        <v>48981.0</v>
      </c>
      <c r="B1615" s="6">
        <v>2022.0</v>
      </c>
      <c r="C1615" s="6" t="str">
        <f t="shared" si="5"/>
        <v>15450 HIGHWAY 3,Houston,Texas</v>
      </c>
      <c r="D1615" s="6" t="s">
        <v>2822</v>
      </c>
      <c r="E1615" s="6" t="s">
        <v>25</v>
      </c>
      <c r="F1615" s="6" t="s">
        <v>26</v>
      </c>
      <c r="G1615" s="6" t="s">
        <v>211</v>
      </c>
      <c r="H1615" s="6" t="s">
        <v>1964</v>
      </c>
      <c r="I1615" s="6" t="str">
        <f>VLOOKUP(H1615,'Flow Location'!$A$1:$B$21,2,FALSE)</f>
        <v>Within 5 ft. of Bayou/Surface Water/Drainage Ditch</v>
      </c>
      <c r="J1615" s="20">
        <v>3867.0</v>
      </c>
      <c r="K1615" s="6" t="s">
        <v>29</v>
      </c>
      <c r="L1615" s="6" t="str">
        <f>VLOOKUP(K1615,'Structure type'!$A$1:$B$15,2,FALSE)</f>
        <v>Manhole</v>
      </c>
      <c r="M1615" s="6" t="s">
        <v>30</v>
      </c>
      <c r="N1615" s="6" t="str">
        <f>VLOOKUP(M1615,'Excursion Cause'!$A$1:$B$34,2,FALSE)</f>
        <v>Grease Blockage</v>
      </c>
      <c r="O1615" s="21">
        <v>44758.0</v>
      </c>
      <c r="P1615" s="6" t="s">
        <v>348</v>
      </c>
      <c r="Q1615" s="21">
        <v>44759.0</v>
      </c>
      <c r="R1615" s="6" t="s">
        <v>254</v>
      </c>
      <c r="S1615" s="20">
        <v>3.0</v>
      </c>
      <c r="T1615" s="6" t="s">
        <v>33</v>
      </c>
      <c r="U1615" s="6"/>
      <c r="V1615" s="6"/>
      <c r="W1615" s="6">
        <v>29.5633626</v>
      </c>
      <c r="X1615" s="6">
        <v>-95.1442453</v>
      </c>
    </row>
    <row r="1616" ht="15.75" customHeight="1">
      <c r="A1616" s="6">
        <v>48982.0</v>
      </c>
      <c r="B1616" s="6">
        <v>2022.0</v>
      </c>
      <c r="C1616" s="6" t="str">
        <f t="shared" si="5"/>
        <v>1213 FEDERAL RD,Houston,Texas</v>
      </c>
      <c r="D1616" s="6" t="s">
        <v>2823</v>
      </c>
      <c r="E1616" s="6" t="s">
        <v>25</v>
      </c>
      <c r="F1616" s="6" t="s">
        <v>26</v>
      </c>
      <c r="G1616" s="6" t="s">
        <v>623</v>
      </c>
      <c r="H1616" s="6" t="s">
        <v>2275</v>
      </c>
      <c r="I1616" s="6" t="str">
        <f>VLOOKUP(H1616,'Flow Location'!$A$1:$B$21,2,FALSE)</f>
        <v>Contained On Site, not within 5 ft. of Bayou/Surface Water/Drainage Ditch</v>
      </c>
      <c r="J1616" s="20">
        <v>5712.0</v>
      </c>
      <c r="K1616" s="6" t="s">
        <v>29</v>
      </c>
      <c r="L1616" s="6" t="str">
        <f>VLOOKUP(K1616,'Structure type'!$A$1:$B$15,2,FALSE)</f>
        <v>Manhole</v>
      </c>
      <c r="M1616" s="6" t="s">
        <v>30</v>
      </c>
      <c r="N1616" s="6" t="str">
        <f>VLOOKUP(M1616,'Excursion Cause'!$A$1:$B$34,2,FALSE)</f>
        <v>Grease Blockage</v>
      </c>
      <c r="O1616" s="21">
        <v>44758.0</v>
      </c>
      <c r="P1616" s="6" t="s">
        <v>2824</v>
      </c>
      <c r="Q1616" s="21">
        <v>44760.0</v>
      </c>
      <c r="R1616" s="6" t="s">
        <v>753</v>
      </c>
      <c r="S1616" s="20">
        <v>2.0</v>
      </c>
      <c r="T1616" s="6" t="s">
        <v>59</v>
      </c>
      <c r="U1616" s="6"/>
      <c r="V1616" s="6"/>
      <c r="W1616" s="6">
        <v>29.768733</v>
      </c>
      <c r="X1616" s="6">
        <v>-95.2125179</v>
      </c>
    </row>
    <row r="1617" ht="15.75" customHeight="1">
      <c r="A1617" s="6">
        <v>48983.0</v>
      </c>
      <c r="B1617" s="6">
        <v>2022.0</v>
      </c>
      <c r="C1617" s="6" t="str">
        <f t="shared" si="5"/>
        <v>710 BACA ST,Houston,Texas</v>
      </c>
      <c r="D1617" s="6" t="s">
        <v>1459</v>
      </c>
      <c r="E1617" s="6" t="s">
        <v>25</v>
      </c>
      <c r="F1617" s="6" t="s">
        <v>26</v>
      </c>
      <c r="G1617" s="6" t="s">
        <v>656</v>
      </c>
      <c r="H1617" s="6" t="s">
        <v>1724</v>
      </c>
      <c r="I1617" s="6" t="str">
        <f>VLOOKUP(H1617,'Flow Location'!$A$1:$B$21,2,FALSE)</f>
        <v>Storm Sewer (not contained)</v>
      </c>
      <c r="J1617" s="20">
        <v>783.0</v>
      </c>
      <c r="K1617" s="6" t="s">
        <v>29</v>
      </c>
      <c r="L1617" s="6" t="str">
        <f>VLOOKUP(K1617,'Structure type'!$A$1:$B$15,2,FALSE)</f>
        <v>Manhole</v>
      </c>
      <c r="M1617" s="6" t="s">
        <v>2825</v>
      </c>
      <c r="N1617" s="6" t="str">
        <f>VLOOKUP(M1617,'Excursion Cause'!$A$1:$B$34,2,FALSE)</f>
        <v>Grease Blockage</v>
      </c>
      <c r="O1617" s="21">
        <v>44758.0</v>
      </c>
      <c r="P1617" s="6" t="s">
        <v>2024</v>
      </c>
      <c r="Q1617" s="21">
        <v>44758.0</v>
      </c>
      <c r="R1617" s="6" t="s">
        <v>562</v>
      </c>
      <c r="S1617" s="20">
        <v>3.0</v>
      </c>
      <c r="T1617" s="6" t="s">
        <v>2826</v>
      </c>
      <c r="U1617" s="6"/>
      <c r="V1617" s="6"/>
      <c r="W1617" s="6">
        <v>29.7763216</v>
      </c>
      <c r="X1617" s="6">
        <v>-95.2379857</v>
      </c>
    </row>
    <row r="1618" ht="15.75" customHeight="1">
      <c r="A1618" s="6">
        <v>48985.0</v>
      </c>
      <c r="B1618" s="6">
        <v>2022.0</v>
      </c>
      <c r="C1618" s="6" t="str">
        <f t="shared" si="5"/>
        <v>6042 BEACONRIDGE DR,Houston,Texas</v>
      </c>
      <c r="D1618" s="6" t="s">
        <v>2827</v>
      </c>
      <c r="E1618" s="6" t="s">
        <v>25</v>
      </c>
      <c r="F1618" s="6" t="s">
        <v>26</v>
      </c>
      <c r="G1618" s="6" t="s">
        <v>517</v>
      </c>
      <c r="H1618" s="6" t="s">
        <v>50</v>
      </c>
      <c r="I1618" s="6" t="str">
        <f>VLOOKUP(H1618,'Flow Location'!$A$1:$B$21,2,FALSE)</f>
        <v>Contained On Site, not within 5 ft. of Bayou/Surface Water/Drainage Ditch</v>
      </c>
      <c r="J1618" s="20">
        <v>0.0</v>
      </c>
      <c r="K1618" s="6" t="s">
        <v>29</v>
      </c>
      <c r="L1618" s="6" t="str">
        <f>VLOOKUP(K1618,'Structure type'!$A$1:$B$15,2,FALSE)</f>
        <v>Manhole</v>
      </c>
      <c r="M1618" s="6" t="s">
        <v>30</v>
      </c>
      <c r="N1618" s="6" t="str">
        <f>VLOOKUP(M1618,'Excursion Cause'!$A$1:$B$34,2,FALSE)</f>
        <v>Grease Blockage</v>
      </c>
      <c r="O1618" s="21">
        <v>44759.0</v>
      </c>
      <c r="P1618" s="6" t="s">
        <v>684</v>
      </c>
      <c r="Q1618" s="21">
        <v>44759.0</v>
      </c>
      <c r="R1618" s="6" t="s">
        <v>833</v>
      </c>
      <c r="S1618" s="20">
        <v>0.0</v>
      </c>
      <c r="T1618" s="6" t="s">
        <v>33</v>
      </c>
      <c r="U1618" s="6"/>
      <c r="V1618" s="6"/>
      <c r="W1618" s="6">
        <v>29.5922888</v>
      </c>
      <c r="X1618" s="6">
        <v>-95.4765981</v>
      </c>
    </row>
    <row r="1619" ht="15.75" customHeight="1">
      <c r="A1619" s="6">
        <v>48987.0</v>
      </c>
      <c r="B1619" s="6">
        <v>2022.0</v>
      </c>
      <c r="C1619" s="6" t="str">
        <f t="shared" si="5"/>
        <v>2502 CANAL ST,Houston,Texas</v>
      </c>
      <c r="D1619" s="6" t="s">
        <v>2828</v>
      </c>
      <c r="E1619" s="6" t="s">
        <v>25</v>
      </c>
      <c r="F1619" s="6" t="s">
        <v>26</v>
      </c>
      <c r="G1619" s="6" t="s">
        <v>172</v>
      </c>
      <c r="H1619" s="6" t="s">
        <v>2275</v>
      </c>
      <c r="I1619" s="6" t="str">
        <f>VLOOKUP(H1619,'Flow Location'!$A$1:$B$21,2,FALSE)</f>
        <v>Contained On Site, not within 5 ft. of Bayou/Surface Water/Drainage Ditch</v>
      </c>
      <c r="J1619" s="20">
        <v>0.0</v>
      </c>
      <c r="K1619" s="6" t="s">
        <v>29</v>
      </c>
      <c r="L1619" s="6" t="str">
        <f>VLOOKUP(K1619,'Structure type'!$A$1:$B$15,2,FALSE)</f>
        <v>Manhole</v>
      </c>
      <c r="M1619" s="6" t="s">
        <v>30</v>
      </c>
      <c r="N1619" s="6" t="str">
        <f>VLOOKUP(M1619,'Excursion Cause'!$A$1:$B$34,2,FALSE)</f>
        <v>Grease Blockage</v>
      </c>
      <c r="O1619" s="21">
        <v>44759.0</v>
      </c>
      <c r="P1619" s="6" t="s">
        <v>342</v>
      </c>
      <c r="Q1619" s="21">
        <v>44759.0</v>
      </c>
      <c r="R1619" s="6" t="s">
        <v>757</v>
      </c>
      <c r="S1619" s="20">
        <v>0.0</v>
      </c>
      <c r="T1619" s="6" t="s">
        <v>33</v>
      </c>
      <c r="U1619" s="6"/>
      <c r="V1619" s="6"/>
      <c r="W1619" s="6">
        <v>29.7568657</v>
      </c>
      <c r="X1619" s="6">
        <v>-95.3451807</v>
      </c>
    </row>
    <row r="1620" ht="15.75" customHeight="1">
      <c r="A1620" s="6">
        <v>48988.0</v>
      </c>
      <c r="B1620" s="6">
        <v>2022.0</v>
      </c>
      <c r="C1620" s="6" t="str">
        <f t="shared" si="5"/>
        <v>5010 ALDINE BENDER RD,Houston,Texas</v>
      </c>
      <c r="D1620" s="6" t="s">
        <v>2829</v>
      </c>
      <c r="E1620" s="6" t="s">
        <v>25</v>
      </c>
      <c r="F1620" s="6" t="s">
        <v>26</v>
      </c>
      <c r="G1620" s="6" t="s">
        <v>1210</v>
      </c>
      <c r="H1620" s="6" t="s">
        <v>1724</v>
      </c>
      <c r="I1620" s="6" t="str">
        <f>VLOOKUP(H1620,'Flow Location'!$A$1:$B$21,2,FALSE)</f>
        <v>Storm Sewer (not contained)</v>
      </c>
      <c r="J1620" s="20">
        <v>825.0</v>
      </c>
      <c r="K1620" s="6" t="s">
        <v>29</v>
      </c>
      <c r="L1620" s="6" t="str">
        <f>VLOOKUP(K1620,'Structure type'!$A$1:$B$15,2,FALSE)</f>
        <v>Manhole</v>
      </c>
      <c r="M1620" s="6" t="s">
        <v>2830</v>
      </c>
      <c r="N1620" s="6" t="str">
        <f>VLOOKUP(M1620,'Excursion Cause'!$A$1:$B$34,2,FALSE)</f>
        <v>Grease Blockage</v>
      </c>
      <c r="O1620" s="21">
        <v>44759.0</v>
      </c>
      <c r="P1620" s="6" t="s">
        <v>245</v>
      </c>
      <c r="Q1620" s="21">
        <v>44759.0</v>
      </c>
      <c r="R1620" s="6" t="s">
        <v>2831</v>
      </c>
      <c r="S1620" s="20">
        <v>5.0</v>
      </c>
      <c r="T1620" s="6" t="s">
        <v>2832</v>
      </c>
      <c r="U1620" s="6"/>
      <c r="V1620" s="6"/>
      <c r="W1620" s="6">
        <v>29.9302774</v>
      </c>
      <c r="X1620" s="6">
        <v>-95.314619</v>
      </c>
    </row>
    <row r="1621" ht="15.75" customHeight="1">
      <c r="A1621" s="6">
        <v>48993.0</v>
      </c>
      <c r="B1621" s="6">
        <v>2022.0</v>
      </c>
      <c r="C1621" s="6" t="str">
        <f t="shared" si="5"/>
        <v>6805 ROSWELL ST,Houston,Texas</v>
      </c>
      <c r="D1621" s="6" t="s">
        <v>2700</v>
      </c>
      <c r="E1621" s="6" t="s">
        <v>25</v>
      </c>
      <c r="F1621" s="6" t="s">
        <v>26</v>
      </c>
      <c r="G1621" s="6" t="s">
        <v>653</v>
      </c>
      <c r="H1621" s="6" t="s">
        <v>1724</v>
      </c>
      <c r="I1621" s="6" t="str">
        <f>VLOOKUP(H1621,'Flow Location'!$A$1:$B$21,2,FALSE)</f>
        <v>Storm Sewer (not contained)</v>
      </c>
      <c r="J1621" s="20">
        <v>0.0</v>
      </c>
      <c r="K1621" s="6" t="s">
        <v>29</v>
      </c>
      <c r="L1621" s="6" t="str">
        <f>VLOOKUP(K1621,'Structure type'!$A$1:$B$15,2,FALSE)</f>
        <v>Manhole</v>
      </c>
      <c r="M1621" s="6" t="s">
        <v>2833</v>
      </c>
      <c r="N1621" s="6" t="str">
        <f>VLOOKUP(M1621,'Excursion Cause'!$A$1:$B$34,2,FALSE)</f>
        <v>Grease Blockage</v>
      </c>
      <c r="O1621" s="21">
        <v>44760.0</v>
      </c>
      <c r="P1621" s="6" t="s">
        <v>345</v>
      </c>
      <c r="Q1621" s="21">
        <v>44760.0</v>
      </c>
      <c r="R1621" s="6" t="s">
        <v>1301</v>
      </c>
      <c r="S1621" s="20">
        <v>0.0</v>
      </c>
      <c r="T1621" s="6" t="s">
        <v>2834</v>
      </c>
      <c r="U1621" s="6"/>
      <c r="V1621" s="6"/>
      <c r="W1621" s="6">
        <v>29.8201072</v>
      </c>
      <c r="X1621" s="6">
        <v>-95.3698776</v>
      </c>
    </row>
    <row r="1622" ht="15.75" customHeight="1">
      <c r="A1622" s="6">
        <v>48995.0</v>
      </c>
      <c r="B1622" s="6">
        <v>2022.0</v>
      </c>
      <c r="C1622" s="6" t="str">
        <f t="shared" si="5"/>
        <v>950 VILLA DE MATEL RD,Houston,Texas</v>
      </c>
      <c r="D1622" s="6" t="s">
        <v>2835</v>
      </c>
      <c r="E1622" s="6" t="s">
        <v>25</v>
      </c>
      <c r="F1622" s="6" t="s">
        <v>26</v>
      </c>
      <c r="G1622" s="6" t="s">
        <v>141</v>
      </c>
      <c r="H1622" s="6" t="s">
        <v>50</v>
      </c>
      <c r="I1622" s="6" t="str">
        <f>VLOOKUP(H1622,'Flow Location'!$A$1:$B$21,2,FALSE)</f>
        <v>Contained On Site, not within 5 ft. of Bayou/Surface Water/Drainage Ditch</v>
      </c>
      <c r="J1622" s="20">
        <v>0.0</v>
      </c>
      <c r="K1622" s="6" t="s">
        <v>51</v>
      </c>
      <c r="L1622" s="6" t="str">
        <f>VLOOKUP(K1622,'Structure type'!$A$1:$B$15,2,FALSE)</f>
        <v>Private Cleanout</v>
      </c>
      <c r="M1622" s="6" t="s">
        <v>30</v>
      </c>
      <c r="N1622" s="6" t="str">
        <f>VLOOKUP(M1622,'Excursion Cause'!$A$1:$B$34,2,FALSE)</f>
        <v>Grease Blockage</v>
      </c>
      <c r="O1622" s="21">
        <v>44760.0</v>
      </c>
      <c r="P1622" s="6" t="s">
        <v>257</v>
      </c>
      <c r="Q1622" s="21">
        <v>44760.0</v>
      </c>
      <c r="R1622" s="6" t="s">
        <v>2405</v>
      </c>
      <c r="S1622" s="20">
        <v>0.0</v>
      </c>
      <c r="T1622" s="6" t="s">
        <v>33</v>
      </c>
      <c r="U1622" s="6"/>
      <c r="V1622" s="6"/>
      <c r="W1622" s="6">
        <v>29.7304051</v>
      </c>
      <c r="X1622" s="6">
        <v>-95.31217</v>
      </c>
    </row>
    <row r="1623" ht="15.75" customHeight="1">
      <c r="A1623" s="6">
        <v>48999.0</v>
      </c>
      <c r="B1623" s="6">
        <v>2022.0</v>
      </c>
      <c r="C1623" s="6" t="str">
        <f t="shared" si="5"/>
        <v>10841 GREENWILLOW DR,Houston,Texas</v>
      </c>
      <c r="D1623" s="6" t="s">
        <v>2836</v>
      </c>
      <c r="E1623" s="6" t="s">
        <v>25</v>
      </c>
      <c r="F1623" s="6" t="s">
        <v>26</v>
      </c>
      <c r="G1623" s="6" t="s">
        <v>127</v>
      </c>
      <c r="H1623" s="6" t="s">
        <v>1724</v>
      </c>
      <c r="I1623" s="6" t="str">
        <f>VLOOKUP(H1623,'Flow Location'!$A$1:$B$21,2,FALSE)</f>
        <v>Storm Sewer (not contained)</v>
      </c>
      <c r="J1623" s="20">
        <v>243.0</v>
      </c>
      <c r="K1623" s="6" t="s">
        <v>29</v>
      </c>
      <c r="L1623" s="6" t="str">
        <f>VLOOKUP(K1623,'Structure type'!$A$1:$B$15,2,FALSE)</f>
        <v>Manhole</v>
      </c>
      <c r="M1623" s="6" t="s">
        <v>2837</v>
      </c>
      <c r="N1623" s="6" t="str">
        <f>VLOOKUP(M1623,'Excursion Cause'!$A$1:$B$34,2,FALSE)</f>
        <v>Grease Blockage</v>
      </c>
      <c r="O1623" s="21">
        <v>44761.0</v>
      </c>
      <c r="P1623" s="6" t="s">
        <v>450</v>
      </c>
      <c r="Q1623" s="21">
        <v>44761.0</v>
      </c>
      <c r="R1623" s="6" t="s">
        <v>358</v>
      </c>
      <c r="S1623" s="20">
        <v>1.0</v>
      </c>
      <c r="T1623" s="6" t="s">
        <v>2838</v>
      </c>
      <c r="U1623" s="6"/>
      <c r="V1623" s="6"/>
      <c r="W1623" s="6">
        <v>29.6622154</v>
      </c>
      <c r="X1623" s="6">
        <v>-95.4486441</v>
      </c>
    </row>
    <row r="1624" ht="15.75" customHeight="1">
      <c r="A1624" s="6">
        <v>49000.0</v>
      </c>
      <c r="B1624" s="6">
        <v>2022.0</v>
      </c>
      <c r="C1624" s="6" t="str">
        <f t="shared" si="5"/>
        <v>617 WARNER ST,Houston,Texas</v>
      </c>
      <c r="D1624" s="6" t="s">
        <v>1061</v>
      </c>
      <c r="E1624" s="6" t="s">
        <v>25</v>
      </c>
      <c r="F1624" s="6" t="s">
        <v>26</v>
      </c>
      <c r="G1624" s="6" t="s">
        <v>653</v>
      </c>
      <c r="H1624" s="6" t="s">
        <v>1397</v>
      </c>
      <c r="I1624" s="6" t="str">
        <f>VLOOKUP(H1624,'Flow Location'!$A$1:$B$21,2,FALSE)</f>
        <v>Bayou/surface water/drainage ditch</v>
      </c>
      <c r="J1624" s="20">
        <v>0.0</v>
      </c>
      <c r="K1624" s="6" t="s">
        <v>29</v>
      </c>
      <c r="L1624" s="6" t="str">
        <f>VLOOKUP(K1624,'Structure type'!$A$1:$B$15,2,FALSE)</f>
        <v>Manhole</v>
      </c>
      <c r="M1624" s="6" t="s">
        <v>30</v>
      </c>
      <c r="N1624" s="6" t="str">
        <f>VLOOKUP(M1624,'Excursion Cause'!$A$1:$B$34,2,FALSE)</f>
        <v>Grease Blockage</v>
      </c>
      <c r="O1624" s="21">
        <v>44761.0</v>
      </c>
      <c r="P1624" s="6" t="s">
        <v>2260</v>
      </c>
      <c r="Q1624" s="21">
        <v>44761.0</v>
      </c>
      <c r="R1624" s="6" t="s">
        <v>315</v>
      </c>
      <c r="S1624" s="20">
        <v>0.0</v>
      </c>
      <c r="T1624" s="6" t="s">
        <v>33</v>
      </c>
      <c r="U1624" s="6"/>
      <c r="V1624" s="6"/>
      <c r="W1624" s="6">
        <v>29.8409649</v>
      </c>
      <c r="X1624" s="6">
        <v>-95.3667419</v>
      </c>
    </row>
    <row r="1625" ht="15.75" customHeight="1">
      <c r="A1625" s="6">
        <v>49001.0</v>
      </c>
      <c r="B1625" s="6">
        <v>2022.0</v>
      </c>
      <c r="C1625" s="6" t="str">
        <f t="shared" si="5"/>
        <v>10018 KIRKGLEN DR,Houston,Texas</v>
      </c>
      <c r="D1625" s="6" t="s">
        <v>2839</v>
      </c>
      <c r="E1625" s="6" t="s">
        <v>25</v>
      </c>
      <c r="F1625" s="6" t="s">
        <v>26</v>
      </c>
      <c r="G1625" s="6" t="s">
        <v>477</v>
      </c>
      <c r="H1625" s="6" t="s">
        <v>2275</v>
      </c>
      <c r="I1625" s="6" t="str">
        <f>VLOOKUP(H1625,'Flow Location'!$A$1:$B$21,2,FALSE)</f>
        <v>Contained On Site, not within 5 ft. of Bayou/Surface Water/Drainage Ditch</v>
      </c>
      <c r="J1625" s="20">
        <v>980.0</v>
      </c>
      <c r="K1625" s="6" t="s">
        <v>29</v>
      </c>
      <c r="L1625" s="6" t="str">
        <f>VLOOKUP(K1625,'Structure type'!$A$1:$B$15,2,FALSE)</f>
        <v>Manhole</v>
      </c>
      <c r="M1625" s="6" t="s">
        <v>30</v>
      </c>
      <c r="N1625" s="6" t="str">
        <f>VLOOKUP(M1625,'Excursion Cause'!$A$1:$B$34,2,FALSE)</f>
        <v>Grease Blockage</v>
      </c>
      <c r="O1625" s="21">
        <v>44761.0</v>
      </c>
      <c r="P1625" s="6" t="s">
        <v>333</v>
      </c>
      <c r="Q1625" s="21">
        <v>44761.0</v>
      </c>
      <c r="R1625" s="6" t="s">
        <v>2450</v>
      </c>
      <c r="S1625" s="20">
        <v>2.0</v>
      </c>
      <c r="T1625" s="6" t="s">
        <v>33</v>
      </c>
      <c r="U1625" s="6"/>
      <c r="V1625" s="6"/>
      <c r="W1625" s="6">
        <v>29.6020587</v>
      </c>
      <c r="X1625" s="6">
        <v>-95.2255417</v>
      </c>
    </row>
    <row r="1626" ht="15.75" customHeight="1">
      <c r="A1626" s="6">
        <v>49008.0</v>
      </c>
      <c r="B1626" s="6">
        <v>2022.0</v>
      </c>
      <c r="C1626" s="6" t="str">
        <f t="shared" si="5"/>
        <v>6701 ROOS RD,Houston,Texas</v>
      </c>
      <c r="D1626" s="6" t="s">
        <v>2840</v>
      </c>
      <c r="E1626" s="6" t="s">
        <v>25</v>
      </c>
      <c r="F1626" s="6" t="s">
        <v>26</v>
      </c>
      <c r="G1626" s="6" t="s">
        <v>471</v>
      </c>
      <c r="H1626" s="6" t="s">
        <v>1724</v>
      </c>
      <c r="I1626" s="6" t="str">
        <f>VLOOKUP(H1626,'Flow Location'!$A$1:$B$21,2,FALSE)</f>
        <v>Storm Sewer (not contained)</v>
      </c>
      <c r="J1626" s="20">
        <v>532.0</v>
      </c>
      <c r="K1626" s="6" t="s">
        <v>29</v>
      </c>
      <c r="L1626" s="6" t="str">
        <f>VLOOKUP(K1626,'Structure type'!$A$1:$B$15,2,FALSE)</f>
        <v>Manhole</v>
      </c>
      <c r="M1626" s="6" t="s">
        <v>2841</v>
      </c>
      <c r="N1626" s="6" t="str">
        <f>VLOOKUP(M1626,'Excursion Cause'!$A$1:$B$34,2,FALSE)</f>
        <v>Grease Blockage</v>
      </c>
      <c r="O1626" s="21">
        <v>44762.0</v>
      </c>
      <c r="P1626" s="6" t="s">
        <v>1239</v>
      </c>
      <c r="Q1626" s="21">
        <v>44762.0</v>
      </c>
      <c r="R1626" s="6" t="s">
        <v>545</v>
      </c>
      <c r="S1626" s="20">
        <v>1.0</v>
      </c>
      <c r="T1626" s="6" t="s">
        <v>2842</v>
      </c>
      <c r="U1626" s="6"/>
      <c r="V1626" s="6"/>
      <c r="W1626" s="6">
        <v>29.6999203</v>
      </c>
      <c r="X1626" s="6">
        <v>-95.5006619</v>
      </c>
    </row>
    <row r="1627" ht="15.75" customHeight="1">
      <c r="A1627" s="6">
        <v>49009.0</v>
      </c>
      <c r="B1627" s="6">
        <v>2022.0</v>
      </c>
      <c r="C1627" s="6" t="str">
        <f t="shared" si="5"/>
        <v>6518 UTAH ST,Houston,Texas</v>
      </c>
      <c r="D1627" s="6" t="s">
        <v>2843</v>
      </c>
      <c r="E1627" s="6" t="s">
        <v>25</v>
      </c>
      <c r="F1627" s="6" t="s">
        <v>26</v>
      </c>
      <c r="G1627" s="6" t="s">
        <v>222</v>
      </c>
      <c r="H1627" s="6" t="s">
        <v>28</v>
      </c>
      <c r="I1627" s="6" t="str">
        <f>VLOOKUP(H1627,'Flow Location'!$A$1:$B$21,2,FALSE)</f>
        <v>Storm Sewer (not contained)</v>
      </c>
      <c r="J1627" s="20">
        <v>0.0</v>
      </c>
      <c r="K1627" s="6" t="s">
        <v>45</v>
      </c>
      <c r="L1627" s="6" t="str">
        <f>VLOOKUP(K1627,'Structure type'!$A$1:$B$15,2,FALSE)</f>
        <v>City Cleanout</v>
      </c>
      <c r="M1627" s="6" t="s">
        <v>2844</v>
      </c>
      <c r="N1627" s="6" t="str">
        <f>VLOOKUP(M1627,'Excursion Cause'!$A$1:$B$34,2,FALSE)</f>
        <v>Collection system temporary blockage</v>
      </c>
      <c r="O1627" s="21">
        <v>44762.0</v>
      </c>
      <c r="P1627" s="6" t="s">
        <v>62</v>
      </c>
      <c r="Q1627" s="21">
        <v>44762.0</v>
      </c>
      <c r="R1627" s="6" t="s">
        <v>515</v>
      </c>
      <c r="S1627" s="20">
        <v>0.0</v>
      </c>
      <c r="T1627" s="6" t="s">
        <v>270</v>
      </c>
      <c r="U1627" s="6"/>
      <c r="V1627" s="6"/>
      <c r="W1627" s="6">
        <v>29.8587362</v>
      </c>
      <c r="X1627" s="6">
        <v>-95.4241665</v>
      </c>
    </row>
    <row r="1628" ht="15.75" customHeight="1">
      <c r="A1628" s="6">
        <v>49014.0</v>
      </c>
      <c r="B1628" s="6">
        <v>2022.0</v>
      </c>
      <c r="C1628" s="6" t="str">
        <f t="shared" si="5"/>
        <v>9613 KEMPWOOD DR,Houston,Texas</v>
      </c>
      <c r="D1628" s="6" t="s">
        <v>2845</v>
      </c>
      <c r="E1628" s="6" t="s">
        <v>25</v>
      </c>
      <c r="F1628" s="6" t="s">
        <v>26</v>
      </c>
      <c r="G1628" s="6" t="s">
        <v>294</v>
      </c>
      <c r="H1628" s="6" t="s">
        <v>1724</v>
      </c>
      <c r="I1628" s="6" t="str">
        <f>VLOOKUP(H1628,'Flow Location'!$A$1:$B$21,2,FALSE)</f>
        <v>Storm Sewer (not contained)</v>
      </c>
      <c r="J1628" s="22">
        <v>73.5</v>
      </c>
      <c r="K1628" s="6" t="s">
        <v>29</v>
      </c>
      <c r="L1628" s="6" t="str">
        <f>VLOOKUP(K1628,'Structure type'!$A$1:$B$15,2,FALSE)</f>
        <v>Manhole</v>
      </c>
      <c r="M1628" s="6" t="s">
        <v>2846</v>
      </c>
      <c r="N1628" s="6" t="str">
        <f>VLOOKUP(M1628,'Excursion Cause'!$A$1:$B$34,2,FALSE)</f>
        <v>Grease Blockage</v>
      </c>
      <c r="O1628" s="21">
        <v>44763.0</v>
      </c>
      <c r="P1628" s="6" t="s">
        <v>1071</v>
      </c>
      <c r="Q1628" s="21">
        <v>44763.0</v>
      </c>
      <c r="R1628" s="6" t="s">
        <v>1317</v>
      </c>
      <c r="S1628" s="20">
        <v>1.0</v>
      </c>
      <c r="T1628" s="6" t="s">
        <v>2847</v>
      </c>
      <c r="U1628" s="6"/>
      <c r="V1628" s="6"/>
      <c r="W1628" s="6">
        <v>29.8214199</v>
      </c>
      <c r="X1628" s="6">
        <v>-95.5305822</v>
      </c>
    </row>
    <row r="1629" ht="15.75" customHeight="1">
      <c r="A1629" s="6">
        <v>49015.0</v>
      </c>
      <c r="B1629" s="6">
        <v>2022.0</v>
      </c>
      <c r="C1629" s="6" t="str">
        <f t="shared" si="5"/>
        <v>8102 OAK KNOLL LN,Houston,Texas</v>
      </c>
      <c r="D1629" s="6" t="s">
        <v>2848</v>
      </c>
      <c r="E1629" s="6" t="s">
        <v>25</v>
      </c>
      <c r="F1629" s="6" t="s">
        <v>26</v>
      </c>
      <c r="G1629" s="6" t="s">
        <v>177</v>
      </c>
      <c r="H1629" s="6" t="s">
        <v>28</v>
      </c>
      <c r="I1629" s="6" t="str">
        <f>VLOOKUP(H1629,'Flow Location'!$A$1:$B$21,2,FALSE)</f>
        <v>Storm Sewer (not contained)</v>
      </c>
      <c r="J1629" s="20">
        <v>0.0</v>
      </c>
      <c r="K1629" s="6" t="s">
        <v>45</v>
      </c>
      <c r="L1629" s="6" t="str">
        <f>VLOOKUP(K1629,'Structure type'!$A$1:$B$15,2,FALSE)</f>
        <v>City Cleanout</v>
      </c>
      <c r="M1629" s="6" t="s">
        <v>2849</v>
      </c>
      <c r="N1629" s="6" t="str">
        <f>VLOOKUP(M1629,'Excursion Cause'!$A$1:$B$34,2,FALSE)</f>
        <v>Collection system structural blockage</v>
      </c>
      <c r="O1629" s="21">
        <v>44763.0</v>
      </c>
      <c r="P1629" s="6" t="s">
        <v>844</v>
      </c>
      <c r="Q1629" s="21">
        <v>44763.0</v>
      </c>
      <c r="R1629" s="6" t="s">
        <v>1182</v>
      </c>
      <c r="S1629" s="20">
        <v>0.0</v>
      </c>
      <c r="T1629" s="6" t="s">
        <v>118</v>
      </c>
      <c r="U1629" s="6"/>
      <c r="V1629" s="6"/>
      <c r="W1629" s="6">
        <v>29.839466</v>
      </c>
      <c r="X1629" s="6">
        <v>-95.280158</v>
      </c>
    </row>
    <row r="1630" ht="15.75" customHeight="1">
      <c r="A1630" s="6">
        <v>49016.0</v>
      </c>
      <c r="B1630" s="6">
        <v>2022.0</v>
      </c>
      <c r="C1630" s="6" t="str">
        <f t="shared" si="5"/>
        <v>13521 PEORIA ST,Houston,Texas</v>
      </c>
      <c r="D1630" s="6" t="s">
        <v>2850</v>
      </c>
      <c r="E1630" s="6" t="s">
        <v>25</v>
      </c>
      <c r="F1630" s="6" t="s">
        <v>26</v>
      </c>
      <c r="G1630" s="6" t="s">
        <v>623</v>
      </c>
      <c r="H1630" s="6" t="s">
        <v>50</v>
      </c>
      <c r="I1630" s="6" t="str">
        <f>VLOOKUP(H1630,'Flow Location'!$A$1:$B$21,2,FALSE)</f>
        <v>Contained On Site, not within 5 ft. of Bayou/Surface Water/Drainage Ditch</v>
      </c>
      <c r="J1630" s="20">
        <v>1260.0</v>
      </c>
      <c r="K1630" s="6" t="s">
        <v>29</v>
      </c>
      <c r="L1630" s="6" t="str">
        <f>VLOOKUP(K1630,'Structure type'!$A$1:$B$15,2,FALSE)</f>
        <v>Manhole</v>
      </c>
      <c r="M1630" s="6" t="s">
        <v>30</v>
      </c>
      <c r="N1630" s="6" t="str">
        <f>VLOOKUP(M1630,'Excursion Cause'!$A$1:$B$34,2,FALSE)</f>
        <v>Grease Blockage</v>
      </c>
      <c r="O1630" s="21">
        <v>44763.0</v>
      </c>
      <c r="P1630" s="6" t="s">
        <v>428</v>
      </c>
      <c r="Q1630" s="21">
        <v>44764.0</v>
      </c>
      <c r="R1630" s="6" t="s">
        <v>331</v>
      </c>
      <c r="S1630" s="20">
        <v>1.0</v>
      </c>
      <c r="T1630" s="6" t="s">
        <v>33</v>
      </c>
      <c r="U1630" s="6"/>
      <c r="V1630" s="6"/>
      <c r="W1630" s="6">
        <v>29.781168</v>
      </c>
      <c r="X1630" s="6">
        <v>-95.1832594</v>
      </c>
    </row>
    <row r="1631" ht="15.75" customHeight="1">
      <c r="A1631" s="6">
        <v>49022.0</v>
      </c>
      <c r="B1631" s="6">
        <v>2022.0</v>
      </c>
      <c r="C1631" s="6" t="str">
        <f t="shared" si="5"/>
        <v>521 BRIARCLIFF DR,Houston,Texas</v>
      </c>
      <c r="D1631" s="6" t="s">
        <v>2851</v>
      </c>
      <c r="E1631" s="6" t="s">
        <v>25</v>
      </c>
      <c r="F1631" s="6" t="s">
        <v>26</v>
      </c>
      <c r="G1631" s="6" t="s">
        <v>275</v>
      </c>
      <c r="H1631" s="6" t="s">
        <v>2275</v>
      </c>
      <c r="I1631" s="6" t="str">
        <f>VLOOKUP(H1631,'Flow Location'!$A$1:$B$21,2,FALSE)</f>
        <v>Contained On Site, not within 5 ft. of Bayou/Surface Water/Drainage Ditch</v>
      </c>
      <c r="J1631" s="20">
        <v>0.0</v>
      </c>
      <c r="K1631" s="6" t="s">
        <v>29</v>
      </c>
      <c r="L1631" s="6" t="str">
        <f>VLOOKUP(K1631,'Structure type'!$A$1:$B$15,2,FALSE)</f>
        <v>Manhole</v>
      </c>
      <c r="M1631" s="6" t="s">
        <v>30</v>
      </c>
      <c r="N1631" s="6" t="str">
        <f>VLOOKUP(M1631,'Excursion Cause'!$A$1:$B$34,2,FALSE)</f>
        <v>Grease Blockage</v>
      </c>
      <c r="O1631" s="21">
        <v>44764.0</v>
      </c>
      <c r="P1631" s="6" t="s">
        <v>212</v>
      </c>
      <c r="Q1631" s="21">
        <v>44764.0</v>
      </c>
      <c r="R1631" s="6" t="s">
        <v>1605</v>
      </c>
      <c r="S1631" s="20">
        <v>0.0</v>
      </c>
      <c r="T1631" s="6" t="s">
        <v>33</v>
      </c>
      <c r="U1631" s="6"/>
      <c r="V1631" s="6"/>
      <c r="W1631" s="6">
        <v>29.8494463</v>
      </c>
      <c r="X1631" s="6">
        <v>-95.3687346</v>
      </c>
    </row>
    <row r="1632" ht="15.75" customHeight="1">
      <c r="A1632" s="6">
        <v>49023.0</v>
      </c>
      <c r="B1632" s="6">
        <v>2022.0</v>
      </c>
      <c r="C1632" s="6" t="str">
        <f t="shared" si="5"/>
        <v>1515 ALDRICH ST,Houston,Texas</v>
      </c>
      <c r="D1632" s="6" t="s">
        <v>2852</v>
      </c>
      <c r="E1632" s="6" t="s">
        <v>25</v>
      </c>
      <c r="F1632" s="6" t="s">
        <v>26</v>
      </c>
      <c r="G1632" s="6" t="s">
        <v>27</v>
      </c>
      <c r="H1632" s="6" t="s">
        <v>1724</v>
      </c>
      <c r="I1632" s="6" t="str">
        <f>VLOOKUP(H1632,'Flow Location'!$A$1:$B$21,2,FALSE)</f>
        <v>Storm Sewer (not contained)</v>
      </c>
      <c r="J1632" s="20">
        <v>0.0</v>
      </c>
      <c r="K1632" s="6" t="s">
        <v>29</v>
      </c>
      <c r="L1632" s="6" t="str">
        <f>VLOOKUP(K1632,'Structure type'!$A$1:$B$15,2,FALSE)</f>
        <v>Manhole</v>
      </c>
      <c r="M1632" s="6" t="s">
        <v>2853</v>
      </c>
      <c r="N1632" s="6" t="str">
        <f>VLOOKUP(M1632,'Excursion Cause'!$A$1:$B$34,2,FALSE)</f>
        <v>Grease Blockage</v>
      </c>
      <c r="O1632" s="21">
        <v>44765.0</v>
      </c>
      <c r="P1632" s="6" t="s">
        <v>921</v>
      </c>
      <c r="Q1632" s="21">
        <v>44765.0</v>
      </c>
      <c r="R1632" s="6" t="s">
        <v>1159</v>
      </c>
      <c r="S1632" s="20">
        <v>0.0</v>
      </c>
      <c r="T1632" s="6" t="s">
        <v>2854</v>
      </c>
      <c r="U1632" s="6"/>
      <c r="V1632" s="6"/>
      <c r="W1632" s="6">
        <v>29.797379</v>
      </c>
      <c r="X1632" s="6">
        <v>-95.4646168</v>
      </c>
    </row>
    <row r="1633" ht="15.75" customHeight="1">
      <c r="A1633" s="6">
        <v>49034.0</v>
      </c>
      <c r="B1633" s="6">
        <v>2022.0</v>
      </c>
      <c r="C1633" s="6" t="str">
        <f t="shared" si="5"/>
        <v>2302 LADBROOK DR,Houston,Texas</v>
      </c>
      <c r="D1633" s="6" t="s">
        <v>2855</v>
      </c>
      <c r="E1633" s="6" t="s">
        <v>25</v>
      </c>
      <c r="F1633" s="6" t="s">
        <v>26</v>
      </c>
      <c r="G1633" s="6" t="s">
        <v>1078</v>
      </c>
      <c r="H1633" s="6" t="s">
        <v>28</v>
      </c>
      <c r="I1633" s="6" t="str">
        <f>VLOOKUP(H1633,'Flow Location'!$A$1:$B$21,2,FALSE)</f>
        <v>Storm Sewer (not contained)</v>
      </c>
      <c r="J1633" s="20">
        <v>1690.0</v>
      </c>
      <c r="K1633" s="6" t="s">
        <v>29</v>
      </c>
      <c r="L1633" s="6" t="str">
        <f>VLOOKUP(K1633,'Structure type'!$A$1:$B$15,2,FALSE)</f>
        <v>Manhole</v>
      </c>
      <c r="M1633" s="6" t="s">
        <v>2856</v>
      </c>
      <c r="N1633" s="6" t="str">
        <f>VLOOKUP(M1633,'Excursion Cause'!$A$1:$B$34,2,FALSE)</f>
        <v>Collection system structural blockage</v>
      </c>
      <c r="O1633" s="21">
        <v>44766.0</v>
      </c>
      <c r="P1633" s="6" t="s">
        <v>494</v>
      </c>
      <c r="Q1633" s="21">
        <v>44766.0</v>
      </c>
      <c r="R1633" s="6" t="s">
        <v>2857</v>
      </c>
      <c r="S1633" s="20">
        <v>5.0</v>
      </c>
      <c r="T1633" s="6" t="s">
        <v>33</v>
      </c>
      <c r="U1633" s="6"/>
      <c r="V1633" s="6"/>
      <c r="W1633" s="6">
        <v>30.0469893</v>
      </c>
      <c r="X1633" s="6">
        <v>-95.2282988</v>
      </c>
    </row>
    <row r="1634" ht="15.75" customHeight="1">
      <c r="A1634" s="6">
        <v>49037.0</v>
      </c>
      <c r="B1634" s="6">
        <v>2022.0</v>
      </c>
      <c r="C1634" s="6" t="str">
        <f t="shared" si="5"/>
        <v>2060 ALLEN GENOA RD,Houston,Texas</v>
      </c>
      <c r="D1634" s="6" t="s">
        <v>2858</v>
      </c>
      <c r="E1634" s="6" t="s">
        <v>25</v>
      </c>
      <c r="F1634" s="6" t="s">
        <v>26</v>
      </c>
      <c r="G1634" s="6" t="s">
        <v>135</v>
      </c>
      <c r="H1634" s="6" t="s">
        <v>50</v>
      </c>
      <c r="I1634" s="6" t="str">
        <f>VLOOKUP(H1634,'Flow Location'!$A$1:$B$21,2,FALSE)</f>
        <v>Contained On Site, not within 5 ft. of Bayou/Surface Water/Drainage Ditch</v>
      </c>
      <c r="J1634" s="20">
        <v>378.0</v>
      </c>
      <c r="K1634" s="6" t="s">
        <v>29</v>
      </c>
      <c r="L1634" s="6" t="str">
        <f>VLOOKUP(K1634,'Structure type'!$A$1:$B$15,2,FALSE)</f>
        <v>Manhole</v>
      </c>
      <c r="M1634" s="6" t="s">
        <v>30</v>
      </c>
      <c r="N1634" s="6" t="str">
        <f>VLOOKUP(M1634,'Excursion Cause'!$A$1:$B$34,2,FALSE)</f>
        <v>Grease Blockage</v>
      </c>
      <c r="O1634" s="21">
        <v>44767.0</v>
      </c>
      <c r="P1634" s="6" t="s">
        <v>1144</v>
      </c>
      <c r="Q1634" s="21">
        <v>44767.0</v>
      </c>
      <c r="R1634" s="6" t="s">
        <v>730</v>
      </c>
      <c r="S1634" s="20">
        <v>2.0</v>
      </c>
      <c r="T1634" s="6" t="s">
        <v>59</v>
      </c>
      <c r="U1634" s="6"/>
      <c r="V1634" s="6"/>
      <c r="W1634" s="6">
        <v>29.6808251</v>
      </c>
      <c r="X1634" s="6">
        <v>-95.22836</v>
      </c>
    </row>
    <row r="1635" ht="15.75" customHeight="1">
      <c r="A1635" s="6">
        <v>49038.0</v>
      </c>
      <c r="B1635" s="6">
        <v>2022.0</v>
      </c>
      <c r="C1635" s="6" t="str">
        <f t="shared" si="5"/>
        <v>6605 GESSNER RD,Houston,Texas</v>
      </c>
      <c r="D1635" s="6" t="s">
        <v>2859</v>
      </c>
      <c r="E1635" s="6" t="s">
        <v>25</v>
      </c>
      <c r="F1635" s="6" t="s">
        <v>26</v>
      </c>
      <c r="G1635" s="6" t="s">
        <v>253</v>
      </c>
      <c r="H1635" s="6" t="s">
        <v>1724</v>
      </c>
      <c r="I1635" s="6" t="str">
        <f>VLOOKUP(H1635,'Flow Location'!$A$1:$B$21,2,FALSE)</f>
        <v>Storm Sewer (not contained)</v>
      </c>
      <c r="J1635" s="20">
        <v>240.0</v>
      </c>
      <c r="K1635" s="6" t="s">
        <v>29</v>
      </c>
      <c r="L1635" s="6" t="str">
        <f>VLOOKUP(K1635,'Structure type'!$A$1:$B$15,2,FALSE)</f>
        <v>Manhole</v>
      </c>
      <c r="M1635" s="6" t="s">
        <v>2860</v>
      </c>
      <c r="N1635" s="6" t="str">
        <f>VLOOKUP(M1635,'Excursion Cause'!$A$1:$B$34,2,FALSE)</f>
        <v>Grease Blockage</v>
      </c>
      <c r="O1635" s="21">
        <v>44767.0</v>
      </c>
      <c r="P1635" s="6" t="s">
        <v>117</v>
      </c>
      <c r="Q1635" s="21">
        <v>44767.0</v>
      </c>
      <c r="R1635" s="6" t="s">
        <v>114</v>
      </c>
      <c r="S1635" s="20">
        <v>2.0</v>
      </c>
      <c r="T1635" s="6" t="s">
        <v>2861</v>
      </c>
      <c r="U1635" s="6"/>
      <c r="V1635" s="6"/>
      <c r="W1635" s="6">
        <v>29.8632529</v>
      </c>
      <c r="X1635" s="6">
        <v>-95.5437643</v>
      </c>
    </row>
    <row r="1636" ht="15.75" customHeight="1">
      <c r="A1636" s="6">
        <v>49042.0</v>
      </c>
      <c r="B1636" s="6">
        <v>2022.0</v>
      </c>
      <c r="C1636" s="6" t="str">
        <f t="shared" si="5"/>
        <v>10832 BENTLEY ST,Houston,Texas</v>
      </c>
      <c r="D1636" s="6" t="s">
        <v>2862</v>
      </c>
      <c r="E1636" s="6" t="s">
        <v>25</v>
      </c>
      <c r="F1636" s="6" t="s">
        <v>26</v>
      </c>
      <c r="G1636" s="6" t="s">
        <v>109</v>
      </c>
      <c r="H1636" s="6" t="s">
        <v>50</v>
      </c>
      <c r="I1636" s="6" t="str">
        <f>VLOOKUP(H1636,'Flow Location'!$A$1:$B$21,2,FALSE)</f>
        <v>Contained On Site, not within 5 ft. of Bayou/Surface Water/Drainage Ditch</v>
      </c>
      <c r="J1636" s="20">
        <v>0.0</v>
      </c>
      <c r="K1636" s="6" t="s">
        <v>29</v>
      </c>
      <c r="L1636" s="6" t="str">
        <f>VLOOKUP(K1636,'Structure type'!$A$1:$B$15,2,FALSE)</f>
        <v>Manhole</v>
      </c>
      <c r="M1636" s="6" t="s">
        <v>30</v>
      </c>
      <c r="N1636" s="6" t="str">
        <f>VLOOKUP(M1636,'Excursion Cause'!$A$1:$B$34,2,FALSE)</f>
        <v>Grease Blockage</v>
      </c>
      <c r="O1636" s="21">
        <v>44768.0</v>
      </c>
      <c r="P1636" s="6" t="s">
        <v>173</v>
      </c>
      <c r="Q1636" s="21">
        <v>44768.0</v>
      </c>
      <c r="R1636" s="6" t="s">
        <v>369</v>
      </c>
      <c r="S1636" s="20">
        <v>0.0</v>
      </c>
      <c r="T1636" s="6" t="s">
        <v>33</v>
      </c>
      <c r="U1636" s="6"/>
      <c r="V1636" s="6"/>
      <c r="W1636" s="6">
        <v>29.8729719</v>
      </c>
      <c r="X1636" s="6">
        <v>-95.3351167</v>
      </c>
    </row>
    <row r="1637" ht="15.75" customHeight="1">
      <c r="A1637" s="6">
        <v>49044.0</v>
      </c>
      <c r="B1637" s="6">
        <v>2022.0</v>
      </c>
      <c r="C1637" s="6" t="str">
        <f t="shared" si="5"/>
        <v>10807 SAGEBURROW DR,Houston,Texas</v>
      </c>
      <c r="D1637" s="6" t="s">
        <v>2863</v>
      </c>
      <c r="E1637" s="6" t="s">
        <v>25</v>
      </c>
      <c r="F1637" s="6" t="s">
        <v>26</v>
      </c>
      <c r="G1637" s="6" t="s">
        <v>477</v>
      </c>
      <c r="H1637" s="6" t="s">
        <v>2275</v>
      </c>
      <c r="I1637" s="6" t="str">
        <f>VLOOKUP(H1637,'Flow Location'!$A$1:$B$21,2,FALSE)</f>
        <v>Contained On Site, not within 5 ft. of Bayou/Surface Water/Drainage Ditch</v>
      </c>
      <c r="J1637" s="20">
        <v>252.0</v>
      </c>
      <c r="K1637" s="6" t="s">
        <v>29</v>
      </c>
      <c r="L1637" s="6" t="str">
        <f>VLOOKUP(K1637,'Structure type'!$A$1:$B$15,2,FALSE)</f>
        <v>Manhole</v>
      </c>
      <c r="M1637" s="6" t="s">
        <v>30</v>
      </c>
      <c r="N1637" s="6" t="str">
        <f>VLOOKUP(M1637,'Excursion Cause'!$A$1:$B$34,2,FALSE)</f>
        <v>Grease Blockage</v>
      </c>
      <c r="O1637" s="21">
        <v>44768.0</v>
      </c>
      <c r="P1637" s="6" t="s">
        <v>175</v>
      </c>
      <c r="Q1637" s="21">
        <v>44768.0</v>
      </c>
      <c r="R1637" s="6" t="s">
        <v>654</v>
      </c>
      <c r="S1637" s="20">
        <v>1.0</v>
      </c>
      <c r="T1637" s="6" t="s">
        <v>33</v>
      </c>
      <c r="U1637" s="6"/>
      <c r="V1637" s="6"/>
      <c r="W1637" s="6">
        <v>29.5919074</v>
      </c>
      <c r="X1637" s="6">
        <v>-95.2324183</v>
      </c>
    </row>
    <row r="1638" ht="15.75" customHeight="1">
      <c r="A1638" s="6">
        <v>49054.0</v>
      </c>
      <c r="B1638" s="6">
        <v>2022.0</v>
      </c>
      <c r="C1638" s="6" t="str">
        <f t="shared" si="5"/>
        <v>1703 ASHFORD HOLLOW LN,Houston,Texas</v>
      </c>
      <c r="D1638" s="6" t="s">
        <v>2864</v>
      </c>
      <c r="E1638" s="6" t="s">
        <v>25</v>
      </c>
      <c r="F1638" s="6" t="s">
        <v>26</v>
      </c>
      <c r="G1638" s="6" t="s">
        <v>347</v>
      </c>
      <c r="H1638" s="6" t="s">
        <v>2275</v>
      </c>
      <c r="I1638" s="6" t="str">
        <f>VLOOKUP(H1638,'Flow Location'!$A$1:$B$21,2,FALSE)</f>
        <v>Contained On Site, not within 5 ft. of Bayou/Surface Water/Drainage Ditch</v>
      </c>
      <c r="J1638" s="20">
        <v>0.0</v>
      </c>
      <c r="K1638" s="6" t="s">
        <v>198</v>
      </c>
      <c r="L1638" s="6" t="str">
        <f>VLOOKUP(K1638,'Structure type'!$A$1:$B$15,2,FALSE)</f>
        <v>Service Lateral</v>
      </c>
      <c r="M1638" s="6" t="s">
        <v>2865</v>
      </c>
      <c r="N1638" s="6" t="str">
        <f>VLOOKUP(M1638,'Excursion Cause'!$A$1:$B$34,2,FALSE)</f>
        <v>Collection system structural failure</v>
      </c>
      <c r="O1638" s="21">
        <v>44769.0</v>
      </c>
      <c r="P1638" s="6" t="s">
        <v>468</v>
      </c>
      <c r="Q1638" s="21">
        <v>44769.0</v>
      </c>
      <c r="R1638" s="6" t="s">
        <v>568</v>
      </c>
      <c r="S1638" s="20">
        <v>0.0</v>
      </c>
      <c r="T1638" s="6" t="s">
        <v>118</v>
      </c>
      <c r="U1638" s="6"/>
      <c r="V1638" s="6"/>
      <c r="W1638" s="6">
        <v>29.7491075</v>
      </c>
      <c r="X1638" s="6">
        <v>-95.6035207</v>
      </c>
    </row>
    <row r="1639" ht="15.75" customHeight="1">
      <c r="A1639" s="6">
        <v>49055.0</v>
      </c>
      <c r="B1639" s="6">
        <v>2022.0</v>
      </c>
      <c r="C1639" s="6" t="str">
        <f t="shared" si="5"/>
        <v>15309 CORSAIR RD,Houston,Texas</v>
      </c>
      <c r="D1639" s="6" t="s">
        <v>2866</v>
      </c>
      <c r="E1639" s="6" t="s">
        <v>25</v>
      </c>
      <c r="F1639" s="6" t="s">
        <v>26</v>
      </c>
      <c r="G1639" s="6" t="s">
        <v>517</v>
      </c>
      <c r="H1639" s="6" t="s">
        <v>50</v>
      </c>
      <c r="I1639" s="6" t="str">
        <f>VLOOKUP(H1639,'Flow Location'!$A$1:$B$21,2,FALSE)</f>
        <v>Contained On Site, not within 5 ft. of Bayou/Surface Water/Drainage Ditch</v>
      </c>
      <c r="J1639" s="20">
        <v>0.0</v>
      </c>
      <c r="K1639" s="6" t="s">
        <v>29</v>
      </c>
      <c r="L1639" s="6" t="str">
        <f>VLOOKUP(K1639,'Structure type'!$A$1:$B$15,2,FALSE)</f>
        <v>Manhole</v>
      </c>
      <c r="M1639" s="6" t="s">
        <v>30</v>
      </c>
      <c r="N1639" s="6" t="str">
        <f>VLOOKUP(M1639,'Excursion Cause'!$A$1:$B$34,2,FALSE)</f>
        <v>Grease Blockage</v>
      </c>
      <c r="O1639" s="21">
        <v>44769.0</v>
      </c>
      <c r="P1639" s="6" t="s">
        <v>1779</v>
      </c>
      <c r="Q1639" s="21">
        <v>44769.0</v>
      </c>
      <c r="R1639" s="6" t="s">
        <v>2867</v>
      </c>
      <c r="S1639" s="20">
        <v>0.0</v>
      </c>
      <c r="T1639" s="6" t="s">
        <v>33</v>
      </c>
      <c r="U1639" s="6"/>
      <c r="V1639" s="6"/>
      <c r="W1639" s="6">
        <v>29.6040195</v>
      </c>
      <c r="X1639" s="6">
        <v>-95.4758076</v>
      </c>
    </row>
    <row r="1640" ht="15.75" customHeight="1">
      <c r="A1640" s="6">
        <v>49057.0</v>
      </c>
      <c r="B1640" s="6">
        <v>2022.0</v>
      </c>
      <c r="C1640" s="6" t="str">
        <f t="shared" si="5"/>
        <v>1515 ALDRICH ST,Houston,Texas</v>
      </c>
      <c r="D1640" s="6" t="s">
        <v>2852</v>
      </c>
      <c r="E1640" s="6" t="s">
        <v>25</v>
      </c>
      <c r="F1640" s="6" t="s">
        <v>26</v>
      </c>
      <c r="G1640" s="6" t="s">
        <v>27</v>
      </c>
      <c r="H1640" s="6" t="s">
        <v>1724</v>
      </c>
      <c r="I1640" s="6" t="str">
        <f>VLOOKUP(H1640,'Flow Location'!$A$1:$B$21,2,FALSE)</f>
        <v>Storm Sewer (not contained)</v>
      </c>
      <c r="J1640" s="20">
        <v>0.0</v>
      </c>
      <c r="K1640" s="6" t="s">
        <v>29</v>
      </c>
      <c r="L1640" s="6" t="str">
        <f>VLOOKUP(K1640,'Structure type'!$A$1:$B$15,2,FALSE)</f>
        <v>Manhole</v>
      </c>
      <c r="M1640" s="6" t="s">
        <v>2868</v>
      </c>
      <c r="N1640" s="6" t="str">
        <f>VLOOKUP(M1640,'Excursion Cause'!$A$1:$B$34,2,FALSE)</f>
        <v>Grease Blockage</v>
      </c>
      <c r="O1640" s="21">
        <v>44769.0</v>
      </c>
      <c r="P1640" s="6" t="s">
        <v>1146</v>
      </c>
      <c r="Q1640" s="21">
        <v>44769.0</v>
      </c>
      <c r="R1640" s="6" t="s">
        <v>302</v>
      </c>
      <c r="S1640" s="20">
        <v>0.0</v>
      </c>
      <c r="T1640" s="6" t="s">
        <v>2869</v>
      </c>
      <c r="U1640" s="6"/>
      <c r="V1640" s="6"/>
      <c r="W1640" s="6">
        <v>29.797379</v>
      </c>
      <c r="X1640" s="6">
        <v>-95.4646168</v>
      </c>
    </row>
    <row r="1641" ht="15.75" customHeight="1">
      <c r="A1641" s="6">
        <v>49066.0</v>
      </c>
      <c r="B1641" s="6">
        <v>2022.0</v>
      </c>
      <c r="C1641" s="6" t="str">
        <f t="shared" si="5"/>
        <v>6822 AVENUE S,Houston,Texas</v>
      </c>
      <c r="D1641" s="6" t="s">
        <v>2870</v>
      </c>
      <c r="E1641" s="6" t="s">
        <v>25</v>
      </c>
      <c r="F1641" s="6" t="s">
        <v>26</v>
      </c>
      <c r="G1641" s="6" t="s">
        <v>227</v>
      </c>
      <c r="H1641" s="6" t="s">
        <v>2275</v>
      </c>
      <c r="I1641" s="6" t="str">
        <f>VLOOKUP(H1641,'Flow Location'!$A$1:$B$21,2,FALSE)</f>
        <v>Contained On Site, not within 5 ft. of Bayou/Surface Water/Drainage Ditch</v>
      </c>
      <c r="J1641" s="20">
        <v>0.0</v>
      </c>
      <c r="K1641" s="6" t="s">
        <v>51</v>
      </c>
      <c r="L1641" s="6" t="str">
        <f>VLOOKUP(K1641,'Structure type'!$A$1:$B$15,2,FALSE)</f>
        <v>Private Cleanout</v>
      </c>
      <c r="M1641" s="6" t="s">
        <v>56</v>
      </c>
      <c r="N1641" s="6" t="str">
        <f>VLOOKUP(M1641,'Excursion Cause'!$A$1:$B$34,2,FALSE)</f>
        <v>Rags/Wipes</v>
      </c>
      <c r="O1641" s="21">
        <v>44770.0</v>
      </c>
      <c r="P1641" s="6" t="s">
        <v>1021</v>
      </c>
      <c r="Q1641" s="21">
        <v>44770.0</v>
      </c>
      <c r="R1641" s="6" t="s">
        <v>159</v>
      </c>
      <c r="S1641" s="20">
        <v>0.0</v>
      </c>
      <c r="T1641" s="6" t="s">
        <v>170</v>
      </c>
      <c r="U1641" s="6"/>
      <c r="V1641" s="6"/>
      <c r="W1641" s="6">
        <v>29.7485563</v>
      </c>
      <c r="X1641" s="6">
        <v>-95.3004309</v>
      </c>
    </row>
    <row r="1642" ht="15.75" customHeight="1">
      <c r="A1642" s="6">
        <v>49068.0</v>
      </c>
      <c r="B1642" s="6">
        <v>2022.0</v>
      </c>
      <c r="C1642" s="6" t="str">
        <f t="shared" si="5"/>
        <v>206 FIR RIDGE DR,Houston,Texas</v>
      </c>
      <c r="D1642" s="6" t="s">
        <v>421</v>
      </c>
      <c r="E1642" s="6" t="s">
        <v>25</v>
      </c>
      <c r="F1642" s="6" t="s">
        <v>26</v>
      </c>
      <c r="G1642" s="6" t="s">
        <v>422</v>
      </c>
      <c r="H1642" s="6" t="s">
        <v>50</v>
      </c>
      <c r="I1642" s="6" t="str">
        <f>VLOOKUP(H1642,'Flow Location'!$A$1:$B$21,2,FALSE)</f>
        <v>Contained On Site, not within 5 ft. of Bayou/Surface Water/Drainage Ditch</v>
      </c>
      <c r="J1642" s="20">
        <v>1840.0</v>
      </c>
      <c r="K1642" s="6" t="s">
        <v>51</v>
      </c>
      <c r="L1642" s="6" t="str">
        <f>VLOOKUP(K1642,'Structure type'!$A$1:$B$15,2,FALSE)</f>
        <v>Private Cleanout</v>
      </c>
      <c r="M1642" s="6" t="s">
        <v>2871</v>
      </c>
      <c r="N1642" s="6" t="str">
        <f>VLOOKUP(M1642,'Excursion Cause'!$A$1:$B$34,2,FALSE)</f>
        <v>Pump/Lift Station Mechanical Failure</v>
      </c>
      <c r="O1642" s="21">
        <v>44770.0</v>
      </c>
      <c r="P1642" s="6" t="s">
        <v>749</v>
      </c>
      <c r="Q1642" s="21">
        <v>44770.0</v>
      </c>
      <c r="R1642" s="6" t="s">
        <v>2872</v>
      </c>
      <c r="S1642" s="20">
        <v>5.0</v>
      </c>
      <c r="T1642" s="6" t="s">
        <v>2873</v>
      </c>
      <c r="U1642" s="6"/>
      <c r="V1642" s="6"/>
      <c r="W1642" s="6">
        <v>30.0284142</v>
      </c>
      <c r="X1642" s="6">
        <v>-95.1208337</v>
      </c>
    </row>
    <row r="1643" ht="15.75" customHeight="1">
      <c r="A1643" s="6">
        <v>49069.0</v>
      </c>
      <c r="B1643" s="6">
        <v>2022.0</v>
      </c>
      <c r="C1643" s="6" t="str">
        <f t="shared" si="5"/>
        <v>1806 PLEASANTVILLE DR,Houston,Texas</v>
      </c>
      <c r="D1643" s="6" t="s">
        <v>2874</v>
      </c>
      <c r="E1643" s="6" t="s">
        <v>25</v>
      </c>
      <c r="F1643" s="6" t="s">
        <v>26</v>
      </c>
      <c r="G1643" s="6" t="s">
        <v>247</v>
      </c>
      <c r="H1643" s="6" t="s">
        <v>2275</v>
      </c>
      <c r="I1643" s="6" t="str">
        <f>VLOOKUP(H1643,'Flow Location'!$A$1:$B$21,2,FALSE)</f>
        <v>Contained On Site, not within 5 ft. of Bayou/Surface Water/Drainage Ditch</v>
      </c>
      <c r="J1643" s="20">
        <v>13.0</v>
      </c>
      <c r="K1643" s="6" t="s">
        <v>45</v>
      </c>
      <c r="L1643" s="6" t="str">
        <f>VLOOKUP(K1643,'Structure type'!$A$1:$B$15,2,FALSE)</f>
        <v>City Cleanout</v>
      </c>
      <c r="M1643" s="6" t="s">
        <v>30</v>
      </c>
      <c r="N1643" s="6" t="str">
        <f>VLOOKUP(M1643,'Excursion Cause'!$A$1:$B$34,2,FALSE)</f>
        <v>Grease Blockage</v>
      </c>
      <c r="O1643" s="21">
        <v>44770.0</v>
      </c>
      <c r="P1643" s="6" t="s">
        <v>755</v>
      </c>
      <c r="Q1643" s="21">
        <v>44770.0</v>
      </c>
      <c r="R1643" s="6" t="s">
        <v>550</v>
      </c>
      <c r="S1643" s="20">
        <v>0.0</v>
      </c>
      <c r="T1643" s="6" t="s">
        <v>33</v>
      </c>
      <c r="U1643" s="6"/>
      <c r="V1643" s="6"/>
      <c r="W1643" s="6">
        <v>29.7592477</v>
      </c>
      <c r="X1643" s="6">
        <v>-95.2761373</v>
      </c>
    </row>
    <row r="1644" ht="15.75" customHeight="1">
      <c r="A1644" s="6">
        <v>49072.0</v>
      </c>
      <c r="B1644" s="6">
        <v>2022.0</v>
      </c>
      <c r="C1644" s="6" t="str">
        <f t="shared" si="5"/>
        <v>6389 S BRIAR BAYOU DR,Houston,Texas</v>
      </c>
      <c r="D1644" s="6" t="s">
        <v>2875</v>
      </c>
      <c r="E1644" s="6" t="s">
        <v>25</v>
      </c>
      <c r="F1644" s="6" t="s">
        <v>26</v>
      </c>
      <c r="G1644" s="6" t="s">
        <v>91</v>
      </c>
      <c r="H1644" s="6" t="s">
        <v>28</v>
      </c>
      <c r="I1644" s="6" t="str">
        <f>VLOOKUP(H1644,'Flow Location'!$A$1:$B$21,2,FALSE)</f>
        <v>Storm Sewer (not contained)</v>
      </c>
      <c r="J1644" s="20">
        <v>488.0</v>
      </c>
      <c r="K1644" s="6" t="s">
        <v>29</v>
      </c>
      <c r="L1644" s="6" t="str">
        <f>VLOOKUP(K1644,'Structure type'!$A$1:$B$15,2,FALSE)</f>
        <v>Manhole</v>
      </c>
      <c r="M1644" s="6" t="s">
        <v>2876</v>
      </c>
      <c r="N1644" s="6" t="str">
        <f>VLOOKUP(M1644,'Excursion Cause'!$A$1:$B$34,2,FALSE)</f>
        <v>Collection system structural blockage</v>
      </c>
      <c r="O1644" s="21">
        <v>44771.0</v>
      </c>
      <c r="P1644" s="6" t="s">
        <v>1201</v>
      </c>
      <c r="Q1644" s="21">
        <v>44771.0</v>
      </c>
      <c r="R1644" s="6" t="s">
        <v>278</v>
      </c>
      <c r="S1644" s="20">
        <v>1.0</v>
      </c>
      <c r="T1644" s="6" t="s">
        <v>107</v>
      </c>
      <c r="U1644" s="6"/>
      <c r="V1644" s="6"/>
      <c r="W1644" s="6">
        <v>29.7095451</v>
      </c>
      <c r="X1644" s="6">
        <v>-95.6111571</v>
      </c>
    </row>
    <row r="1645" ht="15.75" customHeight="1">
      <c r="A1645" s="6">
        <v>49073.0</v>
      </c>
      <c r="B1645" s="6">
        <v>2022.0</v>
      </c>
      <c r="C1645" s="6" t="str">
        <f t="shared" si="5"/>
        <v>2106 AMBERLY CT,Houston,Texas</v>
      </c>
      <c r="D1645" s="6" t="s">
        <v>2877</v>
      </c>
      <c r="E1645" s="6" t="s">
        <v>25</v>
      </c>
      <c r="F1645" s="6" t="s">
        <v>26</v>
      </c>
      <c r="G1645" s="6" t="s">
        <v>482</v>
      </c>
      <c r="H1645" s="6" t="s">
        <v>1724</v>
      </c>
      <c r="I1645" s="6" t="str">
        <f>VLOOKUP(H1645,'Flow Location'!$A$1:$B$21,2,FALSE)</f>
        <v>Storm Sewer (not contained)</v>
      </c>
      <c r="J1645" s="20">
        <v>0.0</v>
      </c>
      <c r="K1645" s="6" t="s">
        <v>29</v>
      </c>
      <c r="L1645" s="6" t="str">
        <f>VLOOKUP(K1645,'Structure type'!$A$1:$B$15,2,FALSE)</f>
        <v>Manhole</v>
      </c>
      <c r="M1645" s="6" t="s">
        <v>2878</v>
      </c>
      <c r="N1645" s="6" t="str">
        <f>VLOOKUP(M1645,'Excursion Cause'!$A$1:$B$34,2,FALSE)</f>
        <v>Grease Blockage</v>
      </c>
      <c r="O1645" s="21">
        <v>44771.0</v>
      </c>
      <c r="P1645" s="6" t="s">
        <v>924</v>
      </c>
      <c r="Q1645" s="21">
        <v>44771.0</v>
      </c>
      <c r="R1645" s="6" t="s">
        <v>2479</v>
      </c>
      <c r="S1645" s="20">
        <v>0.0</v>
      </c>
      <c r="T1645" s="6" t="s">
        <v>2879</v>
      </c>
      <c r="U1645" s="6"/>
      <c r="V1645" s="6"/>
      <c r="W1645" s="6">
        <v>29.7451727</v>
      </c>
      <c r="X1645" s="6">
        <v>-95.5029658</v>
      </c>
    </row>
    <row r="1646" ht="15.75" customHeight="1">
      <c r="A1646" s="6">
        <v>49078.0</v>
      </c>
      <c r="B1646" s="6">
        <v>2022.0</v>
      </c>
      <c r="C1646" s="6" t="str">
        <f t="shared" si="5"/>
        <v>12925 SAMUEL LN,Houston,Texas</v>
      </c>
      <c r="D1646" s="6" t="s">
        <v>2880</v>
      </c>
      <c r="E1646" s="6" t="s">
        <v>25</v>
      </c>
      <c r="F1646" s="6" t="s">
        <v>26</v>
      </c>
      <c r="G1646" s="6" t="s">
        <v>623</v>
      </c>
      <c r="H1646" s="6" t="s">
        <v>2275</v>
      </c>
      <c r="I1646" s="6" t="str">
        <f>VLOOKUP(H1646,'Flow Location'!$A$1:$B$21,2,FALSE)</f>
        <v>Contained On Site, not within 5 ft. of Bayou/Surface Water/Drainage Ditch</v>
      </c>
      <c r="J1646" s="20">
        <v>0.0</v>
      </c>
      <c r="K1646" s="6" t="s">
        <v>45</v>
      </c>
      <c r="L1646" s="6" t="str">
        <f>VLOOKUP(K1646,'Structure type'!$A$1:$B$15,2,FALSE)</f>
        <v>City Cleanout</v>
      </c>
      <c r="M1646" s="6" t="s">
        <v>30</v>
      </c>
      <c r="N1646" s="6" t="str">
        <f>VLOOKUP(M1646,'Excursion Cause'!$A$1:$B$34,2,FALSE)</f>
        <v>Grease Blockage</v>
      </c>
      <c r="O1646" s="21">
        <v>44772.0</v>
      </c>
      <c r="P1646" s="6" t="s">
        <v>1158</v>
      </c>
      <c r="Q1646" s="21">
        <v>44772.0</v>
      </c>
      <c r="R1646" s="6" t="s">
        <v>1363</v>
      </c>
      <c r="S1646" s="20">
        <v>0.0</v>
      </c>
      <c r="T1646" s="6" t="s">
        <v>33</v>
      </c>
      <c r="U1646" s="6"/>
      <c r="V1646" s="6"/>
      <c r="W1646" s="6">
        <v>29.7620412</v>
      </c>
      <c r="X1646" s="6">
        <v>-95.1996504</v>
      </c>
    </row>
    <row r="1647" ht="15.75" customHeight="1">
      <c r="A1647" s="6">
        <v>49090.0</v>
      </c>
      <c r="B1647" s="6">
        <v>2022.0</v>
      </c>
      <c r="C1647" s="6" t="str">
        <f t="shared" si="5"/>
        <v>1850 COLQUITT ST,Houston,Texas</v>
      </c>
      <c r="D1647" s="6" t="s">
        <v>2881</v>
      </c>
      <c r="E1647" s="6" t="s">
        <v>25</v>
      </c>
      <c r="F1647" s="6" t="s">
        <v>26</v>
      </c>
      <c r="G1647" s="6" t="s">
        <v>112</v>
      </c>
      <c r="H1647" s="6" t="s">
        <v>50</v>
      </c>
      <c r="I1647" s="6" t="str">
        <f>VLOOKUP(H1647,'Flow Location'!$A$1:$B$21,2,FALSE)</f>
        <v>Contained On Site, not within 5 ft. of Bayou/Surface Water/Drainage Ditch</v>
      </c>
      <c r="J1647" s="20">
        <v>0.0</v>
      </c>
      <c r="K1647" s="6" t="s">
        <v>45</v>
      </c>
      <c r="L1647" s="6" t="str">
        <f>VLOOKUP(K1647,'Structure type'!$A$1:$B$15,2,FALSE)</f>
        <v>City Cleanout</v>
      </c>
      <c r="M1647" s="6" t="s">
        <v>30</v>
      </c>
      <c r="N1647" s="6" t="str">
        <f>VLOOKUP(M1647,'Excursion Cause'!$A$1:$B$34,2,FALSE)</f>
        <v>Grease Blockage</v>
      </c>
      <c r="O1647" s="21">
        <v>44775.0</v>
      </c>
      <c r="P1647" s="6" t="s">
        <v>289</v>
      </c>
      <c r="Q1647" s="21">
        <v>44775.0</v>
      </c>
      <c r="R1647" s="6" t="s">
        <v>260</v>
      </c>
      <c r="S1647" s="20">
        <v>0.0</v>
      </c>
      <c r="T1647" s="6" t="s">
        <v>170</v>
      </c>
      <c r="U1647" s="6"/>
      <c r="V1647" s="6"/>
      <c r="W1647" s="6">
        <v>29.7354224</v>
      </c>
      <c r="X1647" s="6">
        <v>-95.406856</v>
      </c>
    </row>
    <row r="1648" ht="15.75" customHeight="1">
      <c r="A1648" s="6">
        <v>49093.0</v>
      </c>
      <c r="B1648" s="6">
        <v>2022.0</v>
      </c>
      <c r="C1648" s="6" t="str">
        <f t="shared" si="5"/>
        <v>10308 MAIN ST,Houston,Texas</v>
      </c>
      <c r="D1648" s="6" t="s">
        <v>2882</v>
      </c>
      <c r="E1648" s="6" t="s">
        <v>25</v>
      </c>
      <c r="F1648" s="6" t="s">
        <v>26</v>
      </c>
      <c r="G1648" s="6" t="s">
        <v>65</v>
      </c>
      <c r="H1648" s="6" t="s">
        <v>50</v>
      </c>
      <c r="I1648" s="6" t="str">
        <f>VLOOKUP(H1648,'Flow Location'!$A$1:$B$21,2,FALSE)</f>
        <v>Contained On Site, not within 5 ft. of Bayou/Surface Water/Drainage Ditch</v>
      </c>
      <c r="J1648" s="20">
        <v>0.0</v>
      </c>
      <c r="K1648" s="6" t="s">
        <v>29</v>
      </c>
      <c r="L1648" s="6" t="str">
        <f>VLOOKUP(K1648,'Structure type'!$A$1:$B$15,2,FALSE)</f>
        <v>Manhole</v>
      </c>
      <c r="M1648" s="6" t="s">
        <v>30</v>
      </c>
      <c r="N1648" s="6" t="str">
        <f>VLOOKUP(M1648,'Excursion Cause'!$A$1:$B$34,2,FALSE)</f>
        <v>Grease Blockage</v>
      </c>
      <c r="O1648" s="21">
        <v>44776.0</v>
      </c>
      <c r="P1648" s="6" t="s">
        <v>2209</v>
      </c>
      <c r="Q1648" s="21">
        <v>44776.0</v>
      </c>
      <c r="R1648" s="6" t="s">
        <v>2831</v>
      </c>
      <c r="S1648" s="20">
        <v>0.0</v>
      </c>
      <c r="T1648" s="6" t="s">
        <v>33</v>
      </c>
      <c r="U1648" s="6"/>
      <c r="V1648" s="6"/>
      <c r="W1648" s="6">
        <v>29.6739515</v>
      </c>
      <c r="X1648" s="6">
        <v>-95.4311257</v>
      </c>
    </row>
    <row r="1649" ht="15.75" customHeight="1">
      <c r="A1649" s="6">
        <v>49094.0</v>
      </c>
      <c r="B1649" s="6">
        <v>2022.0</v>
      </c>
      <c r="C1649" s="6" t="str">
        <f t="shared" si="5"/>
        <v>2202 NANTUCKET DR,Houston,Texas</v>
      </c>
      <c r="D1649" s="6" t="s">
        <v>2883</v>
      </c>
      <c r="E1649" s="6" t="s">
        <v>25</v>
      </c>
      <c r="F1649" s="6" t="s">
        <v>26</v>
      </c>
      <c r="G1649" s="6" t="s">
        <v>689</v>
      </c>
      <c r="H1649" s="6" t="s">
        <v>50</v>
      </c>
      <c r="I1649" s="6" t="str">
        <f>VLOOKUP(H1649,'Flow Location'!$A$1:$B$21,2,FALSE)</f>
        <v>Contained On Site, not within 5 ft. of Bayou/Surface Water/Drainage Ditch</v>
      </c>
      <c r="J1649" s="20">
        <v>0.0</v>
      </c>
      <c r="K1649" s="6" t="s">
        <v>45</v>
      </c>
      <c r="L1649" s="6" t="str">
        <f>VLOOKUP(K1649,'Structure type'!$A$1:$B$15,2,FALSE)</f>
        <v>City Cleanout</v>
      </c>
      <c r="M1649" s="6" t="s">
        <v>30</v>
      </c>
      <c r="N1649" s="6" t="str">
        <f>VLOOKUP(M1649,'Excursion Cause'!$A$1:$B$34,2,FALSE)</f>
        <v>Grease Blockage</v>
      </c>
      <c r="O1649" s="21">
        <v>44776.0</v>
      </c>
      <c r="P1649" s="6" t="s">
        <v>580</v>
      </c>
      <c r="Q1649" s="21">
        <v>44776.0</v>
      </c>
      <c r="R1649" s="6" t="s">
        <v>801</v>
      </c>
      <c r="S1649" s="20">
        <v>0.0</v>
      </c>
      <c r="T1649" s="6" t="s">
        <v>33</v>
      </c>
      <c r="U1649" s="6"/>
      <c r="V1649" s="6"/>
      <c r="W1649" s="6">
        <v>29.7446647</v>
      </c>
      <c r="X1649" s="6">
        <v>-95.4876329</v>
      </c>
    </row>
    <row r="1650" ht="15.75" customHeight="1">
      <c r="A1650" s="6">
        <v>49107.0</v>
      </c>
      <c r="B1650" s="6">
        <v>2022.0</v>
      </c>
      <c r="C1650" s="6" t="str">
        <f t="shared" si="5"/>
        <v>1412 NANTUCKET DR,Houston,Texas</v>
      </c>
      <c r="D1650" s="6" t="s">
        <v>2884</v>
      </c>
      <c r="E1650" s="6" t="s">
        <v>25</v>
      </c>
      <c r="F1650" s="6" t="s">
        <v>26</v>
      </c>
      <c r="G1650" s="6" t="s">
        <v>689</v>
      </c>
      <c r="H1650" s="6" t="s">
        <v>1724</v>
      </c>
      <c r="I1650" s="6" t="str">
        <f>VLOOKUP(H1650,'Flow Location'!$A$1:$B$21,2,FALSE)</f>
        <v>Storm Sewer (not contained)</v>
      </c>
      <c r="J1650" s="20">
        <v>0.0</v>
      </c>
      <c r="K1650" s="6" t="s">
        <v>2885</v>
      </c>
      <c r="L1650" s="6" t="str">
        <f>VLOOKUP(K1650,'Structure type'!$A$1:$B$15,2,FALSE)</f>
        <v>Private Cleanout</v>
      </c>
      <c r="M1650" s="6" t="s">
        <v>2886</v>
      </c>
      <c r="N1650" s="6" t="str">
        <f>VLOOKUP(M1650,'Excursion Cause'!$A$1:$B$34,2,FALSE)</f>
        <v>Grease Blockage</v>
      </c>
      <c r="O1650" s="21">
        <v>44778.0</v>
      </c>
      <c r="P1650" s="6" t="s">
        <v>2887</v>
      </c>
      <c r="Q1650" s="21">
        <v>44778.0</v>
      </c>
      <c r="R1650" s="6" t="s">
        <v>643</v>
      </c>
      <c r="S1650" s="20">
        <v>0.0</v>
      </c>
      <c r="T1650" s="6" t="s">
        <v>2888</v>
      </c>
      <c r="U1650" s="6"/>
      <c r="V1650" s="6"/>
      <c r="W1650" s="6">
        <v>29.7533003</v>
      </c>
      <c r="X1650" s="6">
        <v>-95.4876534</v>
      </c>
    </row>
    <row r="1651" ht="15.75" customHeight="1">
      <c r="A1651" s="6">
        <v>49122.0</v>
      </c>
      <c r="B1651" s="6">
        <v>2022.0</v>
      </c>
      <c r="C1651" s="6" t="str">
        <f t="shared" si="5"/>
        <v>735 E 7TH ST,Houston,Texas</v>
      </c>
      <c r="D1651" s="6" t="s">
        <v>2889</v>
      </c>
      <c r="E1651" s="6" t="s">
        <v>25</v>
      </c>
      <c r="F1651" s="6" t="s">
        <v>26</v>
      </c>
      <c r="G1651" s="6" t="s">
        <v>158</v>
      </c>
      <c r="H1651" s="6" t="s">
        <v>50</v>
      </c>
      <c r="I1651" s="6" t="str">
        <f>VLOOKUP(H1651,'Flow Location'!$A$1:$B$21,2,FALSE)</f>
        <v>Contained On Site, not within 5 ft. of Bayou/Surface Water/Drainage Ditch</v>
      </c>
      <c r="J1651" s="20">
        <v>0.0</v>
      </c>
      <c r="K1651" s="6" t="s">
        <v>198</v>
      </c>
      <c r="L1651" s="6" t="str">
        <f>VLOOKUP(K1651,'Structure type'!$A$1:$B$15,2,FALSE)</f>
        <v>Service Lateral</v>
      </c>
      <c r="M1651" s="6" t="s">
        <v>81</v>
      </c>
      <c r="N1651" s="6" t="str">
        <f>VLOOKUP(M1651,'Excursion Cause'!$A$1:$B$34,2,FALSE)</f>
        <v>Collection system structural failure</v>
      </c>
      <c r="O1651" s="21">
        <v>44781.0</v>
      </c>
      <c r="P1651" s="6" t="s">
        <v>1896</v>
      </c>
      <c r="Q1651" s="21">
        <v>44781.0</v>
      </c>
      <c r="R1651" s="6" t="s">
        <v>1101</v>
      </c>
      <c r="S1651" s="20">
        <v>0.0</v>
      </c>
      <c r="T1651" s="6" t="s">
        <v>54</v>
      </c>
      <c r="U1651" s="6"/>
      <c r="V1651" s="6"/>
      <c r="W1651" s="6">
        <v>29.7837066</v>
      </c>
      <c r="X1651" s="6">
        <v>-95.3884338</v>
      </c>
    </row>
    <row r="1652" ht="15.75" customHeight="1">
      <c r="A1652" s="6">
        <v>49123.0</v>
      </c>
      <c r="B1652" s="6">
        <v>2022.0</v>
      </c>
      <c r="C1652" s="6" t="str">
        <f t="shared" si="5"/>
        <v>6454 DRYAD DR,Houston,Texas</v>
      </c>
      <c r="D1652" s="6" t="s">
        <v>2890</v>
      </c>
      <c r="E1652" s="6" t="s">
        <v>25</v>
      </c>
      <c r="F1652" s="6" t="s">
        <v>26</v>
      </c>
      <c r="G1652" s="6" t="s">
        <v>127</v>
      </c>
      <c r="H1652" s="6" t="s">
        <v>2275</v>
      </c>
      <c r="I1652" s="6" t="str">
        <f>VLOOKUP(H1652,'Flow Location'!$A$1:$B$21,2,FALSE)</f>
        <v>Contained On Site, not within 5 ft. of Bayou/Surface Water/Drainage Ditch</v>
      </c>
      <c r="J1652" s="20">
        <v>0.0</v>
      </c>
      <c r="K1652" s="6" t="s">
        <v>29</v>
      </c>
      <c r="L1652" s="6" t="str">
        <f>VLOOKUP(K1652,'Structure type'!$A$1:$B$15,2,FALSE)</f>
        <v>Manhole</v>
      </c>
      <c r="M1652" s="6" t="s">
        <v>30</v>
      </c>
      <c r="N1652" s="6" t="str">
        <f>VLOOKUP(M1652,'Excursion Cause'!$A$1:$B$34,2,FALSE)</f>
        <v>Grease Blockage</v>
      </c>
      <c r="O1652" s="21">
        <v>44781.0</v>
      </c>
      <c r="P1652" s="6" t="s">
        <v>854</v>
      </c>
      <c r="Q1652" s="21">
        <v>44781.0</v>
      </c>
      <c r="R1652" s="6" t="s">
        <v>728</v>
      </c>
      <c r="S1652" s="20">
        <v>0.0</v>
      </c>
      <c r="T1652" s="6" t="s">
        <v>59</v>
      </c>
      <c r="U1652" s="6"/>
      <c r="V1652" s="6"/>
      <c r="W1652" s="6">
        <v>29.6471295</v>
      </c>
      <c r="X1652" s="6">
        <v>-95.5049645</v>
      </c>
    </row>
    <row r="1653" ht="15.75" customHeight="1">
      <c r="A1653" s="6">
        <v>49125.0</v>
      </c>
      <c r="B1653" s="6">
        <v>2022.0</v>
      </c>
      <c r="C1653" s="6" t="str">
        <f t="shared" si="5"/>
        <v>317 THORNTON RD,Houston,Texas</v>
      </c>
      <c r="D1653" s="6" t="s">
        <v>2891</v>
      </c>
      <c r="E1653" s="6" t="s">
        <v>25</v>
      </c>
      <c r="F1653" s="6" t="s">
        <v>26</v>
      </c>
      <c r="G1653" s="6" t="s">
        <v>218</v>
      </c>
      <c r="H1653" s="6" t="s">
        <v>50</v>
      </c>
      <c r="I1653" s="6" t="str">
        <f>VLOOKUP(H1653,'Flow Location'!$A$1:$B$21,2,FALSE)</f>
        <v>Contained On Site, not within 5 ft. of Bayou/Surface Water/Drainage Ditch</v>
      </c>
      <c r="J1653" s="20">
        <v>0.0</v>
      </c>
      <c r="K1653" s="6" t="s">
        <v>29</v>
      </c>
      <c r="L1653" s="6" t="str">
        <f>VLOOKUP(K1653,'Structure type'!$A$1:$B$15,2,FALSE)</f>
        <v>Manhole</v>
      </c>
      <c r="M1653" s="6" t="s">
        <v>30</v>
      </c>
      <c r="N1653" s="6" t="str">
        <f>VLOOKUP(M1653,'Excursion Cause'!$A$1:$B$34,2,FALSE)</f>
        <v>Grease Blockage</v>
      </c>
      <c r="O1653" s="21">
        <v>44781.0</v>
      </c>
      <c r="P1653" s="6" t="s">
        <v>631</v>
      </c>
      <c r="Q1653" s="21">
        <v>44781.0</v>
      </c>
      <c r="R1653" s="6" t="s">
        <v>2331</v>
      </c>
      <c r="S1653" s="20">
        <v>0.0</v>
      </c>
      <c r="T1653" s="6" t="s">
        <v>33</v>
      </c>
      <c r="U1653" s="6"/>
      <c r="V1653" s="6"/>
      <c r="W1653" s="6">
        <v>29.8324223</v>
      </c>
      <c r="X1653" s="6">
        <v>-95.4038745</v>
      </c>
    </row>
    <row r="1654" ht="15.75" customHeight="1">
      <c r="A1654" s="6">
        <v>49128.0</v>
      </c>
      <c r="B1654" s="6">
        <v>2022.0</v>
      </c>
      <c r="C1654" s="6" t="str">
        <f t="shared" si="5"/>
        <v>7360 RAMPART ST,Houston,Texas</v>
      </c>
      <c r="D1654" s="6" t="s">
        <v>2892</v>
      </c>
      <c r="E1654" s="6" t="s">
        <v>25</v>
      </c>
      <c r="F1654" s="6" t="s">
        <v>26</v>
      </c>
      <c r="G1654" s="6" t="s">
        <v>287</v>
      </c>
      <c r="H1654" s="6" t="s">
        <v>50</v>
      </c>
      <c r="I1654" s="6" t="str">
        <f>VLOOKUP(H1654,'Flow Location'!$A$1:$B$21,2,FALSE)</f>
        <v>Contained On Site, not within 5 ft. of Bayou/Surface Water/Drainage Ditch</v>
      </c>
      <c r="J1654" s="20">
        <v>0.0</v>
      </c>
      <c r="K1654" s="6" t="s">
        <v>29</v>
      </c>
      <c r="L1654" s="6" t="str">
        <f>VLOOKUP(K1654,'Structure type'!$A$1:$B$15,2,FALSE)</f>
        <v>Manhole</v>
      </c>
      <c r="M1654" s="6" t="s">
        <v>30</v>
      </c>
      <c r="N1654" s="6" t="str">
        <f>VLOOKUP(M1654,'Excursion Cause'!$A$1:$B$34,2,FALSE)</f>
        <v>Grease Blockage</v>
      </c>
      <c r="O1654" s="21">
        <v>44781.0</v>
      </c>
      <c r="P1654" s="6" t="s">
        <v>657</v>
      </c>
      <c r="Q1654" s="21">
        <v>44781.0</v>
      </c>
      <c r="R1654" s="6" t="s">
        <v>2512</v>
      </c>
      <c r="S1654" s="20">
        <v>0.0</v>
      </c>
      <c r="T1654" s="6" t="s">
        <v>33</v>
      </c>
      <c r="U1654" s="6"/>
      <c r="V1654" s="6"/>
      <c r="W1654" s="6">
        <v>29.6984488</v>
      </c>
      <c r="X1654" s="6">
        <v>-95.4889703</v>
      </c>
    </row>
    <row r="1655" ht="15.75" customHeight="1">
      <c r="A1655" s="6">
        <v>49130.0</v>
      </c>
      <c r="B1655" s="6">
        <v>2022.0</v>
      </c>
      <c r="C1655" s="6" t="str">
        <f t="shared" si="5"/>
        <v>16402 QUAIL BRIAR DR,Houston,Texas</v>
      </c>
      <c r="D1655" s="6" t="s">
        <v>2893</v>
      </c>
      <c r="E1655" s="6" t="s">
        <v>25</v>
      </c>
      <c r="F1655" s="6" t="s">
        <v>26</v>
      </c>
      <c r="G1655" s="6" t="s">
        <v>166</v>
      </c>
      <c r="H1655" s="6" t="s">
        <v>50</v>
      </c>
      <c r="I1655" s="6" t="str">
        <f>VLOOKUP(H1655,'Flow Location'!$A$1:$B$21,2,FALSE)</f>
        <v>Contained On Site, not within 5 ft. of Bayou/Surface Water/Drainage Ditch</v>
      </c>
      <c r="J1655" s="20">
        <v>0.0</v>
      </c>
      <c r="K1655" s="6" t="s">
        <v>45</v>
      </c>
      <c r="L1655" s="6" t="str">
        <f>VLOOKUP(K1655,'Structure type'!$A$1:$B$15,2,FALSE)</f>
        <v>City Cleanout</v>
      </c>
      <c r="M1655" s="6" t="s">
        <v>30</v>
      </c>
      <c r="N1655" s="6" t="str">
        <f>VLOOKUP(M1655,'Excursion Cause'!$A$1:$B$34,2,FALSE)</f>
        <v>Grease Blockage</v>
      </c>
      <c r="O1655" s="21">
        <v>44782.0</v>
      </c>
      <c r="P1655" s="6" t="s">
        <v>138</v>
      </c>
      <c r="Q1655" s="21">
        <v>44782.0</v>
      </c>
      <c r="R1655" s="6" t="s">
        <v>874</v>
      </c>
      <c r="S1655" s="20">
        <v>0.0</v>
      </c>
      <c r="T1655" s="6" t="s">
        <v>270</v>
      </c>
      <c r="U1655" s="6"/>
      <c r="V1655" s="6"/>
      <c r="W1655" s="6">
        <v>29.5884684</v>
      </c>
      <c r="X1655" s="6">
        <v>-95.5161368</v>
      </c>
    </row>
    <row r="1656" ht="15.75" customHeight="1">
      <c r="A1656" s="6">
        <v>49132.0</v>
      </c>
      <c r="B1656" s="6">
        <v>2022.0</v>
      </c>
      <c r="C1656" s="6" t="str">
        <f t="shared" si="5"/>
        <v>911 BAY STAR BLVD,Houston,Texas</v>
      </c>
      <c r="D1656" s="6" t="s">
        <v>2894</v>
      </c>
      <c r="E1656" s="6" t="s">
        <v>25</v>
      </c>
      <c r="F1656" s="6" t="s">
        <v>26</v>
      </c>
      <c r="G1656" s="6" t="s">
        <v>211</v>
      </c>
      <c r="H1656" s="6" t="s">
        <v>50</v>
      </c>
      <c r="I1656" s="6" t="str">
        <f>VLOOKUP(H1656,'Flow Location'!$A$1:$B$21,2,FALSE)</f>
        <v>Contained On Site, not within 5 ft. of Bayou/Surface Water/Drainage Ditch</v>
      </c>
      <c r="J1656" s="20">
        <v>362.0</v>
      </c>
      <c r="K1656" s="6" t="s">
        <v>29</v>
      </c>
      <c r="L1656" s="6" t="str">
        <f>VLOOKUP(K1656,'Structure type'!$A$1:$B$15,2,FALSE)</f>
        <v>Manhole</v>
      </c>
      <c r="M1656" s="6" t="s">
        <v>30</v>
      </c>
      <c r="N1656" s="6" t="str">
        <f>VLOOKUP(M1656,'Excursion Cause'!$A$1:$B$34,2,FALSE)</f>
        <v>Grease Blockage</v>
      </c>
      <c r="O1656" s="21">
        <v>44782.0</v>
      </c>
      <c r="P1656" s="6" t="s">
        <v>106</v>
      </c>
      <c r="Q1656" s="21">
        <v>44782.0</v>
      </c>
      <c r="R1656" s="6" t="s">
        <v>712</v>
      </c>
      <c r="S1656" s="20">
        <v>2.0</v>
      </c>
      <c r="T1656" s="6" t="s">
        <v>33</v>
      </c>
      <c r="U1656" s="6"/>
      <c r="V1656" s="6"/>
      <c r="W1656" s="6">
        <v>29.5898844</v>
      </c>
      <c r="X1656" s="6">
        <v>-95.1703379</v>
      </c>
    </row>
    <row r="1657" ht="15.75" customHeight="1">
      <c r="A1657" s="6">
        <v>49137.0</v>
      </c>
      <c r="B1657" s="6">
        <v>2022.0</v>
      </c>
      <c r="C1657" s="6" t="str">
        <f t="shared" si="5"/>
        <v>4719 CAPITOL ST,Houston,Texas</v>
      </c>
      <c r="D1657" s="6" t="s">
        <v>2895</v>
      </c>
      <c r="E1657" s="6" t="s">
        <v>25</v>
      </c>
      <c r="F1657" s="6" t="s">
        <v>26</v>
      </c>
      <c r="G1657" s="6" t="s">
        <v>227</v>
      </c>
      <c r="H1657" s="6" t="s">
        <v>50</v>
      </c>
      <c r="I1657" s="6" t="str">
        <f>VLOOKUP(H1657,'Flow Location'!$A$1:$B$21,2,FALSE)</f>
        <v>Contained On Site, not within 5 ft. of Bayou/Surface Water/Drainage Ditch</v>
      </c>
      <c r="J1657" s="20">
        <v>0.0</v>
      </c>
      <c r="K1657" s="6" t="s">
        <v>45</v>
      </c>
      <c r="L1657" s="6" t="str">
        <f>VLOOKUP(K1657,'Structure type'!$A$1:$B$15,2,FALSE)</f>
        <v>City Cleanout</v>
      </c>
      <c r="M1657" s="6" t="s">
        <v>56</v>
      </c>
      <c r="N1657" s="6" t="str">
        <f>VLOOKUP(M1657,'Excursion Cause'!$A$1:$B$34,2,FALSE)</f>
        <v>Rags/Wipes</v>
      </c>
      <c r="O1657" s="21">
        <v>44783.0</v>
      </c>
      <c r="P1657" s="6" t="s">
        <v>191</v>
      </c>
      <c r="Q1657" s="21">
        <v>44783.0</v>
      </c>
      <c r="R1657" s="6" t="s">
        <v>110</v>
      </c>
      <c r="S1657" s="20">
        <v>0.0</v>
      </c>
      <c r="T1657" s="6" t="s">
        <v>170</v>
      </c>
      <c r="U1657" s="6"/>
      <c r="V1657" s="6"/>
      <c r="W1657" s="6">
        <v>29.7422511</v>
      </c>
      <c r="X1657" s="6">
        <v>-95.3279593</v>
      </c>
    </row>
    <row r="1658" ht="15.75" customHeight="1">
      <c r="A1658" s="6">
        <v>49138.0</v>
      </c>
      <c r="B1658" s="6">
        <v>2022.0</v>
      </c>
      <c r="C1658" s="6" t="str">
        <f t="shared" si="5"/>
        <v>8800 GUSTINE LN,Houston,Texas</v>
      </c>
      <c r="D1658" s="6" t="s">
        <v>2896</v>
      </c>
      <c r="E1658" s="6" t="s">
        <v>25</v>
      </c>
      <c r="F1658" s="6" t="s">
        <v>26</v>
      </c>
      <c r="G1658" s="6" t="s">
        <v>214</v>
      </c>
      <c r="H1658" s="6" t="s">
        <v>1724</v>
      </c>
      <c r="I1658" s="6" t="str">
        <f>VLOOKUP(H1658,'Flow Location'!$A$1:$B$21,2,FALSE)</f>
        <v>Storm Sewer (not contained)</v>
      </c>
      <c r="J1658" s="20">
        <v>124.0</v>
      </c>
      <c r="K1658" s="6" t="s">
        <v>29</v>
      </c>
      <c r="L1658" s="6" t="str">
        <f>VLOOKUP(K1658,'Structure type'!$A$1:$B$15,2,FALSE)</f>
        <v>Manhole</v>
      </c>
      <c r="M1658" s="6" t="s">
        <v>2897</v>
      </c>
      <c r="N1658" s="6" t="str">
        <f>VLOOKUP(M1658,'Excursion Cause'!$A$1:$B$34,2,FALSE)</f>
        <v>Grease Blockage</v>
      </c>
      <c r="O1658" s="21">
        <v>44782.0</v>
      </c>
      <c r="P1658" s="6" t="s">
        <v>604</v>
      </c>
      <c r="Q1658" s="21">
        <v>44782.0</v>
      </c>
      <c r="R1658" s="6" t="s">
        <v>606</v>
      </c>
      <c r="S1658" s="20">
        <v>4.0</v>
      </c>
      <c r="T1658" s="6" t="s">
        <v>2898</v>
      </c>
      <c r="U1658" s="6"/>
      <c r="V1658" s="6"/>
      <c r="W1658" s="6">
        <v>29.6696517</v>
      </c>
      <c r="X1658" s="6">
        <v>-95.5357601</v>
      </c>
    </row>
    <row r="1659" ht="15.75" customHeight="1">
      <c r="A1659" s="6">
        <v>49142.0</v>
      </c>
      <c r="B1659" s="6">
        <v>2022.0</v>
      </c>
      <c r="C1659" s="6" t="str">
        <f t="shared" si="5"/>
        <v>6389 S BRIAR BAYOU DR,Houston,Texas</v>
      </c>
      <c r="D1659" s="6" t="s">
        <v>2875</v>
      </c>
      <c r="E1659" s="6" t="s">
        <v>25</v>
      </c>
      <c r="F1659" s="6" t="s">
        <v>26</v>
      </c>
      <c r="G1659" s="6" t="s">
        <v>91</v>
      </c>
      <c r="H1659" s="6" t="s">
        <v>2275</v>
      </c>
      <c r="I1659" s="6" t="str">
        <f>VLOOKUP(H1659,'Flow Location'!$A$1:$B$21,2,FALSE)</f>
        <v>Contained On Site, not within 5 ft. of Bayou/Surface Water/Drainage Ditch</v>
      </c>
      <c r="J1659" s="20">
        <v>0.0</v>
      </c>
      <c r="K1659" s="6" t="s">
        <v>29</v>
      </c>
      <c r="L1659" s="6" t="str">
        <f>VLOOKUP(K1659,'Structure type'!$A$1:$B$15,2,FALSE)</f>
        <v>Manhole</v>
      </c>
      <c r="M1659" s="6" t="s">
        <v>2899</v>
      </c>
      <c r="N1659" s="6" t="str">
        <f>VLOOKUP(M1659,'Excursion Cause'!$A$1:$B$34,2,FALSE)</f>
        <v>Collection system structural blockage</v>
      </c>
      <c r="O1659" s="21">
        <v>44783.0</v>
      </c>
      <c r="P1659" s="6" t="s">
        <v>367</v>
      </c>
      <c r="Q1659" s="21">
        <v>44783.0</v>
      </c>
      <c r="R1659" s="6" t="s">
        <v>149</v>
      </c>
      <c r="S1659" s="20">
        <v>0.0</v>
      </c>
      <c r="T1659" s="6" t="s">
        <v>1083</v>
      </c>
      <c r="U1659" s="6"/>
      <c r="V1659" s="6"/>
      <c r="W1659" s="6">
        <v>29.7095451</v>
      </c>
      <c r="X1659" s="6">
        <v>-95.6111571</v>
      </c>
    </row>
    <row r="1660" ht="15.75" customHeight="1">
      <c r="A1660" s="6">
        <v>49143.0</v>
      </c>
      <c r="B1660" s="6">
        <v>2022.0</v>
      </c>
      <c r="C1660" s="6" t="str">
        <f t="shared" si="5"/>
        <v>317 THORNTON RD,Houston,Texas</v>
      </c>
      <c r="D1660" s="6" t="s">
        <v>2891</v>
      </c>
      <c r="E1660" s="6" t="s">
        <v>25</v>
      </c>
      <c r="F1660" s="6" t="s">
        <v>26</v>
      </c>
      <c r="G1660" s="6" t="s">
        <v>218</v>
      </c>
      <c r="H1660" s="6" t="s">
        <v>50</v>
      </c>
      <c r="I1660" s="6" t="str">
        <f>VLOOKUP(H1660,'Flow Location'!$A$1:$B$21,2,FALSE)</f>
        <v>Contained On Site, not within 5 ft. of Bayou/Surface Water/Drainage Ditch</v>
      </c>
      <c r="J1660" s="20">
        <v>0.0</v>
      </c>
      <c r="K1660" s="6" t="s">
        <v>29</v>
      </c>
      <c r="L1660" s="6" t="str">
        <f>VLOOKUP(K1660,'Structure type'!$A$1:$B$15,2,FALSE)</f>
        <v>Manhole</v>
      </c>
      <c r="M1660" s="6" t="s">
        <v>30</v>
      </c>
      <c r="N1660" s="6" t="str">
        <f>VLOOKUP(M1660,'Excursion Cause'!$A$1:$B$34,2,FALSE)</f>
        <v>Grease Blockage</v>
      </c>
      <c r="O1660" s="21">
        <v>44783.0</v>
      </c>
      <c r="P1660" s="6" t="s">
        <v>409</v>
      </c>
      <c r="Q1660" s="21">
        <v>44783.0</v>
      </c>
      <c r="R1660" s="6" t="s">
        <v>2793</v>
      </c>
      <c r="S1660" s="20">
        <v>0.0</v>
      </c>
      <c r="T1660" s="6" t="s">
        <v>33</v>
      </c>
      <c r="U1660" s="6"/>
      <c r="V1660" s="6"/>
      <c r="W1660" s="6">
        <v>29.8324223</v>
      </c>
      <c r="X1660" s="6">
        <v>-95.4038745</v>
      </c>
    </row>
    <row r="1661" ht="15.75" customHeight="1">
      <c r="A1661" s="6">
        <v>49146.0</v>
      </c>
      <c r="B1661" s="6">
        <v>2022.0</v>
      </c>
      <c r="C1661" s="6" t="str">
        <f t="shared" si="5"/>
        <v>3965 INVERNESS DR,Houston,Texas</v>
      </c>
      <c r="D1661" s="6" t="s">
        <v>2900</v>
      </c>
      <c r="E1661" s="6" t="s">
        <v>25</v>
      </c>
      <c r="F1661" s="6" t="s">
        <v>26</v>
      </c>
      <c r="G1661" s="6" t="s">
        <v>80</v>
      </c>
      <c r="H1661" s="6" t="s">
        <v>50</v>
      </c>
      <c r="I1661" s="6" t="str">
        <f>VLOOKUP(H1661,'Flow Location'!$A$1:$B$21,2,FALSE)</f>
        <v>Contained On Site, not within 5 ft. of Bayou/Surface Water/Drainage Ditch</v>
      </c>
      <c r="J1661" s="20">
        <v>0.0</v>
      </c>
      <c r="K1661" s="6" t="s">
        <v>190</v>
      </c>
      <c r="L1661" s="6" t="str">
        <f>VLOOKUP(K1661,'Structure type'!$A$1:$B$15,2,FALSE)</f>
        <v>Force Main</v>
      </c>
      <c r="M1661" s="6" t="s">
        <v>81</v>
      </c>
      <c r="N1661" s="6" t="str">
        <f>VLOOKUP(M1661,'Excursion Cause'!$A$1:$B$34,2,FALSE)</f>
        <v>Collection system structural failure</v>
      </c>
      <c r="O1661" s="21">
        <v>44784.0</v>
      </c>
      <c r="P1661" s="6" t="s">
        <v>318</v>
      </c>
      <c r="Q1661" s="21">
        <v>44784.0</v>
      </c>
      <c r="R1661" s="6" t="s">
        <v>714</v>
      </c>
      <c r="S1661" s="20">
        <v>0.0</v>
      </c>
      <c r="T1661" s="6" t="s">
        <v>2901</v>
      </c>
      <c r="U1661" s="6"/>
      <c r="V1661" s="6"/>
      <c r="W1661" s="6">
        <v>29.7511075</v>
      </c>
      <c r="X1661" s="6">
        <v>-95.4439387</v>
      </c>
    </row>
    <row r="1662" ht="15.75" customHeight="1">
      <c r="A1662" s="6">
        <v>49147.0</v>
      </c>
      <c r="B1662" s="6">
        <v>2022.0</v>
      </c>
      <c r="C1662" s="6" t="str">
        <f t="shared" si="5"/>
        <v>3903 ERBY ST,Houston,Texas</v>
      </c>
      <c r="D1662" s="6" t="s">
        <v>2567</v>
      </c>
      <c r="E1662" s="6" t="s">
        <v>25</v>
      </c>
      <c r="F1662" s="6" t="s">
        <v>26</v>
      </c>
      <c r="G1662" s="6" t="s">
        <v>35</v>
      </c>
      <c r="H1662" s="6" t="s">
        <v>1724</v>
      </c>
      <c r="I1662" s="6" t="str">
        <f>VLOOKUP(H1662,'Flow Location'!$A$1:$B$21,2,FALSE)</f>
        <v>Storm Sewer (not contained)</v>
      </c>
      <c r="J1662" s="20">
        <v>107.0</v>
      </c>
      <c r="K1662" s="6" t="s">
        <v>29</v>
      </c>
      <c r="L1662" s="6" t="str">
        <f>VLOOKUP(K1662,'Structure type'!$A$1:$B$15,2,FALSE)</f>
        <v>Manhole</v>
      </c>
      <c r="M1662" s="6" t="s">
        <v>2902</v>
      </c>
      <c r="N1662" s="6" t="str">
        <f>VLOOKUP(M1662,'Excursion Cause'!$A$1:$B$34,2,FALSE)</f>
        <v>Grease Blockage</v>
      </c>
      <c r="O1662" s="21">
        <v>44784.0</v>
      </c>
      <c r="P1662" s="6" t="s">
        <v>1896</v>
      </c>
      <c r="Q1662" s="21">
        <v>44784.0</v>
      </c>
      <c r="R1662" s="6" t="s">
        <v>428</v>
      </c>
      <c r="S1662" s="20">
        <v>1.0</v>
      </c>
      <c r="T1662" s="6" t="s">
        <v>2903</v>
      </c>
      <c r="U1662" s="6"/>
      <c r="V1662" s="6"/>
      <c r="W1662" s="6">
        <v>29.7022701</v>
      </c>
      <c r="X1662" s="6">
        <v>-95.3145186</v>
      </c>
    </row>
    <row r="1663" ht="15.75" customHeight="1">
      <c r="A1663" s="6">
        <v>49153.0</v>
      </c>
      <c r="B1663" s="6">
        <v>2022.0</v>
      </c>
      <c r="C1663" s="6" t="str">
        <f t="shared" si="5"/>
        <v>9602 KINGSPOINT RD,Houston,Texas</v>
      </c>
      <c r="D1663" s="6" t="s">
        <v>2904</v>
      </c>
      <c r="E1663" s="6" t="s">
        <v>25</v>
      </c>
      <c r="F1663" s="6" t="s">
        <v>26</v>
      </c>
      <c r="G1663" s="6" t="s">
        <v>95</v>
      </c>
      <c r="H1663" s="6" t="s">
        <v>28</v>
      </c>
      <c r="I1663" s="6" t="str">
        <f>VLOOKUP(H1663,'Flow Location'!$A$1:$B$21,2,FALSE)</f>
        <v>Storm Sewer (not contained)</v>
      </c>
      <c r="J1663" s="20">
        <v>134.0</v>
      </c>
      <c r="K1663" s="6" t="s">
        <v>190</v>
      </c>
      <c r="L1663" s="6" t="str">
        <f>VLOOKUP(K1663,'Structure type'!$A$1:$B$15,2,FALSE)</f>
        <v>Force Main</v>
      </c>
      <c r="M1663" s="6" t="s">
        <v>2905</v>
      </c>
      <c r="N1663" s="6" t="str">
        <f>VLOOKUP(M1663,'Excursion Cause'!$A$1:$B$34,2,FALSE)</f>
        <v>Collection system structural failure</v>
      </c>
      <c r="O1663" s="21">
        <v>44785.0</v>
      </c>
      <c r="P1663" s="6" t="s">
        <v>1079</v>
      </c>
      <c r="Q1663" s="21">
        <v>44785.0</v>
      </c>
      <c r="R1663" s="6" t="s">
        <v>192</v>
      </c>
      <c r="S1663" s="20">
        <v>2.0</v>
      </c>
      <c r="T1663" s="6" t="s">
        <v>193</v>
      </c>
      <c r="U1663" s="6"/>
      <c r="V1663" s="6"/>
      <c r="W1663" s="6">
        <v>29.6084655</v>
      </c>
      <c r="X1663" s="6">
        <v>-95.2396704</v>
      </c>
    </row>
    <row r="1664" ht="15.75" customHeight="1">
      <c r="A1664" s="6">
        <v>49155.0</v>
      </c>
      <c r="B1664" s="6">
        <v>2022.0</v>
      </c>
      <c r="C1664" s="6" t="str">
        <f t="shared" si="5"/>
        <v>422 W 15TH ST,Houston,Texas</v>
      </c>
      <c r="D1664" s="6" t="s">
        <v>2906</v>
      </c>
      <c r="E1664" s="6" t="s">
        <v>25</v>
      </c>
      <c r="F1664" s="6" t="s">
        <v>26</v>
      </c>
      <c r="G1664" s="6" t="s">
        <v>232</v>
      </c>
      <c r="H1664" s="6" t="s">
        <v>50</v>
      </c>
      <c r="I1664" s="6" t="str">
        <f>VLOOKUP(H1664,'Flow Location'!$A$1:$B$21,2,FALSE)</f>
        <v>Contained On Site, not within 5 ft. of Bayou/Surface Water/Drainage Ditch</v>
      </c>
      <c r="J1664" s="20">
        <v>0.0</v>
      </c>
      <c r="K1664" s="6" t="s">
        <v>45</v>
      </c>
      <c r="L1664" s="6" t="str">
        <f>VLOOKUP(K1664,'Structure type'!$A$1:$B$15,2,FALSE)</f>
        <v>City Cleanout</v>
      </c>
      <c r="M1664" s="6" t="s">
        <v>52</v>
      </c>
      <c r="N1664" s="6" t="str">
        <f>VLOOKUP(M1664,'Excursion Cause'!$A$1:$B$34,2,FALSE)</f>
        <v>Collection system structural blockage</v>
      </c>
      <c r="O1664" s="21">
        <v>44786.0</v>
      </c>
      <c r="P1664" s="6" t="s">
        <v>1198</v>
      </c>
      <c r="Q1664" s="21">
        <v>44786.0</v>
      </c>
      <c r="R1664" s="6" t="s">
        <v>2209</v>
      </c>
      <c r="S1664" s="20">
        <v>0.0</v>
      </c>
      <c r="T1664" s="6" t="s">
        <v>292</v>
      </c>
      <c r="U1664" s="6"/>
      <c r="V1664" s="6"/>
      <c r="W1664" s="6">
        <v>29.7977498</v>
      </c>
      <c r="X1664" s="6">
        <v>-95.4021419</v>
      </c>
    </row>
    <row r="1665" ht="15.75" customHeight="1">
      <c r="A1665" s="6">
        <v>49156.0</v>
      </c>
      <c r="B1665" s="6">
        <v>2022.0</v>
      </c>
      <c r="C1665" s="6" t="str">
        <f t="shared" si="5"/>
        <v>10000 HAMMERLY BLVD,Houston,Texas</v>
      </c>
      <c r="D1665" s="6" t="s">
        <v>920</v>
      </c>
      <c r="E1665" s="6" t="s">
        <v>25</v>
      </c>
      <c r="F1665" s="6" t="s">
        <v>26</v>
      </c>
      <c r="G1665" s="6" t="s">
        <v>294</v>
      </c>
      <c r="H1665" s="6" t="s">
        <v>50</v>
      </c>
      <c r="I1665" s="6" t="str">
        <f>VLOOKUP(H1665,'Flow Location'!$A$1:$B$21,2,FALSE)</f>
        <v>Contained On Site, not within 5 ft. of Bayou/Surface Water/Drainage Ditch</v>
      </c>
      <c r="J1665" s="20">
        <v>96.0</v>
      </c>
      <c r="K1665" s="6" t="s">
        <v>29</v>
      </c>
      <c r="L1665" s="6" t="str">
        <f>VLOOKUP(K1665,'Structure type'!$A$1:$B$15,2,FALSE)</f>
        <v>Manhole</v>
      </c>
      <c r="M1665" s="6" t="s">
        <v>30</v>
      </c>
      <c r="N1665" s="6" t="str">
        <f>VLOOKUP(M1665,'Excursion Cause'!$A$1:$B$34,2,FALSE)</f>
        <v>Grease Blockage</v>
      </c>
      <c r="O1665" s="21">
        <v>44786.0</v>
      </c>
      <c r="P1665" s="6" t="s">
        <v>1159</v>
      </c>
      <c r="Q1665" s="21">
        <v>44786.0</v>
      </c>
      <c r="R1665" s="6" t="s">
        <v>995</v>
      </c>
      <c r="S1665" s="20">
        <v>2.0</v>
      </c>
      <c r="T1665" s="6" t="s">
        <v>33</v>
      </c>
      <c r="U1665" s="6"/>
      <c r="V1665" s="6"/>
      <c r="W1665" s="6">
        <v>29.8147108</v>
      </c>
      <c r="X1665" s="6">
        <v>-95.540368</v>
      </c>
    </row>
    <row r="1666" ht="15.75" customHeight="1">
      <c r="A1666" s="6">
        <v>49159.0</v>
      </c>
      <c r="B1666" s="6">
        <v>2022.0</v>
      </c>
      <c r="C1666" s="6" t="str">
        <f t="shared" si="5"/>
        <v>1038 GESSNER DR,Houston,Texas</v>
      </c>
      <c r="D1666" s="6" t="s">
        <v>2907</v>
      </c>
      <c r="E1666" s="6" t="s">
        <v>25</v>
      </c>
      <c r="F1666" s="6" t="s">
        <v>26</v>
      </c>
      <c r="G1666" s="6" t="s">
        <v>27</v>
      </c>
      <c r="H1666" s="6" t="s">
        <v>1724</v>
      </c>
      <c r="I1666" s="6" t="str">
        <f>VLOOKUP(H1666,'Flow Location'!$A$1:$B$21,2,FALSE)</f>
        <v>Storm Sewer (not contained)</v>
      </c>
      <c r="J1666" s="20">
        <v>180.0</v>
      </c>
      <c r="K1666" s="6" t="s">
        <v>29</v>
      </c>
      <c r="L1666" s="6" t="str">
        <f>VLOOKUP(K1666,'Structure type'!$A$1:$B$15,2,FALSE)</f>
        <v>Manhole</v>
      </c>
      <c r="M1666" s="6" t="s">
        <v>2908</v>
      </c>
      <c r="N1666" s="6" t="str">
        <f>VLOOKUP(M1666,'Excursion Cause'!$A$1:$B$34,2,FALSE)</f>
        <v>Grease Blockage</v>
      </c>
      <c r="O1666" s="21">
        <v>44787.0</v>
      </c>
      <c r="P1666" s="6" t="s">
        <v>522</v>
      </c>
      <c r="Q1666" s="21">
        <v>44787.0</v>
      </c>
      <c r="R1666" s="6" t="s">
        <v>245</v>
      </c>
      <c r="S1666" s="20">
        <v>2.0</v>
      </c>
      <c r="T1666" s="6" t="s">
        <v>2909</v>
      </c>
      <c r="U1666" s="6"/>
      <c r="V1666" s="6"/>
      <c r="W1666" s="6">
        <v>29.7872081</v>
      </c>
      <c r="X1666" s="6">
        <v>-95.5434568</v>
      </c>
    </row>
    <row r="1667" ht="15.75" customHeight="1">
      <c r="A1667" s="6">
        <v>49167.0</v>
      </c>
      <c r="B1667" s="6">
        <v>2022.0</v>
      </c>
      <c r="C1667" s="6" t="str">
        <f t="shared" si="5"/>
        <v>1615 NORTHWOOD ST,Houston,Texas</v>
      </c>
      <c r="D1667" s="6" t="s">
        <v>877</v>
      </c>
      <c r="E1667" s="6" t="s">
        <v>25</v>
      </c>
      <c r="F1667" s="6" t="s">
        <v>26</v>
      </c>
      <c r="G1667" s="6" t="s">
        <v>161</v>
      </c>
      <c r="H1667" s="6" t="s">
        <v>1977</v>
      </c>
      <c r="I1667" s="6" t="str">
        <f>VLOOKUP(H1667,'Flow Location'!$A$1:$B$21,2,FALSE)</f>
        <v>Bayou/surface water/drainage ditch</v>
      </c>
      <c r="J1667" s="20">
        <v>198.0</v>
      </c>
      <c r="K1667" s="6" t="s">
        <v>51</v>
      </c>
      <c r="L1667" s="6" t="str">
        <f>VLOOKUP(K1667,'Structure type'!$A$1:$B$15,2,FALSE)</f>
        <v>Private Cleanout</v>
      </c>
      <c r="M1667" s="6" t="s">
        <v>30</v>
      </c>
      <c r="N1667" s="6" t="str">
        <f>VLOOKUP(M1667,'Excursion Cause'!$A$1:$B$34,2,FALSE)</f>
        <v>Grease Blockage</v>
      </c>
      <c r="O1667" s="21">
        <v>44789.0</v>
      </c>
      <c r="P1667" s="6" t="s">
        <v>314</v>
      </c>
      <c r="Q1667" s="21">
        <v>44789.0</v>
      </c>
      <c r="R1667" s="6" t="s">
        <v>428</v>
      </c>
      <c r="S1667" s="20">
        <v>2.0</v>
      </c>
      <c r="T1667" s="6" t="s">
        <v>33</v>
      </c>
      <c r="U1667" s="6"/>
      <c r="V1667" s="6"/>
      <c r="W1667" s="6">
        <v>29.8061112</v>
      </c>
      <c r="X1667" s="6">
        <v>-95.3788375</v>
      </c>
    </row>
    <row r="1668" ht="15.75" customHeight="1">
      <c r="A1668" s="6">
        <v>49170.0</v>
      </c>
      <c r="B1668" s="6">
        <v>2022.0</v>
      </c>
      <c r="C1668" s="6" t="str">
        <f t="shared" si="5"/>
        <v>6105 NUNN ST,Houston,Texas</v>
      </c>
      <c r="D1668" s="6" t="s">
        <v>2910</v>
      </c>
      <c r="E1668" s="6" t="s">
        <v>25</v>
      </c>
      <c r="F1668" s="6" t="s">
        <v>26</v>
      </c>
      <c r="G1668" s="6" t="s">
        <v>35</v>
      </c>
      <c r="H1668" s="6" t="s">
        <v>50</v>
      </c>
      <c r="I1668" s="6" t="str">
        <f>VLOOKUP(H1668,'Flow Location'!$A$1:$B$21,2,FALSE)</f>
        <v>Contained On Site, not within 5 ft. of Bayou/Surface Water/Drainage Ditch</v>
      </c>
      <c r="J1668" s="20">
        <v>0.0</v>
      </c>
      <c r="K1668" s="6" t="s">
        <v>51</v>
      </c>
      <c r="L1668" s="6" t="str">
        <f>VLOOKUP(K1668,'Structure type'!$A$1:$B$15,2,FALSE)</f>
        <v>Private Cleanout</v>
      </c>
      <c r="M1668" s="6" t="s">
        <v>52</v>
      </c>
      <c r="N1668" s="6" t="str">
        <f>VLOOKUP(M1668,'Excursion Cause'!$A$1:$B$34,2,FALSE)</f>
        <v>Collection system structural blockage</v>
      </c>
      <c r="O1668" s="21">
        <v>44789.0</v>
      </c>
      <c r="P1668" s="6" t="s">
        <v>71</v>
      </c>
      <c r="Q1668" s="21">
        <v>44789.0</v>
      </c>
      <c r="R1668" s="6" t="s">
        <v>356</v>
      </c>
      <c r="S1668" s="20">
        <v>0.0</v>
      </c>
      <c r="T1668" s="6" t="s">
        <v>170</v>
      </c>
      <c r="U1668" s="6"/>
      <c r="V1668" s="6"/>
      <c r="W1668" s="6">
        <v>29.6769837</v>
      </c>
      <c r="X1668" s="6">
        <v>-95.3112409</v>
      </c>
    </row>
    <row r="1669" ht="15.75" customHeight="1">
      <c r="A1669" s="6">
        <v>49171.0</v>
      </c>
      <c r="B1669" s="6">
        <v>2022.0</v>
      </c>
      <c r="C1669" s="6" t="str">
        <f t="shared" si="5"/>
        <v>17210 IMPERIAL VALLEY DR,Houston,Texas</v>
      </c>
      <c r="D1669" s="6" t="s">
        <v>2911</v>
      </c>
      <c r="E1669" s="6" t="s">
        <v>25</v>
      </c>
      <c r="F1669" s="6" t="s">
        <v>26</v>
      </c>
      <c r="G1669" s="6" t="s">
        <v>393</v>
      </c>
      <c r="H1669" s="6" t="s">
        <v>50</v>
      </c>
      <c r="I1669" s="6" t="str">
        <f>VLOOKUP(H1669,'Flow Location'!$A$1:$B$21,2,FALSE)</f>
        <v>Contained On Site, not within 5 ft. of Bayou/Surface Water/Drainage Ditch</v>
      </c>
      <c r="J1669" s="20">
        <v>0.0</v>
      </c>
      <c r="K1669" s="6" t="s">
        <v>51</v>
      </c>
      <c r="L1669" s="6" t="str">
        <f>VLOOKUP(K1669,'Structure type'!$A$1:$B$15,2,FALSE)</f>
        <v>Private Cleanout</v>
      </c>
      <c r="M1669" s="6" t="s">
        <v>30</v>
      </c>
      <c r="N1669" s="6" t="str">
        <f>VLOOKUP(M1669,'Excursion Cause'!$A$1:$B$34,2,FALSE)</f>
        <v>Grease Blockage</v>
      </c>
      <c r="O1669" s="21">
        <v>44789.0</v>
      </c>
      <c r="P1669" s="6" t="s">
        <v>1049</v>
      </c>
      <c r="Q1669" s="21">
        <v>44789.0</v>
      </c>
      <c r="R1669" s="6" t="s">
        <v>1704</v>
      </c>
      <c r="S1669" s="20">
        <v>0.0</v>
      </c>
      <c r="T1669" s="6" t="s">
        <v>33</v>
      </c>
      <c r="U1669" s="6"/>
      <c r="V1669" s="6"/>
      <c r="W1669" s="6">
        <v>29.9496195</v>
      </c>
      <c r="X1669" s="6">
        <v>-95.3982704</v>
      </c>
    </row>
    <row r="1670" ht="15.75" customHeight="1">
      <c r="A1670" s="6">
        <v>49172.0</v>
      </c>
      <c r="B1670" s="6">
        <v>2022.0</v>
      </c>
      <c r="C1670" s="6" t="str">
        <f t="shared" si="5"/>
        <v>8400 HEARTH DR,Houston,Texas</v>
      </c>
      <c r="D1670" s="6" t="s">
        <v>2912</v>
      </c>
      <c r="E1670" s="6" t="s">
        <v>25</v>
      </c>
      <c r="F1670" s="6" t="s">
        <v>26</v>
      </c>
      <c r="G1670" s="6" t="s">
        <v>426</v>
      </c>
      <c r="H1670" s="6" t="s">
        <v>28</v>
      </c>
      <c r="I1670" s="6" t="str">
        <f>VLOOKUP(H1670,'Flow Location'!$A$1:$B$21,2,FALSE)</f>
        <v>Storm Sewer (not contained)</v>
      </c>
      <c r="J1670" s="20">
        <v>1144.0</v>
      </c>
      <c r="K1670" s="6" t="s">
        <v>190</v>
      </c>
      <c r="L1670" s="6" t="str">
        <f>VLOOKUP(K1670,'Structure type'!$A$1:$B$15,2,FALSE)</f>
        <v>Force Main</v>
      </c>
      <c r="M1670" s="6" t="s">
        <v>2913</v>
      </c>
      <c r="N1670" s="6" t="str">
        <f>VLOOKUP(M1670,'Excursion Cause'!$A$1:$B$34,2,FALSE)</f>
        <v>Collection system structural failure</v>
      </c>
      <c r="O1670" s="21">
        <v>44789.0</v>
      </c>
      <c r="P1670" s="6" t="s">
        <v>2097</v>
      </c>
      <c r="Q1670" s="21">
        <v>44791.0</v>
      </c>
      <c r="R1670" s="6" t="s">
        <v>114</v>
      </c>
      <c r="S1670" s="20">
        <v>0.0</v>
      </c>
      <c r="T1670" s="6" t="s">
        <v>2914</v>
      </c>
      <c r="U1670" s="6"/>
      <c r="V1670" s="6"/>
      <c r="W1670" s="6">
        <v>29.6796752</v>
      </c>
      <c r="X1670" s="6">
        <v>-95.4193801</v>
      </c>
    </row>
    <row r="1671" ht="15.75" customHeight="1">
      <c r="A1671" s="6">
        <v>49177.0</v>
      </c>
      <c r="B1671" s="6">
        <v>2022.0</v>
      </c>
      <c r="C1671" s="6" t="str">
        <f t="shared" si="5"/>
        <v>12500 DUNLAP DR,Houston,Texas</v>
      </c>
      <c r="D1671" s="6" t="s">
        <v>2915</v>
      </c>
      <c r="E1671" s="6" t="s">
        <v>25</v>
      </c>
      <c r="F1671" s="6" t="s">
        <v>26</v>
      </c>
      <c r="G1671" s="6" t="s">
        <v>127</v>
      </c>
      <c r="H1671" s="6" t="s">
        <v>2275</v>
      </c>
      <c r="I1671" s="6" t="str">
        <f>VLOOKUP(H1671,'Flow Location'!$A$1:$B$21,2,FALSE)</f>
        <v>Contained On Site, not within 5 ft. of Bayou/Surface Water/Drainage Ditch</v>
      </c>
      <c r="J1671" s="20">
        <v>0.0</v>
      </c>
      <c r="K1671" s="6" t="s">
        <v>29</v>
      </c>
      <c r="L1671" s="6" t="str">
        <f>VLOOKUP(K1671,'Structure type'!$A$1:$B$15,2,FALSE)</f>
        <v>Manhole</v>
      </c>
      <c r="M1671" s="6" t="s">
        <v>30</v>
      </c>
      <c r="N1671" s="6" t="str">
        <f>VLOOKUP(M1671,'Excursion Cause'!$A$1:$B$34,2,FALSE)</f>
        <v>Grease Blockage</v>
      </c>
      <c r="O1671" s="21">
        <v>44790.0</v>
      </c>
      <c r="P1671" s="6" t="s">
        <v>1896</v>
      </c>
      <c r="Q1671" s="21">
        <v>44790.0</v>
      </c>
      <c r="R1671" s="6" t="s">
        <v>1101</v>
      </c>
      <c r="S1671" s="20">
        <v>0.0</v>
      </c>
      <c r="T1671" s="6" t="s">
        <v>33</v>
      </c>
      <c r="U1671" s="6"/>
      <c r="V1671" s="6"/>
      <c r="W1671" s="6">
        <v>29.6396944</v>
      </c>
      <c r="X1671" s="6">
        <v>-95.4958125</v>
      </c>
    </row>
    <row r="1672" ht="15.75" customHeight="1">
      <c r="A1672" s="6">
        <v>49180.0</v>
      </c>
      <c r="B1672" s="6">
        <v>2022.0</v>
      </c>
      <c r="C1672" s="6" t="str">
        <f t="shared" si="5"/>
        <v>2120 CONVERSE ST,Houston,Texas</v>
      </c>
      <c r="D1672" s="6" t="s">
        <v>2916</v>
      </c>
      <c r="E1672" s="6" t="s">
        <v>25</v>
      </c>
      <c r="F1672" s="6" t="s">
        <v>26</v>
      </c>
      <c r="G1672" s="6" t="s">
        <v>761</v>
      </c>
      <c r="H1672" s="6" t="s">
        <v>28</v>
      </c>
      <c r="I1672" s="6" t="str">
        <f>VLOOKUP(H1672,'Flow Location'!$A$1:$B$21,2,FALSE)</f>
        <v>Storm Sewer (not contained)</v>
      </c>
      <c r="J1672" s="20">
        <v>0.0</v>
      </c>
      <c r="K1672" s="6" t="s">
        <v>198</v>
      </c>
      <c r="L1672" s="6" t="str">
        <f>VLOOKUP(K1672,'Structure type'!$A$1:$B$15,2,FALSE)</f>
        <v>Service Lateral</v>
      </c>
      <c r="M1672" s="6" t="s">
        <v>2917</v>
      </c>
      <c r="N1672" s="6" t="str">
        <f>VLOOKUP(M1672,'Excursion Cause'!$A$1:$B$34,2,FALSE)</f>
        <v>Collection system structural blockage</v>
      </c>
      <c r="O1672" s="21">
        <v>44791.0</v>
      </c>
      <c r="P1672" s="6" t="s">
        <v>994</v>
      </c>
      <c r="Q1672" s="21">
        <v>44791.0</v>
      </c>
      <c r="R1672" s="6" t="s">
        <v>2918</v>
      </c>
      <c r="S1672" s="20">
        <v>0.0</v>
      </c>
      <c r="T1672" s="6" t="s">
        <v>118</v>
      </c>
      <c r="U1672" s="6"/>
      <c r="V1672" s="6"/>
      <c r="W1672" s="6">
        <v>29.7497247</v>
      </c>
      <c r="X1672" s="6">
        <v>-95.3906627</v>
      </c>
    </row>
    <row r="1673" ht="15.75" customHeight="1">
      <c r="A1673" s="6">
        <v>49183.0</v>
      </c>
      <c r="B1673" s="6">
        <v>2022.0</v>
      </c>
      <c r="C1673" s="6" t="str">
        <f t="shared" si="5"/>
        <v>13313 VICKSBURG ST,Houston,Texas</v>
      </c>
      <c r="D1673" s="6" t="s">
        <v>2919</v>
      </c>
      <c r="E1673" s="6" t="s">
        <v>25</v>
      </c>
      <c r="F1673" s="6" t="s">
        <v>26</v>
      </c>
      <c r="G1673" s="6" t="s">
        <v>623</v>
      </c>
      <c r="H1673" s="6" t="s">
        <v>1964</v>
      </c>
      <c r="I1673" s="6" t="str">
        <f>VLOOKUP(H1673,'Flow Location'!$A$1:$B$21,2,FALSE)</f>
        <v>Within 5 ft. of Bayou/Surface Water/Drainage Ditch</v>
      </c>
      <c r="J1673" s="20">
        <v>1329.0</v>
      </c>
      <c r="K1673" s="6" t="s">
        <v>290</v>
      </c>
      <c r="L1673" s="6" t="str">
        <f>VLOOKUP(K1673,'Structure type'!$A$1:$B$15,2,FALSE)</f>
        <v>Gravity Main</v>
      </c>
      <c r="M1673" s="6" t="s">
        <v>2920</v>
      </c>
      <c r="N1673" s="6" t="str">
        <f>VLOOKUP(M1673,'Excursion Cause'!$A$1:$B$34,2,FALSE)</f>
        <v>Collection system structural failure</v>
      </c>
      <c r="O1673" s="21">
        <v>44791.0</v>
      </c>
      <c r="P1673" s="6" t="s">
        <v>625</v>
      </c>
      <c r="Q1673" s="21">
        <v>44792.0</v>
      </c>
      <c r="R1673" s="6" t="s">
        <v>180</v>
      </c>
      <c r="S1673" s="20">
        <v>1.0</v>
      </c>
      <c r="T1673" s="6" t="s">
        <v>33</v>
      </c>
      <c r="U1673" s="6"/>
      <c r="V1673" s="6"/>
      <c r="W1673" s="6">
        <v>29.776039</v>
      </c>
      <c r="X1673" s="6">
        <v>-95.1889769</v>
      </c>
    </row>
    <row r="1674" ht="15.75" customHeight="1">
      <c r="A1674" s="6">
        <v>49188.0</v>
      </c>
      <c r="B1674" s="6">
        <v>2022.0</v>
      </c>
      <c r="C1674" s="6" t="str">
        <f t="shared" si="5"/>
        <v>6701 ROWAN LN,Houston,Texas</v>
      </c>
      <c r="D1674" s="6" t="s">
        <v>2921</v>
      </c>
      <c r="E1674" s="6" t="s">
        <v>25</v>
      </c>
      <c r="F1674" s="6" t="s">
        <v>26</v>
      </c>
      <c r="G1674" s="6" t="s">
        <v>471</v>
      </c>
      <c r="H1674" s="6" t="s">
        <v>1724</v>
      </c>
      <c r="I1674" s="6" t="str">
        <f>VLOOKUP(H1674,'Flow Location'!$A$1:$B$21,2,FALSE)</f>
        <v>Storm Sewer (not contained)</v>
      </c>
      <c r="J1674" s="20">
        <v>290.0</v>
      </c>
      <c r="K1674" s="6" t="s">
        <v>29</v>
      </c>
      <c r="L1674" s="6" t="str">
        <f>VLOOKUP(K1674,'Structure type'!$A$1:$B$15,2,FALSE)</f>
        <v>Manhole</v>
      </c>
      <c r="M1674" s="6" t="s">
        <v>2922</v>
      </c>
      <c r="N1674" s="6" t="str">
        <f>VLOOKUP(M1674,'Excursion Cause'!$A$1:$B$34,2,FALSE)</f>
        <v>Grease Blockage</v>
      </c>
      <c r="O1674" s="21">
        <v>44792.0</v>
      </c>
      <c r="P1674" s="6" t="s">
        <v>257</v>
      </c>
      <c r="Q1674" s="21">
        <v>44792.0</v>
      </c>
      <c r="R1674" s="6" t="s">
        <v>245</v>
      </c>
      <c r="S1674" s="20">
        <v>2.0</v>
      </c>
      <c r="T1674" s="6" t="s">
        <v>2923</v>
      </c>
      <c r="U1674" s="6"/>
      <c r="V1674" s="6"/>
      <c r="W1674" s="6">
        <v>29.7006515</v>
      </c>
      <c r="X1674" s="6">
        <v>-95.5004335</v>
      </c>
    </row>
    <row r="1675" ht="15.75" customHeight="1">
      <c r="A1675" s="6">
        <v>49191.0</v>
      </c>
      <c r="B1675" s="6">
        <v>2022.0</v>
      </c>
      <c r="C1675" s="6" t="str">
        <f t="shared" si="5"/>
        <v>1713 JOHNSON ST,Houston,Texas</v>
      </c>
      <c r="D1675" s="6" t="s">
        <v>2924</v>
      </c>
      <c r="E1675" s="6" t="s">
        <v>25</v>
      </c>
      <c r="F1675" s="6" t="s">
        <v>26</v>
      </c>
      <c r="G1675" s="6" t="s">
        <v>158</v>
      </c>
      <c r="H1675" s="6" t="s">
        <v>1397</v>
      </c>
      <c r="I1675" s="6" t="str">
        <f>VLOOKUP(H1675,'Flow Location'!$A$1:$B$21,2,FALSE)</f>
        <v>Bayou/surface water/drainage ditch</v>
      </c>
      <c r="J1675" s="20">
        <v>0.0</v>
      </c>
      <c r="K1675" s="6" t="s">
        <v>198</v>
      </c>
      <c r="L1675" s="6" t="str">
        <f>VLOOKUP(K1675,'Structure type'!$A$1:$B$15,2,FALSE)</f>
        <v>Service Lateral</v>
      </c>
      <c r="M1675" s="6" t="s">
        <v>2925</v>
      </c>
      <c r="N1675" s="6" t="str">
        <f>VLOOKUP(M1675,'Excursion Cause'!$A$1:$B$34,2,FALSE)</f>
        <v>Collection system structural failure</v>
      </c>
      <c r="O1675" s="21">
        <v>44793.0</v>
      </c>
      <c r="P1675" s="6" t="s">
        <v>1191</v>
      </c>
      <c r="Q1675" s="21">
        <v>44793.0</v>
      </c>
      <c r="R1675" s="6" t="s">
        <v>264</v>
      </c>
      <c r="S1675" s="20">
        <v>0.0</v>
      </c>
      <c r="T1675" s="6" t="s">
        <v>118</v>
      </c>
      <c r="U1675" s="6"/>
      <c r="V1675" s="6"/>
      <c r="W1675" s="6">
        <v>29.7733956</v>
      </c>
      <c r="X1675" s="6">
        <v>-95.3738864</v>
      </c>
    </row>
    <row r="1676" ht="15.75" customHeight="1">
      <c r="A1676" s="6">
        <v>49196.0</v>
      </c>
      <c r="B1676" s="6">
        <v>2022.0</v>
      </c>
      <c r="C1676" s="6" t="str">
        <f t="shared" si="5"/>
        <v>3916 AVERILL ST,Houston,Texas</v>
      </c>
      <c r="D1676" s="6" t="s">
        <v>2926</v>
      </c>
      <c r="E1676" s="6" t="s">
        <v>25</v>
      </c>
      <c r="F1676" s="6" t="s">
        <v>26</v>
      </c>
      <c r="G1676" s="6" t="s">
        <v>161</v>
      </c>
      <c r="H1676" s="6" t="s">
        <v>1724</v>
      </c>
      <c r="I1676" s="6" t="str">
        <f>VLOOKUP(H1676,'Flow Location'!$A$1:$B$21,2,FALSE)</f>
        <v>Storm Sewer (not contained)</v>
      </c>
      <c r="J1676" s="20">
        <v>218.0</v>
      </c>
      <c r="K1676" s="6" t="s">
        <v>290</v>
      </c>
      <c r="L1676" s="6" t="str">
        <f>VLOOKUP(K1676,'Structure type'!$A$1:$B$15,2,FALSE)</f>
        <v>Gravity Main</v>
      </c>
      <c r="M1676" s="6" t="s">
        <v>2927</v>
      </c>
      <c r="N1676" s="6" t="str">
        <f>VLOOKUP(M1676,'Excursion Cause'!$A$1:$B$34,2,FALSE)</f>
        <v>Grease Blockage</v>
      </c>
      <c r="O1676" s="21">
        <v>44794.0</v>
      </c>
      <c r="P1676" s="6" t="s">
        <v>2928</v>
      </c>
      <c r="Q1676" s="21">
        <v>44794.0</v>
      </c>
      <c r="R1676" s="6" t="s">
        <v>643</v>
      </c>
      <c r="S1676" s="20">
        <v>2.0</v>
      </c>
      <c r="T1676" s="6" t="s">
        <v>2929</v>
      </c>
      <c r="U1676" s="6"/>
      <c r="V1676" s="6"/>
      <c r="W1676" s="6">
        <v>29.7962386</v>
      </c>
      <c r="X1676" s="6">
        <v>-95.3635123</v>
      </c>
    </row>
    <row r="1677" ht="15.75" customHeight="1">
      <c r="A1677" s="6">
        <v>49197.0</v>
      </c>
      <c r="B1677" s="6">
        <v>2022.0</v>
      </c>
      <c r="C1677" s="6" t="str">
        <f t="shared" si="5"/>
        <v>14430 MINETTA ST,Houston,Texas</v>
      </c>
      <c r="D1677" s="6" t="s">
        <v>1954</v>
      </c>
      <c r="E1677" s="6" t="s">
        <v>25</v>
      </c>
      <c r="F1677" s="6" t="s">
        <v>26</v>
      </c>
      <c r="G1677" s="6" t="s">
        <v>127</v>
      </c>
      <c r="H1677" s="6" t="s">
        <v>50</v>
      </c>
      <c r="I1677" s="6" t="str">
        <f>VLOOKUP(H1677,'Flow Location'!$A$1:$B$21,2,FALSE)</f>
        <v>Contained On Site, not within 5 ft. of Bayou/Surface Water/Drainage Ditch</v>
      </c>
      <c r="J1677" s="20">
        <v>74.0</v>
      </c>
      <c r="K1677" s="6" t="s">
        <v>45</v>
      </c>
      <c r="L1677" s="6" t="str">
        <f>VLOOKUP(K1677,'Structure type'!$A$1:$B$15,2,FALSE)</f>
        <v>City Cleanout</v>
      </c>
      <c r="M1677" s="6" t="s">
        <v>56</v>
      </c>
      <c r="N1677" s="6" t="str">
        <f>VLOOKUP(M1677,'Excursion Cause'!$A$1:$B$34,2,FALSE)</f>
        <v>Rags/Wipes</v>
      </c>
      <c r="O1677" s="21">
        <v>44795.0</v>
      </c>
      <c r="P1677" s="6" t="s">
        <v>874</v>
      </c>
      <c r="Q1677" s="21">
        <v>44795.0</v>
      </c>
      <c r="R1677" s="6" t="s">
        <v>882</v>
      </c>
      <c r="S1677" s="20">
        <v>1.0</v>
      </c>
      <c r="T1677" s="6" t="s">
        <v>89</v>
      </c>
      <c r="U1677" s="6"/>
      <c r="V1677" s="6"/>
      <c r="W1677" s="6">
        <v>29.6363399</v>
      </c>
      <c r="X1677" s="6">
        <v>-95.5017682</v>
      </c>
    </row>
    <row r="1678" ht="15.75" customHeight="1">
      <c r="A1678" s="6">
        <v>49201.0</v>
      </c>
      <c r="B1678" s="6">
        <v>2022.0</v>
      </c>
      <c r="C1678" s="6" t="str">
        <f t="shared" si="5"/>
        <v>13502 FORCE ST,Houston,Texas</v>
      </c>
      <c r="D1678" s="6" t="s">
        <v>2930</v>
      </c>
      <c r="E1678" s="6" t="s">
        <v>25</v>
      </c>
      <c r="F1678" s="6" t="s">
        <v>26</v>
      </c>
      <c r="G1678" s="6" t="s">
        <v>623</v>
      </c>
      <c r="H1678" s="6" t="s">
        <v>50</v>
      </c>
      <c r="I1678" s="6" t="str">
        <f>VLOOKUP(H1678,'Flow Location'!$A$1:$B$21,2,FALSE)</f>
        <v>Contained On Site, not within 5 ft. of Bayou/Surface Water/Drainage Ditch</v>
      </c>
      <c r="J1678" s="20">
        <v>0.0</v>
      </c>
      <c r="K1678" s="6" t="s">
        <v>29</v>
      </c>
      <c r="L1678" s="6" t="str">
        <f>VLOOKUP(K1678,'Structure type'!$A$1:$B$15,2,FALSE)</f>
        <v>Manhole</v>
      </c>
      <c r="M1678" s="6" t="s">
        <v>30</v>
      </c>
      <c r="N1678" s="6" t="str">
        <f>VLOOKUP(M1678,'Excursion Cause'!$A$1:$B$34,2,FALSE)</f>
        <v>Grease Blockage</v>
      </c>
      <c r="O1678" s="21">
        <v>44795.0</v>
      </c>
      <c r="P1678" s="6" t="s">
        <v>1167</v>
      </c>
      <c r="Q1678" s="21">
        <v>44795.0</v>
      </c>
      <c r="R1678" s="6" t="s">
        <v>668</v>
      </c>
      <c r="S1678" s="20">
        <v>0.0</v>
      </c>
      <c r="T1678" s="6" t="s">
        <v>59</v>
      </c>
      <c r="U1678" s="6"/>
      <c r="V1678" s="6"/>
      <c r="W1678" s="6">
        <v>29.7869363</v>
      </c>
      <c r="X1678" s="6">
        <v>-95.18482</v>
      </c>
    </row>
    <row r="1679" ht="15.75" customHeight="1">
      <c r="A1679" s="6">
        <v>49202.0</v>
      </c>
      <c r="B1679" s="6">
        <v>2022.0</v>
      </c>
      <c r="C1679" s="6" t="str">
        <f t="shared" si="5"/>
        <v>5802 BELDART ST,Houston,Texas</v>
      </c>
      <c r="D1679" s="6" t="s">
        <v>2931</v>
      </c>
      <c r="E1679" s="6" t="s">
        <v>25</v>
      </c>
      <c r="F1679" s="6" t="s">
        <v>26</v>
      </c>
      <c r="G1679" s="6" t="s">
        <v>120</v>
      </c>
      <c r="H1679" s="6" t="s">
        <v>1724</v>
      </c>
      <c r="I1679" s="6" t="str">
        <f>VLOOKUP(H1679,'Flow Location'!$A$1:$B$21,2,FALSE)</f>
        <v>Storm Sewer (not contained)</v>
      </c>
      <c r="J1679" s="20">
        <v>129.0</v>
      </c>
      <c r="K1679" s="6" t="s">
        <v>29</v>
      </c>
      <c r="L1679" s="6" t="str">
        <f>VLOOKUP(K1679,'Structure type'!$A$1:$B$15,2,FALSE)</f>
        <v>Manhole</v>
      </c>
      <c r="M1679" s="6" t="s">
        <v>56</v>
      </c>
      <c r="N1679" s="6" t="str">
        <f>VLOOKUP(M1679,'Excursion Cause'!$A$1:$B$34,2,FALSE)</f>
        <v>Rags/Wipes</v>
      </c>
      <c r="O1679" s="21">
        <v>44795.0</v>
      </c>
      <c r="P1679" s="6" t="s">
        <v>1967</v>
      </c>
      <c r="Q1679" s="21">
        <v>44795.0</v>
      </c>
      <c r="R1679" s="6" t="s">
        <v>1554</v>
      </c>
      <c r="S1679" s="20">
        <v>1.0</v>
      </c>
      <c r="T1679" s="6" t="s">
        <v>2932</v>
      </c>
      <c r="U1679" s="6"/>
      <c r="V1679" s="6"/>
      <c r="W1679" s="6">
        <v>29.6615663</v>
      </c>
      <c r="X1679" s="6">
        <v>-95.3324481</v>
      </c>
    </row>
    <row r="1680" ht="15.75" customHeight="1">
      <c r="A1680" s="6">
        <v>49207.0</v>
      </c>
      <c r="B1680" s="6">
        <v>2022.0</v>
      </c>
      <c r="C1680" s="6" t="str">
        <f t="shared" si="5"/>
        <v>4707 RIDGEROD LN,Houston,Texas</v>
      </c>
      <c r="D1680" s="6" t="s">
        <v>2933</v>
      </c>
      <c r="E1680" s="6" t="s">
        <v>25</v>
      </c>
      <c r="F1680" s="6" t="s">
        <v>26</v>
      </c>
      <c r="G1680" s="6" t="s">
        <v>517</v>
      </c>
      <c r="H1680" s="6" t="s">
        <v>50</v>
      </c>
      <c r="I1680" s="6" t="str">
        <f>VLOOKUP(H1680,'Flow Location'!$A$1:$B$21,2,FALSE)</f>
        <v>Contained On Site, not within 5 ft. of Bayou/Surface Water/Drainage Ditch</v>
      </c>
      <c r="J1680" s="20">
        <v>58.0</v>
      </c>
      <c r="K1680" s="6" t="s">
        <v>29</v>
      </c>
      <c r="L1680" s="6" t="str">
        <f>VLOOKUP(K1680,'Structure type'!$A$1:$B$15,2,FALSE)</f>
        <v>Manhole</v>
      </c>
      <c r="M1680" s="6" t="s">
        <v>30</v>
      </c>
      <c r="N1680" s="6" t="str">
        <f>VLOOKUP(M1680,'Excursion Cause'!$A$1:$B$34,2,FALSE)</f>
        <v>Grease Blockage</v>
      </c>
      <c r="O1680" s="21">
        <v>44796.0</v>
      </c>
      <c r="P1680" s="6" t="s">
        <v>515</v>
      </c>
      <c r="Q1680" s="21">
        <v>44796.0</v>
      </c>
      <c r="R1680" s="6" t="s">
        <v>235</v>
      </c>
      <c r="S1680" s="20">
        <v>1.0</v>
      </c>
      <c r="T1680" s="6" t="s">
        <v>33</v>
      </c>
      <c r="U1680" s="6"/>
      <c r="V1680" s="6"/>
      <c r="W1680" s="6">
        <v>29.5872833</v>
      </c>
      <c r="X1680" s="6">
        <v>-95.4520889</v>
      </c>
    </row>
    <row r="1681" ht="15.75" customHeight="1">
      <c r="A1681" s="6">
        <v>49211.0</v>
      </c>
      <c r="B1681" s="6">
        <v>2022.0</v>
      </c>
      <c r="C1681" s="6" t="str">
        <f t="shared" si="5"/>
        <v>6410 MARTIN LUTHER KING
BLVD,Houston,Texas</v>
      </c>
      <c r="D1681" s="25" t="s">
        <v>2934</v>
      </c>
      <c r="E1681" s="6" t="s">
        <v>25</v>
      </c>
      <c r="F1681" s="6" t="s">
        <v>26</v>
      </c>
      <c r="G1681" s="6" t="s">
        <v>120</v>
      </c>
      <c r="H1681" s="6" t="s">
        <v>1724</v>
      </c>
      <c r="I1681" s="6" t="str">
        <f>VLOOKUP(H1681,'Flow Location'!$A$1:$B$21,2,FALSE)</f>
        <v>Storm Sewer (not contained)</v>
      </c>
      <c r="J1681" s="20">
        <v>51.0</v>
      </c>
      <c r="K1681" s="6" t="s">
        <v>29</v>
      </c>
      <c r="L1681" s="6" t="str">
        <f>VLOOKUP(K1681,'Structure type'!$A$1:$B$15,2,FALSE)</f>
        <v>Manhole</v>
      </c>
      <c r="M1681" s="6" t="s">
        <v>2935</v>
      </c>
      <c r="N1681" s="6" t="str">
        <f>VLOOKUP(M1681,'Excursion Cause'!$A$1:$B$34,2,FALSE)</f>
        <v>Grease Blockage</v>
      </c>
      <c r="O1681" s="21">
        <v>44796.0</v>
      </c>
      <c r="P1681" s="6" t="s">
        <v>1169</v>
      </c>
      <c r="Q1681" s="21">
        <v>44796.0</v>
      </c>
      <c r="R1681" s="6" t="s">
        <v>2936</v>
      </c>
      <c r="S1681" s="20">
        <v>1.0</v>
      </c>
      <c r="T1681" s="6" t="s">
        <v>2937</v>
      </c>
      <c r="U1681" s="6"/>
      <c r="V1681" s="6"/>
      <c r="W1681" s="6">
        <v>29.6848226</v>
      </c>
      <c r="X1681" s="6">
        <v>-95.3411147</v>
      </c>
    </row>
    <row r="1682" ht="15.75" customHeight="1">
      <c r="A1682" s="6">
        <v>49214.0</v>
      </c>
      <c r="B1682" s="6">
        <v>2022.0</v>
      </c>
      <c r="C1682" s="6" t="str">
        <f t="shared" si="5"/>
        <v>7502 BREEZEWAY ST,Houston,Texas</v>
      </c>
      <c r="D1682" s="6" t="s">
        <v>2938</v>
      </c>
      <c r="E1682" s="6" t="s">
        <v>25</v>
      </c>
      <c r="F1682" s="6" t="s">
        <v>26</v>
      </c>
      <c r="G1682" s="6" t="s">
        <v>253</v>
      </c>
      <c r="H1682" s="6" t="s">
        <v>50</v>
      </c>
      <c r="I1682" s="6" t="str">
        <f>VLOOKUP(H1682,'Flow Location'!$A$1:$B$21,2,FALSE)</f>
        <v>Contained On Site, not within 5 ft. of Bayou/Surface Water/Drainage Ditch</v>
      </c>
      <c r="J1682" s="20">
        <v>0.0</v>
      </c>
      <c r="K1682" s="6" t="s">
        <v>29</v>
      </c>
      <c r="L1682" s="6" t="str">
        <f>VLOOKUP(K1682,'Structure type'!$A$1:$B$15,2,FALSE)</f>
        <v>Manhole</v>
      </c>
      <c r="M1682" s="6" t="s">
        <v>30</v>
      </c>
      <c r="N1682" s="6" t="str">
        <f>VLOOKUP(M1682,'Excursion Cause'!$A$1:$B$34,2,FALSE)</f>
        <v>Grease Blockage</v>
      </c>
      <c r="O1682" s="21">
        <v>44797.0</v>
      </c>
      <c r="P1682" s="6" t="s">
        <v>1265</v>
      </c>
      <c r="Q1682" s="21">
        <v>44797.0</v>
      </c>
      <c r="R1682" s="6" t="s">
        <v>1378</v>
      </c>
      <c r="S1682" s="20">
        <v>0.0</v>
      </c>
      <c r="T1682" s="6" t="s">
        <v>59</v>
      </c>
      <c r="U1682" s="6"/>
      <c r="V1682" s="6"/>
      <c r="W1682" s="6">
        <v>29.8753612</v>
      </c>
      <c r="X1682" s="6">
        <v>-95.5036767</v>
      </c>
    </row>
    <row r="1683" ht="15.75" customHeight="1">
      <c r="A1683" s="6">
        <v>49220.0</v>
      </c>
      <c r="B1683" s="6">
        <v>2022.0</v>
      </c>
      <c r="C1683" s="6" t="str">
        <f t="shared" si="5"/>
        <v>3002 HAZEL PARK DR,Houston,Texas</v>
      </c>
      <c r="D1683" s="6" t="s">
        <v>2939</v>
      </c>
      <c r="E1683" s="6" t="s">
        <v>25</v>
      </c>
      <c r="F1683" s="6" t="s">
        <v>26</v>
      </c>
      <c r="G1683" s="6" t="s">
        <v>313</v>
      </c>
      <c r="H1683" s="6" t="s">
        <v>1724</v>
      </c>
      <c r="I1683" s="6" t="str">
        <f>VLOOKUP(H1683,'Flow Location'!$A$1:$B$21,2,FALSE)</f>
        <v>Storm Sewer (not contained)</v>
      </c>
      <c r="J1683" s="20">
        <v>476.0</v>
      </c>
      <c r="K1683" s="6" t="s">
        <v>29</v>
      </c>
      <c r="L1683" s="6" t="str">
        <f>VLOOKUP(K1683,'Structure type'!$A$1:$B$15,2,FALSE)</f>
        <v>Manhole</v>
      </c>
      <c r="M1683" s="6" t="s">
        <v>2940</v>
      </c>
      <c r="N1683" s="6" t="str">
        <f>VLOOKUP(M1683,'Excursion Cause'!$A$1:$B$34,2,FALSE)</f>
        <v>Grease Blockage</v>
      </c>
      <c r="O1683" s="21">
        <v>44798.0</v>
      </c>
      <c r="P1683" s="6" t="s">
        <v>884</v>
      </c>
      <c r="Q1683" s="21">
        <v>44798.0</v>
      </c>
      <c r="R1683" s="6" t="s">
        <v>2170</v>
      </c>
      <c r="S1683" s="20">
        <v>4.0</v>
      </c>
      <c r="T1683" s="6" t="s">
        <v>2941</v>
      </c>
      <c r="U1683" s="6"/>
      <c r="V1683" s="6"/>
      <c r="W1683" s="6">
        <v>29.7270662</v>
      </c>
      <c r="X1683" s="6">
        <v>-95.620441</v>
      </c>
    </row>
    <row r="1684" ht="15.75" customHeight="1">
      <c r="A1684" s="6">
        <v>49221.0</v>
      </c>
      <c r="B1684" s="6">
        <v>2022.0</v>
      </c>
      <c r="C1684" s="6" t="str">
        <f t="shared" si="5"/>
        <v>3003 HAZEL PARK DR,Houston,Texas</v>
      </c>
      <c r="D1684" s="6" t="s">
        <v>2942</v>
      </c>
      <c r="E1684" s="6" t="s">
        <v>25</v>
      </c>
      <c r="F1684" s="6" t="s">
        <v>26</v>
      </c>
      <c r="G1684" s="6" t="s">
        <v>313</v>
      </c>
      <c r="H1684" s="6" t="s">
        <v>1724</v>
      </c>
      <c r="I1684" s="6" t="str">
        <f>VLOOKUP(H1684,'Flow Location'!$A$1:$B$21,2,FALSE)</f>
        <v>Storm Sewer (not contained)</v>
      </c>
      <c r="J1684" s="20">
        <v>300.0</v>
      </c>
      <c r="K1684" s="6" t="s">
        <v>29</v>
      </c>
      <c r="L1684" s="6" t="str">
        <f>VLOOKUP(K1684,'Structure type'!$A$1:$B$15,2,FALSE)</f>
        <v>Manhole</v>
      </c>
      <c r="M1684" s="6" t="s">
        <v>2943</v>
      </c>
      <c r="N1684" s="6" t="str">
        <f>VLOOKUP(M1684,'Excursion Cause'!$A$1:$B$34,2,FALSE)</f>
        <v>Grease Blockage</v>
      </c>
      <c r="O1684" s="21">
        <v>44799.0</v>
      </c>
      <c r="P1684" s="6" t="s">
        <v>1145</v>
      </c>
      <c r="Q1684" s="21">
        <v>44799.0</v>
      </c>
      <c r="R1684" s="6" t="s">
        <v>711</v>
      </c>
      <c r="S1684" s="20">
        <v>20.0</v>
      </c>
      <c r="T1684" s="6" t="s">
        <v>2944</v>
      </c>
      <c r="U1684" s="6"/>
      <c r="V1684" s="6"/>
      <c r="W1684" s="6">
        <v>29.7270369</v>
      </c>
      <c r="X1684" s="6">
        <v>-95.619972</v>
      </c>
    </row>
    <row r="1685" ht="15.75" customHeight="1">
      <c r="A1685" s="6">
        <v>49225.0</v>
      </c>
      <c r="B1685" s="6">
        <v>2022.0</v>
      </c>
      <c r="C1685" s="6" t="str">
        <f t="shared" si="5"/>
        <v>5320 ANTOINE DR,Houston,Texas</v>
      </c>
      <c r="D1685" s="6" t="s">
        <v>2945</v>
      </c>
      <c r="E1685" s="6" t="s">
        <v>25</v>
      </c>
      <c r="F1685" s="6" t="s">
        <v>26</v>
      </c>
      <c r="G1685" s="6" t="s">
        <v>222</v>
      </c>
      <c r="H1685" s="6" t="s">
        <v>1724</v>
      </c>
      <c r="I1685" s="6" t="str">
        <f>VLOOKUP(H1685,'Flow Location'!$A$1:$B$21,2,FALSE)</f>
        <v>Storm Sewer (not contained)</v>
      </c>
      <c r="J1685" s="20">
        <v>420.0</v>
      </c>
      <c r="K1685" s="6" t="s">
        <v>29</v>
      </c>
      <c r="L1685" s="6" t="str">
        <f>VLOOKUP(K1685,'Structure type'!$A$1:$B$15,2,FALSE)</f>
        <v>Manhole</v>
      </c>
      <c r="M1685" s="6" t="s">
        <v>2946</v>
      </c>
      <c r="N1685" s="6" t="str">
        <f>VLOOKUP(M1685,'Excursion Cause'!$A$1:$B$34,2,FALSE)</f>
        <v>Grease Blockage</v>
      </c>
      <c r="O1685" s="21">
        <v>44799.0</v>
      </c>
      <c r="P1685" s="6" t="s">
        <v>777</v>
      </c>
      <c r="Q1685" s="21">
        <v>44799.0</v>
      </c>
      <c r="R1685" s="6" t="s">
        <v>973</v>
      </c>
      <c r="S1685" s="20">
        <v>1.0</v>
      </c>
      <c r="T1685" s="6" t="s">
        <v>2947</v>
      </c>
      <c r="U1685" s="6"/>
      <c r="V1685" s="6"/>
      <c r="W1685" s="6">
        <v>29.8414694</v>
      </c>
      <c r="X1685" s="6">
        <v>-95.4727432</v>
      </c>
    </row>
    <row r="1686" ht="15.75" customHeight="1">
      <c r="A1686" s="6">
        <v>49227.0</v>
      </c>
      <c r="B1686" s="6">
        <v>2022.0</v>
      </c>
      <c r="C1686" s="6" t="str">
        <f t="shared" si="5"/>
        <v>2608 STANFORD ST,Houston,Texas</v>
      </c>
      <c r="D1686" s="6" t="s">
        <v>2948</v>
      </c>
      <c r="E1686" s="6" t="s">
        <v>25</v>
      </c>
      <c r="F1686" s="6" t="s">
        <v>26</v>
      </c>
      <c r="G1686" s="6" t="s">
        <v>761</v>
      </c>
      <c r="H1686" s="6" t="s">
        <v>28</v>
      </c>
      <c r="I1686" s="6" t="str">
        <f>VLOOKUP(H1686,'Flow Location'!$A$1:$B$21,2,FALSE)</f>
        <v>Storm Sewer (not contained)</v>
      </c>
      <c r="J1686" s="20">
        <v>345.0</v>
      </c>
      <c r="K1686" s="6" t="s">
        <v>198</v>
      </c>
      <c r="L1686" s="6" t="str">
        <f>VLOOKUP(K1686,'Structure type'!$A$1:$B$15,2,FALSE)</f>
        <v>Service Lateral</v>
      </c>
      <c r="M1686" s="6" t="s">
        <v>2949</v>
      </c>
      <c r="N1686" s="6" t="str">
        <f>VLOOKUP(M1686,'Excursion Cause'!$A$1:$B$34,2,FALSE)</f>
        <v>Collection system structural failure</v>
      </c>
      <c r="O1686" s="21">
        <v>44799.0</v>
      </c>
      <c r="P1686" s="6" t="s">
        <v>856</v>
      </c>
      <c r="Q1686" s="21">
        <v>44799.0</v>
      </c>
      <c r="R1686" s="6" t="s">
        <v>2659</v>
      </c>
      <c r="S1686" s="20">
        <v>3.0</v>
      </c>
      <c r="T1686" s="6" t="s">
        <v>54</v>
      </c>
      <c r="U1686" s="6"/>
      <c r="V1686" s="6"/>
      <c r="W1686" s="6">
        <v>29.7462633</v>
      </c>
      <c r="X1686" s="6">
        <v>-95.3891774</v>
      </c>
    </row>
    <row r="1687" ht="15.75" customHeight="1">
      <c r="A1687" s="6">
        <v>49229.0</v>
      </c>
      <c r="B1687" s="6">
        <v>2022.0</v>
      </c>
      <c r="C1687" s="6" t="str">
        <f t="shared" si="5"/>
        <v>7337 BONITA ST,Houston,Texas</v>
      </c>
      <c r="D1687" s="6" t="s">
        <v>2950</v>
      </c>
      <c r="E1687" s="6" t="s">
        <v>25</v>
      </c>
      <c r="F1687" s="6" t="s">
        <v>26</v>
      </c>
      <c r="G1687" s="6" t="s">
        <v>326</v>
      </c>
      <c r="H1687" s="6" t="s">
        <v>28</v>
      </c>
      <c r="I1687" s="6" t="str">
        <f>VLOOKUP(H1687,'Flow Location'!$A$1:$B$21,2,FALSE)</f>
        <v>Storm Sewer (not contained)</v>
      </c>
      <c r="J1687" s="20">
        <v>0.0</v>
      </c>
      <c r="K1687" s="6" t="s">
        <v>198</v>
      </c>
      <c r="L1687" s="6" t="str">
        <f>VLOOKUP(K1687,'Structure type'!$A$1:$B$15,2,FALSE)</f>
        <v>Service Lateral</v>
      </c>
      <c r="M1687" s="6" t="s">
        <v>2951</v>
      </c>
      <c r="N1687" s="6" t="str">
        <f>VLOOKUP(M1687,'Excursion Cause'!$A$1:$B$34,2,FALSE)</f>
        <v>Collection system structural blockage</v>
      </c>
      <c r="O1687" s="21">
        <v>44799.0</v>
      </c>
      <c r="P1687" s="6" t="s">
        <v>146</v>
      </c>
      <c r="Q1687" s="21">
        <v>44799.0</v>
      </c>
      <c r="R1687" s="6" t="s">
        <v>1047</v>
      </c>
      <c r="S1687" s="20">
        <v>0.0</v>
      </c>
      <c r="T1687" s="6" t="s">
        <v>170</v>
      </c>
      <c r="U1687" s="6"/>
      <c r="V1687" s="6"/>
      <c r="W1687" s="6">
        <v>29.8270337</v>
      </c>
      <c r="X1687" s="6">
        <v>-95.3239286</v>
      </c>
    </row>
    <row r="1688" ht="15.75" customHeight="1">
      <c r="A1688" s="6">
        <v>49235.0</v>
      </c>
      <c r="B1688" s="6">
        <v>2022.0</v>
      </c>
      <c r="C1688" s="6" t="str">
        <f t="shared" si="5"/>
        <v>7310 SHADY GROVE LN,Houston,Texas</v>
      </c>
      <c r="D1688" s="6" t="s">
        <v>2952</v>
      </c>
      <c r="E1688" s="6" t="s">
        <v>25</v>
      </c>
      <c r="F1688" s="6" t="s">
        <v>26</v>
      </c>
      <c r="G1688" s="6" t="s">
        <v>253</v>
      </c>
      <c r="H1688" s="6" t="s">
        <v>50</v>
      </c>
      <c r="I1688" s="6" t="str">
        <f>VLOOKUP(H1688,'Flow Location'!$A$1:$B$21,2,FALSE)</f>
        <v>Contained On Site, not within 5 ft. of Bayou/Surface Water/Drainage Ditch</v>
      </c>
      <c r="J1688" s="20">
        <v>0.0</v>
      </c>
      <c r="K1688" s="6" t="s">
        <v>29</v>
      </c>
      <c r="L1688" s="6" t="str">
        <f>VLOOKUP(K1688,'Structure type'!$A$1:$B$15,2,FALSE)</f>
        <v>Manhole</v>
      </c>
      <c r="M1688" s="6" t="s">
        <v>30</v>
      </c>
      <c r="N1688" s="6" t="str">
        <f>VLOOKUP(M1688,'Excursion Cause'!$A$1:$B$34,2,FALSE)</f>
        <v>Grease Blockage</v>
      </c>
      <c r="O1688" s="21">
        <v>44800.0</v>
      </c>
      <c r="P1688" s="6" t="s">
        <v>284</v>
      </c>
      <c r="Q1688" s="21">
        <v>44800.0</v>
      </c>
      <c r="R1688" s="6" t="s">
        <v>1294</v>
      </c>
      <c r="S1688" s="20">
        <v>0.0</v>
      </c>
      <c r="T1688" s="6" t="s">
        <v>59</v>
      </c>
      <c r="U1688" s="6"/>
      <c r="V1688" s="6"/>
      <c r="W1688" s="6">
        <v>29.8733777</v>
      </c>
      <c r="X1688" s="6">
        <v>-95.500375</v>
      </c>
    </row>
    <row r="1689" ht="15.75" customHeight="1">
      <c r="A1689" s="6">
        <v>49237.0</v>
      </c>
      <c r="B1689" s="6">
        <v>2022.0</v>
      </c>
      <c r="C1689" s="6" t="str">
        <f t="shared" si="5"/>
        <v>7118 S DAIRY ASHFORD ST,Houston,Texas</v>
      </c>
      <c r="D1689" s="6" t="s">
        <v>2953</v>
      </c>
      <c r="E1689" s="6" t="s">
        <v>25</v>
      </c>
      <c r="F1689" s="6" t="s">
        <v>26</v>
      </c>
      <c r="G1689" s="6" t="s">
        <v>91</v>
      </c>
      <c r="H1689" s="6" t="s">
        <v>2275</v>
      </c>
      <c r="I1689" s="6" t="str">
        <f>VLOOKUP(H1689,'Flow Location'!$A$1:$B$21,2,FALSE)</f>
        <v>Contained On Site, not within 5 ft. of Bayou/Surface Water/Drainage Ditch</v>
      </c>
      <c r="J1689" s="20">
        <v>0.0</v>
      </c>
      <c r="K1689" s="6" t="s">
        <v>51</v>
      </c>
      <c r="L1689" s="6" t="str">
        <f>VLOOKUP(K1689,'Structure type'!$A$1:$B$15,2,FALSE)</f>
        <v>Private Cleanout</v>
      </c>
      <c r="M1689" s="6" t="s">
        <v>30</v>
      </c>
      <c r="N1689" s="6" t="str">
        <f>VLOOKUP(M1689,'Excursion Cause'!$A$1:$B$34,2,FALSE)</f>
        <v>Grease Blockage</v>
      </c>
      <c r="O1689" s="21">
        <v>44801.0</v>
      </c>
      <c r="P1689" s="6" t="s">
        <v>2954</v>
      </c>
      <c r="Q1689" s="21">
        <v>44801.0</v>
      </c>
      <c r="R1689" s="6" t="s">
        <v>994</v>
      </c>
      <c r="S1689" s="20">
        <v>0.0</v>
      </c>
      <c r="T1689" s="6" t="s">
        <v>33</v>
      </c>
      <c r="U1689" s="6"/>
      <c r="V1689" s="6"/>
      <c r="W1689" s="6">
        <v>29.7000347</v>
      </c>
      <c r="X1689" s="6">
        <v>-95.6054426</v>
      </c>
    </row>
    <row r="1690" ht="15.75" customHeight="1">
      <c r="A1690" s="6">
        <v>49238.0</v>
      </c>
      <c r="B1690" s="6">
        <v>2022.0</v>
      </c>
      <c r="C1690" s="6" t="str">
        <f t="shared" si="5"/>
        <v>7002 ILEX ST,Houston,Texas</v>
      </c>
      <c r="D1690" s="6" t="s">
        <v>2955</v>
      </c>
      <c r="E1690" s="6" t="s">
        <v>25</v>
      </c>
      <c r="F1690" s="6" t="s">
        <v>26</v>
      </c>
      <c r="G1690" s="6" t="s">
        <v>35</v>
      </c>
      <c r="H1690" s="6" t="s">
        <v>1724</v>
      </c>
      <c r="I1690" s="6" t="str">
        <f>VLOOKUP(H1690,'Flow Location'!$A$1:$B$21,2,FALSE)</f>
        <v>Storm Sewer (not contained)</v>
      </c>
      <c r="J1690" s="20">
        <v>194.0</v>
      </c>
      <c r="K1690" s="6" t="s">
        <v>29</v>
      </c>
      <c r="L1690" s="6" t="str">
        <f>VLOOKUP(K1690,'Structure type'!$A$1:$B$15,2,FALSE)</f>
        <v>Manhole</v>
      </c>
      <c r="M1690" s="6" t="s">
        <v>2956</v>
      </c>
      <c r="N1690" s="6" t="str">
        <f>VLOOKUP(M1690,'Excursion Cause'!$A$1:$B$34,2,FALSE)</f>
        <v>Grease Blockage</v>
      </c>
      <c r="O1690" s="21">
        <v>44801.0</v>
      </c>
      <c r="P1690" s="6" t="s">
        <v>2957</v>
      </c>
      <c r="Q1690" s="21">
        <v>44801.0</v>
      </c>
      <c r="R1690" s="6" t="s">
        <v>125</v>
      </c>
      <c r="S1690" s="20">
        <v>1.0</v>
      </c>
      <c r="T1690" s="6" t="s">
        <v>2958</v>
      </c>
      <c r="U1690" s="6"/>
      <c r="V1690" s="6"/>
      <c r="W1690" s="6">
        <v>29.7106568</v>
      </c>
      <c r="X1690" s="6">
        <v>-95.2944625</v>
      </c>
    </row>
    <row r="1691" ht="15.75" customHeight="1">
      <c r="A1691" s="6">
        <v>49243.0</v>
      </c>
      <c r="B1691" s="6">
        <v>2022.0</v>
      </c>
      <c r="C1691" s="6" t="str">
        <f t="shared" si="5"/>
        <v>13555 CULLEN BLVD,Houston,Texas</v>
      </c>
      <c r="D1691" s="6" t="s">
        <v>2959</v>
      </c>
      <c r="E1691" s="6" t="s">
        <v>25</v>
      </c>
      <c r="F1691" s="6" t="s">
        <v>26</v>
      </c>
      <c r="G1691" s="6" t="s">
        <v>301</v>
      </c>
      <c r="H1691" s="6" t="s">
        <v>1724</v>
      </c>
      <c r="I1691" s="6" t="str">
        <f>VLOOKUP(H1691,'Flow Location'!$A$1:$B$21,2,FALSE)</f>
        <v>Storm Sewer (not contained)</v>
      </c>
      <c r="J1691" s="20">
        <v>1388.0</v>
      </c>
      <c r="K1691" s="6" t="s">
        <v>29</v>
      </c>
      <c r="L1691" s="6" t="str">
        <f>VLOOKUP(K1691,'Structure type'!$A$1:$B$15,2,FALSE)</f>
        <v>Manhole</v>
      </c>
      <c r="M1691" s="6" t="s">
        <v>2960</v>
      </c>
      <c r="N1691" s="6" t="str">
        <f>VLOOKUP(M1691,'Excursion Cause'!$A$1:$B$34,2,FALSE)</f>
        <v>Grease Blockage</v>
      </c>
      <c r="O1691" s="21">
        <v>44802.0</v>
      </c>
      <c r="P1691" s="6" t="s">
        <v>2961</v>
      </c>
      <c r="Q1691" s="21">
        <v>44802.0</v>
      </c>
      <c r="R1691" s="6" t="s">
        <v>515</v>
      </c>
      <c r="S1691" s="20">
        <v>8.0</v>
      </c>
      <c r="T1691" s="6" t="s">
        <v>2962</v>
      </c>
      <c r="U1691" s="6"/>
      <c r="V1691" s="6"/>
      <c r="W1691" s="6">
        <v>29.6129441</v>
      </c>
      <c r="X1691" s="6">
        <v>-95.3542427</v>
      </c>
    </row>
    <row r="1692" ht="15.75" customHeight="1">
      <c r="A1692" s="6">
        <v>49244.0</v>
      </c>
      <c r="B1692" s="6">
        <v>2022.0</v>
      </c>
      <c r="C1692" s="6" t="str">
        <f t="shared" si="5"/>
        <v>4530 KINGSBURY ST,Houston,Texas</v>
      </c>
      <c r="D1692" s="6" t="s">
        <v>2366</v>
      </c>
      <c r="E1692" s="6" t="s">
        <v>25</v>
      </c>
      <c r="F1692" s="6" t="s">
        <v>26</v>
      </c>
      <c r="G1692" s="6" t="s">
        <v>238</v>
      </c>
      <c r="H1692" s="6" t="s">
        <v>50</v>
      </c>
      <c r="I1692" s="6" t="str">
        <f>VLOOKUP(H1692,'Flow Location'!$A$1:$B$21,2,FALSE)</f>
        <v>Contained On Site, not within 5 ft. of Bayou/Surface Water/Drainage Ditch</v>
      </c>
      <c r="J1692" s="20">
        <v>246.0</v>
      </c>
      <c r="K1692" s="6" t="s">
        <v>29</v>
      </c>
      <c r="L1692" s="6" t="str">
        <f>VLOOKUP(K1692,'Structure type'!$A$1:$B$15,2,FALSE)</f>
        <v>Manhole</v>
      </c>
      <c r="M1692" s="6" t="s">
        <v>30</v>
      </c>
      <c r="N1692" s="6" t="str">
        <f>VLOOKUP(M1692,'Excursion Cause'!$A$1:$B$34,2,FALSE)</f>
        <v>Grease Blockage</v>
      </c>
      <c r="O1692" s="21">
        <v>44802.0</v>
      </c>
      <c r="P1692" s="6" t="s">
        <v>1829</v>
      </c>
      <c r="Q1692" s="21">
        <v>44802.0</v>
      </c>
      <c r="R1692" s="6" t="s">
        <v>315</v>
      </c>
      <c r="S1692" s="20">
        <v>2.0</v>
      </c>
      <c r="T1692" s="6" t="s">
        <v>59</v>
      </c>
      <c r="U1692" s="6"/>
      <c r="V1692" s="6"/>
      <c r="W1692" s="6">
        <v>29.6973896</v>
      </c>
      <c r="X1692" s="6">
        <v>-95.3472854</v>
      </c>
    </row>
    <row r="1693" ht="15.75" customHeight="1">
      <c r="A1693" s="6">
        <v>49245.0</v>
      </c>
      <c r="B1693" s="6">
        <v>2022.0</v>
      </c>
      <c r="C1693" s="6" t="str">
        <f t="shared" si="5"/>
        <v>3936 HERALD ST,Houston,Texas</v>
      </c>
      <c r="D1693" s="6" t="s">
        <v>2963</v>
      </c>
      <c r="E1693" s="6" t="s">
        <v>25</v>
      </c>
      <c r="F1693" s="6" t="s">
        <v>26</v>
      </c>
      <c r="G1693" s="6" t="s">
        <v>247</v>
      </c>
      <c r="H1693" s="6" t="s">
        <v>2275</v>
      </c>
      <c r="I1693" s="6" t="str">
        <f>VLOOKUP(H1693,'Flow Location'!$A$1:$B$21,2,FALSE)</f>
        <v>Contained On Site, not within 5 ft. of Bayou/Surface Water/Drainage Ditch</v>
      </c>
      <c r="J1693" s="20">
        <v>0.0</v>
      </c>
      <c r="K1693" s="6" t="s">
        <v>45</v>
      </c>
      <c r="L1693" s="6" t="str">
        <f>VLOOKUP(K1693,'Structure type'!$A$1:$B$15,2,FALSE)</f>
        <v>City Cleanout</v>
      </c>
      <c r="M1693" s="6" t="s">
        <v>56</v>
      </c>
      <c r="N1693" s="6" t="str">
        <f>VLOOKUP(M1693,'Excursion Cause'!$A$1:$B$34,2,FALSE)</f>
        <v>Rags/Wipes</v>
      </c>
      <c r="O1693" s="21">
        <v>44802.0</v>
      </c>
      <c r="P1693" s="6" t="s">
        <v>282</v>
      </c>
      <c r="Q1693" s="21">
        <v>44802.0</v>
      </c>
      <c r="R1693" s="6" t="s">
        <v>363</v>
      </c>
      <c r="S1693" s="20">
        <v>0.0</v>
      </c>
      <c r="T1693" s="6" t="s">
        <v>74</v>
      </c>
      <c r="U1693" s="6"/>
      <c r="V1693" s="6"/>
      <c r="W1693" s="6">
        <v>29.7985974</v>
      </c>
      <c r="X1693" s="6">
        <v>-95.2773246</v>
      </c>
    </row>
    <row r="1694" ht="15.75" customHeight="1">
      <c r="A1694" s="6">
        <v>49247.0</v>
      </c>
      <c r="B1694" s="6">
        <v>2022.0</v>
      </c>
      <c r="C1694" s="6" t="str">
        <f t="shared" si="5"/>
        <v>9221 PAGEWOOD LN,Houston,Texas</v>
      </c>
      <c r="D1694" s="6" t="s">
        <v>2583</v>
      </c>
      <c r="E1694" s="6" t="s">
        <v>25</v>
      </c>
      <c r="F1694" s="6" t="s">
        <v>26</v>
      </c>
      <c r="G1694" s="6" t="s">
        <v>482</v>
      </c>
      <c r="H1694" s="6" t="s">
        <v>1724</v>
      </c>
      <c r="I1694" s="6" t="str">
        <f>VLOOKUP(H1694,'Flow Location'!$A$1:$B$21,2,FALSE)</f>
        <v>Storm Sewer (not contained)</v>
      </c>
      <c r="J1694" s="20">
        <v>116.0</v>
      </c>
      <c r="K1694" s="6" t="s">
        <v>29</v>
      </c>
      <c r="L1694" s="6" t="str">
        <f>VLOOKUP(K1694,'Structure type'!$A$1:$B$15,2,FALSE)</f>
        <v>Manhole</v>
      </c>
      <c r="M1694" s="6" t="s">
        <v>2964</v>
      </c>
      <c r="N1694" s="6" t="str">
        <f>VLOOKUP(M1694,'Excursion Cause'!$A$1:$B$34,2,FALSE)</f>
        <v>Grease Blockage</v>
      </c>
      <c r="O1694" s="21">
        <v>44802.0</v>
      </c>
      <c r="P1694" s="6" t="s">
        <v>565</v>
      </c>
      <c r="Q1694" s="21">
        <v>44802.0</v>
      </c>
      <c r="R1694" s="6" t="s">
        <v>367</v>
      </c>
      <c r="S1694" s="20">
        <v>1.0</v>
      </c>
      <c r="T1694" s="6" t="s">
        <v>2965</v>
      </c>
      <c r="U1694" s="6"/>
      <c r="V1694" s="6"/>
      <c r="W1694" s="6">
        <v>29.7247281</v>
      </c>
      <c r="X1694" s="6">
        <v>-95.5270588</v>
      </c>
    </row>
    <row r="1695" ht="15.75" customHeight="1">
      <c r="A1695" s="6">
        <v>49249.0</v>
      </c>
      <c r="B1695" s="6">
        <v>2022.0</v>
      </c>
      <c r="C1695" s="6" t="str">
        <f t="shared" si="5"/>
        <v>3707 WESLOW ST,Houston,Texas</v>
      </c>
      <c r="D1695" s="6" t="s">
        <v>2966</v>
      </c>
      <c r="E1695" s="6" t="s">
        <v>25</v>
      </c>
      <c r="F1695" s="6" t="s">
        <v>26</v>
      </c>
      <c r="G1695" s="6" t="s">
        <v>35</v>
      </c>
      <c r="H1695" s="6" t="s">
        <v>1724</v>
      </c>
      <c r="I1695" s="6" t="str">
        <f>VLOOKUP(H1695,'Flow Location'!$A$1:$B$21,2,FALSE)</f>
        <v>Storm Sewer (not contained)</v>
      </c>
      <c r="J1695" s="20">
        <v>592.0</v>
      </c>
      <c r="K1695" s="6" t="s">
        <v>29</v>
      </c>
      <c r="L1695" s="6" t="str">
        <f>VLOOKUP(K1695,'Structure type'!$A$1:$B$15,2,FALSE)</f>
        <v>Manhole</v>
      </c>
      <c r="M1695" s="6" t="s">
        <v>2967</v>
      </c>
      <c r="N1695" s="6" t="str">
        <f>VLOOKUP(M1695,'Excursion Cause'!$A$1:$B$34,2,FALSE)</f>
        <v>Grease Blockage</v>
      </c>
      <c r="O1695" s="21">
        <v>44803.0</v>
      </c>
      <c r="P1695" s="6" t="s">
        <v>103</v>
      </c>
      <c r="Q1695" s="21">
        <v>44803.0</v>
      </c>
      <c r="R1695" s="6" t="s">
        <v>791</v>
      </c>
      <c r="S1695" s="20">
        <v>2.0</v>
      </c>
      <c r="T1695" s="6" t="s">
        <v>2968</v>
      </c>
      <c r="U1695" s="6"/>
      <c r="V1695" s="6"/>
      <c r="W1695" s="6">
        <v>29.6946114</v>
      </c>
      <c r="X1695" s="6">
        <v>-95.3096991</v>
      </c>
    </row>
    <row r="1696" ht="15.75" customHeight="1">
      <c r="A1696" s="6">
        <v>49251.0</v>
      </c>
      <c r="B1696" s="6">
        <v>2022.0</v>
      </c>
      <c r="C1696" s="6" t="str">
        <f t="shared" si="5"/>
        <v>5763 HIRONDEL ST,Houston,Texas</v>
      </c>
      <c r="D1696" s="6" t="s">
        <v>2969</v>
      </c>
      <c r="E1696" s="6" t="s">
        <v>25</v>
      </c>
      <c r="F1696" s="6" t="s">
        <v>26</v>
      </c>
      <c r="G1696" s="6" t="s">
        <v>120</v>
      </c>
      <c r="H1696" s="6" t="s">
        <v>50</v>
      </c>
      <c r="I1696" s="6" t="str">
        <f>VLOOKUP(H1696,'Flow Location'!$A$1:$B$21,2,FALSE)</f>
        <v>Contained On Site, not within 5 ft. of Bayou/Surface Water/Drainage Ditch</v>
      </c>
      <c r="J1696" s="20">
        <v>0.0</v>
      </c>
      <c r="K1696" s="6" t="s">
        <v>29</v>
      </c>
      <c r="L1696" s="6" t="str">
        <f>VLOOKUP(K1696,'Structure type'!$A$1:$B$15,2,FALSE)</f>
        <v>Manhole</v>
      </c>
      <c r="M1696" s="6" t="s">
        <v>30</v>
      </c>
      <c r="N1696" s="6" t="str">
        <f>VLOOKUP(M1696,'Excursion Cause'!$A$1:$B$34,2,FALSE)</f>
        <v>Grease Blockage</v>
      </c>
      <c r="O1696" s="21">
        <v>44803.0</v>
      </c>
      <c r="P1696" s="6" t="s">
        <v>352</v>
      </c>
      <c r="Q1696" s="21">
        <v>44803.0</v>
      </c>
      <c r="R1696" s="6" t="s">
        <v>684</v>
      </c>
      <c r="S1696" s="20">
        <v>0.0</v>
      </c>
      <c r="T1696" s="6" t="s">
        <v>33</v>
      </c>
      <c r="U1696" s="6"/>
      <c r="V1696" s="6"/>
      <c r="W1696" s="6">
        <v>29.6579034</v>
      </c>
      <c r="X1696" s="6">
        <v>-95.3338379</v>
      </c>
    </row>
    <row r="1697" ht="15.75" customHeight="1">
      <c r="A1697" s="6">
        <v>49259.0</v>
      </c>
      <c r="B1697" s="6">
        <v>2022.0</v>
      </c>
      <c r="C1697" s="6" t="str">
        <f t="shared" si="5"/>
        <v>13439 CULLEN BLVD,Houston,Texas</v>
      </c>
      <c r="D1697" s="6" t="s">
        <v>2970</v>
      </c>
      <c r="E1697" s="6" t="s">
        <v>25</v>
      </c>
      <c r="F1697" s="6" t="s">
        <v>26</v>
      </c>
      <c r="G1697" s="6" t="s">
        <v>419</v>
      </c>
      <c r="H1697" s="6" t="s">
        <v>1724</v>
      </c>
      <c r="I1697" s="6" t="str">
        <f>VLOOKUP(H1697,'Flow Location'!$A$1:$B$21,2,FALSE)</f>
        <v>Storm Sewer (not contained)</v>
      </c>
      <c r="J1697" s="20">
        <v>204.0</v>
      </c>
      <c r="K1697" s="6" t="s">
        <v>29</v>
      </c>
      <c r="L1697" s="6" t="str">
        <f>VLOOKUP(K1697,'Structure type'!$A$1:$B$15,2,FALSE)</f>
        <v>Manhole</v>
      </c>
      <c r="M1697" s="6" t="s">
        <v>2971</v>
      </c>
      <c r="N1697" s="6" t="str">
        <f>VLOOKUP(M1697,'Excursion Cause'!$A$1:$B$34,2,FALSE)</f>
        <v>Grease Blockage</v>
      </c>
      <c r="O1697" s="21">
        <v>44804.0</v>
      </c>
      <c r="P1697" s="6" t="s">
        <v>2972</v>
      </c>
      <c r="Q1697" s="21">
        <v>44804.0</v>
      </c>
      <c r="R1697" s="6" t="s">
        <v>169</v>
      </c>
      <c r="S1697" s="20">
        <v>1.0</v>
      </c>
      <c r="T1697" s="6" t="s">
        <v>2973</v>
      </c>
      <c r="U1697" s="6"/>
      <c r="V1697" s="6"/>
      <c r="W1697" s="6">
        <v>29.6139824</v>
      </c>
      <c r="X1697" s="6">
        <v>-95.3546559</v>
      </c>
    </row>
    <row r="1698" ht="15.75" customHeight="1">
      <c r="A1698" s="6">
        <v>49260.0</v>
      </c>
      <c r="B1698" s="6">
        <v>2022.0</v>
      </c>
      <c r="C1698" s="6" t="str">
        <f t="shared" si="5"/>
        <v>8210 TARBELL RD,Houston,Texas</v>
      </c>
      <c r="D1698" s="6" t="s">
        <v>1492</v>
      </c>
      <c r="E1698" s="6" t="s">
        <v>25</v>
      </c>
      <c r="F1698" s="6" t="s">
        <v>26</v>
      </c>
      <c r="G1698" s="6" t="s">
        <v>49</v>
      </c>
      <c r="H1698" s="6" t="s">
        <v>50</v>
      </c>
      <c r="I1698" s="6" t="str">
        <f>VLOOKUP(H1698,'Flow Location'!$A$1:$B$21,2,FALSE)</f>
        <v>Contained On Site, not within 5 ft. of Bayou/Surface Water/Drainage Ditch</v>
      </c>
      <c r="J1698" s="20">
        <v>0.0</v>
      </c>
      <c r="K1698" s="6" t="s">
        <v>51</v>
      </c>
      <c r="L1698" s="6" t="str">
        <f>VLOOKUP(K1698,'Structure type'!$A$1:$B$15,2,FALSE)</f>
        <v>Private Cleanout</v>
      </c>
      <c r="M1698" s="6" t="s">
        <v>30</v>
      </c>
      <c r="N1698" s="6" t="str">
        <f>VLOOKUP(M1698,'Excursion Cause'!$A$1:$B$34,2,FALSE)</f>
        <v>Grease Blockage</v>
      </c>
      <c r="O1698" s="21">
        <v>44804.0</v>
      </c>
      <c r="P1698" s="6" t="s">
        <v>280</v>
      </c>
      <c r="Q1698" s="21">
        <v>44804.0</v>
      </c>
      <c r="R1698" s="6" t="s">
        <v>318</v>
      </c>
      <c r="S1698" s="20">
        <v>0.0</v>
      </c>
      <c r="T1698" s="6" t="s">
        <v>59</v>
      </c>
      <c r="U1698" s="6"/>
      <c r="V1698" s="6"/>
      <c r="W1698" s="6">
        <v>29.6397788</v>
      </c>
      <c r="X1698" s="6">
        <v>-95.2241187</v>
      </c>
    </row>
    <row r="1699" ht="15.75" customHeight="1">
      <c r="A1699" s="6">
        <v>49261.0</v>
      </c>
      <c r="B1699" s="6">
        <v>2022.0</v>
      </c>
      <c r="C1699" s="6" t="str">
        <f t="shared" si="5"/>
        <v>6446 OLD CHATHAM LN,Houston,Texas</v>
      </c>
      <c r="D1699" s="6" t="s">
        <v>2974</v>
      </c>
      <c r="E1699" s="6" t="s">
        <v>25</v>
      </c>
      <c r="F1699" s="6" t="s">
        <v>26</v>
      </c>
      <c r="G1699" s="6" t="s">
        <v>127</v>
      </c>
      <c r="H1699" s="6" t="s">
        <v>2275</v>
      </c>
      <c r="I1699" s="6" t="str">
        <f>VLOOKUP(H1699,'Flow Location'!$A$1:$B$21,2,FALSE)</f>
        <v>Contained On Site, not within 5 ft. of Bayou/Surface Water/Drainage Ditch</v>
      </c>
      <c r="J1699" s="20">
        <v>0.0</v>
      </c>
      <c r="K1699" s="6" t="s">
        <v>29</v>
      </c>
      <c r="L1699" s="6" t="str">
        <f>VLOOKUP(K1699,'Structure type'!$A$1:$B$15,2,FALSE)</f>
        <v>Manhole</v>
      </c>
      <c r="M1699" s="6" t="s">
        <v>30</v>
      </c>
      <c r="N1699" s="6" t="str">
        <f>VLOOKUP(M1699,'Excursion Cause'!$A$1:$B$34,2,FALSE)</f>
        <v>Grease Blockage</v>
      </c>
      <c r="O1699" s="21">
        <v>44804.0</v>
      </c>
      <c r="P1699" s="6" t="s">
        <v>2147</v>
      </c>
      <c r="Q1699" s="21">
        <v>44804.0</v>
      </c>
      <c r="R1699" s="6" t="s">
        <v>348</v>
      </c>
      <c r="S1699" s="20">
        <v>0.0</v>
      </c>
      <c r="T1699" s="6" t="s">
        <v>59</v>
      </c>
      <c r="U1699" s="6"/>
      <c r="V1699" s="6"/>
      <c r="W1699" s="6">
        <v>29.6476422</v>
      </c>
      <c r="X1699" s="6">
        <v>-95.5047293</v>
      </c>
    </row>
    <row r="1700" ht="15.75" customHeight="1">
      <c r="A1700" s="6">
        <v>49264.0</v>
      </c>
      <c r="B1700" s="6">
        <v>2022.0</v>
      </c>
      <c r="C1700" s="6" t="str">
        <f t="shared" si="5"/>
        <v>7930 HOMEWOOD LN,Houston,Texas</v>
      </c>
      <c r="D1700" s="6" t="s">
        <v>1418</v>
      </c>
      <c r="E1700" s="6" t="s">
        <v>25</v>
      </c>
      <c r="F1700" s="6" t="s">
        <v>26</v>
      </c>
      <c r="G1700" s="6" t="s">
        <v>177</v>
      </c>
      <c r="H1700" s="6" t="s">
        <v>50</v>
      </c>
      <c r="I1700" s="6" t="str">
        <f>VLOOKUP(H1700,'Flow Location'!$A$1:$B$21,2,FALSE)</f>
        <v>Contained On Site, not within 5 ft. of Bayou/Surface Water/Drainage Ditch</v>
      </c>
      <c r="J1700" s="20">
        <v>0.0</v>
      </c>
      <c r="K1700" s="6" t="s">
        <v>45</v>
      </c>
      <c r="L1700" s="6" t="str">
        <f>VLOOKUP(K1700,'Structure type'!$A$1:$B$15,2,FALSE)</f>
        <v>City Cleanout</v>
      </c>
      <c r="M1700" s="6" t="s">
        <v>56</v>
      </c>
      <c r="N1700" s="6" t="str">
        <f>VLOOKUP(M1700,'Excursion Cause'!$A$1:$B$34,2,FALSE)</f>
        <v>Rags/Wipes</v>
      </c>
      <c r="O1700" s="21">
        <v>44804.0</v>
      </c>
      <c r="P1700" s="6" t="s">
        <v>884</v>
      </c>
      <c r="Q1700" s="21">
        <v>44804.0</v>
      </c>
      <c r="R1700" s="6" t="s">
        <v>2125</v>
      </c>
      <c r="S1700" s="20">
        <v>0.0</v>
      </c>
      <c r="T1700" s="6" t="s">
        <v>270</v>
      </c>
      <c r="U1700" s="6"/>
      <c r="V1700" s="6"/>
      <c r="W1700" s="6">
        <v>29.8420705</v>
      </c>
      <c r="X1700" s="6">
        <v>-95.2829177</v>
      </c>
    </row>
    <row r="1701" ht="15.75" customHeight="1">
      <c r="A1701" s="6">
        <v>49267.0</v>
      </c>
      <c r="B1701" s="6">
        <v>2022.0</v>
      </c>
      <c r="C1701" s="6" t="str">
        <f t="shared" si="5"/>
        <v>5714 JESSAMINE ST,Houston,Texas</v>
      </c>
      <c r="D1701" s="25" t="s">
        <v>2975</v>
      </c>
      <c r="E1701" s="6" t="s">
        <v>25</v>
      </c>
      <c r="F1701" s="6" t="s">
        <v>26</v>
      </c>
      <c r="G1701" s="6" t="s">
        <v>287</v>
      </c>
      <c r="H1701" s="6" t="s">
        <v>2275</v>
      </c>
      <c r="I1701" s="6" t="str">
        <f>VLOOKUP(H1701,'Flow Location'!$A$1:$B$21,2,FALSE)</f>
        <v>Contained On Site, not within 5 ft. of Bayou/Surface Water/Drainage Ditch</v>
      </c>
      <c r="J1701" s="20">
        <v>490.0</v>
      </c>
      <c r="K1701" s="6" t="s">
        <v>2976</v>
      </c>
      <c r="L1701" s="6" t="str">
        <f>VLOOKUP(K1701,'Structure type'!$A$1:$B$15,2,FALSE)</f>
        <v>Force Main</v>
      </c>
      <c r="M1701" s="6" t="s">
        <v>2977</v>
      </c>
      <c r="N1701" s="6" t="str">
        <f>VLOOKUP(M1701,'Excursion Cause'!$A$1:$B$34,2,FALSE)</f>
        <v>Air Relief Valve (ARV) Failure</v>
      </c>
      <c r="O1701" s="21">
        <v>44805.0</v>
      </c>
      <c r="P1701" s="6" t="s">
        <v>1894</v>
      </c>
      <c r="Q1701" s="21">
        <v>44805.0</v>
      </c>
      <c r="R1701" s="6" t="s">
        <v>175</v>
      </c>
      <c r="S1701" s="20">
        <v>2.0</v>
      </c>
      <c r="T1701" s="6" t="s">
        <v>2978</v>
      </c>
      <c r="U1701" s="6"/>
      <c r="V1701" s="6"/>
      <c r="W1701" s="6">
        <v>29.7021107</v>
      </c>
      <c r="X1701" s="6">
        <v>-95.4818255</v>
      </c>
    </row>
    <row r="1702" ht="15.75" customHeight="1">
      <c r="A1702" s="6">
        <v>49268.0</v>
      </c>
      <c r="B1702" s="6">
        <v>2022.0</v>
      </c>
      <c r="C1702" s="6" t="str">
        <f t="shared" si="5"/>
        <v>9221 PAGEWOOD LN,Houston,Texas</v>
      </c>
      <c r="D1702" s="6" t="s">
        <v>2583</v>
      </c>
      <c r="E1702" s="6" t="s">
        <v>25</v>
      </c>
      <c r="F1702" s="6" t="s">
        <v>26</v>
      </c>
      <c r="G1702" s="6" t="s">
        <v>482</v>
      </c>
      <c r="H1702" s="6" t="s">
        <v>1724</v>
      </c>
      <c r="I1702" s="6" t="str">
        <f>VLOOKUP(H1702,'Flow Location'!$A$1:$B$21,2,FALSE)</f>
        <v>Storm Sewer (not contained)</v>
      </c>
      <c r="J1702" s="20">
        <v>348.0</v>
      </c>
      <c r="K1702" s="6" t="s">
        <v>29</v>
      </c>
      <c r="L1702" s="6" t="str">
        <f>VLOOKUP(K1702,'Structure type'!$A$1:$B$15,2,FALSE)</f>
        <v>Manhole</v>
      </c>
      <c r="M1702" s="6" t="s">
        <v>2979</v>
      </c>
      <c r="N1702" s="6" t="str">
        <f>VLOOKUP(M1702,'Excursion Cause'!$A$1:$B$34,2,FALSE)</f>
        <v>Grease Blockage</v>
      </c>
      <c r="O1702" s="21">
        <v>44802.0</v>
      </c>
      <c r="P1702" s="6" t="s">
        <v>565</v>
      </c>
      <c r="Q1702" s="21">
        <v>44802.0</v>
      </c>
      <c r="R1702" s="6" t="s">
        <v>367</v>
      </c>
      <c r="S1702" s="20">
        <v>3.0</v>
      </c>
      <c r="T1702" s="6" t="s">
        <v>2980</v>
      </c>
      <c r="U1702" s="6"/>
      <c r="V1702" s="6"/>
      <c r="W1702" s="6">
        <v>29.7247281</v>
      </c>
      <c r="X1702" s="6">
        <v>-95.5270588</v>
      </c>
    </row>
    <row r="1703" ht="15.75" customHeight="1">
      <c r="A1703" s="6">
        <v>49269.0</v>
      </c>
      <c r="B1703" s="6">
        <v>2022.0</v>
      </c>
      <c r="C1703" s="6" t="str">
        <f t="shared" si="5"/>
        <v>15507 WESTWARD LAKE LN,Houston,Texas</v>
      </c>
      <c r="D1703" s="25" t="s">
        <v>2981</v>
      </c>
      <c r="E1703" s="6" t="s">
        <v>25</v>
      </c>
      <c r="F1703" s="6" t="s">
        <v>26</v>
      </c>
      <c r="G1703" s="6" t="s">
        <v>2982</v>
      </c>
      <c r="H1703" s="6" t="s">
        <v>50</v>
      </c>
      <c r="I1703" s="6" t="str">
        <f>VLOOKUP(H1703,'Flow Location'!$A$1:$B$21,2,FALSE)</f>
        <v>Contained On Site, not within 5 ft. of Bayou/Surface Water/Drainage Ditch</v>
      </c>
      <c r="J1703" s="20">
        <v>800.0</v>
      </c>
      <c r="K1703" s="6" t="s">
        <v>29</v>
      </c>
      <c r="L1703" s="6" t="str">
        <f>VLOOKUP(K1703,'Structure type'!$A$1:$B$15,2,FALSE)</f>
        <v>Manhole</v>
      </c>
      <c r="M1703" s="6" t="s">
        <v>2983</v>
      </c>
      <c r="N1703" s="6" t="str">
        <f>VLOOKUP(M1703,'Excursion Cause'!$A$1:$B$34,2,FALSE)</f>
        <v>Grease Blockage</v>
      </c>
      <c r="O1703" s="21">
        <v>44805.0</v>
      </c>
      <c r="P1703" s="6" t="s">
        <v>298</v>
      </c>
      <c r="Q1703" s="21">
        <v>44805.0</v>
      </c>
      <c r="R1703" s="6" t="s">
        <v>1605</v>
      </c>
      <c r="S1703" s="20">
        <v>5.0</v>
      </c>
      <c r="T1703" s="6" t="s">
        <v>2984</v>
      </c>
      <c r="U1703" s="6"/>
      <c r="V1703" s="6"/>
      <c r="W1703" s="6">
        <v>29.9450335</v>
      </c>
      <c r="X1703" s="6">
        <v>-95.1717808</v>
      </c>
    </row>
    <row r="1704" ht="15.75" customHeight="1">
      <c r="A1704" s="6">
        <v>49271.0</v>
      </c>
      <c r="B1704" s="6">
        <v>2022.0</v>
      </c>
      <c r="C1704" s="6" t="str">
        <f t="shared" si="5"/>
        <v>11703 HAZEN ST,Houston,Texas</v>
      </c>
      <c r="D1704" s="25" t="s">
        <v>2985</v>
      </c>
      <c r="E1704" s="6" t="s">
        <v>25</v>
      </c>
      <c r="F1704" s="6" t="s">
        <v>26</v>
      </c>
      <c r="G1704" s="6" t="s">
        <v>91</v>
      </c>
      <c r="H1704" s="6" t="s">
        <v>1724</v>
      </c>
      <c r="I1704" s="6" t="str">
        <f>VLOOKUP(H1704,'Flow Location'!$A$1:$B$21,2,FALSE)</f>
        <v>Storm Sewer (not contained)</v>
      </c>
      <c r="J1704" s="20">
        <v>60.0</v>
      </c>
      <c r="K1704" s="6" t="s">
        <v>29</v>
      </c>
      <c r="L1704" s="6" t="str">
        <f>VLOOKUP(K1704,'Structure type'!$A$1:$B$15,2,FALSE)</f>
        <v>Manhole</v>
      </c>
      <c r="M1704" s="6" t="s">
        <v>2986</v>
      </c>
      <c r="N1704" s="6" t="str">
        <f>VLOOKUP(M1704,'Excursion Cause'!$A$1:$B$34,2,FALSE)</f>
        <v>Grease Blockage</v>
      </c>
      <c r="O1704" s="21">
        <v>44805.0</v>
      </c>
      <c r="P1704" s="6" t="s">
        <v>786</v>
      </c>
      <c r="Q1704" s="21">
        <v>44805.0</v>
      </c>
      <c r="R1704" s="6" t="s">
        <v>380</v>
      </c>
      <c r="S1704" s="20">
        <v>1.0</v>
      </c>
      <c r="T1704" s="6" t="s">
        <v>2987</v>
      </c>
      <c r="U1704" s="6"/>
      <c r="V1704" s="6"/>
      <c r="W1704" s="6">
        <v>29.6900411</v>
      </c>
      <c r="X1704" s="6">
        <v>-95.5850402</v>
      </c>
    </row>
    <row r="1705" ht="15.75" customHeight="1">
      <c r="A1705" s="6">
        <v>49272.0</v>
      </c>
      <c r="B1705" s="6">
        <v>2022.0</v>
      </c>
      <c r="C1705" s="6" t="str">
        <f t="shared" si="5"/>
        <v>12725 WESTPARK DR,Houston,Texas</v>
      </c>
      <c r="D1705" s="25" t="s">
        <v>1455</v>
      </c>
      <c r="E1705" s="6" t="s">
        <v>25</v>
      </c>
      <c r="F1705" s="6" t="s">
        <v>26</v>
      </c>
      <c r="G1705" s="6" t="s">
        <v>313</v>
      </c>
      <c r="H1705" s="6" t="s">
        <v>50</v>
      </c>
      <c r="I1705" s="6" t="str">
        <f>VLOOKUP(H1705,'Flow Location'!$A$1:$B$21,2,FALSE)</f>
        <v>Contained On Site, not within 5 ft. of Bayou/Surface Water/Drainage Ditch</v>
      </c>
      <c r="J1705" s="20">
        <v>0.0</v>
      </c>
      <c r="K1705" s="6" t="s">
        <v>2988</v>
      </c>
      <c r="L1705" s="6" t="str">
        <f>VLOOKUP(K1705,'Structure type'!$A$1:$B$15,2,FALSE)</f>
        <v>Building Backup</v>
      </c>
      <c r="M1705" s="6" t="s">
        <v>2989</v>
      </c>
      <c r="N1705" s="6" t="str">
        <f>VLOOKUP(M1705,'Excursion Cause'!$A$1:$B$34,2,FALSE)</f>
        <v>Grease Blockage</v>
      </c>
      <c r="O1705" s="21">
        <v>44805.0</v>
      </c>
      <c r="P1705" s="6" t="s">
        <v>921</v>
      </c>
      <c r="Q1705" s="21">
        <v>44805.0</v>
      </c>
      <c r="R1705" s="6" t="s">
        <v>1159</v>
      </c>
      <c r="S1705" s="20">
        <v>0.0</v>
      </c>
      <c r="T1705" s="6" t="s">
        <v>2990</v>
      </c>
      <c r="U1705" s="6"/>
      <c r="V1705" s="6"/>
      <c r="W1705" s="6">
        <v>29.7231739</v>
      </c>
      <c r="X1705" s="6">
        <v>-95.6112321</v>
      </c>
    </row>
    <row r="1706" ht="15.75" customHeight="1">
      <c r="A1706" s="6">
        <v>49274.0</v>
      </c>
      <c r="B1706" s="6">
        <v>2022.0</v>
      </c>
      <c r="C1706" s="6" t="str">
        <f t="shared" si="5"/>
        <v>6800 SHAVELSON ST,Houston,Texas</v>
      </c>
      <c r="D1706" s="25" t="s">
        <v>1259</v>
      </c>
      <c r="E1706" s="6" t="s">
        <v>25</v>
      </c>
      <c r="F1706" s="6" t="s">
        <v>26</v>
      </c>
      <c r="G1706" s="6" t="s">
        <v>27</v>
      </c>
      <c r="H1706" s="6" t="s">
        <v>1724</v>
      </c>
      <c r="I1706" s="6" t="str">
        <f>VLOOKUP(H1706,'Flow Location'!$A$1:$B$21,2,FALSE)</f>
        <v>Storm Sewer (not contained)</v>
      </c>
      <c r="J1706" s="20">
        <v>40.0</v>
      </c>
      <c r="K1706" s="6" t="s">
        <v>29</v>
      </c>
      <c r="L1706" s="6" t="str">
        <f>VLOOKUP(K1706,'Structure type'!$A$1:$B$15,2,FALSE)</f>
        <v>Manhole</v>
      </c>
      <c r="M1706" s="6" t="s">
        <v>2991</v>
      </c>
      <c r="N1706" s="6" t="str">
        <f>VLOOKUP(M1706,'Excursion Cause'!$A$1:$B$34,2,FALSE)</f>
        <v>Grease Blockage</v>
      </c>
      <c r="O1706" s="21">
        <v>44806.0</v>
      </c>
      <c r="P1706" s="6" t="s">
        <v>643</v>
      </c>
      <c r="Q1706" s="21">
        <v>44806.0</v>
      </c>
      <c r="R1706" s="6" t="s">
        <v>428</v>
      </c>
      <c r="S1706" s="20">
        <v>1.0</v>
      </c>
      <c r="T1706" s="6" t="s">
        <v>2992</v>
      </c>
      <c r="U1706" s="6"/>
      <c r="V1706" s="6"/>
      <c r="W1706" s="6">
        <v>29.7872573</v>
      </c>
      <c r="X1706" s="6">
        <v>-95.4685044</v>
      </c>
    </row>
    <row r="1707" ht="15.75" customHeight="1">
      <c r="A1707" s="6">
        <v>49278.0</v>
      </c>
      <c r="B1707" s="6">
        <v>2022.0</v>
      </c>
      <c r="C1707" s="6" t="str">
        <f t="shared" si="5"/>
        <v>7429 LONG POINT RD,Houston,Texas</v>
      </c>
      <c r="D1707" s="25" t="s">
        <v>2252</v>
      </c>
      <c r="E1707" s="6" t="s">
        <v>25</v>
      </c>
      <c r="F1707" s="6" t="s">
        <v>26</v>
      </c>
      <c r="G1707" s="6" t="s">
        <v>27</v>
      </c>
      <c r="H1707" s="6" t="s">
        <v>50</v>
      </c>
      <c r="I1707" s="6" t="str">
        <f>VLOOKUP(H1707,'Flow Location'!$A$1:$B$21,2,FALSE)</f>
        <v>Contained On Site, not within 5 ft. of Bayou/Surface Water/Drainage Ditch</v>
      </c>
      <c r="J1707" s="20">
        <v>0.0</v>
      </c>
      <c r="K1707" s="6" t="s">
        <v>29</v>
      </c>
      <c r="L1707" s="6" t="str">
        <f>VLOOKUP(K1707,'Structure type'!$A$1:$B$15,2,FALSE)</f>
        <v>Manhole</v>
      </c>
      <c r="M1707" s="6" t="s">
        <v>2993</v>
      </c>
      <c r="N1707" s="6" t="str">
        <f>VLOOKUP(M1707,'Excursion Cause'!$A$1:$B$34,2,FALSE)</f>
        <v>Grease Blockage</v>
      </c>
      <c r="O1707" s="21">
        <v>44806.0</v>
      </c>
      <c r="P1707" s="6" t="s">
        <v>186</v>
      </c>
      <c r="Q1707" s="21">
        <v>44806.0</v>
      </c>
      <c r="R1707" s="6" t="s">
        <v>492</v>
      </c>
      <c r="S1707" s="20">
        <v>0.0</v>
      </c>
      <c r="T1707" s="6" t="s">
        <v>2994</v>
      </c>
      <c r="U1707" s="6"/>
      <c r="V1707" s="6"/>
      <c r="W1707" s="6">
        <v>29.8016813</v>
      </c>
      <c r="X1707" s="6">
        <v>-95.4773101</v>
      </c>
    </row>
    <row r="1708" ht="15.75" customHeight="1">
      <c r="A1708" s="6">
        <v>49279.0</v>
      </c>
      <c r="B1708" s="6">
        <v>2022.0</v>
      </c>
      <c r="C1708" s="6" t="str">
        <f t="shared" si="5"/>
        <v>3830 DARLINGHURST DR,Houston,Texas</v>
      </c>
      <c r="D1708" s="25" t="s">
        <v>1818</v>
      </c>
      <c r="E1708" s="6" t="s">
        <v>25</v>
      </c>
      <c r="F1708" s="6" t="s">
        <v>26</v>
      </c>
      <c r="G1708" s="6" t="s">
        <v>39</v>
      </c>
      <c r="H1708" s="6" t="s">
        <v>28</v>
      </c>
      <c r="I1708" s="6" t="str">
        <f>VLOOKUP(H1708,'Flow Location'!$A$1:$B$21,2,FALSE)</f>
        <v>Storm Sewer (not contained)</v>
      </c>
      <c r="J1708" s="20">
        <v>5684.0</v>
      </c>
      <c r="K1708" s="6" t="s">
        <v>29</v>
      </c>
      <c r="L1708" s="6" t="str">
        <f>VLOOKUP(K1708,'Structure type'!$A$1:$B$15,2,FALSE)</f>
        <v>Manhole</v>
      </c>
      <c r="M1708" s="6" t="s">
        <v>2995</v>
      </c>
      <c r="N1708" s="6" t="str">
        <f>VLOOKUP(M1708,'Excursion Cause'!$A$1:$B$34,2,FALSE)</f>
        <v>Collection system temporary blockage</v>
      </c>
      <c r="O1708" s="21">
        <v>44806.0</v>
      </c>
      <c r="P1708" s="6" t="s">
        <v>550</v>
      </c>
      <c r="Q1708" s="21">
        <v>44807.0</v>
      </c>
      <c r="R1708" s="6" t="s">
        <v>2197</v>
      </c>
      <c r="S1708" s="20">
        <v>7.0</v>
      </c>
      <c r="T1708" s="6" t="s">
        <v>2996</v>
      </c>
      <c r="U1708" s="6"/>
      <c r="V1708" s="6"/>
      <c r="W1708" s="6">
        <v>29.6242526</v>
      </c>
      <c r="X1708" s="6">
        <v>-95.4351572</v>
      </c>
    </row>
    <row r="1709" ht="15.75" customHeight="1">
      <c r="A1709" s="6">
        <v>49280.0</v>
      </c>
      <c r="B1709" s="6">
        <v>2022.0</v>
      </c>
      <c r="C1709" s="6" t="str">
        <f t="shared" si="5"/>
        <v>1401 ENCLAVE PKWY,Houston,Texas</v>
      </c>
      <c r="D1709" s="25" t="s">
        <v>2997</v>
      </c>
      <c r="E1709" s="6" t="s">
        <v>25</v>
      </c>
      <c r="F1709" s="6" t="s">
        <v>26</v>
      </c>
      <c r="G1709" s="6" t="s">
        <v>347</v>
      </c>
      <c r="H1709" s="6" t="s">
        <v>28</v>
      </c>
      <c r="I1709" s="6" t="str">
        <f>VLOOKUP(H1709,'Flow Location'!$A$1:$B$21,2,FALSE)</f>
        <v>Storm Sewer (not contained)</v>
      </c>
      <c r="J1709" s="20">
        <v>2730.0</v>
      </c>
      <c r="K1709" s="6" t="s">
        <v>2998</v>
      </c>
      <c r="L1709" s="6" t="str">
        <f>VLOOKUP(K1709,'Structure type'!$A$1:$B$15,2,FALSE)</f>
        <v>Force Main</v>
      </c>
      <c r="M1709" s="6" t="s">
        <v>2999</v>
      </c>
      <c r="N1709" s="6" t="str">
        <f>VLOOKUP(M1709,'Excursion Cause'!$A$1:$B$34,2,FALSE)</f>
        <v>Collection system structural failure</v>
      </c>
      <c r="O1709" s="21">
        <v>44806.0</v>
      </c>
      <c r="P1709" s="6" t="s">
        <v>529</v>
      </c>
      <c r="Q1709" s="21">
        <v>44812.0</v>
      </c>
      <c r="R1709" s="6" t="s">
        <v>490</v>
      </c>
      <c r="S1709" s="20">
        <v>0.0</v>
      </c>
      <c r="T1709" s="6" t="s">
        <v>3000</v>
      </c>
      <c r="U1709" s="6"/>
      <c r="V1709" s="6"/>
      <c r="W1709" s="6">
        <v>29.7582519</v>
      </c>
      <c r="X1709" s="6">
        <v>-95.6181152</v>
      </c>
    </row>
    <row r="1710" ht="15.75" customHeight="1">
      <c r="A1710" s="6">
        <v>49282.0</v>
      </c>
      <c r="B1710" s="6">
        <v>2022.0</v>
      </c>
      <c r="C1710" s="6" t="str">
        <f t="shared" si="5"/>
        <v>3206 TURNER DR,Houston,Texas</v>
      </c>
      <c r="D1710" s="25" t="s">
        <v>3001</v>
      </c>
      <c r="E1710" s="6" t="s">
        <v>25</v>
      </c>
      <c r="F1710" s="6" t="s">
        <v>26</v>
      </c>
      <c r="G1710" s="6" t="s">
        <v>109</v>
      </c>
      <c r="H1710" s="6" t="s">
        <v>2275</v>
      </c>
      <c r="I1710" s="6" t="str">
        <f>VLOOKUP(H1710,'Flow Location'!$A$1:$B$21,2,FALSE)</f>
        <v>Contained On Site, not within 5 ft. of Bayou/Surface Water/Drainage Ditch</v>
      </c>
      <c r="J1710" s="20">
        <v>0.0</v>
      </c>
      <c r="K1710" s="6" t="s">
        <v>29</v>
      </c>
      <c r="L1710" s="6" t="str">
        <f>VLOOKUP(K1710,'Structure type'!$A$1:$B$15,2,FALSE)</f>
        <v>Manhole</v>
      </c>
      <c r="M1710" s="6" t="s">
        <v>3002</v>
      </c>
      <c r="N1710" s="6" t="str">
        <f>VLOOKUP(M1710,'Excursion Cause'!$A$1:$B$34,2,FALSE)</f>
        <v>Grease Blockage</v>
      </c>
      <c r="O1710" s="21">
        <v>44807.0</v>
      </c>
      <c r="P1710" s="6" t="s">
        <v>560</v>
      </c>
      <c r="Q1710" s="21">
        <v>44807.0</v>
      </c>
      <c r="R1710" s="6" t="s">
        <v>341</v>
      </c>
      <c r="S1710" s="20">
        <v>0.0</v>
      </c>
      <c r="T1710" s="6" t="s">
        <v>3003</v>
      </c>
      <c r="U1710" s="6"/>
      <c r="V1710" s="6"/>
      <c r="W1710" s="6">
        <v>29.8489293</v>
      </c>
      <c r="X1710" s="6">
        <v>-95.3379874</v>
      </c>
    </row>
    <row r="1711" ht="15.75" customHeight="1">
      <c r="A1711" s="6">
        <v>49290.0</v>
      </c>
      <c r="B1711" s="6">
        <v>2022.0</v>
      </c>
      <c r="C1711" s="6" t="str">
        <f t="shared" si="5"/>
        <v>15600 BARKERS LANDING RD,Houston,Texas</v>
      </c>
      <c r="D1711" s="25" t="s">
        <v>3004</v>
      </c>
      <c r="E1711" s="6" t="s">
        <v>25</v>
      </c>
      <c r="F1711" s="6" t="s">
        <v>26</v>
      </c>
      <c r="G1711" s="6" t="s">
        <v>520</v>
      </c>
      <c r="H1711" s="6" t="s">
        <v>28</v>
      </c>
      <c r="I1711" s="6" t="str">
        <f>VLOOKUP(H1711,'Flow Location'!$A$1:$B$21,2,FALSE)</f>
        <v>Storm Sewer (not contained)</v>
      </c>
      <c r="J1711" s="20">
        <v>2601.0</v>
      </c>
      <c r="K1711" s="6" t="s">
        <v>3005</v>
      </c>
      <c r="L1711" s="6" t="str">
        <f>VLOOKUP(K1711,'Structure type'!$A$1:$B$15,2,FALSE)</f>
        <v>Lift Station</v>
      </c>
      <c r="M1711" s="6" t="s">
        <v>3006</v>
      </c>
      <c r="N1711" s="6" t="str">
        <f>VLOOKUP(M1711,'Excursion Cause'!$A$1:$B$34,2,FALSE)</f>
        <v>Pump/Lift
Station Hydraulic Overload</v>
      </c>
      <c r="O1711" s="21">
        <v>44808.0</v>
      </c>
      <c r="P1711" s="6" t="s">
        <v>92</v>
      </c>
      <c r="Q1711" s="21">
        <v>44808.0</v>
      </c>
      <c r="R1711" s="6" t="s">
        <v>3007</v>
      </c>
      <c r="S1711" s="20">
        <v>3.0</v>
      </c>
      <c r="T1711" s="6" t="s">
        <v>3008</v>
      </c>
      <c r="U1711" s="6"/>
      <c r="V1711" s="6"/>
      <c r="W1711" s="6">
        <v>29.7789524</v>
      </c>
      <c r="X1711" s="6">
        <v>-95.6323026</v>
      </c>
    </row>
    <row r="1712" ht="15.75" customHeight="1">
      <c r="A1712" s="6">
        <v>49293.0</v>
      </c>
      <c r="B1712" s="6">
        <v>2022.0</v>
      </c>
      <c r="C1712" s="6" t="str">
        <f t="shared" si="5"/>
        <v>15603 MEMORIAL DR,Houston,Texas</v>
      </c>
      <c r="D1712" s="25" t="s">
        <v>3009</v>
      </c>
      <c r="E1712" s="6" t="s">
        <v>25</v>
      </c>
      <c r="F1712" s="6" t="s">
        <v>26</v>
      </c>
      <c r="G1712" s="6" t="s">
        <v>520</v>
      </c>
      <c r="H1712" s="6" t="s">
        <v>28</v>
      </c>
      <c r="I1712" s="6" t="str">
        <f>VLOOKUP(H1712,'Flow Location'!$A$1:$B$21,2,FALSE)</f>
        <v>Storm Sewer (not contained)</v>
      </c>
      <c r="J1712" s="20">
        <v>1770.0</v>
      </c>
      <c r="K1712" s="6" t="s">
        <v>3010</v>
      </c>
      <c r="L1712" s="6" t="str">
        <f>VLOOKUP(K1712,'Structure type'!$A$1:$B$15,2,FALSE)</f>
        <v>Lift Station</v>
      </c>
      <c r="M1712" s="6" t="s">
        <v>3011</v>
      </c>
      <c r="N1712" s="6" t="str">
        <f>VLOOKUP(M1712,'Excursion Cause'!$A$1:$B$34,2,FALSE)</f>
        <v>Pump/Lift
Station Hydraulic Overload</v>
      </c>
      <c r="O1712" s="21">
        <v>44808.0</v>
      </c>
      <c r="P1712" s="6" t="s">
        <v>1119</v>
      </c>
      <c r="Q1712" s="21">
        <v>44808.0</v>
      </c>
      <c r="R1712" s="6" t="s">
        <v>3007</v>
      </c>
      <c r="S1712" s="20">
        <v>3.0</v>
      </c>
      <c r="T1712" s="6" t="s">
        <v>3012</v>
      </c>
      <c r="U1712" s="6"/>
      <c r="V1712" s="6"/>
      <c r="W1712" s="6">
        <v>29.7772187</v>
      </c>
      <c r="X1712" s="6">
        <v>-95.6304595</v>
      </c>
    </row>
    <row r="1713" ht="15.75" customHeight="1">
      <c r="A1713" s="6">
        <v>49296.0</v>
      </c>
      <c r="B1713" s="6">
        <v>2022.0</v>
      </c>
      <c r="C1713" s="6" t="str">
        <f t="shared" si="5"/>
        <v>5783 BELCREST ST,Houston,Texas</v>
      </c>
      <c r="D1713" s="25" t="s">
        <v>3013</v>
      </c>
      <c r="E1713" s="6" t="s">
        <v>25</v>
      </c>
      <c r="F1713" s="6" t="s">
        <v>26</v>
      </c>
      <c r="G1713" s="6" t="s">
        <v>120</v>
      </c>
      <c r="H1713" s="6" t="s">
        <v>1724</v>
      </c>
      <c r="I1713" s="6" t="str">
        <f>VLOOKUP(H1713,'Flow Location'!$A$1:$B$21,2,FALSE)</f>
        <v>Storm Sewer (not contained)</v>
      </c>
      <c r="J1713" s="20">
        <v>1115.0</v>
      </c>
      <c r="K1713" s="6" t="s">
        <v>29</v>
      </c>
      <c r="L1713" s="6" t="str">
        <f>VLOOKUP(K1713,'Structure type'!$A$1:$B$15,2,FALSE)</f>
        <v>Manhole</v>
      </c>
      <c r="M1713" s="6" t="s">
        <v>3014</v>
      </c>
      <c r="N1713" s="6" t="str">
        <f>VLOOKUP(M1713,'Excursion Cause'!$A$1:$B$34,2,FALSE)</f>
        <v>Grease Blockage</v>
      </c>
      <c r="O1713" s="21">
        <v>44809.0</v>
      </c>
      <c r="P1713" s="6" t="s">
        <v>1599</v>
      </c>
      <c r="Q1713" s="21">
        <v>44809.0</v>
      </c>
      <c r="R1713" s="6" t="s">
        <v>537</v>
      </c>
      <c r="S1713" s="20">
        <v>5.0</v>
      </c>
      <c r="T1713" s="6" t="s">
        <v>3015</v>
      </c>
      <c r="U1713" s="6"/>
      <c r="V1713" s="6"/>
      <c r="W1713" s="6">
        <v>29.6649426</v>
      </c>
      <c r="X1713" s="6">
        <v>-95.3329389</v>
      </c>
    </row>
    <row r="1714" ht="15.75" customHeight="1">
      <c r="A1714" s="6">
        <v>49297.0</v>
      </c>
      <c r="B1714" s="6">
        <v>2022.0</v>
      </c>
      <c r="C1714" s="6" t="str">
        <f t="shared" si="5"/>
        <v>7322 JUTLAND RD,Houston,Texas</v>
      </c>
      <c r="D1714" s="25" t="s">
        <v>3016</v>
      </c>
      <c r="E1714" s="6" t="s">
        <v>25</v>
      </c>
      <c r="F1714" s="6" t="s">
        <v>26</v>
      </c>
      <c r="G1714" s="6" t="s">
        <v>120</v>
      </c>
      <c r="H1714" s="6" t="s">
        <v>2275</v>
      </c>
      <c r="I1714" s="6" t="str">
        <f>VLOOKUP(H1714,'Flow Location'!$A$1:$B$21,2,FALSE)</f>
        <v>Contained On Site, not within 5 ft. of Bayou/Surface Water/Drainage Ditch</v>
      </c>
      <c r="J1714" s="20">
        <v>0.0</v>
      </c>
      <c r="K1714" s="6" t="s">
        <v>3017</v>
      </c>
      <c r="L1714" s="6" t="str">
        <f>VLOOKUP(K1714,'Structure type'!$A$1:$B$15,2,FALSE)</f>
        <v>Private Cleanout</v>
      </c>
      <c r="M1714" s="6" t="s">
        <v>3018</v>
      </c>
      <c r="N1714" s="6" t="str">
        <f>VLOOKUP(M1714,'Excursion Cause'!$A$1:$B$34,2,FALSE)</f>
        <v>Grease Blockage</v>
      </c>
      <c r="O1714" s="21">
        <v>44809.0</v>
      </c>
      <c r="P1714" s="6" t="s">
        <v>3019</v>
      </c>
      <c r="Q1714" s="21">
        <v>44809.0</v>
      </c>
      <c r="R1714" s="6" t="s">
        <v>3020</v>
      </c>
      <c r="S1714" s="20">
        <v>0.0</v>
      </c>
      <c r="T1714" s="6" t="s">
        <v>3021</v>
      </c>
      <c r="U1714" s="6"/>
      <c r="V1714" s="6"/>
      <c r="W1714" s="6">
        <v>29.6784344</v>
      </c>
      <c r="X1714" s="6">
        <v>-95.3439262</v>
      </c>
    </row>
    <row r="1715" ht="15.75" customHeight="1">
      <c r="A1715" s="6">
        <v>49305.0</v>
      </c>
      <c r="B1715" s="6">
        <v>2022.0</v>
      </c>
      <c r="C1715" s="6" t="str">
        <f t="shared" si="5"/>
        <v>7422 DEARBORN ST,Houston,Texas</v>
      </c>
      <c r="D1715" s="25" t="s">
        <v>3022</v>
      </c>
      <c r="E1715" s="6" t="s">
        <v>25</v>
      </c>
      <c r="F1715" s="6" t="s">
        <v>26</v>
      </c>
      <c r="G1715" s="6" t="s">
        <v>27</v>
      </c>
      <c r="H1715" s="6" t="s">
        <v>2275</v>
      </c>
      <c r="I1715" s="6" t="str">
        <f>VLOOKUP(H1715,'Flow Location'!$A$1:$B$21,2,FALSE)</f>
        <v>Contained On Site, not within 5 ft. of Bayou/Surface Water/Drainage Ditch</v>
      </c>
      <c r="J1715" s="20">
        <v>0.0</v>
      </c>
      <c r="K1715" s="6" t="s">
        <v>3023</v>
      </c>
      <c r="L1715" s="6" t="str">
        <f>VLOOKUP(K1715,'Structure type'!$A$1:$B$15,2,FALSE)</f>
        <v>Service Lateral</v>
      </c>
      <c r="M1715" s="6" t="s">
        <v>3024</v>
      </c>
      <c r="N1715" s="6" t="str">
        <f>VLOOKUP(M1715,'Excursion Cause'!$A$1:$B$34,2,FALSE)</f>
        <v>Collection system structural failure</v>
      </c>
      <c r="O1715" s="21">
        <v>44810.0</v>
      </c>
      <c r="P1715" s="6" t="s">
        <v>1858</v>
      </c>
      <c r="Q1715" s="21">
        <v>44810.0</v>
      </c>
      <c r="R1715" s="6" t="s">
        <v>409</v>
      </c>
      <c r="S1715" s="20">
        <v>0.0</v>
      </c>
      <c r="T1715" s="6" t="s">
        <v>3025</v>
      </c>
      <c r="U1715" s="6"/>
      <c r="V1715" s="6"/>
      <c r="W1715" s="6">
        <v>29.8006379</v>
      </c>
      <c r="X1715" s="6">
        <v>-95.476921</v>
      </c>
    </row>
    <row r="1716" ht="15.75" customHeight="1">
      <c r="A1716" s="6">
        <v>49315.0</v>
      </c>
      <c r="B1716" s="6">
        <v>2022.0</v>
      </c>
      <c r="C1716" s="6" t="str">
        <f t="shared" si="5"/>
        <v>1440 DOROTHY ST,Houston,Texas</v>
      </c>
      <c r="D1716" s="25" t="s">
        <v>3026</v>
      </c>
      <c r="E1716" s="6" t="s">
        <v>25</v>
      </c>
      <c r="F1716" s="6" t="s">
        <v>26</v>
      </c>
      <c r="G1716" s="6" t="s">
        <v>232</v>
      </c>
      <c r="H1716" s="6" t="s">
        <v>1397</v>
      </c>
      <c r="I1716" s="6" t="str">
        <f>VLOOKUP(H1716,'Flow Location'!$A$1:$B$21,2,FALSE)</f>
        <v>Bayou/surface water/drainage ditch</v>
      </c>
      <c r="J1716" s="20">
        <v>0.0</v>
      </c>
      <c r="K1716" s="6" t="s">
        <v>3027</v>
      </c>
      <c r="L1716" s="6" t="str">
        <f>VLOOKUP(K1716,'Structure type'!$A$1:$B$15,2,FALSE)</f>
        <v>Gravity Main</v>
      </c>
      <c r="M1716" s="6" t="s">
        <v>3028</v>
      </c>
      <c r="N1716" s="6" t="str">
        <f>VLOOKUP(M1716,'Excursion Cause'!$A$1:$B$34,2,FALSE)</f>
        <v>Grease Blockage</v>
      </c>
      <c r="O1716" s="21">
        <v>44811.0</v>
      </c>
      <c r="P1716" s="6" t="s">
        <v>524</v>
      </c>
      <c r="Q1716" s="21">
        <v>44811.0</v>
      </c>
      <c r="R1716" s="6" t="s">
        <v>610</v>
      </c>
      <c r="S1716" s="20">
        <v>0.0</v>
      </c>
      <c r="T1716" s="6" t="s">
        <v>3029</v>
      </c>
      <c r="U1716" s="6"/>
      <c r="V1716" s="6"/>
      <c r="W1716" s="6">
        <v>29.7975892</v>
      </c>
      <c r="X1716" s="6">
        <v>-95.4090291</v>
      </c>
    </row>
    <row r="1717" ht="15.75" customHeight="1">
      <c r="A1717" s="6">
        <v>49316.0</v>
      </c>
      <c r="B1717" s="6">
        <v>2022.0</v>
      </c>
      <c r="C1717" s="6" t="str">
        <f t="shared" si="5"/>
        <v>9003 BELLE GLEN DR,Houston,Texas</v>
      </c>
      <c r="D1717" s="25" t="s">
        <v>3030</v>
      </c>
      <c r="E1717" s="6" t="s">
        <v>25</v>
      </c>
      <c r="F1717" s="6" t="s">
        <v>26</v>
      </c>
      <c r="G1717" s="6" t="s">
        <v>154</v>
      </c>
      <c r="H1717" s="6" t="s">
        <v>50</v>
      </c>
      <c r="I1717" s="6" t="str">
        <f>VLOOKUP(H1717,'Flow Location'!$A$1:$B$21,2,FALSE)</f>
        <v>Contained On Site, not within 5 ft. of Bayou/Surface Water/Drainage Ditch</v>
      </c>
      <c r="J1717" s="20">
        <v>0.0</v>
      </c>
      <c r="K1717" s="6" t="s">
        <v>3031</v>
      </c>
      <c r="L1717" s="6" t="str">
        <f>VLOOKUP(K1717,'Structure type'!$A$1:$B$15,2,FALSE)</f>
        <v>City Cleanout</v>
      </c>
      <c r="M1717" s="6" t="s">
        <v>3032</v>
      </c>
      <c r="N1717" s="6" t="str">
        <f>VLOOKUP(M1717,'Excursion Cause'!$A$1:$B$34,2,FALSE)</f>
        <v>Grease Blockage</v>
      </c>
      <c r="O1717" s="21">
        <v>44811.0</v>
      </c>
      <c r="P1717" s="6" t="s">
        <v>1065</v>
      </c>
      <c r="Q1717" s="21">
        <v>44811.0</v>
      </c>
      <c r="R1717" s="6" t="s">
        <v>1244</v>
      </c>
      <c r="S1717" s="20">
        <v>0.0</v>
      </c>
      <c r="T1717" s="6" t="s">
        <v>3033</v>
      </c>
      <c r="U1717" s="6"/>
      <c r="V1717" s="6"/>
      <c r="W1717" s="6">
        <v>29.6801455</v>
      </c>
      <c r="X1717" s="6">
        <v>-95.5865792</v>
      </c>
    </row>
    <row r="1718" ht="15.75" customHeight="1">
      <c r="A1718" s="6">
        <v>49321.0</v>
      </c>
      <c r="B1718" s="6">
        <v>2022.0</v>
      </c>
      <c r="C1718" s="6" t="str">
        <f t="shared" si="5"/>
        <v>3502 ASKEW ST,Houston,Texas</v>
      </c>
      <c r="D1718" s="25" t="s">
        <v>1042</v>
      </c>
      <c r="E1718" s="6" t="s">
        <v>25</v>
      </c>
      <c r="F1718" s="6" t="s">
        <v>26</v>
      </c>
      <c r="G1718" s="6" t="s">
        <v>35</v>
      </c>
      <c r="H1718" s="6" t="s">
        <v>50</v>
      </c>
      <c r="I1718" s="6" t="str">
        <f>VLOOKUP(H1718,'Flow Location'!$A$1:$B$21,2,FALSE)</f>
        <v>Contained On Site, not within 5 ft. of Bayou/Surface Water/Drainage Ditch</v>
      </c>
      <c r="J1718" s="20">
        <v>364.0</v>
      </c>
      <c r="K1718" s="6" t="s">
        <v>29</v>
      </c>
      <c r="L1718" s="6" t="str">
        <f>VLOOKUP(K1718,'Structure type'!$A$1:$B$15,2,FALSE)</f>
        <v>Manhole</v>
      </c>
      <c r="M1718" s="6" t="s">
        <v>3034</v>
      </c>
      <c r="N1718" s="6" t="str">
        <f>VLOOKUP(M1718,'Excursion Cause'!$A$1:$B$34,2,FALSE)</f>
        <v>Grease Blockage</v>
      </c>
      <c r="O1718" s="21">
        <v>44812.0</v>
      </c>
      <c r="P1718" s="6" t="s">
        <v>373</v>
      </c>
      <c r="Q1718" s="21">
        <v>44812.0</v>
      </c>
      <c r="R1718" s="6" t="s">
        <v>901</v>
      </c>
      <c r="S1718" s="20">
        <v>2.0</v>
      </c>
      <c r="T1718" s="6" t="s">
        <v>3035</v>
      </c>
      <c r="U1718" s="6"/>
      <c r="V1718" s="6"/>
      <c r="W1718" s="6">
        <v>29.698058</v>
      </c>
      <c r="X1718" s="6">
        <v>-95.3137834</v>
      </c>
    </row>
    <row r="1719" ht="15.75" customHeight="1">
      <c r="A1719" s="6">
        <v>49324.0</v>
      </c>
      <c r="B1719" s="6">
        <v>2022.0</v>
      </c>
      <c r="C1719" s="6" t="str">
        <f t="shared" si="5"/>
        <v>11131 PEMBRIDGE DR,Houston,Texas</v>
      </c>
      <c r="D1719" s="25" t="s">
        <v>3036</v>
      </c>
      <c r="E1719" s="6" t="s">
        <v>25</v>
      </c>
      <c r="F1719" s="6" t="s">
        <v>26</v>
      </c>
      <c r="G1719" s="6" t="s">
        <v>148</v>
      </c>
      <c r="H1719" s="6" t="s">
        <v>50</v>
      </c>
      <c r="I1719" s="6" t="str">
        <f>VLOOKUP(H1719,'Flow Location'!$A$1:$B$21,2,FALSE)</f>
        <v>Contained On Site, not within 5 ft. of Bayou/Surface Water/Drainage Ditch</v>
      </c>
      <c r="J1719" s="20">
        <v>0.0</v>
      </c>
      <c r="K1719" s="6" t="s">
        <v>29</v>
      </c>
      <c r="L1719" s="6" t="str">
        <f>VLOOKUP(K1719,'Structure type'!$A$1:$B$15,2,FALSE)</f>
        <v>Manhole</v>
      </c>
      <c r="M1719" s="6" t="s">
        <v>3037</v>
      </c>
      <c r="N1719" s="6" t="str">
        <f>VLOOKUP(M1719,'Excursion Cause'!$A$1:$B$34,2,FALSE)</f>
        <v>Grease Blockage</v>
      </c>
      <c r="O1719" s="21">
        <v>44812.0</v>
      </c>
      <c r="P1719" s="6" t="s">
        <v>1759</v>
      </c>
      <c r="Q1719" s="21">
        <v>44812.0</v>
      </c>
      <c r="R1719" s="6" t="s">
        <v>2005</v>
      </c>
      <c r="S1719" s="20">
        <v>0.0</v>
      </c>
      <c r="T1719" s="6" t="s">
        <v>3038</v>
      </c>
      <c r="U1719" s="6"/>
      <c r="V1719" s="6"/>
      <c r="W1719" s="6">
        <v>29.6570785</v>
      </c>
      <c r="X1719" s="6">
        <v>-95.516645</v>
      </c>
    </row>
    <row r="1720" ht="15.75" customHeight="1">
      <c r="A1720" s="6">
        <v>49328.0</v>
      </c>
      <c r="B1720" s="6">
        <v>2022.0</v>
      </c>
      <c r="C1720" s="6" t="str">
        <f t="shared" si="5"/>
        <v>6941 FINCH ST,Houston,Texas</v>
      </c>
      <c r="D1720" s="25" t="s">
        <v>3039</v>
      </c>
      <c r="E1720" s="6" t="s">
        <v>25</v>
      </c>
      <c r="F1720" s="6" t="s">
        <v>26</v>
      </c>
      <c r="G1720" s="6" t="s">
        <v>177</v>
      </c>
      <c r="H1720" s="6" t="s">
        <v>1397</v>
      </c>
      <c r="I1720" s="6" t="str">
        <f>VLOOKUP(H1720,'Flow Location'!$A$1:$B$21,2,FALSE)</f>
        <v>Bayou/surface water/drainage ditch</v>
      </c>
      <c r="J1720" s="20">
        <v>0.0</v>
      </c>
      <c r="K1720" s="6" t="s">
        <v>3040</v>
      </c>
      <c r="L1720" s="6" t="str">
        <f>VLOOKUP(K1720,'Structure type'!$A$1:$B$15,2,FALSE)</f>
        <v>City Cleanout</v>
      </c>
      <c r="M1720" s="6" t="s">
        <v>56</v>
      </c>
      <c r="N1720" s="6" t="str">
        <f>VLOOKUP(M1720,'Excursion Cause'!$A$1:$B$34,2,FALSE)</f>
        <v>Rags/Wipes</v>
      </c>
      <c r="O1720" s="21">
        <v>44812.0</v>
      </c>
      <c r="P1720" s="6" t="s">
        <v>884</v>
      </c>
      <c r="Q1720" s="21">
        <v>44812.0</v>
      </c>
      <c r="R1720" s="6" t="s">
        <v>2125</v>
      </c>
      <c r="S1720" s="20">
        <v>0.0</v>
      </c>
      <c r="T1720" s="6" t="s">
        <v>3041</v>
      </c>
      <c r="U1720" s="6"/>
      <c r="V1720" s="6"/>
      <c r="W1720" s="6">
        <v>29.829498</v>
      </c>
      <c r="X1720" s="6">
        <v>-95.3035054</v>
      </c>
    </row>
    <row r="1721" ht="15.75" customHeight="1">
      <c r="A1721" s="6">
        <v>49340.0</v>
      </c>
      <c r="B1721" s="6">
        <v>2022.0</v>
      </c>
      <c r="C1721" s="6" t="str">
        <f t="shared" si="5"/>
        <v>4723 BEECHAVEN DR,Houston,Texas</v>
      </c>
      <c r="D1721" s="25" t="s">
        <v>3042</v>
      </c>
      <c r="E1721" s="6" t="s">
        <v>25</v>
      </c>
      <c r="F1721" s="6" t="s">
        <v>26</v>
      </c>
      <c r="G1721" s="6" t="s">
        <v>517</v>
      </c>
      <c r="H1721" s="6" t="s">
        <v>1724</v>
      </c>
      <c r="I1721" s="6" t="str">
        <f>VLOOKUP(H1721,'Flow Location'!$A$1:$B$21,2,FALSE)</f>
        <v>Storm Sewer (not contained)</v>
      </c>
      <c r="J1721" s="20">
        <v>435.0</v>
      </c>
      <c r="K1721" s="6" t="s">
        <v>29</v>
      </c>
      <c r="L1721" s="6" t="str">
        <f>VLOOKUP(K1721,'Structure type'!$A$1:$B$15,2,FALSE)</f>
        <v>Manhole</v>
      </c>
      <c r="M1721" s="6" t="s">
        <v>3043</v>
      </c>
      <c r="N1721" s="6" t="str">
        <f>VLOOKUP(M1721,'Excursion Cause'!$A$1:$B$34,2,FALSE)</f>
        <v>Grease Blockage</v>
      </c>
      <c r="O1721" s="21">
        <v>44814.0</v>
      </c>
      <c r="P1721" s="6" t="s">
        <v>175</v>
      </c>
      <c r="Q1721" s="21">
        <v>44814.0</v>
      </c>
      <c r="R1721" s="6" t="s">
        <v>192</v>
      </c>
      <c r="S1721" s="20">
        <v>3.0</v>
      </c>
      <c r="T1721" s="6" t="s">
        <v>3044</v>
      </c>
      <c r="U1721" s="6"/>
      <c r="V1721" s="6"/>
      <c r="W1721" s="6">
        <v>29.5923307</v>
      </c>
      <c r="X1721" s="6">
        <v>-95.4512198</v>
      </c>
    </row>
    <row r="1722" ht="15.75" customHeight="1">
      <c r="A1722" s="6">
        <v>49348.0</v>
      </c>
      <c r="B1722" s="6">
        <v>2022.0</v>
      </c>
      <c r="C1722" s="6" t="str">
        <f t="shared" si="5"/>
        <v>15931 KENBROOK DR,Houston,Texas</v>
      </c>
      <c r="D1722" s="25" t="s">
        <v>3045</v>
      </c>
      <c r="E1722" s="6" t="s">
        <v>25</v>
      </c>
      <c r="F1722" s="6" t="s">
        <v>26</v>
      </c>
      <c r="G1722" s="6" t="s">
        <v>166</v>
      </c>
      <c r="H1722" s="6" t="s">
        <v>1724</v>
      </c>
      <c r="I1722" s="6" t="str">
        <f>VLOOKUP(H1722,'Flow Location'!$A$1:$B$21,2,FALSE)</f>
        <v>Storm Sewer (not contained)</v>
      </c>
      <c r="J1722" s="20">
        <v>190.0</v>
      </c>
      <c r="K1722" s="6" t="s">
        <v>29</v>
      </c>
      <c r="L1722" s="6" t="str">
        <f>VLOOKUP(K1722,'Structure type'!$A$1:$B$15,2,FALSE)</f>
        <v>Manhole</v>
      </c>
      <c r="M1722" s="6" t="s">
        <v>3046</v>
      </c>
      <c r="N1722" s="6" t="str">
        <f>VLOOKUP(M1722,'Excursion Cause'!$A$1:$B$34,2,FALSE)</f>
        <v>Grease Blockage</v>
      </c>
      <c r="O1722" s="21">
        <v>44816.0</v>
      </c>
      <c r="P1722" s="6" t="s">
        <v>1011</v>
      </c>
      <c r="Q1722" s="21">
        <v>44816.0</v>
      </c>
      <c r="R1722" s="6" t="s">
        <v>1201</v>
      </c>
      <c r="S1722" s="20">
        <v>1.0</v>
      </c>
      <c r="T1722" s="6" t="s">
        <v>3047</v>
      </c>
      <c r="U1722" s="6"/>
      <c r="V1722" s="6"/>
      <c r="W1722" s="6">
        <v>29.5938746</v>
      </c>
      <c r="X1722" s="6">
        <v>-95.4938727</v>
      </c>
    </row>
    <row r="1723" ht="15.75" customHeight="1">
      <c r="A1723" s="6">
        <v>49350.0</v>
      </c>
      <c r="B1723" s="6">
        <v>2022.0</v>
      </c>
      <c r="C1723" s="6" t="str">
        <f t="shared" si="5"/>
        <v>4110 CORNELL ST,Houston,Texas</v>
      </c>
      <c r="D1723" s="25" t="s">
        <v>3048</v>
      </c>
      <c r="E1723" s="6" t="s">
        <v>25</v>
      </c>
      <c r="F1723" s="6" t="s">
        <v>26</v>
      </c>
      <c r="G1723" s="6" t="s">
        <v>653</v>
      </c>
      <c r="H1723" s="6" t="s">
        <v>1724</v>
      </c>
      <c r="I1723" s="6" t="str">
        <f>VLOOKUP(H1723,'Flow Location'!$A$1:$B$21,2,FALSE)</f>
        <v>Storm Sewer (not contained)</v>
      </c>
      <c r="J1723" s="20">
        <v>0.0</v>
      </c>
      <c r="K1723" s="6" t="s">
        <v>3049</v>
      </c>
      <c r="L1723" s="6" t="str">
        <f>VLOOKUP(K1723,'Structure type'!$A$1:$B$15,2,FALSE)</f>
        <v>City Cleanout</v>
      </c>
      <c r="M1723" s="6" t="s">
        <v>56</v>
      </c>
      <c r="N1723" s="6" t="str">
        <f>VLOOKUP(M1723,'Excursion Cause'!$A$1:$B$34,2,FALSE)</f>
        <v>Rags/Wipes</v>
      </c>
      <c r="O1723" s="21">
        <v>44816.0</v>
      </c>
      <c r="P1723" s="6" t="s">
        <v>817</v>
      </c>
      <c r="Q1723" s="21">
        <v>44816.0</v>
      </c>
      <c r="R1723" s="6" t="s">
        <v>859</v>
      </c>
      <c r="S1723" s="20">
        <v>0.0</v>
      </c>
      <c r="T1723" s="6" t="s">
        <v>3050</v>
      </c>
      <c r="U1723" s="6"/>
      <c r="V1723" s="6"/>
      <c r="W1723" s="6">
        <v>29.8243587</v>
      </c>
      <c r="X1723" s="6">
        <v>-95.3889238</v>
      </c>
    </row>
    <row r="1724" ht="15.75" customHeight="1">
      <c r="A1724" s="6">
        <v>49355.0</v>
      </c>
      <c r="B1724" s="6">
        <v>2022.0</v>
      </c>
      <c r="C1724" s="6" t="str">
        <f t="shared" si="5"/>
        <v>1537 HADDON ST,Houston,Texas</v>
      </c>
      <c r="D1724" s="25" t="s">
        <v>3051</v>
      </c>
      <c r="E1724" s="6" t="s">
        <v>25</v>
      </c>
      <c r="F1724" s="6" t="s">
        <v>26</v>
      </c>
      <c r="G1724" s="6" t="s">
        <v>761</v>
      </c>
      <c r="H1724" s="6" t="s">
        <v>1724</v>
      </c>
      <c r="I1724" s="6" t="str">
        <f>VLOOKUP(H1724,'Flow Location'!$A$1:$B$21,2,FALSE)</f>
        <v>Storm Sewer (not contained)</v>
      </c>
      <c r="J1724" s="20">
        <v>532.0</v>
      </c>
      <c r="K1724" s="6" t="s">
        <v>29</v>
      </c>
      <c r="L1724" s="6" t="str">
        <f>VLOOKUP(K1724,'Structure type'!$A$1:$B$15,2,FALSE)</f>
        <v>Manhole</v>
      </c>
      <c r="M1724" s="6" t="s">
        <v>3052</v>
      </c>
      <c r="N1724" s="6" t="str">
        <f>VLOOKUP(M1724,'Excursion Cause'!$A$1:$B$34,2,FALSE)</f>
        <v>Grease Blockage</v>
      </c>
      <c r="O1724" s="21">
        <v>44816.0</v>
      </c>
      <c r="P1724" s="6" t="s">
        <v>552</v>
      </c>
      <c r="Q1724" s="21">
        <v>44817.0</v>
      </c>
      <c r="R1724" s="6" t="s">
        <v>125</v>
      </c>
      <c r="S1724" s="20">
        <v>1.0</v>
      </c>
      <c r="T1724" s="6" t="s">
        <v>3053</v>
      </c>
      <c r="U1724" s="6"/>
      <c r="V1724" s="6"/>
      <c r="W1724" s="6">
        <v>29.7507817</v>
      </c>
      <c r="X1724" s="6">
        <v>-95.4003328</v>
      </c>
    </row>
    <row r="1725" ht="15.75" customHeight="1">
      <c r="A1725" s="6">
        <v>49356.0</v>
      </c>
      <c r="B1725" s="6">
        <v>2022.0</v>
      </c>
      <c r="C1725" s="6" t="str">
        <f t="shared" si="5"/>
        <v>10910 VILLAGE BEND LN,Houston,Texas</v>
      </c>
      <c r="D1725" s="25" t="s">
        <v>3054</v>
      </c>
      <c r="E1725" s="6" t="s">
        <v>25</v>
      </c>
      <c r="F1725" s="6" t="s">
        <v>26</v>
      </c>
      <c r="G1725" s="6" t="s">
        <v>91</v>
      </c>
      <c r="H1725" s="6" t="s">
        <v>2275</v>
      </c>
      <c r="I1725" s="6" t="str">
        <f>VLOOKUP(H1725,'Flow Location'!$A$1:$B$21,2,FALSE)</f>
        <v>Contained On Site, not within 5 ft. of Bayou/Surface Water/Drainage Ditch</v>
      </c>
      <c r="J1725" s="20">
        <v>0.0</v>
      </c>
      <c r="K1725" s="6" t="s">
        <v>3055</v>
      </c>
      <c r="L1725" s="6" t="str">
        <f>VLOOKUP(K1725,'Structure type'!$A$1:$B$15,2,FALSE)</f>
        <v>City Cleanout</v>
      </c>
      <c r="M1725" s="6" t="s">
        <v>3056</v>
      </c>
      <c r="N1725" s="6" t="str">
        <f>VLOOKUP(M1725,'Excursion Cause'!$A$1:$B$34,2,FALSE)</f>
        <v>Grease Blockage</v>
      </c>
      <c r="O1725" s="21">
        <v>44817.0</v>
      </c>
      <c r="P1725" s="6" t="s">
        <v>824</v>
      </c>
      <c r="Q1725" s="21">
        <v>44817.0</v>
      </c>
      <c r="R1725" s="6" t="s">
        <v>368</v>
      </c>
      <c r="S1725" s="20">
        <v>0.0</v>
      </c>
      <c r="T1725" s="6" t="s">
        <v>3057</v>
      </c>
      <c r="U1725" s="6"/>
      <c r="V1725" s="6"/>
      <c r="W1725" s="6">
        <v>29.6909298</v>
      </c>
      <c r="X1725" s="6">
        <v>-95.5715557</v>
      </c>
    </row>
    <row r="1726" ht="15.75" customHeight="1">
      <c r="A1726" s="6">
        <v>49358.0</v>
      </c>
      <c r="B1726" s="6">
        <v>2022.0</v>
      </c>
      <c r="C1726" s="6" t="str">
        <f t="shared" si="5"/>
        <v>6623 HERON DR,Houston,Texas</v>
      </c>
      <c r="D1726" s="25" t="s">
        <v>3058</v>
      </c>
      <c r="E1726" s="6" t="s">
        <v>25</v>
      </c>
      <c r="F1726" s="6" t="s">
        <v>26</v>
      </c>
      <c r="G1726" s="6" t="s">
        <v>35</v>
      </c>
      <c r="H1726" s="6" t="s">
        <v>50</v>
      </c>
      <c r="I1726" s="6" t="str">
        <f>VLOOKUP(H1726,'Flow Location'!$A$1:$B$21,2,FALSE)</f>
        <v>Contained On Site, not within 5 ft. of Bayou/Surface Water/Drainage Ditch</v>
      </c>
      <c r="J1726" s="20">
        <v>0.0</v>
      </c>
      <c r="K1726" s="6" t="s">
        <v>29</v>
      </c>
      <c r="L1726" s="6" t="str">
        <f>VLOOKUP(K1726,'Structure type'!$A$1:$B$15,2,FALSE)</f>
        <v>Manhole</v>
      </c>
      <c r="M1726" s="6" t="s">
        <v>3059</v>
      </c>
      <c r="N1726" s="6" t="str">
        <f>VLOOKUP(M1726,'Excursion Cause'!$A$1:$B$34,2,FALSE)</f>
        <v>Grease Blockage</v>
      </c>
      <c r="O1726" s="21">
        <v>44817.0</v>
      </c>
      <c r="P1726" s="6" t="s">
        <v>2867</v>
      </c>
      <c r="Q1726" s="21">
        <v>44817.0</v>
      </c>
      <c r="R1726" s="6" t="s">
        <v>457</v>
      </c>
      <c r="S1726" s="20">
        <v>0.0</v>
      </c>
      <c r="T1726" s="6" t="s">
        <v>3060</v>
      </c>
      <c r="U1726" s="6"/>
      <c r="V1726" s="6"/>
      <c r="W1726" s="6">
        <v>29.6616835</v>
      </c>
      <c r="X1726" s="6">
        <v>-95.3103934</v>
      </c>
    </row>
    <row r="1727" ht="15.75" customHeight="1">
      <c r="A1727" s="6">
        <v>49359.0</v>
      </c>
      <c r="B1727" s="6">
        <v>2022.0</v>
      </c>
      <c r="C1727" s="6" t="str">
        <f t="shared" si="5"/>
        <v>11522 VILLAGE PL,Houston,Texas</v>
      </c>
      <c r="D1727" s="25" t="s">
        <v>3061</v>
      </c>
      <c r="E1727" s="6" t="s">
        <v>25</v>
      </c>
      <c r="F1727" s="6" t="s">
        <v>26</v>
      </c>
      <c r="G1727" s="6" t="s">
        <v>347</v>
      </c>
      <c r="H1727" s="6" t="s">
        <v>2275</v>
      </c>
      <c r="I1727" s="6" t="str">
        <f>VLOOKUP(H1727,'Flow Location'!$A$1:$B$21,2,FALSE)</f>
        <v>Contained On Site, not within 5 ft. of Bayou/Surface Water/Drainage Ditch</v>
      </c>
      <c r="J1727" s="20">
        <v>1843.0</v>
      </c>
      <c r="K1727" s="6" t="s">
        <v>29</v>
      </c>
      <c r="L1727" s="6" t="str">
        <f>VLOOKUP(K1727,'Structure type'!$A$1:$B$15,2,FALSE)</f>
        <v>Manhole</v>
      </c>
      <c r="M1727" s="6" t="s">
        <v>3062</v>
      </c>
      <c r="N1727" s="6" t="str">
        <f>VLOOKUP(M1727,'Excursion Cause'!$A$1:$B$34,2,FALSE)</f>
        <v>Grease Blockage</v>
      </c>
      <c r="O1727" s="21">
        <v>44817.0</v>
      </c>
      <c r="P1727" s="6" t="s">
        <v>31</v>
      </c>
      <c r="Q1727" s="21">
        <v>44818.0</v>
      </c>
      <c r="R1727" s="6" t="s">
        <v>645</v>
      </c>
      <c r="S1727" s="20">
        <v>1.0</v>
      </c>
      <c r="T1727" s="6" t="s">
        <v>3063</v>
      </c>
      <c r="U1727" s="6"/>
      <c r="V1727" s="6"/>
      <c r="W1727" s="6">
        <v>29.7398658</v>
      </c>
      <c r="X1727" s="6">
        <v>-95.5826103</v>
      </c>
    </row>
    <row r="1728" ht="15.75" customHeight="1">
      <c r="A1728" s="6">
        <v>49360.0</v>
      </c>
      <c r="B1728" s="6">
        <v>2022.0</v>
      </c>
      <c r="C1728" s="6" t="str">
        <f t="shared" si="5"/>
        <v>7932 MILEY ST,Houston,Texas</v>
      </c>
      <c r="D1728" s="25" t="s">
        <v>3064</v>
      </c>
      <c r="E1728" s="6" t="s">
        <v>25</v>
      </c>
      <c r="F1728" s="6" t="s">
        <v>26</v>
      </c>
      <c r="G1728" s="6" t="s">
        <v>177</v>
      </c>
      <c r="H1728" s="6" t="s">
        <v>2275</v>
      </c>
      <c r="I1728" s="6" t="str">
        <f>VLOOKUP(H1728,'Flow Location'!$A$1:$B$21,2,FALSE)</f>
        <v>Contained On Site, not within 5 ft. of Bayou/Surface Water/Drainage Ditch</v>
      </c>
      <c r="J1728" s="20">
        <v>0.0</v>
      </c>
      <c r="K1728" s="6" t="s">
        <v>3065</v>
      </c>
      <c r="L1728" s="6" t="str">
        <f>VLOOKUP(K1728,'Structure type'!$A$1:$B$15,2,FALSE)</f>
        <v>City Cleanout</v>
      </c>
      <c r="M1728" s="6" t="s">
        <v>3066</v>
      </c>
      <c r="N1728" s="6" t="str">
        <f>VLOOKUP(M1728,'Excursion Cause'!$A$1:$B$34,2,FALSE)</f>
        <v>Collection system temporary blockage</v>
      </c>
      <c r="O1728" s="21">
        <v>44817.0</v>
      </c>
      <c r="P1728" s="6" t="s">
        <v>245</v>
      </c>
      <c r="Q1728" s="21">
        <v>44817.0</v>
      </c>
      <c r="R1728" s="6" t="s">
        <v>637</v>
      </c>
      <c r="S1728" s="20">
        <v>0.0</v>
      </c>
      <c r="T1728" s="6" t="s">
        <v>3067</v>
      </c>
      <c r="U1728" s="6"/>
      <c r="V1728" s="6"/>
      <c r="W1728" s="6">
        <v>29.8167466</v>
      </c>
      <c r="X1728" s="6">
        <v>-95.2829134</v>
      </c>
    </row>
    <row r="1729" ht="15.75" customHeight="1">
      <c r="A1729" s="6">
        <v>49362.0</v>
      </c>
      <c r="B1729" s="6">
        <v>2022.0</v>
      </c>
      <c r="C1729" s="6" t="str">
        <f t="shared" si="5"/>
        <v>3423 BREMOND ST,Houston,Texas</v>
      </c>
      <c r="D1729" s="25" t="s">
        <v>3068</v>
      </c>
      <c r="E1729" s="6" t="s">
        <v>25</v>
      </c>
      <c r="F1729" s="6" t="s">
        <v>26</v>
      </c>
      <c r="G1729" s="6" t="s">
        <v>308</v>
      </c>
      <c r="H1729" s="6" t="s">
        <v>50</v>
      </c>
      <c r="I1729" s="6" t="str">
        <f>VLOOKUP(H1729,'Flow Location'!$A$1:$B$21,2,FALSE)</f>
        <v>Contained On Site, not within 5 ft. of Bayou/Surface Water/Drainage Ditch</v>
      </c>
      <c r="J1729" s="20">
        <v>3032.0</v>
      </c>
      <c r="K1729" s="6" t="s">
        <v>3069</v>
      </c>
      <c r="L1729" s="6" t="str">
        <f>VLOOKUP(K1729,'Structure type'!$A$1:$B$15,2,FALSE)</f>
        <v>Service Lateral</v>
      </c>
      <c r="M1729" s="6" t="s">
        <v>3070</v>
      </c>
      <c r="N1729" s="6" t="str">
        <f>VLOOKUP(M1729,'Excursion Cause'!$A$1:$B$34,2,FALSE)</f>
        <v>Collection system structural failure</v>
      </c>
      <c r="O1729" s="21">
        <v>44817.0</v>
      </c>
      <c r="P1729" s="6" t="s">
        <v>1092</v>
      </c>
      <c r="Q1729" s="21">
        <v>44818.0</v>
      </c>
      <c r="R1729" s="6" t="s">
        <v>648</v>
      </c>
      <c r="S1729" s="20">
        <v>2.0</v>
      </c>
      <c r="T1729" s="6" t="s">
        <v>3071</v>
      </c>
      <c r="U1729" s="6"/>
      <c r="V1729" s="6"/>
      <c r="W1729" s="6">
        <v>29.734226</v>
      </c>
      <c r="X1729" s="6">
        <v>-95.350235</v>
      </c>
    </row>
    <row r="1730" ht="15.75" customHeight="1">
      <c r="A1730" s="6">
        <v>49364.0</v>
      </c>
      <c r="B1730" s="6">
        <v>2022.0</v>
      </c>
      <c r="C1730" s="6" t="str">
        <f t="shared" si="5"/>
        <v>9013 BURL ST,Houston,Texas</v>
      </c>
      <c r="D1730" s="25" t="s">
        <v>3072</v>
      </c>
      <c r="E1730" s="6" t="s">
        <v>25</v>
      </c>
      <c r="F1730" s="6" t="s">
        <v>26</v>
      </c>
      <c r="G1730" s="6" t="s">
        <v>177</v>
      </c>
      <c r="H1730" s="6" t="s">
        <v>2275</v>
      </c>
      <c r="I1730" s="6" t="str">
        <f>VLOOKUP(H1730,'Flow Location'!$A$1:$B$21,2,FALSE)</f>
        <v>Contained On Site, not within 5 ft. of Bayou/Surface Water/Drainage Ditch</v>
      </c>
      <c r="J1730" s="20">
        <v>0.0</v>
      </c>
      <c r="K1730" s="6" t="s">
        <v>3073</v>
      </c>
      <c r="L1730" s="6" t="str">
        <f>VLOOKUP(K1730,'Structure type'!$A$1:$B$15,2,FALSE)</f>
        <v>City Cleanout</v>
      </c>
      <c r="M1730" s="6" t="s">
        <v>56</v>
      </c>
      <c r="N1730" s="6" t="str">
        <f>VLOOKUP(M1730,'Excursion Cause'!$A$1:$B$34,2,FALSE)</f>
        <v>Rags/Wipes</v>
      </c>
      <c r="O1730" s="21">
        <v>44817.0</v>
      </c>
      <c r="P1730" s="6" t="s">
        <v>802</v>
      </c>
      <c r="Q1730" s="21">
        <v>44817.0</v>
      </c>
      <c r="R1730" s="6" t="s">
        <v>203</v>
      </c>
      <c r="S1730" s="20">
        <v>0.0</v>
      </c>
      <c r="T1730" s="6" t="s">
        <v>3074</v>
      </c>
      <c r="U1730" s="6"/>
      <c r="V1730" s="6"/>
      <c r="W1730" s="6">
        <v>29.8432242</v>
      </c>
      <c r="X1730" s="6">
        <v>-95.2689947</v>
      </c>
    </row>
    <row r="1731" ht="15.75" customHeight="1">
      <c r="A1731" s="6">
        <v>49365.0</v>
      </c>
      <c r="B1731" s="6">
        <v>2022.0</v>
      </c>
      <c r="C1731" s="6" t="str">
        <f t="shared" si="5"/>
        <v>6519 SLOAN ST,Houston,Texas</v>
      </c>
      <c r="D1731" s="25" t="s">
        <v>3075</v>
      </c>
      <c r="E1731" s="6" t="s">
        <v>25</v>
      </c>
      <c r="F1731" s="6" t="s">
        <v>26</v>
      </c>
      <c r="G1731" s="6" t="s">
        <v>35</v>
      </c>
      <c r="H1731" s="6" t="s">
        <v>50</v>
      </c>
      <c r="I1731" s="6" t="str">
        <f>VLOOKUP(H1731,'Flow Location'!$A$1:$B$21,2,FALSE)</f>
        <v>Contained On Site, not within 5 ft. of Bayou/Surface Water/Drainage Ditch</v>
      </c>
      <c r="J1731" s="20">
        <v>0.0</v>
      </c>
      <c r="K1731" s="6" t="s">
        <v>29</v>
      </c>
      <c r="L1731" s="6" t="str">
        <f>VLOOKUP(K1731,'Structure type'!$A$1:$B$15,2,FALSE)</f>
        <v>Manhole</v>
      </c>
      <c r="M1731" s="6" t="s">
        <v>3076</v>
      </c>
      <c r="N1731" s="6" t="str">
        <f>VLOOKUP(M1731,'Excursion Cause'!$A$1:$B$34,2,FALSE)</f>
        <v>Grease Blockage</v>
      </c>
      <c r="O1731" s="21">
        <v>44817.0</v>
      </c>
      <c r="P1731" s="6" t="s">
        <v>1059</v>
      </c>
      <c r="Q1731" s="21">
        <v>44817.0</v>
      </c>
      <c r="R1731" s="6" t="s">
        <v>486</v>
      </c>
      <c r="S1731" s="20">
        <v>0.0</v>
      </c>
      <c r="T1731" s="6" t="s">
        <v>3077</v>
      </c>
      <c r="U1731" s="6"/>
      <c r="V1731" s="6"/>
      <c r="W1731" s="6">
        <v>29.6947054</v>
      </c>
      <c r="X1731" s="6">
        <v>-95.3106893</v>
      </c>
    </row>
    <row r="1732" ht="15.75" customHeight="1">
      <c r="A1732" s="6">
        <v>49367.0</v>
      </c>
      <c r="B1732" s="6">
        <v>2022.0</v>
      </c>
      <c r="C1732" s="6" t="str">
        <f t="shared" si="5"/>
        <v>6700 CHIMNEY ROCK RD,Houston,Texas</v>
      </c>
      <c r="D1732" s="25" t="s">
        <v>3078</v>
      </c>
      <c r="E1732" s="6" t="s">
        <v>25</v>
      </c>
      <c r="F1732" s="6" t="s">
        <v>26</v>
      </c>
      <c r="G1732" s="6" t="s">
        <v>287</v>
      </c>
      <c r="H1732" s="6" t="s">
        <v>1724</v>
      </c>
      <c r="I1732" s="6" t="str">
        <f>VLOOKUP(H1732,'Flow Location'!$A$1:$B$21,2,FALSE)</f>
        <v>Storm Sewer (not contained)</v>
      </c>
      <c r="J1732" s="20">
        <v>2436.0</v>
      </c>
      <c r="K1732" s="6" t="s">
        <v>3079</v>
      </c>
      <c r="L1732" s="6" t="str">
        <f>VLOOKUP(K1732,'Structure type'!$A$1:$B$15,2,FALSE)</f>
        <v>City Cleanout</v>
      </c>
      <c r="M1732" s="6" t="s">
        <v>3080</v>
      </c>
      <c r="N1732" s="6" t="str">
        <f>VLOOKUP(M1732,'Excursion Cause'!$A$1:$B$34,2,FALSE)</f>
        <v>Grease Blockage</v>
      </c>
      <c r="O1732" s="21">
        <v>44817.0</v>
      </c>
      <c r="P1732" s="6" t="s">
        <v>749</v>
      </c>
      <c r="Q1732" s="21">
        <v>44818.0</v>
      </c>
      <c r="R1732" s="6" t="s">
        <v>110</v>
      </c>
      <c r="S1732" s="20">
        <v>2.0</v>
      </c>
      <c r="T1732" s="6" t="s">
        <v>3081</v>
      </c>
      <c r="U1732" s="6"/>
      <c r="V1732" s="6"/>
      <c r="W1732" s="6">
        <v>29.706857</v>
      </c>
      <c r="X1732" s="6">
        <v>-95.4771974</v>
      </c>
    </row>
    <row r="1733" ht="15.75" customHeight="1">
      <c r="A1733" s="6">
        <v>49369.0</v>
      </c>
      <c r="B1733" s="6">
        <v>2022.0</v>
      </c>
      <c r="C1733" s="6" t="str">
        <f t="shared" si="5"/>
        <v>5801 W SUNFOREST DR,Houston,Texas</v>
      </c>
      <c r="D1733" s="6" t="s">
        <v>3082</v>
      </c>
      <c r="E1733" s="6" t="s">
        <v>25</v>
      </c>
      <c r="F1733" s="6" t="s">
        <v>26</v>
      </c>
      <c r="G1733" s="6" t="s">
        <v>76</v>
      </c>
      <c r="H1733" s="6" t="s">
        <v>2275</v>
      </c>
      <c r="I1733" s="6" t="str">
        <f>VLOOKUP(H1733,'Flow Location'!$A$1:$B$21,2,FALSE)</f>
        <v>Contained On Site, not within 5 ft. of Bayou/Surface Water/Drainage Ditch</v>
      </c>
      <c r="J1733" s="20">
        <v>0.0</v>
      </c>
      <c r="K1733" s="6" t="s">
        <v>29</v>
      </c>
      <c r="L1733" s="6" t="str">
        <f>VLOOKUP(K1733,'Structure type'!$A$1:$B$15,2,FALSE)</f>
        <v>Manhole</v>
      </c>
      <c r="M1733" s="6" t="s">
        <v>3083</v>
      </c>
      <c r="N1733" s="6" t="str">
        <f>VLOOKUP(M1733,'Excursion Cause'!$A$1:$B$34,2,FALSE)</f>
        <v>Grease Blockage</v>
      </c>
      <c r="O1733" s="21">
        <v>44818.0</v>
      </c>
      <c r="P1733" s="6" t="s">
        <v>1378</v>
      </c>
      <c r="Q1733" s="21">
        <v>44818.0</v>
      </c>
      <c r="R1733" s="6" t="s">
        <v>1794</v>
      </c>
      <c r="S1733" s="20">
        <v>0.0</v>
      </c>
      <c r="T1733" s="6" t="s">
        <v>3084</v>
      </c>
      <c r="U1733" s="6"/>
      <c r="V1733" s="6"/>
      <c r="W1733" s="6">
        <v>29.8497099</v>
      </c>
      <c r="X1733" s="6">
        <v>-95.4810785</v>
      </c>
    </row>
    <row r="1734" ht="15.75" customHeight="1">
      <c r="A1734" s="6">
        <v>49375.0</v>
      </c>
      <c r="B1734" s="6">
        <v>2022.0</v>
      </c>
      <c r="C1734" s="6" t="str">
        <f t="shared" si="5"/>
        <v>11819 GLENWOLDE DR,Houston,Texas</v>
      </c>
      <c r="D1734" s="25" t="s">
        <v>3085</v>
      </c>
      <c r="E1734" s="6" t="s">
        <v>25</v>
      </c>
      <c r="F1734" s="6" t="s">
        <v>26</v>
      </c>
      <c r="G1734" s="6" t="s">
        <v>154</v>
      </c>
      <c r="H1734" s="6" t="s">
        <v>50</v>
      </c>
      <c r="I1734" s="6" t="str">
        <f>VLOOKUP(H1734,'Flow Location'!$A$1:$B$21,2,FALSE)</f>
        <v>Contained On Site, not within 5 ft. of Bayou/Surface Water/Drainage Ditch</v>
      </c>
      <c r="J1734" s="20">
        <v>0.0</v>
      </c>
      <c r="K1734" s="6" t="s">
        <v>3086</v>
      </c>
      <c r="L1734" s="6" t="str">
        <f>VLOOKUP(K1734,'Structure type'!$A$1:$B$15,2,FALSE)</f>
        <v>City Cleanout</v>
      </c>
      <c r="M1734" s="6" t="s">
        <v>3087</v>
      </c>
      <c r="N1734" s="6" t="str">
        <f>VLOOKUP(M1734,'Excursion Cause'!$A$1:$B$34,2,FALSE)</f>
        <v>Grease Blockage</v>
      </c>
      <c r="O1734" s="21">
        <v>44818.0</v>
      </c>
      <c r="P1734" s="6" t="s">
        <v>556</v>
      </c>
      <c r="Q1734" s="21">
        <v>44818.0</v>
      </c>
      <c r="R1734" s="6" t="s">
        <v>577</v>
      </c>
      <c r="S1734" s="20">
        <v>0.0</v>
      </c>
      <c r="T1734" s="6" t="s">
        <v>3088</v>
      </c>
      <c r="U1734" s="6"/>
      <c r="V1734" s="6"/>
      <c r="W1734" s="6">
        <v>29.677582</v>
      </c>
      <c r="X1734" s="6">
        <v>-95.5861599</v>
      </c>
    </row>
    <row r="1735" ht="15.75" customHeight="1">
      <c r="A1735" s="6">
        <v>49377.0</v>
      </c>
      <c r="B1735" s="6">
        <v>2022.0</v>
      </c>
      <c r="C1735" s="6" t="str">
        <f t="shared" si="5"/>
        <v>8823 TIMBERSIDE DR,Houston,Texas</v>
      </c>
      <c r="D1735" s="25" t="s">
        <v>1309</v>
      </c>
      <c r="E1735" s="6" t="s">
        <v>25</v>
      </c>
      <c r="F1735" s="6" t="s">
        <v>26</v>
      </c>
      <c r="G1735" s="6" t="s">
        <v>65</v>
      </c>
      <c r="H1735" s="6" t="s">
        <v>1724</v>
      </c>
      <c r="I1735" s="6" t="str">
        <f>VLOOKUP(H1735,'Flow Location'!$A$1:$B$21,2,FALSE)</f>
        <v>Storm Sewer (not contained)</v>
      </c>
      <c r="J1735" s="20">
        <v>242.0</v>
      </c>
      <c r="K1735" s="6" t="s">
        <v>29</v>
      </c>
      <c r="L1735" s="6" t="str">
        <f>VLOOKUP(K1735,'Structure type'!$A$1:$B$15,2,FALSE)</f>
        <v>Manhole</v>
      </c>
      <c r="M1735" s="6" t="s">
        <v>3089</v>
      </c>
      <c r="N1735" s="6" t="str">
        <f>VLOOKUP(M1735,'Excursion Cause'!$A$1:$B$34,2,FALSE)</f>
        <v>Grease Blockage</v>
      </c>
      <c r="O1735" s="21">
        <v>44819.0</v>
      </c>
      <c r="P1735" s="6" t="s">
        <v>1232</v>
      </c>
      <c r="Q1735" s="21">
        <v>44819.0</v>
      </c>
      <c r="R1735" s="6" t="s">
        <v>1035</v>
      </c>
      <c r="S1735" s="20">
        <v>2.0</v>
      </c>
      <c r="T1735" s="6" t="s">
        <v>3090</v>
      </c>
      <c r="U1735" s="6"/>
      <c r="V1735" s="6"/>
      <c r="W1735" s="6">
        <v>29.687004</v>
      </c>
      <c r="X1735" s="6">
        <v>-95.431099</v>
      </c>
    </row>
    <row r="1736" ht="15.75" customHeight="1">
      <c r="A1736" s="6">
        <v>49378.0</v>
      </c>
      <c r="B1736" s="6">
        <v>2022.0</v>
      </c>
      <c r="C1736" s="6" t="str">
        <f t="shared" si="5"/>
        <v>10841 GREENWILLOW DR,Houston,Texas</v>
      </c>
      <c r="D1736" s="25" t="s">
        <v>2836</v>
      </c>
      <c r="E1736" s="6" t="s">
        <v>25</v>
      </c>
      <c r="F1736" s="6" t="s">
        <v>26</v>
      </c>
      <c r="G1736" s="6" t="s">
        <v>127</v>
      </c>
      <c r="H1736" s="6" t="s">
        <v>2275</v>
      </c>
      <c r="I1736" s="6" t="str">
        <f>VLOOKUP(H1736,'Flow Location'!$A$1:$B$21,2,FALSE)</f>
        <v>Contained On Site, not within 5 ft. of Bayou/Surface Water/Drainage Ditch</v>
      </c>
      <c r="J1736" s="20">
        <v>0.0</v>
      </c>
      <c r="K1736" s="6" t="s">
        <v>29</v>
      </c>
      <c r="L1736" s="6" t="str">
        <f>VLOOKUP(K1736,'Structure type'!$A$1:$B$15,2,FALSE)</f>
        <v>Manhole</v>
      </c>
      <c r="M1736" s="6" t="s">
        <v>3091</v>
      </c>
      <c r="N1736" s="6" t="str">
        <f>VLOOKUP(M1736,'Excursion Cause'!$A$1:$B$34,2,FALSE)</f>
        <v>Grease Blockage</v>
      </c>
      <c r="O1736" s="21">
        <v>44819.0</v>
      </c>
      <c r="P1736" s="6" t="s">
        <v>288</v>
      </c>
      <c r="Q1736" s="21">
        <v>44819.0</v>
      </c>
      <c r="R1736" s="6" t="s">
        <v>1896</v>
      </c>
      <c r="S1736" s="20">
        <v>0.0</v>
      </c>
      <c r="T1736" s="6" t="s">
        <v>3092</v>
      </c>
      <c r="U1736" s="6"/>
      <c r="V1736" s="6"/>
      <c r="W1736" s="6">
        <v>29.6622154</v>
      </c>
      <c r="X1736" s="6">
        <v>-95.4486441</v>
      </c>
    </row>
    <row r="1737" ht="15.75" customHeight="1">
      <c r="A1737" s="6">
        <v>49383.0</v>
      </c>
      <c r="B1737" s="6">
        <v>2022.0</v>
      </c>
      <c r="C1737" s="6" t="str">
        <f t="shared" si="5"/>
        <v>310 RITTENHOUSE ST,Houston,Texas</v>
      </c>
      <c r="D1737" s="25" t="s">
        <v>3093</v>
      </c>
      <c r="E1737" s="6" t="s">
        <v>25</v>
      </c>
      <c r="F1737" s="6" t="s">
        <v>26</v>
      </c>
      <c r="G1737" s="6" t="s">
        <v>275</v>
      </c>
      <c r="H1737" s="6" t="s">
        <v>1964</v>
      </c>
      <c r="I1737" s="6" t="str">
        <f>VLOOKUP(H1737,'Flow Location'!$A$1:$B$21,2,FALSE)</f>
        <v>Within 5 ft. of Bayou/Surface Water/Drainage Ditch</v>
      </c>
      <c r="J1737" s="20">
        <v>35.0</v>
      </c>
      <c r="K1737" s="6" t="s">
        <v>29</v>
      </c>
      <c r="L1737" s="6" t="str">
        <f>VLOOKUP(K1737,'Structure type'!$A$1:$B$15,2,FALSE)</f>
        <v>Manhole</v>
      </c>
      <c r="M1737" s="6" t="s">
        <v>3094</v>
      </c>
      <c r="N1737" s="6" t="str">
        <f>VLOOKUP(M1737,'Excursion Cause'!$A$1:$B$34,2,FALSE)</f>
        <v>Grease Blockage</v>
      </c>
      <c r="O1737" s="21">
        <v>44819.0</v>
      </c>
      <c r="P1737" s="6" t="s">
        <v>259</v>
      </c>
      <c r="Q1737" s="21">
        <v>44819.0</v>
      </c>
      <c r="R1737" s="6" t="s">
        <v>522</v>
      </c>
      <c r="S1737" s="20">
        <v>0.0</v>
      </c>
      <c r="T1737" s="6" t="s">
        <v>3095</v>
      </c>
      <c r="U1737" s="6"/>
      <c r="V1737" s="6"/>
      <c r="W1737" s="6">
        <v>29.8642324</v>
      </c>
      <c r="X1737" s="6">
        <v>-95.3718278</v>
      </c>
    </row>
    <row r="1738" ht="15.75" customHeight="1">
      <c r="A1738" s="6">
        <v>49407.0</v>
      </c>
      <c r="B1738" s="6">
        <v>2022.0</v>
      </c>
      <c r="C1738" s="6" t="str">
        <f t="shared" si="5"/>
        <v>6768 RENWICK DR,Houston,Texas</v>
      </c>
      <c r="D1738" s="25" t="s">
        <v>1231</v>
      </c>
      <c r="E1738" s="6" t="s">
        <v>25</v>
      </c>
      <c r="F1738" s="6" t="s">
        <v>26</v>
      </c>
      <c r="G1738" s="6" t="s">
        <v>287</v>
      </c>
      <c r="H1738" s="6" t="s">
        <v>2275</v>
      </c>
      <c r="I1738" s="6" t="str">
        <f>VLOOKUP(H1738,'Flow Location'!$A$1:$B$21,2,FALSE)</f>
        <v>Contained On Site, not within 5 ft. of Bayou/Surface Water/Drainage Ditch</v>
      </c>
      <c r="J1738" s="20">
        <v>0.0</v>
      </c>
      <c r="K1738" s="6" t="s">
        <v>3096</v>
      </c>
      <c r="L1738" s="6" t="str">
        <f>VLOOKUP(K1738,'Structure type'!$A$1:$B$15,2,FALSE)</f>
        <v>City Cleanout</v>
      </c>
      <c r="M1738" s="6" t="s">
        <v>3097</v>
      </c>
      <c r="N1738" s="6" t="str">
        <f>VLOOKUP(M1738,'Excursion Cause'!$A$1:$B$34,2,FALSE)</f>
        <v>Grease Blockage</v>
      </c>
      <c r="O1738" s="21">
        <v>44823.0</v>
      </c>
      <c r="P1738" s="6" t="s">
        <v>710</v>
      </c>
      <c r="Q1738" s="21">
        <v>44823.0</v>
      </c>
      <c r="R1738" s="6" t="s">
        <v>712</v>
      </c>
      <c r="S1738" s="20">
        <v>0.0</v>
      </c>
      <c r="T1738" s="6" t="s">
        <v>3098</v>
      </c>
      <c r="U1738" s="6"/>
      <c r="V1738" s="6"/>
      <c r="W1738" s="6">
        <v>29.7060684</v>
      </c>
      <c r="X1738" s="6">
        <v>-95.485093</v>
      </c>
    </row>
    <row r="1739" ht="15.75" customHeight="1">
      <c r="A1739" s="6">
        <v>49408.0</v>
      </c>
      <c r="B1739" s="6">
        <v>2022.0</v>
      </c>
      <c r="C1739" s="6" t="str">
        <f t="shared" si="5"/>
        <v>8800 BRAESWOOD BLVD,Houston,Texas</v>
      </c>
      <c r="D1739" s="25" t="s">
        <v>3099</v>
      </c>
      <c r="E1739" s="6" t="s">
        <v>25</v>
      </c>
      <c r="F1739" s="6" t="s">
        <v>26</v>
      </c>
      <c r="G1739" s="6" t="s">
        <v>214</v>
      </c>
      <c r="H1739" s="6" t="s">
        <v>2275</v>
      </c>
      <c r="I1739" s="6" t="str">
        <f>VLOOKUP(H1739,'Flow Location'!$A$1:$B$21,2,FALSE)</f>
        <v>Contained On Site, not within 5 ft. of Bayou/Surface Water/Drainage Ditch</v>
      </c>
      <c r="J1739" s="20">
        <v>270.0</v>
      </c>
      <c r="K1739" s="6" t="s">
        <v>29</v>
      </c>
      <c r="L1739" s="6" t="str">
        <f>VLOOKUP(K1739,'Structure type'!$A$1:$B$15,2,FALSE)</f>
        <v>Manhole</v>
      </c>
      <c r="M1739" s="6" t="s">
        <v>3100</v>
      </c>
      <c r="N1739" s="6" t="str">
        <f>VLOOKUP(M1739,'Excursion Cause'!$A$1:$B$34,2,FALSE)</f>
        <v>Grease Blockage</v>
      </c>
      <c r="O1739" s="21">
        <v>44823.0</v>
      </c>
      <c r="P1739" s="6" t="s">
        <v>1819</v>
      </c>
      <c r="Q1739" s="21">
        <v>44823.0</v>
      </c>
      <c r="R1739" s="6" t="s">
        <v>982</v>
      </c>
      <c r="S1739" s="20">
        <v>3.0</v>
      </c>
      <c r="T1739" s="6" t="s">
        <v>3101</v>
      </c>
      <c r="U1739" s="6"/>
      <c r="V1739" s="6"/>
      <c r="W1739" s="6">
        <v>29.6724077</v>
      </c>
      <c r="X1739" s="6">
        <v>-95.5316186</v>
      </c>
    </row>
    <row r="1740" ht="15.75" customHeight="1">
      <c r="A1740" s="6">
        <v>49414.0</v>
      </c>
      <c r="B1740" s="6">
        <v>2022.0</v>
      </c>
      <c r="C1740" s="6" t="str">
        <f t="shared" si="5"/>
        <v>2801 ROLIDO DR,Houston,Texas</v>
      </c>
      <c r="D1740" s="25" t="s">
        <v>3102</v>
      </c>
      <c r="E1740" s="6" t="s">
        <v>25</v>
      </c>
      <c r="F1740" s="6" t="s">
        <v>26</v>
      </c>
      <c r="G1740" s="6" t="s">
        <v>482</v>
      </c>
      <c r="H1740" s="6" t="s">
        <v>1724</v>
      </c>
      <c r="I1740" s="6" t="str">
        <f>VLOOKUP(H1740,'Flow Location'!$A$1:$B$21,2,FALSE)</f>
        <v>Storm Sewer (not contained)</v>
      </c>
      <c r="J1740" s="20">
        <v>376.0</v>
      </c>
      <c r="K1740" s="6" t="s">
        <v>29</v>
      </c>
      <c r="L1740" s="6" t="str">
        <f>VLOOKUP(K1740,'Structure type'!$A$1:$B$15,2,FALSE)</f>
        <v>Manhole</v>
      </c>
      <c r="M1740" s="6" t="s">
        <v>3103</v>
      </c>
      <c r="N1740" s="6" t="str">
        <f>VLOOKUP(M1740,'Excursion Cause'!$A$1:$B$34,2,FALSE)</f>
        <v>Grease Blockage</v>
      </c>
      <c r="O1740" s="21">
        <v>44824.0</v>
      </c>
      <c r="P1740" s="6" t="s">
        <v>1035</v>
      </c>
      <c r="Q1740" s="21">
        <v>44824.0</v>
      </c>
      <c r="R1740" s="6" t="s">
        <v>296</v>
      </c>
      <c r="S1740" s="20">
        <v>4.0</v>
      </c>
      <c r="T1740" s="6" t="s">
        <v>3104</v>
      </c>
      <c r="U1740" s="6"/>
      <c r="V1740" s="6"/>
      <c r="W1740" s="6">
        <v>29.734846</v>
      </c>
      <c r="X1740" s="6">
        <v>-95.51494</v>
      </c>
    </row>
    <row r="1741" ht="15.75" customHeight="1">
      <c r="A1741" s="6">
        <v>49415.0</v>
      </c>
      <c r="B1741" s="6">
        <v>2022.0</v>
      </c>
      <c r="C1741" s="6" t="str">
        <f t="shared" si="5"/>
        <v>8549 BEECHNUT ST,Houston,Texas</v>
      </c>
      <c r="D1741" s="25" t="s">
        <v>3105</v>
      </c>
      <c r="E1741" s="6" t="s">
        <v>25</v>
      </c>
      <c r="F1741" s="6" t="s">
        <v>26</v>
      </c>
      <c r="G1741" s="6" t="s">
        <v>100</v>
      </c>
      <c r="H1741" s="6" t="s">
        <v>1724</v>
      </c>
      <c r="I1741" s="6" t="str">
        <f>VLOOKUP(H1741,'Flow Location'!$A$1:$B$21,2,FALSE)</f>
        <v>Storm Sewer (not contained)</v>
      </c>
      <c r="J1741" s="20">
        <v>262.0</v>
      </c>
      <c r="K1741" s="6" t="s">
        <v>3106</v>
      </c>
      <c r="L1741" s="6" t="str">
        <f>VLOOKUP(K1741,'Structure type'!$A$1:$B$15,2,FALSE)</f>
        <v>City Cleanout</v>
      </c>
      <c r="M1741" s="6" t="s">
        <v>3107</v>
      </c>
      <c r="N1741" s="6" t="str">
        <f>VLOOKUP(M1741,'Excursion Cause'!$A$1:$B$34,2,FALSE)</f>
        <v>Grease Blockage</v>
      </c>
      <c r="O1741" s="21">
        <v>44824.0</v>
      </c>
      <c r="P1741" s="6" t="s">
        <v>2479</v>
      </c>
      <c r="Q1741" s="21">
        <v>44824.0</v>
      </c>
      <c r="R1741" s="6" t="s">
        <v>149</v>
      </c>
      <c r="S1741" s="20">
        <v>2.0</v>
      </c>
      <c r="T1741" s="6" t="s">
        <v>3108</v>
      </c>
      <c r="U1741" s="6"/>
      <c r="V1741" s="6"/>
      <c r="W1741" s="6">
        <v>29.6910827</v>
      </c>
      <c r="X1741" s="6">
        <v>-95.5341901</v>
      </c>
    </row>
    <row r="1742" ht="15.75" customHeight="1">
      <c r="A1742" s="6">
        <v>49420.0</v>
      </c>
      <c r="B1742" s="6">
        <v>2022.0</v>
      </c>
      <c r="C1742" s="6" t="str">
        <f t="shared" si="5"/>
        <v>607 E 23RD ST,Houston,Texas</v>
      </c>
      <c r="D1742" s="6" t="s">
        <v>3109</v>
      </c>
      <c r="E1742" s="6" t="s">
        <v>25</v>
      </c>
      <c r="F1742" s="6" t="s">
        <v>26</v>
      </c>
      <c r="G1742" s="6" t="s">
        <v>232</v>
      </c>
      <c r="H1742" s="6" t="s">
        <v>50</v>
      </c>
      <c r="I1742" s="6" t="str">
        <f>VLOOKUP(H1742,'Flow Location'!$A$1:$B$21,2,FALSE)</f>
        <v>Contained On Site, not within 5 ft. of Bayou/Surface Water/Drainage Ditch</v>
      </c>
      <c r="J1742" s="20">
        <v>0.0</v>
      </c>
      <c r="K1742" s="6" t="s">
        <v>3110</v>
      </c>
      <c r="L1742" s="6" t="str">
        <f>VLOOKUP(K1742,'Structure type'!$A$1:$B$15,2,FALSE)</f>
        <v>City Cleanout</v>
      </c>
      <c r="M1742" s="6" t="s">
        <v>56</v>
      </c>
      <c r="N1742" s="6" t="str">
        <f>VLOOKUP(M1742,'Excursion Cause'!$A$1:$B$34,2,FALSE)</f>
        <v>Rags/Wipes</v>
      </c>
      <c r="O1742" s="21">
        <v>44825.0</v>
      </c>
      <c r="P1742" s="6" t="s">
        <v>66</v>
      </c>
      <c r="Q1742" s="21">
        <v>44825.0</v>
      </c>
      <c r="R1742" s="6" t="s">
        <v>92</v>
      </c>
      <c r="S1742" s="20">
        <v>0.0</v>
      </c>
      <c r="T1742" s="6" t="s">
        <v>3111</v>
      </c>
      <c r="U1742" s="6"/>
      <c r="V1742" s="6"/>
      <c r="W1742" s="6">
        <v>29.8074681</v>
      </c>
      <c r="X1742" s="6">
        <v>-95.39188</v>
      </c>
    </row>
    <row r="1743" ht="15.75" customHeight="1">
      <c r="A1743" s="6">
        <v>49424.0</v>
      </c>
      <c r="B1743" s="6">
        <v>2022.0</v>
      </c>
      <c r="C1743" s="6" t="str">
        <f t="shared" si="5"/>
        <v>5629 GRAPEVINE ST,Houston,Texas</v>
      </c>
      <c r="D1743" s="25" t="s">
        <v>2305</v>
      </c>
      <c r="E1743" s="6" t="s">
        <v>25</v>
      </c>
      <c r="F1743" s="6" t="s">
        <v>26</v>
      </c>
      <c r="G1743" s="6" t="s">
        <v>384</v>
      </c>
      <c r="H1743" s="6" t="s">
        <v>50</v>
      </c>
      <c r="I1743" s="6" t="str">
        <f>VLOOKUP(H1743,'Flow Location'!$A$1:$B$21,2,FALSE)</f>
        <v>Contained On Site, not within 5 ft. of Bayou/Surface Water/Drainage Ditch</v>
      </c>
      <c r="J1743" s="20">
        <v>134.0</v>
      </c>
      <c r="K1743" s="6" t="s">
        <v>3112</v>
      </c>
      <c r="L1743" s="6" t="str">
        <f>VLOOKUP(K1743,'Structure type'!$A$1:$B$15,2,FALSE)</f>
        <v>City Cleanout</v>
      </c>
      <c r="M1743" s="6" t="s">
        <v>56</v>
      </c>
      <c r="N1743" s="6" t="str">
        <f>VLOOKUP(M1743,'Excursion Cause'!$A$1:$B$34,2,FALSE)</f>
        <v>Rags/Wipes</v>
      </c>
      <c r="O1743" s="21">
        <v>44825.0</v>
      </c>
      <c r="P1743" s="6" t="s">
        <v>314</v>
      </c>
      <c r="Q1743" s="21">
        <v>44825.0</v>
      </c>
      <c r="R1743" s="6" t="s">
        <v>490</v>
      </c>
      <c r="S1743" s="20">
        <v>1.0</v>
      </c>
      <c r="T1743" s="6" t="s">
        <v>3113</v>
      </c>
      <c r="U1743" s="6"/>
      <c r="V1743" s="6"/>
      <c r="W1743" s="6">
        <v>29.6158711</v>
      </c>
      <c r="X1743" s="6">
        <v>-95.4680008</v>
      </c>
    </row>
    <row r="1744" ht="15.75" customHeight="1">
      <c r="A1744" s="6">
        <v>49426.0</v>
      </c>
      <c r="B1744" s="6">
        <v>2022.0</v>
      </c>
      <c r="C1744" s="6" t="str">
        <f t="shared" si="5"/>
        <v>10005 LAZY OAKS ST,Houston,Texas</v>
      </c>
      <c r="D1744" s="25" t="s">
        <v>3114</v>
      </c>
      <c r="E1744" s="6" t="s">
        <v>25</v>
      </c>
      <c r="F1744" s="6" t="s">
        <v>26</v>
      </c>
      <c r="G1744" s="6" t="s">
        <v>294</v>
      </c>
      <c r="H1744" s="6" t="s">
        <v>50</v>
      </c>
      <c r="I1744" s="6" t="str">
        <f>VLOOKUP(H1744,'Flow Location'!$A$1:$B$21,2,FALSE)</f>
        <v>Contained On Site, not within 5 ft. of Bayou/Surface Water/Drainage Ditch</v>
      </c>
      <c r="J1744" s="20">
        <v>0.0</v>
      </c>
      <c r="K1744" s="6" t="s">
        <v>3115</v>
      </c>
      <c r="L1744" s="6" t="str">
        <f>VLOOKUP(K1744,'Structure type'!$A$1:$B$15,2,FALSE)</f>
        <v>Service Lateral</v>
      </c>
      <c r="M1744" s="6" t="s">
        <v>3116</v>
      </c>
      <c r="N1744" s="6" t="str">
        <f>VLOOKUP(M1744,'Excursion Cause'!$A$1:$B$34,2,FALSE)</f>
        <v>Collection system structural blockage</v>
      </c>
      <c r="O1744" s="21">
        <v>44823.0</v>
      </c>
      <c r="P1744" s="6" t="s">
        <v>399</v>
      </c>
      <c r="Q1744" s="21">
        <v>44823.0</v>
      </c>
      <c r="R1744" s="6" t="s">
        <v>1141</v>
      </c>
      <c r="S1744" s="20">
        <v>0.0</v>
      </c>
      <c r="T1744" s="6" t="s">
        <v>3117</v>
      </c>
      <c r="U1744" s="6"/>
      <c r="V1744" s="6"/>
      <c r="W1744" s="6">
        <v>29.7989541</v>
      </c>
      <c r="X1744" s="6">
        <v>-95.5407094</v>
      </c>
    </row>
    <row r="1745" ht="15.75" customHeight="1">
      <c r="A1745" s="6">
        <v>49429.0</v>
      </c>
      <c r="B1745" s="6">
        <v>2022.0</v>
      </c>
      <c r="C1745" s="6" t="str">
        <f t="shared" si="5"/>
        <v>11002 DALEBROOK DR,Houston,Texas</v>
      </c>
      <c r="D1745" s="25" t="s">
        <v>3118</v>
      </c>
      <c r="E1745" s="6" t="s">
        <v>25</v>
      </c>
      <c r="F1745" s="6" t="s">
        <v>26</v>
      </c>
      <c r="G1745" s="6" t="s">
        <v>326</v>
      </c>
      <c r="H1745" s="6" t="s">
        <v>50</v>
      </c>
      <c r="I1745" s="6" t="str">
        <f>VLOOKUP(H1745,'Flow Location'!$A$1:$B$21,2,FALSE)</f>
        <v>Contained On Site, not within 5 ft. of Bayou/Surface Water/Drainage Ditch</v>
      </c>
      <c r="J1745" s="20">
        <v>0.0</v>
      </c>
      <c r="K1745" s="6" t="s">
        <v>29</v>
      </c>
      <c r="L1745" s="6" t="str">
        <f>VLOOKUP(K1745,'Structure type'!$A$1:$B$15,2,FALSE)</f>
        <v>Manhole</v>
      </c>
      <c r="M1745" s="6" t="s">
        <v>3119</v>
      </c>
      <c r="N1745" s="6" t="str">
        <f>VLOOKUP(M1745,'Excursion Cause'!$A$1:$B$34,2,FALSE)</f>
        <v>Grease Blockage</v>
      </c>
      <c r="O1745" s="21">
        <v>44825.0</v>
      </c>
      <c r="P1745" s="6" t="s">
        <v>3120</v>
      </c>
      <c r="Q1745" s="21">
        <v>44825.0</v>
      </c>
      <c r="R1745" s="6" t="s">
        <v>510</v>
      </c>
      <c r="S1745" s="20">
        <v>0.0</v>
      </c>
      <c r="T1745" s="6" t="s">
        <v>3121</v>
      </c>
      <c r="U1745" s="6"/>
      <c r="V1745" s="6"/>
      <c r="W1745" s="6">
        <v>29.875513</v>
      </c>
      <c r="X1745" s="6">
        <v>-95.2867331</v>
      </c>
    </row>
    <row r="1746" ht="15.75" customHeight="1">
      <c r="A1746" s="6">
        <v>49430.0</v>
      </c>
      <c r="B1746" s="6">
        <v>2022.0</v>
      </c>
      <c r="C1746" s="6" t="str">
        <f t="shared" si="5"/>
        <v>6119 BACHER ST,Houston,Texas</v>
      </c>
      <c r="D1746" s="25" t="s">
        <v>3122</v>
      </c>
      <c r="E1746" s="6" t="s">
        <v>25</v>
      </c>
      <c r="F1746" s="6" t="s">
        <v>26</v>
      </c>
      <c r="G1746" s="6" t="s">
        <v>177</v>
      </c>
      <c r="H1746" s="6" t="s">
        <v>1964</v>
      </c>
      <c r="I1746" s="6" t="str">
        <f>VLOOKUP(H1746,'Flow Location'!$A$1:$B$21,2,FALSE)</f>
        <v>Within 5 ft. of Bayou/Surface Water/Drainage Ditch</v>
      </c>
      <c r="J1746" s="20">
        <v>0.0</v>
      </c>
      <c r="K1746" s="6" t="s">
        <v>3123</v>
      </c>
      <c r="L1746" s="6" t="str">
        <f>VLOOKUP(K1746,'Structure type'!$A$1:$B$15,2,FALSE)</f>
        <v>City Cleanout</v>
      </c>
      <c r="M1746" s="6" t="s">
        <v>3124</v>
      </c>
      <c r="N1746" s="6" t="str">
        <f>VLOOKUP(M1746,'Excursion Cause'!$A$1:$B$34,2,FALSE)</f>
        <v>Collection system structural blockage</v>
      </c>
      <c r="O1746" s="21">
        <v>44825.0</v>
      </c>
      <c r="P1746" s="6" t="s">
        <v>985</v>
      </c>
      <c r="Q1746" s="21">
        <v>44825.0</v>
      </c>
      <c r="R1746" s="6" t="s">
        <v>1627</v>
      </c>
      <c r="S1746" s="20">
        <v>0.0</v>
      </c>
      <c r="T1746" s="6" t="s">
        <v>3125</v>
      </c>
      <c r="U1746" s="6"/>
      <c r="V1746" s="6"/>
      <c r="W1746" s="6">
        <v>29.8180534</v>
      </c>
      <c r="X1746" s="6">
        <v>-95.2775839</v>
      </c>
    </row>
    <row r="1747" ht="15.75" customHeight="1">
      <c r="A1747" s="6">
        <v>49431.0</v>
      </c>
      <c r="B1747" s="6">
        <v>2022.0</v>
      </c>
      <c r="C1747" s="6" t="str">
        <f t="shared" si="5"/>
        <v>15013 KIMBERLEY CT,Houston,Texas</v>
      </c>
      <c r="D1747" s="25" t="s">
        <v>3126</v>
      </c>
      <c r="E1747" s="6" t="s">
        <v>25</v>
      </c>
      <c r="F1747" s="6" t="s">
        <v>26</v>
      </c>
      <c r="G1747" s="6" t="s">
        <v>520</v>
      </c>
      <c r="H1747" s="6" t="s">
        <v>2275</v>
      </c>
      <c r="I1747" s="6" t="str">
        <f>VLOOKUP(H1747,'Flow Location'!$A$1:$B$21,2,FALSE)</f>
        <v>Contained On Site, not within 5 ft. of Bayou/Surface Water/Drainage Ditch</v>
      </c>
      <c r="J1747" s="20">
        <v>0.0</v>
      </c>
      <c r="K1747" s="6" t="s">
        <v>3127</v>
      </c>
      <c r="L1747" s="6" t="str">
        <f>VLOOKUP(K1747,'Structure type'!$A$1:$B$15,2,FALSE)</f>
        <v>Service Lateral</v>
      </c>
      <c r="M1747" s="6" t="s">
        <v>3128</v>
      </c>
      <c r="N1747" s="6" t="str">
        <f>VLOOKUP(M1747,'Excursion Cause'!$A$1:$B$34,2,FALSE)</f>
        <v>Collection system structural blockage</v>
      </c>
      <c r="O1747" s="21">
        <v>44826.0</v>
      </c>
      <c r="P1747" s="6" t="s">
        <v>1317</v>
      </c>
      <c r="Q1747" s="21">
        <v>44826.0</v>
      </c>
      <c r="R1747" s="6" t="s">
        <v>651</v>
      </c>
      <c r="S1747" s="20">
        <v>0.0</v>
      </c>
      <c r="T1747" s="6" t="s">
        <v>3129</v>
      </c>
      <c r="U1747" s="6"/>
      <c r="V1747" s="6"/>
      <c r="W1747" s="6">
        <v>29.7743029</v>
      </c>
      <c r="X1747" s="6">
        <v>-95.6166717</v>
      </c>
    </row>
    <row r="1748" ht="15.75" customHeight="1">
      <c r="A1748" s="6">
        <v>49437.0</v>
      </c>
      <c r="B1748" s="6">
        <v>2022.0</v>
      </c>
      <c r="C1748" s="6" t="str">
        <f t="shared" si="5"/>
        <v>9203 SANFORD RD,Houston,Texas</v>
      </c>
      <c r="D1748" s="25" t="s">
        <v>3130</v>
      </c>
      <c r="E1748" s="6" t="s">
        <v>25</v>
      </c>
      <c r="F1748" s="6" t="s">
        <v>26</v>
      </c>
      <c r="G1748" s="6" t="s">
        <v>214</v>
      </c>
      <c r="H1748" s="6" t="s">
        <v>50</v>
      </c>
      <c r="I1748" s="6" t="str">
        <f>VLOOKUP(H1748,'Flow Location'!$A$1:$B$21,2,FALSE)</f>
        <v>Contained On Site, not within 5 ft. of Bayou/Surface Water/Drainage Ditch</v>
      </c>
      <c r="J1748" s="20">
        <v>0.0</v>
      </c>
      <c r="K1748" s="6" t="s">
        <v>3131</v>
      </c>
      <c r="L1748" s="6" t="str">
        <f>VLOOKUP(K1748,'Structure type'!$A$1:$B$15,2,FALSE)</f>
        <v>Private Cleanout</v>
      </c>
      <c r="M1748" s="6" t="s">
        <v>3132</v>
      </c>
      <c r="N1748" s="6" t="str">
        <f>VLOOKUP(M1748,'Excursion Cause'!$A$1:$B$34,2,FALSE)</f>
        <v>Grease Blockage</v>
      </c>
      <c r="O1748" s="21">
        <v>44827.0</v>
      </c>
      <c r="P1748" s="6" t="s">
        <v>2293</v>
      </c>
      <c r="Q1748" s="21">
        <v>44827.0</v>
      </c>
      <c r="R1748" s="6" t="s">
        <v>1213</v>
      </c>
      <c r="S1748" s="20">
        <v>0.0</v>
      </c>
      <c r="T1748" s="6" t="s">
        <v>3133</v>
      </c>
      <c r="U1748" s="6"/>
      <c r="V1748" s="6"/>
      <c r="W1748" s="6">
        <v>29.658824</v>
      </c>
      <c r="X1748" s="6">
        <v>-95.5387802</v>
      </c>
    </row>
    <row r="1749" ht="15.75" customHeight="1">
      <c r="A1749" s="6">
        <v>49448.0</v>
      </c>
      <c r="B1749" s="6">
        <v>2022.0</v>
      </c>
      <c r="C1749" s="6" t="str">
        <f t="shared" si="5"/>
        <v>7015 WOODSMAN TRL,Houston,Texas</v>
      </c>
      <c r="D1749" s="25" t="s">
        <v>3134</v>
      </c>
      <c r="E1749" s="6" t="s">
        <v>25</v>
      </c>
      <c r="F1749" s="6" t="s">
        <v>26</v>
      </c>
      <c r="G1749" s="6" t="s">
        <v>253</v>
      </c>
      <c r="H1749" s="6" t="s">
        <v>28</v>
      </c>
      <c r="I1749" s="6" t="str">
        <f>VLOOKUP(H1749,'Flow Location'!$A$1:$B$21,2,FALSE)</f>
        <v>Storm Sewer (not contained)</v>
      </c>
      <c r="J1749" s="20">
        <v>300.0</v>
      </c>
      <c r="K1749" s="6" t="s">
        <v>3135</v>
      </c>
      <c r="L1749" s="6" t="str">
        <f>VLOOKUP(K1749,'Structure type'!$A$1:$B$15,2,FALSE)</f>
        <v>Gravity Main</v>
      </c>
      <c r="M1749" s="6" t="s">
        <v>3136</v>
      </c>
      <c r="N1749" s="6" t="str">
        <f>VLOOKUP(M1749,'Excursion Cause'!$A$1:$B$34,2,FALSE)</f>
        <v>Collection system structural failure</v>
      </c>
      <c r="O1749" s="21">
        <v>44830.0</v>
      </c>
      <c r="P1749" s="6" t="s">
        <v>786</v>
      </c>
      <c r="Q1749" s="21">
        <v>44830.0</v>
      </c>
      <c r="R1749" s="6" t="s">
        <v>380</v>
      </c>
      <c r="S1749" s="20">
        <v>5.0</v>
      </c>
      <c r="T1749" s="6" t="s">
        <v>3137</v>
      </c>
      <c r="U1749" s="6"/>
      <c r="V1749" s="6"/>
      <c r="W1749" s="6">
        <v>29.88483</v>
      </c>
      <c r="X1749" s="6">
        <v>-95.4947616</v>
      </c>
    </row>
    <row r="1750" ht="15.75" customHeight="1">
      <c r="A1750" s="6">
        <v>49451.0</v>
      </c>
      <c r="B1750" s="6">
        <v>2022.0</v>
      </c>
      <c r="C1750" s="6" t="str">
        <f t="shared" si="5"/>
        <v>9 MARSDEN ST,Houston,Texas</v>
      </c>
      <c r="D1750" s="25" t="s">
        <v>3138</v>
      </c>
      <c r="E1750" s="6" t="s">
        <v>25</v>
      </c>
      <c r="F1750" s="6" t="s">
        <v>26</v>
      </c>
      <c r="G1750" s="6" t="s">
        <v>227</v>
      </c>
      <c r="H1750" s="6" t="s">
        <v>28</v>
      </c>
      <c r="I1750" s="6" t="str">
        <f>VLOOKUP(H1750,'Flow Location'!$A$1:$B$21,2,FALSE)</f>
        <v>Storm Sewer (not contained)</v>
      </c>
      <c r="J1750" s="20">
        <v>0.0</v>
      </c>
      <c r="K1750" s="6" t="s">
        <v>3139</v>
      </c>
      <c r="L1750" s="6" t="str">
        <f>VLOOKUP(K1750,'Structure type'!$A$1:$B$15,2,FALSE)</f>
        <v>Service Lateral</v>
      </c>
      <c r="M1750" s="6" t="s">
        <v>3140</v>
      </c>
      <c r="N1750" s="6" t="str">
        <f>VLOOKUP(M1750,'Excursion Cause'!$A$1:$B$34,2,FALSE)</f>
        <v>Collection system structural failure</v>
      </c>
      <c r="O1750" s="21">
        <v>44830.0</v>
      </c>
      <c r="P1750" s="6" t="s">
        <v>199</v>
      </c>
      <c r="Q1750" s="21">
        <v>44830.0</v>
      </c>
      <c r="R1750" s="6" t="s">
        <v>796</v>
      </c>
      <c r="S1750" s="20">
        <v>0.0</v>
      </c>
      <c r="T1750" s="6" t="s">
        <v>3141</v>
      </c>
      <c r="U1750" s="6"/>
      <c r="V1750" s="6"/>
      <c r="W1750" s="6">
        <v>29.7428065</v>
      </c>
      <c r="X1750" s="6">
        <v>-95.3118164</v>
      </c>
    </row>
    <row r="1751" ht="15.75" customHeight="1">
      <c r="A1751" s="6">
        <v>49453.0</v>
      </c>
      <c r="B1751" s="6">
        <v>2022.0</v>
      </c>
      <c r="C1751" s="6" t="str">
        <f t="shared" si="5"/>
        <v>7435 HILLSBORO ST,Houston,Texas</v>
      </c>
      <c r="D1751" s="25" t="s">
        <v>3142</v>
      </c>
      <c r="E1751" s="6" t="s">
        <v>25</v>
      </c>
      <c r="F1751" s="6" t="s">
        <v>26</v>
      </c>
      <c r="G1751" s="6" t="s">
        <v>86</v>
      </c>
      <c r="H1751" s="6" t="s">
        <v>2275</v>
      </c>
      <c r="I1751" s="6" t="str">
        <f>VLOOKUP(H1751,'Flow Location'!$A$1:$B$21,2,FALSE)</f>
        <v>Contained On Site, not within 5 ft. of Bayou/Surface Water/Drainage Ditch</v>
      </c>
      <c r="J1751" s="20">
        <v>0.0</v>
      </c>
      <c r="K1751" s="6" t="s">
        <v>3143</v>
      </c>
      <c r="L1751" s="6" t="str">
        <f>VLOOKUP(K1751,'Structure type'!$A$1:$B$15,2,FALSE)</f>
        <v>Private Cleanout</v>
      </c>
      <c r="M1751" s="6" t="s">
        <v>3144</v>
      </c>
      <c r="N1751" s="6" t="str">
        <f>VLOOKUP(M1751,'Excursion Cause'!$A$1:$B$34,2,FALSE)</f>
        <v>Collection system structural blockage</v>
      </c>
      <c r="O1751" s="21">
        <v>44830.0</v>
      </c>
      <c r="P1751" s="6" t="s">
        <v>483</v>
      </c>
      <c r="Q1751" s="21">
        <v>44830.0</v>
      </c>
      <c r="R1751" s="6" t="s">
        <v>2517</v>
      </c>
      <c r="S1751" s="20">
        <v>0.0</v>
      </c>
      <c r="T1751" s="6" t="s">
        <v>3145</v>
      </c>
      <c r="U1751" s="6"/>
      <c r="V1751" s="6"/>
      <c r="W1751" s="6">
        <v>29.7803398</v>
      </c>
      <c r="X1751" s="6">
        <v>-95.293377</v>
      </c>
    </row>
    <row r="1752" ht="15.75" customHeight="1">
      <c r="A1752" s="6">
        <v>49458.0</v>
      </c>
      <c r="B1752" s="6">
        <v>2022.0</v>
      </c>
      <c r="C1752" s="6" t="str">
        <f t="shared" si="5"/>
        <v>2200 JEFFERSON ST,Houston,Texas</v>
      </c>
      <c r="D1752" s="25" t="s">
        <v>2481</v>
      </c>
      <c r="E1752" s="6" t="s">
        <v>25</v>
      </c>
      <c r="F1752" s="6" t="s">
        <v>26</v>
      </c>
      <c r="G1752" s="6" t="s">
        <v>172</v>
      </c>
      <c r="H1752" s="6" t="s">
        <v>1724</v>
      </c>
      <c r="I1752" s="6" t="str">
        <f>VLOOKUP(H1752,'Flow Location'!$A$1:$B$21,2,FALSE)</f>
        <v>Storm Sewer (not contained)</v>
      </c>
      <c r="J1752" s="20">
        <v>0.0</v>
      </c>
      <c r="K1752" s="6" t="s">
        <v>29</v>
      </c>
      <c r="L1752" s="6" t="str">
        <f>VLOOKUP(K1752,'Structure type'!$A$1:$B$15,2,FALSE)</f>
        <v>Manhole</v>
      </c>
      <c r="M1752" s="6" t="s">
        <v>3146</v>
      </c>
      <c r="N1752" s="6" t="str">
        <f>VLOOKUP(M1752,'Excursion Cause'!$A$1:$B$34,2,FALSE)</f>
        <v>Grease Blockage</v>
      </c>
      <c r="O1752" s="21">
        <v>44830.0</v>
      </c>
      <c r="P1752" s="6" t="s">
        <v>637</v>
      </c>
      <c r="Q1752" s="21">
        <v>44830.0</v>
      </c>
      <c r="R1752" s="6" t="s">
        <v>1204</v>
      </c>
      <c r="S1752" s="20">
        <v>0.0</v>
      </c>
      <c r="T1752" s="6" t="s">
        <v>3147</v>
      </c>
      <c r="U1752" s="6"/>
      <c r="V1752" s="6"/>
      <c r="W1752" s="6">
        <v>29.7443853</v>
      </c>
      <c r="X1752" s="6">
        <v>-95.3593106</v>
      </c>
    </row>
    <row r="1753" ht="15.75" customHeight="1">
      <c r="A1753" s="6">
        <v>49467.0</v>
      </c>
      <c r="B1753" s="6">
        <v>2022.0</v>
      </c>
      <c r="C1753" s="6" t="str">
        <f t="shared" si="5"/>
        <v>14906 LEE RD,Houston,Texas</v>
      </c>
      <c r="D1753" s="25" t="s">
        <v>3148</v>
      </c>
      <c r="E1753" s="6" t="s">
        <v>25</v>
      </c>
      <c r="F1753" s="6" t="s">
        <v>26</v>
      </c>
      <c r="G1753" s="6" t="s">
        <v>853</v>
      </c>
      <c r="H1753" s="6" t="s">
        <v>2162</v>
      </c>
      <c r="I1753" s="6" t="str">
        <f>VLOOKUP(H1753,'Flow Location'!$A$1:$B$21,2,FALSE)</f>
        <v>Drainage Ditch</v>
      </c>
      <c r="J1753" s="20">
        <v>0.0</v>
      </c>
      <c r="K1753" s="6" t="s">
        <v>29</v>
      </c>
      <c r="L1753" s="6" t="str">
        <f>VLOOKUP(K1753,'Structure type'!$A$1:$B$15,2,FALSE)</f>
        <v>Manhole</v>
      </c>
      <c r="M1753" s="6" t="s">
        <v>3149</v>
      </c>
      <c r="N1753" s="6" t="str">
        <f>VLOOKUP(M1753,'Excursion Cause'!$A$1:$B$34,2,FALSE)</f>
        <v>Grease Blockage</v>
      </c>
      <c r="O1753" s="21">
        <v>44831.0</v>
      </c>
      <c r="P1753" s="6" t="s">
        <v>786</v>
      </c>
      <c r="Q1753" s="21">
        <v>44831.0</v>
      </c>
      <c r="R1753" s="6" t="s">
        <v>1967</v>
      </c>
      <c r="S1753" s="20">
        <v>0.0</v>
      </c>
      <c r="T1753" s="6" t="s">
        <v>3150</v>
      </c>
      <c r="U1753" s="6"/>
      <c r="V1753" s="6"/>
      <c r="W1753" s="6">
        <v>29.9356852</v>
      </c>
      <c r="X1753" s="6">
        <v>-95.3027873</v>
      </c>
    </row>
    <row r="1754" ht="15.75" customHeight="1">
      <c r="A1754" s="6">
        <v>49468.0</v>
      </c>
      <c r="B1754" s="6">
        <v>2022.0</v>
      </c>
      <c r="C1754" s="6" t="str">
        <f t="shared" si="5"/>
        <v>10502 BRIAR FOREST DR,Houston,Texas</v>
      </c>
      <c r="D1754" s="25" t="s">
        <v>3151</v>
      </c>
      <c r="E1754" s="6" t="s">
        <v>25</v>
      </c>
      <c r="F1754" s="6" t="s">
        <v>26</v>
      </c>
      <c r="G1754" s="6" t="s">
        <v>401</v>
      </c>
      <c r="H1754" s="6" t="s">
        <v>50</v>
      </c>
      <c r="I1754" s="6" t="str">
        <f>VLOOKUP(H1754,'Flow Location'!$A$1:$B$21,2,FALSE)</f>
        <v>Contained On Site, not within 5 ft. of Bayou/Surface Water/Drainage Ditch</v>
      </c>
      <c r="J1754" s="20">
        <v>0.0</v>
      </c>
      <c r="K1754" s="6" t="s">
        <v>29</v>
      </c>
      <c r="L1754" s="6" t="str">
        <f>VLOOKUP(K1754,'Structure type'!$A$1:$B$15,2,FALSE)</f>
        <v>Manhole</v>
      </c>
      <c r="M1754" s="6" t="s">
        <v>3152</v>
      </c>
      <c r="N1754" s="6" t="str">
        <f>VLOOKUP(M1754,'Excursion Cause'!$A$1:$B$34,2,FALSE)</f>
        <v>Grease Blockage</v>
      </c>
      <c r="O1754" s="21">
        <v>44831.0</v>
      </c>
      <c r="P1754" s="6" t="s">
        <v>1076</v>
      </c>
      <c r="Q1754" s="21">
        <v>44831.0</v>
      </c>
      <c r="R1754" s="6" t="s">
        <v>356</v>
      </c>
      <c r="S1754" s="20">
        <v>0.0</v>
      </c>
      <c r="T1754" s="6" t="s">
        <v>3153</v>
      </c>
      <c r="U1754" s="6"/>
      <c r="V1754" s="6"/>
      <c r="W1754" s="6">
        <v>29.7498534</v>
      </c>
      <c r="X1754" s="6">
        <v>-95.5611742</v>
      </c>
    </row>
    <row r="1755" ht="15.75" customHeight="1">
      <c r="A1755" s="6">
        <v>49470.0</v>
      </c>
      <c r="B1755" s="6">
        <v>2022.0</v>
      </c>
      <c r="C1755" s="6" t="str">
        <f t="shared" si="5"/>
        <v>6061 BEVERLY HILL ST,Houston,Texas</v>
      </c>
      <c r="D1755" s="25" t="s">
        <v>3154</v>
      </c>
      <c r="E1755" s="6" t="s">
        <v>25</v>
      </c>
      <c r="F1755" s="6" t="s">
        <v>26</v>
      </c>
      <c r="G1755" s="6" t="s">
        <v>689</v>
      </c>
      <c r="H1755" s="6" t="s">
        <v>1724</v>
      </c>
      <c r="I1755" s="6" t="str">
        <f>VLOOKUP(H1755,'Flow Location'!$A$1:$B$21,2,FALSE)</f>
        <v>Storm Sewer (not contained)</v>
      </c>
      <c r="J1755" s="20">
        <v>157.0</v>
      </c>
      <c r="K1755" s="6" t="s">
        <v>29</v>
      </c>
      <c r="L1755" s="6" t="str">
        <f>VLOOKUP(K1755,'Structure type'!$A$1:$B$15,2,FALSE)</f>
        <v>Manhole</v>
      </c>
      <c r="M1755" s="6" t="s">
        <v>3155</v>
      </c>
      <c r="N1755" s="6" t="str">
        <f>VLOOKUP(M1755,'Excursion Cause'!$A$1:$B$34,2,FALSE)</f>
        <v>Grease Blockage</v>
      </c>
      <c r="O1755" s="21">
        <v>44832.0</v>
      </c>
      <c r="P1755" s="6" t="s">
        <v>795</v>
      </c>
      <c r="Q1755" s="21">
        <v>44832.0</v>
      </c>
      <c r="R1755" s="6" t="s">
        <v>802</v>
      </c>
      <c r="S1755" s="20">
        <v>1.0</v>
      </c>
      <c r="T1755" s="6" t="s">
        <v>3156</v>
      </c>
      <c r="U1755" s="6"/>
      <c r="V1755" s="6"/>
      <c r="W1755" s="6">
        <v>29.7287042</v>
      </c>
      <c r="X1755" s="6">
        <v>-95.4857733</v>
      </c>
    </row>
    <row r="1756" ht="15.75" customHeight="1">
      <c r="A1756" s="6">
        <v>49471.0</v>
      </c>
      <c r="B1756" s="6">
        <v>2022.0</v>
      </c>
      <c r="C1756" s="6" t="str">
        <f t="shared" si="5"/>
        <v>5524 WESLAYAN ST,Houston,Texas</v>
      </c>
      <c r="D1756" s="25" t="s">
        <v>3157</v>
      </c>
      <c r="E1756" s="6" t="s">
        <v>25</v>
      </c>
      <c r="F1756" s="6" t="s">
        <v>26</v>
      </c>
      <c r="G1756" s="6" t="s">
        <v>3158</v>
      </c>
      <c r="H1756" s="6" t="s">
        <v>50</v>
      </c>
      <c r="I1756" s="6" t="str">
        <f>VLOOKUP(H1756,'Flow Location'!$A$1:$B$21,2,FALSE)</f>
        <v>Contained On Site, not within 5 ft. of Bayou/Surface Water/Drainage Ditch</v>
      </c>
      <c r="J1756" s="20">
        <v>0.0</v>
      </c>
      <c r="K1756" s="6" t="s">
        <v>3159</v>
      </c>
      <c r="L1756" s="6" t="str">
        <f>VLOOKUP(K1756,'Structure type'!$A$1:$B$15,2,FALSE)</f>
        <v>Gravity Main</v>
      </c>
      <c r="M1756" s="6" t="s">
        <v>3160</v>
      </c>
      <c r="N1756" s="6" t="str">
        <f>VLOOKUP(M1756,'Excursion Cause'!$A$1:$B$34,2,FALSE)</f>
        <v>Collection system structural failure</v>
      </c>
      <c r="O1756" s="21">
        <v>44832.0</v>
      </c>
      <c r="P1756" s="6" t="s">
        <v>1605</v>
      </c>
      <c r="Q1756" s="21">
        <v>44832.0</v>
      </c>
      <c r="R1756" s="6" t="s">
        <v>3161</v>
      </c>
      <c r="S1756" s="20">
        <v>0.0</v>
      </c>
      <c r="T1756" s="6" t="s">
        <v>3162</v>
      </c>
      <c r="U1756" s="6"/>
      <c r="V1756" s="6"/>
      <c r="W1756" s="6">
        <v>29.722982</v>
      </c>
      <c r="X1756" s="6">
        <v>-95.4421669</v>
      </c>
    </row>
    <row r="1757" ht="15.75" customHeight="1">
      <c r="A1757" s="6">
        <v>49473.0</v>
      </c>
      <c r="B1757" s="6">
        <v>2022.0</v>
      </c>
      <c r="C1757" s="6" t="str">
        <f t="shared" si="5"/>
        <v>9624 BECKLEY ST,Houston,Texas</v>
      </c>
      <c r="D1757" s="6" t="s">
        <v>3163</v>
      </c>
      <c r="E1757" s="6" t="s">
        <v>25</v>
      </c>
      <c r="F1757" s="6" t="s">
        <v>26</v>
      </c>
      <c r="G1757" s="6" t="s">
        <v>502</v>
      </c>
      <c r="H1757" s="6" t="s">
        <v>28</v>
      </c>
      <c r="I1757" s="6" t="str">
        <f>VLOOKUP(H1757,'Flow Location'!$A$1:$B$21,2,FALSE)</f>
        <v>Storm Sewer (not contained)</v>
      </c>
      <c r="J1757" s="20">
        <v>0.0</v>
      </c>
      <c r="K1757" s="6" t="s">
        <v>3164</v>
      </c>
      <c r="L1757" s="6" t="str">
        <f>VLOOKUP(K1757,'Structure type'!$A$1:$B$15,2,FALSE)</f>
        <v>Service Lateral</v>
      </c>
      <c r="M1757" s="6" t="s">
        <v>3165</v>
      </c>
      <c r="N1757" s="6" t="str">
        <f>VLOOKUP(M1757,'Excursion Cause'!$A$1:$B$34,2,FALSE)</f>
        <v>Collection system structural blockage</v>
      </c>
      <c r="O1757" s="21">
        <v>44832.0</v>
      </c>
      <c r="P1757" s="6" t="s">
        <v>276</v>
      </c>
      <c r="Q1757" s="21">
        <v>44832.0</v>
      </c>
      <c r="R1757" s="6" t="s">
        <v>1137</v>
      </c>
      <c r="S1757" s="20">
        <v>0.0</v>
      </c>
      <c r="T1757" s="6" t="s">
        <v>3166</v>
      </c>
      <c r="U1757" s="6"/>
      <c r="V1757" s="6"/>
      <c r="W1757" s="6">
        <v>29.8838229</v>
      </c>
      <c r="X1757" s="6">
        <v>-95.4399206</v>
      </c>
    </row>
    <row r="1758" ht="15.75" customHeight="1">
      <c r="A1758" s="6">
        <v>49474.0</v>
      </c>
      <c r="B1758" s="6">
        <v>2022.0</v>
      </c>
      <c r="C1758" s="6" t="str">
        <f t="shared" si="5"/>
        <v>2021 JACQUELYN DR,Houston,Texas</v>
      </c>
      <c r="D1758" s="6" t="s">
        <v>3167</v>
      </c>
      <c r="E1758" s="6" t="s">
        <v>25</v>
      </c>
      <c r="F1758" s="6" t="s">
        <v>26</v>
      </c>
      <c r="G1758" s="6" t="s">
        <v>27</v>
      </c>
      <c r="H1758" s="6" t="s">
        <v>1977</v>
      </c>
      <c r="I1758" s="6" t="str">
        <f>VLOOKUP(H1758,'Flow Location'!$A$1:$B$21,2,FALSE)</f>
        <v>Bayou/surface water/drainage ditch</v>
      </c>
      <c r="J1758" s="20">
        <v>0.0</v>
      </c>
      <c r="K1758" s="6" t="s">
        <v>3168</v>
      </c>
      <c r="L1758" s="6" t="str">
        <f>VLOOKUP(K1758,'Structure type'!$A$1:$B$15,2,FALSE)</f>
        <v>Service Lateral</v>
      </c>
      <c r="M1758" s="6"/>
      <c r="N1758" s="6" t="str">
        <f>VLOOKUP(M1758,'Excursion Cause'!$A$1:$B$34,2,FALSE)</f>
        <v>#N/A</v>
      </c>
      <c r="O1758" s="21">
        <v>44832.0</v>
      </c>
      <c r="P1758" s="6" t="s">
        <v>323</v>
      </c>
      <c r="Q1758" s="21">
        <v>44832.0</v>
      </c>
      <c r="R1758" s="6" t="s">
        <v>1274</v>
      </c>
      <c r="S1758" s="20">
        <v>0.0</v>
      </c>
      <c r="T1758" s="6" t="s">
        <v>3169</v>
      </c>
      <c r="U1758" s="6"/>
      <c r="V1758" s="6"/>
      <c r="W1758" s="6">
        <v>29.8080812</v>
      </c>
      <c r="X1758" s="6">
        <v>-95.4818209</v>
      </c>
    </row>
    <row r="1759" ht="15.75" customHeight="1">
      <c r="A1759" s="6">
        <v>49477.0</v>
      </c>
      <c r="B1759" s="6">
        <v>2022.0</v>
      </c>
      <c r="C1759" s="6" t="str">
        <f t="shared" si="5"/>
        <v>6454 ELLA LEE LN,Houston,Texas</v>
      </c>
      <c r="D1759" s="25" t="s">
        <v>1064</v>
      </c>
      <c r="E1759" s="6" t="s">
        <v>25</v>
      </c>
      <c r="F1759" s="6" t="s">
        <v>26</v>
      </c>
      <c r="G1759" s="6" t="s">
        <v>689</v>
      </c>
      <c r="H1759" s="6" t="s">
        <v>50</v>
      </c>
      <c r="I1759" s="6" t="str">
        <f>VLOOKUP(H1759,'Flow Location'!$A$1:$B$21,2,FALSE)</f>
        <v>Contained On Site, not within 5 ft. of Bayou/Surface Water/Drainage Ditch</v>
      </c>
      <c r="J1759" s="20">
        <v>602.0</v>
      </c>
      <c r="K1759" s="6" t="s">
        <v>29</v>
      </c>
      <c r="L1759" s="6" t="str">
        <f>VLOOKUP(K1759,'Structure type'!$A$1:$B$15,2,FALSE)</f>
        <v>Manhole</v>
      </c>
      <c r="M1759" s="6" t="s">
        <v>3170</v>
      </c>
      <c r="N1759" s="6" t="str">
        <f>VLOOKUP(M1759,'Excursion Cause'!$A$1:$B$34,2,FALSE)</f>
        <v>Grease Blockage</v>
      </c>
      <c r="O1759" s="21">
        <v>44833.0</v>
      </c>
      <c r="P1759" s="6" t="s">
        <v>893</v>
      </c>
      <c r="Q1759" s="21">
        <v>44833.0</v>
      </c>
      <c r="R1759" s="6" t="s">
        <v>428</v>
      </c>
      <c r="S1759" s="20">
        <v>2.0</v>
      </c>
      <c r="T1759" s="6" t="s">
        <v>3171</v>
      </c>
      <c r="U1759" s="6"/>
      <c r="V1759" s="6"/>
      <c r="W1759" s="6">
        <v>29.7414008</v>
      </c>
      <c r="X1759" s="6">
        <v>-95.4988269</v>
      </c>
    </row>
    <row r="1760" ht="15.75" customHeight="1">
      <c r="A1760" s="6">
        <v>49484.0</v>
      </c>
      <c r="B1760" s="6">
        <v>2022.0</v>
      </c>
      <c r="C1760" s="6" t="str">
        <f t="shared" si="5"/>
        <v>1030 VOIGHT ST,Houston,Texas</v>
      </c>
      <c r="D1760" s="25" t="s">
        <v>3172</v>
      </c>
      <c r="E1760" s="6" t="s">
        <v>25</v>
      </c>
      <c r="F1760" s="6" t="s">
        <v>26</v>
      </c>
      <c r="G1760" s="6" t="s">
        <v>161</v>
      </c>
      <c r="H1760" s="6" t="s">
        <v>1724</v>
      </c>
      <c r="I1760" s="6" t="str">
        <f>VLOOKUP(H1760,'Flow Location'!$A$1:$B$21,2,FALSE)</f>
        <v>Storm Sewer (not contained)</v>
      </c>
      <c r="J1760" s="20">
        <v>1245.0</v>
      </c>
      <c r="K1760" s="6" t="s">
        <v>29</v>
      </c>
      <c r="L1760" s="6" t="str">
        <f>VLOOKUP(K1760,'Structure type'!$A$1:$B$15,2,FALSE)</f>
        <v>Manhole</v>
      </c>
      <c r="M1760" s="6" t="s">
        <v>3173</v>
      </c>
      <c r="N1760" s="6" t="str">
        <f>VLOOKUP(M1760,'Excursion Cause'!$A$1:$B$34,2,FALSE)</f>
        <v>Grease Blockage</v>
      </c>
      <c r="O1760" s="21">
        <v>44833.0</v>
      </c>
      <c r="P1760" s="6" t="s">
        <v>159</v>
      </c>
      <c r="Q1760" s="21">
        <v>44834.0</v>
      </c>
      <c r="R1760" s="6" t="s">
        <v>995</v>
      </c>
      <c r="S1760" s="20">
        <v>1.0</v>
      </c>
      <c r="T1760" s="6" t="s">
        <v>3174</v>
      </c>
      <c r="U1760" s="6"/>
      <c r="V1760" s="6"/>
      <c r="W1760" s="6">
        <v>29.7802791</v>
      </c>
      <c r="X1760" s="6">
        <v>-95.3856277</v>
      </c>
    </row>
    <row r="1761" ht="15.75" customHeight="1">
      <c r="A1761" s="6">
        <v>49488.0</v>
      </c>
      <c r="B1761" s="6">
        <v>2022.0</v>
      </c>
      <c r="C1761" s="6" t="str">
        <f t="shared" si="5"/>
        <v>6421 ELLA LEE LN,Houston,Texas</v>
      </c>
      <c r="D1761" s="25" t="s">
        <v>3175</v>
      </c>
      <c r="E1761" s="6" t="s">
        <v>25</v>
      </c>
      <c r="F1761" s="6" t="s">
        <v>26</v>
      </c>
      <c r="G1761" s="6" t="s">
        <v>689</v>
      </c>
      <c r="H1761" s="6" t="s">
        <v>2275</v>
      </c>
      <c r="I1761" s="6" t="str">
        <f>VLOOKUP(H1761,'Flow Location'!$A$1:$B$21,2,FALSE)</f>
        <v>Contained On Site, not within 5 ft. of Bayou/Surface Water/Drainage Ditch</v>
      </c>
      <c r="J1761" s="20">
        <v>602.0</v>
      </c>
      <c r="K1761" s="6" t="s">
        <v>29</v>
      </c>
      <c r="L1761" s="6" t="str">
        <f>VLOOKUP(K1761,'Structure type'!$A$1:$B$15,2,FALSE)</f>
        <v>Manhole</v>
      </c>
      <c r="M1761" s="6" t="s">
        <v>3176</v>
      </c>
      <c r="N1761" s="6" t="str">
        <f>VLOOKUP(M1761,'Excursion Cause'!$A$1:$B$34,2,FALSE)</f>
        <v>Grease Blockage</v>
      </c>
      <c r="O1761" s="21">
        <v>44833.0</v>
      </c>
      <c r="P1761" s="6" t="s">
        <v>893</v>
      </c>
      <c r="Q1761" s="21">
        <v>44833.0</v>
      </c>
      <c r="R1761" s="6" t="s">
        <v>893</v>
      </c>
      <c r="S1761" s="20">
        <v>0.0</v>
      </c>
      <c r="T1761" s="6" t="s">
        <v>3177</v>
      </c>
      <c r="U1761" s="6"/>
      <c r="V1761" s="6"/>
      <c r="W1761" s="6">
        <v>29.7394497</v>
      </c>
      <c r="X1761" s="6">
        <v>-95.497848</v>
      </c>
    </row>
    <row r="1762" ht="15.75" customHeight="1">
      <c r="A1762" s="6">
        <v>49489.0</v>
      </c>
      <c r="B1762" s="6">
        <v>2022.0</v>
      </c>
      <c r="C1762" s="6" t="str">
        <f t="shared" si="5"/>
        <v>2574 MARILEE LN,Houston,Texas</v>
      </c>
      <c r="D1762" s="25" t="s">
        <v>3178</v>
      </c>
      <c r="E1762" s="6" t="s">
        <v>25</v>
      </c>
      <c r="F1762" s="6" t="s">
        <v>26</v>
      </c>
      <c r="G1762" s="6" t="s">
        <v>689</v>
      </c>
      <c r="H1762" s="6" t="s">
        <v>50</v>
      </c>
      <c r="I1762" s="6" t="str">
        <f>VLOOKUP(H1762,'Flow Location'!$A$1:$B$21,2,FALSE)</f>
        <v>Contained On Site, not within 5 ft. of Bayou/Surface Water/Drainage Ditch</v>
      </c>
      <c r="J1762" s="20">
        <v>602.0</v>
      </c>
      <c r="K1762" s="6" t="s">
        <v>29</v>
      </c>
      <c r="L1762" s="6" t="str">
        <f>VLOOKUP(K1762,'Structure type'!$A$1:$B$15,2,FALSE)</f>
        <v>Manhole</v>
      </c>
      <c r="M1762" s="6" t="s">
        <v>3179</v>
      </c>
      <c r="N1762" s="6" t="str">
        <f>VLOOKUP(M1762,'Excursion Cause'!$A$1:$B$34,2,FALSE)</f>
        <v>Grease Blockage</v>
      </c>
      <c r="O1762" s="21">
        <v>44833.0</v>
      </c>
      <c r="P1762" s="6" t="s">
        <v>893</v>
      </c>
      <c r="Q1762" s="21">
        <v>44833.0</v>
      </c>
      <c r="R1762" s="6" t="s">
        <v>428</v>
      </c>
      <c r="S1762" s="20">
        <v>2.0</v>
      </c>
      <c r="T1762" s="6" t="s">
        <v>3180</v>
      </c>
      <c r="U1762" s="6"/>
      <c r="V1762" s="6"/>
      <c r="W1762" s="6">
        <v>29.7401572</v>
      </c>
      <c r="X1762" s="6">
        <v>-95.4990024</v>
      </c>
    </row>
    <row r="1763" ht="15.75" customHeight="1">
      <c r="A1763" s="6">
        <v>49490.0</v>
      </c>
      <c r="B1763" s="6">
        <v>2022.0</v>
      </c>
      <c r="C1763" s="6" t="str">
        <f t="shared" si="5"/>
        <v>2219 DEVONSHIRE ST,Houston,Texas</v>
      </c>
      <c r="D1763" s="6" t="s">
        <v>3181</v>
      </c>
      <c r="E1763" s="6" t="s">
        <v>25</v>
      </c>
      <c r="F1763" s="6" t="s">
        <v>26</v>
      </c>
      <c r="G1763" s="6" t="s">
        <v>80</v>
      </c>
      <c r="H1763" s="6" t="s">
        <v>2275</v>
      </c>
      <c r="I1763" s="6" t="str">
        <f>VLOOKUP(H1763,'Flow Location'!$A$1:$B$21,2,FALSE)</f>
        <v>Contained On Site, not within 5 ft. of Bayou/Surface Water/Drainage Ditch</v>
      </c>
      <c r="J1763" s="20">
        <v>0.0</v>
      </c>
      <c r="K1763" s="6" t="s">
        <v>3182</v>
      </c>
      <c r="L1763" s="6" t="str">
        <f>VLOOKUP(K1763,'Structure type'!$A$1:$B$15,2,FALSE)</f>
        <v>City Cleanout</v>
      </c>
      <c r="M1763" s="6" t="s">
        <v>3183</v>
      </c>
      <c r="N1763" s="6" t="str">
        <f>VLOOKUP(M1763,'Excursion Cause'!$A$1:$B$34,2,FALSE)</f>
        <v>Grease Blockage</v>
      </c>
      <c r="O1763" s="21">
        <v>44834.0</v>
      </c>
      <c r="P1763" s="6" t="s">
        <v>2887</v>
      </c>
      <c r="Q1763" s="21">
        <v>44834.0</v>
      </c>
      <c r="R1763" s="6" t="s">
        <v>643</v>
      </c>
      <c r="S1763" s="20">
        <v>0.0</v>
      </c>
      <c r="T1763" s="6" t="s">
        <v>3184</v>
      </c>
      <c r="U1763" s="6"/>
      <c r="V1763" s="6"/>
      <c r="W1763" s="6">
        <v>29.7459374</v>
      </c>
      <c r="X1763" s="6">
        <v>-95.4143783</v>
      </c>
    </row>
    <row r="1764" ht="15.75" customHeight="1">
      <c r="A1764" s="6">
        <v>49491.0</v>
      </c>
      <c r="B1764" s="6">
        <v>2022.0</v>
      </c>
      <c r="C1764" s="6" t="str">
        <f t="shared" si="5"/>
        <v>3107 N COTSWOLD MANOR DR,Houston,Texas</v>
      </c>
      <c r="D1764" s="6" t="s">
        <v>3185</v>
      </c>
      <c r="E1764" s="6" t="s">
        <v>25</v>
      </c>
      <c r="F1764" s="6" t="s">
        <v>26</v>
      </c>
      <c r="G1764" s="6" t="s">
        <v>1078</v>
      </c>
      <c r="H1764" s="6" t="s">
        <v>2275</v>
      </c>
      <c r="I1764" s="6" t="str">
        <f>VLOOKUP(H1764,'Flow Location'!$A$1:$B$21,2,FALSE)</f>
        <v>Contained On Site, not within 5 ft. of Bayou/Surface Water/Drainage Ditch</v>
      </c>
      <c r="J1764" s="20">
        <v>0.0</v>
      </c>
      <c r="K1764" s="6" t="s">
        <v>3186</v>
      </c>
      <c r="L1764" s="6" t="str">
        <f>VLOOKUP(K1764,'Structure type'!$A$1:$B$15,2,FALSE)</f>
        <v>Force Main</v>
      </c>
      <c r="M1764" s="6" t="s">
        <v>3187</v>
      </c>
      <c r="N1764" s="6" t="str">
        <f>VLOOKUP(M1764,'Excursion Cause'!$A$1:$B$34,2,FALSE)</f>
        <v>Collection system structural failure</v>
      </c>
      <c r="O1764" s="21">
        <v>44834.0</v>
      </c>
      <c r="P1764" s="6" t="s">
        <v>472</v>
      </c>
      <c r="Q1764" s="21">
        <v>44834.0</v>
      </c>
      <c r="R1764" s="6" t="s">
        <v>1290</v>
      </c>
      <c r="S1764" s="20">
        <v>0.0</v>
      </c>
      <c r="T1764" s="6" t="s">
        <v>3188</v>
      </c>
      <c r="U1764" s="6"/>
      <c r="V1764" s="6"/>
      <c r="W1764" s="6">
        <v>30.0369842</v>
      </c>
      <c r="X1764" s="6">
        <v>-95.2092562</v>
      </c>
    </row>
    <row r="1765" ht="15.75" customHeight="1">
      <c r="A1765" s="6">
        <v>49496.0</v>
      </c>
      <c r="B1765" s="6">
        <v>2022.0</v>
      </c>
      <c r="C1765" s="6" t="str">
        <f t="shared" si="5"/>
        <v>9401 AVENUE H,Houston,Texas</v>
      </c>
      <c r="D1765" s="6" t="s">
        <v>3189</v>
      </c>
      <c r="E1765" s="6" t="s">
        <v>25</v>
      </c>
      <c r="F1765" s="6" t="s">
        <v>26</v>
      </c>
      <c r="G1765" s="6" t="s">
        <v>365</v>
      </c>
      <c r="H1765" s="6" t="s">
        <v>50</v>
      </c>
      <c r="I1765" s="6" t="str">
        <f>VLOOKUP(H1765,'Flow Location'!$A$1:$B$21,2,FALSE)</f>
        <v>Contained On Site, not within 5 ft. of Bayou/Surface Water/Drainage Ditch</v>
      </c>
      <c r="J1765" s="20">
        <v>0.0</v>
      </c>
      <c r="K1765" s="6" t="s">
        <v>3190</v>
      </c>
      <c r="L1765" s="6" t="str">
        <f>VLOOKUP(K1765,'Structure type'!$A$1:$B$15,2,FALSE)</f>
        <v>Service Lateral</v>
      </c>
      <c r="M1765" s="6" t="s">
        <v>3191</v>
      </c>
      <c r="N1765" s="6" t="str">
        <f>VLOOKUP(M1765,'Excursion Cause'!$A$1:$B$34,2,FALSE)</f>
        <v>Collection system structural blockage</v>
      </c>
      <c r="O1765" s="21">
        <v>44834.0</v>
      </c>
      <c r="P1765" s="6" t="s">
        <v>522</v>
      </c>
      <c r="Q1765" s="21">
        <v>44834.0</v>
      </c>
      <c r="R1765" s="6" t="s">
        <v>1502</v>
      </c>
      <c r="S1765" s="20">
        <v>0.0</v>
      </c>
      <c r="T1765" s="6" t="s">
        <v>3192</v>
      </c>
      <c r="U1765" s="6"/>
      <c r="V1765" s="6"/>
      <c r="W1765" s="6">
        <v>29.7152641</v>
      </c>
      <c r="X1765" s="6">
        <v>-95.25919</v>
      </c>
    </row>
    <row r="1766" ht="15.75" customHeight="1">
      <c r="A1766" s="6">
        <v>49502.0</v>
      </c>
      <c r="B1766" s="6">
        <v>2022.0</v>
      </c>
      <c r="C1766" s="6" t="str">
        <f t="shared" si="5"/>
        <v>14618 HEMPSTEAD RD,Houston,Texas</v>
      </c>
      <c r="D1766" s="6" t="s">
        <v>3193</v>
      </c>
      <c r="E1766" s="6" t="s">
        <v>25</v>
      </c>
      <c r="F1766" s="6" t="s">
        <v>26</v>
      </c>
      <c r="G1766" s="6" t="s">
        <v>253</v>
      </c>
      <c r="H1766" s="6" t="s">
        <v>1977</v>
      </c>
      <c r="I1766" s="6" t="str">
        <f>VLOOKUP(H1766,'Flow Location'!$A$1:$B$21,2,FALSE)</f>
        <v>Bayou/surface water/drainage ditch</v>
      </c>
      <c r="J1766" s="20">
        <v>0.0</v>
      </c>
      <c r="K1766" s="6" t="s">
        <v>45</v>
      </c>
      <c r="L1766" s="6" t="str">
        <f>VLOOKUP(K1766,'Structure type'!$A$1:$B$15,2,FALSE)</f>
        <v>City Cleanout</v>
      </c>
      <c r="M1766" s="6" t="s">
        <v>30</v>
      </c>
      <c r="N1766" s="6" t="str">
        <f>VLOOKUP(M1766,'Excursion Cause'!$A$1:$B$34,2,FALSE)</f>
        <v>Grease Blockage</v>
      </c>
      <c r="O1766" s="26">
        <v>44835.0</v>
      </c>
      <c r="P1766" s="6" t="s">
        <v>1864</v>
      </c>
      <c r="Q1766" s="26">
        <v>44835.0</v>
      </c>
      <c r="R1766" s="6" t="s">
        <v>494</v>
      </c>
      <c r="S1766" s="20">
        <v>0.0</v>
      </c>
      <c r="T1766" s="6" t="s">
        <v>74</v>
      </c>
      <c r="U1766" s="6"/>
      <c r="V1766" s="6"/>
      <c r="W1766" s="6">
        <v>29.8612021</v>
      </c>
      <c r="X1766" s="6">
        <v>-95.5421651</v>
      </c>
    </row>
    <row r="1767" ht="15.75" customHeight="1">
      <c r="A1767" s="6">
        <v>49503.0</v>
      </c>
      <c r="B1767" s="6">
        <v>2022.0</v>
      </c>
      <c r="C1767" s="6" t="str">
        <f t="shared" si="5"/>
        <v>11150 BEECHNUT ST,Houston,Texas</v>
      </c>
      <c r="D1767" s="6" t="s">
        <v>1442</v>
      </c>
      <c r="E1767" s="6" t="s">
        <v>25</v>
      </c>
      <c r="F1767" s="6" t="s">
        <v>26</v>
      </c>
      <c r="G1767" s="6" t="s">
        <v>91</v>
      </c>
      <c r="H1767" s="6" t="s">
        <v>1724</v>
      </c>
      <c r="I1767" s="6" t="str">
        <f>VLOOKUP(H1767,'Flow Location'!$A$1:$B$21,2,FALSE)</f>
        <v>Storm Sewer (not contained)</v>
      </c>
      <c r="J1767" s="20">
        <v>0.0</v>
      </c>
      <c r="K1767" s="6" t="s">
        <v>45</v>
      </c>
      <c r="L1767" s="6" t="str">
        <f>VLOOKUP(K1767,'Structure type'!$A$1:$B$15,2,FALSE)</f>
        <v>City Cleanout</v>
      </c>
      <c r="M1767" s="6" t="s">
        <v>3194</v>
      </c>
      <c r="N1767" s="6" t="str">
        <f>VLOOKUP(M1767,'Excursion Cause'!$A$1:$B$34,2,FALSE)</f>
        <v>Grease Blockage</v>
      </c>
      <c r="O1767" s="26">
        <v>44836.0</v>
      </c>
      <c r="P1767" s="6" t="s">
        <v>225</v>
      </c>
      <c r="Q1767" s="26">
        <v>44836.0</v>
      </c>
      <c r="R1767" s="6" t="s">
        <v>810</v>
      </c>
      <c r="S1767" s="20">
        <v>0.0</v>
      </c>
      <c r="T1767" s="6" t="s">
        <v>3195</v>
      </c>
      <c r="U1767" s="6"/>
      <c r="V1767" s="6"/>
      <c r="W1767" s="6">
        <v>29.6883639</v>
      </c>
      <c r="X1767" s="6">
        <v>-95.5738298</v>
      </c>
    </row>
    <row r="1768" ht="15.75" customHeight="1">
      <c r="A1768" s="6">
        <v>49504.0</v>
      </c>
      <c r="B1768" s="6">
        <v>2022.0</v>
      </c>
      <c r="C1768" s="6" t="str">
        <f t="shared" si="5"/>
        <v>433 SEDGWICK DR,Houston,Texas</v>
      </c>
      <c r="D1768" s="6" t="s">
        <v>3196</v>
      </c>
      <c r="E1768" s="6" t="s">
        <v>25</v>
      </c>
      <c r="F1768" s="6" t="s">
        <v>26</v>
      </c>
      <c r="G1768" s="6" t="s">
        <v>275</v>
      </c>
      <c r="H1768" s="6" t="s">
        <v>50</v>
      </c>
      <c r="I1768" s="6" t="str">
        <f>VLOOKUP(H1768,'Flow Location'!$A$1:$B$21,2,FALSE)</f>
        <v>Contained On Site, not within 5 ft. of Bayou/Surface Water/Drainage Ditch</v>
      </c>
      <c r="J1768" s="20">
        <v>0.0</v>
      </c>
      <c r="K1768" s="6" t="s">
        <v>45</v>
      </c>
      <c r="L1768" s="6" t="str">
        <f>VLOOKUP(K1768,'Structure type'!$A$1:$B$15,2,FALSE)</f>
        <v>City Cleanout</v>
      </c>
      <c r="M1768" s="6" t="s">
        <v>30</v>
      </c>
      <c r="N1768" s="6" t="str">
        <f>VLOOKUP(M1768,'Excursion Cause'!$A$1:$B$34,2,FALSE)</f>
        <v>Grease Blockage</v>
      </c>
      <c r="O1768" s="26">
        <v>44836.0</v>
      </c>
      <c r="P1768" s="6" t="s">
        <v>283</v>
      </c>
      <c r="Q1768" s="26">
        <v>44836.0</v>
      </c>
      <c r="R1768" s="6" t="s">
        <v>183</v>
      </c>
      <c r="S1768" s="20">
        <v>0.0</v>
      </c>
      <c r="T1768" s="6" t="s">
        <v>74</v>
      </c>
      <c r="U1768" s="6"/>
      <c r="V1768" s="6"/>
      <c r="W1768" s="6">
        <v>29.8685722</v>
      </c>
      <c r="X1768" s="6">
        <v>-95.375979</v>
      </c>
    </row>
    <row r="1769" ht="15.75" customHeight="1">
      <c r="A1769" s="6">
        <v>49505.0</v>
      </c>
      <c r="B1769" s="6">
        <v>2022.0</v>
      </c>
      <c r="C1769" s="6" t="str">
        <f t="shared" si="5"/>
        <v>16610 RUSTON ST,Houston,Texas</v>
      </c>
      <c r="D1769" s="6" t="s">
        <v>3197</v>
      </c>
      <c r="E1769" s="6" t="s">
        <v>25</v>
      </c>
      <c r="F1769" s="6" t="s">
        <v>26</v>
      </c>
      <c r="G1769" s="6" t="s">
        <v>853</v>
      </c>
      <c r="H1769" s="6" t="s">
        <v>50</v>
      </c>
      <c r="I1769" s="6" t="str">
        <f>VLOOKUP(H1769,'Flow Location'!$A$1:$B$21,2,FALSE)</f>
        <v>Contained On Site, not within 5 ft. of Bayou/Surface Water/Drainage Ditch</v>
      </c>
      <c r="J1769" s="20">
        <v>0.0</v>
      </c>
      <c r="K1769" s="6" t="s">
        <v>198</v>
      </c>
      <c r="L1769" s="6" t="str">
        <f>VLOOKUP(K1769,'Structure type'!$A$1:$B$15,2,FALSE)</f>
        <v>Service Lateral</v>
      </c>
      <c r="M1769" s="6" t="s">
        <v>81</v>
      </c>
      <c r="N1769" s="6" t="str">
        <f>VLOOKUP(M1769,'Excursion Cause'!$A$1:$B$34,2,FALSE)</f>
        <v>Collection system structural failure</v>
      </c>
      <c r="O1769" s="26">
        <v>44836.0</v>
      </c>
      <c r="P1769" s="6" t="s">
        <v>1089</v>
      </c>
      <c r="Q1769" s="26">
        <v>44836.0</v>
      </c>
      <c r="R1769" s="6" t="s">
        <v>1176</v>
      </c>
      <c r="S1769" s="20">
        <v>0.0</v>
      </c>
      <c r="T1769" s="6" t="s">
        <v>292</v>
      </c>
      <c r="U1769" s="6"/>
      <c r="V1769" s="6"/>
      <c r="W1769" s="6">
        <v>29.9615207</v>
      </c>
      <c r="X1769" s="6">
        <v>-95.2979543</v>
      </c>
    </row>
    <row r="1770" ht="15.75" customHeight="1">
      <c r="A1770" s="6">
        <v>49511.0</v>
      </c>
      <c r="B1770" s="6">
        <v>2022.0</v>
      </c>
      <c r="C1770" s="6" t="str">
        <f t="shared" si="5"/>
        <v>5502 TELEPHONE RD,Houston,Texas</v>
      </c>
      <c r="D1770" s="6" t="s">
        <v>3198</v>
      </c>
      <c r="E1770" s="6" t="s">
        <v>25</v>
      </c>
      <c r="F1770" s="6" t="s">
        <v>26</v>
      </c>
      <c r="G1770" s="6" t="s">
        <v>35</v>
      </c>
      <c r="H1770" s="6" t="s">
        <v>50</v>
      </c>
      <c r="I1770" s="6" t="str">
        <f>VLOOKUP(H1770,'Flow Location'!$A$1:$B$21,2,FALSE)</f>
        <v>Contained On Site, not within 5 ft. of Bayou/Surface Water/Drainage Ditch</v>
      </c>
      <c r="J1770" s="20">
        <v>0.0</v>
      </c>
      <c r="K1770" s="6" t="s">
        <v>198</v>
      </c>
      <c r="L1770" s="6" t="str">
        <f>VLOOKUP(K1770,'Structure type'!$A$1:$B$15,2,FALSE)</f>
        <v>Service Lateral</v>
      </c>
      <c r="M1770" s="6" t="s">
        <v>81</v>
      </c>
      <c r="N1770" s="6" t="str">
        <f>VLOOKUP(M1770,'Excursion Cause'!$A$1:$B$34,2,FALSE)</f>
        <v>Collection system structural failure</v>
      </c>
      <c r="O1770" s="26">
        <v>44836.0</v>
      </c>
      <c r="P1770" s="6" t="s">
        <v>490</v>
      </c>
      <c r="Q1770" s="26">
        <v>44836.0</v>
      </c>
      <c r="R1770" s="6" t="s">
        <v>1763</v>
      </c>
      <c r="S1770" s="20">
        <v>0.0</v>
      </c>
      <c r="T1770" s="6" t="s">
        <v>54</v>
      </c>
      <c r="U1770" s="6"/>
      <c r="V1770" s="6"/>
      <c r="W1770" s="6">
        <v>29.6847155</v>
      </c>
      <c r="X1770" s="6">
        <v>-95.2965185</v>
      </c>
    </row>
    <row r="1771" ht="15.75" customHeight="1">
      <c r="A1771" s="6">
        <v>49515.0</v>
      </c>
      <c r="B1771" s="6">
        <v>2022.0</v>
      </c>
      <c r="C1771" s="6" t="str">
        <f t="shared" si="5"/>
        <v>6220 WEDGEFIELD ST,Houston,Texas</v>
      </c>
      <c r="D1771" s="6" t="s">
        <v>3199</v>
      </c>
      <c r="E1771" s="6" t="s">
        <v>25</v>
      </c>
      <c r="F1771" s="6" t="s">
        <v>26</v>
      </c>
      <c r="G1771" s="6" t="s">
        <v>177</v>
      </c>
      <c r="H1771" s="6" t="s">
        <v>50</v>
      </c>
      <c r="I1771" s="6" t="str">
        <f>VLOOKUP(H1771,'Flow Location'!$A$1:$B$21,2,FALSE)</f>
        <v>Contained On Site, not within 5 ft. of Bayou/Surface Water/Drainage Ditch</v>
      </c>
      <c r="J1771" s="20">
        <v>0.0</v>
      </c>
      <c r="K1771" s="6" t="s">
        <v>45</v>
      </c>
      <c r="L1771" s="6" t="str">
        <f>VLOOKUP(K1771,'Structure type'!$A$1:$B$15,2,FALSE)</f>
        <v>City Cleanout</v>
      </c>
      <c r="M1771" s="6" t="s">
        <v>81</v>
      </c>
      <c r="N1771" s="6" t="str">
        <f>VLOOKUP(M1771,'Excursion Cause'!$A$1:$B$34,2,FALSE)</f>
        <v>Collection system structural failure</v>
      </c>
      <c r="O1771" s="26">
        <v>44837.0</v>
      </c>
      <c r="P1771" s="6" t="s">
        <v>690</v>
      </c>
      <c r="Q1771" s="26">
        <v>44837.0</v>
      </c>
      <c r="R1771" s="6" t="s">
        <v>2515</v>
      </c>
      <c r="S1771" s="20">
        <v>0.0</v>
      </c>
      <c r="T1771" s="6" t="s">
        <v>107</v>
      </c>
      <c r="U1771" s="6"/>
      <c r="V1771" s="6"/>
      <c r="W1771" s="6">
        <v>29.820384</v>
      </c>
      <c r="X1771" s="6">
        <v>-95.2732863</v>
      </c>
    </row>
    <row r="1772" ht="15.75" customHeight="1">
      <c r="A1772" s="6">
        <v>49517.0</v>
      </c>
      <c r="B1772" s="6">
        <v>2022.0</v>
      </c>
      <c r="C1772" s="6" t="str">
        <f t="shared" si="5"/>
        <v>10835 W LITTLE YORK RD,Houston,Texas</v>
      </c>
      <c r="D1772" s="6" t="s">
        <v>3200</v>
      </c>
      <c r="E1772" s="6" t="s">
        <v>25</v>
      </c>
      <c r="F1772" s="6" t="s">
        <v>26</v>
      </c>
      <c r="G1772" s="6" t="s">
        <v>344</v>
      </c>
      <c r="H1772" s="6" t="s">
        <v>1724</v>
      </c>
      <c r="I1772" s="6" t="str">
        <f>VLOOKUP(H1772,'Flow Location'!$A$1:$B$21,2,FALSE)</f>
        <v>Storm Sewer (not contained)</v>
      </c>
      <c r="J1772" s="20">
        <v>729.0</v>
      </c>
      <c r="K1772" s="6" t="s">
        <v>29</v>
      </c>
      <c r="L1772" s="6" t="str">
        <f>VLOOKUP(K1772,'Structure type'!$A$1:$B$15,2,FALSE)</f>
        <v>Manhole</v>
      </c>
      <c r="M1772" s="6" t="s">
        <v>3194</v>
      </c>
      <c r="N1772" s="6" t="str">
        <f>VLOOKUP(M1772,'Excursion Cause'!$A$1:$B$34,2,FALSE)</f>
        <v>Grease Blockage</v>
      </c>
      <c r="O1772" s="26">
        <v>44837.0</v>
      </c>
      <c r="P1772" s="6" t="s">
        <v>103</v>
      </c>
      <c r="Q1772" s="26">
        <v>44837.0</v>
      </c>
      <c r="R1772" s="6" t="s">
        <v>77</v>
      </c>
      <c r="S1772" s="20">
        <v>3.0</v>
      </c>
      <c r="T1772" s="6" t="s">
        <v>3201</v>
      </c>
      <c r="U1772" s="6"/>
      <c r="V1772" s="6"/>
      <c r="W1772" s="6">
        <v>29.866685</v>
      </c>
      <c r="X1772" s="6">
        <v>-95.5682503</v>
      </c>
    </row>
    <row r="1773" ht="15.75" customHeight="1">
      <c r="A1773" s="6">
        <v>49518.0</v>
      </c>
      <c r="B1773" s="6">
        <v>2022.0</v>
      </c>
      <c r="C1773" s="6" t="str">
        <f t="shared" si="5"/>
        <v>1511 SUMMER ST,Houston,Texas</v>
      </c>
      <c r="D1773" s="6" t="s">
        <v>3202</v>
      </c>
      <c r="E1773" s="6" t="s">
        <v>25</v>
      </c>
      <c r="F1773" s="6" t="s">
        <v>26</v>
      </c>
      <c r="G1773" s="6" t="s">
        <v>158</v>
      </c>
      <c r="H1773" s="6" t="s">
        <v>44</v>
      </c>
      <c r="I1773" s="6" t="str">
        <f>VLOOKUP(H1773,'Flow Location'!$A$1:$B$21,2,FALSE)</f>
        <v>Bayou/surface water/drainage ditch</v>
      </c>
      <c r="J1773" s="20">
        <v>440.0</v>
      </c>
      <c r="K1773" s="6" t="s">
        <v>198</v>
      </c>
      <c r="L1773" s="6" t="str">
        <f>VLOOKUP(K1773,'Structure type'!$A$1:$B$15,2,FALSE)</f>
        <v>Service Lateral</v>
      </c>
      <c r="M1773" s="6" t="s">
        <v>3203</v>
      </c>
      <c r="N1773" s="6" t="str">
        <f>VLOOKUP(M1773,'Excursion Cause'!$A$1:$B$34,2,FALSE)</f>
        <v>Collection system structural failure</v>
      </c>
      <c r="O1773" s="26">
        <v>44837.0</v>
      </c>
      <c r="P1773" s="6" t="s">
        <v>333</v>
      </c>
      <c r="Q1773" s="26">
        <v>44837.0</v>
      </c>
      <c r="R1773" s="6" t="s">
        <v>1353</v>
      </c>
      <c r="S1773" s="20">
        <v>2.0</v>
      </c>
      <c r="T1773" s="6" t="s">
        <v>3204</v>
      </c>
      <c r="U1773" s="6"/>
      <c r="V1773" s="6"/>
      <c r="W1773" s="6">
        <v>29.7728066</v>
      </c>
      <c r="X1773" s="6">
        <v>-95.3731198</v>
      </c>
    </row>
    <row r="1774" ht="15.75" customHeight="1">
      <c r="A1774" s="6">
        <v>49521.0</v>
      </c>
      <c r="B1774" s="6">
        <v>2022.0</v>
      </c>
      <c r="C1774" s="6" t="str">
        <f t="shared" si="5"/>
        <v>9501 LONG POINT RD,Houston,Texas</v>
      </c>
      <c r="D1774" s="6" t="s">
        <v>3205</v>
      </c>
      <c r="E1774" s="6" t="s">
        <v>25</v>
      </c>
      <c r="F1774" s="6" t="s">
        <v>26</v>
      </c>
      <c r="G1774" s="6" t="s">
        <v>27</v>
      </c>
      <c r="H1774" s="6" t="s">
        <v>50</v>
      </c>
      <c r="I1774" s="6" t="str">
        <f>VLOOKUP(H1774,'Flow Location'!$A$1:$B$21,2,FALSE)</f>
        <v>Contained On Site, not within 5 ft. of Bayou/Surface Water/Drainage Ditch</v>
      </c>
      <c r="J1774" s="20">
        <v>0.0</v>
      </c>
      <c r="K1774" s="6" t="s">
        <v>45</v>
      </c>
      <c r="L1774" s="6" t="str">
        <f>VLOOKUP(K1774,'Structure type'!$A$1:$B$15,2,FALSE)</f>
        <v>City Cleanout</v>
      </c>
      <c r="M1774" s="6" t="s">
        <v>30</v>
      </c>
      <c r="N1774" s="6" t="str">
        <f>VLOOKUP(M1774,'Excursion Cause'!$A$1:$B$34,2,FALSE)</f>
        <v>Grease Blockage</v>
      </c>
      <c r="O1774" s="26">
        <v>44837.0</v>
      </c>
      <c r="P1774" s="6" t="s">
        <v>186</v>
      </c>
      <c r="Q1774" s="26">
        <v>44837.0</v>
      </c>
      <c r="R1774" s="6" t="s">
        <v>492</v>
      </c>
      <c r="S1774" s="20">
        <v>0.0</v>
      </c>
      <c r="T1774" s="6" t="s">
        <v>59</v>
      </c>
      <c r="U1774" s="6"/>
      <c r="V1774" s="6"/>
      <c r="W1774" s="6">
        <v>29.7967482</v>
      </c>
      <c r="X1774" s="6">
        <v>-95.526339</v>
      </c>
    </row>
    <row r="1775" ht="15.75" customHeight="1">
      <c r="A1775" s="6">
        <v>49527.0</v>
      </c>
      <c r="B1775" s="6">
        <v>2022.0</v>
      </c>
      <c r="C1775" s="6" t="str">
        <f t="shared" si="5"/>
        <v>3623 KATY FWY,Houston,Texas</v>
      </c>
      <c r="D1775" s="6" t="s">
        <v>3206</v>
      </c>
      <c r="E1775" s="6" t="s">
        <v>25</v>
      </c>
      <c r="F1775" s="6" t="s">
        <v>26</v>
      </c>
      <c r="G1775" s="6"/>
      <c r="H1775" s="6" t="s">
        <v>50</v>
      </c>
      <c r="I1775" s="6" t="str">
        <f>VLOOKUP(H1775,'Flow Location'!$A$1:$B$21,2,FALSE)</f>
        <v>Contained On Site, not within 5 ft. of Bayou/Surface Water/Drainage Ditch</v>
      </c>
      <c r="J1775" s="20">
        <v>318.0</v>
      </c>
      <c r="K1775" s="6" t="s">
        <v>29</v>
      </c>
      <c r="L1775" s="6" t="str">
        <f>VLOOKUP(K1775,'Structure type'!$A$1:$B$15,2,FALSE)</f>
        <v>Manhole</v>
      </c>
      <c r="M1775" s="6" t="s">
        <v>30</v>
      </c>
      <c r="N1775" s="6" t="str">
        <f>VLOOKUP(M1775,'Excursion Cause'!$A$1:$B$34,2,FALSE)</f>
        <v>Grease Blockage</v>
      </c>
      <c r="O1775" s="26">
        <v>44838.0</v>
      </c>
      <c r="P1775" s="6" t="s">
        <v>1265</v>
      </c>
      <c r="Q1775" s="26">
        <v>44838.0</v>
      </c>
      <c r="R1775" s="6" t="s">
        <v>1006</v>
      </c>
      <c r="S1775" s="20">
        <v>2.0</v>
      </c>
      <c r="T1775" s="6" t="s">
        <v>33</v>
      </c>
      <c r="U1775" s="6"/>
      <c r="V1775" s="6"/>
      <c r="W1775" s="6">
        <v>29.7846462</v>
      </c>
      <c r="X1775" s="6">
        <v>-95.6234046</v>
      </c>
    </row>
    <row r="1776" ht="15.75" customHeight="1">
      <c r="A1776" s="6">
        <v>49528.0</v>
      </c>
      <c r="B1776" s="6">
        <v>2022.0</v>
      </c>
      <c r="C1776" s="6" t="str">
        <f t="shared" si="5"/>
        <v>9525 S KIRKWOOD RD,Houston,Texas</v>
      </c>
      <c r="D1776" s="6" t="s">
        <v>3207</v>
      </c>
      <c r="E1776" s="6" t="s">
        <v>25</v>
      </c>
      <c r="F1776" s="6" t="s">
        <v>26</v>
      </c>
      <c r="G1776" s="6" t="s">
        <v>154</v>
      </c>
      <c r="H1776" s="6" t="s">
        <v>1724</v>
      </c>
      <c r="I1776" s="6" t="str">
        <f>VLOOKUP(H1776,'Flow Location'!$A$1:$B$21,2,FALSE)</f>
        <v>Storm Sewer (not contained)</v>
      </c>
      <c r="J1776" s="20">
        <v>476.0</v>
      </c>
      <c r="K1776" s="6" t="s">
        <v>29</v>
      </c>
      <c r="L1776" s="6" t="str">
        <f>VLOOKUP(K1776,'Structure type'!$A$1:$B$15,2,FALSE)</f>
        <v>Manhole</v>
      </c>
      <c r="M1776" s="6" t="s">
        <v>3194</v>
      </c>
      <c r="N1776" s="6" t="str">
        <f>VLOOKUP(M1776,'Excursion Cause'!$A$1:$B$34,2,FALSE)</f>
        <v>Grease Blockage</v>
      </c>
      <c r="O1776" s="26">
        <v>44838.0</v>
      </c>
      <c r="P1776" s="6" t="s">
        <v>503</v>
      </c>
      <c r="Q1776" s="26">
        <v>44838.0</v>
      </c>
      <c r="R1776" s="6" t="s">
        <v>654</v>
      </c>
      <c r="S1776" s="20">
        <v>2.0</v>
      </c>
      <c r="T1776" s="6" t="s">
        <v>3208</v>
      </c>
      <c r="U1776" s="6"/>
      <c r="V1776" s="6"/>
      <c r="W1776" s="6">
        <v>29.6756061</v>
      </c>
      <c r="X1776" s="6">
        <v>-95.5854007</v>
      </c>
    </row>
    <row r="1777" ht="15.75" customHeight="1">
      <c r="A1777" s="6">
        <v>49534.0</v>
      </c>
      <c r="B1777" s="6">
        <v>2022.0</v>
      </c>
      <c r="C1777" s="6" t="str">
        <f t="shared" si="5"/>
        <v>1214 STONEHOLLOW DR,Houston,Texas</v>
      </c>
      <c r="D1777" s="6" t="s">
        <v>3209</v>
      </c>
      <c r="E1777" s="6" t="s">
        <v>25</v>
      </c>
      <c r="F1777" s="6" t="s">
        <v>26</v>
      </c>
      <c r="G1777" s="6" t="s">
        <v>1078</v>
      </c>
      <c r="H1777" s="6" t="s">
        <v>1724</v>
      </c>
      <c r="I1777" s="6" t="str">
        <f>VLOOKUP(H1777,'Flow Location'!$A$1:$B$21,2,FALSE)</f>
        <v>Storm Sewer (not contained)</v>
      </c>
      <c r="J1777" s="20">
        <v>214.0</v>
      </c>
      <c r="K1777" s="6" t="s">
        <v>29</v>
      </c>
      <c r="L1777" s="6" t="str">
        <f>VLOOKUP(K1777,'Structure type'!$A$1:$B$15,2,FALSE)</f>
        <v>Manhole</v>
      </c>
      <c r="M1777" s="6" t="s">
        <v>3194</v>
      </c>
      <c r="N1777" s="6" t="str">
        <f>VLOOKUP(M1777,'Excursion Cause'!$A$1:$B$34,2,FALSE)</f>
        <v>Grease Blockage</v>
      </c>
      <c r="O1777" s="26">
        <v>44839.0</v>
      </c>
      <c r="P1777" s="6" t="s">
        <v>1141</v>
      </c>
      <c r="Q1777" s="26">
        <v>44839.0</v>
      </c>
      <c r="R1777" s="6" t="s">
        <v>648</v>
      </c>
      <c r="S1777" s="20">
        <v>1.0</v>
      </c>
      <c r="T1777" s="6" t="s">
        <v>3201</v>
      </c>
      <c r="U1777" s="6"/>
      <c r="V1777" s="6"/>
      <c r="W1777" s="6">
        <v>30.0511908</v>
      </c>
      <c r="X1777" s="6">
        <v>-95.2369864</v>
      </c>
    </row>
    <row r="1778" ht="15.75" customHeight="1">
      <c r="A1778" s="6">
        <v>49536.0</v>
      </c>
      <c r="B1778" s="6">
        <v>2022.0</v>
      </c>
      <c r="C1778" s="6" t="str">
        <f t="shared" si="5"/>
        <v>7402 SENFRONIA HILLS DR,Houston,Texas</v>
      </c>
      <c r="D1778" s="6" t="s">
        <v>3210</v>
      </c>
      <c r="E1778" s="6" t="s">
        <v>25</v>
      </c>
      <c r="F1778" s="6" t="s">
        <v>26</v>
      </c>
      <c r="G1778" s="6" t="s">
        <v>326</v>
      </c>
      <c r="H1778" s="6" t="s">
        <v>28</v>
      </c>
      <c r="I1778" s="6" t="str">
        <f>VLOOKUP(H1778,'Flow Location'!$A$1:$B$21,2,FALSE)</f>
        <v>Storm Sewer (not contained)</v>
      </c>
      <c r="J1778" s="20">
        <v>1680.0</v>
      </c>
      <c r="K1778" s="6" t="s">
        <v>29</v>
      </c>
      <c r="L1778" s="6" t="str">
        <f>VLOOKUP(K1778,'Structure type'!$A$1:$B$15,2,FALSE)</f>
        <v>Manhole</v>
      </c>
      <c r="M1778" s="6" t="s">
        <v>3203</v>
      </c>
      <c r="N1778" s="6" t="str">
        <f>VLOOKUP(M1778,'Excursion Cause'!$A$1:$B$34,2,FALSE)</f>
        <v>Collection system structural failure</v>
      </c>
      <c r="O1778" s="26">
        <v>44839.0</v>
      </c>
      <c r="P1778" s="6" t="s">
        <v>341</v>
      </c>
      <c r="Q1778" s="26">
        <v>44839.0</v>
      </c>
      <c r="R1778" s="6" t="s">
        <v>2352</v>
      </c>
      <c r="S1778" s="20">
        <v>3.0</v>
      </c>
      <c r="T1778" s="6" t="s">
        <v>1083</v>
      </c>
      <c r="U1778" s="6"/>
      <c r="V1778" s="6"/>
      <c r="W1778" s="6">
        <v>29.8682856</v>
      </c>
      <c r="X1778" s="6">
        <v>-95.2945283</v>
      </c>
    </row>
    <row r="1779" ht="15.75" customHeight="1">
      <c r="A1779" s="6">
        <v>49539.0</v>
      </c>
      <c r="B1779" s="6">
        <v>2022.0</v>
      </c>
      <c r="C1779" s="6" t="str">
        <f t="shared" si="5"/>
        <v>2052 SWIFT BLVD,Houston,Texas</v>
      </c>
      <c r="D1779" s="6" t="s">
        <v>3211</v>
      </c>
      <c r="E1779" s="6" t="s">
        <v>25</v>
      </c>
      <c r="F1779" s="6" t="s">
        <v>26</v>
      </c>
      <c r="G1779" s="6" t="s">
        <v>512</v>
      </c>
      <c r="H1779" s="6" t="s">
        <v>50</v>
      </c>
      <c r="I1779" s="6" t="str">
        <f>VLOOKUP(H1779,'Flow Location'!$A$1:$B$21,2,FALSE)</f>
        <v>Contained On Site, not within 5 ft. of Bayou/Surface Water/Drainage Ditch</v>
      </c>
      <c r="J1779" s="20">
        <v>0.0</v>
      </c>
      <c r="K1779" s="6" t="s">
        <v>198</v>
      </c>
      <c r="L1779" s="6" t="str">
        <f>VLOOKUP(K1779,'Structure type'!$A$1:$B$15,2,FALSE)</f>
        <v>Service Lateral</v>
      </c>
      <c r="M1779" s="6" t="s">
        <v>81</v>
      </c>
      <c r="N1779" s="6" t="str">
        <f>VLOOKUP(M1779,'Excursion Cause'!$A$1:$B$34,2,FALSE)</f>
        <v>Collection system structural failure</v>
      </c>
      <c r="O1779" s="26">
        <v>44839.0</v>
      </c>
      <c r="P1779" s="6" t="s">
        <v>819</v>
      </c>
      <c r="Q1779" s="26">
        <v>44839.0</v>
      </c>
      <c r="R1779" s="6" t="s">
        <v>1317</v>
      </c>
      <c r="S1779" s="20">
        <v>0.0</v>
      </c>
      <c r="T1779" s="6" t="s">
        <v>118</v>
      </c>
      <c r="U1779" s="6"/>
      <c r="V1779" s="6"/>
      <c r="W1779" s="6">
        <v>29.711944</v>
      </c>
      <c r="X1779" s="6">
        <v>-95.406779</v>
      </c>
    </row>
    <row r="1780" ht="15.75" customHeight="1">
      <c r="A1780" s="6">
        <v>49541.0</v>
      </c>
      <c r="B1780" s="6">
        <v>2022.0</v>
      </c>
      <c r="C1780" s="6" t="str">
        <f t="shared" si="5"/>
        <v>9630 INTERVALE ST,Houston,Texas</v>
      </c>
      <c r="D1780" s="6" t="s">
        <v>3212</v>
      </c>
      <c r="E1780" s="6" t="s">
        <v>25</v>
      </c>
      <c r="F1780" s="6" t="s">
        <v>26</v>
      </c>
      <c r="G1780" s="6" t="s">
        <v>95</v>
      </c>
      <c r="H1780" s="6" t="s">
        <v>1724</v>
      </c>
      <c r="I1780" s="6" t="str">
        <f>VLOOKUP(H1780,'Flow Location'!$A$1:$B$21,2,FALSE)</f>
        <v>Storm Sewer (not contained)</v>
      </c>
      <c r="J1780" s="20">
        <v>0.0</v>
      </c>
      <c r="K1780" s="6" t="s">
        <v>3213</v>
      </c>
      <c r="L1780" s="6" t="str">
        <f>VLOOKUP(K1780,'Structure type'!$A$1:$B$15,2,FALSE)</f>
        <v>#N/A</v>
      </c>
      <c r="M1780" s="6" t="s">
        <v>3194</v>
      </c>
      <c r="N1780" s="6" t="str">
        <f>VLOOKUP(M1780,'Excursion Cause'!$A$1:$B$34,2,FALSE)</f>
        <v>Grease Blockage</v>
      </c>
      <c r="O1780" s="26">
        <v>44839.0</v>
      </c>
      <c r="P1780" s="6" t="s">
        <v>854</v>
      </c>
      <c r="Q1780" s="26">
        <v>44840.0</v>
      </c>
      <c r="R1780" s="6" t="s">
        <v>777</v>
      </c>
      <c r="S1780" s="20">
        <v>0.0</v>
      </c>
      <c r="T1780" s="6" t="s">
        <v>3214</v>
      </c>
      <c r="U1780" s="6"/>
      <c r="V1780" s="6"/>
      <c r="W1780" s="6">
        <v>29.6369578</v>
      </c>
      <c r="X1780" s="6">
        <v>-95.2447369</v>
      </c>
    </row>
    <row r="1781" ht="15.75" customHeight="1">
      <c r="A1781" s="6">
        <v>49543.0</v>
      </c>
      <c r="B1781" s="6">
        <v>2022.0</v>
      </c>
      <c r="C1781" s="6" t="str">
        <f t="shared" si="5"/>
        <v>7914 WILMERDEAN ST,Houston,Texas</v>
      </c>
      <c r="D1781" s="6" t="s">
        <v>3215</v>
      </c>
      <c r="E1781" s="6" t="s">
        <v>25</v>
      </c>
      <c r="F1781" s="6" t="s">
        <v>26</v>
      </c>
      <c r="G1781" s="6" t="s">
        <v>398</v>
      </c>
      <c r="H1781" s="6" t="s">
        <v>50</v>
      </c>
      <c r="I1781" s="6" t="str">
        <f>VLOOKUP(H1781,'Flow Location'!$A$1:$B$21,2,FALSE)</f>
        <v>Contained On Site, not within 5 ft. of Bayou/Surface Water/Drainage Ditch</v>
      </c>
      <c r="J1781" s="20">
        <v>0.0</v>
      </c>
      <c r="K1781" s="6" t="s">
        <v>198</v>
      </c>
      <c r="L1781" s="6" t="str">
        <f>VLOOKUP(K1781,'Structure type'!$A$1:$B$15,2,FALSE)</f>
        <v>Service Lateral</v>
      </c>
      <c r="M1781" s="6" t="s">
        <v>81</v>
      </c>
      <c r="N1781" s="6" t="str">
        <f>VLOOKUP(M1781,'Excursion Cause'!$A$1:$B$34,2,FALSE)</f>
        <v>Collection system structural failure</v>
      </c>
      <c r="O1781" s="26">
        <v>44839.0</v>
      </c>
      <c r="P1781" s="6" t="s">
        <v>931</v>
      </c>
      <c r="Q1781" s="26">
        <v>44839.0</v>
      </c>
      <c r="R1781" s="6" t="s">
        <v>662</v>
      </c>
      <c r="S1781" s="20">
        <v>0.0</v>
      </c>
      <c r="T1781" s="6" t="s">
        <v>118</v>
      </c>
      <c r="U1781" s="6"/>
      <c r="V1781" s="6"/>
      <c r="W1781" s="6">
        <v>29.6627231</v>
      </c>
      <c r="X1781" s="6">
        <v>-95.2740965</v>
      </c>
    </row>
    <row r="1782" ht="15.75" customHeight="1">
      <c r="A1782" s="6">
        <v>49544.0</v>
      </c>
      <c r="B1782" s="6">
        <v>2022.0</v>
      </c>
      <c r="C1782" s="6" t="str">
        <f t="shared" si="5"/>
        <v>10614 CHEEVES DR,Houston,Texas</v>
      </c>
      <c r="D1782" s="6" t="s">
        <v>3216</v>
      </c>
      <c r="E1782" s="6" t="s">
        <v>25</v>
      </c>
      <c r="F1782" s="6" t="s">
        <v>26</v>
      </c>
      <c r="G1782" s="6" t="s">
        <v>326</v>
      </c>
      <c r="H1782" s="6" t="s">
        <v>1724</v>
      </c>
      <c r="I1782" s="6" t="str">
        <f>VLOOKUP(H1782,'Flow Location'!$A$1:$B$21,2,FALSE)</f>
        <v>Storm Sewer (not contained)</v>
      </c>
      <c r="J1782" s="20">
        <v>289.0</v>
      </c>
      <c r="K1782" s="6" t="s">
        <v>29</v>
      </c>
      <c r="L1782" s="6" t="str">
        <f>VLOOKUP(K1782,'Structure type'!$A$1:$B$15,2,FALSE)</f>
        <v>Manhole</v>
      </c>
      <c r="M1782" s="6" t="s">
        <v>3194</v>
      </c>
      <c r="N1782" s="6" t="str">
        <f>VLOOKUP(M1782,'Excursion Cause'!$A$1:$B$34,2,FALSE)</f>
        <v>Grease Blockage</v>
      </c>
      <c r="O1782" s="26">
        <v>44839.0</v>
      </c>
      <c r="P1782" s="6" t="s">
        <v>97</v>
      </c>
      <c r="Q1782" s="26">
        <v>44839.0</v>
      </c>
      <c r="R1782" s="6" t="s">
        <v>2352</v>
      </c>
      <c r="S1782" s="20">
        <v>1.0</v>
      </c>
      <c r="T1782" s="6" t="s">
        <v>3201</v>
      </c>
      <c r="U1782" s="6"/>
      <c r="V1782" s="6"/>
      <c r="W1782" s="6">
        <v>29.8676147</v>
      </c>
      <c r="X1782" s="6">
        <v>-95.2925891</v>
      </c>
    </row>
    <row r="1783" ht="15.75" customHeight="1">
      <c r="A1783" s="6">
        <v>49547.0</v>
      </c>
      <c r="B1783" s="6">
        <v>2022.0</v>
      </c>
      <c r="C1783" s="6" t="str">
        <f t="shared" si="5"/>
        <v>10839 BELLAIRE BLVD,Houston,Texas</v>
      </c>
      <c r="D1783" s="6" t="s">
        <v>3217</v>
      </c>
      <c r="E1783" s="6" t="s">
        <v>25</v>
      </c>
      <c r="F1783" s="6" t="s">
        <v>26</v>
      </c>
      <c r="G1783" s="6" t="s">
        <v>91</v>
      </c>
      <c r="H1783" s="6" t="s">
        <v>50</v>
      </c>
      <c r="I1783" s="6" t="str">
        <f>VLOOKUP(H1783,'Flow Location'!$A$1:$B$21,2,FALSE)</f>
        <v>Contained On Site, not within 5 ft. of Bayou/Surface Water/Drainage Ditch</v>
      </c>
      <c r="J1783" s="20">
        <v>0.0</v>
      </c>
      <c r="K1783" s="6" t="s">
        <v>45</v>
      </c>
      <c r="L1783" s="6" t="str">
        <f>VLOOKUP(K1783,'Structure type'!$A$1:$B$15,2,FALSE)</f>
        <v>City Cleanout</v>
      </c>
      <c r="M1783" s="6" t="s">
        <v>52</v>
      </c>
      <c r="N1783" s="6" t="str">
        <f>VLOOKUP(M1783,'Excursion Cause'!$A$1:$B$34,2,FALSE)</f>
        <v>Collection system structural blockage</v>
      </c>
      <c r="O1783" s="26">
        <v>44839.0</v>
      </c>
      <c r="P1783" s="6" t="s">
        <v>545</v>
      </c>
      <c r="Q1783" s="26">
        <v>44839.0</v>
      </c>
      <c r="R1783" s="6" t="s">
        <v>496</v>
      </c>
      <c r="S1783" s="20">
        <v>0.0</v>
      </c>
      <c r="T1783" s="6" t="s">
        <v>170</v>
      </c>
      <c r="U1783" s="6"/>
      <c r="V1783" s="6"/>
      <c r="W1783" s="6">
        <v>29.7032556</v>
      </c>
      <c r="X1783" s="6">
        <v>-95.5706787</v>
      </c>
    </row>
    <row r="1784" ht="15.75" customHeight="1">
      <c r="A1784" s="6">
        <v>49551.0</v>
      </c>
      <c r="B1784" s="6">
        <v>2022.0</v>
      </c>
      <c r="C1784" s="6" t="str">
        <f t="shared" si="5"/>
        <v>5427 ASHBROOK DR,Houston,Texas</v>
      </c>
      <c r="D1784" s="6" t="s">
        <v>2667</v>
      </c>
      <c r="E1784" s="6" t="s">
        <v>25</v>
      </c>
      <c r="F1784" s="6" t="s">
        <v>26</v>
      </c>
      <c r="G1784" s="6" t="s">
        <v>287</v>
      </c>
      <c r="H1784" s="6" t="s">
        <v>1724</v>
      </c>
      <c r="I1784" s="6" t="str">
        <f>VLOOKUP(H1784,'Flow Location'!$A$1:$B$21,2,FALSE)</f>
        <v>Storm Sewer (not contained)</v>
      </c>
      <c r="J1784" s="20">
        <v>0.0</v>
      </c>
      <c r="K1784" s="6" t="s">
        <v>29</v>
      </c>
      <c r="L1784" s="6" t="str">
        <f>VLOOKUP(K1784,'Structure type'!$A$1:$B$15,2,FALSE)</f>
        <v>Manhole</v>
      </c>
      <c r="M1784" s="6" t="s">
        <v>3194</v>
      </c>
      <c r="N1784" s="6" t="str">
        <f>VLOOKUP(M1784,'Excursion Cause'!$A$1:$B$34,2,FALSE)</f>
        <v>Grease Blockage</v>
      </c>
      <c r="O1784" s="26">
        <v>44839.0</v>
      </c>
      <c r="P1784" s="6" t="s">
        <v>664</v>
      </c>
      <c r="Q1784" s="26">
        <v>44839.0</v>
      </c>
      <c r="R1784" s="6" t="s">
        <v>971</v>
      </c>
      <c r="S1784" s="20">
        <v>0.0</v>
      </c>
      <c r="T1784" s="6" t="s">
        <v>3201</v>
      </c>
      <c r="U1784" s="6"/>
      <c r="V1784" s="6"/>
      <c r="W1784" s="6">
        <v>29.7143622</v>
      </c>
      <c r="X1784" s="6">
        <v>-95.4754259</v>
      </c>
    </row>
    <row r="1785" ht="15.75" customHeight="1">
      <c r="A1785" s="6">
        <v>49554.0</v>
      </c>
      <c r="B1785" s="6">
        <v>2022.0</v>
      </c>
      <c r="C1785" s="6" t="str">
        <f t="shared" si="5"/>
        <v>12750 COULSON ST,Houston,Texas</v>
      </c>
      <c r="D1785" s="6" t="s">
        <v>3218</v>
      </c>
      <c r="E1785" s="6" t="s">
        <v>25</v>
      </c>
      <c r="F1785" s="6" t="s">
        <v>26</v>
      </c>
      <c r="G1785" s="6" t="s">
        <v>623</v>
      </c>
      <c r="H1785" s="6" t="s">
        <v>1397</v>
      </c>
      <c r="I1785" s="6" t="str">
        <f>VLOOKUP(H1785,'Flow Location'!$A$1:$B$21,2,FALSE)</f>
        <v>Bayou/surface water/drainage ditch</v>
      </c>
      <c r="J1785" s="20">
        <v>0.0</v>
      </c>
      <c r="K1785" s="6" t="s">
        <v>290</v>
      </c>
      <c r="L1785" s="6" t="str">
        <f>VLOOKUP(K1785,'Structure type'!$A$1:$B$15,2,FALSE)</f>
        <v>Gravity Main</v>
      </c>
      <c r="M1785" s="6" t="s">
        <v>56</v>
      </c>
      <c r="N1785" s="6" t="str">
        <f>VLOOKUP(M1785,'Excursion Cause'!$A$1:$B$34,2,FALSE)</f>
        <v>Rags/Wipes</v>
      </c>
      <c r="O1785" s="26">
        <v>44840.0</v>
      </c>
      <c r="P1785" s="6" t="s">
        <v>129</v>
      </c>
      <c r="Q1785" s="26">
        <v>44840.0</v>
      </c>
      <c r="R1785" s="6" t="s">
        <v>522</v>
      </c>
      <c r="S1785" s="20">
        <v>0.0</v>
      </c>
      <c r="T1785" s="6" t="s">
        <v>33</v>
      </c>
      <c r="U1785" s="6"/>
      <c r="V1785" s="6"/>
      <c r="W1785" s="6">
        <v>29.7628152</v>
      </c>
      <c r="X1785" s="6">
        <v>-95.2062522</v>
      </c>
    </row>
    <row r="1786" ht="15.75" customHeight="1">
      <c r="A1786" s="6">
        <v>49556.0</v>
      </c>
      <c r="B1786" s="6">
        <v>2022.0</v>
      </c>
      <c r="C1786" s="6" t="str">
        <f t="shared" si="5"/>
        <v>6805 COHN ST,Houston,Texas</v>
      </c>
      <c r="D1786" s="6" t="s">
        <v>3219</v>
      </c>
      <c r="E1786" s="6" t="s">
        <v>25</v>
      </c>
      <c r="F1786" s="6" t="s">
        <v>26</v>
      </c>
      <c r="G1786" s="6" t="s">
        <v>222</v>
      </c>
      <c r="H1786" s="6" t="s">
        <v>1397</v>
      </c>
      <c r="I1786" s="6" t="str">
        <f>VLOOKUP(H1786,'Flow Location'!$A$1:$B$21,2,FALSE)</f>
        <v>Bayou/surface water/drainage ditch</v>
      </c>
      <c r="J1786" s="20">
        <v>0.0</v>
      </c>
      <c r="K1786" s="6" t="s">
        <v>45</v>
      </c>
      <c r="L1786" s="6" t="str">
        <f>VLOOKUP(K1786,'Structure type'!$A$1:$B$15,2,FALSE)</f>
        <v>City Cleanout</v>
      </c>
      <c r="M1786" s="6" t="s">
        <v>56</v>
      </c>
      <c r="N1786" s="6" t="str">
        <f>VLOOKUP(M1786,'Excursion Cause'!$A$1:$B$34,2,FALSE)</f>
        <v>Rags/Wipes</v>
      </c>
      <c r="O1786" s="26">
        <v>44840.0</v>
      </c>
      <c r="P1786" s="6" t="s">
        <v>235</v>
      </c>
      <c r="Q1786" s="26">
        <v>44840.0</v>
      </c>
      <c r="R1786" s="6" t="s">
        <v>897</v>
      </c>
      <c r="S1786" s="20">
        <v>0.0</v>
      </c>
      <c r="T1786" s="6" t="s">
        <v>170</v>
      </c>
      <c r="U1786" s="6"/>
      <c r="V1786" s="6"/>
      <c r="W1786" s="6">
        <v>29.862511</v>
      </c>
      <c r="X1786" s="6">
        <v>-95.4238255</v>
      </c>
    </row>
    <row r="1787" ht="15.75" customHeight="1">
      <c r="A1787" s="6">
        <v>49559.0</v>
      </c>
      <c r="B1787" s="6">
        <v>2022.0</v>
      </c>
      <c r="C1787" s="6" t="str">
        <f t="shared" si="5"/>
        <v>10318 CAXTON ST,Houston,Texas</v>
      </c>
      <c r="D1787" s="6" t="s">
        <v>3220</v>
      </c>
      <c r="E1787" s="6" t="s">
        <v>25</v>
      </c>
      <c r="F1787" s="6" t="s">
        <v>26</v>
      </c>
      <c r="G1787" s="6" t="s">
        <v>326</v>
      </c>
      <c r="H1787" s="6" t="s">
        <v>44</v>
      </c>
      <c r="I1787" s="6" t="str">
        <f>VLOOKUP(H1787,'Flow Location'!$A$1:$B$21,2,FALSE)</f>
        <v>Bayou/surface water/drainage ditch</v>
      </c>
      <c r="J1787" s="20">
        <v>0.0</v>
      </c>
      <c r="K1787" s="6" t="s">
        <v>29</v>
      </c>
      <c r="L1787" s="6" t="str">
        <f>VLOOKUP(K1787,'Structure type'!$A$1:$B$15,2,FALSE)</f>
        <v>Manhole</v>
      </c>
      <c r="M1787" s="6" t="s">
        <v>3203</v>
      </c>
      <c r="N1787" s="6" t="str">
        <f>VLOOKUP(M1787,'Excursion Cause'!$A$1:$B$34,2,FALSE)</f>
        <v>Collection system structural failure</v>
      </c>
      <c r="O1787" s="26">
        <v>44840.0</v>
      </c>
      <c r="P1787" s="6" t="s">
        <v>3221</v>
      </c>
      <c r="Q1787" s="26">
        <v>44840.0</v>
      </c>
      <c r="R1787" s="6" t="s">
        <v>552</v>
      </c>
      <c r="S1787" s="20">
        <v>0.0</v>
      </c>
      <c r="T1787" s="6" t="s">
        <v>1491</v>
      </c>
      <c r="U1787" s="6"/>
      <c r="V1787" s="6"/>
      <c r="W1787" s="6">
        <v>29.8610574</v>
      </c>
      <c r="X1787" s="6">
        <v>-95.3124371</v>
      </c>
    </row>
    <row r="1788" ht="15.75" customHeight="1">
      <c r="A1788" s="6">
        <v>49560.0</v>
      </c>
      <c r="B1788" s="6">
        <v>2022.0</v>
      </c>
      <c r="C1788" s="6" t="str">
        <f t="shared" si="5"/>
        <v>7459 WHEATLEY GARDENS DR,Houston,Texas</v>
      </c>
      <c r="D1788" s="6" t="s">
        <v>3222</v>
      </c>
      <c r="E1788" s="6" t="s">
        <v>25</v>
      </c>
      <c r="F1788" s="6" t="s">
        <v>26</v>
      </c>
      <c r="G1788" s="6" t="s">
        <v>326</v>
      </c>
      <c r="H1788" s="6" t="s">
        <v>50</v>
      </c>
      <c r="I1788" s="6" t="str">
        <f>VLOOKUP(H1788,'Flow Location'!$A$1:$B$21,2,FALSE)</f>
        <v>Contained On Site, not within 5 ft. of Bayou/Surface Water/Drainage Ditch</v>
      </c>
      <c r="J1788" s="20">
        <v>72.0</v>
      </c>
      <c r="K1788" s="6" t="s">
        <v>29</v>
      </c>
      <c r="L1788" s="6" t="str">
        <f>VLOOKUP(K1788,'Structure type'!$A$1:$B$15,2,FALSE)</f>
        <v>Manhole</v>
      </c>
      <c r="M1788" s="6" t="s">
        <v>30</v>
      </c>
      <c r="N1788" s="6" t="str">
        <f>VLOOKUP(M1788,'Excursion Cause'!$A$1:$B$34,2,FALSE)</f>
        <v>Grease Blockage</v>
      </c>
      <c r="O1788" s="26">
        <v>44839.0</v>
      </c>
      <c r="P1788" s="6" t="s">
        <v>97</v>
      </c>
      <c r="Q1788" s="26">
        <v>44839.0</v>
      </c>
      <c r="R1788" s="6" t="s">
        <v>2352</v>
      </c>
      <c r="S1788" s="20">
        <v>0.0</v>
      </c>
      <c r="T1788" s="6" t="s">
        <v>33</v>
      </c>
      <c r="U1788" s="6"/>
      <c r="V1788" s="6"/>
      <c r="W1788" s="6">
        <v>29.8679621</v>
      </c>
      <c r="X1788" s="6">
        <v>-95.2929158</v>
      </c>
    </row>
    <row r="1789" ht="15.75" customHeight="1">
      <c r="A1789" s="6">
        <v>49561.0</v>
      </c>
      <c r="B1789" s="6">
        <v>2022.0</v>
      </c>
      <c r="C1789" s="6" t="str">
        <f t="shared" si="5"/>
        <v>3903 ERBY ST,Houston,Texas</v>
      </c>
      <c r="D1789" s="6" t="s">
        <v>2567</v>
      </c>
      <c r="E1789" s="6" t="s">
        <v>25</v>
      </c>
      <c r="F1789" s="6" t="s">
        <v>26</v>
      </c>
      <c r="G1789" s="6" t="s">
        <v>35</v>
      </c>
      <c r="H1789" s="6" t="s">
        <v>1724</v>
      </c>
      <c r="I1789" s="6" t="str">
        <f>VLOOKUP(H1789,'Flow Location'!$A$1:$B$21,2,FALSE)</f>
        <v>Storm Sewer (not contained)</v>
      </c>
      <c r="J1789" s="20">
        <v>0.0</v>
      </c>
      <c r="K1789" s="6" t="s">
        <v>29</v>
      </c>
      <c r="L1789" s="6" t="str">
        <f>VLOOKUP(K1789,'Structure type'!$A$1:$B$15,2,FALSE)</f>
        <v>Manhole</v>
      </c>
      <c r="M1789" s="6" t="s">
        <v>3194</v>
      </c>
      <c r="N1789" s="6" t="str">
        <f>VLOOKUP(M1789,'Excursion Cause'!$A$1:$B$34,2,FALSE)</f>
        <v>Grease Blockage</v>
      </c>
      <c r="O1789" s="26">
        <v>44841.0</v>
      </c>
      <c r="P1789" s="6" t="s">
        <v>1145</v>
      </c>
      <c r="Q1789" s="26">
        <v>44841.0</v>
      </c>
      <c r="R1789" s="6" t="s">
        <v>1360</v>
      </c>
      <c r="S1789" s="20">
        <v>0.0</v>
      </c>
      <c r="T1789" s="6" t="s">
        <v>3208</v>
      </c>
      <c r="U1789" s="6"/>
      <c r="V1789" s="6"/>
      <c r="W1789" s="6">
        <v>29.7022701</v>
      </c>
      <c r="X1789" s="6">
        <v>-95.3145186</v>
      </c>
    </row>
    <row r="1790" ht="15.75" customHeight="1">
      <c r="A1790" s="6">
        <v>49577.0</v>
      </c>
      <c r="B1790" s="6">
        <v>2022.0</v>
      </c>
      <c r="C1790" s="6" t="str">
        <f t="shared" si="5"/>
        <v>1850 COLQUITT ST,Houston,Texas</v>
      </c>
      <c r="D1790" s="6" t="s">
        <v>2881</v>
      </c>
      <c r="E1790" s="6" t="s">
        <v>25</v>
      </c>
      <c r="F1790" s="6" t="s">
        <v>26</v>
      </c>
      <c r="G1790" s="6" t="s">
        <v>112</v>
      </c>
      <c r="H1790" s="6" t="s">
        <v>50</v>
      </c>
      <c r="I1790" s="6" t="str">
        <f>VLOOKUP(H1790,'Flow Location'!$A$1:$B$21,2,FALSE)</f>
        <v>Contained On Site, not within 5 ft. of Bayou/Surface Water/Drainage Ditch</v>
      </c>
      <c r="J1790" s="20">
        <v>0.0</v>
      </c>
      <c r="K1790" s="6" t="s">
        <v>45</v>
      </c>
      <c r="L1790" s="6" t="str">
        <f>VLOOKUP(K1790,'Structure type'!$A$1:$B$15,2,FALSE)</f>
        <v>City Cleanout</v>
      </c>
      <c r="M1790" s="6" t="s">
        <v>30</v>
      </c>
      <c r="N1790" s="6" t="str">
        <f>VLOOKUP(M1790,'Excursion Cause'!$A$1:$B$34,2,FALSE)</f>
        <v>Grease Blockage</v>
      </c>
      <c r="O1790" s="26">
        <v>44843.0</v>
      </c>
      <c r="P1790" s="6" t="s">
        <v>602</v>
      </c>
      <c r="Q1790" s="26">
        <v>44843.0</v>
      </c>
      <c r="R1790" s="6" t="s">
        <v>345</v>
      </c>
      <c r="S1790" s="20">
        <v>0.0</v>
      </c>
      <c r="T1790" s="6" t="s">
        <v>89</v>
      </c>
      <c r="U1790" s="6"/>
      <c r="V1790" s="6"/>
      <c r="W1790" s="6">
        <v>29.7354224</v>
      </c>
      <c r="X1790" s="6">
        <v>-95.406856</v>
      </c>
    </row>
    <row r="1791" ht="15.75" customHeight="1">
      <c r="A1791" s="6">
        <v>49581.0</v>
      </c>
      <c r="B1791" s="6">
        <v>2022.0</v>
      </c>
      <c r="C1791" s="6" t="str">
        <f t="shared" si="5"/>
        <v>10225 SCOTT ST,Houston,Texas</v>
      </c>
      <c r="D1791" s="6" t="s">
        <v>3223</v>
      </c>
      <c r="E1791" s="6" t="s">
        <v>25</v>
      </c>
      <c r="F1791" s="6" t="s">
        <v>26</v>
      </c>
      <c r="G1791" s="6" t="s">
        <v>105</v>
      </c>
      <c r="H1791" s="6" t="s">
        <v>1724</v>
      </c>
      <c r="I1791" s="6" t="str">
        <f>VLOOKUP(H1791,'Flow Location'!$A$1:$B$21,2,FALSE)</f>
        <v>Storm Sewer (not contained)</v>
      </c>
      <c r="J1791" s="20">
        <v>550.0</v>
      </c>
      <c r="K1791" s="6" t="s">
        <v>29</v>
      </c>
      <c r="L1791" s="6" t="str">
        <f>VLOOKUP(K1791,'Structure type'!$A$1:$B$15,2,FALSE)</f>
        <v>Manhole</v>
      </c>
      <c r="M1791" s="6" t="s">
        <v>3194</v>
      </c>
      <c r="N1791" s="6" t="str">
        <f>VLOOKUP(M1791,'Excursion Cause'!$A$1:$B$34,2,FALSE)</f>
        <v>Grease Blockage</v>
      </c>
      <c r="O1791" s="26">
        <v>44844.0</v>
      </c>
      <c r="P1791" s="6" t="s">
        <v>666</v>
      </c>
      <c r="Q1791" s="26">
        <v>44844.0</v>
      </c>
      <c r="R1791" s="6" t="s">
        <v>125</v>
      </c>
      <c r="S1791" s="20">
        <v>5.0</v>
      </c>
      <c r="T1791" s="6" t="s">
        <v>3208</v>
      </c>
      <c r="U1791" s="6"/>
      <c r="V1791" s="6"/>
      <c r="W1791" s="6">
        <v>29.6500121</v>
      </c>
      <c r="X1791" s="6">
        <v>-95.3655359</v>
      </c>
    </row>
    <row r="1792" ht="15.75" customHeight="1">
      <c r="A1792" s="6">
        <v>49585.0</v>
      </c>
      <c r="B1792" s="6">
        <v>2022.0</v>
      </c>
      <c r="C1792" s="6" t="str">
        <f t="shared" si="5"/>
        <v>6343 FRENCH CHATEAU DR,Houston,Texas</v>
      </c>
      <c r="D1792" s="6" t="s">
        <v>3224</v>
      </c>
      <c r="E1792" s="6" t="s">
        <v>25</v>
      </c>
      <c r="F1792" s="6" t="s">
        <v>26</v>
      </c>
      <c r="G1792" s="6" t="s">
        <v>502</v>
      </c>
      <c r="H1792" s="6" t="s">
        <v>1724</v>
      </c>
      <c r="I1792" s="6" t="str">
        <f>VLOOKUP(H1792,'Flow Location'!$A$1:$B$21,2,FALSE)</f>
        <v>Storm Sewer (not contained)</v>
      </c>
      <c r="J1792" s="20">
        <v>0.0</v>
      </c>
      <c r="K1792" s="6" t="s">
        <v>29</v>
      </c>
      <c r="L1792" s="6" t="str">
        <f>VLOOKUP(K1792,'Structure type'!$A$1:$B$15,2,FALSE)</f>
        <v>Manhole</v>
      </c>
      <c r="M1792" s="6" t="s">
        <v>3194</v>
      </c>
      <c r="N1792" s="6" t="str">
        <f>VLOOKUP(M1792,'Excursion Cause'!$A$1:$B$34,2,FALSE)</f>
        <v>Grease Blockage</v>
      </c>
      <c r="O1792" s="26">
        <v>44844.0</v>
      </c>
      <c r="P1792" s="6" t="s">
        <v>428</v>
      </c>
      <c r="Q1792" s="26">
        <v>44844.0</v>
      </c>
      <c r="R1792" s="6" t="s">
        <v>537</v>
      </c>
      <c r="S1792" s="20">
        <v>0.0</v>
      </c>
      <c r="T1792" s="6" t="s">
        <v>3201</v>
      </c>
      <c r="U1792" s="6"/>
      <c r="V1792" s="6"/>
      <c r="W1792" s="6">
        <v>29.8729209</v>
      </c>
      <c r="X1792" s="6">
        <v>-95.4872655</v>
      </c>
    </row>
    <row r="1793" ht="15.75" customHeight="1">
      <c r="A1793" s="6">
        <v>49589.0</v>
      </c>
      <c r="B1793" s="6">
        <v>2022.0</v>
      </c>
      <c r="C1793" s="6" t="str">
        <f t="shared" si="5"/>
        <v>10903 PANAY DR,Houston,Texas</v>
      </c>
      <c r="D1793" s="6" t="s">
        <v>300</v>
      </c>
      <c r="E1793" s="6" t="s">
        <v>25</v>
      </c>
      <c r="F1793" s="6" t="s">
        <v>26</v>
      </c>
      <c r="G1793" s="6" t="s">
        <v>301</v>
      </c>
      <c r="H1793" s="6" t="s">
        <v>50</v>
      </c>
      <c r="I1793" s="6" t="str">
        <f>VLOOKUP(H1793,'Flow Location'!$A$1:$B$21,2,FALSE)</f>
        <v>Contained On Site, not within 5 ft. of Bayou/Surface Water/Drainage Ditch</v>
      </c>
      <c r="J1793" s="20">
        <v>528.0</v>
      </c>
      <c r="K1793" s="6" t="s">
        <v>29</v>
      </c>
      <c r="L1793" s="6" t="str">
        <f>VLOOKUP(K1793,'Structure type'!$A$1:$B$15,2,FALSE)</f>
        <v>Manhole</v>
      </c>
      <c r="M1793" s="6" t="s">
        <v>30</v>
      </c>
      <c r="N1793" s="6" t="str">
        <f>VLOOKUP(M1793,'Excursion Cause'!$A$1:$B$34,2,FALSE)</f>
        <v>Grease Blockage</v>
      </c>
      <c r="O1793" s="26">
        <v>44845.0</v>
      </c>
      <c r="P1793" s="6" t="s">
        <v>843</v>
      </c>
      <c r="Q1793" s="26">
        <v>44845.0</v>
      </c>
      <c r="R1793" s="6" t="s">
        <v>1065</v>
      </c>
      <c r="S1793" s="20">
        <v>4.0</v>
      </c>
      <c r="T1793" s="6" t="s">
        <v>59</v>
      </c>
      <c r="U1793" s="6"/>
      <c r="V1793" s="6"/>
      <c r="W1793" s="6">
        <v>29.640582</v>
      </c>
      <c r="X1793" s="6">
        <v>-95.3471714</v>
      </c>
    </row>
    <row r="1794" ht="15.75" customHeight="1">
      <c r="A1794" s="6">
        <v>49593.0</v>
      </c>
      <c r="B1794" s="6">
        <v>2022.0</v>
      </c>
      <c r="C1794" s="6" t="str">
        <f t="shared" si="5"/>
        <v>1211 SHELBY ST,Houston,Texas</v>
      </c>
      <c r="D1794" s="6" t="s">
        <v>3225</v>
      </c>
      <c r="E1794" s="6" t="s">
        <v>25</v>
      </c>
      <c r="F1794" s="6" t="s">
        <v>26</v>
      </c>
      <c r="G1794" s="6" t="s">
        <v>161</v>
      </c>
      <c r="H1794" s="6" t="s">
        <v>50</v>
      </c>
      <c r="I1794" s="6" t="str">
        <f>VLOOKUP(H1794,'Flow Location'!$A$1:$B$21,2,FALSE)</f>
        <v>Contained On Site, not within 5 ft. of Bayou/Surface Water/Drainage Ditch</v>
      </c>
      <c r="J1794" s="20">
        <v>10.0</v>
      </c>
      <c r="K1794" s="6" t="s">
        <v>45</v>
      </c>
      <c r="L1794" s="6" t="str">
        <f>VLOOKUP(K1794,'Structure type'!$A$1:$B$15,2,FALSE)</f>
        <v>City Cleanout</v>
      </c>
      <c r="M1794" s="6" t="s">
        <v>81</v>
      </c>
      <c r="N1794" s="6" t="str">
        <f>VLOOKUP(M1794,'Excursion Cause'!$A$1:$B$34,2,FALSE)</f>
        <v>Collection system structural failure</v>
      </c>
      <c r="O1794" s="26">
        <v>44845.0</v>
      </c>
      <c r="P1794" s="6" t="s">
        <v>529</v>
      </c>
      <c r="Q1794" s="26">
        <v>44845.0</v>
      </c>
      <c r="R1794" s="6" t="s">
        <v>710</v>
      </c>
      <c r="S1794" s="20">
        <v>1.0</v>
      </c>
      <c r="T1794" s="6" t="s">
        <v>292</v>
      </c>
      <c r="U1794" s="6"/>
      <c r="V1794" s="6"/>
      <c r="W1794" s="6">
        <v>29.7960075</v>
      </c>
      <c r="X1794" s="6">
        <v>-95.355794</v>
      </c>
    </row>
    <row r="1795" ht="15.75" customHeight="1">
      <c r="A1795" s="6">
        <v>49595.0</v>
      </c>
      <c r="B1795" s="6">
        <v>2022.0</v>
      </c>
      <c r="C1795" s="6" t="str">
        <f t="shared" si="5"/>
        <v>8201 W BELLFORT AVE,Houston,Texas</v>
      </c>
      <c r="D1795" s="6" t="s">
        <v>3226</v>
      </c>
      <c r="E1795" s="6" t="s">
        <v>25</v>
      </c>
      <c r="F1795" s="6" t="s">
        <v>26</v>
      </c>
      <c r="G1795" s="6" t="s">
        <v>148</v>
      </c>
      <c r="H1795" s="6" t="s">
        <v>1724</v>
      </c>
      <c r="I1795" s="6" t="str">
        <f>VLOOKUP(H1795,'Flow Location'!$A$1:$B$21,2,FALSE)</f>
        <v>Storm Sewer (not contained)</v>
      </c>
      <c r="J1795" s="20">
        <v>401.0</v>
      </c>
      <c r="K1795" s="6" t="s">
        <v>29</v>
      </c>
      <c r="L1795" s="6" t="str">
        <f>VLOOKUP(K1795,'Structure type'!$A$1:$B$15,2,FALSE)</f>
        <v>Manhole</v>
      </c>
      <c r="M1795" s="6" t="s">
        <v>3194</v>
      </c>
      <c r="N1795" s="6" t="str">
        <f>VLOOKUP(M1795,'Excursion Cause'!$A$1:$B$34,2,FALSE)</f>
        <v>Grease Blockage</v>
      </c>
      <c r="O1795" s="26">
        <v>44845.0</v>
      </c>
      <c r="P1795" s="6" t="s">
        <v>1317</v>
      </c>
      <c r="Q1795" s="26">
        <v>44845.0</v>
      </c>
      <c r="R1795" s="6" t="s">
        <v>917</v>
      </c>
      <c r="S1795" s="20">
        <v>1.0</v>
      </c>
      <c r="T1795" s="6" t="s">
        <v>3201</v>
      </c>
      <c r="U1795" s="6"/>
      <c r="V1795" s="6"/>
      <c r="W1795" s="6">
        <v>29.655222</v>
      </c>
      <c r="X1795" s="6">
        <v>-95.522516</v>
      </c>
    </row>
    <row r="1796" ht="15.75" customHeight="1">
      <c r="A1796" s="6">
        <v>49599.0</v>
      </c>
      <c r="B1796" s="6">
        <v>2022.0</v>
      </c>
      <c r="C1796" s="6" t="str">
        <f t="shared" si="5"/>
        <v>117 N 79TH ST,Houston,Texas</v>
      </c>
      <c r="D1796" s="6" t="s">
        <v>3227</v>
      </c>
      <c r="E1796" s="6" t="s">
        <v>25</v>
      </c>
      <c r="F1796" s="6" t="s">
        <v>26</v>
      </c>
      <c r="G1796" s="6" t="s">
        <v>365</v>
      </c>
      <c r="H1796" s="6" t="s">
        <v>50</v>
      </c>
      <c r="I1796" s="6" t="str">
        <f>VLOOKUP(H1796,'Flow Location'!$A$1:$B$21,2,FALSE)</f>
        <v>Contained On Site, not within 5 ft. of Bayou/Surface Water/Drainage Ditch</v>
      </c>
      <c r="J1796" s="20">
        <v>272.0</v>
      </c>
      <c r="K1796" s="6" t="s">
        <v>198</v>
      </c>
      <c r="L1796" s="6" t="str">
        <f>VLOOKUP(K1796,'Structure type'!$A$1:$B$15,2,FALSE)</f>
        <v>Service Lateral</v>
      </c>
      <c r="M1796" s="6" t="s">
        <v>81</v>
      </c>
      <c r="N1796" s="6" t="str">
        <f>VLOOKUP(M1796,'Excursion Cause'!$A$1:$B$34,2,FALSE)</f>
        <v>Collection system structural failure</v>
      </c>
      <c r="O1796" s="26">
        <v>44845.0</v>
      </c>
      <c r="P1796" s="6" t="s">
        <v>1990</v>
      </c>
      <c r="Q1796" s="26">
        <v>44846.0</v>
      </c>
      <c r="R1796" s="6" t="s">
        <v>710</v>
      </c>
      <c r="S1796" s="20">
        <v>0.0</v>
      </c>
      <c r="T1796" s="6" t="s">
        <v>107</v>
      </c>
      <c r="U1796" s="6"/>
      <c r="V1796" s="6"/>
      <c r="W1796" s="6">
        <v>29.7309276</v>
      </c>
      <c r="X1796" s="6">
        <v>-95.2840838</v>
      </c>
    </row>
    <row r="1797" ht="15.75" customHeight="1">
      <c r="A1797" s="6">
        <v>49602.0</v>
      </c>
      <c r="B1797" s="6">
        <v>2022.0</v>
      </c>
      <c r="C1797" s="6" t="str">
        <f t="shared" si="5"/>
        <v>2930 LAZY LANE BLVD,Houston,Texas</v>
      </c>
      <c r="D1797" s="6" t="s">
        <v>2552</v>
      </c>
      <c r="E1797" s="6" t="s">
        <v>25</v>
      </c>
      <c r="F1797" s="6" t="s">
        <v>26</v>
      </c>
      <c r="G1797" s="6" t="s">
        <v>80</v>
      </c>
      <c r="H1797" s="6" t="s">
        <v>28</v>
      </c>
      <c r="I1797" s="6" t="str">
        <f>VLOOKUP(H1797,'Flow Location'!$A$1:$B$21,2,FALSE)</f>
        <v>Storm Sewer (not contained)</v>
      </c>
      <c r="J1797" s="20">
        <v>0.0</v>
      </c>
      <c r="K1797" s="6" t="s">
        <v>29</v>
      </c>
      <c r="L1797" s="6" t="str">
        <f>VLOOKUP(K1797,'Structure type'!$A$1:$B$15,2,FALSE)</f>
        <v>Manhole</v>
      </c>
      <c r="M1797" s="6" t="s">
        <v>3203</v>
      </c>
      <c r="N1797" s="6" t="str">
        <f>VLOOKUP(M1797,'Excursion Cause'!$A$1:$B$34,2,FALSE)</f>
        <v>Collection system structural failure</v>
      </c>
      <c r="O1797" s="26">
        <v>44846.0</v>
      </c>
      <c r="P1797" s="6" t="s">
        <v>63</v>
      </c>
      <c r="Q1797" s="26">
        <v>44846.0</v>
      </c>
      <c r="R1797" s="6" t="s">
        <v>938</v>
      </c>
      <c r="S1797" s="20">
        <v>0.0</v>
      </c>
      <c r="T1797" s="6" t="s">
        <v>59</v>
      </c>
      <c r="U1797" s="6"/>
      <c r="V1797" s="6"/>
      <c r="W1797" s="6">
        <v>29.7572933</v>
      </c>
      <c r="X1797" s="6">
        <v>-95.4192707</v>
      </c>
    </row>
    <row r="1798" ht="15.75" customHeight="1">
      <c r="A1798" s="6">
        <v>49606.0</v>
      </c>
      <c r="B1798" s="6">
        <v>2022.0</v>
      </c>
      <c r="C1798" s="6" t="str">
        <f t="shared" si="5"/>
        <v>952 JUDIWAY ST,Houston,Texas</v>
      </c>
      <c r="D1798" s="6" t="s">
        <v>3228</v>
      </c>
      <c r="E1798" s="6" t="s">
        <v>25</v>
      </c>
      <c r="F1798" s="6" t="s">
        <v>26</v>
      </c>
      <c r="G1798" s="6" t="s">
        <v>218</v>
      </c>
      <c r="H1798" s="6" t="s">
        <v>50</v>
      </c>
      <c r="I1798" s="6" t="str">
        <f>VLOOKUP(H1798,'Flow Location'!$A$1:$B$21,2,FALSE)</f>
        <v>Contained On Site, not within 5 ft. of Bayou/Surface Water/Drainage Ditch</v>
      </c>
      <c r="J1798" s="20">
        <v>0.0</v>
      </c>
      <c r="K1798" s="6" t="s">
        <v>29</v>
      </c>
      <c r="L1798" s="6" t="str">
        <f>VLOOKUP(K1798,'Structure type'!$A$1:$B$15,2,FALSE)</f>
        <v>Manhole</v>
      </c>
      <c r="M1798" s="6" t="s">
        <v>30</v>
      </c>
      <c r="N1798" s="6" t="str">
        <f>VLOOKUP(M1798,'Excursion Cause'!$A$1:$B$34,2,FALSE)</f>
        <v>Grease Blockage</v>
      </c>
      <c r="O1798" s="26">
        <v>44846.0</v>
      </c>
      <c r="P1798" s="6" t="s">
        <v>890</v>
      </c>
      <c r="Q1798" s="26">
        <v>44846.0</v>
      </c>
      <c r="R1798" s="6" t="s">
        <v>367</v>
      </c>
      <c r="S1798" s="20">
        <v>0.0</v>
      </c>
      <c r="T1798" s="6" t="s">
        <v>59</v>
      </c>
      <c r="U1798" s="6"/>
      <c r="V1798" s="6"/>
      <c r="W1798" s="6">
        <v>29.8210158</v>
      </c>
      <c r="X1798" s="6">
        <v>-95.4227913</v>
      </c>
    </row>
    <row r="1799" ht="15.75" customHeight="1">
      <c r="A1799" s="6">
        <v>49607.0</v>
      </c>
      <c r="B1799" s="6">
        <v>2022.0</v>
      </c>
      <c r="C1799" s="6" t="str">
        <f t="shared" si="5"/>
        <v>3306 FOLGER ST,Houston,Texas</v>
      </c>
      <c r="D1799" s="6" t="s">
        <v>3229</v>
      </c>
      <c r="E1799" s="6" t="s">
        <v>25</v>
      </c>
      <c r="F1799" s="6" t="s">
        <v>26</v>
      </c>
      <c r="G1799" s="6" t="s">
        <v>109</v>
      </c>
      <c r="H1799" s="6" t="s">
        <v>50</v>
      </c>
      <c r="I1799" s="6" t="str">
        <f>VLOOKUP(H1799,'Flow Location'!$A$1:$B$21,2,FALSE)</f>
        <v>Contained On Site, not within 5 ft. of Bayou/Surface Water/Drainage Ditch</v>
      </c>
      <c r="J1799" s="20">
        <v>0.0</v>
      </c>
      <c r="K1799" s="6" t="s">
        <v>45</v>
      </c>
      <c r="L1799" s="6" t="str">
        <f>VLOOKUP(K1799,'Structure type'!$A$1:$B$15,2,FALSE)</f>
        <v>City Cleanout</v>
      </c>
      <c r="M1799" s="6" t="s">
        <v>52</v>
      </c>
      <c r="N1799" s="6" t="str">
        <f>VLOOKUP(M1799,'Excursion Cause'!$A$1:$B$34,2,FALSE)</f>
        <v>Collection system structural blockage</v>
      </c>
      <c r="O1799" s="26">
        <v>44846.0</v>
      </c>
      <c r="P1799" s="6" t="s">
        <v>1248</v>
      </c>
      <c r="Q1799" s="26">
        <v>44846.0</v>
      </c>
      <c r="R1799" s="6" t="s">
        <v>591</v>
      </c>
      <c r="S1799" s="20">
        <v>0.0</v>
      </c>
      <c r="T1799" s="6" t="s">
        <v>170</v>
      </c>
      <c r="U1799" s="6"/>
      <c r="V1799" s="6"/>
      <c r="W1799" s="6">
        <v>29.856037</v>
      </c>
      <c r="X1799" s="6">
        <v>-95.3362112</v>
      </c>
    </row>
    <row r="1800" ht="15.75" customHeight="1">
      <c r="A1800" s="6">
        <v>49608.0</v>
      </c>
      <c r="B1800" s="6">
        <v>2022.0</v>
      </c>
      <c r="C1800" s="6" t="str">
        <f t="shared" si="5"/>
        <v>5509 CAVALCADE ST,Houston,Texas</v>
      </c>
      <c r="D1800" s="6" t="s">
        <v>3230</v>
      </c>
      <c r="E1800" s="6" t="s">
        <v>25</v>
      </c>
      <c r="F1800" s="6" t="s">
        <v>26</v>
      </c>
      <c r="G1800" s="6" t="s">
        <v>43</v>
      </c>
      <c r="H1800" s="6" t="s">
        <v>1724</v>
      </c>
      <c r="I1800" s="6" t="str">
        <f>VLOOKUP(H1800,'Flow Location'!$A$1:$B$21,2,FALSE)</f>
        <v>Storm Sewer (not contained)</v>
      </c>
      <c r="J1800" s="20">
        <v>50.0</v>
      </c>
      <c r="K1800" s="6" t="s">
        <v>290</v>
      </c>
      <c r="L1800" s="6" t="str">
        <f>VLOOKUP(K1800,'Structure type'!$A$1:$B$15,2,FALSE)</f>
        <v>Gravity Main</v>
      </c>
      <c r="M1800" s="6" t="s">
        <v>3194</v>
      </c>
      <c r="N1800" s="6" t="str">
        <f>VLOOKUP(M1800,'Excursion Cause'!$A$1:$B$34,2,FALSE)</f>
        <v>Grease Blockage</v>
      </c>
      <c r="O1800" s="26">
        <v>44846.0</v>
      </c>
      <c r="P1800" s="6" t="s">
        <v>106</v>
      </c>
      <c r="Q1800" s="26">
        <v>44846.0</v>
      </c>
      <c r="R1800" s="6" t="s">
        <v>195</v>
      </c>
      <c r="S1800" s="20">
        <v>1.0</v>
      </c>
      <c r="T1800" s="6" t="s">
        <v>3208</v>
      </c>
      <c r="U1800" s="6"/>
      <c r="V1800" s="6"/>
      <c r="W1800" s="6">
        <v>29.8007523</v>
      </c>
      <c r="X1800" s="6">
        <v>-95.31433</v>
      </c>
    </row>
    <row r="1801" ht="15.75" customHeight="1">
      <c r="A1801" s="6">
        <v>49609.0</v>
      </c>
      <c r="B1801" s="6">
        <v>2022.0</v>
      </c>
      <c r="C1801" s="6" t="str">
        <f t="shared" si="5"/>
        <v>1206 HENNINGER ST,Houston,Texas</v>
      </c>
      <c r="D1801" s="6" t="s">
        <v>3231</v>
      </c>
      <c r="E1801" s="6" t="s">
        <v>25</v>
      </c>
      <c r="F1801" s="6" t="s">
        <v>26</v>
      </c>
      <c r="G1801" s="6" t="s">
        <v>141</v>
      </c>
      <c r="H1801" s="6" t="s">
        <v>50</v>
      </c>
      <c r="I1801" s="6" t="str">
        <f>VLOOKUP(H1801,'Flow Location'!$A$1:$B$21,2,FALSE)</f>
        <v>Contained On Site, not within 5 ft. of Bayou/Surface Water/Drainage Ditch</v>
      </c>
      <c r="J1801" s="20">
        <v>0.0</v>
      </c>
      <c r="K1801" s="6" t="s">
        <v>45</v>
      </c>
      <c r="L1801" s="6" t="str">
        <f>VLOOKUP(K1801,'Structure type'!$A$1:$B$15,2,FALSE)</f>
        <v>City Cleanout</v>
      </c>
      <c r="M1801" s="6" t="s">
        <v>52</v>
      </c>
      <c r="N1801" s="6" t="str">
        <f>VLOOKUP(M1801,'Excursion Cause'!$A$1:$B$34,2,FALSE)</f>
        <v>Collection system structural blockage</v>
      </c>
      <c r="O1801" s="26">
        <v>44847.0</v>
      </c>
      <c r="P1801" s="6" t="s">
        <v>125</v>
      </c>
      <c r="Q1801" s="26">
        <v>44847.0</v>
      </c>
      <c r="R1801" s="6" t="s">
        <v>1144</v>
      </c>
      <c r="S1801" s="20">
        <v>0.0</v>
      </c>
      <c r="T1801" s="6" t="s">
        <v>74</v>
      </c>
      <c r="U1801" s="6"/>
      <c r="V1801" s="6"/>
      <c r="W1801" s="6">
        <v>29.7347722</v>
      </c>
      <c r="X1801" s="6">
        <v>-95.3228004</v>
      </c>
    </row>
    <row r="1802" ht="15.75" customHeight="1">
      <c r="A1802" s="6">
        <v>49610.0</v>
      </c>
      <c r="B1802" s="6">
        <v>2022.0</v>
      </c>
      <c r="C1802" s="6" t="str">
        <f t="shared" si="5"/>
        <v>3800 TANGLEWILDE ST,Houston,Texas</v>
      </c>
      <c r="D1802" s="6" t="s">
        <v>3232</v>
      </c>
      <c r="E1802" s="6" t="s">
        <v>25</v>
      </c>
      <c r="F1802" s="6" t="s">
        <v>26</v>
      </c>
      <c r="G1802" s="6" t="s">
        <v>482</v>
      </c>
      <c r="H1802" s="6" t="s">
        <v>50</v>
      </c>
      <c r="I1802" s="6" t="str">
        <f>VLOOKUP(H1802,'Flow Location'!$A$1:$B$21,2,FALSE)</f>
        <v>Contained On Site, not within 5 ft. of Bayou/Surface Water/Drainage Ditch</v>
      </c>
      <c r="J1802" s="20">
        <v>0.0</v>
      </c>
      <c r="K1802" s="6" t="s">
        <v>45</v>
      </c>
      <c r="L1802" s="6" t="str">
        <f>VLOOKUP(K1802,'Structure type'!$A$1:$B$15,2,FALSE)</f>
        <v>City Cleanout</v>
      </c>
      <c r="M1802" s="6" t="s">
        <v>30</v>
      </c>
      <c r="N1802" s="6" t="str">
        <f>VLOOKUP(M1802,'Excursion Cause'!$A$1:$B$34,2,FALSE)</f>
        <v>Grease Blockage</v>
      </c>
      <c r="O1802" s="26">
        <v>44847.0</v>
      </c>
      <c r="P1802" s="6" t="s">
        <v>1145</v>
      </c>
      <c r="Q1802" s="26">
        <v>44847.0</v>
      </c>
      <c r="R1802" s="6" t="s">
        <v>1360</v>
      </c>
      <c r="S1802" s="20">
        <v>0.0</v>
      </c>
      <c r="T1802" s="6" t="s">
        <v>74</v>
      </c>
      <c r="U1802" s="6"/>
      <c r="V1802" s="6"/>
      <c r="W1802" s="6">
        <v>29.7221757</v>
      </c>
      <c r="X1802" s="6">
        <v>-95.5364472</v>
      </c>
    </row>
    <row r="1803" ht="15.75" customHeight="1">
      <c r="A1803" s="6">
        <v>49614.0</v>
      </c>
      <c r="B1803" s="6">
        <v>2022.0</v>
      </c>
      <c r="C1803" s="6" t="str">
        <f t="shared" si="5"/>
        <v>459 CLAIRE LN,Houston,Texas</v>
      </c>
      <c r="D1803" s="6" t="s">
        <v>3233</v>
      </c>
      <c r="E1803" s="6" t="s">
        <v>25</v>
      </c>
      <c r="F1803" s="6" t="s">
        <v>26</v>
      </c>
      <c r="G1803" s="6" t="s">
        <v>623</v>
      </c>
      <c r="H1803" s="6" t="s">
        <v>50</v>
      </c>
      <c r="I1803" s="6" t="str">
        <f>VLOOKUP(H1803,'Flow Location'!$A$1:$B$21,2,FALSE)</f>
        <v>Contained On Site, not within 5 ft. of Bayou/Surface Water/Drainage Ditch</v>
      </c>
      <c r="J1803" s="20">
        <v>0.0</v>
      </c>
      <c r="K1803" s="6" t="s">
        <v>51</v>
      </c>
      <c r="L1803" s="6" t="str">
        <f>VLOOKUP(K1803,'Structure type'!$A$1:$B$15,2,FALSE)</f>
        <v>Private Cleanout</v>
      </c>
      <c r="M1803" s="6" t="s">
        <v>30</v>
      </c>
      <c r="N1803" s="6" t="str">
        <f>VLOOKUP(M1803,'Excursion Cause'!$A$1:$B$34,2,FALSE)</f>
        <v>Grease Blockage</v>
      </c>
      <c r="O1803" s="26">
        <v>44847.0</v>
      </c>
      <c r="P1803" s="6" t="s">
        <v>537</v>
      </c>
      <c r="Q1803" s="26">
        <v>44847.0</v>
      </c>
      <c r="R1803" s="6" t="s">
        <v>2153</v>
      </c>
      <c r="S1803" s="20">
        <v>0.0</v>
      </c>
      <c r="T1803" s="6" t="s">
        <v>33</v>
      </c>
      <c r="U1803" s="6"/>
      <c r="V1803" s="6"/>
      <c r="W1803" s="6">
        <v>29.789977</v>
      </c>
      <c r="X1803" s="6">
        <v>-95.187795</v>
      </c>
    </row>
    <row r="1804" ht="15.75" customHeight="1">
      <c r="A1804" s="6">
        <v>49624.0</v>
      </c>
      <c r="B1804" s="6">
        <v>2022.0</v>
      </c>
      <c r="C1804" s="6" t="str">
        <f t="shared" si="5"/>
        <v>9126 MADERA RD,Houston,Texas</v>
      </c>
      <c r="D1804" s="6" t="s">
        <v>3234</v>
      </c>
      <c r="E1804" s="6" t="s">
        <v>25</v>
      </c>
      <c r="F1804" s="6" t="s">
        <v>26</v>
      </c>
      <c r="G1804" s="6" t="s">
        <v>387</v>
      </c>
      <c r="H1804" s="6" t="s">
        <v>2162</v>
      </c>
      <c r="I1804" s="6" t="str">
        <f>VLOOKUP(H1804,'Flow Location'!$A$1:$B$21,2,FALSE)</f>
        <v>Drainage Ditch</v>
      </c>
      <c r="J1804" s="20">
        <v>0.0</v>
      </c>
      <c r="K1804" s="6" t="s">
        <v>3213</v>
      </c>
      <c r="L1804" s="6" t="str">
        <f>VLOOKUP(K1804,'Structure type'!$A$1:$B$15,2,FALSE)</f>
        <v>#N/A</v>
      </c>
      <c r="M1804" s="6" t="s">
        <v>56</v>
      </c>
      <c r="N1804" s="6" t="str">
        <f>VLOOKUP(M1804,'Excursion Cause'!$A$1:$B$34,2,FALSE)</f>
        <v>Rags/Wipes</v>
      </c>
      <c r="O1804" s="26">
        <v>44848.0</v>
      </c>
      <c r="P1804" s="6" t="s">
        <v>826</v>
      </c>
      <c r="Q1804" s="26">
        <v>44848.0</v>
      </c>
      <c r="R1804" s="6" t="s">
        <v>125</v>
      </c>
      <c r="S1804" s="20">
        <v>0.0</v>
      </c>
      <c r="T1804" s="6" t="s">
        <v>3235</v>
      </c>
      <c r="U1804" s="6"/>
      <c r="V1804" s="6"/>
      <c r="W1804" s="6">
        <v>29.8576337</v>
      </c>
      <c r="X1804" s="6">
        <v>-95.255773</v>
      </c>
    </row>
    <row r="1805" ht="15.75" customHeight="1">
      <c r="A1805" s="6">
        <v>49625.0</v>
      </c>
      <c r="B1805" s="6">
        <v>2022.0</v>
      </c>
      <c r="C1805" s="6" t="str">
        <f t="shared" si="5"/>
        <v>8709 BLANKENSHIP DR,Houston,Texas</v>
      </c>
      <c r="D1805" s="6" t="s">
        <v>3236</v>
      </c>
      <c r="E1805" s="6" t="s">
        <v>25</v>
      </c>
      <c r="F1805" s="6" t="s">
        <v>26</v>
      </c>
      <c r="G1805" s="6" t="s">
        <v>294</v>
      </c>
      <c r="H1805" s="6" t="s">
        <v>50</v>
      </c>
      <c r="I1805" s="6" t="str">
        <f>VLOOKUP(H1805,'Flow Location'!$A$1:$B$21,2,FALSE)</f>
        <v>Contained On Site, not within 5 ft. of Bayou/Surface Water/Drainage Ditch</v>
      </c>
      <c r="J1805" s="20">
        <v>0.0</v>
      </c>
      <c r="K1805" s="6" t="s">
        <v>198</v>
      </c>
      <c r="L1805" s="6" t="str">
        <f>VLOOKUP(K1805,'Structure type'!$A$1:$B$15,2,FALSE)</f>
        <v>Service Lateral</v>
      </c>
      <c r="M1805" s="6" t="s">
        <v>56</v>
      </c>
      <c r="N1805" s="6" t="str">
        <f>VLOOKUP(M1805,'Excursion Cause'!$A$1:$B$34,2,FALSE)</f>
        <v>Rags/Wipes</v>
      </c>
      <c r="O1805" s="26">
        <v>44848.0</v>
      </c>
      <c r="P1805" s="6" t="s">
        <v>1079</v>
      </c>
      <c r="Q1805" s="26">
        <v>44848.0</v>
      </c>
      <c r="R1805" s="6" t="s">
        <v>1186</v>
      </c>
      <c r="S1805" s="20">
        <v>0.0</v>
      </c>
      <c r="T1805" s="6" t="s">
        <v>59</v>
      </c>
      <c r="U1805" s="6"/>
      <c r="V1805" s="6"/>
      <c r="W1805" s="6">
        <v>29.8218915</v>
      </c>
      <c r="X1805" s="6">
        <v>-95.5065279</v>
      </c>
    </row>
    <row r="1806" ht="15.75" customHeight="1">
      <c r="A1806" s="6">
        <v>49630.0</v>
      </c>
      <c r="B1806" s="6">
        <v>2022.0</v>
      </c>
      <c r="C1806" s="6" t="str">
        <f t="shared" si="5"/>
        <v>6700 BELLAIRE BLVD,Houston,Texas</v>
      </c>
      <c r="D1806" s="6" t="s">
        <v>3237</v>
      </c>
      <c r="E1806" s="6" t="s">
        <v>25</v>
      </c>
      <c r="F1806" s="6" t="s">
        <v>26</v>
      </c>
      <c r="G1806" s="6" t="s">
        <v>471</v>
      </c>
      <c r="H1806" s="6" t="s">
        <v>1724</v>
      </c>
      <c r="I1806" s="6" t="str">
        <f>VLOOKUP(H1806,'Flow Location'!$A$1:$B$21,2,FALSE)</f>
        <v>Storm Sewer (not contained)</v>
      </c>
      <c r="J1806" s="20">
        <v>374.0</v>
      </c>
      <c r="K1806" s="6" t="s">
        <v>29</v>
      </c>
      <c r="L1806" s="6" t="str">
        <f>VLOOKUP(K1806,'Structure type'!$A$1:$B$15,2,FALSE)</f>
        <v>Manhole</v>
      </c>
      <c r="M1806" s="6" t="s">
        <v>3194</v>
      </c>
      <c r="N1806" s="6" t="str">
        <f>VLOOKUP(M1806,'Excursion Cause'!$A$1:$B$34,2,FALSE)</f>
        <v>Grease Blockage</v>
      </c>
      <c r="O1806" s="26">
        <v>44848.0</v>
      </c>
      <c r="P1806" s="6" t="s">
        <v>510</v>
      </c>
      <c r="Q1806" s="26">
        <v>44848.0</v>
      </c>
      <c r="R1806" s="6" t="s">
        <v>356</v>
      </c>
      <c r="S1806" s="20">
        <v>2.0</v>
      </c>
      <c r="T1806" s="6" t="s">
        <v>3201</v>
      </c>
      <c r="U1806" s="6"/>
      <c r="V1806" s="6"/>
      <c r="W1806" s="6">
        <v>29.7059163</v>
      </c>
      <c r="X1806" s="6">
        <v>-95.5019875</v>
      </c>
    </row>
    <row r="1807" ht="15.75" customHeight="1">
      <c r="A1807" s="6">
        <v>49631.0</v>
      </c>
      <c r="B1807" s="6">
        <v>2022.0</v>
      </c>
      <c r="C1807" s="6" t="str">
        <f t="shared" si="5"/>
        <v>5810 FONDREN RD,Houston,Texas</v>
      </c>
      <c r="D1807" s="6" t="s">
        <v>1316</v>
      </c>
      <c r="E1807" s="6" t="s">
        <v>25</v>
      </c>
      <c r="F1807" s="6" t="s">
        <v>26</v>
      </c>
      <c r="G1807" s="6" t="s">
        <v>100</v>
      </c>
      <c r="H1807" s="6" t="s">
        <v>1724</v>
      </c>
      <c r="I1807" s="6" t="str">
        <f>VLOOKUP(H1807,'Flow Location'!$A$1:$B$21,2,FALSE)</f>
        <v>Storm Sewer (not contained)</v>
      </c>
      <c r="J1807" s="20">
        <v>0.0</v>
      </c>
      <c r="K1807" s="6" t="s">
        <v>29</v>
      </c>
      <c r="L1807" s="6" t="str">
        <f>VLOOKUP(K1807,'Structure type'!$A$1:$B$15,2,FALSE)</f>
        <v>Manhole</v>
      </c>
      <c r="M1807" s="6" t="s">
        <v>3194</v>
      </c>
      <c r="N1807" s="6" t="str">
        <f>VLOOKUP(M1807,'Excursion Cause'!$A$1:$B$34,2,FALSE)</f>
        <v>Grease Blockage</v>
      </c>
      <c r="O1807" s="26">
        <v>44848.0</v>
      </c>
      <c r="P1807" s="6" t="s">
        <v>1930</v>
      </c>
      <c r="Q1807" s="26">
        <v>44848.0</v>
      </c>
      <c r="R1807" s="6" t="s">
        <v>754</v>
      </c>
      <c r="S1807" s="20">
        <v>0.0</v>
      </c>
      <c r="T1807" s="6" t="s">
        <v>3208</v>
      </c>
      <c r="U1807" s="6"/>
      <c r="V1807" s="6"/>
      <c r="W1807" s="6">
        <v>29.7170176</v>
      </c>
      <c r="X1807" s="6">
        <v>-95.5221819</v>
      </c>
    </row>
    <row r="1808" ht="15.75" customHeight="1">
      <c r="A1808" s="6">
        <v>49632.0</v>
      </c>
      <c r="B1808" s="6">
        <v>2022.0</v>
      </c>
      <c r="C1808" s="6" t="str">
        <f t="shared" si="5"/>
        <v>12803 HARLESDEN LN,Houston,Texas</v>
      </c>
      <c r="D1808" s="6" t="s">
        <v>3238</v>
      </c>
      <c r="E1808" s="6" t="s">
        <v>25</v>
      </c>
      <c r="F1808" s="6" t="s">
        <v>26</v>
      </c>
      <c r="G1808" s="6" t="s">
        <v>419</v>
      </c>
      <c r="H1808" s="6" t="s">
        <v>28</v>
      </c>
      <c r="I1808" s="6" t="str">
        <f>VLOOKUP(H1808,'Flow Location'!$A$1:$B$21,2,FALSE)</f>
        <v>Storm Sewer (not contained)</v>
      </c>
      <c r="J1808" s="20">
        <v>1611.0</v>
      </c>
      <c r="K1808" s="6" t="s">
        <v>29</v>
      </c>
      <c r="L1808" s="6" t="str">
        <f>VLOOKUP(K1808,'Structure type'!$A$1:$B$15,2,FALSE)</f>
        <v>Manhole</v>
      </c>
      <c r="M1808" s="6" t="s">
        <v>3239</v>
      </c>
      <c r="N1808" s="6" t="str">
        <f>VLOOKUP(M1808,'Excursion Cause'!$A$1:$B$34,2,FALSE)</f>
        <v>Collection system temporary blockage</v>
      </c>
      <c r="O1808" s="26">
        <v>44849.0</v>
      </c>
      <c r="P1808" s="6" t="s">
        <v>3240</v>
      </c>
      <c r="Q1808" s="26">
        <v>44849.0</v>
      </c>
      <c r="R1808" s="6" t="s">
        <v>360</v>
      </c>
      <c r="S1808" s="20">
        <v>3.0</v>
      </c>
      <c r="T1808" s="6" t="s">
        <v>33</v>
      </c>
      <c r="U1808" s="6"/>
      <c r="V1808" s="6"/>
      <c r="W1808" s="6">
        <v>29.6204891</v>
      </c>
      <c r="X1808" s="6">
        <v>-95.3783938</v>
      </c>
    </row>
    <row r="1809" ht="15.75" customHeight="1">
      <c r="A1809" s="6">
        <v>49635.0</v>
      </c>
      <c r="B1809" s="6">
        <v>2022.0</v>
      </c>
      <c r="C1809" s="6" t="str">
        <f t="shared" si="5"/>
        <v>4801 JEWEL ST,Houston,Texas</v>
      </c>
      <c r="D1809" s="6" t="s">
        <v>3241</v>
      </c>
      <c r="E1809" s="6" t="s">
        <v>25</v>
      </c>
      <c r="F1809" s="6" t="s">
        <v>26</v>
      </c>
      <c r="G1809" s="6" t="s">
        <v>43</v>
      </c>
      <c r="H1809" s="6" t="s">
        <v>50</v>
      </c>
      <c r="I1809" s="6" t="str">
        <f>VLOOKUP(H1809,'Flow Location'!$A$1:$B$21,2,FALSE)</f>
        <v>Contained On Site, not within 5 ft. of Bayou/Surface Water/Drainage Ditch</v>
      </c>
      <c r="J1809" s="20">
        <v>0.0</v>
      </c>
      <c r="K1809" s="6" t="s">
        <v>51</v>
      </c>
      <c r="L1809" s="6" t="str">
        <f>VLOOKUP(K1809,'Structure type'!$A$1:$B$15,2,FALSE)</f>
        <v>Private Cleanout</v>
      </c>
      <c r="M1809" s="6" t="s">
        <v>30</v>
      </c>
      <c r="N1809" s="6" t="str">
        <f>VLOOKUP(M1809,'Excursion Cause'!$A$1:$B$34,2,FALSE)</f>
        <v>Grease Blockage</v>
      </c>
      <c r="O1809" s="26">
        <v>44849.0</v>
      </c>
      <c r="P1809" s="6" t="s">
        <v>70</v>
      </c>
      <c r="Q1809" s="26">
        <v>44849.0</v>
      </c>
      <c r="R1809" s="6" t="s">
        <v>2504</v>
      </c>
      <c r="S1809" s="20">
        <v>0.0</v>
      </c>
      <c r="T1809" s="6" t="s">
        <v>59</v>
      </c>
      <c r="U1809" s="6"/>
      <c r="V1809" s="6"/>
      <c r="W1809" s="6">
        <v>29.7904749</v>
      </c>
      <c r="X1809" s="6">
        <v>-95.3218223</v>
      </c>
    </row>
    <row r="1810" ht="15.75" customHeight="1">
      <c r="A1810" s="6">
        <v>49637.0</v>
      </c>
      <c r="B1810" s="6">
        <v>2022.0</v>
      </c>
      <c r="C1810" s="6" t="str">
        <f t="shared" si="5"/>
        <v>14430 MINETTA ST,Houston,Texas</v>
      </c>
      <c r="D1810" s="6" t="s">
        <v>1954</v>
      </c>
      <c r="E1810" s="6" t="s">
        <v>25</v>
      </c>
      <c r="F1810" s="6" t="s">
        <v>26</v>
      </c>
      <c r="G1810" s="6" t="s">
        <v>127</v>
      </c>
      <c r="H1810" s="6" t="s">
        <v>50</v>
      </c>
      <c r="I1810" s="6" t="str">
        <f>VLOOKUP(H1810,'Flow Location'!$A$1:$B$21,2,FALSE)</f>
        <v>Contained On Site, not within 5 ft. of Bayou/Surface Water/Drainage Ditch</v>
      </c>
      <c r="J1810" s="20">
        <v>0.0</v>
      </c>
      <c r="K1810" s="6" t="s">
        <v>45</v>
      </c>
      <c r="L1810" s="6" t="str">
        <f>VLOOKUP(K1810,'Structure type'!$A$1:$B$15,2,FALSE)</f>
        <v>City Cleanout</v>
      </c>
      <c r="M1810" s="6" t="s">
        <v>52</v>
      </c>
      <c r="N1810" s="6" t="str">
        <f>VLOOKUP(M1810,'Excursion Cause'!$A$1:$B$34,2,FALSE)</f>
        <v>Collection system structural blockage</v>
      </c>
      <c r="O1810" s="26">
        <v>44849.0</v>
      </c>
      <c r="P1810" s="6" t="s">
        <v>1352</v>
      </c>
      <c r="Q1810" s="26">
        <v>44849.0</v>
      </c>
      <c r="R1810" s="6" t="s">
        <v>186</v>
      </c>
      <c r="S1810" s="20">
        <v>0.0</v>
      </c>
      <c r="T1810" s="6" t="s">
        <v>270</v>
      </c>
      <c r="U1810" s="6"/>
      <c r="V1810" s="6"/>
      <c r="W1810" s="6">
        <v>29.6363399</v>
      </c>
      <c r="X1810" s="6">
        <v>-95.5017682</v>
      </c>
    </row>
    <row r="1811" ht="15.75" customHeight="1">
      <c r="A1811" s="6">
        <v>49640.0</v>
      </c>
      <c r="B1811" s="6">
        <v>2022.0</v>
      </c>
      <c r="C1811" s="6" t="str">
        <f t="shared" si="5"/>
        <v>3602 OLD SPANISH TRL,Houston,Texas</v>
      </c>
      <c r="D1811" s="6" t="s">
        <v>3242</v>
      </c>
      <c r="E1811" s="6" t="s">
        <v>25</v>
      </c>
      <c r="F1811" s="6" t="s">
        <v>26</v>
      </c>
      <c r="G1811" s="6" t="s">
        <v>238</v>
      </c>
      <c r="H1811" s="6" t="s">
        <v>1724</v>
      </c>
      <c r="I1811" s="6" t="str">
        <f>VLOOKUP(H1811,'Flow Location'!$A$1:$B$21,2,FALSE)</f>
        <v>Storm Sewer (not contained)</v>
      </c>
      <c r="J1811" s="20">
        <v>1468.0</v>
      </c>
      <c r="K1811" s="6" t="s">
        <v>29</v>
      </c>
      <c r="L1811" s="6" t="str">
        <f>VLOOKUP(K1811,'Structure type'!$A$1:$B$15,2,FALSE)</f>
        <v>Manhole</v>
      </c>
      <c r="M1811" s="6" t="s">
        <v>3194</v>
      </c>
      <c r="N1811" s="6" t="str">
        <f>VLOOKUP(M1811,'Excursion Cause'!$A$1:$B$34,2,FALSE)</f>
        <v>Grease Blockage</v>
      </c>
      <c r="O1811" s="26">
        <v>44850.0</v>
      </c>
      <c r="P1811" s="6" t="s">
        <v>66</v>
      </c>
      <c r="Q1811" s="26">
        <v>44851.0</v>
      </c>
      <c r="R1811" s="6" t="s">
        <v>1089</v>
      </c>
      <c r="S1811" s="20">
        <v>1.0</v>
      </c>
      <c r="T1811" s="6" t="s">
        <v>3201</v>
      </c>
      <c r="U1811" s="6"/>
      <c r="V1811" s="6"/>
      <c r="W1811" s="6">
        <v>29.7016102</v>
      </c>
      <c r="X1811" s="6">
        <v>-95.3645752</v>
      </c>
    </row>
    <row r="1812" ht="15.75" customHeight="1">
      <c r="A1812" s="6">
        <v>49642.0</v>
      </c>
      <c r="B1812" s="6">
        <v>2022.0</v>
      </c>
      <c r="C1812" s="6" t="str">
        <f t="shared" si="5"/>
        <v>2219 DEVONSHIRE ST,Houston,Texas</v>
      </c>
      <c r="D1812" s="6" t="s">
        <v>3243</v>
      </c>
      <c r="E1812" s="6" t="s">
        <v>25</v>
      </c>
      <c r="F1812" s="6" t="s">
        <v>26</v>
      </c>
      <c r="G1812" s="6" t="s">
        <v>80</v>
      </c>
      <c r="H1812" s="6" t="s">
        <v>50</v>
      </c>
      <c r="I1812" s="6" t="str">
        <f>VLOOKUP(H1812,'Flow Location'!$A$1:$B$21,2,FALSE)</f>
        <v>Contained On Site, not within 5 ft. of Bayou/Surface Water/Drainage Ditch</v>
      </c>
      <c r="J1812" s="20">
        <v>0.0</v>
      </c>
      <c r="K1812" s="6" t="s">
        <v>45</v>
      </c>
      <c r="L1812" s="6" t="str">
        <f>VLOOKUP(K1812,'Structure type'!$A$1:$B$15,2,FALSE)</f>
        <v>City Cleanout</v>
      </c>
      <c r="M1812" s="6" t="s">
        <v>52</v>
      </c>
      <c r="N1812" s="6" t="str">
        <f>VLOOKUP(M1812,'Excursion Cause'!$A$1:$B$34,2,FALSE)</f>
        <v>Collection system structural blockage</v>
      </c>
      <c r="O1812" s="26">
        <v>44850.0</v>
      </c>
      <c r="P1812" s="6" t="s">
        <v>714</v>
      </c>
      <c r="Q1812" s="26">
        <v>44850.0</v>
      </c>
      <c r="R1812" s="6" t="s">
        <v>2483</v>
      </c>
      <c r="S1812" s="20">
        <v>0.0</v>
      </c>
      <c r="T1812" s="6" t="s">
        <v>54</v>
      </c>
      <c r="U1812" s="6"/>
      <c r="V1812" s="6"/>
      <c r="W1812" s="6">
        <v>29.7459374</v>
      </c>
      <c r="X1812" s="6">
        <v>-95.4143783</v>
      </c>
    </row>
    <row r="1813" ht="15.75" customHeight="1">
      <c r="A1813" s="6">
        <v>49648.0</v>
      </c>
      <c r="B1813" s="6">
        <v>2022.0</v>
      </c>
      <c r="C1813" s="6" t="str">
        <f t="shared" si="5"/>
        <v>10839 BELLAIRE BLVD,Houston,Texas</v>
      </c>
      <c r="D1813" s="6" t="s">
        <v>3217</v>
      </c>
      <c r="E1813" s="6" t="s">
        <v>25</v>
      </c>
      <c r="F1813" s="6" t="s">
        <v>26</v>
      </c>
      <c r="G1813" s="6" t="s">
        <v>91</v>
      </c>
      <c r="H1813" s="6" t="s">
        <v>50</v>
      </c>
      <c r="I1813" s="6" t="str">
        <f>VLOOKUP(H1813,'Flow Location'!$A$1:$B$21,2,FALSE)</f>
        <v>Contained On Site, not within 5 ft. of Bayou/Surface Water/Drainage Ditch</v>
      </c>
      <c r="J1813" s="20">
        <v>0.0</v>
      </c>
      <c r="K1813" s="6" t="s">
        <v>198</v>
      </c>
      <c r="L1813" s="6" t="str">
        <f>VLOOKUP(K1813,'Structure type'!$A$1:$B$15,2,FALSE)</f>
        <v>Service Lateral</v>
      </c>
      <c r="M1813" s="6" t="s">
        <v>81</v>
      </c>
      <c r="N1813" s="6" t="str">
        <f>VLOOKUP(M1813,'Excursion Cause'!$A$1:$B$34,2,FALSE)</f>
        <v>Collection system structural failure</v>
      </c>
      <c r="O1813" s="26">
        <v>44849.0</v>
      </c>
      <c r="P1813" s="6" t="s">
        <v>766</v>
      </c>
      <c r="Q1813" s="26">
        <v>44849.0</v>
      </c>
      <c r="R1813" s="6" t="s">
        <v>3244</v>
      </c>
      <c r="S1813" s="20">
        <v>0.0</v>
      </c>
      <c r="T1813" s="6" t="s">
        <v>170</v>
      </c>
      <c r="U1813" s="6"/>
      <c r="V1813" s="6"/>
      <c r="W1813" s="6">
        <v>29.7032556</v>
      </c>
      <c r="X1813" s="6">
        <v>-95.5706787</v>
      </c>
    </row>
    <row r="1814" ht="15.75" customHeight="1">
      <c r="A1814" s="6">
        <v>49654.0</v>
      </c>
      <c r="B1814" s="6">
        <v>2022.0</v>
      </c>
      <c r="C1814" s="6" t="str">
        <f t="shared" si="5"/>
        <v>1001 HEIGHTS BLVD,Houston,Texas</v>
      </c>
      <c r="D1814" s="6" t="s">
        <v>3245</v>
      </c>
      <c r="E1814" s="6" t="s">
        <v>25</v>
      </c>
      <c r="F1814" s="6" t="s">
        <v>26</v>
      </c>
      <c r="G1814" s="6" t="s">
        <v>232</v>
      </c>
      <c r="H1814" s="6" t="s">
        <v>1724</v>
      </c>
      <c r="I1814" s="6" t="str">
        <f>VLOOKUP(H1814,'Flow Location'!$A$1:$B$21,2,FALSE)</f>
        <v>Storm Sewer (not contained)</v>
      </c>
      <c r="J1814" s="20">
        <v>11632.0</v>
      </c>
      <c r="K1814" s="6" t="s">
        <v>29</v>
      </c>
      <c r="L1814" s="6" t="str">
        <f>VLOOKUP(K1814,'Structure type'!$A$1:$B$15,2,FALSE)</f>
        <v>Manhole</v>
      </c>
      <c r="M1814" s="6" t="s">
        <v>56</v>
      </c>
      <c r="N1814" s="6" t="str">
        <f>VLOOKUP(M1814,'Excursion Cause'!$A$1:$B$34,2,FALSE)</f>
        <v>Rags/Wipes</v>
      </c>
      <c r="O1814" s="26">
        <v>44848.0</v>
      </c>
      <c r="P1814" s="6" t="s">
        <v>353</v>
      </c>
      <c r="Q1814" s="26">
        <v>44849.0</v>
      </c>
      <c r="R1814" s="6" t="s">
        <v>192</v>
      </c>
      <c r="S1814" s="20">
        <v>8.0</v>
      </c>
      <c r="T1814" s="6" t="s">
        <v>3208</v>
      </c>
      <c r="U1814" s="6"/>
      <c r="V1814" s="6"/>
      <c r="W1814" s="6">
        <v>29.7890154</v>
      </c>
      <c r="X1814" s="6">
        <v>-95.3980369</v>
      </c>
    </row>
    <row r="1815" ht="15.75" customHeight="1">
      <c r="A1815" s="6">
        <v>49662.0</v>
      </c>
      <c r="B1815" s="6">
        <v>2022.0</v>
      </c>
      <c r="C1815" s="6" t="str">
        <f t="shared" si="5"/>
        <v>3140 WEBSTER ST,Houston,Texas</v>
      </c>
      <c r="D1815" s="6" t="s">
        <v>3246</v>
      </c>
      <c r="E1815" s="6" t="s">
        <v>25</v>
      </c>
      <c r="F1815" s="6" t="s">
        <v>26</v>
      </c>
      <c r="G1815" s="6" t="s">
        <v>308</v>
      </c>
      <c r="H1815" s="6" t="s">
        <v>28</v>
      </c>
      <c r="I1815" s="6" t="str">
        <f>VLOOKUP(H1815,'Flow Location'!$A$1:$B$21,2,FALSE)</f>
        <v>Storm Sewer (not contained)</v>
      </c>
      <c r="J1815" s="20">
        <v>4710.0</v>
      </c>
      <c r="K1815" s="6" t="s">
        <v>29</v>
      </c>
      <c r="L1815" s="6" t="str">
        <f>VLOOKUP(K1815,'Structure type'!$A$1:$B$15,2,FALSE)</f>
        <v>Manhole</v>
      </c>
      <c r="M1815" s="6" t="s">
        <v>3203</v>
      </c>
      <c r="N1815" s="6" t="str">
        <f>VLOOKUP(M1815,'Excursion Cause'!$A$1:$B$34,2,FALSE)</f>
        <v>Collection system structural failure</v>
      </c>
      <c r="O1815" s="26">
        <v>44852.0</v>
      </c>
      <c r="P1815" s="6" t="s">
        <v>3240</v>
      </c>
      <c r="Q1815" s="26">
        <v>44853.0</v>
      </c>
      <c r="R1815" s="6" t="s">
        <v>124</v>
      </c>
      <c r="S1815" s="20">
        <v>3.0</v>
      </c>
      <c r="T1815" s="6" t="s">
        <v>33</v>
      </c>
      <c r="U1815" s="6"/>
      <c r="V1815" s="6"/>
      <c r="W1815" s="6">
        <v>29.7373976</v>
      </c>
      <c r="X1815" s="6">
        <v>-95.3532731</v>
      </c>
    </row>
    <row r="1816" ht="15.75" customHeight="1">
      <c r="A1816" s="6">
        <v>49666.0</v>
      </c>
      <c r="B1816" s="6">
        <v>2022.0</v>
      </c>
      <c r="C1816" s="6" t="str">
        <f t="shared" si="5"/>
        <v>5502 TELEPHONE RD,Houston,Texas</v>
      </c>
      <c r="D1816" s="6" t="s">
        <v>3198</v>
      </c>
      <c r="E1816" s="6" t="s">
        <v>25</v>
      </c>
      <c r="F1816" s="6" t="s">
        <v>26</v>
      </c>
      <c r="G1816" s="6" t="s">
        <v>35</v>
      </c>
      <c r="H1816" s="6" t="s">
        <v>50</v>
      </c>
      <c r="I1816" s="6" t="str">
        <f>VLOOKUP(H1816,'Flow Location'!$A$1:$B$21,2,FALSE)</f>
        <v>Contained On Site, not within 5 ft. of Bayou/Surface Water/Drainage Ditch</v>
      </c>
      <c r="J1816" s="20">
        <v>0.0</v>
      </c>
      <c r="K1816" s="6" t="s">
        <v>51</v>
      </c>
      <c r="L1816" s="6" t="str">
        <f>VLOOKUP(K1816,'Structure type'!$A$1:$B$15,2,FALSE)</f>
        <v>Private Cleanout</v>
      </c>
      <c r="M1816" s="6" t="s">
        <v>56</v>
      </c>
      <c r="N1816" s="6" t="str">
        <f>VLOOKUP(M1816,'Excursion Cause'!$A$1:$B$34,2,FALSE)</f>
        <v>Rags/Wipes</v>
      </c>
      <c r="O1816" s="26">
        <v>44852.0</v>
      </c>
      <c r="P1816" s="6" t="s">
        <v>2300</v>
      </c>
      <c r="Q1816" s="26">
        <v>44852.0</v>
      </c>
      <c r="R1816" s="6" t="s">
        <v>2024</v>
      </c>
      <c r="S1816" s="20">
        <v>0.0</v>
      </c>
      <c r="T1816" s="6" t="s">
        <v>170</v>
      </c>
      <c r="U1816" s="6"/>
      <c r="V1816" s="6"/>
      <c r="W1816" s="6">
        <v>29.6847155</v>
      </c>
      <c r="X1816" s="6">
        <v>-95.2965185</v>
      </c>
    </row>
    <row r="1817" ht="15.75" customHeight="1">
      <c r="A1817" s="6">
        <v>49670.0</v>
      </c>
      <c r="B1817" s="6">
        <v>2022.0</v>
      </c>
      <c r="C1817" s="6" t="str">
        <f t="shared" si="5"/>
        <v>743 SHOTWELL ST,Houston,Texas</v>
      </c>
      <c r="D1817" s="6" t="s">
        <v>3247</v>
      </c>
      <c r="E1817" s="6" t="s">
        <v>25</v>
      </c>
      <c r="F1817" s="6" t="s">
        <v>26</v>
      </c>
      <c r="G1817" s="6" t="s">
        <v>86</v>
      </c>
      <c r="H1817" s="6" t="s">
        <v>50</v>
      </c>
      <c r="I1817" s="6" t="str">
        <f>VLOOKUP(H1817,'Flow Location'!$A$1:$B$21,2,FALSE)</f>
        <v>Contained On Site, not within 5 ft. of Bayou/Surface Water/Drainage Ditch</v>
      </c>
      <c r="J1817" s="20">
        <v>0.0</v>
      </c>
      <c r="K1817" s="6" t="s">
        <v>29</v>
      </c>
      <c r="L1817" s="6" t="str">
        <f>VLOOKUP(K1817,'Structure type'!$A$1:$B$15,2,FALSE)</f>
        <v>Manhole</v>
      </c>
      <c r="M1817" s="6" t="s">
        <v>30</v>
      </c>
      <c r="N1817" s="6" t="str">
        <f>VLOOKUP(M1817,'Excursion Cause'!$A$1:$B$34,2,FALSE)</f>
        <v>Grease Blockage</v>
      </c>
      <c r="O1817" s="26">
        <v>44852.0</v>
      </c>
      <c r="P1817" s="6" t="s">
        <v>807</v>
      </c>
      <c r="Q1817" s="26">
        <v>44853.0</v>
      </c>
      <c r="R1817" s="6" t="s">
        <v>714</v>
      </c>
      <c r="S1817" s="20">
        <v>0.0</v>
      </c>
      <c r="T1817" s="6" t="s">
        <v>59</v>
      </c>
      <c r="U1817" s="6"/>
      <c r="V1817" s="6"/>
      <c r="W1817" s="6">
        <v>29.7750965</v>
      </c>
      <c r="X1817" s="6">
        <v>-95.3112715</v>
      </c>
    </row>
    <row r="1818" ht="15.75" customHeight="1">
      <c r="A1818" s="6">
        <v>49674.0</v>
      </c>
      <c r="B1818" s="6">
        <v>2022.0</v>
      </c>
      <c r="C1818" s="6" t="str">
        <f t="shared" si="5"/>
        <v>737 W 21ST ST,Houston,Texas</v>
      </c>
      <c r="D1818" s="6" t="s">
        <v>3248</v>
      </c>
      <c r="E1818" s="6" t="s">
        <v>25</v>
      </c>
      <c r="F1818" s="6" t="s">
        <v>26</v>
      </c>
      <c r="G1818" s="6" t="s">
        <v>232</v>
      </c>
      <c r="H1818" s="6" t="s">
        <v>50</v>
      </c>
      <c r="I1818" s="6" t="str">
        <f>VLOOKUP(H1818,'Flow Location'!$A$1:$B$21,2,FALSE)</f>
        <v>Contained On Site, not within 5 ft. of Bayou/Surface Water/Drainage Ditch</v>
      </c>
      <c r="J1818" s="20">
        <v>0.0</v>
      </c>
      <c r="K1818" s="6" t="s">
        <v>29</v>
      </c>
      <c r="L1818" s="6" t="str">
        <f>VLOOKUP(K1818,'Structure type'!$A$1:$B$15,2,FALSE)</f>
        <v>Manhole</v>
      </c>
      <c r="M1818" s="6" t="s">
        <v>56</v>
      </c>
      <c r="N1818" s="6" t="str">
        <f>VLOOKUP(M1818,'Excursion Cause'!$A$1:$B$34,2,FALSE)</f>
        <v>Rags/Wipes</v>
      </c>
      <c r="O1818" s="26">
        <v>44853.0</v>
      </c>
      <c r="P1818" s="6" t="s">
        <v>666</v>
      </c>
      <c r="Q1818" s="26">
        <v>44853.0</v>
      </c>
      <c r="R1818" s="6" t="s">
        <v>921</v>
      </c>
      <c r="S1818" s="20">
        <v>0.0</v>
      </c>
      <c r="T1818" s="6" t="s">
        <v>59</v>
      </c>
      <c r="U1818" s="6"/>
      <c r="V1818" s="6"/>
      <c r="W1818" s="6">
        <v>29.80503</v>
      </c>
      <c r="X1818" s="6">
        <v>-95.4118387</v>
      </c>
    </row>
    <row r="1819" ht="15.75" customHeight="1">
      <c r="A1819" s="6">
        <v>49675.0</v>
      </c>
      <c r="B1819" s="6">
        <v>2022.0</v>
      </c>
      <c r="C1819" s="6" t="str">
        <f t="shared" si="5"/>
        <v>7801 BALTIMORE ST,Houston,Texas</v>
      </c>
      <c r="D1819" s="6" t="s">
        <v>3249</v>
      </c>
      <c r="E1819" s="6" t="s">
        <v>25</v>
      </c>
      <c r="F1819" s="6" t="s">
        <v>26</v>
      </c>
      <c r="G1819" s="6" t="s">
        <v>365</v>
      </c>
      <c r="H1819" s="6" t="s">
        <v>28</v>
      </c>
      <c r="I1819" s="6" t="str">
        <f>VLOOKUP(H1819,'Flow Location'!$A$1:$B$21,2,FALSE)</f>
        <v>Storm Sewer (not contained)</v>
      </c>
      <c r="J1819" s="20">
        <v>414.0</v>
      </c>
      <c r="K1819" s="6" t="s">
        <v>198</v>
      </c>
      <c r="L1819" s="6" t="str">
        <f>VLOOKUP(K1819,'Structure type'!$A$1:$B$15,2,FALSE)</f>
        <v>Service Lateral</v>
      </c>
      <c r="M1819" s="6" t="s">
        <v>3250</v>
      </c>
      <c r="N1819" s="6" t="str">
        <f>VLOOKUP(M1819,'Excursion Cause'!$A$1:$B$34,2,FALSE)</f>
        <v>Collection system structural blockage</v>
      </c>
      <c r="O1819" s="26">
        <v>44853.0</v>
      </c>
      <c r="P1819" s="6" t="s">
        <v>121</v>
      </c>
      <c r="Q1819" s="26">
        <v>44853.0</v>
      </c>
      <c r="R1819" s="6" t="s">
        <v>488</v>
      </c>
      <c r="S1819" s="20">
        <v>1.0</v>
      </c>
      <c r="T1819" s="6" t="s">
        <v>107</v>
      </c>
      <c r="U1819" s="6"/>
      <c r="V1819" s="6"/>
      <c r="W1819" s="6">
        <v>29.7301091</v>
      </c>
      <c r="X1819" s="6">
        <v>-95.2862609</v>
      </c>
    </row>
    <row r="1820" ht="15.75" customHeight="1">
      <c r="A1820" s="6">
        <v>49677.0</v>
      </c>
      <c r="B1820" s="6">
        <v>2022.0</v>
      </c>
      <c r="C1820" s="6" t="str">
        <f t="shared" si="5"/>
        <v>3002 DOLORES PARK LN,Houston,Texas</v>
      </c>
      <c r="D1820" s="6" t="s">
        <v>3251</v>
      </c>
      <c r="E1820" s="6" t="s">
        <v>25</v>
      </c>
      <c r="F1820" s="6" t="s">
        <v>26</v>
      </c>
      <c r="G1820" s="6" t="s">
        <v>689</v>
      </c>
      <c r="H1820" s="6" t="s">
        <v>144</v>
      </c>
      <c r="I1820" s="6" t="str">
        <f>VLOOKUP(H1820,'Flow Location'!$A$1:$B$21,2,FALSE)</f>
        <v>Storm Sewer - contained</v>
      </c>
      <c r="J1820" s="20">
        <v>248.0</v>
      </c>
      <c r="K1820" s="6" t="s">
        <v>45</v>
      </c>
      <c r="L1820" s="6" t="str">
        <f>VLOOKUP(K1820,'Structure type'!$A$1:$B$15,2,FALSE)</f>
        <v>City Cleanout</v>
      </c>
      <c r="M1820" s="6" t="s">
        <v>3250</v>
      </c>
      <c r="N1820" s="6" t="str">
        <f>VLOOKUP(M1820,'Excursion Cause'!$A$1:$B$34,2,FALSE)</f>
        <v>Collection system structural blockage</v>
      </c>
      <c r="O1820" s="26">
        <v>44853.0</v>
      </c>
      <c r="P1820" s="6" t="s">
        <v>288</v>
      </c>
      <c r="Q1820" s="26">
        <v>44853.0</v>
      </c>
      <c r="R1820" s="6" t="s">
        <v>267</v>
      </c>
      <c r="S1820" s="20">
        <v>1.0</v>
      </c>
      <c r="T1820" s="6" t="s">
        <v>170</v>
      </c>
      <c r="U1820" s="6"/>
      <c r="V1820" s="6"/>
      <c r="W1820" s="6">
        <v>29.7341606</v>
      </c>
      <c r="X1820" s="6">
        <v>-95.478495</v>
      </c>
    </row>
    <row r="1821" ht="15.75" customHeight="1">
      <c r="A1821" s="6">
        <v>49679.0</v>
      </c>
      <c r="B1821" s="6">
        <v>2022.0</v>
      </c>
      <c r="C1821" s="6" t="str">
        <f t="shared" si="5"/>
        <v>8150 SNOWDEN ST,Houston,Texas</v>
      </c>
      <c r="D1821" s="6" t="s">
        <v>3252</v>
      </c>
      <c r="E1821" s="6" t="s">
        <v>25</v>
      </c>
      <c r="F1821" s="6" t="s">
        <v>26</v>
      </c>
      <c r="G1821" s="6" t="s">
        <v>177</v>
      </c>
      <c r="H1821" s="6" t="s">
        <v>44</v>
      </c>
      <c r="I1821" s="6" t="str">
        <f>VLOOKUP(H1821,'Flow Location'!$A$1:$B$21,2,FALSE)</f>
        <v>Bayou/surface water/drainage ditch</v>
      </c>
      <c r="J1821" s="20">
        <v>0.0</v>
      </c>
      <c r="K1821" s="6" t="s">
        <v>45</v>
      </c>
      <c r="L1821" s="6" t="str">
        <f>VLOOKUP(K1821,'Structure type'!$A$1:$B$15,2,FALSE)</f>
        <v>City Cleanout</v>
      </c>
      <c r="M1821" s="6" t="s">
        <v>3239</v>
      </c>
      <c r="N1821" s="6" t="str">
        <f>VLOOKUP(M1821,'Excursion Cause'!$A$1:$B$34,2,FALSE)</f>
        <v>Collection system temporary blockage</v>
      </c>
      <c r="O1821" s="26">
        <v>44853.0</v>
      </c>
      <c r="P1821" s="6" t="s">
        <v>564</v>
      </c>
      <c r="Q1821" s="26">
        <v>44853.0</v>
      </c>
      <c r="R1821" s="6" t="s">
        <v>139</v>
      </c>
      <c r="S1821" s="20">
        <v>0.0</v>
      </c>
      <c r="T1821" s="6" t="s">
        <v>3253</v>
      </c>
      <c r="U1821" s="6"/>
      <c r="V1821" s="6"/>
      <c r="W1821" s="6">
        <v>29.84573</v>
      </c>
      <c r="X1821" s="6">
        <v>-95.2782293</v>
      </c>
    </row>
    <row r="1822" ht="15.75" customHeight="1">
      <c r="A1822" s="6">
        <v>49684.0</v>
      </c>
      <c r="B1822" s="6">
        <v>2022.0</v>
      </c>
      <c r="C1822" s="6" t="str">
        <f t="shared" si="5"/>
        <v>6532 CANAL ST,Houston,Texas</v>
      </c>
      <c r="D1822" s="6" t="s">
        <v>3254</v>
      </c>
      <c r="E1822" s="6" t="s">
        <v>25</v>
      </c>
      <c r="F1822" s="6" t="s">
        <v>26</v>
      </c>
      <c r="G1822" s="6" t="s">
        <v>227</v>
      </c>
      <c r="H1822" s="6" t="s">
        <v>50</v>
      </c>
      <c r="I1822" s="6" t="str">
        <f>VLOOKUP(H1822,'Flow Location'!$A$1:$B$21,2,FALSE)</f>
        <v>Contained On Site, not within 5 ft. of Bayou/Surface Water/Drainage Ditch</v>
      </c>
      <c r="J1822" s="20">
        <v>0.0</v>
      </c>
      <c r="K1822" s="6" t="s">
        <v>45</v>
      </c>
      <c r="L1822" s="6" t="str">
        <f>VLOOKUP(K1822,'Structure type'!$A$1:$B$15,2,FALSE)</f>
        <v>City Cleanout</v>
      </c>
      <c r="M1822" s="6" t="s">
        <v>30</v>
      </c>
      <c r="N1822" s="6" t="str">
        <f>VLOOKUP(M1822,'Excursion Cause'!$A$1:$B$34,2,FALSE)</f>
        <v>Grease Blockage</v>
      </c>
      <c r="O1822" s="26">
        <v>44853.0</v>
      </c>
      <c r="P1822" s="6" t="s">
        <v>724</v>
      </c>
      <c r="Q1822" s="26">
        <v>44853.0</v>
      </c>
      <c r="R1822" s="6" t="s">
        <v>291</v>
      </c>
      <c r="S1822" s="20">
        <v>0.0</v>
      </c>
      <c r="T1822" s="6" t="s">
        <v>89</v>
      </c>
      <c r="U1822" s="6"/>
      <c r="V1822" s="6"/>
      <c r="W1822" s="6">
        <v>29.7421079</v>
      </c>
      <c r="X1822" s="6">
        <v>-95.3088823</v>
      </c>
    </row>
    <row r="1823" ht="15.75" customHeight="1">
      <c r="A1823" s="6">
        <v>49685.0</v>
      </c>
      <c r="B1823" s="6">
        <v>2022.0</v>
      </c>
      <c r="C1823" s="6" t="str">
        <f t="shared" si="5"/>
        <v>221 BOLDEN ST,Houston,Texas</v>
      </c>
      <c r="D1823" s="6" t="s">
        <v>2687</v>
      </c>
      <c r="E1823" s="6" t="s">
        <v>25</v>
      </c>
      <c r="F1823" s="6" t="s">
        <v>26</v>
      </c>
      <c r="G1823" s="6" t="s">
        <v>247</v>
      </c>
      <c r="H1823" s="6" t="s">
        <v>50</v>
      </c>
      <c r="I1823" s="6" t="str">
        <f>VLOOKUP(H1823,'Flow Location'!$A$1:$B$21,2,FALSE)</f>
        <v>Contained On Site, not within 5 ft. of Bayou/Surface Water/Drainage Ditch</v>
      </c>
      <c r="J1823" s="20">
        <v>0.0</v>
      </c>
      <c r="K1823" s="6" t="s">
        <v>51</v>
      </c>
      <c r="L1823" s="6" t="str">
        <f>VLOOKUP(K1823,'Structure type'!$A$1:$B$15,2,FALSE)</f>
        <v>Private Cleanout</v>
      </c>
      <c r="M1823" s="6" t="s">
        <v>30</v>
      </c>
      <c r="N1823" s="6" t="str">
        <f>VLOOKUP(M1823,'Excursion Cause'!$A$1:$B$34,2,FALSE)</f>
        <v>Grease Blockage</v>
      </c>
      <c r="O1823" s="26">
        <v>44853.0</v>
      </c>
      <c r="P1823" s="6" t="s">
        <v>58</v>
      </c>
      <c r="Q1823" s="26">
        <v>44853.0</v>
      </c>
      <c r="R1823" s="6" t="s">
        <v>187</v>
      </c>
      <c r="S1823" s="20">
        <v>0.0</v>
      </c>
      <c r="T1823" s="6" t="s">
        <v>170</v>
      </c>
      <c r="U1823" s="6"/>
      <c r="V1823" s="6"/>
      <c r="W1823" s="6">
        <v>29.7384256</v>
      </c>
      <c r="X1823" s="6">
        <v>-95.2586293</v>
      </c>
    </row>
    <row r="1824" ht="15.75" customHeight="1">
      <c r="A1824" s="6">
        <v>49687.0</v>
      </c>
      <c r="B1824" s="6">
        <v>2022.0</v>
      </c>
      <c r="C1824" s="6" t="str">
        <f t="shared" si="5"/>
        <v>6227 STANDING OAKS ST,Houston,Texas</v>
      </c>
      <c r="D1824" s="6" t="s">
        <v>3255</v>
      </c>
      <c r="E1824" s="6" t="s">
        <v>25</v>
      </c>
      <c r="F1824" s="6" t="s">
        <v>26</v>
      </c>
      <c r="G1824" s="6" t="s">
        <v>3256</v>
      </c>
      <c r="H1824" s="6" t="s">
        <v>50</v>
      </c>
      <c r="I1824" s="6" t="str">
        <f>VLOOKUP(H1824,'Flow Location'!$A$1:$B$21,2,FALSE)</f>
        <v>Contained On Site, not within 5 ft. of Bayou/Surface Water/Drainage Ditch</v>
      </c>
      <c r="J1824" s="20">
        <v>0.0</v>
      </c>
      <c r="K1824" s="6" t="s">
        <v>51</v>
      </c>
      <c r="L1824" s="6" t="str">
        <f>VLOOKUP(K1824,'Structure type'!$A$1:$B$15,2,FALSE)</f>
        <v>Private Cleanout</v>
      </c>
      <c r="M1824" s="6" t="s">
        <v>56</v>
      </c>
      <c r="N1824" s="6" t="str">
        <f>VLOOKUP(M1824,'Excursion Cause'!$A$1:$B$34,2,FALSE)</f>
        <v>Rags/Wipes</v>
      </c>
      <c r="O1824" s="26">
        <v>44853.0</v>
      </c>
      <c r="P1824" s="6" t="s">
        <v>1627</v>
      </c>
      <c r="Q1824" s="26">
        <v>44853.0</v>
      </c>
      <c r="R1824" s="6" t="s">
        <v>1276</v>
      </c>
      <c r="S1824" s="20">
        <v>0.0</v>
      </c>
      <c r="T1824" s="6" t="s">
        <v>170</v>
      </c>
      <c r="U1824" s="6"/>
      <c r="V1824" s="6"/>
      <c r="W1824" s="6">
        <v>29.9018441</v>
      </c>
      <c r="X1824" s="6">
        <v>-95.2966855</v>
      </c>
    </row>
    <row r="1825" ht="15.75" customHeight="1">
      <c r="A1825" s="6">
        <v>49689.0</v>
      </c>
      <c r="B1825" s="6">
        <v>2022.0</v>
      </c>
      <c r="C1825" s="6" t="str">
        <f t="shared" si="5"/>
        <v>7745 LONG POINT RD,Houston,Texas</v>
      </c>
      <c r="D1825" s="6" t="s">
        <v>3257</v>
      </c>
      <c r="E1825" s="6" t="s">
        <v>25</v>
      </c>
      <c r="F1825" s="6" t="s">
        <v>26</v>
      </c>
      <c r="G1825" s="6" t="s">
        <v>27</v>
      </c>
      <c r="H1825" s="6" t="s">
        <v>1977</v>
      </c>
      <c r="I1825" s="6" t="str">
        <f>VLOOKUP(H1825,'Flow Location'!$A$1:$B$21,2,FALSE)</f>
        <v>Bayou/surface water/drainage ditch</v>
      </c>
      <c r="J1825" s="20">
        <v>0.0</v>
      </c>
      <c r="K1825" s="6" t="s">
        <v>29</v>
      </c>
      <c r="L1825" s="6" t="str">
        <f>VLOOKUP(K1825,'Structure type'!$A$1:$B$15,2,FALSE)</f>
        <v>Manhole</v>
      </c>
      <c r="M1825" s="6" t="s">
        <v>30</v>
      </c>
      <c r="N1825" s="6" t="str">
        <f>VLOOKUP(M1825,'Excursion Cause'!$A$1:$B$34,2,FALSE)</f>
        <v>Grease Blockage</v>
      </c>
      <c r="O1825" s="26">
        <v>44854.0</v>
      </c>
      <c r="P1825" s="6" t="s">
        <v>155</v>
      </c>
      <c r="Q1825" s="26">
        <v>44854.0</v>
      </c>
      <c r="R1825" s="6" t="s">
        <v>1014</v>
      </c>
      <c r="S1825" s="20">
        <v>0.0</v>
      </c>
      <c r="T1825" s="6" t="s">
        <v>33</v>
      </c>
      <c r="U1825" s="6"/>
      <c r="V1825" s="6"/>
      <c r="W1825" s="6">
        <v>29.8022907</v>
      </c>
      <c r="X1825" s="6">
        <v>-95.4827375</v>
      </c>
    </row>
    <row r="1826" ht="15.75" customHeight="1">
      <c r="A1826" s="6">
        <v>49693.0</v>
      </c>
      <c r="B1826" s="6">
        <v>2022.0</v>
      </c>
      <c r="C1826" s="6" t="str">
        <f t="shared" si="5"/>
        <v>14430 MINETTA ST,Houston,Texas</v>
      </c>
      <c r="D1826" s="6" t="s">
        <v>1954</v>
      </c>
      <c r="E1826" s="6" t="s">
        <v>25</v>
      </c>
      <c r="F1826" s="6" t="s">
        <v>26</v>
      </c>
      <c r="G1826" s="6" t="s">
        <v>127</v>
      </c>
      <c r="H1826" s="6" t="s">
        <v>1397</v>
      </c>
      <c r="I1826" s="6" t="str">
        <f>VLOOKUP(H1826,'Flow Location'!$A$1:$B$21,2,FALSE)</f>
        <v>Bayou/surface water/drainage ditch</v>
      </c>
      <c r="J1826" s="20">
        <v>0.0</v>
      </c>
      <c r="K1826" s="6" t="s">
        <v>45</v>
      </c>
      <c r="L1826" s="6" t="str">
        <f>VLOOKUP(K1826,'Structure type'!$A$1:$B$15,2,FALSE)</f>
        <v>City Cleanout</v>
      </c>
      <c r="M1826" s="6" t="s">
        <v>30</v>
      </c>
      <c r="N1826" s="6" t="str">
        <f>VLOOKUP(M1826,'Excursion Cause'!$A$1:$B$34,2,FALSE)</f>
        <v>Grease Blockage</v>
      </c>
      <c r="O1826" s="26">
        <v>44854.0</v>
      </c>
      <c r="P1826" s="6" t="s">
        <v>146</v>
      </c>
      <c r="Q1826" s="26">
        <v>44854.0</v>
      </c>
      <c r="R1826" s="6" t="s">
        <v>1047</v>
      </c>
      <c r="S1826" s="20">
        <v>0.0</v>
      </c>
      <c r="T1826" s="6" t="s">
        <v>270</v>
      </c>
      <c r="U1826" s="6"/>
      <c r="V1826" s="6"/>
      <c r="W1826" s="6">
        <v>29.6363399</v>
      </c>
      <c r="X1826" s="6">
        <v>-95.5017682</v>
      </c>
    </row>
    <row r="1827" ht="15.75" customHeight="1">
      <c r="A1827" s="6">
        <v>49695.0</v>
      </c>
      <c r="B1827" s="6">
        <v>2022.0</v>
      </c>
      <c r="C1827" s="6" t="str">
        <f t="shared" si="5"/>
        <v>9954 STELLA LINK RD,Houston,Texas</v>
      </c>
      <c r="D1827" s="6" t="s">
        <v>2609</v>
      </c>
      <c r="E1827" s="6" t="s">
        <v>25</v>
      </c>
      <c r="F1827" s="6" t="s">
        <v>26</v>
      </c>
      <c r="G1827" s="6" t="s">
        <v>65</v>
      </c>
      <c r="H1827" s="6" t="s">
        <v>50</v>
      </c>
      <c r="I1827" s="6" t="str">
        <f>VLOOKUP(H1827,'Flow Location'!$A$1:$B$21,2,FALSE)</f>
        <v>Contained On Site, not within 5 ft. of Bayou/Surface Water/Drainage Ditch</v>
      </c>
      <c r="J1827" s="20">
        <v>0.0</v>
      </c>
      <c r="K1827" s="6" t="s">
        <v>45</v>
      </c>
      <c r="L1827" s="6" t="str">
        <f>VLOOKUP(K1827,'Structure type'!$A$1:$B$15,2,FALSE)</f>
        <v>City Cleanout</v>
      </c>
      <c r="M1827" s="6" t="s">
        <v>52</v>
      </c>
      <c r="N1827" s="6" t="str">
        <f>VLOOKUP(M1827,'Excursion Cause'!$A$1:$B$34,2,FALSE)</f>
        <v>Collection system structural blockage</v>
      </c>
      <c r="O1827" s="26">
        <v>44854.0</v>
      </c>
      <c r="P1827" s="6" t="s">
        <v>629</v>
      </c>
      <c r="Q1827" s="26">
        <v>44854.0</v>
      </c>
      <c r="R1827" s="6" t="s">
        <v>2824</v>
      </c>
      <c r="S1827" s="20">
        <v>0.0</v>
      </c>
      <c r="T1827" s="6" t="s">
        <v>118</v>
      </c>
      <c r="U1827" s="6"/>
      <c r="V1827" s="6"/>
      <c r="W1827" s="6">
        <v>29.673583</v>
      </c>
      <c r="X1827" s="6">
        <v>-95.4401304</v>
      </c>
    </row>
    <row r="1828" ht="15.75" customHeight="1">
      <c r="A1828" s="6">
        <v>49696.0</v>
      </c>
      <c r="B1828" s="6">
        <v>2022.0</v>
      </c>
      <c r="C1828" s="6" t="str">
        <f t="shared" si="5"/>
        <v>1514 WIRT RD,Houston,Texas</v>
      </c>
      <c r="D1828" s="6" t="s">
        <v>3258</v>
      </c>
      <c r="E1828" s="6" t="s">
        <v>25</v>
      </c>
      <c r="F1828" s="6" t="s">
        <v>26</v>
      </c>
      <c r="G1828" s="6" t="s">
        <v>27</v>
      </c>
      <c r="H1828" s="6" t="s">
        <v>50</v>
      </c>
      <c r="I1828" s="6" t="str">
        <f>VLOOKUP(H1828,'Flow Location'!$A$1:$B$21,2,FALSE)</f>
        <v>Contained On Site, not within 5 ft. of Bayou/Surface Water/Drainage Ditch</v>
      </c>
      <c r="J1828" s="20">
        <v>150.0</v>
      </c>
      <c r="K1828" s="6" t="s">
        <v>51</v>
      </c>
      <c r="L1828" s="6" t="str">
        <f>VLOOKUP(K1828,'Structure type'!$A$1:$B$15,2,FALSE)</f>
        <v>Private Cleanout</v>
      </c>
      <c r="M1828" s="6" t="s">
        <v>96</v>
      </c>
      <c r="N1828" s="6" t="str">
        <f>VLOOKUP(M1828,'Excursion Cause'!$A$1:$B$34,2,FALSE)</f>
        <v>Collection system temporary blockage</v>
      </c>
      <c r="O1828" s="26">
        <v>44854.0</v>
      </c>
      <c r="P1828" s="6" t="s">
        <v>71</v>
      </c>
      <c r="Q1828" s="26">
        <v>44854.0</v>
      </c>
      <c r="R1828" s="6" t="s">
        <v>704</v>
      </c>
      <c r="S1828" s="20">
        <v>3.0</v>
      </c>
      <c r="T1828" s="6" t="s">
        <v>170</v>
      </c>
      <c r="U1828" s="6"/>
      <c r="V1828" s="6"/>
      <c r="W1828" s="6">
        <v>29.7978882</v>
      </c>
      <c r="X1828" s="6">
        <v>-95.4845399</v>
      </c>
    </row>
    <row r="1829" ht="15.75" customHeight="1">
      <c r="A1829" s="6">
        <v>49699.0</v>
      </c>
      <c r="B1829" s="6">
        <v>2022.0</v>
      </c>
      <c r="C1829" s="6" t="str">
        <f t="shared" si="5"/>
        <v>2305 HAYES RD,Houston,Texas</v>
      </c>
      <c r="D1829" s="6" t="s">
        <v>3259</v>
      </c>
      <c r="E1829" s="6" t="s">
        <v>25</v>
      </c>
      <c r="F1829" s="6" t="s">
        <v>26</v>
      </c>
      <c r="G1829" s="6" t="s">
        <v>347</v>
      </c>
      <c r="H1829" s="6" t="s">
        <v>3260</v>
      </c>
      <c r="I1829" s="6" t="str">
        <f>VLOOKUP(H1829,'Flow Location'!$A$1:$B$21,2,FALSE)</f>
        <v>Storm Sewer - contained</v>
      </c>
      <c r="J1829" s="20">
        <v>0.0</v>
      </c>
      <c r="K1829" s="6" t="s">
        <v>29</v>
      </c>
      <c r="L1829" s="6" t="str">
        <f>VLOOKUP(K1829,'Structure type'!$A$1:$B$15,2,FALSE)</f>
        <v>Manhole</v>
      </c>
      <c r="M1829" s="6" t="s">
        <v>3194</v>
      </c>
      <c r="N1829" s="6" t="str">
        <f>VLOOKUP(M1829,'Excursion Cause'!$A$1:$B$34,2,FALSE)</f>
        <v>Grease Blockage</v>
      </c>
      <c r="O1829" s="26">
        <v>44854.0</v>
      </c>
      <c r="P1829" s="6" t="s">
        <v>380</v>
      </c>
      <c r="Q1829" s="26">
        <v>44854.0</v>
      </c>
      <c r="R1829" s="6" t="s">
        <v>1567</v>
      </c>
      <c r="S1829" s="20">
        <v>0.0</v>
      </c>
      <c r="T1829" s="6" t="s">
        <v>3208</v>
      </c>
      <c r="U1829" s="6"/>
      <c r="V1829" s="6"/>
      <c r="W1829" s="6">
        <v>29.7391406</v>
      </c>
      <c r="X1829" s="6">
        <v>-95.5761533</v>
      </c>
    </row>
    <row r="1830" ht="15.75" customHeight="1">
      <c r="A1830" s="6">
        <v>49707.0</v>
      </c>
      <c r="B1830" s="6">
        <v>2022.0</v>
      </c>
      <c r="C1830" s="6" t="str">
        <f t="shared" si="5"/>
        <v>5827 VILLAGE FOREST CT,Houston,Texas</v>
      </c>
      <c r="D1830" s="6" t="s">
        <v>3261</v>
      </c>
      <c r="E1830" s="6" t="s">
        <v>25</v>
      </c>
      <c r="F1830" s="6" t="s">
        <v>26</v>
      </c>
      <c r="G1830" s="6" t="s">
        <v>76</v>
      </c>
      <c r="H1830" s="6" t="s">
        <v>50</v>
      </c>
      <c r="I1830" s="6" t="str">
        <f>VLOOKUP(H1830,'Flow Location'!$A$1:$B$21,2,FALSE)</f>
        <v>Contained On Site, not within 5 ft. of Bayou/Surface Water/Drainage Ditch</v>
      </c>
      <c r="J1830" s="20">
        <v>0.0</v>
      </c>
      <c r="K1830" s="6" t="s">
        <v>29</v>
      </c>
      <c r="L1830" s="6" t="str">
        <f>VLOOKUP(K1830,'Structure type'!$A$1:$B$15,2,FALSE)</f>
        <v>Manhole</v>
      </c>
      <c r="M1830" s="6" t="s">
        <v>30</v>
      </c>
      <c r="N1830" s="6" t="str">
        <f>VLOOKUP(M1830,'Excursion Cause'!$A$1:$B$34,2,FALSE)</f>
        <v>Grease Blockage</v>
      </c>
      <c r="O1830" s="26">
        <v>44855.0</v>
      </c>
      <c r="P1830" s="6" t="s">
        <v>802</v>
      </c>
      <c r="Q1830" s="26">
        <v>44855.0</v>
      </c>
      <c r="R1830" s="6" t="s">
        <v>203</v>
      </c>
      <c r="S1830" s="20">
        <v>0.0</v>
      </c>
      <c r="T1830" s="6" t="s">
        <v>59</v>
      </c>
      <c r="U1830" s="6"/>
      <c r="V1830" s="6"/>
      <c r="W1830" s="6">
        <v>29.8473547</v>
      </c>
      <c r="X1830" s="6">
        <v>-95.4759175</v>
      </c>
    </row>
    <row r="1831" ht="15.75" customHeight="1">
      <c r="A1831" s="6">
        <v>49709.0</v>
      </c>
      <c r="B1831" s="6">
        <v>2022.0</v>
      </c>
      <c r="C1831" s="6" t="str">
        <f t="shared" si="5"/>
        <v>777 W 23RD ST,Houston,Texas</v>
      </c>
      <c r="D1831" s="6" t="s">
        <v>3262</v>
      </c>
      <c r="E1831" s="6" t="s">
        <v>25</v>
      </c>
      <c r="F1831" s="6" t="s">
        <v>26</v>
      </c>
      <c r="G1831" s="6" t="s">
        <v>232</v>
      </c>
      <c r="H1831" s="6" t="s">
        <v>50</v>
      </c>
      <c r="I1831" s="6" t="str">
        <f>VLOOKUP(H1831,'Flow Location'!$A$1:$B$21,2,FALSE)</f>
        <v>Contained On Site, not within 5 ft. of Bayou/Surface Water/Drainage Ditch</v>
      </c>
      <c r="J1831" s="20">
        <v>0.0</v>
      </c>
      <c r="K1831" s="6" t="s">
        <v>29</v>
      </c>
      <c r="L1831" s="6" t="str">
        <f>VLOOKUP(K1831,'Structure type'!$A$1:$B$15,2,FALSE)</f>
        <v>Manhole</v>
      </c>
      <c r="M1831" s="6" t="s">
        <v>56</v>
      </c>
      <c r="N1831" s="6" t="str">
        <f>VLOOKUP(M1831,'Excursion Cause'!$A$1:$B$34,2,FALSE)</f>
        <v>Rags/Wipes</v>
      </c>
      <c r="O1831" s="26">
        <v>44855.0</v>
      </c>
      <c r="P1831" s="6" t="s">
        <v>2405</v>
      </c>
      <c r="Q1831" s="26">
        <v>44855.0</v>
      </c>
      <c r="R1831" s="6" t="s">
        <v>2034</v>
      </c>
      <c r="S1831" s="20">
        <v>0.0</v>
      </c>
      <c r="T1831" s="6" t="s">
        <v>59</v>
      </c>
      <c r="U1831" s="6"/>
      <c r="V1831" s="6"/>
      <c r="W1831" s="6">
        <v>29.8071987</v>
      </c>
      <c r="X1831" s="6">
        <v>-95.4118413</v>
      </c>
    </row>
    <row r="1832" ht="15.75" customHeight="1">
      <c r="A1832" s="6">
        <v>49710.0</v>
      </c>
      <c r="B1832" s="6">
        <v>2022.0</v>
      </c>
      <c r="C1832" s="6" t="str">
        <f t="shared" si="5"/>
        <v>2403 BRANARD ST,Houston,Texas</v>
      </c>
      <c r="D1832" s="6" t="s">
        <v>2530</v>
      </c>
      <c r="E1832" s="6" t="s">
        <v>25</v>
      </c>
      <c r="F1832" s="6" t="s">
        <v>26</v>
      </c>
      <c r="G1832" s="6" t="s">
        <v>112</v>
      </c>
      <c r="H1832" s="6" t="s">
        <v>50</v>
      </c>
      <c r="I1832" s="6" t="str">
        <f>VLOOKUP(H1832,'Flow Location'!$A$1:$B$21,2,FALSE)</f>
        <v>Contained On Site, not within 5 ft. of Bayou/Surface Water/Drainage Ditch</v>
      </c>
      <c r="J1832" s="20">
        <v>0.0</v>
      </c>
      <c r="K1832" s="6" t="s">
        <v>45</v>
      </c>
      <c r="L1832" s="6" t="str">
        <f>VLOOKUP(K1832,'Structure type'!$A$1:$B$15,2,FALSE)</f>
        <v>City Cleanout</v>
      </c>
      <c r="M1832" s="6" t="s">
        <v>56</v>
      </c>
      <c r="N1832" s="6" t="str">
        <f>VLOOKUP(M1832,'Excursion Cause'!$A$1:$B$34,2,FALSE)</f>
        <v>Rags/Wipes</v>
      </c>
      <c r="O1832" s="26">
        <v>44855.0</v>
      </c>
      <c r="P1832" s="6" t="s">
        <v>872</v>
      </c>
      <c r="Q1832" s="26">
        <v>44855.0</v>
      </c>
      <c r="R1832" s="6" t="s">
        <v>1250</v>
      </c>
      <c r="S1832" s="20">
        <v>0.0</v>
      </c>
      <c r="T1832" s="6" t="s">
        <v>74</v>
      </c>
      <c r="U1832" s="6"/>
      <c r="V1832" s="6"/>
      <c r="W1832" s="6">
        <v>29.7368106</v>
      </c>
      <c r="X1832" s="6">
        <v>-95.4165164</v>
      </c>
    </row>
    <row r="1833" ht="15.75" customHeight="1">
      <c r="A1833" s="6">
        <v>49714.0</v>
      </c>
      <c r="B1833" s="6">
        <v>2022.0</v>
      </c>
      <c r="C1833" s="6" t="str">
        <f t="shared" si="5"/>
        <v>1320 SCOTT ST,Houston,Texas</v>
      </c>
      <c r="D1833" s="6" t="s">
        <v>3263</v>
      </c>
      <c r="E1833" s="6" t="s">
        <v>25</v>
      </c>
      <c r="F1833" s="6" t="s">
        <v>26</v>
      </c>
      <c r="G1833" s="6" t="s">
        <v>172</v>
      </c>
      <c r="H1833" s="6" t="s">
        <v>28</v>
      </c>
      <c r="I1833" s="6" t="str">
        <f>VLOOKUP(H1833,'Flow Location'!$A$1:$B$21,2,FALSE)</f>
        <v>Storm Sewer (not contained)</v>
      </c>
      <c r="J1833" s="20">
        <v>2270.0</v>
      </c>
      <c r="K1833" s="6" t="s">
        <v>29</v>
      </c>
      <c r="L1833" s="6" t="str">
        <f>VLOOKUP(K1833,'Structure type'!$A$1:$B$15,2,FALSE)</f>
        <v>Manhole</v>
      </c>
      <c r="M1833" s="6" t="s">
        <v>3250</v>
      </c>
      <c r="N1833" s="6" t="str">
        <f>VLOOKUP(M1833,'Excursion Cause'!$A$1:$B$34,2,FALSE)</f>
        <v>Collection system structural blockage</v>
      </c>
      <c r="O1833" s="26">
        <v>44855.0</v>
      </c>
      <c r="P1833" s="6" t="s">
        <v>356</v>
      </c>
      <c r="Q1833" s="26">
        <v>44856.0</v>
      </c>
      <c r="R1833" s="6" t="s">
        <v>515</v>
      </c>
      <c r="S1833" s="20">
        <v>2.0</v>
      </c>
      <c r="T1833" s="6" t="s">
        <v>59</v>
      </c>
      <c r="U1833" s="6"/>
      <c r="V1833" s="6"/>
      <c r="W1833" s="6">
        <v>29.7413782</v>
      </c>
      <c r="X1833" s="6">
        <v>-95.3458201</v>
      </c>
    </row>
    <row r="1834" ht="15.75" customHeight="1">
      <c r="A1834" s="6">
        <v>49718.0</v>
      </c>
      <c r="B1834" s="6">
        <v>2022.0</v>
      </c>
      <c r="C1834" s="6" t="str">
        <f t="shared" si="5"/>
        <v>6438 WILCREST DR,Houston,Texas</v>
      </c>
      <c r="D1834" s="6" t="s">
        <v>3264</v>
      </c>
      <c r="E1834" s="6" t="s">
        <v>25</v>
      </c>
      <c r="F1834" s="6" t="s">
        <v>26</v>
      </c>
      <c r="G1834" s="6" t="s">
        <v>91</v>
      </c>
      <c r="H1834" s="6" t="s">
        <v>50</v>
      </c>
      <c r="I1834" s="6" t="str">
        <f>VLOOKUP(H1834,'Flow Location'!$A$1:$B$21,2,FALSE)</f>
        <v>Contained On Site, not within 5 ft. of Bayou/Surface Water/Drainage Ditch</v>
      </c>
      <c r="J1834" s="20">
        <v>0.0</v>
      </c>
      <c r="K1834" s="6" t="s">
        <v>45</v>
      </c>
      <c r="L1834" s="6" t="str">
        <f>VLOOKUP(K1834,'Structure type'!$A$1:$B$15,2,FALSE)</f>
        <v>City Cleanout</v>
      </c>
      <c r="M1834" s="6" t="s">
        <v>81</v>
      </c>
      <c r="N1834" s="6" t="str">
        <f>VLOOKUP(M1834,'Excursion Cause'!$A$1:$B$34,2,FALSE)</f>
        <v>Collection system structural failure</v>
      </c>
      <c r="O1834" s="26">
        <v>44856.0</v>
      </c>
      <c r="P1834" s="6" t="s">
        <v>262</v>
      </c>
      <c r="Q1834" s="26">
        <v>44856.0</v>
      </c>
      <c r="R1834" s="6" t="s">
        <v>350</v>
      </c>
      <c r="S1834" s="20">
        <v>0.0</v>
      </c>
      <c r="T1834" s="6" t="s">
        <v>54</v>
      </c>
      <c r="U1834" s="6"/>
      <c r="V1834" s="6"/>
      <c r="W1834" s="6">
        <v>29.7109948</v>
      </c>
      <c r="X1834" s="6">
        <v>-95.5720246</v>
      </c>
    </row>
    <row r="1835" ht="15.75" customHeight="1">
      <c r="A1835" s="6">
        <v>49721.0</v>
      </c>
      <c r="B1835" s="6">
        <v>2022.0</v>
      </c>
      <c r="C1835" s="6" t="str">
        <f t="shared" si="5"/>
        <v>2931 MEIKO DR,Houston,Texas</v>
      </c>
      <c r="D1835" s="6" t="s">
        <v>3265</v>
      </c>
      <c r="E1835" s="6" t="s">
        <v>25</v>
      </c>
      <c r="F1835" s="6" t="s">
        <v>26</v>
      </c>
      <c r="G1835" s="6" t="s">
        <v>39</v>
      </c>
      <c r="H1835" s="6" t="s">
        <v>50</v>
      </c>
      <c r="I1835" s="6" t="str">
        <f>VLOOKUP(H1835,'Flow Location'!$A$1:$B$21,2,FALSE)</f>
        <v>Contained On Site, not within 5 ft. of Bayou/Surface Water/Drainage Ditch</v>
      </c>
      <c r="J1835" s="20">
        <v>202.0</v>
      </c>
      <c r="K1835" s="6" t="s">
        <v>51</v>
      </c>
      <c r="L1835" s="6" t="str">
        <f>VLOOKUP(K1835,'Structure type'!$A$1:$B$15,2,FALSE)</f>
        <v>Private Cleanout</v>
      </c>
      <c r="M1835" s="6" t="s">
        <v>30</v>
      </c>
      <c r="N1835" s="6" t="str">
        <f>VLOOKUP(M1835,'Excursion Cause'!$A$1:$B$34,2,FALSE)</f>
        <v>Grease Blockage</v>
      </c>
      <c r="O1835" s="26">
        <v>44856.0</v>
      </c>
      <c r="P1835" s="6" t="s">
        <v>164</v>
      </c>
      <c r="Q1835" s="26">
        <v>44856.0</v>
      </c>
      <c r="R1835" s="6" t="s">
        <v>53</v>
      </c>
      <c r="S1835" s="20">
        <v>2.0</v>
      </c>
      <c r="T1835" s="6" t="s">
        <v>89</v>
      </c>
      <c r="U1835" s="6"/>
      <c r="V1835" s="6"/>
      <c r="W1835" s="6">
        <v>29.6286594</v>
      </c>
      <c r="X1835" s="6">
        <v>-95.4200968</v>
      </c>
    </row>
    <row r="1836" ht="15.75" customHeight="1">
      <c r="A1836" s="6">
        <v>49728.0</v>
      </c>
      <c r="B1836" s="6">
        <v>2022.0</v>
      </c>
      <c r="C1836" s="6" t="str">
        <f t="shared" si="5"/>
        <v>13342 JOLIET ST,Houston,Texas</v>
      </c>
      <c r="D1836" s="6" t="s">
        <v>3266</v>
      </c>
      <c r="E1836" s="6" t="s">
        <v>25</v>
      </c>
      <c r="F1836" s="6" t="s">
        <v>26</v>
      </c>
      <c r="G1836" s="6" t="s">
        <v>623</v>
      </c>
      <c r="H1836" s="6" t="s">
        <v>50</v>
      </c>
      <c r="I1836" s="6" t="str">
        <f>VLOOKUP(H1836,'Flow Location'!$A$1:$B$21,2,FALSE)</f>
        <v>Contained On Site, not within 5 ft. of Bayou/Surface Water/Drainage Ditch</v>
      </c>
      <c r="J1836" s="20">
        <v>0.0</v>
      </c>
      <c r="K1836" s="6" t="s">
        <v>198</v>
      </c>
      <c r="L1836" s="6" t="str">
        <f>VLOOKUP(K1836,'Structure type'!$A$1:$B$15,2,FALSE)</f>
        <v>Service Lateral</v>
      </c>
      <c r="M1836" s="6" t="s">
        <v>30</v>
      </c>
      <c r="N1836" s="6" t="str">
        <f>VLOOKUP(M1836,'Excursion Cause'!$A$1:$B$34,2,FALSE)</f>
        <v>Grease Blockage</v>
      </c>
      <c r="O1836" s="26">
        <v>44858.0</v>
      </c>
      <c r="P1836" s="6" t="s">
        <v>1145</v>
      </c>
      <c r="Q1836" s="26">
        <v>44858.0</v>
      </c>
      <c r="R1836" s="6" t="s">
        <v>1360</v>
      </c>
      <c r="S1836" s="20">
        <v>0.0</v>
      </c>
      <c r="T1836" s="6" t="s">
        <v>59</v>
      </c>
      <c r="U1836" s="6"/>
      <c r="V1836" s="6"/>
      <c r="W1836" s="6">
        <v>29.7833462</v>
      </c>
      <c r="X1836" s="6">
        <v>-95.1890726</v>
      </c>
    </row>
    <row r="1837" ht="15.75" customHeight="1">
      <c r="A1837" s="6">
        <v>49731.0</v>
      </c>
      <c r="B1837" s="6">
        <v>2022.0</v>
      </c>
      <c r="C1837" s="6" t="str">
        <f t="shared" si="5"/>
        <v>4420 TRAVIS ST,Houston,Texas</v>
      </c>
      <c r="D1837" s="6" t="s">
        <v>3267</v>
      </c>
      <c r="E1837" s="6" t="s">
        <v>25</v>
      </c>
      <c r="F1837" s="6" t="s">
        <v>26</v>
      </c>
      <c r="G1837" s="6" t="s">
        <v>463</v>
      </c>
      <c r="H1837" s="6" t="s">
        <v>1724</v>
      </c>
      <c r="I1837" s="6" t="str">
        <f>VLOOKUP(H1837,'Flow Location'!$A$1:$B$21,2,FALSE)</f>
        <v>Storm Sewer (not contained)</v>
      </c>
      <c r="J1837" s="20">
        <v>1431.0</v>
      </c>
      <c r="K1837" s="6" t="s">
        <v>29</v>
      </c>
      <c r="L1837" s="6" t="str">
        <f>VLOOKUP(K1837,'Structure type'!$A$1:$B$15,2,FALSE)</f>
        <v>Manhole</v>
      </c>
      <c r="M1837" s="6" t="s">
        <v>56</v>
      </c>
      <c r="N1837" s="6" t="str">
        <f>VLOOKUP(M1837,'Excursion Cause'!$A$1:$B$34,2,FALSE)</f>
        <v>Rags/Wipes</v>
      </c>
      <c r="O1837" s="26">
        <v>44857.0</v>
      </c>
      <c r="P1837" s="6" t="s">
        <v>228</v>
      </c>
      <c r="Q1837" s="26">
        <v>44858.0</v>
      </c>
      <c r="R1837" s="6" t="s">
        <v>580</v>
      </c>
      <c r="S1837" s="20">
        <v>1.0</v>
      </c>
      <c r="T1837" s="6" t="s">
        <v>3201</v>
      </c>
      <c r="U1837" s="6"/>
      <c r="V1837" s="6"/>
      <c r="W1837" s="6">
        <v>29.7337072</v>
      </c>
      <c r="X1837" s="6">
        <v>-95.3848864</v>
      </c>
    </row>
    <row r="1838" ht="15.75" customHeight="1">
      <c r="A1838" s="6">
        <v>49732.0</v>
      </c>
      <c r="B1838" s="6">
        <v>2022.0</v>
      </c>
      <c r="C1838" s="6" t="str">
        <f t="shared" si="5"/>
        <v>9747 CASA LOMA DR,Houston,Texas</v>
      </c>
      <c r="D1838" s="6" t="s">
        <v>3268</v>
      </c>
      <c r="E1838" s="6" t="s">
        <v>25</v>
      </c>
      <c r="F1838" s="6" t="s">
        <v>26</v>
      </c>
      <c r="G1838" s="6" t="s">
        <v>344</v>
      </c>
      <c r="H1838" s="6" t="s">
        <v>1724</v>
      </c>
      <c r="I1838" s="6" t="str">
        <f>VLOOKUP(H1838,'Flow Location'!$A$1:$B$21,2,FALSE)</f>
        <v>Storm Sewer (not contained)</v>
      </c>
      <c r="J1838" s="20">
        <v>0.0</v>
      </c>
      <c r="K1838" s="6" t="s">
        <v>45</v>
      </c>
      <c r="L1838" s="6" t="str">
        <f>VLOOKUP(K1838,'Structure type'!$A$1:$B$15,2,FALSE)</f>
        <v>City Cleanout</v>
      </c>
      <c r="M1838" s="6" t="s">
        <v>3194</v>
      </c>
      <c r="N1838" s="6" t="str">
        <f>VLOOKUP(M1838,'Excursion Cause'!$A$1:$B$34,2,FALSE)</f>
        <v>Grease Blockage</v>
      </c>
      <c r="O1838" s="26">
        <v>44857.0</v>
      </c>
      <c r="P1838" s="6" t="s">
        <v>3269</v>
      </c>
      <c r="Q1838" s="26">
        <v>44857.0</v>
      </c>
      <c r="R1838" s="6" t="s">
        <v>537</v>
      </c>
      <c r="S1838" s="20">
        <v>0.0</v>
      </c>
      <c r="T1838" s="6" t="s">
        <v>3201</v>
      </c>
      <c r="U1838" s="6"/>
      <c r="V1838" s="6"/>
      <c r="W1838" s="6">
        <v>29.8368371</v>
      </c>
      <c r="X1838" s="6">
        <v>-95.5330829</v>
      </c>
    </row>
    <row r="1839" ht="15.75" customHeight="1">
      <c r="A1839" s="6">
        <v>49733.0</v>
      </c>
      <c r="B1839" s="6">
        <v>2022.0</v>
      </c>
      <c r="C1839" s="6" t="str">
        <f t="shared" si="5"/>
        <v>901 W 23RD ST,Houston,Texas</v>
      </c>
      <c r="D1839" s="6" t="s">
        <v>3270</v>
      </c>
      <c r="E1839" s="6" t="s">
        <v>25</v>
      </c>
      <c r="F1839" s="6" t="s">
        <v>26</v>
      </c>
      <c r="G1839" s="6" t="s">
        <v>232</v>
      </c>
      <c r="H1839" s="6" t="s">
        <v>50</v>
      </c>
      <c r="I1839" s="6" t="str">
        <f>VLOOKUP(H1839,'Flow Location'!$A$1:$B$21,2,FALSE)</f>
        <v>Contained On Site, not within 5 ft. of Bayou/Surface Water/Drainage Ditch</v>
      </c>
      <c r="J1839" s="20">
        <v>0.0</v>
      </c>
      <c r="K1839" s="6" t="s">
        <v>51</v>
      </c>
      <c r="L1839" s="6" t="str">
        <f>VLOOKUP(K1839,'Structure type'!$A$1:$B$15,2,FALSE)</f>
        <v>Private Cleanout</v>
      </c>
      <c r="M1839" s="6" t="s">
        <v>30</v>
      </c>
      <c r="N1839" s="6" t="str">
        <f>VLOOKUP(M1839,'Excursion Cause'!$A$1:$B$34,2,FALSE)</f>
        <v>Grease Blockage</v>
      </c>
      <c r="O1839" s="26">
        <v>44858.0</v>
      </c>
      <c r="P1839" s="6" t="s">
        <v>116</v>
      </c>
      <c r="Q1839" s="26">
        <v>44858.0</v>
      </c>
      <c r="R1839" s="6" t="s">
        <v>136</v>
      </c>
      <c r="S1839" s="20">
        <v>0.0</v>
      </c>
      <c r="T1839" s="6" t="s">
        <v>377</v>
      </c>
      <c r="U1839" s="6"/>
      <c r="V1839" s="6"/>
      <c r="W1839" s="6">
        <v>29.8070293</v>
      </c>
      <c r="X1839" s="6">
        <v>-95.4143058</v>
      </c>
    </row>
    <row r="1840" ht="15.75" customHeight="1">
      <c r="A1840" s="6">
        <v>49736.0</v>
      </c>
      <c r="B1840" s="6">
        <v>2022.0</v>
      </c>
      <c r="C1840" s="6" t="str">
        <f t="shared" si="5"/>
        <v>514 MAPLE WAY,Houston,Texas</v>
      </c>
      <c r="D1840" s="6" t="s">
        <v>3271</v>
      </c>
      <c r="E1840" s="6" t="s">
        <v>25</v>
      </c>
      <c r="F1840" s="6" t="s">
        <v>26</v>
      </c>
      <c r="G1840" s="6" t="s">
        <v>623</v>
      </c>
      <c r="H1840" s="6" t="s">
        <v>28</v>
      </c>
      <c r="I1840" s="6" t="str">
        <f>VLOOKUP(H1840,'Flow Location'!$A$1:$B$21,2,FALSE)</f>
        <v>Storm Sewer (not contained)</v>
      </c>
      <c r="J1840" s="20">
        <v>0.0</v>
      </c>
      <c r="K1840" s="6" t="s">
        <v>198</v>
      </c>
      <c r="L1840" s="6" t="str">
        <f>VLOOKUP(K1840,'Structure type'!$A$1:$B$15,2,FALSE)</f>
        <v>Service Lateral</v>
      </c>
      <c r="M1840" s="6" t="s">
        <v>3250</v>
      </c>
      <c r="N1840" s="6" t="str">
        <f>VLOOKUP(M1840,'Excursion Cause'!$A$1:$B$34,2,FALSE)</f>
        <v>Collection system structural blockage</v>
      </c>
      <c r="O1840" s="26">
        <v>44858.0</v>
      </c>
      <c r="P1840" s="6" t="s">
        <v>529</v>
      </c>
      <c r="Q1840" s="26">
        <v>44858.0</v>
      </c>
      <c r="R1840" s="6" t="s">
        <v>315</v>
      </c>
      <c r="S1840" s="20">
        <v>0.0</v>
      </c>
      <c r="T1840" s="6" t="s">
        <v>170</v>
      </c>
      <c r="U1840" s="6"/>
      <c r="V1840" s="6"/>
      <c r="W1840" s="6">
        <v>29.7770103</v>
      </c>
      <c r="X1840" s="6">
        <v>-95.2012941</v>
      </c>
    </row>
    <row r="1841" ht="15.75" customHeight="1">
      <c r="A1841" s="6">
        <v>49740.0</v>
      </c>
      <c r="B1841" s="6">
        <v>2022.0</v>
      </c>
      <c r="C1841" s="6" t="str">
        <f t="shared" si="5"/>
        <v>8447 PARK PLACE BLVD,Houston,Texas</v>
      </c>
      <c r="D1841" s="6" t="s">
        <v>3272</v>
      </c>
      <c r="E1841" s="6" t="s">
        <v>25</v>
      </c>
      <c r="F1841" s="6" t="s">
        <v>26</v>
      </c>
      <c r="G1841" s="6" t="s">
        <v>135</v>
      </c>
      <c r="H1841" s="6" t="s">
        <v>1724</v>
      </c>
      <c r="I1841" s="6" t="str">
        <f>VLOOKUP(H1841,'Flow Location'!$A$1:$B$21,2,FALSE)</f>
        <v>Storm Sewer (not contained)</v>
      </c>
      <c r="J1841" s="20">
        <v>59.0</v>
      </c>
      <c r="K1841" s="6" t="s">
        <v>45</v>
      </c>
      <c r="L1841" s="6" t="str">
        <f>VLOOKUP(K1841,'Structure type'!$A$1:$B$15,2,FALSE)</f>
        <v>City Cleanout</v>
      </c>
      <c r="M1841" s="6" t="s">
        <v>3194</v>
      </c>
      <c r="N1841" s="6" t="str">
        <f>VLOOKUP(M1841,'Excursion Cause'!$A$1:$B$34,2,FALSE)</f>
        <v>Grease Blockage</v>
      </c>
      <c r="O1841" s="26">
        <v>44858.0</v>
      </c>
      <c r="P1841" s="6" t="s">
        <v>1861</v>
      </c>
      <c r="Q1841" s="26">
        <v>44858.0</v>
      </c>
      <c r="R1841" s="6" t="s">
        <v>1036</v>
      </c>
      <c r="S1841" s="20">
        <v>1.0</v>
      </c>
      <c r="T1841" s="6" t="s">
        <v>3235</v>
      </c>
      <c r="U1841" s="6"/>
      <c r="V1841" s="6"/>
      <c r="W1841" s="6">
        <v>29.6946864</v>
      </c>
      <c r="X1841" s="6">
        <v>-95.2658931</v>
      </c>
    </row>
    <row r="1842" ht="15.75" customHeight="1">
      <c r="A1842" s="6">
        <v>49753.0</v>
      </c>
      <c r="B1842" s="6">
        <v>2022.0</v>
      </c>
      <c r="C1842" s="6" t="str">
        <f t="shared" si="5"/>
        <v>7132 AVENUE Q,Houston,Texas</v>
      </c>
      <c r="D1842" s="6" t="s">
        <v>3273</v>
      </c>
      <c r="E1842" s="6" t="s">
        <v>25</v>
      </c>
      <c r="F1842" s="6" t="s">
        <v>26</v>
      </c>
      <c r="G1842" s="6" t="s">
        <v>227</v>
      </c>
      <c r="H1842" s="6" t="s">
        <v>50</v>
      </c>
      <c r="I1842" s="6" t="str">
        <f>VLOOKUP(H1842,'Flow Location'!$A$1:$B$21,2,FALSE)</f>
        <v>Contained On Site, not within 5 ft. of Bayou/Surface Water/Drainage Ditch</v>
      </c>
      <c r="J1842" s="20">
        <v>0.0</v>
      </c>
      <c r="K1842" s="6" t="s">
        <v>45</v>
      </c>
      <c r="L1842" s="6" t="str">
        <f>VLOOKUP(K1842,'Structure type'!$A$1:$B$15,2,FALSE)</f>
        <v>City Cleanout</v>
      </c>
      <c r="M1842" s="6" t="s">
        <v>52</v>
      </c>
      <c r="N1842" s="6" t="str">
        <f>VLOOKUP(M1842,'Excursion Cause'!$A$1:$B$34,2,FALSE)</f>
        <v>Collection system structural blockage</v>
      </c>
      <c r="O1842" s="26">
        <v>44860.0</v>
      </c>
      <c r="P1842" s="6" t="s">
        <v>995</v>
      </c>
      <c r="Q1842" s="26">
        <v>44860.0</v>
      </c>
      <c r="R1842" s="6" t="s">
        <v>931</v>
      </c>
      <c r="S1842" s="20">
        <v>0.0</v>
      </c>
      <c r="T1842" s="6" t="s">
        <v>74</v>
      </c>
      <c r="U1842" s="6"/>
      <c r="V1842" s="6"/>
      <c r="W1842" s="6">
        <v>29.7452606</v>
      </c>
      <c r="X1842" s="6">
        <v>-95.2945598</v>
      </c>
    </row>
    <row r="1843" ht="15.75" customHeight="1">
      <c r="A1843" s="6">
        <v>49758.0</v>
      </c>
      <c r="B1843" s="6">
        <v>2022.0</v>
      </c>
      <c r="C1843" s="6" t="str">
        <f t="shared" si="5"/>
        <v>9310 LONG POINT RD,Houston,Texas</v>
      </c>
      <c r="D1843" s="6" t="s">
        <v>1348</v>
      </c>
      <c r="E1843" s="6" t="s">
        <v>25</v>
      </c>
      <c r="F1843" s="6" t="s">
        <v>26</v>
      </c>
      <c r="G1843" s="6" t="s">
        <v>27</v>
      </c>
      <c r="H1843" s="6" t="s">
        <v>1397</v>
      </c>
      <c r="I1843" s="6" t="str">
        <f>VLOOKUP(H1843,'Flow Location'!$A$1:$B$21,2,FALSE)</f>
        <v>Bayou/surface water/drainage ditch</v>
      </c>
      <c r="J1843" s="20">
        <v>165.0</v>
      </c>
      <c r="K1843" s="6" t="s">
        <v>29</v>
      </c>
      <c r="L1843" s="6" t="str">
        <f>VLOOKUP(K1843,'Structure type'!$A$1:$B$15,2,FALSE)</f>
        <v>Manhole</v>
      </c>
      <c r="M1843" s="6" t="s">
        <v>30</v>
      </c>
      <c r="N1843" s="6" t="str">
        <f>VLOOKUP(M1843,'Excursion Cause'!$A$1:$B$34,2,FALSE)</f>
        <v>Grease Blockage</v>
      </c>
      <c r="O1843" s="26">
        <v>44860.0</v>
      </c>
      <c r="P1843" s="6" t="s">
        <v>2024</v>
      </c>
      <c r="Q1843" s="26">
        <v>44860.0</v>
      </c>
      <c r="R1843" s="6" t="s">
        <v>187</v>
      </c>
      <c r="S1843" s="20">
        <v>1.0</v>
      </c>
      <c r="T1843" s="6" t="s">
        <v>33</v>
      </c>
      <c r="U1843" s="6"/>
      <c r="V1843" s="6"/>
      <c r="W1843" s="6">
        <v>29.7997856</v>
      </c>
      <c r="X1843" s="6">
        <v>-95.5213381</v>
      </c>
    </row>
    <row r="1844" ht="15.75" customHeight="1">
      <c r="A1844" s="6">
        <v>49762.0</v>
      </c>
      <c r="B1844" s="6">
        <v>2022.0</v>
      </c>
      <c r="C1844" s="6" t="str">
        <f t="shared" si="5"/>
        <v>8037 OAK KNOLL LN,Houston,Texas</v>
      </c>
      <c r="D1844" s="6" t="s">
        <v>3274</v>
      </c>
      <c r="E1844" s="6" t="s">
        <v>25</v>
      </c>
      <c r="F1844" s="6" t="s">
        <v>26</v>
      </c>
      <c r="G1844" s="6" t="s">
        <v>177</v>
      </c>
      <c r="H1844" s="6" t="s">
        <v>50</v>
      </c>
      <c r="I1844" s="6" t="str">
        <f>VLOOKUP(H1844,'Flow Location'!$A$1:$B$21,2,FALSE)</f>
        <v>Contained On Site, not within 5 ft. of Bayou/Surface Water/Drainage Ditch</v>
      </c>
      <c r="J1844" s="20">
        <v>0.0</v>
      </c>
      <c r="K1844" s="6" t="s">
        <v>45</v>
      </c>
      <c r="L1844" s="6" t="str">
        <f>VLOOKUP(K1844,'Structure type'!$A$1:$B$15,2,FALSE)</f>
        <v>City Cleanout</v>
      </c>
      <c r="M1844" s="6" t="s">
        <v>56</v>
      </c>
      <c r="N1844" s="6" t="str">
        <f>VLOOKUP(M1844,'Excursion Cause'!$A$1:$B$34,2,FALSE)</f>
        <v>Rags/Wipes</v>
      </c>
      <c r="O1844" s="26">
        <v>44861.0</v>
      </c>
      <c r="P1844" s="6" t="s">
        <v>192</v>
      </c>
      <c r="Q1844" s="26">
        <v>44861.0</v>
      </c>
      <c r="R1844" s="6" t="s">
        <v>1258</v>
      </c>
      <c r="S1844" s="20">
        <v>0.0</v>
      </c>
      <c r="T1844" s="6" t="s">
        <v>74</v>
      </c>
      <c r="U1844" s="6"/>
      <c r="V1844" s="6"/>
      <c r="W1844" s="6">
        <v>29.8399238</v>
      </c>
      <c r="X1844" s="6">
        <v>-95.2805216</v>
      </c>
    </row>
    <row r="1845" ht="15.75" customHeight="1">
      <c r="A1845" s="6">
        <v>49763.0</v>
      </c>
      <c r="B1845" s="6">
        <v>2022.0</v>
      </c>
      <c r="C1845" s="6" t="str">
        <f t="shared" si="5"/>
        <v>8227 SUMMER QUAIL DR,Houston,Texas</v>
      </c>
      <c r="D1845" s="6" t="s">
        <v>3275</v>
      </c>
      <c r="E1845" s="6" t="s">
        <v>25</v>
      </c>
      <c r="F1845" s="6" t="s">
        <v>26</v>
      </c>
      <c r="G1845" s="6" t="s">
        <v>166</v>
      </c>
      <c r="H1845" s="6" t="s">
        <v>50</v>
      </c>
      <c r="I1845" s="6" t="str">
        <f>VLOOKUP(H1845,'Flow Location'!$A$1:$B$21,2,FALSE)</f>
        <v>Contained On Site, not within 5 ft. of Bayou/Surface Water/Drainage Ditch</v>
      </c>
      <c r="J1845" s="20">
        <v>0.0</v>
      </c>
      <c r="K1845" s="6" t="s">
        <v>29</v>
      </c>
      <c r="L1845" s="6" t="str">
        <f>VLOOKUP(K1845,'Structure type'!$A$1:$B$15,2,FALSE)</f>
        <v>Manhole</v>
      </c>
      <c r="M1845" s="6" t="s">
        <v>30</v>
      </c>
      <c r="N1845" s="6" t="str">
        <f>VLOOKUP(M1845,'Excursion Cause'!$A$1:$B$34,2,FALSE)</f>
        <v>Grease Blockage</v>
      </c>
      <c r="O1845" s="26">
        <v>44861.0</v>
      </c>
      <c r="P1845" s="6" t="s">
        <v>1101</v>
      </c>
      <c r="Q1845" s="26">
        <v>44861.0</v>
      </c>
      <c r="R1845" s="6" t="s">
        <v>169</v>
      </c>
      <c r="S1845" s="20">
        <v>0.0</v>
      </c>
      <c r="T1845" s="6" t="s">
        <v>59</v>
      </c>
      <c r="U1845" s="6"/>
      <c r="V1845" s="6"/>
      <c r="W1845" s="6">
        <v>29.5867375</v>
      </c>
      <c r="X1845" s="6">
        <v>-95.512634</v>
      </c>
    </row>
    <row r="1846" ht="15.75" customHeight="1">
      <c r="A1846" s="6">
        <v>49771.0</v>
      </c>
      <c r="B1846" s="6">
        <v>2022.0</v>
      </c>
      <c r="C1846" s="6" t="str">
        <f t="shared" si="5"/>
        <v>777 COOLWOOD DR,Houston,Texas</v>
      </c>
      <c r="D1846" s="6" t="s">
        <v>1328</v>
      </c>
      <c r="E1846" s="6" t="s">
        <v>25</v>
      </c>
      <c r="F1846" s="6" t="s">
        <v>26</v>
      </c>
      <c r="G1846" s="6" t="s">
        <v>656</v>
      </c>
      <c r="H1846" s="6" t="s">
        <v>1724</v>
      </c>
      <c r="I1846" s="6" t="str">
        <f>VLOOKUP(H1846,'Flow Location'!$A$1:$B$21,2,FALSE)</f>
        <v>Storm Sewer (not contained)</v>
      </c>
      <c r="J1846" s="20">
        <v>160.0</v>
      </c>
      <c r="K1846" s="6" t="s">
        <v>29</v>
      </c>
      <c r="L1846" s="6" t="str">
        <f>VLOOKUP(K1846,'Structure type'!$A$1:$B$15,2,FALSE)</f>
        <v>Manhole</v>
      </c>
      <c r="M1846" s="6" t="s">
        <v>3194</v>
      </c>
      <c r="N1846" s="6" t="str">
        <f>VLOOKUP(M1846,'Excursion Cause'!$A$1:$B$34,2,FALSE)</f>
        <v>Grease Blockage</v>
      </c>
      <c r="O1846" s="26">
        <v>44862.0</v>
      </c>
      <c r="P1846" s="6" t="s">
        <v>791</v>
      </c>
      <c r="Q1846" s="26">
        <v>44862.0</v>
      </c>
      <c r="R1846" s="6" t="s">
        <v>1128</v>
      </c>
      <c r="S1846" s="20">
        <v>2.0</v>
      </c>
      <c r="T1846" s="6" t="s">
        <v>3208</v>
      </c>
      <c r="U1846" s="6"/>
      <c r="V1846" s="6"/>
      <c r="W1846" s="6">
        <v>29.776617</v>
      </c>
      <c r="X1846" s="6">
        <v>-95.2233541</v>
      </c>
    </row>
    <row r="1847" ht="15.75" customHeight="1">
      <c r="A1847" s="6">
        <v>49775.0</v>
      </c>
      <c r="B1847" s="6">
        <v>2022.0</v>
      </c>
      <c r="C1847" s="6" t="str">
        <f t="shared" si="5"/>
        <v>10145 FRIENDLY RD,Houston,Texas</v>
      </c>
      <c r="D1847" s="6" t="s">
        <v>3276</v>
      </c>
      <c r="E1847" s="6" t="s">
        <v>25</v>
      </c>
      <c r="F1847" s="6" t="s">
        <v>26</v>
      </c>
      <c r="G1847" s="6" t="s">
        <v>109</v>
      </c>
      <c r="H1847" s="6" t="s">
        <v>50</v>
      </c>
      <c r="I1847" s="6" t="str">
        <f>VLOOKUP(H1847,'Flow Location'!$A$1:$B$21,2,FALSE)</f>
        <v>Contained On Site, not within 5 ft. of Bayou/Surface Water/Drainage Ditch</v>
      </c>
      <c r="J1847" s="20">
        <v>0.0</v>
      </c>
      <c r="K1847" s="6" t="s">
        <v>198</v>
      </c>
      <c r="L1847" s="6" t="str">
        <f>VLOOKUP(K1847,'Structure type'!$A$1:$B$15,2,FALSE)</f>
        <v>Service Lateral</v>
      </c>
      <c r="M1847" s="6" t="s">
        <v>81</v>
      </c>
      <c r="N1847" s="6" t="str">
        <f>VLOOKUP(M1847,'Excursion Cause'!$A$1:$B$34,2,FALSE)</f>
        <v>Collection system structural failure</v>
      </c>
      <c r="O1847" s="26">
        <v>44862.0</v>
      </c>
      <c r="P1847" s="6" t="s">
        <v>1184</v>
      </c>
      <c r="Q1847" s="26">
        <v>44862.0</v>
      </c>
      <c r="R1847" s="6" t="s">
        <v>427</v>
      </c>
      <c r="S1847" s="20">
        <v>0.0</v>
      </c>
      <c r="T1847" s="6" t="s">
        <v>54</v>
      </c>
      <c r="U1847" s="6"/>
      <c r="V1847" s="6"/>
      <c r="W1847" s="6">
        <v>29.8576365</v>
      </c>
      <c r="X1847" s="6">
        <v>-95.3278355</v>
      </c>
    </row>
    <row r="1848" ht="15.75" customHeight="1">
      <c r="A1848" s="6">
        <v>49778.0</v>
      </c>
      <c r="B1848" s="6">
        <v>2022.0</v>
      </c>
      <c r="C1848" s="6" t="str">
        <f t="shared" si="5"/>
        <v>9310 LONG POINT RD,Houston,Texas</v>
      </c>
      <c r="D1848" s="6" t="s">
        <v>1348</v>
      </c>
      <c r="E1848" s="6" t="s">
        <v>25</v>
      </c>
      <c r="F1848" s="6" t="s">
        <v>26</v>
      </c>
      <c r="G1848" s="6" t="s">
        <v>27</v>
      </c>
      <c r="H1848" s="6" t="s">
        <v>1397</v>
      </c>
      <c r="I1848" s="6" t="str">
        <f>VLOOKUP(H1848,'Flow Location'!$A$1:$B$21,2,FALSE)</f>
        <v>Bayou/surface water/drainage ditch</v>
      </c>
      <c r="J1848" s="20">
        <v>204.0</v>
      </c>
      <c r="K1848" s="6" t="s">
        <v>29</v>
      </c>
      <c r="L1848" s="6" t="str">
        <f>VLOOKUP(K1848,'Structure type'!$A$1:$B$15,2,FALSE)</f>
        <v>Manhole</v>
      </c>
      <c r="M1848" s="6" t="s">
        <v>30</v>
      </c>
      <c r="N1848" s="6" t="str">
        <f>VLOOKUP(M1848,'Excursion Cause'!$A$1:$B$34,2,FALSE)</f>
        <v>Grease Blockage</v>
      </c>
      <c r="O1848" s="26">
        <v>44862.0</v>
      </c>
      <c r="P1848" s="6" t="s">
        <v>215</v>
      </c>
      <c r="Q1848" s="26">
        <v>44862.0</v>
      </c>
      <c r="R1848" s="6" t="s">
        <v>2473</v>
      </c>
      <c r="S1848" s="20">
        <v>1.0</v>
      </c>
      <c r="T1848" s="6" t="s">
        <v>33</v>
      </c>
      <c r="U1848" s="6"/>
      <c r="V1848" s="6"/>
      <c r="W1848" s="6">
        <v>29.7997856</v>
      </c>
      <c r="X1848" s="6">
        <v>-95.5213381</v>
      </c>
    </row>
    <row r="1849" ht="15.75" customHeight="1">
      <c r="A1849" s="6">
        <v>49780.0</v>
      </c>
      <c r="B1849" s="6">
        <v>2022.0</v>
      </c>
      <c r="C1849" s="6" t="str">
        <f t="shared" si="5"/>
        <v>3471 LOCKE LN,Houston,Texas</v>
      </c>
      <c r="D1849" s="6" t="s">
        <v>3277</v>
      </c>
      <c r="E1849" s="6" t="s">
        <v>25</v>
      </c>
      <c r="F1849" s="6" t="s">
        <v>26</v>
      </c>
      <c r="G1849" s="6" t="s">
        <v>1621</v>
      </c>
      <c r="H1849" s="6" t="s">
        <v>50</v>
      </c>
      <c r="I1849" s="6" t="str">
        <f>VLOOKUP(H1849,'Flow Location'!$A$1:$B$21,2,FALSE)</f>
        <v>Contained On Site, not within 5 ft. of Bayou/Surface Water/Drainage Ditch</v>
      </c>
      <c r="J1849" s="20">
        <v>0.0</v>
      </c>
      <c r="K1849" s="6" t="s">
        <v>29</v>
      </c>
      <c r="L1849" s="6" t="str">
        <f>VLOOKUP(K1849,'Structure type'!$A$1:$B$15,2,FALSE)</f>
        <v>Manhole</v>
      </c>
      <c r="M1849" s="6" t="s">
        <v>30</v>
      </c>
      <c r="N1849" s="6" t="str">
        <f>VLOOKUP(M1849,'Excursion Cause'!$A$1:$B$34,2,FALSE)</f>
        <v>Grease Blockage</v>
      </c>
      <c r="O1849" s="26">
        <v>44862.0</v>
      </c>
      <c r="P1849" s="6" t="s">
        <v>3278</v>
      </c>
      <c r="Q1849" s="26">
        <v>44862.0</v>
      </c>
      <c r="R1849" s="6" t="s">
        <v>2167</v>
      </c>
      <c r="S1849" s="20">
        <v>0.0</v>
      </c>
      <c r="T1849" s="6" t="s">
        <v>33</v>
      </c>
      <c r="U1849" s="6"/>
      <c r="V1849" s="6"/>
      <c r="W1849" s="6">
        <v>29.7421109</v>
      </c>
      <c r="X1849" s="6">
        <v>-95.4327686</v>
      </c>
    </row>
    <row r="1850" ht="15.75" customHeight="1">
      <c r="A1850" s="6">
        <v>49786.0</v>
      </c>
      <c r="B1850" s="6">
        <v>2022.0</v>
      </c>
      <c r="C1850" s="6" t="str">
        <f t="shared" si="5"/>
        <v>3712 S SHEPHERD DR,Houston,Texas</v>
      </c>
      <c r="D1850" s="6" t="s">
        <v>3279</v>
      </c>
      <c r="E1850" s="6" t="s">
        <v>25</v>
      </c>
      <c r="F1850" s="6" t="s">
        <v>26</v>
      </c>
      <c r="G1850" s="6" t="s">
        <v>112</v>
      </c>
      <c r="H1850" s="6" t="s">
        <v>50</v>
      </c>
      <c r="I1850" s="6" t="str">
        <f>VLOOKUP(H1850,'Flow Location'!$A$1:$B$21,2,FALSE)</f>
        <v>Contained On Site, not within 5 ft. of Bayou/Surface Water/Drainage Ditch</v>
      </c>
      <c r="J1850" s="20">
        <v>0.0</v>
      </c>
      <c r="K1850" s="6" t="s">
        <v>782</v>
      </c>
      <c r="L1850" s="6" t="str">
        <f>VLOOKUP(K1850,'Structure type'!$A$1:$B$15,2,FALSE)</f>
        <v>Private Sample Well</v>
      </c>
      <c r="M1850" s="6" t="s">
        <v>30</v>
      </c>
      <c r="N1850" s="6" t="str">
        <f>VLOOKUP(M1850,'Excursion Cause'!$A$1:$B$34,2,FALSE)</f>
        <v>Grease Blockage</v>
      </c>
      <c r="O1850" s="26">
        <v>44864.0</v>
      </c>
      <c r="P1850" s="6" t="s">
        <v>3280</v>
      </c>
      <c r="Q1850" s="26">
        <v>44864.0</v>
      </c>
      <c r="R1850" s="6" t="s">
        <v>2087</v>
      </c>
      <c r="S1850" s="20">
        <v>0.0</v>
      </c>
      <c r="T1850" s="6" t="s">
        <v>59</v>
      </c>
      <c r="U1850" s="6"/>
      <c r="V1850" s="6"/>
      <c r="W1850" s="6">
        <v>29.7328902</v>
      </c>
      <c r="X1850" s="6">
        <v>-95.4110089</v>
      </c>
    </row>
    <row r="1851" ht="15.75" customHeight="1">
      <c r="A1851" s="6">
        <v>49790.0</v>
      </c>
      <c r="B1851" s="6">
        <v>2022.0</v>
      </c>
      <c r="C1851" s="6" t="str">
        <f t="shared" si="5"/>
        <v>6018 HIGH STAR DR,Houston,Texas</v>
      </c>
      <c r="D1851" s="6" t="s">
        <v>3281</v>
      </c>
      <c r="E1851" s="6" t="s">
        <v>25</v>
      </c>
      <c r="F1851" s="6" t="s">
        <v>26</v>
      </c>
      <c r="G1851" s="6" t="s">
        <v>287</v>
      </c>
      <c r="H1851" s="6" t="s">
        <v>50</v>
      </c>
      <c r="I1851" s="6" t="str">
        <f>VLOOKUP(H1851,'Flow Location'!$A$1:$B$21,2,FALSE)</f>
        <v>Contained On Site, not within 5 ft. of Bayou/Surface Water/Drainage Ditch</v>
      </c>
      <c r="J1851" s="20">
        <v>0.0</v>
      </c>
      <c r="K1851" s="6" t="s">
        <v>29</v>
      </c>
      <c r="L1851" s="6" t="str">
        <f>VLOOKUP(K1851,'Structure type'!$A$1:$B$15,2,FALSE)</f>
        <v>Manhole</v>
      </c>
      <c r="M1851" s="6" t="s">
        <v>30</v>
      </c>
      <c r="N1851" s="6" t="str">
        <f>VLOOKUP(M1851,'Excursion Cause'!$A$1:$B$34,2,FALSE)</f>
        <v>Grease Blockage</v>
      </c>
      <c r="O1851" s="26">
        <v>44865.0</v>
      </c>
      <c r="P1851" s="6" t="s">
        <v>2197</v>
      </c>
      <c r="Q1851" s="26">
        <v>44865.0</v>
      </c>
      <c r="R1851" s="6" t="s">
        <v>1669</v>
      </c>
      <c r="S1851" s="20">
        <v>0.0</v>
      </c>
      <c r="T1851" s="6" t="s">
        <v>59</v>
      </c>
      <c r="U1851" s="6"/>
      <c r="V1851" s="6"/>
      <c r="W1851" s="6">
        <v>29.7120885</v>
      </c>
      <c r="X1851" s="6">
        <v>-95.4878589</v>
      </c>
    </row>
    <row r="1852" ht="15.75" customHeight="1">
      <c r="A1852" s="6">
        <v>49792.0</v>
      </c>
      <c r="B1852" s="6">
        <v>2022.0</v>
      </c>
      <c r="C1852" s="6" t="str">
        <f t="shared" si="5"/>
        <v>11150 BEECHNUT ST,Houston,Texas</v>
      </c>
      <c r="D1852" s="6" t="s">
        <v>1442</v>
      </c>
      <c r="E1852" s="6" t="s">
        <v>25</v>
      </c>
      <c r="F1852" s="6" t="s">
        <v>26</v>
      </c>
      <c r="G1852" s="6" t="s">
        <v>91</v>
      </c>
      <c r="H1852" s="6" t="s">
        <v>50</v>
      </c>
      <c r="I1852" s="6" t="str">
        <f>VLOOKUP(H1852,'Flow Location'!$A$1:$B$21,2,FALSE)</f>
        <v>Contained On Site, not within 5 ft. of Bayou/Surface Water/Drainage Ditch</v>
      </c>
      <c r="J1852" s="20">
        <v>10.0</v>
      </c>
      <c r="K1852" s="6" t="s">
        <v>45</v>
      </c>
      <c r="L1852" s="6" t="str">
        <f>VLOOKUP(K1852,'Structure type'!$A$1:$B$15,2,FALSE)</f>
        <v>City Cleanout</v>
      </c>
      <c r="M1852" s="6" t="s">
        <v>30</v>
      </c>
      <c r="N1852" s="6" t="str">
        <f>VLOOKUP(M1852,'Excursion Cause'!$A$1:$B$34,2,FALSE)</f>
        <v>Grease Blockage</v>
      </c>
      <c r="O1852" s="26">
        <v>44865.0</v>
      </c>
      <c r="P1852" s="6" t="s">
        <v>580</v>
      </c>
      <c r="Q1852" s="26">
        <v>44865.0</v>
      </c>
      <c r="R1852" s="6" t="s">
        <v>93</v>
      </c>
      <c r="S1852" s="20">
        <v>0.0</v>
      </c>
      <c r="T1852" s="6" t="s">
        <v>59</v>
      </c>
      <c r="U1852" s="6"/>
      <c r="V1852" s="6"/>
      <c r="W1852" s="6">
        <v>29.6883639</v>
      </c>
      <c r="X1852" s="6">
        <v>-95.5738298</v>
      </c>
    </row>
    <row r="1853" ht="15.75" customHeight="1">
      <c r="A1853" s="6">
        <v>49794.0</v>
      </c>
      <c r="B1853" s="6">
        <v>2022.0</v>
      </c>
      <c r="C1853" s="6" t="str">
        <f t="shared" si="5"/>
        <v>10201 MAIN ST,Houston,Texas</v>
      </c>
      <c r="D1853" s="6" t="s">
        <v>3282</v>
      </c>
      <c r="E1853" s="6" t="s">
        <v>25</v>
      </c>
      <c r="F1853" s="6" t="s">
        <v>26</v>
      </c>
      <c r="G1853" s="6" t="s">
        <v>65</v>
      </c>
      <c r="H1853" s="6" t="s">
        <v>1724</v>
      </c>
      <c r="I1853" s="6" t="str">
        <f>VLOOKUP(H1853,'Flow Location'!$A$1:$B$21,2,FALSE)</f>
        <v>Storm Sewer (not contained)</v>
      </c>
      <c r="J1853" s="20">
        <v>496.0</v>
      </c>
      <c r="K1853" s="6" t="s">
        <v>29</v>
      </c>
      <c r="L1853" s="6" t="str">
        <f>VLOOKUP(K1853,'Structure type'!$A$1:$B$15,2,FALSE)</f>
        <v>Manhole</v>
      </c>
      <c r="M1853" s="6" t="s">
        <v>3194</v>
      </c>
      <c r="N1853" s="6" t="str">
        <f>VLOOKUP(M1853,'Excursion Cause'!$A$1:$B$34,2,FALSE)</f>
        <v>Grease Blockage</v>
      </c>
      <c r="O1853" s="26">
        <v>44865.0</v>
      </c>
      <c r="P1853" s="6" t="s">
        <v>678</v>
      </c>
      <c r="Q1853" s="26">
        <v>44865.0</v>
      </c>
      <c r="R1853" s="6" t="s">
        <v>3120</v>
      </c>
      <c r="S1853" s="20">
        <v>2.0</v>
      </c>
      <c r="T1853" s="6" t="s">
        <v>3208</v>
      </c>
      <c r="U1853" s="6"/>
      <c r="V1853" s="6"/>
      <c r="W1853" s="6">
        <v>29.6728394</v>
      </c>
      <c r="X1853" s="6">
        <v>-95.4276981</v>
      </c>
    </row>
    <row r="1854" ht="15.75" customHeight="1">
      <c r="A1854" s="6">
        <v>49799.0</v>
      </c>
      <c r="B1854" s="6">
        <v>2022.0</v>
      </c>
      <c r="C1854" s="6" t="str">
        <f t="shared" si="5"/>
        <v>8447 PARK PLACE BLVD,Houston,Texas</v>
      </c>
      <c r="D1854" s="6" t="s">
        <v>3272</v>
      </c>
      <c r="E1854" s="6" t="s">
        <v>25</v>
      </c>
      <c r="F1854" s="6" t="s">
        <v>26</v>
      </c>
      <c r="G1854" s="6" t="s">
        <v>135</v>
      </c>
      <c r="H1854" s="6" t="s">
        <v>1724</v>
      </c>
      <c r="I1854" s="6" t="str">
        <f>VLOOKUP(H1854,'Flow Location'!$A$1:$B$21,2,FALSE)</f>
        <v>Storm Sewer (not contained)</v>
      </c>
      <c r="J1854" s="20">
        <v>506.0</v>
      </c>
      <c r="K1854" s="6" t="s">
        <v>45</v>
      </c>
      <c r="L1854" s="6" t="str">
        <f>VLOOKUP(K1854,'Structure type'!$A$1:$B$15,2,FALSE)</f>
        <v>City Cleanout</v>
      </c>
      <c r="M1854" s="6" t="s">
        <v>56</v>
      </c>
      <c r="N1854" s="6" t="str">
        <f>VLOOKUP(M1854,'Excursion Cause'!$A$1:$B$34,2,FALSE)</f>
        <v>Rags/Wipes</v>
      </c>
      <c r="O1854" s="26">
        <v>44865.0</v>
      </c>
      <c r="P1854" s="6" t="s">
        <v>1027</v>
      </c>
      <c r="Q1854" s="26">
        <v>44865.0</v>
      </c>
      <c r="R1854" s="6" t="s">
        <v>637</v>
      </c>
      <c r="S1854" s="20">
        <v>2.0</v>
      </c>
      <c r="T1854" s="6" t="s">
        <v>3235</v>
      </c>
      <c r="U1854" s="6"/>
      <c r="V1854" s="6"/>
      <c r="W1854" s="6">
        <v>29.6946864</v>
      </c>
      <c r="X1854" s="6">
        <v>-95.2658931</v>
      </c>
    </row>
    <row r="1855" ht="15.75" customHeight="1">
      <c r="A1855" s="6">
        <v>49806.0</v>
      </c>
      <c r="B1855" s="6">
        <v>2022.0</v>
      </c>
      <c r="C1855" s="6" t="str">
        <f t="shared" si="5"/>
        <v>2900 TRAVIS ST,Houston,Texas</v>
      </c>
      <c r="D1855" s="6" t="s">
        <v>3283</v>
      </c>
      <c r="E1855" s="6" t="s">
        <v>25</v>
      </c>
      <c r="F1855" s="6" t="s">
        <v>26</v>
      </c>
      <c r="G1855" s="6" t="s">
        <v>761</v>
      </c>
      <c r="H1855" s="6" t="s">
        <v>1397</v>
      </c>
      <c r="I1855" s="6" t="str">
        <f>VLOOKUP(H1855,'Flow Location'!$A$1:$B$21,2,FALSE)</f>
        <v>Bayou/surface water/drainage ditch</v>
      </c>
      <c r="J1855" s="20">
        <v>0.0</v>
      </c>
      <c r="K1855" s="6" t="s">
        <v>29</v>
      </c>
      <c r="L1855" s="6" t="str">
        <f>VLOOKUP(K1855,'Structure type'!$A$1:$B$15,2,FALSE)</f>
        <v>Manhole</v>
      </c>
      <c r="M1855" s="6" t="s">
        <v>30</v>
      </c>
      <c r="N1855" s="6" t="str">
        <f>VLOOKUP(M1855,'Excursion Cause'!$A$1:$B$34,2,FALSE)</f>
        <v>Grease Blockage</v>
      </c>
      <c r="O1855" s="26">
        <v>44865.0</v>
      </c>
      <c r="P1855" s="6" t="s">
        <v>420</v>
      </c>
      <c r="Q1855" s="26">
        <v>44865.0</v>
      </c>
      <c r="R1855" s="6" t="s">
        <v>242</v>
      </c>
      <c r="S1855" s="20">
        <v>0.0</v>
      </c>
      <c r="T1855" s="6" t="s">
        <v>59</v>
      </c>
      <c r="U1855" s="6"/>
      <c r="V1855" s="6"/>
      <c r="W1855" s="6">
        <v>29.7437558</v>
      </c>
      <c r="X1855" s="6">
        <v>-95.3771472</v>
      </c>
    </row>
    <row r="1856" ht="15.75" customHeight="1">
      <c r="A1856" s="6">
        <v>49811.0</v>
      </c>
      <c r="B1856" s="6">
        <v>2022.0</v>
      </c>
      <c r="C1856" s="6" t="str">
        <f t="shared" si="5"/>
        <v>13001 NYACK DR,Houston,TX</v>
      </c>
      <c r="D1856" s="6" t="s">
        <v>3284</v>
      </c>
      <c r="E1856" s="6" t="s">
        <v>25</v>
      </c>
      <c r="F1856" s="6" t="s">
        <v>1388</v>
      </c>
      <c r="G1856" s="6" t="s">
        <v>477</v>
      </c>
      <c r="H1856" s="6" t="s">
        <v>28</v>
      </c>
      <c r="I1856" s="6" t="str">
        <f>VLOOKUP(H1856,'Flow Location'!$A$1:$B$21,2,FALSE)</f>
        <v>Storm Sewer (not contained)</v>
      </c>
      <c r="J1856" s="20">
        <v>252.0</v>
      </c>
      <c r="K1856" s="6" t="s">
        <v>29</v>
      </c>
      <c r="L1856" s="6" t="str">
        <f>VLOOKUP(K1856,'Structure type'!$A$1:$B$15,2,FALSE)</f>
        <v>Manhole</v>
      </c>
      <c r="M1856" s="6" t="s">
        <v>30</v>
      </c>
      <c r="N1856" s="6" t="str">
        <f>VLOOKUP(M1856,'Excursion Cause'!$A$1:$B$34,2,FALSE)</f>
        <v>Grease Blockage</v>
      </c>
      <c r="O1856" s="26">
        <v>44866.0</v>
      </c>
      <c r="P1856" s="27">
        <v>0.36944444444444446</v>
      </c>
      <c r="Q1856" s="26">
        <v>44866.0</v>
      </c>
      <c r="R1856" s="27">
        <v>0.45694444444444443</v>
      </c>
      <c r="S1856" s="20">
        <v>2.0</v>
      </c>
      <c r="T1856" s="6" t="s">
        <v>59</v>
      </c>
      <c r="U1856" s="6"/>
      <c r="V1856" s="6"/>
      <c r="W1856" s="6">
        <v>29.5958104</v>
      </c>
      <c r="X1856" s="6">
        <v>-95.1958547</v>
      </c>
    </row>
    <row r="1857" ht="15.75" customHeight="1">
      <c r="A1857" s="6">
        <v>49814.0</v>
      </c>
      <c r="B1857" s="6">
        <v>2022.0</v>
      </c>
      <c r="C1857" s="6" t="str">
        <f t="shared" si="5"/>
        <v>9501 LONG POINT RD,Houston,TX</v>
      </c>
      <c r="D1857" s="6" t="s">
        <v>3205</v>
      </c>
      <c r="E1857" s="6" t="s">
        <v>25</v>
      </c>
      <c r="F1857" s="6" t="s">
        <v>1388</v>
      </c>
      <c r="G1857" s="6" t="s">
        <v>27</v>
      </c>
      <c r="H1857" s="6" t="s">
        <v>28</v>
      </c>
      <c r="I1857" s="6" t="str">
        <f>VLOOKUP(H1857,'Flow Location'!$A$1:$B$21,2,FALSE)</f>
        <v>Storm Sewer (not contained)</v>
      </c>
      <c r="J1857" s="20">
        <v>0.0</v>
      </c>
      <c r="K1857" s="6" t="s">
        <v>45</v>
      </c>
      <c r="L1857" s="6" t="str">
        <f>VLOOKUP(K1857,'Structure type'!$A$1:$B$15,2,FALSE)</f>
        <v>City Cleanout</v>
      </c>
      <c r="M1857" s="6" t="s">
        <v>56</v>
      </c>
      <c r="N1857" s="6" t="str">
        <f>VLOOKUP(M1857,'Excursion Cause'!$A$1:$B$34,2,FALSE)</f>
        <v>Rags/Wipes</v>
      </c>
      <c r="O1857" s="26">
        <v>44866.0</v>
      </c>
      <c r="P1857" s="27">
        <v>0.4305555555555556</v>
      </c>
      <c r="Q1857" s="26">
        <v>44866.0</v>
      </c>
      <c r="R1857" s="27">
        <v>0.43125</v>
      </c>
      <c r="S1857" s="20">
        <v>0.0</v>
      </c>
      <c r="T1857" s="6" t="s">
        <v>170</v>
      </c>
      <c r="U1857" s="6"/>
      <c r="V1857" s="6"/>
      <c r="W1857" s="6">
        <v>29.7967482</v>
      </c>
      <c r="X1857" s="6">
        <v>-95.526339</v>
      </c>
    </row>
    <row r="1858" ht="15.75" customHeight="1">
      <c r="A1858" s="6">
        <v>49815.0</v>
      </c>
      <c r="B1858" s="6">
        <v>2022.0</v>
      </c>
      <c r="C1858" s="6" t="str">
        <f t="shared" si="5"/>
        <v>6730 HENDON LN,Houston,TX</v>
      </c>
      <c r="D1858" s="6" t="s">
        <v>3285</v>
      </c>
      <c r="E1858" s="6" t="s">
        <v>25</v>
      </c>
      <c r="F1858" s="6" t="s">
        <v>1388</v>
      </c>
      <c r="G1858" s="6" t="s">
        <v>471</v>
      </c>
      <c r="H1858" s="6" t="s">
        <v>50</v>
      </c>
      <c r="I1858" s="6" t="str">
        <f>VLOOKUP(H1858,'Flow Location'!$A$1:$B$21,2,FALSE)</f>
        <v>Contained On Site, not within 5 ft. of Bayou/Surface Water/Drainage Ditch</v>
      </c>
      <c r="J1858" s="20">
        <v>0.0</v>
      </c>
      <c r="K1858" s="6" t="s">
        <v>51</v>
      </c>
      <c r="L1858" s="6" t="str">
        <f>VLOOKUP(K1858,'Structure type'!$A$1:$B$15,2,FALSE)</f>
        <v>Private Cleanout</v>
      </c>
      <c r="M1858" s="6" t="s">
        <v>30</v>
      </c>
      <c r="N1858" s="6" t="str">
        <f>VLOOKUP(M1858,'Excursion Cause'!$A$1:$B$34,2,FALSE)</f>
        <v>Grease Blockage</v>
      </c>
      <c r="O1858" s="26">
        <v>44866.0</v>
      </c>
      <c r="P1858" s="27">
        <v>0.6333333333333333</v>
      </c>
      <c r="Q1858" s="26">
        <v>44866.0</v>
      </c>
      <c r="R1858" s="27">
        <v>0.6340277777777777</v>
      </c>
      <c r="S1858" s="20">
        <v>0.0</v>
      </c>
      <c r="T1858" s="6" t="s">
        <v>59</v>
      </c>
      <c r="U1858" s="6"/>
      <c r="V1858" s="6"/>
      <c r="W1858" s="6">
        <v>29.6942485</v>
      </c>
      <c r="X1858" s="6">
        <v>-95.5024287</v>
      </c>
    </row>
    <row r="1859" ht="15.75" customHeight="1">
      <c r="A1859" s="6">
        <v>49820.0</v>
      </c>
      <c r="B1859" s="6">
        <v>2022.0</v>
      </c>
      <c r="C1859" s="6" t="str">
        <f t="shared" si="5"/>
        <v>6927 INDIAN FALLS DR,Houston,TX</v>
      </c>
      <c r="D1859" s="6" t="s">
        <v>3286</v>
      </c>
      <c r="E1859" s="6" t="s">
        <v>25</v>
      </c>
      <c r="F1859" s="6" t="s">
        <v>1388</v>
      </c>
      <c r="G1859" s="6" t="s">
        <v>166</v>
      </c>
      <c r="H1859" s="6" t="s">
        <v>50</v>
      </c>
      <c r="I1859" s="6" t="str">
        <f>VLOOKUP(H1859,'Flow Location'!$A$1:$B$21,2,FALSE)</f>
        <v>Contained On Site, not within 5 ft. of Bayou/Surface Water/Drainage Ditch</v>
      </c>
      <c r="J1859" s="20">
        <v>0.0</v>
      </c>
      <c r="K1859" s="6" t="s">
        <v>198</v>
      </c>
      <c r="L1859" s="6" t="str">
        <f>VLOOKUP(K1859,'Structure type'!$A$1:$B$15,2,FALSE)</f>
        <v>Service Lateral</v>
      </c>
      <c r="M1859" s="6" t="s">
        <v>81</v>
      </c>
      <c r="N1859" s="6" t="str">
        <f>VLOOKUP(M1859,'Excursion Cause'!$A$1:$B$34,2,FALSE)</f>
        <v>Collection system structural failure</v>
      </c>
      <c r="O1859" s="26">
        <v>44866.0</v>
      </c>
      <c r="P1859" s="27">
        <v>0.3458333333333333</v>
      </c>
      <c r="Q1859" s="26">
        <v>44866.0</v>
      </c>
      <c r="R1859" s="27">
        <v>0.34652777777777777</v>
      </c>
      <c r="S1859" s="20">
        <v>0.0</v>
      </c>
      <c r="T1859" s="6" t="s">
        <v>89</v>
      </c>
      <c r="U1859" s="6"/>
      <c r="V1859" s="6"/>
      <c r="W1859" s="6">
        <v>29.5998478</v>
      </c>
      <c r="X1859" s="6">
        <v>-95.4909256</v>
      </c>
    </row>
    <row r="1860" ht="15.75" customHeight="1">
      <c r="A1860" s="6">
        <v>49828.0</v>
      </c>
      <c r="B1860" s="6">
        <v>2022.0</v>
      </c>
      <c r="C1860" s="6" t="str">
        <f t="shared" si="5"/>
        <v>12400 BROOKGLADE CIR,Houston,TX</v>
      </c>
      <c r="D1860" s="6" t="s">
        <v>3287</v>
      </c>
      <c r="E1860" s="6" t="s">
        <v>25</v>
      </c>
      <c r="F1860" s="6" t="s">
        <v>1388</v>
      </c>
      <c r="G1860" s="6" t="s">
        <v>154</v>
      </c>
      <c r="H1860" s="6" t="s">
        <v>28</v>
      </c>
      <c r="I1860" s="6" t="str">
        <f>VLOOKUP(H1860,'Flow Location'!$A$1:$B$21,2,FALSE)</f>
        <v>Storm Sewer (not contained)</v>
      </c>
      <c r="J1860" s="20">
        <v>708.0</v>
      </c>
      <c r="K1860" s="6" t="s">
        <v>290</v>
      </c>
      <c r="L1860" s="6" t="str">
        <f>VLOOKUP(K1860,'Structure type'!$A$1:$B$15,2,FALSE)</f>
        <v>Gravity Main</v>
      </c>
      <c r="M1860" s="6" t="s">
        <v>30</v>
      </c>
      <c r="N1860" s="6" t="str">
        <f>VLOOKUP(M1860,'Excursion Cause'!$A$1:$B$34,2,FALSE)</f>
        <v>Grease Blockage</v>
      </c>
      <c r="O1860" s="26">
        <v>44866.0</v>
      </c>
      <c r="P1860" s="27">
        <v>0.5798611111111112</v>
      </c>
      <c r="Q1860" s="26">
        <v>44867.0</v>
      </c>
      <c r="R1860" s="27">
        <v>0.5625</v>
      </c>
      <c r="S1860" s="20">
        <v>1.0</v>
      </c>
      <c r="T1860" s="6" t="s">
        <v>37</v>
      </c>
      <c r="U1860" s="6"/>
      <c r="V1860" s="6"/>
      <c r="W1860" s="6">
        <v>29.6800927</v>
      </c>
      <c r="X1860" s="6">
        <v>-95.597381</v>
      </c>
    </row>
    <row r="1861" ht="15.75" customHeight="1">
      <c r="A1861" s="6">
        <v>49830.0</v>
      </c>
      <c r="B1861" s="6">
        <v>2022.0</v>
      </c>
      <c r="C1861" s="6" t="str">
        <f t="shared" si="5"/>
        <v>6538 SOUTH FWY,Houston,TX</v>
      </c>
      <c r="D1861" s="6" t="s">
        <v>3288</v>
      </c>
      <c r="E1861" s="6" t="s">
        <v>25</v>
      </c>
      <c r="F1861" s="6" t="s">
        <v>1388</v>
      </c>
      <c r="G1861" s="6" t="s">
        <v>238</v>
      </c>
      <c r="H1861" s="6" t="s">
        <v>28</v>
      </c>
      <c r="I1861" s="6" t="str">
        <f>VLOOKUP(H1861,'Flow Location'!$A$1:$B$21,2,FALSE)</f>
        <v>Storm Sewer (not contained)</v>
      </c>
      <c r="J1861" s="20">
        <v>0.0</v>
      </c>
      <c r="K1861" s="6" t="s">
        <v>29</v>
      </c>
      <c r="L1861" s="6" t="str">
        <f>VLOOKUP(K1861,'Structure type'!$A$1:$B$15,2,FALSE)</f>
        <v>Manhole</v>
      </c>
      <c r="M1861" s="6" t="s">
        <v>96</v>
      </c>
      <c r="N1861" s="6" t="str">
        <f>VLOOKUP(M1861,'Excursion Cause'!$A$1:$B$34,2,FALSE)</f>
        <v>Collection system temporary blockage</v>
      </c>
      <c r="O1861" s="26">
        <v>44867.0</v>
      </c>
      <c r="P1861" s="27">
        <v>0.35833333333333334</v>
      </c>
      <c r="Q1861" s="26">
        <v>44867.0</v>
      </c>
      <c r="R1861" s="27">
        <v>0.4027777777777778</v>
      </c>
      <c r="S1861" s="20">
        <v>0.0</v>
      </c>
      <c r="T1861" s="6" t="s">
        <v>59</v>
      </c>
      <c r="U1861" s="6"/>
      <c r="V1861" s="6"/>
      <c r="W1861" s="6">
        <v>29.7028689</v>
      </c>
      <c r="X1861" s="6">
        <v>-95.3757836</v>
      </c>
    </row>
    <row r="1862" ht="15.75" customHeight="1">
      <c r="A1862" s="6">
        <v>49831.0</v>
      </c>
      <c r="B1862" s="6">
        <v>2022.0</v>
      </c>
      <c r="C1862" s="6" t="str">
        <f t="shared" si="5"/>
        <v>8205 PEACHTREE ST,Houston,TX</v>
      </c>
      <c r="D1862" s="6" t="s">
        <v>3289</v>
      </c>
      <c r="E1862" s="6" t="s">
        <v>25</v>
      </c>
      <c r="F1862" s="6" t="s">
        <v>1388</v>
      </c>
      <c r="G1862" s="6" t="s">
        <v>326</v>
      </c>
      <c r="H1862" s="6" t="s">
        <v>44</v>
      </c>
      <c r="I1862" s="6" t="str">
        <f>VLOOKUP(H1862,'Flow Location'!$A$1:$B$21,2,FALSE)</f>
        <v>Bayou/surface water/drainage ditch</v>
      </c>
      <c r="J1862" s="20">
        <v>0.0</v>
      </c>
      <c r="K1862" s="6" t="s">
        <v>29</v>
      </c>
      <c r="L1862" s="6" t="str">
        <f>VLOOKUP(K1862,'Structure type'!$A$1:$B$15,2,FALSE)</f>
        <v>Manhole</v>
      </c>
      <c r="M1862" s="6" t="s">
        <v>30</v>
      </c>
      <c r="N1862" s="6" t="str">
        <f>VLOOKUP(M1862,'Excursion Cause'!$A$1:$B$34,2,FALSE)</f>
        <v>Grease Blockage</v>
      </c>
      <c r="O1862" s="26">
        <v>44867.0</v>
      </c>
      <c r="P1862" s="27">
        <v>0.3888888888888889</v>
      </c>
      <c r="Q1862" s="26">
        <v>44867.0</v>
      </c>
      <c r="R1862" s="27">
        <v>0.38958333333333334</v>
      </c>
      <c r="S1862" s="20">
        <v>0.0</v>
      </c>
      <c r="T1862" s="6" t="s">
        <v>59</v>
      </c>
      <c r="U1862" s="6"/>
      <c r="V1862" s="6"/>
      <c r="W1862" s="6">
        <v>29.8352325</v>
      </c>
      <c r="X1862" s="6">
        <v>-95.3155397</v>
      </c>
    </row>
    <row r="1863" ht="15.75" customHeight="1">
      <c r="A1863" s="6">
        <v>49835.0</v>
      </c>
      <c r="B1863" s="6">
        <v>2022.0</v>
      </c>
      <c r="C1863" s="6" t="str">
        <f t="shared" si="5"/>
        <v>9307 VICKIJOHN DR,Houston,TX</v>
      </c>
      <c r="D1863" s="6" t="s">
        <v>3290</v>
      </c>
      <c r="E1863" s="6" t="s">
        <v>25</v>
      </c>
      <c r="F1863" s="6" t="s">
        <v>1388</v>
      </c>
      <c r="G1863" s="6" t="s">
        <v>214</v>
      </c>
      <c r="H1863" s="6" t="s">
        <v>28</v>
      </c>
      <c r="I1863" s="6" t="str">
        <f>VLOOKUP(H1863,'Flow Location'!$A$1:$B$21,2,FALSE)</f>
        <v>Storm Sewer (not contained)</v>
      </c>
      <c r="J1863" s="20">
        <v>156.0</v>
      </c>
      <c r="K1863" s="6" t="s">
        <v>51</v>
      </c>
      <c r="L1863" s="6" t="str">
        <f>VLOOKUP(K1863,'Structure type'!$A$1:$B$15,2,FALSE)</f>
        <v>Private Cleanout</v>
      </c>
      <c r="M1863" s="6" t="s">
        <v>30</v>
      </c>
      <c r="N1863" s="6" t="str">
        <f>VLOOKUP(M1863,'Excursion Cause'!$A$1:$B$34,2,FALSE)</f>
        <v>Grease Blockage</v>
      </c>
      <c r="O1863" s="26">
        <v>44867.0</v>
      </c>
      <c r="P1863" s="27">
        <v>0.5076388888888889</v>
      </c>
      <c r="Q1863" s="26">
        <v>44867.0</v>
      </c>
      <c r="R1863" s="27">
        <v>0.5618055555555556</v>
      </c>
      <c r="S1863" s="20">
        <v>2.0</v>
      </c>
      <c r="T1863" s="6" t="s">
        <v>59</v>
      </c>
      <c r="U1863" s="6"/>
      <c r="V1863" s="6"/>
      <c r="W1863" s="6">
        <v>29.661128</v>
      </c>
      <c r="X1863" s="6">
        <v>-95.5412566</v>
      </c>
    </row>
    <row r="1864" ht="15.75" customHeight="1">
      <c r="A1864" s="6">
        <v>49836.0</v>
      </c>
      <c r="B1864" s="6">
        <v>2022.0</v>
      </c>
      <c r="C1864" s="6" t="str">
        <f t="shared" si="5"/>
        <v>6900 LAWNDALE ST,Houston,TX</v>
      </c>
      <c r="D1864" s="6" t="s">
        <v>3291</v>
      </c>
      <c r="E1864" s="6" t="s">
        <v>25</v>
      </c>
      <c r="F1864" s="6" t="s">
        <v>1388</v>
      </c>
      <c r="G1864" s="6" t="s">
        <v>141</v>
      </c>
      <c r="H1864" s="6" t="s">
        <v>50</v>
      </c>
      <c r="I1864" s="6" t="str">
        <f>VLOOKUP(H1864,'Flow Location'!$A$1:$B$21,2,FALSE)</f>
        <v>Contained On Site, not within 5 ft. of Bayou/Surface Water/Drainage Ditch</v>
      </c>
      <c r="J1864" s="20">
        <v>0.0</v>
      </c>
      <c r="K1864" s="6" t="s">
        <v>29</v>
      </c>
      <c r="L1864" s="6" t="str">
        <f>VLOOKUP(K1864,'Structure type'!$A$1:$B$15,2,FALSE)</f>
        <v>Manhole</v>
      </c>
      <c r="M1864" s="6" t="s">
        <v>30</v>
      </c>
      <c r="N1864" s="6" t="str">
        <f>VLOOKUP(M1864,'Excursion Cause'!$A$1:$B$34,2,FALSE)</f>
        <v>Grease Blockage</v>
      </c>
      <c r="O1864" s="26">
        <v>44867.0</v>
      </c>
      <c r="P1864" s="27">
        <v>0.5729166666666666</v>
      </c>
      <c r="Q1864" s="26">
        <v>44867.0</v>
      </c>
      <c r="R1864" s="27">
        <v>0.5736111111111111</v>
      </c>
      <c r="S1864" s="20">
        <v>0.0</v>
      </c>
      <c r="T1864" s="6" t="s">
        <v>59</v>
      </c>
      <c r="U1864" s="6"/>
      <c r="V1864" s="6"/>
      <c r="W1864" s="6">
        <v>29.7202661</v>
      </c>
      <c r="X1864" s="6">
        <v>-95.3051046</v>
      </c>
    </row>
    <row r="1865" ht="15.75" customHeight="1">
      <c r="A1865" s="6">
        <v>49838.0</v>
      </c>
      <c r="B1865" s="6">
        <v>2022.0</v>
      </c>
      <c r="C1865" s="6" t="str">
        <f t="shared" si="5"/>
        <v>10910 VILLAGE BEND LN,Houston,TX</v>
      </c>
      <c r="D1865" s="6" t="s">
        <v>3054</v>
      </c>
      <c r="E1865" s="6" t="s">
        <v>25</v>
      </c>
      <c r="F1865" s="6" t="s">
        <v>1388</v>
      </c>
      <c r="G1865" s="6" t="s">
        <v>91</v>
      </c>
      <c r="H1865" s="6" t="s">
        <v>50</v>
      </c>
      <c r="I1865" s="6" t="str">
        <f>VLOOKUP(H1865,'Flow Location'!$A$1:$B$21,2,FALSE)</f>
        <v>Contained On Site, not within 5 ft. of Bayou/Surface Water/Drainage Ditch</v>
      </c>
      <c r="J1865" s="20">
        <v>0.0</v>
      </c>
      <c r="K1865" s="6" t="s">
        <v>45</v>
      </c>
      <c r="L1865" s="6" t="str">
        <f>VLOOKUP(K1865,'Structure type'!$A$1:$B$15,2,FALSE)</f>
        <v>City Cleanout</v>
      </c>
      <c r="M1865" s="6" t="s">
        <v>30</v>
      </c>
      <c r="N1865" s="6" t="str">
        <f>VLOOKUP(M1865,'Excursion Cause'!$A$1:$B$34,2,FALSE)</f>
        <v>Grease Blockage</v>
      </c>
      <c r="O1865" s="26">
        <v>44867.0</v>
      </c>
      <c r="P1865" s="27">
        <v>0.46805555555555556</v>
      </c>
      <c r="Q1865" s="26">
        <v>44867.0</v>
      </c>
      <c r="R1865" s="27">
        <v>0.46875</v>
      </c>
      <c r="S1865" s="20">
        <v>0.0</v>
      </c>
      <c r="T1865" s="6" t="s">
        <v>74</v>
      </c>
      <c r="U1865" s="6"/>
      <c r="V1865" s="6"/>
      <c r="W1865" s="6">
        <v>29.6909298</v>
      </c>
      <c r="X1865" s="6">
        <v>-95.5715557</v>
      </c>
    </row>
    <row r="1866" ht="15.75" customHeight="1">
      <c r="A1866" s="6">
        <v>49840.0</v>
      </c>
      <c r="B1866" s="6">
        <v>2022.0</v>
      </c>
      <c r="C1866" s="6" t="str">
        <f t="shared" si="5"/>
        <v>7727 DEL GLEN LN,Houston,TX</v>
      </c>
      <c r="D1866" s="6" t="s">
        <v>3292</v>
      </c>
      <c r="E1866" s="6" t="s">
        <v>25</v>
      </c>
      <c r="F1866" s="6" t="s">
        <v>1388</v>
      </c>
      <c r="G1866" s="6" t="s">
        <v>91</v>
      </c>
      <c r="H1866" s="6" t="s">
        <v>50</v>
      </c>
      <c r="I1866" s="6" t="str">
        <f>VLOOKUP(H1866,'Flow Location'!$A$1:$B$21,2,FALSE)</f>
        <v>Contained On Site, not within 5 ft. of Bayou/Surface Water/Drainage Ditch</v>
      </c>
      <c r="J1866" s="20">
        <v>0.0</v>
      </c>
      <c r="K1866" s="6" t="s">
        <v>51</v>
      </c>
      <c r="L1866" s="6" t="str">
        <f>VLOOKUP(K1866,'Structure type'!$A$1:$B$15,2,FALSE)</f>
        <v>Private Cleanout</v>
      </c>
      <c r="M1866" s="6" t="s">
        <v>81</v>
      </c>
      <c r="N1866" s="6" t="str">
        <f>VLOOKUP(M1866,'Excursion Cause'!$A$1:$B$34,2,FALSE)</f>
        <v>Collection system structural failure</v>
      </c>
      <c r="O1866" s="26">
        <v>44867.0</v>
      </c>
      <c r="P1866" s="27">
        <v>0.6284722222222222</v>
      </c>
      <c r="Q1866" s="26">
        <v>44867.0</v>
      </c>
      <c r="R1866" s="27">
        <v>0.6291666666666667</v>
      </c>
      <c r="S1866" s="20">
        <v>0.0</v>
      </c>
      <c r="T1866" s="6" t="s">
        <v>118</v>
      </c>
      <c r="U1866" s="6"/>
      <c r="V1866" s="6"/>
      <c r="W1866" s="6">
        <v>29.6928466</v>
      </c>
      <c r="X1866" s="6">
        <v>-95.6105398</v>
      </c>
    </row>
    <row r="1867" ht="15.75" customHeight="1">
      <c r="A1867" s="6">
        <v>49846.0</v>
      </c>
      <c r="B1867" s="6">
        <v>2022.0</v>
      </c>
      <c r="C1867" s="6" t="str">
        <f t="shared" si="5"/>
        <v>4501 MARTIN LUTHER KING BLVD,Houston,TX</v>
      </c>
      <c r="D1867" s="6" t="s">
        <v>3293</v>
      </c>
      <c r="E1867" s="6" t="s">
        <v>25</v>
      </c>
      <c r="F1867" s="6" t="s">
        <v>1388</v>
      </c>
      <c r="G1867" s="6" t="s">
        <v>308</v>
      </c>
      <c r="H1867" s="6" t="s">
        <v>44</v>
      </c>
      <c r="I1867" s="6" t="str">
        <f>VLOOKUP(H1867,'Flow Location'!$A$1:$B$21,2,FALSE)</f>
        <v>Bayou/surface water/drainage ditch</v>
      </c>
      <c r="J1867" s="20">
        <v>2933.0</v>
      </c>
      <c r="K1867" s="6" t="s">
        <v>290</v>
      </c>
      <c r="L1867" s="6" t="str">
        <f>VLOOKUP(K1867,'Structure type'!$A$1:$B$15,2,FALSE)</f>
        <v>Gravity Main</v>
      </c>
      <c r="M1867" s="6" t="s">
        <v>81</v>
      </c>
      <c r="N1867" s="6" t="str">
        <f>VLOOKUP(M1867,'Excursion Cause'!$A$1:$B$34,2,FALSE)</f>
        <v>Collection system structural failure</v>
      </c>
      <c r="O1867" s="26">
        <v>44867.0</v>
      </c>
      <c r="P1867" s="27">
        <v>0.7236111111111111</v>
      </c>
      <c r="Q1867" s="26">
        <v>44869.0</v>
      </c>
      <c r="R1867" s="27">
        <v>0.7604166666666666</v>
      </c>
      <c r="S1867" s="20">
        <v>1.0</v>
      </c>
      <c r="T1867" s="6" t="s">
        <v>443</v>
      </c>
      <c r="U1867" s="6"/>
      <c r="V1867" s="6"/>
      <c r="W1867" s="6">
        <v>29.7148539</v>
      </c>
      <c r="X1867" s="6">
        <v>-95.3395353</v>
      </c>
    </row>
    <row r="1868" ht="15.75" customHeight="1">
      <c r="A1868" s="6">
        <v>49849.0</v>
      </c>
      <c r="B1868" s="6">
        <v>2022.0</v>
      </c>
      <c r="C1868" s="6" t="str">
        <f t="shared" si="5"/>
        <v>6418 SHERMAN ST,Houston,TX</v>
      </c>
      <c r="D1868" s="6" t="s">
        <v>3294</v>
      </c>
      <c r="E1868" s="6" t="s">
        <v>25</v>
      </c>
      <c r="F1868" s="6" t="s">
        <v>1388</v>
      </c>
      <c r="G1868" s="6" t="s">
        <v>227</v>
      </c>
      <c r="H1868" s="6" t="s">
        <v>50</v>
      </c>
      <c r="I1868" s="6" t="str">
        <f>VLOOKUP(H1868,'Flow Location'!$A$1:$B$21,2,FALSE)</f>
        <v>Contained On Site, not within 5 ft. of Bayou/Surface Water/Drainage Ditch</v>
      </c>
      <c r="J1868" s="20">
        <v>0.0</v>
      </c>
      <c r="K1868" s="6" t="s">
        <v>51</v>
      </c>
      <c r="L1868" s="6" t="str">
        <f>VLOOKUP(K1868,'Structure type'!$A$1:$B$15,2,FALSE)</f>
        <v>Private Cleanout</v>
      </c>
      <c r="M1868" s="6" t="s">
        <v>52</v>
      </c>
      <c r="N1868" s="6" t="str">
        <f>VLOOKUP(M1868,'Excursion Cause'!$A$1:$B$34,2,FALSE)</f>
        <v>Collection system structural blockage</v>
      </c>
      <c r="O1868" s="26">
        <v>44868.0</v>
      </c>
      <c r="P1868" s="27">
        <v>0.41458333333333336</v>
      </c>
      <c r="Q1868" s="26">
        <v>44868.0</v>
      </c>
      <c r="R1868" s="27">
        <v>0.4152777777777778</v>
      </c>
      <c r="S1868" s="20">
        <v>0.0</v>
      </c>
      <c r="T1868" s="6" t="s">
        <v>89</v>
      </c>
      <c r="U1868" s="6"/>
      <c r="V1868" s="6"/>
      <c r="W1868" s="6">
        <v>29.740531</v>
      </c>
      <c r="X1868" s="6">
        <v>-95.3110877</v>
      </c>
    </row>
    <row r="1869" ht="15.75" customHeight="1">
      <c r="A1869" s="6">
        <v>49852.0</v>
      </c>
      <c r="B1869" s="6">
        <v>2022.0</v>
      </c>
      <c r="C1869" s="6" t="str">
        <f t="shared" si="5"/>
        <v>13655 ELLA BLVD,Houston,TX</v>
      </c>
      <c r="D1869" s="6" t="s">
        <v>60</v>
      </c>
      <c r="E1869" s="6" t="s">
        <v>25</v>
      </c>
      <c r="F1869" s="6" t="s">
        <v>1388</v>
      </c>
      <c r="G1869" s="6" t="s">
        <v>61</v>
      </c>
      <c r="H1869" s="6" t="s">
        <v>28</v>
      </c>
      <c r="I1869" s="6" t="str">
        <f>VLOOKUP(H1869,'Flow Location'!$A$1:$B$21,2,FALSE)</f>
        <v>Storm Sewer (not contained)</v>
      </c>
      <c r="J1869" s="20">
        <v>507.0</v>
      </c>
      <c r="K1869" s="6" t="s">
        <v>29</v>
      </c>
      <c r="L1869" s="6" t="str">
        <f>VLOOKUP(K1869,'Structure type'!$A$1:$B$15,2,FALSE)</f>
        <v>Manhole</v>
      </c>
      <c r="M1869" s="6" t="s">
        <v>30</v>
      </c>
      <c r="N1869" s="6" t="str">
        <f>VLOOKUP(M1869,'Excursion Cause'!$A$1:$B$34,2,FALSE)</f>
        <v>Grease Blockage</v>
      </c>
      <c r="O1869" s="26">
        <v>44868.0</v>
      </c>
      <c r="P1869" s="27">
        <v>0.47708333333333336</v>
      </c>
      <c r="Q1869" s="26">
        <v>44868.0</v>
      </c>
      <c r="R1869" s="27">
        <v>0.5944444444444444</v>
      </c>
      <c r="S1869" s="20">
        <v>3.0</v>
      </c>
      <c r="T1869" s="6" t="s">
        <v>33</v>
      </c>
      <c r="U1869" s="6"/>
      <c r="V1869" s="6"/>
      <c r="W1869" s="6">
        <v>29.9667687</v>
      </c>
      <c r="X1869" s="6">
        <v>-95.4309365</v>
      </c>
    </row>
    <row r="1870" ht="15.75" customHeight="1">
      <c r="A1870" s="6">
        <v>49856.0</v>
      </c>
      <c r="B1870" s="6">
        <v>2022.0</v>
      </c>
      <c r="C1870" s="6" t="str">
        <f t="shared" si="5"/>
        <v>2019 WALKER ST,Houston,TX</v>
      </c>
      <c r="D1870" s="6" t="s">
        <v>1312</v>
      </c>
      <c r="E1870" s="6" t="s">
        <v>25</v>
      </c>
      <c r="F1870" s="6" t="s">
        <v>1388</v>
      </c>
      <c r="G1870" s="6" t="s">
        <v>172</v>
      </c>
      <c r="H1870" s="6" t="s">
        <v>3295</v>
      </c>
      <c r="I1870" s="6" t="str">
        <f>VLOOKUP(H1870,'Flow Location'!$A$1:$B$21,2,FALSE)</f>
        <v>Contained On Site, not within 5 ft. of Bayou/Surface Water/Drainage Ditch</v>
      </c>
      <c r="J1870" s="20">
        <v>146.0</v>
      </c>
      <c r="K1870" s="6" t="s">
        <v>29</v>
      </c>
      <c r="L1870" s="6" t="str">
        <f>VLOOKUP(K1870,'Structure type'!$A$1:$B$15,2,FALSE)</f>
        <v>Manhole</v>
      </c>
      <c r="M1870" s="6" t="s">
        <v>30</v>
      </c>
      <c r="N1870" s="6" t="str">
        <f>VLOOKUP(M1870,'Excursion Cause'!$A$1:$B$34,2,FALSE)</f>
        <v>Grease Blockage</v>
      </c>
      <c r="O1870" s="26">
        <v>44868.0</v>
      </c>
      <c r="P1870" s="27">
        <v>0.6305555555555555</v>
      </c>
      <c r="Q1870" s="26">
        <v>44868.0</v>
      </c>
      <c r="R1870" s="27">
        <v>0.7319444444444444</v>
      </c>
      <c r="S1870" s="20">
        <v>1.0</v>
      </c>
      <c r="T1870" s="6" t="s">
        <v>33</v>
      </c>
      <c r="U1870" s="6"/>
      <c r="V1870" s="6"/>
      <c r="W1870" s="6">
        <v>29.7523125</v>
      </c>
      <c r="X1870" s="6">
        <v>-95.354895</v>
      </c>
    </row>
    <row r="1871" ht="15.75" customHeight="1">
      <c r="A1871" s="6">
        <v>49858.0</v>
      </c>
      <c r="B1871" s="6">
        <v>2022.0</v>
      </c>
      <c r="C1871" s="6" t="str">
        <f t="shared" si="5"/>
        <v>7530 GULFBRIAR PL,Houston,TX</v>
      </c>
      <c r="D1871" s="6" t="s">
        <v>1857</v>
      </c>
      <c r="E1871" s="6" t="s">
        <v>25</v>
      </c>
      <c r="F1871" s="6" t="s">
        <v>1388</v>
      </c>
      <c r="G1871" s="6" t="s">
        <v>166</v>
      </c>
      <c r="H1871" s="6" t="s">
        <v>50</v>
      </c>
      <c r="I1871" s="6" t="str">
        <f>VLOOKUP(H1871,'Flow Location'!$A$1:$B$21,2,FALSE)</f>
        <v>Contained On Site, not within 5 ft. of Bayou/Surface Water/Drainage Ditch</v>
      </c>
      <c r="J1871" s="20">
        <v>319.0</v>
      </c>
      <c r="K1871" s="6" t="s">
        <v>51</v>
      </c>
      <c r="L1871" s="6" t="str">
        <f>VLOOKUP(K1871,'Structure type'!$A$1:$B$15,2,FALSE)</f>
        <v>Private Cleanout</v>
      </c>
      <c r="M1871" s="6" t="s">
        <v>30</v>
      </c>
      <c r="N1871" s="6" t="str">
        <f>VLOOKUP(M1871,'Excursion Cause'!$A$1:$B$34,2,FALSE)</f>
        <v>Grease Blockage</v>
      </c>
      <c r="O1871" s="26">
        <v>44868.0</v>
      </c>
      <c r="P1871" s="27">
        <v>0.6166666666666667</v>
      </c>
      <c r="Q1871" s="26">
        <v>44869.0</v>
      </c>
      <c r="R1871" s="27">
        <v>0.5034722222222222</v>
      </c>
      <c r="S1871" s="20">
        <v>0.0</v>
      </c>
      <c r="T1871" s="6" t="s">
        <v>170</v>
      </c>
      <c r="U1871" s="6"/>
      <c r="V1871" s="6"/>
      <c r="W1871" s="6">
        <v>29.5955002</v>
      </c>
      <c r="X1871" s="6">
        <v>-95.5004213</v>
      </c>
    </row>
    <row r="1872" ht="15.75" customHeight="1">
      <c r="A1872" s="6">
        <v>49859.0</v>
      </c>
      <c r="B1872" s="6">
        <v>2022.0</v>
      </c>
      <c r="C1872" s="6" t="str">
        <f t="shared" si="5"/>
        <v>6110 CULLEN BLVD,Houston,TX</v>
      </c>
      <c r="D1872" s="6" t="s">
        <v>3296</v>
      </c>
      <c r="E1872" s="6" t="s">
        <v>25</v>
      </c>
      <c r="F1872" s="6" t="s">
        <v>1388</v>
      </c>
      <c r="G1872" s="6" t="s">
        <v>238</v>
      </c>
      <c r="H1872" s="6" t="s">
        <v>28</v>
      </c>
      <c r="I1872" s="6" t="str">
        <f>VLOOKUP(H1872,'Flow Location'!$A$1:$B$21,2,FALSE)</f>
        <v>Storm Sewer (not contained)</v>
      </c>
      <c r="J1872" s="20">
        <v>206.0</v>
      </c>
      <c r="K1872" s="6" t="s">
        <v>45</v>
      </c>
      <c r="L1872" s="6" t="str">
        <f>VLOOKUP(K1872,'Structure type'!$A$1:$B$15,2,FALSE)</f>
        <v>City Cleanout</v>
      </c>
      <c r="M1872" s="6" t="s">
        <v>56</v>
      </c>
      <c r="N1872" s="6" t="str">
        <f>VLOOKUP(M1872,'Excursion Cause'!$A$1:$B$34,2,FALSE)</f>
        <v>Rags/Wipes</v>
      </c>
      <c r="O1872" s="26">
        <v>44868.0</v>
      </c>
      <c r="P1872" s="27">
        <v>0.6430555555555556</v>
      </c>
      <c r="Q1872" s="26">
        <v>44868.0</v>
      </c>
      <c r="R1872" s="27">
        <v>0.7145833333333333</v>
      </c>
      <c r="S1872" s="20">
        <v>2.0</v>
      </c>
      <c r="T1872" s="6" t="s">
        <v>74</v>
      </c>
      <c r="U1872" s="6"/>
      <c r="V1872" s="6"/>
      <c r="W1872" s="6">
        <v>29.6982156</v>
      </c>
      <c r="X1872" s="6">
        <v>-95.3508615</v>
      </c>
    </row>
    <row r="1873" ht="15.75" customHeight="1">
      <c r="A1873" s="6">
        <v>49864.0</v>
      </c>
      <c r="B1873" s="6">
        <v>2022.0</v>
      </c>
      <c r="C1873" s="6" t="str">
        <f t="shared" si="5"/>
        <v>11703 FLEMING DR,Houston,TX</v>
      </c>
      <c r="D1873" s="6" t="s">
        <v>3297</v>
      </c>
      <c r="E1873" s="6" t="s">
        <v>25</v>
      </c>
      <c r="F1873" s="6" t="s">
        <v>1388</v>
      </c>
      <c r="G1873" s="6" t="s">
        <v>656</v>
      </c>
      <c r="H1873" s="6" t="s">
        <v>28</v>
      </c>
      <c r="I1873" s="6" t="str">
        <f>VLOOKUP(H1873,'Flow Location'!$A$1:$B$21,2,FALSE)</f>
        <v>Storm Sewer (not contained)</v>
      </c>
      <c r="J1873" s="20">
        <v>274.0</v>
      </c>
      <c r="K1873" s="6" t="s">
        <v>29</v>
      </c>
      <c r="L1873" s="6" t="str">
        <f>VLOOKUP(K1873,'Structure type'!$A$1:$B$15,2,FALSE)</f>
        <v>Manhole</v>
      </c>
      <c r="M1873" s="6" t="s">
        <v>30</v>
      </c>
      <c r="N1873" s="6" t="str">
        <f>VLOOKUP(M1873,'Excursion Cause'!$A$1:$B$34,2,FALSE)</f>
        <v>Grease Blockage</v>
      </c>
      <c r="O1873" s="26">
        <v>44869.0</v>
      </c>
      <c r="P1873" s="27">
        <v>0.36527777777777776</v>
      </c>
      <c r="Q1873" s="26">
        <v>44869.0</v>
      </c>
      <c r="R1873" s="27">
        <v>0.5555555555555556</v>
      </c>
      <c r="S1873" s="20">
        <v>1.0</v>
      </c>
      <c r="T1873" s="6" t="s">
        <v>59</v>
      </c>
      <c r="U1873" s="6"/>
      <c r="V1873" s="6"/>
      <c r="W1873" s="6">
        <v>29.7766271</v>
      </c>
      <c r="X1873" s="6">
        <v>-95.2268737</v>
      </c>
    </row>
    <row r="1874" ht="15.75" customHeight="1">
      <c r="A1874" s="6">
        <v>49868.0</v>
      </c>
      <c r="B1874" s="6">
        <v>2022.0</v>
      </c>
      <c r="C1874" s="6" t="str">
        <f t="shared" si="5"/>
        <v>7913 LONGRIDGE DR,Houston,TX</v>
      </c>
      <c r="D1874" s="6" t="s">
        <v>1992</v>
      </c>
      <c r="E1874" s="6" t="s">
        <v>25</v>
      </c>
      <c r="F1874" s="6" t="s">
        <v>1388</v>
      </c>
      <c r="G1874" s="6" t="s">
        <v>27</v>
      </c>
      <c r="H1874" s="6" t="s">
        <v>50</v>
      </c>
      <c r="I1874" s="6" t="str">
        <f>VLOOKUP(H1874,'Flow Location'!$A$1:$B$21,2,FALSE)</f>
        <v>Contained On Site, not within 5 ft. of Bayou/Surface Water/Drainage Ditch</v>
      </c>
      <c r="J1874" s="20">
        <v>0.0</v>
      </c>
      <c r="K1874" s="6" t="s">
        <v>51</v>
      </c>
      <c r="L1874" s="6" t="str">
        <f>VLOOKUP(K1874,'Structure type'!$A$1:$B$15,2,FALSE)</f>
        <v>Private Cleanout</v>
      </c>
      <c r="M1874" s="6" t="s">
        <v>30</v>
      </c>
      <c r="N1874" s="6" t="str">
        <f>VLOOKUP(M1874,'Excursion Cause'!$A$1:$B$34,2,FALSE)</f>
        <v>Grease Blockage</v>
      </c>
      <c r="O1874" s="26">
        <v>44869.0</v>
      </c>
      <c r="P1874" s="27">
        <v>0.5013888888888889</v>
      </c>
      <c r="Q1874" s="26">
        <v>44869.0</v>
      </c>
      <c r="R1874" s="27">
        <v>0.5020833333333333</v>
      </c>
      <c r="S1874" s="20">
        <v>0.0</v>
      </c>
      <c r="T1874" s="6" t="s">
        <v>59</v>
      </c>
      <c r="U1874" s="6"/>
      <c r="V1874" s="6"/>
      <c r="W1874" s="6">
        <v>29.8089601</v>
      </c>
      <c r="X1874" s="6">
        <v>-95.4866087</v>
      </c>
    </row>
    <row r="1875" ht="15.75" customHeight="1">
      <c r="A1875" s="6">
        <v>49870.0</v>
      </c>
      <c r="B1875" s="6">
        <v>2022.0</v>
      </c>
      <c r="C1875" s="6" t="str">
        <f t="shared" si="5"/>
        <v>4923 E RIDGE CREEK DR,Houston,TX</v>
      </c>
      <c r="D1875" s="6" t="s">
        <v>3298</v>
      </c>
      <c r="E1875" s="6" t="s">
        <v>25</v>
      </c>
      <c r="F1875" s="6" t="s">
        <v>1388</v>
      </c>
      <c r="G1875" s="6" t="s">
        <v>517</v>
      </c>
      <c r="H1875" s="6" t="s">
        <v>50</v>
      </c>
      <c r="I1875" s="6" t="str">
        <f>VLOOKUP(H1875,'Flow Location'!$A$1:$B$21,2,FALSE)</f>
        <v>Contained On Site, not within 5 ft. of Bayou/Surface Water/Drainage Ditch</v>
      </c>
      <c r="J1875" s="20">
        <v>2620.0</v>
      </c>
      <c r="K1875" s="6" t="s">
        <v>190</v>
      </c>
      <c r="L1875" s="6" t="str">
        <f>VLOOKUP(K1875,'Structure type'!$A$1:$B$15,2,FALSE)</f>
        <v>Force Main</v>
      </c>
      <c r="M1875" s="6" t="s">
        <v>81</v>
      </c>
      <c r="N1875" s="6" t="str">
        <f>VLOOKUP(M1875,'Excursion Cause'!$A$1:$B$34,2,FALSE)</f>
        <v>Collection system structural failure</v>
      </c>
      <c r="O1875" s="26">
        <v>44869.0</v>
      </c>
      <c r="P1875" s="27">
        <v>0.3597222222222222</v>
      </c>
      <c r="Q1875" s="26">
        <v>44870.0</v>
      </c>
      <c r="R1875" s="27">
        <v>0.5416666666666666</v>
      </c>
      <c r="S1875" s="20">
        <v>2.0</v>
      </c>
      <c r="T1875" s="6" t="s">
        <v>118</v>
      </c>
      <c r="U1875" s="6"/>
      <c r="V1875" s="6"/>
      <c r="W1875" s="6">
        <v>29.588401</v>
      </c>
      <c r="X1875" s="6">
        <v>-95.4551345</v>
      </c>
    </row>
    <row r="1876" ht="15.75" customHeight="1">
      <c r="A1876" s="6">
        <v>49871.0</v>
      </c>
      <c r="B1876" s="6">
        <v>2022.0</v>
      </c>
      <c r="C1876" s="6" t="str">
        <f t="shared" si="5"/>
        <v>2305 BREWSTER ST,Houston,TX</v>
      </c>
      <c r="D1876" s="6" t="s">
        <v>3299</v>
      </c>
      <c r="E1876" s="6" t="s">
        <v>25</v>
      </c>
      <c r="F1876" s="6" t="s">
        <v>1388</v>
      </c>
      <c r="G1876" s="6" t="s">
        <v>43</v>
      </c>
      <c r="H1876" s="6" t="s">
        <v>50</v>
      </c>
      <c r="I1876" s="6" t="str">
        <f>VLOOKUP(H1876,'Flow Location'!$A$1:$B$21,2,FALSE)</f>
        <v>Contained On Site, not within 5 ft. of Bayou/Surface Water/Drainage Ditch</v>
      </c>
      <c r="J1876" s="20">
        <v>0.0</v>
      </c>
      <c r="K1876" s="6" t="s">
        <v>51</v>
      </c>
      <c r="L1876" s="6" t="str">
        <f>VLOOKUP(K1876,'Structure type'!$A$1:$B$15,2,FALSE)</f>
        <v>Private Cleanout</v>
      </c>
      <c r="M1876" s="6" t="s">
        <v>81</v>
      </c>
      <c r="N1876" s="6" t="str">
        <f>VLOOKUP(M1876,'Excursion Cause'!$A$1:$B$34,2,FALSE)</f>
        <v>Collection system structural failure</v>
      </c>
      <c r="O1876" s="26">
        <v>44870.0</v>
      </c>
      <c r="P1876" s="27">
        <v>0.5201388888888889</v>
      </c>
      <c r="Q1876" s="26">
        <v>44870.0</v>
      </c>
      <c r="R1876" s="27">
        <v>0.5208333333333334</v>
      </c>
      <c r="S1876" s="20">
        <v>0.0</v>
      </c>
      <c r="T1876" s="6" t="s">
        <v>54</v>
      </c>
      <c r="U1876" s="6"/>
      <c r="V1876" s="6"/>
      <c r="W1876" s="6">
        <v>29.7830467</v>
      </c>
      <c r="X1876" s="6">
        <v>-95.3377372</v>
      </c>
    </row>
    <row r="1877" ht="15.75" customHeight="1">
      <c r="A1877" s="6">
        <v>49874.0</v>
      </c>
      <c r="B1877" s="6">
        <v>2022.0</v>
      </c>
      <c r="C1877" s="6" t="str">
        <f t="shared" si="5"/>
        <v>5714 NEWQUAY ST,Houston,TX</v>
      </c>
      <c r="D1877" s="6" t="s">
        <v>3300</v>
      </c>
      <c r="E1877" s="6" t="s">
        <v>25</v>
      </c>
      <c r="F1877" s="6" t="s">
        <v>1388</v>
      </c>
      <c r="G1877" s="6" t="s">
        <v>384</v>
      </c>
      <c r="H1877" s="6" t="s">
        <v>50</v>
      </c>
      <c r="I1877" s="6" t="str">
        <f>VLOOKUP(H1877,'Flow Location'!$A$1:$B$21,2,FALSE)</f>
        <v>Contained On Site, not within 5 ft. of Bayou/Surface Water/Drainage Ditch</v>
      </c>
      <c r="J1877" s="20">
        <v>0.0</v>
      </c>
      <c r="K1877" s="6" t="s">
        <v>51</v>
      </c>
      <c r="L1877" s="6" t="str">
        <f>VLOOKUP(K1877,'Structure type'!$A$1:$B$15,2,FALSE)</f>
        <v>Private Cleanout</v>
      </c>
      <c r="M1877" s="6" t="s">
        <v>759</v>
      </c>
      <c r="N1877" s="6" t="str">
        <f>VLOOKUP(M1877,'Excursion Cause'!$A$1:$B$34,2,FALSE)</f>
        <v>Roots</v>
      </c>
      <c r="O1877" s="26">
        <v>44869.0</v>
      </c>
      <c r="P1877" s="27">
        <v>0.5958333333333333</v>
      </c>
      <c r="Q1877" s="26">
        <v>44869.0</v>
      </c>
      <c r="R1877" s="27">
        <v>0.5965277777777778</v>
      </c>
      <c r="S1877" s="20">
        <v>0.0</v>
      </c>
      <c r="T1877" s="6" t="s">
        <v>118</v>
      </c>
      <c r="U1877" s="6"/>
      <c r="V1877" s="6"/>
      <c r="W1877" s="6">
        <v>29.619338</v>
      </c>
      <c r="X1877" s="6">
        <v>-95.4693609</v>
      </c>
    </row>
    <row r="1878" ht="15.75" customHeight="1">
      <c r="A1878" s="6">
        <v>49878.0</v>
      </c>
      <c r="B1878" s="6">
        <v>2022.0</v>
      </c>
      <c r="C1878" s="6" t="str">
        <f t="shared" si="5"/>
        <v>3212 HILLCROFT AVE,Houston,TX</v>
      </c>
      <c r="D1878" s="6" t="s">
        <v>3301</v>
      </c>
      <c r="E1878" s="6" t="s">
        <v>25</v>
      </c>
      <c r="F1878" s="6" t="s">
        <v>1388</v>
      </c>
      <c r="G1878" s="6" t="s">
        <v>689</v>
      </c>
      <c r="H1878" s="6" t="s">
        <v>28</v>
      </c>
      <c r="I1878" s="6" t="str">
        <f>VLOOKUP(H1878,'Flow Location'!$A$1:$B$21,2,FALSE)</f>
        <v>Storm Sewer (not contained)</v>
      </c>
      <c r="J1878" s="20">
        <v>314.0</v>
      </c>
      <c r="K1878" s="6" t="s">
        <v>29</v>
      </c>
      <c r="L1878" s="6" t="str">
        <f>VLOOKUP(K1878,'Structure type'!$A$1:$B$15,2,FALSE)</f>
        <v>Manhole</v>
      </c>
      <c r="M1878" s="6" t="s">
        <v>30</v>
      </c>
      <c r="N1878" s="6" t="str">
        <f>VLOOKUP(M1878,'Excursion Cause'!$A$1:$B$34,2,FALSE)</f>
        <v>Grease Blockage</v>
      </c>
      <c r="O1878" s="26">
        <v>44869.0</v>
      </c>
      <c r="P1878" s="27">
        <v>0.6513888888888889</v>
      </c>
      <c r="Q1878" s="26">
        <v>44869.0</v>
      </c>
      <c r="R1878" s="27">
        <v>0.7604166666666666</v>
      </c>
      <c r="S1878" s="20">
        <v>2.0</v>
      </c>
      <c r="T1878" s="6" t="s">
        <v>59</v>
      </c>
      <c r="U1878" s="6"/>
      <c r="V1878" s="6"/>
      <c r="W1878" s="6">
        <v>29.7303814</v>
      </c>
      <c r="X1878" s="6">
        <v>-95.501717</v>
      </c>
    </row>
    <row r="1879" ht="15.75" customHeight="1">
      <c r="A1879" s="6">
        <v>49879.0</v>
      </c>
      <c r="B1879" s="6">
        <v>2022.0</v>
      </c>
      <c r="C1879" s="6" t="str">
        <f t="shared" si="5"/>
        <v>5305 ANTOINE DR,Houston,TX</v>
      </c>
      <c r="D1879" s="6" t="s">
        <v>3302</v>
      </c>
      <c r="E1879" s="6" t="s">
        <v>25</v>
      </c>
      <c r="F1879" s="6" t="s">
        <v>1388</v>
      </c>
      <c r="G1879" s="6" t="s">
        <v>222</v>
      </c>
      <c r="H1879" s="6" t="s">
        <v>28</v>
      </c>
      <c r="I1879" s="6" t="str">
        <f>VLOOKUP(H1879,'Flow Location'!$A$1:$B$21,2,FALSE)</f>
        <v>Storm Sewer (not contained)</v>
      </c>
      <c r="J1879" s="20">
        <v>1184.0</v>
      </c>
      <c r="K1879" s="6" t="s">
        <v>45</v>
      </c>
      <c r="L1879" s="6" t="str">
        <f>VLOOKUP(K1879,'Structure type'!$A$1:$B$15,2,FALSE)</f>
        <v>City Cleanout</v>
      </c>
      <c r="M1879" s="6" t="s">
        <v>30</v>
      </c>
      <c r="N1879" s="6" t="str">
        <f>VLOOKUP(M1879,'Excursion Cause'!$A$1:$B$34,2,FALSE)</f>
        <v>Grease Blockage</v>
      </c>
      <c r="O1879" s="26">
        <v>44869.0</v>
      </c>
      <c r="P1879" s="27">
        <v>0.7402777777777778</v>
      </c>
      <c r="Q1879" s="26">
        <v>44870.0</v>
      </c>
      <c r="R1879" s="27">
        <v>0.5625</v>
      </c>
      <c r="S1879" s="20">
        <v>1.0</v>
      </c>
      <c r="T1879" s="6" t="s">
        <v>59</v>
      </c>
      <c r="U1879" s="6"/>
      <c r="V1879" s="6"/>
      <c r="W1879" s="6">
        <v>29.8412383</v>
      </c>
      <c r="X1879" s="6">
        <v>-95.4739719</v>
      </c>
    </row>
    <row r="1880" ht="15.75" customHeight="1">
      <c r="A1880" s="6">
        <v>49881.0</v>
      </c>
      <c r="B1880" s="6">
        <v>2022.0</v>
      </c>
      <c r="C1880" s="6" t="str">
        <f t="shared" si="5"/>
        <v>12322 BEXLEY DR,Houston,TX</v>
      </c>
      <c r="D1880" s="6" t="s">
        <v>3303</v>
      </c>
      <c r="E1880" s="6" t="s">
        <v>25</v>
      </c>
      <c r="F1880" s="6" t="s">
        <v>1388</v>
      </c>
      <c r="G1880" s="6" t="s">
        <v>154</v>
      </c>
      <c r="H1880" s="6" t="s">
        <v>28</v>
      </c>
      <c r="I1880" s="6" t="str">
        <f>VLOOKUP(H1880,'Flow Location'!$A$1:$B$21,2,FALSE)</f>
        <v>Storm Sewer (not contained)</v>
      </c>
      <c r="J1880" s="20">
        <v>512.0</v>
      </c>
      <c r="K1880" s="6" t="s">
        <v>51</v>
      </c>
      <c r="L1880" s="6" t="str">
        <f>VLOOKUP(K1880,'Structure type'!$A$1:$B$15,2,FALSE)</f>
        <v>Private Cleanout</v>
      </c>
      <c r="M1880" s="6" t="s">
        <v>30</v>
      </c>
      <c r="N1880" s="6" t="str">
        <f>VLOOKUP(M1880,'Excursion Cause'!$A$1:$B$34,2,FALSE)</f>
        <v>Grease Blockage</v>
      </c>
      <c r="O1880" s="26">
        <v>44870.0</v>
      </c>
      <c r="P1880" s="27">
        <v>0.4423611111111111</v>
      </c>
      <c r="Q1880" s="26">
        <v>44870.0</v>
      </c>
      <c r="R1880" s="27">
        <v>0.6201388888888889</v>
      </c>
      <c r="S1880" s="20">
        <v>2.0</v>
      </c>
      <c r="T1880" s="6" t="s">
        <v>33</v>
      </c>
      <c r="U1880" s="6"/>
      <c r="V1880" s="6"/>
      <c r="W1880" s="6">
        <v>29.6828325</v>
      </c>
      <c r="X1880" s="6">
        <v>-95.5976152</v>
      </c>
    </row>
    <row r="1881" ht="15.75" customHeight="1">
      <c r="A1881" s="6">
        <v>49884.0</v>
      </c>
      <c r="B1881" s="6">
        <v>2022.0</v>
      </c>
      <c r="C1881" s="6" t="str">
        <f t="shared" si="5"/>
        <v>16485 IMPERIAL VALLEY DR,Houston,TX</v>
      </c>
      <c r="D1881" s="6" t="s">
        <v>1124</v>
      </c>
      <c r="E1881" s="6" t="s">
        <v>25</v>
      </c>
      <c r="F1881" s="6" t="s">
        <v>1388</v>
      </c>
      <c r="G1881" s="6" t="s">
        <v>393</v>
      </c>
      <c r="H1881" s="6" t="s">
        <v>28</v>
      </c>
      <c r="I1881" s="6" t="str">
        <f>VLOOKUP(H1881,'Flow Location'!$A$1:$B$21,2,FALSE)</f>
        <v>Storm Sewer (not contained)</v>
      </c>
      <c r="J1881" s="20">
        <v>579.0</v>
      </c>
      <c r="K1881" s="6" t="s">
        <v>51</v>
      </c>
      <c r="L1881" s="6" t="str">
        <f>VLOOKUP(K1881,'Structure type'!$A$1:$B$15,2,FALSE)</f>
        <v>Private Cleanout</v>
      </c>
      <c r="M1881" s="6" t="s">
        <v>30</v>
      </c>
      <c r="N1881" s="6" t="str">
        <f>VLOOKUP(M1881,'Excursion Cause'!$A$1:$B$34,2,FALSE)</f>
        <v>Grease Blockage</v>
      </c>
      <c r="O1881" s="26">
        <v>44870.0</v>
      </c>
      <c r="P1881" s="27">
        <v>0.5743055555555555</v>
      </c>
      <c r="Q1881" s="26">
        <v>44870.0</v>
      </c>
      <c r="R1881" s="27">
        <v>0.7083333333333334</v>
      </c>
      <c r="S1881" s="20">
        <v>3.0</v>
      </c>
      <c r="T1881" s="6" t="s">
        <v>89</v>
      </c>
      <c r="U1881" s="6"/>
      <c r="V1881" s="6"/>
      <c r="W1881" s="6">
        <v>29.9376938</v>
      </c>
      <c r="X1881" s="6">
        <v>-95.3980762</v>
      </c>
    </row>
    <row r="1882" ht="15.75" customHeight="1">
      <c r="A1882" s="6">
        <v>49888.0</v>
      </c>
      <c r="B1882" s="6">
        <v>2022.0</v>
      </c>
      <c r="C1882" s="6" t="str">
        <f t="shared" si="5"/>
        <v>8022 CANDLE LN,Houston,TX</v>
      </c>
      <c r="D1882" s="6" t="s">
        <v>3304</v>
      </c>
      <c r="E1882" s="6" t="s">
        <v>25</v>
      </c>
      <c r="F1882" s="6" t="s">
        <v>1388</v>
      </c>
      <c r="G1882" s="6" t="s">
        <v>148</v>
      </c>
      <c r="H1882" s="6" t="s">
        <v>28</v>
      </c>
      <c r="I1882" s="6" t="str">
        <f>VLOOKUP(H1882,'Flow Location'!$A$1:$B$21,2,FALSE)</f>
        <v>Storm Sewer (not contained)</v>
      </c>
      <c r="J1882" s="20">
        <v>298.0</v>
      </c>
      <c r="K1882" s="6" t="s">
        <v>29</v>
      </c>
      <c r="L1882" s="6" t="str">
        <f>VLOOKUP(K1882,'Structure type'!$A$1:$B$15,2,FALSE)</f>
        <v>Manhole</v>
      </c>
      <c r="M1882" s="6" t="s">
        <v>30</v>
      </c>
      <c r="N1882" s="6" t="str">
        <f>VLOOKUP(M1882,'Excursion Cause'!$A$1:$B$34,2,FALSE)</f>
        <v>Grease Blockage</v>
      </c>
      <c r="O1882" s="26">
        <v>44871.0</v>
      </c>
      <c r="P1882" s="27">
        <v>0.5319444444444444</v>
      </c>
      <c r="Q1882" s="26">
        <v>44871.0</v>
      </c>
      <c r="R1882" s="27">
        <v>0.6354166666666666</v>
      </c>
      <c r="S1882" s="20">
        <v>2.0</v>
      </c>
      <c r="T1882" s="6" t="s">
        <v>33</v>
      </c>
      <c r="U1882" s="6"/>
      <c r="V1882" s="6"/>
      <c r="W1882" s="6">
        <v>29.6594789</v>
      </c>
      <c r="X1882" s="6">
        <v>-95.5200264</v>
      </c>
    </row>
    <row r="1883" ht="15.75" customHeight="1">
      <c r="A1883" s="6">
        <v>49889.0</v>
      </c>
      <c r="B1883" s="6">
        <v>2022.0</v>
      </c>
      <c r="C1883" s="6" t="str">
        <f t="shared" si="5"/>
        <v>8150 SNOWDEN ST,Houston,TX</v>
      </c>
      <c r="D1883" s="6" t="s">
        <v>3252</v>
      </c>
      <c r="E1883" s="6" t="s">
        <v>25</v>
      </c>
      <c r="F1883" s="6" t="s">
        <v>1388</v>
      </c>
      <c r="G1883" s="6" t="s">
        <v>177</v>
      </c>
      <c r="H1883" s="6" t="s">
        <v>50</v>
      </c>
      <c r="I1883" s="6" t="str">
        <f>VLOOKUP(H1883,'Flow Location'!$A$1:$B$21,2,FALSE)</f>
        <v>Contained On Site, not within 5 ft. of Bayou/Surface Water/Drainage Ditch</v>
      </c>
      <c r="J1883" s="20">
        <v>0.0</v>
      </c>
      <c r="K1883" s="6" t="s">
        <v>45</v>
      </c>
      <c r="L1883" s="6" t="str">
        <f>VLOOKUP(K1883,'Structure type'!$A$1:$B$15,2,FALSE)</f>
        <v>City Cleanout</v>
      </c>
      <c r="M1883" s="6" t="s">
        <v>56</v>
      </c>
      <c r="N1883" s="6" t="str">
        <f>VLOOKUP(M1883,'Excursion Cause'!$A$1:$B$34,2,FALSE)</f>
        <v>Rags/Wipes</v>
      </c>
      <c r="O1883" s="26">
        <v>44871.0</v>
      </c>
      <c r="P1883" s="27">
        <v>0.6659722222222222</v>
      </c>
      <c r="Q1883" s="26">
        <v>44871.0</v>
      </c>
      <c r="R1883" s="27">
        <v>0.6666666666666666</v>
      </c>
      <c r="S1883" s="20">
        <v>0.0</v>
      </c>
      <c r="T1883" s="6" t="s">
        <v>74</v>
      </c>
      <c r="U1883" s="6"/>
      <c r="V1883" s="6"/>
      <c r="W1883" s="6">
        <v>29.84573</v>
      </c>
      <c r="X1883" s="6">
        <v>-95.2782293</v>
      </c>
    </row>
    <row r="1884" ht="15.75" customHeight="1">
      <c r="A1884" s="6">
        <v>49891.0</v>
      </c>
      <c r="B1884" s="6">
        <v>2022.0</v>
      </c>
      <c r="C1884" s="6" t="str">
        <f t="shared" si="5"/>
        <v>5109 NEW ORLEANS ST,Houston,TX</v>
      </c>
      <c r="D1884" s="6" t="s">
        <v>3305</v>
      </c>
      <c r="E1884" s="6" t="s">
        <v>25</v>
      </c>
      <c r="F1884" s="6" t="s">
        <v>1388</v>
      </c>
      <c r="G1884" s="6" t="s">
        <v>86</v>
      </c>
      <c r="H1884" s="6" t="s">
        <v>50</v>
      </c>
      <c r="I1884" s="6" t="str">
        <f>VLOOKUP(H1884,'Flow Location'!$A$1:$B$21,2,FALSE)</f>
        <v>Contained On Site, not within 5 ft. of Bayou/Surface Water/Drainage Ditch</v>
      </c>
      <c r="J1884" s="20">
        <v>0.0</v>
      </c>
      <c r="K1884" s="6" t="s">
        <v>45</v>
      </c>
      <c r="L1884" s="6" t="str">
        <f>VLOOKUP(K1884,'Structure type'!$A$1:$B$15,2,FALSE)</f>
        <v>City Cleanout</v>
      </c>
      <c r="M1884" s="6" t="s">
        <v>52</v>
      </c>
      <c r="N1884" s="6" t="str">
        <f>VLOOKUP(M1884,'Excursion Cause'!$A$1:$B$34,2,FALSE)</f>
        <v>Collection system structural blockage</v>
      </c>
      <c r="O1884" s="26">
        <v>44872.0</v>
      </c>
      <c r="P1884" s="27">
        <v>0.4861111111111111</v>
      </c>
      <c r="Q1884" s="26">
        <v>44872.0</v>
      </c>
      <c r="R1884" s="27">
        <v>0.48680555555555555</v>
      </c>
      <c r="S1884" s="20">
        <v>0.0</v>
      </c>
      <c r="T1884" s="6" t="s">
        <v>74</v>
      </c>
      <c r="U1884" s="6"/>
      <c r="V1884" s="6"/>
      <c r="W1884" s="6">
        <v>29.777481</v>
      </c>
      <c r="X1884" s="6">
        <v>-95.3188052</v>
      </c>
    </row>
    <row r="1885" ht="15.75" customHeight="1">
      <c r="A1885" s="6">
        <v>49892.0</v>
      </c>
      <c r="B1885" s="6">
        <v>2022.0</v>
      </c>
      <c r="C1885" s="6" t="str">
        <f t="shared" si="5"/>
        <v>8310 JORINE DR,Houston,TX</v>
      </c>
      <c r="D1885" s="6" t="s">
        <v>2774</v>
      </c>
      <c r="E1885" s="6" t="s">
        <v>25</v>
      </c>
      <c r="F1885" s="6" t="s">
        <v>1388</v>
      </c>
      <c r="G1885" s="6" t="s">
        <v>100</v>
      </c>
      <c r="H1885" s="6" t="s">
        <v>28</v>
      </c>
      <c r="I1885" s="6" t="str">
        <f>VLOOKUP(H1885,'Flow Location'!$A$1:$B$21,2,FALSE)</f>
        <v>Storm Sewer (not contained)</v>
      </c>
      <c r="J1885" s="20">
        <v>415.0</v>
      </c>
      <c r="K1885" s="6" t="s">
        <v>29</v>
      </c>
      <c r="L1885" s="6" t="str">
        <f>VLOOKUP(K1885,'Structure type'!$A$1:$B$15,2,FALSE)</f>
        <v>Manhole</v>
      </c>
      <c r="M1885" s="6" t="s">
        <v>56</v>
      </c>
      <c r="N1885" s="6" t="str">
        <f>VLOOKUP(M1885,'Excursion Cause'!$A$1:$B$34,2,FALSE)</f>
        <v>Rags/Wipes</v>
      </c>
      <c r="O1885" s="26">
        <v>44872.0</v>
      </c>
      <c r="P1885" s="27">
        <v>0.4166666666666667</v>
      </c>
      <c r="Q1885" s="26">
        <v>44872.0</v>
      </c>
      <c r="R1885" s="27">
        <v>0.7048611111111112</v>
      </c>
      <c r="S1885" s="20">
        <v>1.0</v>
      </c>
      <c r="T1885" s="6" t="s">
        <v>59</v>
      </c>
      <c r="U1885" s="6"/>
      <c r="V1885" s="6"/>
      <c r="W1885" s="6">
        <v>29.6865484</v>
      </c>
      <c r="X1885" s="6">
        <v>-95.542893</v>
      </c>
    </row>
    <row r="1886" ht="15.75" customHeight="1">
      <c r="A1886" s="6">
        <v>49893.0</v>
      </c>
      <c r="B1886" s="6">
        <v>2022.0</v>
      </c>
      <c r="C1886" s="6" t="str">
        <f t="shared" si="5"/>
        <v>16234 DIAMOND RIDGE DR,Houston,TX</v>
      </c>
      <c r="D1886" s="6" t="s">
        <v>3306</v>
      </c>
      <c r="E1886" s="6" t="s">
        <v>25</v>
      </c>
      <c r="F1886" s="6" t="s">
        <v>1388</v>
      </c>
      <c r="G1886" s="6" t="s">
        <v>517</v>
      </c>
      <c r="H1886" s="6" t="s">
        <v>50</v>
      </c>
      <c r="I1886" s="6" t="str">
        <f>VLOOKUP(H1886,'Flow Location'!$A$1:$B$21,2,FALSE)</f>
        <v>Contained On Site, not within 5 ft. of Bayou/Surface Water/Drainage Ditch</v>
      </c>
      <c r="J1886" s="20">
        <v>0.0</v>
      </c>
      <c r="K1886" s="6" t="s">
        <v>29</v>
      </c>
      <c r="L1886" s="6" t="str">
        <f>VLOOKUP(K1886,'Structure type'!$A$1:$B$15,2,FALSE)</f>
        <v>Manhole</v>
      </c>
      <c r="M1886" s="6" t="s">
        <v>30</v>
      </c>
      <c r="N1886" s="6" t="str">
        <f>VLOOKUP(M1886,'Excursion Cause'!$A$1:$B$34,2,FALSE)</f>
        <v>Grease Blockage</v>
      </c>
      <c r="O1886" s="26">
        <v>44872.0</v>
      </c>
      <c r="P1886" s="27">
        <v>0.37916666666666665</v>
      </c>
      <c r="Q1886" s="26">
        <v>44872.0</v>
      </c>
      <c r="R1886" s="27">
        <v>0.3798611111111111</v>
      </c>
      <c r="S1886" s="20">
        <v>0.0</v>
      </c>
      <c r="T1886" s="6" t="s">
        <v>59</v>
      </c>
      <c r="U1886" s="6"/>
      <c r="V1886" s="6"/>
      <c r="W1886" s="6">
        <v>29.5923078</v>
      </c>
      <c r="X1886" s="6">
        <v>-95.4738533</v>
      </c>
    </row>
    <row r="1887" ht="15.75" customHeight="1">
      <c r="A1887" s="6">
        <v>49894.0</v>
      </c>
      <c r="B1887" s="6">
        <v>2022.0</v>
      </c>
      <c r="C1887" s="6" t="str">
        <f t="shared" si="5"/>
        <v>5700 THOUSAND OAKS CIR,Houston,TX</v>
      </c>
      <c r="D1887" s="6" t="s">
        <v>2743</v>
      </c>
      <c r="E1887" s="6" t="s">
        <v>25</v>
      </c>
      <c r="F1887" s="6" t="s">
        <v>1388</v>
      </c>
      <c r="G1887" s="6" t="s">
        <v>76</v>
      </c>
      <c r="H1887" s="6" t="s">
        <v>28</v>
      </c>
      <c r="I1887" s="6" t="str">
        <f>VLOOKUP(H1887,'Flow Location'!$A$1:$B$21,2,FALSE)</f>
        <v>Storm Sewer (not contained)</v>
      </c>
      <c r="J1887" s="20">
        <v>124.0</v>
      </c>
      <c r="K1887" s="6" t="s">
        <v>45</v>
      </c>
      <c r="L1887" s="6" t="str">
        <f>VLOOKUP(K1887,'Structure type'!$A$1:$B$15,2,FALSE)</f>
        <v>City Cleanout</v>
      </c>
      <c r="M1887" s="6" t="s">
        <v>30</v>
      </c>
      <c r="N1887" s="6" t="str">
        <f>VLOOKUP(M1887,'Excursion Cause'!$A$1:$B$34,2,FALSE)</f>
        <v>Grease Blockage</v>
      </c>
      <c r="O1887" s="26">
        <v>44872.0</v>
      </c>
      <c r="P1887" s="27">
        <v>0.4375</v>
      </c>
      <c r="Q1887" s="26">
        <v>44872.0</v>
      </c>
      <c r="R1887" s="27">
        <v>0.5236111111111111</v>
      </c>
      <c r="S1887" s="20">
        <v>1.0</v>
      </c>
      <c r="T1887" s="6" t="s">
        <v>33</v>
      </c>
      <c r="U1887" s="6"/>
      <c r="V1887" s="6"/>
      <c r="W1887" s="6">
        <v>29.8173822</v>
      </c>
      <c r="X1887" s="6">
        <v>-95.4748116</v>
      </c>
    </row>
    <row r="1888" ht="15.75" customHeight="1">
      <c r="A1888" s="6">
        <v>49896.0</v>
      </c>
      <c r="B1888" s="6">
        <v>2022.0</v>
      </c>
      <c r="C1888" s="6" t="str">
        <f t="shared" si="5"/>
        <v>8333 BRAESMAIN DR,Houston,TX</v>
      </c>
      <c r="D1888" s="6" t="s">
        <v>3307</v>
      </c>
      <c r="E1888" s="6" t="s">
        <v>25</v>
      </c>
      <c r="F1888" s="6" t="s">
        <v>1388</v>
      </c>
      <c r="G1888" s="6" t="s">
        <v>65</v>
      </c>
      <c r="H1888" s="6" t="s">
        <v>28</v>
      </c>
      <c r="I1888" s="6" t="str">
        <f>VLOOKUP(H1888,'Flow Location'!$A$1:$B$21,2,FALSE)</f>
        <v>Storm Sewer (not contained)</v>
      </c>
      <c r="J1888" s="20">
        <v>118.0</v>
      </c>
      <c r="K1888" s="6" t="s">
        <v>29</v>
      </c>
      <c r="L1888" s="6" t="str">
        <f>VLOOKUP(K1888,'Structure type'!$A$1:$B$15,2,FALSE)</f>
        <v>Manhole</v>
      </c>
      <c r="M1888" s="6" t="s">
        <v>96</v>
      </c>
      <c r="N1888" s="6" t="str">
        <f>VLOOKUP(M1888,'Excursion Cause'!$A$1:$B$34,2,FALSE)</f>
        <v>Collection system temporary blockage</v>
      </c>
      <c r="O1888" s="26">
        <v>44872.0</v>
      </c>
      <c r="P1888" s="27">
        <v>0.48680555555555555</v>
      </c>
      <c r="Q1888" s="26">
        <v>44872.0</v>
      </c>
      <c r="R1888" s="27">
        <v>0.5277777777777778</v>
      </c>
      <c r="S1888" s="20">
        <v>2.0</v>
      </c>
      <c r="T1888" s="6" t="s">
        <v>118</v>
      </c>
      <c r="U1888" s="6"/>
      <c r="V1888" s="6"/>
      <c r="W1888" s="6">
        <v>29.6930689</v>
      </c>
      <c r="X1888" s="6">
        <v>-95.4170792</v>
      </c>
    </row>
    <row r="1889" ht="15.75" customHeight="1">
      <c r="A1889" s="6">
        <v>49899.0</v>
      </c>
      <c r="B1889" s="6">
        <v>2022.0</v>
      </c>
      <c r="C1889" s="6" t="str">
        <f t="shared" si="5"/>
        <v>400 N SAM HOUSTON PKWY,Houston,TX</v>
      </c>
      <c r="D1889" s="6" t="s">
        <v>3308</v>
      </c>
      <c r="E1889" s="6" t="s">
        <v>25</v>
      </c>
      <c r="F1889" s="6" t="s">
        <v>1388</v>
      </c>
      <c r="G1889" s="6" t="s">
        <v>393</v>
      </c>
      <c r="H1889" s="6" t="s">
        <v>3295</v>
      </c>
      <c r="I1889" s="6" t="str">
        <f>VLOOKUP(H1889,'Flow Location'!$A$1:$B$21,2,FALSE)</f>
        <v>Contained On Site, not within 5 ft. of Bayou/Surface Water/Drainage Ditch</v>
      </c>
      <c r="J1889" s="20">
        <v>747.0</v>
      </c>
      <c r="K1889" s="6" t="s">
        <v>29</v>
      </c>
      <c r="L1889" s="6" t="str">
        <f>VLOOKUP(K1889,'Structure type'!$A$1:$B$15,2,FALSE)</f>
        <v>Manhole</v>
      </c>
      <c r="M1889" s="6" t="s">
        <v>30</v>
      </c>
      <c r="N1889" s="6" t="str">
        <f>VLOOKUP(M1889,'Excursion Cause'!$A$1:$B$34,2,FALSE)</f>
        <v>Grease Blockage</v>
      </c>
      <c r="O1889" s="26">
        <v>44872.0</v>
      </c>
      <c r="P1889" s="27">
        <v>0.5701388888888889</v>
      </c>
      <c r="Q1889" s="26">
        <v>44872.0</v>
      </c>
      <c r="R1889" s="27">
        <v>0.7430555555555556</v>
      </c>
      <c r="S1889" s="20">
        <v>3.0</v>
      </c>
      <c r="T1889" s="6" t="s">
        <v>59</v>
      </c>
      <c r="U1889" s="6"/>
      <c r="V1889" s="6"/>
      <c r="W1889" s="6">
        <v>29.9381712</v>
      </c>
      <c r="X1889" s="6">
        <v>-95.3968183</v>
      </c>
    </row>
    <row r="1890" ht="15.75" customHeight="1">
      <c r="A1890" s="6">
        <v>49901.0</v>
      </c>
      <c r="B1890" s="6">
        <v>2022.0</v>
      </c>
      <c r="C1890" s="6" t="str">
        <f t="shared" si="5"/>
        <v>7815 BETTY JANE LN,Houston,TX</v>
      </c>
      <c r="D1890" s="6" t="s">
        <v>3309</v>
      </c>
      <c r="E1890" s="6" t="s">
        <v>25</v>
      </c>
      <c r="F1890" s="6" t="s">
        <v>1388</v>
      </c>
      <c r="G1890" s="6" t="s">
        <v>27</v>
      </c>
      <c r="H1890" s="6" t="s">
        <v>50</v>
      </c>
      <c r="I1890" s="6" t="str">
        <f>VLOOKUP(H1890,'Flow Location'!$A$1:$B$21,2,FALSE)</f>
        <v>Contained On Site, not within 5 ft. of Bayou/Surface Water/Drainage Ditch</v>
      </c>
      <c r="J1890" s="20">
        <v>0.0</v>
      </c>
      <c r="K1890" s="6" t="s">
        <v>45</v>
      </c>
      <c r="L1890" s="6" t="str">
        <f>VLOOKUP(K1890,'Structure type'!$A$1:$B$15,2,FALSE)</f>
        <v>City Cleanout</v>
      </c>
      <c r="M1890" s="6" t="s">
        <v>56</v>
      </c>
      <c r="N1890" s="6" t="str">
        <f>VLOOKUP(M1890,'Excursion Cause'!$A$1:$B$34,2,FALSE)</f>
        <v>Rags/Wipes</v>
      </c>
      <c r="O1890" s="26">
        <v>44872.0</v>
      </c>
      <c r="P1890" s="27">
        <v>0.6583333333333333</v>
      </c>
      <c r="Q1890" s="26">
        <v>44872.0</v>
      </c>
      <c r="R1890" s="27">
        <v>0.6590277777777778</v>
      </c>
      <c r="S1890" s="20">
        <v>0.0</v>
      </c>
      <c r="T1890" s="6" t="s">
        <v>89</v>
      </c>
      <c r="U1890" s="6"/>
      <c r="V1890" s="6"/>
      <c r="W1890" s="6">
        <v>29.7860861</v>
      </c>
      <c r="X1890" s="6">
        <v>-95.4842941</v>
      </c>
    </row>
    <row r="1891" ht="15.75" customHeight="1">
      <c r="A1891" s="6">
        <v>49904.0</v>
      </c>
      <c r="B1891" s="6">
        <v>2022.0</v>
      </c>
      <c r="C1891" s="6" t="str">
        <f t="shared" si="5"/>
        <v>9001 IMOGENE ST,Houston,TX</v>
      </c>
      <c r="D1891" s="6" t="s">
        <v>1113</v>
      </c>
      <c r="E1891" s="6" t="s">
        <v>25</v>
      </c>
      <c r="F1891" s="6" t="s">
        <v>1388</v>
      </c>
      <c r="G1891" s="6" t="s">
        <v>100</v>
      </c>
      <c r="H1891" s="6" t="s">
        <v>50</v>
      </c>
      <c r="I1891" s="6" t="str">
        <f>VLOOKUP(H1891,'Flow Location'!$A$1:$B$21,2,FALSE)</f>
        <v>Contained On Site, not within 5 ft. of Bayou/Surface Water/Drainage Ditch</v>
      </c>
      <c r="J1891" s="20">
        <v>1087.0</v>
      </c>
      <c r="K1891" s="6" t="s">
        <v>29</v>
      </c>
      <c r="L1891" s="6" t="str">
        <f>VLOOKUP(K1891,'Structure type'!$A$1:$B$15,2,FALSE)</f>
        <v>Manhole</v>
      </c>
      <c r="M1891" s="6" t="s">
        <v>30</v>
      </c>
      <c r="N1891" s="6" t="str">
        <f>VLOOKUP(M1891,'Excursion Cause'!$A$1:$B$34,2,FALSE)</f>
        <v>Grease Blockage</v>
      </c>
      <c r="O1891" s="26">
        <v>44872.0</v>
      </c>
      <c r="P1891" s="27">
        <v>0.6826388888888889</v>
      </c>
      <c r="Q1891" s="26">
        <v>44873.0</v>
      </c>
      <c r="R1891" s="27">
        <v>0.4375</v>
      </c>
      <c r="S1891" s="20">
        <v>1.0</v>
      </c>
      <c r="T1891" s="6" t="s">
        <v>33</v>
      </c>
      <c r="U1891" s="6"/>
      <c r="V1891" s="6"/>
      <c r="W1891" s="6">
        <v>29.6850615</v>
      </c>
      <c r="X1891" s="6">
        <v>-95.5384747</v>
      </c>
    </row>
    <row r="1892" ht="15.75" customHeight="1">
      <c r="A1892" s="6">
        <v>49905.0</v>
      </c>
      <c r="B1892" s="6">
        <v>2022.0</v>
      </c>
      <c r="C1892" s="6" t="str">
        <f t="shared" si="5"/>
        <v>900 N DURHAM DR,Houston,TX</v>
      </c>
      <c r="D1892" s="6" t="s">
        <v>3310</v>
      </c>
      <c r="E1892" s="6" t="s">
        <v>25</v>
      </c>
      <c r="F1892" s="6" t="s">
        <v>1388</v>
      </c>
      <c r="G1892" s="6" t="s">
        <v>232</v>
      </c>
      <c r="H1892" s="6" t="s">
        <v>28</v>
      </c>
      <c r="I1892" s="6" t="str">
        <f>VLOOKUP(H1892,'Flow Location'!$A$1:$B$21,2,FALSE)</f>
        <v>Storm Sewer (not contained)</v>
      </c>
      <c r="J1892" s="20">
        <v>1873.0</v>
      </c>
      <c r="K1892" s="6" t="s">
        <v>29</v>
      </c>
      <c r="L1892" s="6" t="str">
        <f>VLOOKUP(K1892,'Structure type'!$A$1:$B$15,2,FALSE)</f>
        <v>Manhole</v>
      </c>
      <c r="M1892" s="6" t="s">
        <v>30</v>
      </c>
      <c r="N1892" s="6" t="str">
        <f>VLOOKUP(M1892,'Excursion Cause'!$A$1:$B$34,2,FALSE)</f>
        <v>Grease Blockage</v>
      </c>
      <c r="O1892" s="26">
        <v>44873.0</v>
      </c>
      <c r="P1892" s="27">
        <v>0.41458333333333336</v>
      </c>
      <c r="Q1892" s="26">
        <v>44874.0</v>
      </c>
      <c r="R1892" s="27">
        <v>0.7152777777777778</v>
      </c>
      <c r="S1892" s="20">
        <v>1.0</v>
      </c>
      <c r="T1892" s="6" t="s">
        <v>33</v>
      </c>
      <c r="U1892" s="6"/>
      <c r="V1892" s="6"/>
      <c r="W1892" s="6">
        <v>29.7860598</v>
      </c>
      <c r="X1892" s="6">
        <v>-95.4114634</v>
      </c>
    </row>
    <row r="1893" ht="15.75" customHeight="1">
      <c r="A1893" s="6">
        <v>49908.0</v>
      </c>
      <c r="B1893" s="6">
        <v>2022.0</v>
      </c>
      <c r="C1893" s="6" t="str">
        <f t="shared" si="5"/>
        <v>5305 ANTOINE DR,Houston,TX</v>
      </c>
      <c r="D1893" s="6" t="s">
        <v>3302</v>
      </c>
      <c r="E1893" s="6" t="s">
        <v>25</v>
      </c>
      <c r="F1893" s="6" t="s">
        <v>1388</v>
      </c>
      <c r="G1893" s="6" t="s">
        <v>222</v>
      </c>
      <c r="H1893" s="6" t="s">
        <v>28</v>
      </c>
      <c r="I1893" s="6" t="str">
        <f>VLOOKUP(H1893,'Flow Location'!$A$1:$B$21,2,FALSE)</f>
        <v>Storm Sewer (not contained)</v>
      </c>
      <c r="J1893" s="20">
        <v>79.0</v>
      </c>
      <c r="K1893" s="6" t="s">
        <v>29</v>
      </c>
      <c r="L1893" s="6" t="str">
        <f>VLOOKUP(K1893,'Structure type'!$A$1:$B$15,2,FALSE)</f>
        <v>Manhole</v>
      </c>
      <c r="M1893" s="6" t="s">
        <v>30</v>
      </c>
      <c r="N1893" s="6" t="str">
        <f>VLOOKUP(M1893,'Excursion Cause'!$A$1:$B$34,2,FALSE)</f>
        <v>Grease Blockage</v>
      </c>
      <c r="O1893" s="26">
        <v>44873.0</v>
      </c>
      <c r="P1893" s="27">
        <v>0.5048611111111111</v>
      </c>
      <c r="Q1893" s="26">
        <v>44873.0</v>
      </c>
      <c r="R1893" s="27">
        <v>0.6138888888888889</v>
      </c>
      <c r="S1893" s="20">
        <v>1.0</v>
      </c>
      <c r="T1893" s="6" t="s">
        <v>59</v>
      </c>
      <c r="U1893" s="6"/>
      <c r="V1893" s="6"/>
      <c r="W1893" s="6">
        <v>29.8412383</v>
      </c>
      <c r="X1893" s="6">
        <v>-95.4739719</v>
      </c>
    </row>
    <row r="1894" ht="15.75" customHeight="1">
      <c r="A1894" s="6">
        <v>49911.0</v>
      </c>
      <c r="B1894" s="6">
        <v>2022.0</v>
      </c>
      <c r="C1894" s="6" t="str">
        <f t="shared" si="5"/>
        <v>14875 WATERLOO DR,Houston,TX</v>
      </c>
      <c r="D1894" s="6" t="s">
        <v>3311</v>
      </c>
      <c r="E1894" s="6" t="s">
        <v>25</v>
      </c>
      <c r="F1894" s="6" t="s">
        <v>1388</v>
      </c>
      <c r="G1894" s="6" t="s">
        <v>517</v>
      </c>
      <c r="H1894" s="6" t="s">
        <v>50</v>
      </c>
      <c r="I1894" s="6" t="str">
        <f>VLOOKUP(H1894,'Flow Location'!$A$1:$B$21,2,FALSE)</f>
        <v>Contained On Site, not within 5 ft. of Bayou/Surface Water/Drainage Ditch</v>
      </c>
      <c r="J1894" s="20">
        <v>0.0</v>
      </c>
      <c r="K1894" s="6" t="s">
        <v>45</v>
      </c>
      <c r="L1894" s="6" t="str">
        <f>VLOOKUP(K1894,'Structure type'!$A$1:$B$15,2,FALSE)</f>
        <v>City Cleanout</v>
      </c>
      <c r="M1894" s="6" t="s">
        <v>56</v>
      </c>
      <c r="N1894" s="6" t="str">
        <f>VLOOKUP(M1894,'Excursion Cause'!$A$1:$B$34,2,FALSE)</f>
        <v>Rags/Wipes</v>
      </c>
      <c r="O1894" s="26">
        <v>44873.0</v>
      </c>
      <c r="P1894" s="27">
        <v>0.6263888888888889</v>
      </c>
      <c r="Q1894" s="26">
        <v>44873.0</v>
      </c>
      <c r="R1894" s="27">
        <v>0.6270833333333333</v>
      </c>
      <c r="S1894" s="20">
        <v>0.0</v>
      </c>
      <c r="T1894" s="6" t="s">
        <v>74</v>
      </c>
      <c r="U1894" s="6"/>
      <c r="V1894" s="6"/>
      <c r="W1894" s="6">
        <v>29.611402</v>
      </c>
      <c r="X1894" s="6">
        <v>-95.4229971</v>
      </c>
    </row>
    <row r="1895" ht="15.75" customHeight="1">
      <c r="A1895" s="6">
        <v>49916.0</v>
      </c>
      <c r="B1895" s="6">
        <v>2022.0</v>
      </c>
      <c r="C1895" s="6" t="str">
        <f t="shared" si="5"/>
        <v>9503 VANWOOD ST,Houston,TX</v>
      </c>
      <c r="D1895" s="6" t="s">
        <v>3312</v>
      </c>
      <c r="E1895" s="6" t="s">
        <v>25</v>
      </c>
      <c r="F1895" s="6" t="s">
        <v>1388</v>
      </c>
      <c r="G1895" s="6" t="s">
        <v>253</v>
      </c>
      <c r="H1895" s="6" t="s">
        <v>50</v>
      </c>
      <c r="I1895" s="6" t="str">
        <f>VLOOKUP(H1895,'Flow Location'!$A$1:$B$21,2,FALSE)</f>
        <v>Contained On Site, not within 5 ft. of Bayou/Surface Water/Drainage Ditch</v>
      </c>
      <c r="J1895" s="20">
        <v>143.0</v>
      </c>
      <c r="K1895" s="6" t="s">
        <v>290</v>
      </c>
      <c r="L1895" s="6" t="str">
        <f>VLOOKUP(K1895,'Structure type'!$A$1:$B$15,2,FALSE)</f>
        <v>Gravity Main</v>
      </c>
      <c r="M1895" s="6" t="s">
        <v>30</v>
      </c>
      <c r="N1895" s="6" t="str">
        <f>VLOOKUP(M1895,'Excursion Cause'!$A$1:$B$34,2,FALSE)</f>
        <v>Grease Blockage</v>
      </c>
      <c r="O1895" s="26">
        <v>44874.0</v>
      </c>
      <c r="P1895" s="27">
        <v>0.39166666666666666</v>
      </c>
      <c r="Q1895" s="26">
        <v>44874.0</v>
      </c>
      <c r="R1895" s="27">
        <v>0.4909722222222222</v>
      </c>
      <c r="S1895" s="20">
        <v>1.0</v>
      </c>
      <c r="T1895" s="6" t="s">
        <v>59</v>
      </c>
      <c r="U1895" s="6"/>
      <c r="V1895" s="6"/>
      <c r="W1895" s="6">
        <v>29.8789906</v>
      </c>
      <c r="X1895" s="6">
        <v>-95.5007851</v>
      </c>
    </row>
    <row r="1896" ht="15.75" customHeight="1">
      <c r="A1896" s="6">
        <v>49921.0</v>
      </c>
      <c r="B1896" s="6">
        <v>2022.0</v>
      </c>
      <c r="C1896" s="6" t="str">
        <f t="shared" si="5"/>
        <v>7706 ELLIS DR,Houston,TX</v>
      </c>
      <c r="D1896" s="6" t="s">
        <v>3313</v>
      </c>
      <c r="E1896" s="6" t="s">
        <v>25</v>
      </c>
      <c r="F1896" s="6" t="s">
        <v>1388</v>
      </c>
      <c r="G1896" s="6" t="s">
        <v>166</v>
      </c>
      <c r="H1896" s="6" t="s">
        <v>28</v>
      </c>
      <c r="I1896" s="6" t="str">
        <f>VLOOKUP(H1896,'Flow Location'!$A$1:$B$21,2,FALSE)</f>
        <v>Storm Sewer (not contained)</v>
      </c>
      <c r="J1896" s="20">
        <v>6096.0</v>
      </c>
      <c r="K1896" s="6" t="s">
        <v>29</v>
      </c>
      <c r="L1896" s="6" t="str">
        <f>VLOOKUP(K1896,'Structure type'!$A$1:$B$15,2,FALSE)</f>
        <v>Manhole</v>
      </c>
      <c r="M1896" s="6" t="s">
        <v>30</v>
      </c>
      <c r="N1896" s="6" t="str">
        <f>VLOOKUP(M1896,'Excursion Cause'!$A$1:$B$34,2,FALSE)</f>
        <v>Grease Blockage</v>
      </c>
      <c r="O1896" s="26">
        <v>44874.0</v>
      </c>
      <c r="P1896" s="27">
        <v>0.5916666666666667</v>
      </c>
      <c r="Q1896" s="26">
        <v>44876.0</v>
      </c>
      <c r="R1896" s="27">
        <v>0.7083333333333334</v>
      </c>
      <c r="S1896" s="20">
        <v>2.0</v>
      </c>
      <c r="T1896" s="6" t="s">
        <v>59</v>
      </c>
      <c r="U1896" s="6"/>
      <c r="V1896" s="6"/>
      <c r="W1896" s="6">
        <v>29.6030415</v>
      </c>
      <c r="X1896" s="6">
        <v>-95.5048185</v>
      </c>
    </row>
    <row r="1897" ht="15.75" customHeight="1">
      <c r="A1897" s="6">
        <v>49932.0</v>
      </c>
      <c r="B1897" s="6">
        <v>2022.0</v>
      </c>
      <c r="C1897" s="6" t="str">
        <f t="shared" si="5"/>
        <v>3043 GOLFCREST BLVD,Houston,TX</v>
      </c>
      <c r="D1897" s="6" t="s">
        <v>3314</v>
      </c>
      <c r="E1897" s="6" t="s">
        <v>25</v>
      </c>
      <c r="F1897" s="6" t="s">
        <v>1388</v>
      </c>
      <c r="G1897" s="6" t="s">
        <v>35</v>
      </c>
      <c r="H1897" s="6" t="s">
        <v>28</v>
      </c>
      <c r="I1897" s="6" t="str">
        <f>VLOOKUP(H1897,'Flow Location'!$A$1:$B$21,2,FALSE)</f>
        <v>Storm Sewer (not contained)</v>
      </c>
      <c r="J1897" s="20">
        <v>334.0</v>
      </c>
      <c r="K1897" s="6" t="s">
        <v>45</v>
      </c>
      <c r="L1897" s="6" t="str">
        <f>VLOOKUP(K1897,'Structure type'!$A$1:$B$15,2,FALSE)</f>
        <v>City Cleanout</v>
      </c>
      <c r="M1897" s="6" t="s">
        <v>30</v>
      </c>
      <c r="N1897" s="6" t="str">
        <f>VLOOKUP(M1897,'Excursion Cause'!$A$1:$B$34,2,FALSE)</f>
        <v>Grease Blockage</v>
      </c>
      <c r="O1897" s="26">
        <v>44875.0</v>
      </c>
      <c r="P1897" s="27">
        <v>0.6166666666666667</v>
      </c>
      <c r="Q1897" s="26">
        <v>44875.0</v>
      </c>
      <c r="R1897" s="27">
        <v>0.7326388888888888</v>
      </c>
      <c r="S1897" s="20">
        <v>2.0</v>
      </c>
      <c r="T1897" s="6" t="s">
        <v>33</v>
      </c>
      <c r="U1897" s="6"/>
      <c r="V1897" s="6"/>
      <c r="W1897" s="6">
        <v>29.6985242</v>
      </c>
      <c r="X1897" s="6">
        <v>-95.3055912</v>
      </c>
    </row>
    <row r="1898" ht="15.75" customHeight="1">
      <c r="A1898" s="6">
        <v>49935.0</v>
      </c>
      <c r="B1898" s="6">
        <v>2022.0</v>
      </c>
      <c r="C1898" s="6" t="str">
        <f t="shared" si="5"/>
        <v>9905 HADDICK ST,Houston,TX</v>
      </c>
      <c r="D1898" s="6" t="s">
        <v>1107</v>
      </c>
      <c r="E1898" s="6" t="s">
        <v>25</v>
      </c>
      <c r="F1898" s="6" t="s">
        <v>1388</v>
      </c>
      <c r="G1898" s="6" t="s">
        <v>387</v>
      </c>
      <c r="H1898" s="6" t="s">
        <v>50</v>
      </c>
      <c r="I1898" s="6" t="str">
        <f>VLOOKUP(H1898,'Flow Location'!$A$1:$B$21,2,FALSE)</f>
        <v>Contained On Site, not within 5 ft. of Bayou/Surface Water/Drainage Ditch</v>
      </c>
      <c r="J1898" s="20">
        <v>0.0</v>
      </c>
      <c r="K1898" s="6" t="s">
        <v>45</v>
      </c>
      <c r="L1898" s="6" t="str">
        <f>VLOOKUP(K1898,'Structure type'!$A$1:$B$15,2,FALSE)</f>
        <v>City Cleanout</v>
      </c>
      <c r="M1898" s="6" t="s">
        <v>56</v>
      </c>
      <c r="N1898" s="6" t="str">
        <f>VLOOKUP(M1898,'Excursion Cause'!$A$1:$B$34,2,FALSE)</f>
        <v>Rags/Wipes</v>
      </c>
      <c r="O1898" s="26">
        <v>44875.0</v>
      </c>
      <c r="P1898" s="27">
        <v>0.6618055555555555</v>
      </c>
      <c r="Q1898" s="26">
        <v>44875.0</v>
      </c>
      <c r="R1898" s="27">
        <v>0.6625</v>
      </c>
      <c r="S1898" s="20">
        <v>0.0</v>
      </c>
      <c r="T1898" s="6" t="s">
        <v>89</v>
      </c>
      <c r="U1898" s="6"/>
      <c r="V1898" s="6"/>
      <c r="W1898" s="6">
        <v>29.85744</v>
      </c>
      <c r="X1898" s="6">
        <v>-95.2719741</v>
      </c>
    </row>
    <row r="1899" ht="15.75" customHeight="1">
      <c r="A1899" s="6">
        <v>49936.0</v>
      </c>
      <c r="B1899" s="6">
        <v>2022.0</v>
      </c>
      <c r="C1899" s="6" t="str">
        <f t="shared" si="5"/>
        <v>1208 W DREW ST,Houston,TX</v>
      </c>
      <c r="D1899" s="6" t="s">
        <v>3315</v>
      </c>
      <c r="E1899" s="6" t="s">
        <v>25</v>
      </c>
      <c r="F1899" s="6" t="s">
        <v>1388</v>
      </c>
      <c r="G1899" s="6" t="s">
        <v>761</v>
      </c>
      <c r="H1899" s="6" t="s">
        <v>50</v>
      </c>
      <c r="I1899" s="6" t="str">
        <f>VLOOKUP(H1899,'Flow Location'!$A$1:$B$21,2,FALSE)</f>
        <v>Contained On Site, not within 5 ft. of Bayou/Surface Water/Drainage Ditch</v>
      </c>
      <c r="J1899" s="20">
        <v>0.0</v>
      </c>
      <c r="K1899" s="6" t="s">
        <v>198</v>
      </c>
      <c r="L1899" s="6" t="str">
        <f>VLOOKUP(K1899,'Structure type'!$A$1:$B$15,2,FALSE)</f>
        <v>Service Lateral</v>
      </c>
      <c r="M1899" s="6" t="s">
        <v>52</v>
      </c>
      <c r="N1899" s="6" t="str">
        <f>VLOOKUP(M1899,'Excursion Cause'!$A$1:$B$34,2,FALSE)</f>
        <v>Collection system structural blockage</v>
      </c>
      <c r="O1899" s="26">
        <v>44875.0</v>
      </c>
      <c r="P1899" s="27">
        <v>0.7229166666666667</v>
      </c>
      <c r="Q1899" s="26">
        <v>44875.0</v>
      </c>
      <c r="R1899" s="27">
        <v>0.7236111111111111</v>
      </c>
      <c r="S1899" s="20">
        <v>0.0</v>
      </c>
      <c r="T1899" s="6" t="s">
        <v>118</v>
      </c>
      <c r="U1899" s="6"/>
      <c r="V1899" s="6"/>
      <c r="W1899" s="6">
        <v>29.7498941</v>
      </c>
      <c r="X1899" s="6">
        <v>-95.3942619</v>
      </c>
    </row>
    <row r="1900" ht="15.75" customHeight="1">
      <c r="A1900" s="6">
        <v>49937.0</v>
      </c>
      <c r="B1900" s="6">
        <v>2022.0</v>
      </c>
      <c r="C1900" s="6" t="str">
        <f t="shared" si="5"/>
        <v>908 LAWRENCE ST,Houston,TX</v>
      </c>
      <c r="D1900" s="6" t="s">
        <v>3316</v>
      </c>
      <c r="E1900" s="6" t="s">
        <v>25</v>
      </c>
      <c r="F1900" s="6" t="s">
        <v>1388</v>
      </c>
      <c r="G1900" s="6" t="s">
        <v>232</v>
      </c>
      <c r="H1900" s="6" t="s">
        <v>28</v>
      </c>
      <c r="I1900" s="6" t="str">
        <f>VLOOKUP(H1900,'Flow Location'!$A$1:$B$21,2,FALSE)</f>
        <v>Storm Sewer (not contained)</v>
      </c>
      <c r="J1900" s="20">
        <v>0.0</v>
      </c>
      <c r="K1900" s="6" t="s">
        <v>51</v>
      </c>
      <c r="L1900" s="6" t="str">
        <f>VLOOKUP(K1900,'Structure type'!$A$1:$B$15,2,FALSE)</f>
        <v>Private Cleanout</v>
      </c>
      <c r="M1900" s="6" t="s">
        <v>30</v>
      </c>
      <c r="N1900" s="6" t="str">
        <f>VLOOKUP(M1900,'Excursion Cause'!$A$1:$B$34,2,FALSE)</f>
        <v>Grease Blockage</v>
      </c>
      <c r="O1900" s="26">
        <v>44876.0</v>
      </c>
      <c r="P1900" s="27">
        <v>0.3729166666666667</v>
      </c>
      <c r="Q1900" s="26">
        <v>44876.0</v>
      </c>
      <c r="R1900" s="27">
        <v>0.3736111111111111</v>
      </c>
      <c r="S1900" s="20">
        <v>0.0</v>
      </c>
      <c r="T1900" s="6" t="s">
        <v>33</v>
      </c>
      <c r="U1900" s="6"/>
      <c r="V1900" s="6"/>
      <c r="W1900" s="6">
        <v>29.7873</v>
      </c>
      <c r="X1900" s="6">
        <v>-95.4067169</v>
      </c>
    </row>
    <row r="1901" ht="15.75" customHeight="1">
      <c r="A1901" s="6">
        <v>49939.0</v>
      </c>
      <c r="B1901" s="6">
        <v>2022.0</v>
      </c>
      <c r="C1901" s="6" t="str">
        <f t="shared" si="5"/>
        <v>8333 BRAESMAIN DR,Houston,TX</v>
      </c>
      <c r="D1901" s="6" t="s">
        <v>3307</v>
      </c>
      <c r="E1901" s="6" t="s">
        <v>25</v>
      </c>
      <c r="F1901" s="6" t="s">
        <v>1388</v>
      </c>
      <c r="G1901" s="6" t="s">
        <v>65</v>
      </c>
      <c r="H1901" s="6" t="s">
        <v>28</v>
      </c>
      <c r="I1901" s="6" t="str">
        <f>VLOOKUP(H1901,'Flow Location'!$A$1:$B$21,2,FALSE)</f>
        <v>Storm Sewer (not contained)</v>
      </c>
      <c r="J1901" s="20">
        <v>435.0</v>
      </c>
      <c r="K1901" s="6" t="s">
        <v>29</v>
      </c>
      <c r="L1901" s="6" t="str">
        <f>VLOOKUP(K1901,'Structure type'!$A$1:$B$15,2,FALSE)</f>
        <v>Manhole</v>
      </c>
      <c r="M1901" s="6" t="s">
        <v>30</v>
      </c>
      <c r="N1901" s="6" t="str">
        <f>VLOOKUP(M1901,'Excursion Cause'!$A$1:$B$34,2,FALSE)</f>
        <v>Grease Blockage</v>
      </c>
      <c r="O1901" s="26">
        <v>44876.0</v>
      </c>
      <c r="P1901" s="27">
        <v>0.3993055555555556</v>
      </c>
      <c r="Q1901" s="26">
        <v>44876.0</v>
      </c>
      <c r="R1901" s="27">
        <v>0.4597222222222222</v>
      </c>
      <c r="S1901" s="20">
        <v>5.0</v>
      </c>
      <c r="T1901" s="6" t="s">
        <v>59</v>
      </c>
      <c r="U1901" s="6"/>
      <c r="V1901" s="6"/>
      <c r="W1901" s="6">
        <v>29.6930689</v>
      </c>
      <c r="X1901" s="6">
        <v>-95.4170792</v>
      </c>
    </row>
    <row r="1902" ht="15.75" customHeight="1">
      <c r="A1902" s="6">
        <v>49940.0</v>
      </c>
      <c r="B1902" s="6">
        <v>2022.0</v>
      </c>
      <c r="C1902" s="6" t="str">
        <f t="shared" si="5"/>
        <v>5418 BRETSHIRE DR,Houston,TX</v>
      </c>
      <c r="D1902" s="6" t="s">
        <v>3317</v>
      </c>
      <c r="E1902" s="6" t="s">
        <v>25</v>
      </c>
      <c r="F1902" s="6" t="s">
        <v>1388</v>
      </c>
      <c r="G1902" s="6" t="s">
        <v>326</v>
      </c>
      <c r="H1902" s="6" t="s">
        <v>28</v>
      </c>
      <c r="I1902" s="6" t="str">
        <f>VLOOKUP(H1902,'Flow Location'!$A$1:$B$21,2,FALSE)</f>
        <v>Storm Sewer (not contained)</v>
      </c>
      <c r="J1902" s="20">
        <v>0.0</v>
      </c>
      <c r="K1902" s="6" t="s">
        <v>29</v>
      </c>
      <c r="L1902" s="6" t="str">
        <f>VLOOKUP(K1902,'Structure type'!$A$1:$B$15,2,FALSE)</f>
        <v>Manhole</v>
      </c>
      <c r="M1902" s="6" t="s">
        <v>30</v>
      </c>
      <c r="N1902" s="6" t="str">
        <f>VLOOKUP(M1902,'Excursion Cause'!$A$1:$B$34,2,FALSE)</f>
        <v>Grease Blockage</v>
      </c>
      <c r="O1902" s="26">
        <v>44876.0</v>
      </c>
      <c r="P1902" s="27">
        <v>0.4125</v>
      </c>
      <c r="Q1902" s="26">
        <v>44876.0</v>
      </c>
      <c r="R1902" s="27">
        <v>0.4131944444444444</v>
      </c>
      <c r="S1902" s="20">
        <v>0.0</v>
      </c>
      <c r="T1902" s="6" t="s">
        <v>59</v>
      </c>
      <c r="U1902" s="6"/>
      <c r="V1902" s="6"/>
      <c r="W1902" s="6">
        <v>29.8598179</v>
      </c>
      <c r="X1902" s="6">
        <v>-95.3095487</v>
      </c>
    </row>
    <row r="1903" ht="15.75" customHeight="1">
      <c r="A1903" s="6">
        <v>49943.0</v>
      </c>
      <c r="B1903" s="6">
        <v>2022.0</v>
      </c>
      <c r="C1903" s="6" t="str">
        <f t="shared" si="5"/>
        <v>159 LUTHER ST,Houston,TX</v>
      </c>
      <c r="D1903" s="6" t="s">
        <v>3318</v>
      </c>
      <c r="E1903" s="6" t="s">
        <v>25</v>
      </c>
      <c r="F1903" s="6" t="s">
        <v>1388</v>
      </c>
      <c r="G1903" s="6" t="s">
        <v>275</v>
      </c>
      <c r="H1903" s="6" t="s">
        <v>44</v>
      </c>
      <c r="I1903" s="6" t="str">
        <f>VLOOKUP(H1903,'Flow Location'!$A$1:$B$21,2,FALSE)</f>
        <v>Bayou/surface water/drainage ditch</v>
      </c>
      <c r="J1903" s="20">
        <v>0.0</v>
      </c>
      <c r="K1903" s="6" t="s">
        <v>45</v>
      </c>
      <c r="L1903" s="6" t="str">
        <f>VLOOKUP(K1903,'Structure type'!$A$1:$B$15,2,FALSE)</f>
        <v>City Cleanout</v>
      </c>
      <c r="M1903" s="6" t="s">
        <v>56</v>
      </c>
      <c r="N1903" s="6" t="str">
        <f>VLOOKUP(M1903,'Excursion Cause'!$A$1:$B$34,2,FALSE)</f>
        <v>Rags/Wipes</v>
      </c>
      <c r="O1903" s="26">
        <v>44876.0</v>
      </c>
      <c r="P1903" s="27">
        <v>0.5666666666666667</v>
      </c>
      <c r="Q1903" s="26">
        <v>44876.0</v>
      </c>
      <c r="R1903" s="27">
        <v>0.5673611111111111</v>
      </c>
      <c r="S1903" s="20">
        <v>0.0</v>
      </c>
      <c r="T1903" s="6" t="s">
        <v>89</v>
      </c>
      <c r="U1903" s="6"/>
      <c r="V1903" s="6"/>
      <c r="W1903" s="6">
        <v>29.8467932</v>
      </c>
      <c r="X1903" s="6">
        <v>-95.3752868</v>
      </c>
    </row>
    <row r="1904" ht="15.75" customHeight="1">
      <c r="A1904" s="6">
        <v>49944.0</v>
      </c>
      <c r="B1904" s="6">
        <v>2022.0</v>
      </c>
      <c r="C1904" s="6" t="str">
        <f t="shared" si="5"/>
        <v>8139 FILLTOP ST,Houston,TX</v>
      </c>
      <c r="D1904" s="6" t="s">
        <v>3319</v>
      </c>
      <c r="E1904" s="6" t="s">
        <v>25</v>
      </c>
      <c r="F1904" s="6" t="s">
        <v>1388</v>
      </c>
      <c r="G1904" s="6" t="s">
        <v>177</v>
      </c>
      <c r="H1904" s="6" t="s">
        <v>50</v>
      </c>
      <c r="I1904" s="6" t="str">
        <f>VLOOKUP(H1904,'Flow Location'!$A$1:$B$21,2,FALSE)</f>
        <v>Contained On Site, not within 5 ft. of Bayou/Surface Water/Drainage Ditch</v>
      </c>
      <c r="J1904" s="20">
        <v>0.0</v>
      </c>
      <c r="K1904" s="6" t="s">
        <v>45</v>
      </c>
      <c r="L1904" s="6" t="str">
        <f>VLOOKUP(K1904,'Structure type'!$A$1:$B$15,2,FALSE)</f>
        <v>City Cleanout</v>
      </c>
      <c r="M1904" s="6" t="s">
        <v>56</v>
      </c>
      <c r="N1904" s="6" t="str">
        <f>VLOOKUP(M1904,'Excursion Cause'!$A$1:$B$34,2,FALSE)</f>
        <v>Rags/Wipes</v>
      </c>
      <c r="O1904" s="26">
        <v>44876.0</v>
      </c>
      <c r="P1904" s="27">
        <v>0.58125</v>
      </c>
      <c r="Q1904" s="26">
        <v>44876.0</v>
      </c>
      <c r="R1904" s="27">
        <v>0.5819444444444445</v>
      </c>
      <c r="S1904" s="20">
        <v>0.0</v>
      </c>
      <c r="T1904" s="6" t="s">
        <v>89</v>
      </c>
      <c r="U1904" s="6"/>
      <c r="V1904" s="6"/>
      <c r="W1904" s="6">
        <v>29.8184542</v>
      </c>
      <c r="X1904" s="6">
        <v>-95.2779338</v>
      </c>
    </row>
    <row r="1905" ht="15.75" customHeight="1">
      <c r="A1905" s="6">
        <v>49947.0</v>
      </c>
      <c r="B1905" s="6">
        <v>2022.0</v>
      </c>
      <c r="C1905" s="6" t="str">
        <f t="shared" si="5"/>
        <v>61 E SUNNYSIDE ST,Houston,TX</v>
      </c>
      <c r="D1905" s="6" t="s">
        <v>3320</v>
      </c>
      <c r="E1905" s="6" t="s">
        <v>25</v>
      </c>
      <c r="F1905" s="6" t="s">
        <v>1388</v>
      </c>
      <c r="G1905" s="6" t="s">
        <v>275</v>
      </c>
      <c r="H1905" s="6" t="s">
        <v>28</v>
      </c>
      <c r="I1905" s="6" t="str">
        <f>VLOOKUP(H1905,'Flow Location'!$A$1:$B$21,2,FALSE)</f>
        <v>Storm Sewer (not contained)</v>
      </c>
      <c r="J1905" s="20">
        <v>0.0</v>
      </c>
      <c r="K1905" s="6" t="s">
        <v>198</v>
      </c>
      <c r="L1905" s="6" t="str">
        <f>VLOOKUP(K1905,'Structure type'!$A$1:$B$15,2,FALSE)</f>
        <v>Service Lateral</v>
      </c>
      <c r="M1905" s="6" t="s">
        <v>81</v>
      </c>
      <c r="N1905" s="6" t="str">
        <f>VLOOKUP(M1905,'Excursion Cause'!$A$1:$B$34,2,FALSE)</f>
        <v>Collection system structural failure</v>
      </c>
      <c r="O1905" s="26">
        <v>44877.0</v>
      </c>
      <c r="P1905" s="27">
        <v>0.3402777777777778</v>
      </c>
      <c r="Q1905" s="26">
        <v>44877.0</v>
      </c>
      <c r="R1905" s="27">
        <v>0.34097222222222223</v>
      </c>
      <c r="S1905" s="20">
        <v>0.0</v>
      </c>
      <c r="T1905" s="6" t="s">
        <v>89</v>
      </c>
      <c r="U1905" s="6"/>
      <c r="V1905" s="6"/>
      <c r="W1905" s="6">
        <v>29.8570603</v>
      </c>
      <c r="X1905" s="6">
        <v>-95.3799482</v>
      </c>
    </row>
    <row r="1906" ht="15.75" customHeight="1">
      <c r="A1906" s="6">
        <v>49948.0</v>
      </c>
      <c r="B1906" s="6">
        <v>2022.0</v>
      </c>
      <c r="C1906" s="6" t="str">
        <f t="shared" si="5"/>
        <v>154 HARDWICKE RD,Houston,TX</v>
      </c>
      <c r="D1906" s="6" t="s">
        <v>3321</v>
      </c>
      <c r="E1906" s="6" t="s">
        <v>25</v>
      </c>
      <c r="F1906" s="6" t="s">
        <v>1388</v>
      </c>
      <c r="G1906" s="6" t="s">
        <v>393</v>
      </c>
      <c r="H1906" s="6" t="s">
        <v>3295</v>
      </c>
      <c r="I1906" s="6" t="str">
        <f>VLOOKUP(H1906,'Flow Location'!$A$1:$B$21,2,FALSE)</f>
        <v>Contained On Site, not within 5 ft. of Bayou/Surface Water/Drainage Ditch</v>
      </c>
      <c r="J1906" s="20">
        <v>0.0</v>
      </c>
      <c r="K1906" s="6" t="s">
        <v>51</v>
      </c>
      <c r="L1906" s="6" t="str">
        <f>VLOOKUP(K1906,'Structure type'!$A$1:$B$15,2,FALSE)</f>
        <v>Private Cleanout</v>
      </c>
      <c r="M1906" s="6" t="s">
        <v>30</v>
      </c>
      <c r="N1906" s="6" t="str">
        <f>VLOOKUP(M1906,'Excursion Cause'!$A$1:$B$34,2,FALSE)</f>
        <v>Grease Blockage</v>
      </c>
      <c r="O1906" s="26">
        <v>44877.0</v>
      </c>
      <c r="P1906" s="27">
        <v>0.375</v>
      </c>
      <c r="Q1906" s="26">
        <v>44877.0</v>
      </c>
      <c r="R1906" s="27">
        <v>0.37569444444444444</v>
      </c>
      <c r="S1906" s="20">
        <v>0.0</v>
      </c>
      <c r="T1906" s="6" t="s">
        <v>59</v>
      </c>
      <c r="U1906" s="6"/>
      <c r="V1906" s="6"/>
      <c r="W1906" s="6">
        <v>29.9204696</v>
      </c>
      <c r="X1906" s="6">
        <v>-95.4039563</v>
      </c>
    </row>
    <row r="1907" ht="15.75" customHeight="1">
      <c r="A1907" s="6">
        <v>49949.0</v>
      </c>
      <c r="B1907" s="6">
        <v>2022.0</v>
      </c>
      <c r="C1907" s="6" t="str">
        <f t="shared" si="5"/>
        <v>8625 WINKLER DR,Houston,TX</v>
      </c>
      <c r="D1907" s="6" t="s">
        <v>1054</v>
      </c>
      <c r="E1907" s="6" t="s">
        <v>25</v>
      </c>
      <c r="F1907" s="6" t="s">
        <v>1388</v>
      </c>
      <c r="G1907" s="6" t="s">
        <v>135</v>
      </c>
      <c r="H1907" s="6" t="s">
        <v>28</v>
      </c>
      <c r="I1907" s="6" t="str">
        <f>VLOOKUP(H1907,'Flow Location'!$A$1:$B$21,2,FALSE)</f>
        <v>Storm Sewer (not contained)</v>
      </c>
      <c r="J1907" s="20">
        <v>1530.0</v>
      </c>
      <c r="K1907" s="6" t="s">
        <v>29</v>
      </c>
      <c r="L1907" s="6" t="str">
        <f>VLOOKUP(K1907,'Structure type'!$A$1:$B$15,2,FALSE)</f>
        <v>Manhole</v>
      </c>
      <c r="M1907" s="6" t="s">
        <v>30</v>
      </c>
      <c r="N1907" s="6" t="str">
        <f>VLOOKUP(M1907,'Excursion Cause'!$A$1:$B$34,2,FALSE)</f>
        <v>Grease Blockage</v>
      </c>
      <c r="O1907" s="26">
        <v>44877.0</v>
      </c>
      <c r="P1907" s="27">
        <v>0.4270833333333333</v>
      </c>
      <c r="Q1907" s="26">
        <v>44877.0</v>
      </c>
      <c r="R1907" s="27">
        <v>0.9583333333333334</v>
      </c>
      <c r="S1907" s="20">
        <v>2.0</v>
      </c>
      <c r="T1907" s="6" t="s">
        <v>59</v>
      </c>
      <c r="U1907" s="6"/>
      <c r="V1907" s="6"/>
      <c r="W1907" s="6">
        <v>29.6711435</v>
      </c>
      <c r="X1907" s="6">
        <v>-95.2599074</v>
      </c>
    </row>
    <row r="1908" ht="15.75" customHeight="1">
      <c r="A1908" s="6">
        <v>49950.0</v>
      </c>
      <c r="B1908" s="6">
        <v>2022.0</v>
      </c>
      <c r="C1908" s="6" t="str">
        <f t="shared" si="5"/>
        <v>9319 MCAVOY DR,Houston,TX</v>
      </c>
      <c r="D1908" s="6" t="s">
        <v>3322</v>
      </c>
      <c r="E1908" s="6" t="s">
        <v>25</v>
      </c>
      <c r="F1908" s="6" t="s">
        <v>1388</v>
      </c>
      <c r="G1908" s="6" t="s">
        <v>471</v>
      </c>
      <c r="H1908" s="6" t="s">
        <v>50</v>
      </c>
      <c r="I1908" s="6" t="str">
        <f>VLOOKUP(H1908,'Flow Location'!$A$1:$B$21,2,FALSE)</f>
        <v>Contained On Site, not within 5 ft. of Bayou/Surface Water/Drainage Ditch</v>
      </c>
      <c r="J1908" s="20">
        <v>0.0</v>
      </c>
      <c r="K1908" s="6" t="s">
        <v>290</v>
      </c>
      <c r="L1908" s="6" t="str">
        <f>VLOOKUP(K1908,'Structure type'!$A$1:$B$15,2,FALSE)</f>
        <v>Gravity Main</v>
      </c>
      <c r="M1908" s="6" t="s">
        <v>30</v>
      </c>
      <c r="N1908" s="6" t="str">
        <f>VLOOKUP(M1908,'Excursion Cause'!$A$1:$B$34,2,FALSE)</f>
        <v>Grease Blockage</v>
      </c>
      <c r="O1908" s="26">
        <v>44876.0</v>
      </c>
      <c r="P1908" s="27">
        <v>0.54375</v>
      </c>
      <c r="Q1908" s="26">
        <v>44876.0</v>
      </c>
      <c r="R1908" s="27">
        <v>0.5444444444444444</v>
      </c>
      <c r="S1908" s="20">
        <v>0.0</v>
      </c>
      <c r="T1908" s="6" t="s">
        <v>59</v>
      </c>
      <c r="U1908" s="6"/>
      <c r="V1908" s="6"/>
      <c r="W1908" s="6">
        <v>29.677769</v>
      </c>
      <c r="X1908" s="6">
        <v>-95.5039343</v>
      </c>
    </row>
    <row r="1909" ht="15.75" customHeight="1">
      <c r="A1909" s="6">
        <v>49952.0</v>
      </c>
      <c r="B1909" s="6">
        <v>2022.0</v>
      </c>
      <c r="C1909" s="6" t="str">
        <f t="shared" si="5"/>
        <v>4519 EDSEE ST,Houston,TX</v>
      </c>
      <c r="D1909" s="6" t="s">
        <v>3323</v>
      </c>
      <c r="E1909" s="6" t="s">
        <v>25</v>
      </c>
      <c r="F1909" s="6" t="s">
        <v>1388</v>
      </c>
      <c r="G1909" s="6" t="s">
        <v>161</v>
      </c>
      <c r="H1909" s="6" t="s">
        <v>28</v>
      </c>
      <c r="I1909" s="6" t="str">
        <f>VLOOKUP(H1909,'Flow Location'!$A$1:$B$21,2,FALSE)</f>
        <v>Storm Sewer (not contained)</v>
      </c>
      <c r="J1909" s="20">
        <v>132.0</v>
      </c>
      <c r="K1909" s="6" t="s">
        <v>29</v>
      </c>
      <c r="L1909" s="6" t="str">
        <f>VLOOKUP(K1909,'Structure type'!$A$1:$B$15,2,FALSE)</f>
        <v>Manhole</v>
      </c>
      <c r="M1909" s="6" t="s">
        <v>30</v>
      </c>
      <c r="N1909" s="6" t="str">
        <f>VLOOKUP(M1909,'Excursion Cause'!$A$1:$B$34,2,FALSE)</f>
        <v>Grease Blockage</v>
      </c>
      <c r="O1909" s="26">
        <v>44877.0</v>
      </c>
      <c r="P1909" s="27">
        <v>0.49166666666666664</v>
      </c>
      <c r="Q1909" s="26">
        <v>44877.0</v>
      </c>
      <c r="R1909" s="27">
        <v>0.5833333333333334</v>
      </c>
      <c r="S1909" s="20">
        <v>1.0</v>
      </c>
      <c r="T1909" s="6" t="s">
        <v>33</v>
      </c>
      <c r="U1909" s="6"/>
      <c r="V1909" s="6"/>
      <c r="W1909" s="6">
        <v>29.7986163</v>
      </c>
      <c r="X1909" s="6">
        <v>-95.380949</v>
      </c>
    </row>
    <row r="1910" ht="15.75" customHeight="1">
      <c r="A1910" s="6">
        <v>49964.0</v>
      </c>
      <c r="B1910" s="6">
        <v>2022.0</v>
      </c>
      <c r="C1910" s="6" t="str">
        <f t="shared" si="5"/>
        <v>16485 IMPERIAL VALLEY DR,Houston,TX</v>
      </c>
      <c r="D1910" s="6" t="s">
        <v>1124</v>
      </c>
      <c r="E1910" s="6" t="s">
        <v>25</v>
      </c>
      <c r="F1910" s="6" t="s">
        <v>1388</v>
      </c>
      <c r="G1910" s="6" t="s">
        <v>393</v>
      </c>
      <c r="H1910" s="6" t="s">
        <v>28</v>
      </c>
      <c r="I1910" s="6" t="str">
        <f>VLOOKUP(H1910,'Flow Location'!$A$1:$B$21,2,FALSE)</f>
        <v>Storm Sewer (not contained)</v>
      </c>
      <c r="J1910" s="20">
        <v>1500.0</v>
      </c>
      <c r="K1910" s="6" t="s">
        <v>29</v>
      </c>
      <c r="L1910" s="6" t="str">
        <f>VLOOKUP(K1910,'Structure type'!$A$1:$B$15,2,FALSE)</f>
        <v>Manhole</v>
      </c>
      <c r="M1910" s="6" t="s">
        <v>30</v>
      </c>
      <c r="N1910" s="6" t="str">
        <f>VLOOKUP(M1910,'Excursion Cause'!$A$1:$B$34,2,FALSE)</f>
        <v>Grease Blockage</v>
      </c>
      <c r="O1910" s="26">
        <v>44879.0</v>
      </c>
      <c r="P1910" s="27">
        <v>0.3854166666666667</v>
      </c>
      <c r="Q1910" s="26">
        <v>44879.0</v>
      </c>
      <c r="R1910" s="27">
        <v>0.4375</v>
      </c>
      <c r="S1910" s="20">
        <v>20.0</v>
      </c>
      <c r="T1910" s="6" t="s">
        <v>33</v>
      </c>
      <c r="U1910" s="6"/>
      <c r="V1910" s="6"/>
      <c r="W1910" s="6">
        <v>29.9376938</v>
      </c>
      <c r="X1910" s="6">
        <v>-95.3980762</v>
      </c>
    </row>
    <row r="1911" ht="15.75" customHeight="1">
      <c r="A1911" s="6">
        <v>49965.0</v>
      </c>
      <c r="B1911" s="6">
        <v>2022.0</v>
      </c>
      <c r="C1911" s="6" t="str">
        <f t="shared" si="5"/>
        <v>12003 VALLEY HILLS DR,Houston,TX</v>
      </c>
      <c r="D1911" s="6" t="s">
        <v>3324</v>
      </c>
      <c r="E1911" s="6" t="s">
        <v>25</v>
      </c>
      <c r="F1911" s="6" t="s">
        <v>1388</v>
      </c>
      <c r="G1911" s="6" t="s">
        <v>148</v>
      </c>
      <c r="H1911" s="6" t="s">
        <v>50</v>
      </c>
      <c r="I1911" s="6" t="str">
        <f>VLOOKUP(H1911,'Flow Location'!$A$1:$B$21,2,FALSE)</f>
        <v>Contained On Site, not within 5 ft. of Bayou/Surface Water/Drainage Ditch</v>
      </c>
      <c r="J1911" s="20">
        <v>0.0</v>
      </c>
      <c r="K1911" s="6" t="s">
        <v>29</v>
      </c>
      <c r="L1911" s="6" t="str">
        <f>VLOOKUP(K1911,'Structure type'!$A$1:$B$15,2,FALSE)</f>
        <v>Manhole</v>
      </c>
      <c r="M1911" s="6" t="s">
        <v>30</v>
      </c>
      <c r="N1911" s="6" t="str">
        <f>VLOOKUP(M1911,'Excursion Cause'!$A$1:$B$34,2,FALSE)</f>
        <v>Grease Blockage</v>
      </c>
      <c r="O1911" s="26">
        <v>44879.0</v>
      </c>
      <c r="P1911" s="27">
        <v>0.36736111111111114</v>
      </c>
      <c r="Q1911" s="26">
        <v>44879.0</v>
      </c>
      <c r="R1911" s="27">
        <v>0.3680555555555556</v>
      </c>
      <c r="S1911" s="20">
        <v>0.0</v>
      </c>
      <c r="T1911" s="6" t="s">
        <v>59</v>
      </c>
      <c r="U1911" s="6"/>
      <c r="V1911" s="6"/>
      <c r="W1911" s="6">
        <v>29.648019</v>
      </c>
      <c r="X1911" s="6">
        <v>-95.5152122</v>
      </c>
    </row>
    <row r="1912" ht="15.75" customHeight="1">
      <c r="A1912" s="6">
        <v>49971.0</v>
      </c>
      <c r="B1912" s="6">
        <v>2022.0</v>
      </c>
      <c r="C1912" s="6" t="str">
        <f t="shared" si="5"/>
        <v>2103 DAVIS ST,Houston,TX</v>
      </c>
      <c r="D1912" s="6" t="s">
        <v>1697</v>
      </c>
      <c r="E1912" s="6" t="s">
        <v>25</v>
      </c>
      <c r="F1912" s="6" t="s">
        <v>1388</v>
      </c>
      <c r="G1912" s="6" t="s">
        <v>43</v>
      </c>
      <c r="H1912" s="6" t="s">
        <v>44</v>
      </c>
      <c r="I1912" s="6" t="str">
        <f>VLOOKUP(H1912,'Flow Location'!$A$1:$B$21,2,FALSE)</f>
        <v>Bayou/surface water/drainage ditch</v>
      </c>
      <c r="J1912" s="20">
        <v>0.0</v>
      </c>
      <c r="K1912" s="6" t="s">
        <v>45</v>
      </c>
      <c r="L1912" s="6" t="str">
        <f>VLOOKUP(K1912,'Structure type'!$A$1:$B$15,2,FALSE)</f>
        <v>City Cleanout</v>
      </c>
      <c r="M1912" s="6" t="s">
        <v>30</v>
      </c>
      <c r="N1912" s="6" t="str">
        <f>VLOOKUP(M1912,'Excursion Cause'!$A$1:$B$34,2,FALSE)</f>
        <v>Grease Blockage</v>
      </c>
      <c r="O1912" s="26">
        <v>44879.0</v>
      </c>
      <c r="P1912" s="27">
        <v>0.5152777777777777</v>
      </c>
      <c r="Q1912" s="26">
        <v>44879.0</v>
      </c>
      <c r="R1912" s="27">
        <v>0.5159722222222223</v>
      </c>
      <c r="S1912" s="20">
        <v>0.0</v>
      </c>
      <c r="T1912" s="6" t="s">
        <v>74</v>
      </c>
      <c r="U1912" s="6"/>
      <c r="V1912" s="6"/>
      <c r="W1912" s="6">
        <v>29.7808694</v>
      </c>
      <c r="X1912" s="6">
        <v>-95.3431432</v>
      </c>
    </row>
    <row r="1913" ht="15.75" customHeight="1">
      <c r="A1913" s="6">
        <v>49974.0</v>
      </c>
      <c r="B1913" s="6">
        <v>2022.0</v>
      </c>
      <c r="C1913" s="6" t="str">
        <f t="shared" si="5"/>
        <v>6301 ALFANO ST,Houston,TX</v>
      </c>
      <c r="D1913" s="6" t="s">
        <v>1190</v>
      </c>
      <c r="E1913" s="6" t="s">
        <v>25</v>
      </c>
      <c r="F1913" s="6" t="s">
        <v>1388</v>
      </c>
      <c r="G1913" s="6" t="s">
        <v>275</v>
      </c>
      <c r="H1913" s="6" t="s">
        <v>50</v>
      </c>
      <c r="I1913" s="6" t="str">
        <f>VLOOKUP(H1913,'Flow Location'!$A$1:$B$21,2,FALSE)</f>
        <v>Contained On Site, not within 5 ft. of Bayou/Surface Water/Drainage Ditch</v>
      </c>
      <c r="J1913" s="20">
        <v>0.0</v>
      </c>
      <c r="K1913" s="6" t="s">
        <v>51</v>
      </c>
      <c r="L1913" s="6" t="str">
        <f>VLOOKUP(K1913,'Structure type'!$A$1:$B$15,2,FALSE)</f>
        <v>Private Cleanout</v>
      </c>
      <c r="M1913" s="6" t="s">
        <v>30</v>
      </c>
      <c r="N1913" s="6" t="str">
        <f>VLOOKUP(M1913,'Excursion Cause'!$A$1:$B$34,2,FALSE)</f>
        <v>Grease Blockage</v>
      </c>
      <c r="O1913" s="26">
        <v>44880.0</v>
      </c>
      <c r="P1913" s="27">
        <v>0.3784722222222222</v>
      </c>
      <c r="Q1913" s="26">
        <v>44880.0</v>
      </c>
      <c r="R1913" s="27">
        <v>0.37916666666666665</v>
      </c>
      <c r="S1913" s="20">
        <v>0.0</v>
      </c>
      <c r="T1913" s="6" t="s">
        <v>33</v>
      </c>
      <c r="U1913" s="6"/>
      <c r="V1913" s="6"/>
      <c r="W1913" s="6">
        <v>29.8562371</v>
      </c>
      <c r="X1913" s="6">
        <v>-95.3940778</v>
      </c>
    </row>
    <row r="1914" ht="15.75" customHeight="1">
      <c r="A1914" s="6">
        <v>49981.0</v>
      </c>
      <c r="B1914" s="6">
        <v>2022.0</v>
      </c>
      <c r="C1914" s="6" t="str">
        <f t="shared" si="5"/>
        <v>8625 WINKLER DR,Houston,TX</v>
      </c>
      <c r="D1914" s="6" t="s">
        <v>1054</v>
      </c>
      <c r="E1914" s="6" t="s">
        <v>25</v>
      </c>
      <c r="F1914" s="6" t="s">
        <v>1388</v>
      </c>
      <c r="G1914" s="6" t="s">
        <v>135</v>
      </c>
      <c r="H1914" s="6" t="s">
        <v>28</v>
      </c>
      <c r="I1914" s="6" t="str">
        <f>VLOOKUP(H1914,'Flow Location'!$A$1:$B$21,2,FALSE)</f>
        <v>Storm Sewer (not contained)</v>
      </c>
      <c r="J1914" s="20">
        <v>752.0</v>
      </c>
      <c r="K1914" s="6" t="s">
        <v>29</v>
      </c>
      <c r="L1914" s="6" t="str">
        <f>VLOOKUP(K1914,'Structure type'!$A$1:$B$15,2,FALSE)</f>
        <v>Manhole</v>
      </c>
      <c r="M1914" s="6" t="s">
        <v>30</v>
      </c>
      <c r="N1914" s="6" t="str">
        <f>VLOOKUP(M1914,'Excursion Cause'!$A$1:$B$34,2,FALSE)</f>
        <v>Grease Blockage</v>
      </c>
      <c r="O1914" s="26">
        <v>44880.0</v>
      </c>
      <c r="P1914" s="27">
        <v>0.5347222222222222</v>
      </c>
      <c r="Q1914" s="26">
        <v>44880.0</v>
      </c>
      <c r="R1914" s="27">
        <v>0.7958333333333333</v>
      </c>
      <c r="S1914" s="20">
        <v>2.0</v>
      </c>
      <c r="T1914" s="6" t="s">
        <v>107</v>
      </c>
      <c r="U1914" s="6"/>
      <c r="V1914" s="6"/>
      <c r="W1914" s="6">
        <v>29.6711435</v>
      </c>
      <c r="X1914" s="6">
        <v>-95.2599074</v>
      </c>
    </row>
    <row r="1915" ht="15.75" customHeight="1">
      <c r="A1915" s="6">
        <v>49984.0</v>
      </c>
      <c r="B1915" s="6">
        <v>2022.0</v>
      </c>
      <c r="C1915" s="6" t="str">
        <f t="shared" si="5"/>
        <v>14430 MINETTA ST,Houston,TX</v>
      </c>
      <c r="D1915" s="6" t="s">
        <v>1954</v>
      </c>
      <c r="E1915" s="6" t="s">
        <v>25</v>
      </c>
      <c r="F1915" s="6" t="s">
        <v>1388</v>
      </c>
      <c r="G1915" s="6" t="s">
        <v>127</v>
      </c>
      <c r="H1915" s="6" t="s">
        <v>50</v>
      </c>
      <c r="I1915" s="6" t="str">
        <f>VLOOKUP(H1915,'Flow Location'!$A$1:$B$21,2,FALSE)</f>
        <v>Contained On Site, not within 5 ft. of Bayou/Surface Water/Drainage Ditch</v>
      </c>
      <c r="J1915" s="20">
        <v>0.0</v>
      </c>
      <c r="K1915" s="6" t="s">
        <v>45</v>
      </c>
      <c r="L1915" s="6" t="str">
        <f>VLOOKUP(K1915,'Structure type'!$A$1:$B$15,2,FALSE)</f>
        <v>City Cleanout</v>
      </c>
      <c r="M1915" s="6" t="s">
        <v>56</v>
      </c>
      <c r="N1915" s="6" t="str">
        <f>VLOOKUP(M1915,'Excursion Cause'!$A$1:$B$34,2,FALSE)</f>
        <v>Rags/Wipes</v>
      </c>
      <c r="O1915" s="26">
        <v>44881.0</v>
      </c>
      <c r="P1915" s="27">
        <v>0.4027777777777778</v>
      </c>
      <c r="Q1915" s="26">
        <v>44881.0</v>
      </c>
      <c r="R1915" s="27">
        <v>0.6236111111111111</v>
      </c>
      <c r="S1915" s="20">
        <v>0.0</v>
      </c>
      <c r="T1915" s="6" t="s">
        <v>74</v>
      </c>
      <c r="U1915" s="6"/>
      <c r="V1915" s="6"/>
      <c r="W1915" s="6">
        <v>29.6363399</v>
      </c>
      <c r="X1915" s="6">
        <v>-95.5017682</v>
      </c>
    </row>
    <row r="1916" ht="15.75" customHeight="1">
      <c r="A1916" s="6">
        <v>49986.0</v>
      </c>
      <c r="B1916" s="6">
        <v>2022.0</v>
      </c>
      <c r="C1916" s="6" t="str">
        <f t="shared" si="5"/>
        <v>8625 WINKLER DR,Houston,TX</v>
      </c>
      <c r="D1916" s="6" t="s">
        <v>1054</v>
      </c>
      <c r="E1916" s="6" t="s">
        <v>25</v>
      </c>
      <c r="F1916" s="6" t="s">
        <v>1388</v>
      </c>
      <c r="G1916" s="6" t="s">
        <v>135</v>
      </c>
      <c r="H1916" s="6" t="s">
        <v>28</v>
      </c>
      <c r="I1916" s="6" t="str">
        <f>VLOOKUP(H1916,'Flow Location'!$A$1:$B$21,2,FALSE)</f>
        <v>Storm Sewer (not contained)</v>
      </c>
      <c r="J1916" s="20">
        <v>336.0</v>
      </c>
      <c r="K1916" s="6" t="s">
        <v>29</v>
      </c>
      <c r="L1916" s="6" t="str">
        <f>VLOOKUP(K1916,'Structure type'!$A$1:$B$15,2,FALSE)</f>
        <v>Manhole</v>
      </c>
      <c r="M1916" s="6" t="s">
        <v>30</v>
      </c>
      <c r="N1916" s="6" t="str">
        <f>VLOOKUP(M1916,'Excursion Cause'!$A$1:$B$34,2,FALSE)</f>
        <v>Grease Blockage</v>
      </c>
      <c r="O1916" s="26">
        <v>44881.0</v>
      </c>
      <c r="P1916" s="27">
        <v>0.4048611111111111</v>
      </c>
      <c r="Q1916" s="26">
        <v>44881.0</v>
      </c>
      <c r="R1916" s="27">
        <v>0.4826388888888889</v>
      </c>
      <c r="S1916" s="20">
        <v>3.0</v>
      </c>
      <c r="T1916" s="6" t="s">
        <v>59</v>
      </c>
      <c r="U1916" s="6"/>
      <c r="V1916" s="6"/>
      <c r="W1916" s="6">
        <v>29.6711435</v>
      </c>
      <c r="X1916" s="6">
        <v>-95.2599074</v>
      </c>
    </row>
    <row r="1917" ht="15.75" customHeight="1">
      <c r="A1917" s="6">
        <v>49991.0</v>
      </c>
      <c r="B1917" s="6">
        <v>2022.0</v>
      </c>
      <c r="C1917" s="6" t="str">
        <f t="shared" si="5"/>
        <v>9905 HADDICK ST,Houston,TX</v>
      </c>
      <c r="D1917" s="6" t="s">
        <v>1107</v>
      </c>
      <c r="E1917" s="6" t="s">
        <v>25</v>
      </c>
      <c r="F1917" s="6" t="s">
        <v>1388</v>
      </c>
      <c r="G1917" s="6" t="s">
        <v>387</v>
      </c>
      <c r="H1917" s="6" t="s">
        <v>50</v>
      </c>
      <c r="I1917" s="6" t="str">
        <f>VLOOKUP(H1917,'Flow Location'!$A$1:$B$21,2,FALSE)</f>
        <v>Contained On Site, not within 5 ft. of Bayou/Surface Water/Drainage Ditch</v>
      </c>
      <c r="J1917" s="20">
        <v>0.0</v>
      </c>
      <c r="K1917" s="6" t="s">
        <v>45</v>
      </c>
      <c r="L1917" s="6" t="str">
        <f>VLOOKUP(K1917,'Structure type'!$A$1:$B$15,2,FALSE)</f>
        <v>City Cleanout</v>
      </c>
      <c r="M1917" s="6" t="s">
        <v>56</v>
      </c>
      <c r="N1917" s="6" t="str">
        <f>VLOOKUP(M1917,'Excursion Cause'!$A$1:$B$34,2,FALSE)</f>
        <v>Rags/Wipes</v>
      </c>
      <c r="O1917" s="26">
        <v>44881.0</v>
      </c>
      <c r="P1917" s="27">
        <v>0.43125</v>
      </c>
      <c r="Q1917" s="26">
        <v>44881.0</v>
      </c>
      <c r="R1917" s="27">
        <v>0.43194444444444446</v>
      </c>
      <c r="S1917" s="20">
        <v>0.0</v>
      </c>
      <c r="T1917" s="6" t="s">
        <v>74</v>
      </c>
      <c r="U1917" s="6"/>
      <c r="V1917" s="6"/>
      <c r="W1917" s="6">
        <v>29.85744</v>
      </c>
      <c r="X1917" s="6">
        <v>-95.2719741</v>
      </c>
    </row>
    <row r="1918" ht="15.75" customHeight="1">
      <c r="A1918" s="6">
        <v>49992.0</v>
      </c>
      <c r="B1918" s="6">
        <v>2022.0</v>
      </c>
      <c r="C1918" s="6" t="str">
        <f t="shared" si="5"/>
        <v>14875 WATERLOO DR,Houston,TX</v>
      </c>
      <c r="D1918" s="6" t="s">
        <v>3311</v>
      </c>
      <c r="E1918" s="6" t="s">
        <v>25</v>
      </c>
      <c r="F1918" s="6" t="s">
        <v>1388</v>
      </c>
      <c r="G1918" s="6" t="s">
        <v>517</v>
      </c>
      <c r="H1918" s="6" t="s">
        <v>50</v>
      </c>
      <c r="I1918" s="6" t="str">
        <f>VLOOKUP(H1918,'Flow Location'!$A$1:$B$21,2,FALSE)</f>
        <v>Contained On Site, not within 5 ft. of Bayou/Surface Water/Drainage Ditch</v>
      </c>
      <c r="J1918" s="20">
        <v>1996.0</v>
      </c>
      <c r="K1918" s="6" t="s">
        <v>45</v>
      </c>
      <c r="L1918" s="6" t="str">
        <f>VLOOKUP(K1918,'Structure type'!$A$1:$B$15,2,FALSE)</f>
        <v>City Cleanout</v>
      </c>
      <c r="M1918" s="6" t="s">
        <v>30</v>
      </c>
      <c r="N1918" s="6" t="str">
        <f>VLOOKUP(M1918,'Excursion Cause'!$A$1:$B$34,2,FALSE)</f>
        <v>Grease Blockage</v>
      </c>
      <c r="O1918" s="26">
        <v>44881.0</v>
      </c>
      <c r="P1918" s="27">
        <v>0.46041666666666664</v>
      </c>
      <c r="Q1918" s="26">
        <v>44882.0</v>
      </c>
      <c r="R1918" s="27">
        <v>0.7083333333333334</v>
      </c>
      <c r="S1918" s="20">
        <v>1.0</v>
      </c>
      <c r="T1918" s="6" t="s">
        <v>170</v>
      </c>
      <c r="U1918" s="6"/>
      <c r="V1918" s="6"/>
      <c r="W1918" s="6">
        <v>29.611402</v>
      </c>
      <c r="X1918" s="6">
        <v>-95.4229971</v>
      </c>
    </row>
    <row r="1919" ht="15.75" customHeight="1">
      <c r="A1919" s="6">
        <v>49995.0</v>
      </c>
      <c r="B1919" s="6">
        <v>2022.0</v>
      </c>
      <c r="C1919" s="6" t="str">
        <f t="shared" si="5"/>
        <v>4615 SMOOTH OAK LN,Houston,TX</v>
      </c>
      <c r="D1919" s="6" t="s">
        <v>3325</v>
      </c>
      <c r="E1919" s="6" t="s">
        <v>25</v>
      </c>
      <c r="F1919" s="6" t="s">
        <v>1388</v>
      </c>
      <c r="G1919" s="6" t="s">
        <v>517</v>
      </c>
      <c r="H1919" s="6" t="s">
        <v>50</v>
      </c>
      <c r="I1919" s="6" t="str">
        <f>VLOOKUP(H1919,'Flow Location'!$A$1:$B$21,2,FALSE)</f>
        <v>Contained On Site, not within 5 ft. of Bayou/Surface Water/Drainage Ditch</v>
      </c>
      <c r="J1919" s="20">
        <v>0.0</v>
      </c>
      <c r="K1919" s="6" t="s">
        <v>29</v>
      </c>
      <c r="L1919" s="6" t="str">
        <f>VLOOKUP(K1919,'Structure type'!$A$1:$B$15,2,FALSE)</f>
        <v>Manhole</v>
      </c>
      <c r="M1919" s="6" t="s">
        <v>30</v>
      </c>
      <c r="N1919" s="6" t="str">
        <f>VLOOKUP(M1919,'Excursion Cause'!$A$1:$B$34,2,FALSE)</f>
        <v>Grease Blockage</v>
      </c>
      <c r="O1919" s="26">
        <v>44880.0</v>
      </c>
      <c r="P1919" s="27">
        <v>0.40208333333333335</v>
      </c>
      <c r="Q1919" s="26">
        <v>44880.0</v>
      </c>
      <c r="R1919" s="27">
        <v>0.4027777777777778</v>
      </c>
      <c r="S1919" s="20">
        <v>0.0</v>
      </c>
      <c r="T1919" s="6" t="s">
        <v>59</v>
      </c>
      <c r="U1919" s="6"/>
      <c r="V1919" s="6"/>
      <c r="W1919" s="6">
        <v>29.6109644</v>
      </c>
      <c r="X1919" s="6">
        <v>-95.4475706</v>
      </c>
    </row>
    <row r="1920" ht="15.75" customHeight="1">
      <c r="A1920" s="6">
        <v>49996.0</v>
      </c>
      <c r="B1920" s="6">
        <v>2022.0</v>
      </c>
      <c r="C1920" s="6" t="str">
        <f t="shared" si="5"/>
        <v>12813 ARP ST,Houston,TX</v>
      </c>
      <c r="D1920" s="6" t="s">
        <v>3326</v>
      </c>
      <c r="E1920" s="6" t="s">
        <v>25</v>
      </c>
      <c r="F1920" s="6" t="s">
        <v>1388</v>
      </c>
      <c r="G1920" s="6" t="s">
        <v>384</v>
      </c>
      <c r="H1920" s="6" t="s">
        <v>28</v>
      </c>
      <c r="I1920" s="6" t="str">
        <f>VLOOKUP(H1920,'Flow Location'!$A$1:$B$21,2,FALSE)</f>
        <v>Storm Sewer (not contained)</v>
      </c>
      <c r="J1920" s="20">
        <v>0.0</v>
      </c>
      <c r="K1920" s="6" t="s">
        <v>29</v>
      </c>
      <c r="L1920" s="6" t="str">
        <f>VLOOKUP(K1920,'Structure type'!$A$1:$B$15,2,FALSE)</f>
        <v>Manhole</v>
      </c>
      <c r="M1920" s="6" t="s">
        <v>30</v>
      </c>
      <c r="N1920" s="6" t="str">
        <f>VLOOKUP(M1920,'Excursion Cause'!$A$1:$B$34,2,FALSE)</f>
        <v>Grease Blockage</v>
      </c>
      <c r="O1920" s="26">
        <v>44881.0</v>
      </c>
      <c r="P1920" s="27">
        <v>0.5875</v>
      </c>
      <c r="Q1920" s="26">
        <v>44881.0</v>
      </c>
      <c r="R1920" s="27">
        <v>0.5881944444444445</v>
      </c>
      <c r="S1920" s="20">
        <v>0.0</v>
      </c>
      <c r="T1920" s="6" t="s">
        <v>33</v>
      </c>
      <c r="U1920" s="6"/>
      <c r="V1920" s="6"/>
      <c r="W1920" s="6">
        <v>29.6188107</v>
      </c>
      <c r="X1920" s="6">
        <v>-95.4977936</v>
      </c>
    </row>
    <row r="1921" ht="15.75" customHeight="1">
      <c r="A1921" s="6">
        <v>50005.0</v>
      </c>
      <c r="B1921" s="6">
        <v>2022.0</v>
      </c>
      <c r="C1921" s="6" t="str">
        <f t="shared" si="5"/>
        <v>7557 MAIN ST,Houston,TX</v>
      </c>
      <c r="D1921" s="6" t="s">
        <v>2558</v>
      </c>
      <c r="E1921" s="6" t="s">
        <v>25</v>
      </c>
      <c r="F1921" s="6" t="s">
        <v>1388</v>
      </c>
      <c r="G1921" s="6" t="s">
        <v>512</v>
      </c>
      <c r="H1921" s="6" t="s">
        <v>3327</v>
      </c>
      <c r="I1921" s="6" t="str">
        <f>VLOOKUP(H1921,'Flow Location'!$A$1:$B$21,2,FALSE)</f>
        <v>Contained On Site, not within 5 ft. of Bayou/Surface Water/Drainage Ditch</v>
      </c>
      <c r="J1921" s="20">
        <v>240.0</v>
      </c>
      <c r="K1921" s="6" t="s">
        <v>29</v>
      </c>
      <c r="L1921" s="6" t="str">
        <f>VLOOKUP(K1921,'Structure type'!$A$1:$B$15,2,FALSE)</f>
        <v>Manhole</v>
      </c>
      <c r="M1921" s="6" t="s">
        <v>30</v>
      </c>
      <c r="N1921" s="6" t="str">
        <f>VLOOKUP(M1921,'Excursion Cause'!$A$1:$B$34,2,FALSE)</f>
        <v>Grease Blockage</v>
      </c>
      <c r="O1921" s="26">
        <v>44882.0</v>
      </c>
      <c r="P1921" s="27">
        <v>0.5875</v>
      </c>
      <c r="Q1921" s="26">
        <v>44882.0</v>
      </c>
      <c r="R1921" s="27">
        <v>0.6708333333333333</v>
      </c>
      <c r="S1921" s="20">
        <v>2.0</v>
      </c>
      <c r="T1921" s="6" t="s">
        <v>59</v>
      </c>
      <c r="U1921" s="6"/>
      <c r="V1921" s="6"/>
      <c r="W1921" s="6">
        <v>29.6980784</v>
      </c>
      <c r="X1921" s="6">
        <v>-95.4110134</v>
      </c>
    </row>
    <row r="1922" ht="15.75" customHeight="1">
      <c r="A1922" s="6">
        <v>50006.0</v>
      </c>
      <c r="B1922" s="6">
        <v>2022.0</v>
      </c>
      <c r="C1922" s="6" t="str">
        <f t="shared" si="5"/>
        <v>11303 SHARPVIEW DR,Houston,TX</v>
      </c>
      <c r="D1922" s="6" t="s">
        <v>3328</v>
      </c>
      <c r="E1922" s="6" t="s">
        <v>25</v>
      </c>
      <c r="F1922" s="6" t="s">
        <v>1388</v>
      </c>
      <c r="G1922" s="6" t="s">
        <v>91</v>
      </c>
      <c r="H1922" s="6" t="s">
        <v>3295</v>
      </c>
      <c r="I1922" s="6" t="str">
        <f>VLOOKUP(H1922,'Flow Location'!$A$1:$B$21,2,FALSE)</f>
        <v>Contained On Site, not within 5 ft. of Bayou/Surface Water/Drainage Ditch</v>
      </c>
      <c r="J1922" s="20">
        <v>239.0</v>
      </c>
      <c r="K1922" s="6" t="s">
        <v>51</v>
      </c>
      <c r="L1922" s="6" t="str">
        <f>VLOOKUP(K1922,'Structure type'!$A$1:$B$15,2,FALSE)</f>
        <v>Private Cleanout</v>
      </c>
      <c r="M1922" s="6" t="s">
        <v>3329</v>
      </c>
      <c r="N1922" s="6" t="str">
        <f>VLOOKUP(M1922,'Excursion Cause'!$A$1:$B$34,2,FALSE)</f>
        <v>Collection system temporary blockage</v>
      </c>
      <c r="O1922" s="26">
        <v>44882.0</v>
      </c>
      <c r="P1922" s="27">
        <v>0.6034722222222222</v>
      </c>
      <c r="Q1922" s="26">
        <v>44882.0</v>
      </c>
      <c r="R1922" s="27">
        <v>0.7694444444444445</v>
      </c>
      <c r="S1922" s="20">
        <v>1.0</v>
      </c>
      <c r="T1922" s="6" t="s">
        <v>474</v>
      </c>
      <c r="U1922" s="6"/>
      <c r="V1922" s="6"/>
      <c r="W1922" s="6">
        <v>29.6988283</v>
      </c>
      <c r="X1922" s="6">
        <v>-95.5779033</v>
      </c>
    </row>
    <row r="1923" ht="15.75" customHeight="1">
      <c r="A1923" s="6">
        <v>50007.0</v>
      </c>
      <c r="B1923" s="6">
        <v>2022.0</v>
      </c>
      <c r="C1923" s="6" t="str">
        <f t="shared" si="5"/>
        <v>1849 COLQUITT ST,Houston,TX</v>
      </c>
      <c r="D1923" s="6" t="s">
        <v>3330</v>
      </c>
      <c r="E1923" s="6" t="s">
        <v>25</v>
      </c>
      <c r="F1923" s="6" t="s">
        <v>1388</v>
      </c>
      <c r="G1923" s="6" t="s">
        <v>112</v>
      </c>
      <c r="H1923" s="6" t="s">
        <v>28</v>
      </c>
      <c r="I1923" s="6" t="str">
        <f>VLOOKUP(H1923,'Flow Location'!$A$1:$B$21,2,FALSE)</f>
        <v>Storm Sewer (not contained)</v>
      </c>
      <c r="J1923" s="20">
        <v>1571.0</v>
      </c>
      <c r="K1923" s="6" t="s">
        <v>45</v>
      </c>
      <c r="L1923" s="6" t="str">
        <f>VLOOKUP(K1923,'Structure type'!$A$1:$B$15,2,FALSE)</f>
        <v>City Cleanout</v>
      </c>
      <c r="M1923" s="6" t="s">
        <v>366</v>
      </c>
      <c r="N1923" s="6" t="str">
        <f>VLOOKUP(M1923,'Excursion Cause'!$A$1:$B$34,2,FALSE)</f>
        <v>Collection system structural blockage</v>
      </c>
      <c r="O1923" s="26">
        <v>44882.0</v>
      </c>
      <c r="P1923" s="27">
        <v>0.7243055555555555</v>
      </c>
      <c r="Q1923" s="26">
        <v>44883.0</v>
      </c>
      <c r="R1923" s="27">
        <v>0.4513888888888889</v>
      </c>
      <c r="S1923" s="20">
        <v>2.0</v>
      </c>
      <c r="T1923" s="6" t="s">
        <v>170</v>
      </c>
      <c r="U1923" s="6"/>
      <c r="V1923" s="6"/>
      <c r="W1923" s="6">
        <v>29.7349492</v>
      </c>
      <c r="X1923" s="6">
        <v>-95.4067508</v>
      </c>
    </row>
    <row r="1924" ht="15.75" customHeight="1">
      <c r="A1924" s="6">
        <v>50011.0</v>
      </c>
      <c r="B1924" s="6">
        <v>2022.0</v>
      </c>
      <c r="C1924" s="6" t="str">
        <f t="shared" si="5"/>
        <v>17404 KATY FWY,Houston,TX</v>
      </c>
      <c r="D1924" s="6" t="s">
        <v>3331</v>
      </c>
      <c r="E1924" s="6" t="s">
        <v>25</v>
      </c>
      <c r="F1924" s="6" t="s">
        <v>1388</v>
      </c>
      <c r="G1924" s="6" t="s">
        <v>3332</v>
      </c>
      <c r="H1924" s="6" t="s">
        <v>28</v>
      </c>
      <c r="I1924" s="6" t="str">
        <f>VLOOKUP(H1924,'Flow Location'!$A$1:$B$21,2,FALSE)</f>
        <v>Storm Sewer (not contained)</v>
      </c>
      <c r="J1924" s="20">
        <v>156.0</v>
      </c>
      <c r="K1924" s="6" t="s">
        <v>29</v>
      </c>
      <c r="L1924" s="6" t="str">
        <f>VLOOKUP(K1924,'Structure type'!$A$1:$B$15,2,FALSE)</f>
        <v>Manhole</v>
      </c>
      <c r="M1924" s="6" t="s">
        <v>30</v>
      </c>
      <c r="N1924" s="6" t="str">
        <f>VLOOKUP(M1924,'Excursion Cause'!$A$1:$B$34,2,FALSE)</f>
        <v>Grease Blockage</v>
      </c>
      <c r="O1924" s="26">
        <v>44883.0</v>
      </c>
      <c r="P1924" s="27">
        <v>0.45625</v>
      </c>
      <c r="Q1924" s="26">
        <v>44883.0</v>
      </c>
      <c r="R1924" s="27">
        <v>0.5645833333333333</v>
      </c>
      <c r="S1924" s="20">
        <v>1.0</v>
      </c>
      <c r="T1924" s="6" t="s">
        <v>33</v>
      </c>
      <c r="U1924" s="6"/>
      <c r="V1924" s="6"/>
      <c r="W1924" s="6">
        <v>29.7873741</v>
      </c>
      <c r="X1924" s="6">
        <v>-95.6836809</v>
      </c>
    </row>
    <row r="1925" ht="15.75" customHeight="1">
      <c r="A1925" s="6">
        <v>50016.0</v>
      </c>
      <c r="B1925" s="6">
        <v>2022.0</v>
      </c>
      <c r="C1925" s="6" t="str">
        <f t="shared" si="5"/>
        <v>2333 BERRY RD,Houston,TX</v>
      </c>
      <c r="D1925" s="6" t="s">
        <v>3333</v>
      </c>
      <c r="E1925" s="6" t="s">
        <v>25</v>
      </c>
      <c r="F1925" s="6" t="s">
        <v>1388</v>
      </c>
      <c r="G1925" s="6" t="s">
        <v>109</v>
      </c>
      <c r="H1925" s="6" t="s">
        <v>28</v>
      </c>
      <c r="I1925" s="6" t="str">
        <f>VLOOKUP(H1925,'Flow Location'!$A$1:$B$21,2,FALSE)</f>
        <v>Storm Sewer (not contained)</v>
      </c>
      <c r="J1925" s="20">
        <v>76.0</v>
      </c>
      <c r="K1925" s="6" t="s">
        <v>45</v>
      </c>
      <c r="L1925" s="6" t="str">
        <f>VLOOKUP(K1925,'Structure type'!$A$1:$B$15,2,FALSE)</f>
        <v>City Cleanout</v>
      </c>
      <c r="M1925" s="6" t="s">
        <v>56</v>
      </c>
      <c r="N1925" s="6" t="str">
        <f>VLOOKUP(M1925,'Excursion Cause'!$A$1:$B$34,2,FALSE)</f>
        <v>Rags/Wipes</v>
      </c>
      <c r="O1925" s="26">
        <v>44883.0</v>
      </c>
      <c r="P1925" s="27">
        <v>0.6902777777777778</v>
      </c>
      <c r="Q1925" s="26">
        <v>44883.0</v>
      </c>
      <c r="R1925" s="27">
        <v>0.7430555555555556</v>
      </c>
      <c r="S1925" s="20">
        <v>1.0</v>
      </c>
      <c r="T1925" s="6" t="s">
        <v>74</v>
      </c>
      <c r="U1925" s="6"/>
      <c r="V1925" s="6"/>
      <c r="W1925" s="6">
        <v>29.8379065</v>
      </c>
      <c r="X1925" s="6">
        <v>-95.3487567</v>
      </c>
    </row>
    <row r="1926" ht="15.75" customHeight="1">
      <c r="A1926" s="6">
        <v>50018.0</v>
      </c>
      <c r="B1926" s="6">
        <v>2022.0</v>
      </c>
      <c r="C1926" s="6" t="str">
        <f t="shared" si="5"/>
        <v>300 W 20TH ST,Houston,TX</v>
      </c>
      <c r="D1926" s="6" t="s">
        <v>3334</v>
      </c>
      <c r="E1926" s="6" t="s">
        <v>25</v>
      </c>
      <c r="F1926" s="6" t="s">
        <v>1388</v>
      </c>
      <c r="G1926" s="6" t="s">
        <v>232</v>
      </c>
      <c r="H1926" s="6" t="s">
        <v>3327</v>
      </c>
      <c r="I1926" s="6" t="str">
        <f>VLOOKUP(H1926,'Flow Location'!$A$1:$B$21,2,FALSE)</f>
        <v>Contained On Site, not within 5 ft. of Bayou/Surface Water/Drainage Ditch</v>
      </c>
      <c r="J1926" s="20">
        <v>4424.0</v>
      </c>
      <c r="K1926" s="6" t="s">
        <v>51</v>
      </c>
      <c r="L1926" s="6" t="str">
        <f>VLOOKUP(K1926,'Structure type'!$A$1:$B$15,2,FALSE)</f>
        <v>Private Cleanout</v>
      </c>
      <c r="M1926" s="6" t="s">
        <v>3250</v>
      </c>
      <c r="N1926" s="6" t="str">
        <f>VLOOKUP(M1926,'Excursion Cause'!$A$1:$B$34,2,FALSE)</f>
        <v>Collection system structural blockage</v>
      </c>
      <c r="O1926" s="26">
        <v>44883.0</v>
      </c>
      <c r="P1926" s="27">
        <v>0.7125</v>
      </c>
      <c r="Q1926" s="26">
        <v>44886.0</v>
      </c>
      <c r="R1926" s="27">
        <v>0.7847222222222222</v>
      </c>
      <c r="S1926" s="20">
        <v>1.0</v>
      </c>
      <c r="T1926" s="6" t="s">
        <v>59</v>
      </c>
      <c r="U1926" s="6"/>
      <c r="V1926" s="6"/>
      <c r="W1926" s="6">
        <v>29.8036991</v>
      </c>
      <c r="X1926" s="6">
        <v>-95.4017064</v>
      </c>
    </row>
    <row r="1927" ht="15.75" customHeight="1">
      <c r="A1927" s="6">
        <v>50019.0</v>
      </c>
      <c r="B1927" s="6">
        <v>2022.0</v>
      </c>
      <c r="C1927" s="6" t="str">
        <f t="shared" si="5"/>
        <v>11303 SHARPVIEW DR,Houston,TX</v>
      </c>
      <c r="D1927" s="6" t="s">
        <v>3328</v>
      </c>
      <c r="E1927" s="6" t="s">
        <v>25</v>
      </c>
      <c r="F1927" s="6" t="s">
        <v>1388</v>
      </c>
      <c r="G1927" s="6" t="s">
        <v>91</v>
      </c>
      <c r="H1927" s="6" t="s">
        <v>28</v>
      </c>
      <c r="I1927" s="6" t="str">
        <f>VLOOKUP(H1927,'Flow Location'!$A$1:$B$21,2,FALSE)</f>
        <v>Storm Sewer (not contained)</v>
      </c>
      <c r="J1927" s="20">
        <v>169.0</v>
      </c>
      <c r="K1927" s="6" t="s">
        <v>51</v>
      </c>
      <c r="L1927" s="6" t="str">
        <f>VLOOKUP(K1927,'Structure type'!$A$1:$B$15,2,FALSE)</f>
        <v>Private Cleanout</v>
      </c>
      <c r="M1927" s="6" t="s">
        <v>81</v>
      </c>
      <c r="N1927" s="6" t="str">
        <f>VLOOKUP(M1927,'Excursion Cause'!$A$1:$B$34,2,FALSE)</f>
        <v>Collection system structural failure</v>
      </c>
      <c r="O1927" s="26">
        <v>44883.0</v>
      </c>
      <c r="P1927" s="27">
        <v>0.7159722222222222</v>
      </c>
      <c r="Q1927" s="26">
        <v>44883.0</v>
      </c>
      <c r="R1927" s="27">
        <v>0.8333333333333334</v>
      </c>
      <c r="S1927" s="20">
        <v>1.0</v>
      </c>
      <c r="T1927" s="6" t="s">
        <v>2099</v>
      </c>
      <c r="U1927" s="6"/>
      <c r="V1927" s="6"/>
      <c r="W1927" s="6">
        <v>29.6988283</v>
      </c>
      <c r="X1927" s="6">
        <v>-95.5779033</v>
      </c>
    </row>
    <row r="1928" ht="15.75" customHeight="1">
      <c r="A1928" s="6">
        <v>50020.0</v>
      </c>
      <c r="B1928" s="6">
        <v>2022.0</v>
      </c>
      <c r="C1928" s="6" t="str">
        <f t="shared" si="5"/>
        <v>12938 WESTELLA DR,Houston,TX</v>
      </c>
      <c r="D1928" s="6" t="s">
        <v>3335</v>
      </c>
      <c r="E1928" s="6" t="s">
        <v>25</v>
      </c>
      <c r="F1928" s="6" t="s">
        <v>1388</v>
      </c>
      <c r="G1928" s="6" t="s">
        <v>347</v>
      </c>
      <c r="H1928" s="6" t="s">
        <v>50</v>
      </c>
      <c r="I1928" s="6" t="str">
        <f>VLOOKUP(H1928,'Flow Location'!$A$1:$B$21,2,FALSE)</f>
        <v>Contained On Site, not within 5 ft. of Bayou/Surface Water/Drainage Ditch</v>
      </c>
      <c r="J1928" s="20">
        <v>0.0</v>
      </c>
      <c r="K1928" s="6" t="s">
        <v>51</v>
      </c>
      <c r="L1928" s="6" t="str">
        <f>VLOOKUP(K1928,'Structure type'!$A$1:$B$15,2,FALSE)</f>
        <v>Private Cleanout</v>
      </c>
      <c r="M1928" s="6" t="s">
        <v>52</v>
      </c>
      <c r="N1928" s="6" t="str">
        <f>VLOOKUP(M1928,'Excursion Cause'!$A$1:$B$34,2,FALSE)</f>
        <v>Collection system structural blockage</v>
      </c>
      <c r="O1928" s="26">
        <v>44884.0</v>
      </c>
      <c r="P1928" s="27">
        <v>0.38263888888888886</v>
      </c>
      <c r="Q1928" s="26">
        <v>44884.0</v>
      </c>
      <c r="R1928" s="27">
        <v>0.38333333333333336</v>
      </c>
      <c r="S1928" s="20">
        <v>0.0</v>
      </c>
      <c r="T1928" s="6" t="s">
        <v>107</v>
      </c>
      <c r="U1928" s="6"/>
      <c r="V1928" s="6"/>
      <c r="W1928" s="6">
        <v>29.7479751</v>
      </c>
      <c r="X1928" s="6">
        <v>-95.616464</v>
      </c>
    </row>
    <row r="1929" ht="15.75" customHeight="1">
      <c r="A1929" s="6">
        <v>50021.0</v>
      </c>
      <c r="B1929" s="6">
        <v>2022.0</v>
      </c>
      <c r="C1929" s="6" t="str">
        <f t="shared" si="5"/>
        <v>6231 GREY OAKS DR,Houston,TX</v>
      </c>
      <c r="D1929" s="6" t="s">
        <v>3336</v>
      </c>
      <c r="E1929" s="6" t="s">
        <v>25</v>
      </c>
      <c r="F1929" s="6" t="s">
        <v>1388</v>
      </c>
      <c r="G1929" s="6" t="s">
        <v>3256</v>
      </c>
      <c r="H1929" s="6" t="s">
        <v>28</v>
      </c>
      <c r="I1929" s="6" t="str">
        <f>VLOOKUP(H1929,'Flow Location'!$A$1:$B$21,2,FALSE)</f>
        <v>Storm Sewer (not contained)</v>
      </c>
      <c r="J1929" s="20">
        <v>214.0</v>
      </c>
      <c r="K1929" s="6" t="s">
        <v>29</v>
      </c>
      <c r="L1929" s="6" t="str">
        <f>VLOOKUP(K1929,'Structure type'!$A$1:$B$15,2,FALSE)</f>
        <v>Manhole</v>
      </c>
      <c r="M1929" s="6" t="s">
        <v>30</v>
      </c>
      <c r="N1929" s="6" t="str">
        <f>VLOOKUP(M1929,'Excursion Cause'!$A$1:$B$34,2,FALSE)</f>
        <v>Grease Blockage</v>
      </c>
      <c r="O1929" s="26">
        <v>44884.0</v>
      </c>
      <c r="P1929" s="27">
        <v>0.5298611111111111</v>
      </c>
      <c r="Q1929" s="26">
        <v>44884.0</v>
      </c>
      <c r="R1929" s="27">
        <v>0.6041666666666666</v>
      </c>
      <c r="S1929" s="20">
        <v>2.0</v>
      </c>
      <c r="T1929" s="6" t="s">
        <v>59</v>
      </c>
      <c r="U1929" s="6"/>
      <c r="V1929" s="6"/>
      <c r="W1929" s="6">
        <v>29.9011747</v>
      </c>
      <c r="X1929" s="6">
        <v>-95.2965194</v>
      </c>
    </row>
    <row r="1930" ht="15.75" customHeight="1">
      <c r="A1930" s="6">
        <v>50022.0</v>
      </c>
      <c r="B1930" s="6">
        <v>2022.0</v>
      </c>
      <c r="C1930" s="6" t="str">
        <f t="shared" si="5"/>
        <v>439 W GAYWOOD DR,Houston,TX</v>
      </c>
      <c r="D1930" s="6" t="s">
        <v>2634</v>
      </c>
      <c r="E1930" s="6" t="s">
        <v>25</v>
      </c>
      <c r="F1930" s="6" t="s">
        <v>1388</v>
      </c>
      <c r="G1930" s="6" t="s">
        <v>520</v>
      </c>
      <c r="H1930" s="6" t="s">
        <v>28</v>
      </c>
      <c r="I1930" s="6" t="str">
        <f>VLOOKUP(H1930,'Flow Location'!$A$1:$B$21,2,FALSE)</f>
        <v>Storm Sewer (not contained)</v>
      </c>
      <c r="J1930" s="20">
        <v>0.0</v>
      </c>
      <c r="K1930" s="6" t="s">
        <v>45</v>
      </c>
      <c r="L1930" s="6" t="str">
        <f>VLOOKUP(K1930,'Structure type'!$A$1:$B$15,2,FALSE)</f>
        <v>City Cleanout</v>
      </c>
      <c r="M1930" s="6" t="s">
        <v>56</v>
      </c>
      <c r="N1930" s="6" t="str">
        <f>VLOOKUP(M1930,'Excursion Cause'!$A$1:$B$34,2,FALSE)</f>
        <v>Rags/Wipes</v>
      </c>
      <c r="O1930" s="26">
        <v>44884.0</v>
      </c>
      <c r="P1930" s="27">
        <v>0.6354166666666666</v>
      </c>
      <c r="Q1930" s="26">
        <v>44884.0</v>
      </c>
      <c r="R1930" s="27">
        <v>0.6361111111111111</v>
      </c>
      <c r="S1930" s="20">
        <v>0.0</v>
      </c>
      <c r="T1930" s="6" t="s">
        <v>270</v>
      </c>
      <c r="U1930" s="6"/>
      <c r="V1930" s="6"/>
      <c r="W1930" s="6">
        <v>29.7721012</v>
      </c>
      <c r="X1930" s="6">
        <v>-95.5732421</v>
      </c>
    </row>
    <row r="1931" ht="15.75" customHeight="1">
      <c r="A1931" s="6">
        <v>50024.0</v>
      </c>
      <c r="B1931" s="6">
        <v>2022.0</v>
      </c>
      <c r="C1931" s="6" t="str">
        <f t="shared" si="5"/>
        <v>5802 SPRUCE FOREST DR,Houston,TX</v>
      </c>
      <c r="D1931" s="6" t="s">
        <v>1080</v>
      </c>
      <c r="E1931" s="6" t="s">
        <v>25</v>
      </c>
      <c r="F1931" s="6" t="s">
        <v>1388</v>
      </c>
      <c r="G1931" s="6" t="s">
        <v>76</v>
      </c>
      <c r="H1931" s="6" t="s">
        <v>28</v>
      </c>
      <c r="I1931" s="6" t="str">
        <f>VLOOKUP(H1931,'Flow Location'!$A$1:$B$21,2,FALSE)</f>
        <v>Storm Sewer (not contained)</v>
      </c>
      <c r="J1931" s="20">
        <v>204.0</v>
      </c>
      <c r="K1931" s="6" t="s">
        <v>29</v>
      </c>
      <c r="L1931" s="6" t="str">
        <f>VLOOKUP(K1931,'Structure type'!$A$1:$B$15,2,FALSE)</f>
        <v>Manhole</v>
      </c>
      <c r="M1931" s="6" t="s">
        <v>30</v>
      </c>
      <c r="N1931" s="6" t="str">
        <f>VLOOKUP(M1931,'Excursion Cause'!$A$1:$B$34,2,FALSE)</f>
        <v>Grease Blockage</v>
      </c>
      <c r="O1931" s="26">
        <v>44885.0</v>
      </c>
      <c r="P1931" s="27">
        <v>0.4625</v>
      </c>
      <c r="Q1931" s="26">
        <v>44885.0</v>
      </c>
      <c r="R1931" s="27">
        <v>0.6041666666666666</v>
      </c>
      <c r="S1931" s="20">
        <v>1.0</v>
      </c>
      <c r="T1931" s="6" t="s">
        <v>59</v>
      </c>
      <c r="U1931" s="6"/>
      <c r="V1931" s="6"/>
      <c r="W1931" s="6">
        <v>29.8445995</v>
      </c>
      <c r="X1931" s="6">
        <v>-95.4749754</v>
      </c>
    </row>
    <row r="1932" ht="15.75" customHeight="1">
      <c r="A1932" s="6">
        <v>50029.0</v>
      </c>
      <c r="B1932" s="6">
        <v>2022.0</v>
      </c>
      <c r="C1932" s="6" t="str">
        <f t="shared" si="5"/>
        <v>14430 MINETTA ST,Houston,TX</v>
      </c>
      <c r="D1932" s="6" t="s">
        <v>1954</v>
      </c>
      <c r="E1932" s="6" t="s">
        <v>25</v>
      </c>
      <c r="F1932" s="6" t="s">
        <v>1388</v>
      </c>
      <c r="G1932" s="6" t="s">
        <v>127</v>
      </c>
      <c r="H1932" s="6" t="s">
        <v>28</v>
      </c>
      <c r="I1932" s="6" t="str">
        <f>VLOOKUP(H1932,'Flow Location'!$A$1:$B$21,2,FALSE)</f>
        <v>Storm Sewer (not contained)</v>
      </c>
      <c r="J1932" s="20">
        <v>0.0</v>
      </c>
      <c r="K1932" s="6" t="s">
        <v>45</v>
      </c>
      <c r="L1932" s="6" t="str">
        <f>VLOOKUP(K1932,'Structure type'!$A$1:$B$15,2,FALSE)</f>
        <v>City Cleanout</v>
      </c>
      <c r="M1932" s="6" t="s">
        <v>56</v>
      </c>
      <c r="N1932" s="6" t="str">
        <f>VLOOKUP(M1932,'Excursion Cause'!$A$1:$B$34,2,FALSE)</f>
        <v>Rags/Wipes</v>
      </c>
      <c r="O1932" s="26">
        <v>44886.0</v>
      </c>
      <c r="P1932" s="27">
        <v>0.4166666666666667</v>
      </c>
      <c r="Q1932" s="26">
        <v>44886.0</v>
      </c>
      <c r="R1932" s="27">
        <v>0.4173611111111111</v>
      </c>
      <c r="S1932" s="20">
        <v>0.0</v>
      </c>
      <c r="T1932" s="6" t="s">
        <v>74</v>
      </c>
      <c r="U1932" s="6"/>
      <c r="V1932" s="6"/>
      <c r="W1932" s="6">
        <v>29.6363399</v>
      </c>
      <c r="X1932" s="6">
        <v>-95.5017682</v>
      </c>
    </row>
    <row r="1933" ht="15.75" customHeight="1">
      <c r="A1933" s="6">
        <v>50033.0</v>
      </c>
      <c r="B1933" s="6">
        <v>2022.0</v>
      </c>
      <c r="C1933" s="6" t="str">
        <f t="shared" si="5"/>
        <v>1200 DAIRY ASHFORD RD,Houston,TX</v>
      </c>
      <c r="D1933" s="6" t="s">
        <v>3337</v>
      </c>
      <c r="E1933" s="6" t="s">
        <v>25</v>
      </c>
      <c r="F1933" s="6" t="s">
        <v>1388</v>
      </c>
      <c r="G1933" s="6" t="s">
        <v>347</v>
      </c>
      <c r="H1933" s="6" t="s">
        <v>28</v>
      </c>
      <c r="I1933" s="6" t="str">
        <f>VLOOKUP(H1933,'Flow Location'!$A$1:$B$21,2,FALSE)</f>
        <v>Storm Sewer (not contained)</v>
      </c>
      <c r="J1933" s="20">
        <v>390.0</v>
      </c>
      <c r="K1933" s="6" t="s">
        <v>29</v>
      </c>
      <c r="L1933" s="6" t="str">
        <f>VLOOKUP(K1933,'Structure type'!$A$1:$B$15,2,FALSE)</f>
        <v>Manhole</v>
      </c>
      <c r="M1933" s="6" t="s">
        <v>30</v>
      </c>
      <c r="N1933" s="6" t="str">
        <f>VLOOKUP(M1933,'Excursion Cause'!$A$1:$B$34,2,FALSE)</f>
        <v>Grease Blockage</v>
      </c>
      <c r="O1933" s="26">
        <v>44886.0</v>
      </c>
      <c r="P1933" s="27">
        <v>0.5104166666666666</v>
      </c>
      <c r="Q1933" s="26">
        <v>44886.0</v>
      </c>
      <c r="R1933" s="27">
        <v>0.6458333333333334</v>
      </c>
      <c r="S1933" s="20">
        <v>2.0</v>
      </c>
      <c r="T1933" s="6" t="s">
        <v>33</v>
      </c>
      <c r="U1933" s="6"/>
      <c r="V1933" s="6"/>
      <c r="W1933" s="6">
        <v>29.7603419</v>
      </c>
      <c r="X1933" s="6">
        <v>-95.6065667</v>
      </c>
    </row>
    <row r="1934" ht="15.75" customHeight="1">
      <c r="A1934" s="6">
        <v>50037.0</v>
      </c>
      <c r="B1934" s="6">
        <v>2022.0</v>
      </c>
      <c r="C1934" s="6" t="str">
        <f t="shared" si="5"/>
        <v>6301 ALFANO ST,Houston,TX</v>
      </c>
      <c r="D1934" s="6" t="s">
        <v>1190</v>
      </c>
      <c r="E1934" s="6" t="s">
        <v>25</v>
      </c>
      <c r="F1934" s="6" t="s">
        <v>1388</v>
      </c>
      <c r="G1934" s="6" t="s">
        <v>275</v>
      </c>
      <c r="H1934" s="6" t="s">
        <v>50</v>
      </c>
      <c r="I1934" s="6" t="str">
        <f>VLOOKUP(H1934,'Flow Location'!$A$1:$B$21,2,FALSE)</f>
        <v>Contained On Site, not within 5 ft. of Bayou/Surface Water/Drainage Ditch</v>
      </c>
      <c r="J1934" s="20">
        <v>0.0</v>
      </c>
      <c r="K1934" s="6" t="s">
        <v>29</v>
      </c>
      <c r="L1934" s="6" t="str">
        <f>VLOOKUP(K1934,'Structure type'!$A$1:$B$15,2,FALSE)</f>
        <v>Manhole</v>
      </c>
      <c r="M1934" s="6" t="s">
        <v>30</v>
      </c>
      <c r="N1934" s="6" t="str">
        <f>VLOOKUP(M1934,'Excursion Cause'!$A$1:$B$34,2,FALSE)</f>
        <v>Grease Blockage</v>
      </c>
      <c r="O1934" s="26">
        <v>44886.0</v>
      </c>
      <c r="P1934" s="27">
        <v>0.6111111111111112</v>
      </c>
      <c r="Q1934" s="26">
        <v>44886.0</v>
      </c>
      <c r="R1934" s="27">
        <v>0.6118055555555556</v>
      </c>
      <c r="S1934" s="20">
        <v>0.0</v>
      </c>
      <c r="T1934" s="6" t="s">
        <v>33</v>
      </c>
      <c r="U1934" s="6"/>
      <c r="V1934" s="6"/>
      <c r="W1934" s="6">
        <v>29.8562371</v>
      </c>
      <c r="X1934" s="6">
        <v>-95.3940778</v>
      </c>
    </row>
    <row r="1935" ht="15.75" customHeight="1">
      <c r="A1935" s="6">
        <v>50039.0</v>
      </c>
      <c r="B1935" s="6">
        <v>2022.0</v>
      </c>
      <c r="C1935" s="6" t="str">
        <f t="shared" si="5"/>
        <v>12606 ASHCLIFT DR,Houston,TX</v>
      </c>
      <c r="D1935" s="6" t="s">
        <v>3338</v>
      </c>
      <c r="E1935" s="6" t="s">
        <v>25</v>
      </c>
      <c r="F1935" s="6" t="s">
        <v>1388</v>
      </c>
      <c r="G1935" s="6" t="s">
        <v>313</v>
      </c>
      <c r="H1935" s="6" t="s">
        <v>28</v>
      </c>
      <c r="I1935" s="6" t="str">
        <f>VLOOKUP(H1935,'Flow Location'!$A$1:$B$21,2,FALSE)</f>
        <v>Storm Sewer (not contained)</v>
      </c>
      <c r="J1935" s="20">
        <v>0.0</v>
      </c>
      <c r="K1935" s="6" t="s">
        <v>51</v>
      </c>
      <c r="L1935" s="6" t="str">
        <f>VLOOKUP(K1935,'Structure type'!$A$1:$B$15,2,FALSE)</f>
        <v>Private Cleanout</v>
      </c>
      <c r="M1935" s="6" t="s">
        <v>30</v>
      </c>
      <c r="N1935" s="6" t="str">
        <f>VLOOKUP(M1935,'Excursion Cause'!$A$1:$B$34,2,FALSE)</f>
        <v>Grease Blockage</v>
      </c>
      <c r="O1935" s="26">
        <v>44886.0</v>
      </c>
      <c r="P1935" s="27">
        <v>0.5944444444444444</v>
      </c>
      <c r="Q1935" s="26">
        <v>44886.0</v>
      </c>
      <c r="R1935" s="27">
        <v>0.5951388888888889</v>
      </c>
      <c r="S1935" s="20">
        <v>0.0</v>
      </c>
      <c r="T1935" s="6" t="s">
        <v>59</v>
      </c>
      <c r="U1935" s="6"/>
      <c r="V1935" s="6"/>
      <c r="W1935" s="6">
        <v>29.7319417</v>
      </c>
      <c r="X1935" s="6">
        <v>-95.6074204</v>
      </c>
    </row>
    <row r="1936" ht="15.75" customHeight="1">
      <c r="A1936" s="6">
        <v>50042.0</v>
      </c>
      <c r="B1936" s="6">
        <v>2022.0</v>
      </c>
      <c r="C1936" s="6" t="str">
        <f t="shared" si="5"/>
        <v>3520 MOUNT PLEASANT ST,Houston,TX</v>
      </c>
      <c r="D1936" s="6" t="s">
        <v>3339</v>
      </c>
      <c r="E1936" s="6" t="s">
        <v>25</v>
      </c>
      <c r="F1936" s="6" t="s">
        <v>1388</v>
      </c>
      <c r="G1936" s="6" t="s">
        <v>238</v>
      </c>
      <c r="H1936" s="6" t="s">
        <v>28</v>
      </c>
      <c r="I1936" s="6" t="str">
        <f>VLOOKUP(H1936,'Flow Location'!$A$1:$B$21,2,FALSE)</f>
        <v>Storm Sewer (not contained)</v>
      </c>
      <c r="J1936" s="20">
        <v>2114.0</v>
      </c>
      <c r="K1936" s="6" t="s">
        <v>51</v>
      </c>
      <c r="L1936" s="6" t="str">
        <f>VLOOKUP(K1936,'Structure type'!$A$1:$B$15,2,FALSE)</f>
        <v>Private Cleanout</v>
      </c>
      <c r="M1936" s="6" t="s">
        <v>30</v>
      </c>
      <c r="N1936" s="6" t="str">
        <f>VLOOKUP(M1936,'Excursion Cause'!$A$1:$B$34,2,FALSE)</f>
        <v>Grease Blockage</v>
      </c>
      <c r="O1936" s="26">
        <v>44886.0</v>
      </c>
      <c r="P1936" s="27">
        <v>0.7243055555555555</v>
      </c>
      <c r="Q1936" s="26">
        <v>44887.0</v>
      </c>
      <c r="R1936" s="27">
        <v>0.4583333333333333</v>
      </c>
      <c r="S1936" s="20">
        <v>2.0</v>
      </c>
      <c r="T1936" s="6" t="s">
        <v>59</v>
      </c>
      <c r="U1936" s="6"/>
      <c r="V1936" s="6"/>
      <c r="W1936" s="6">
        <v>29.687499</v>
      </c>
      <c r="X1936" s="6">
        <v>-95.3732016</v>
      </c>
    </row>
    <row r="1937" ht="15.75" customHeight="1">
      <c r="A1937" s="6">
        <v>50046.0</v>
      </c>
      <c r="B1937" s="6">
        <v>2022.0</v>
      </c>
      <c r="C1937" s="6" t="str">
        <f t="shared" si="5"/>
        <v>777 COOLWOOD DR,Houston,TX</v>
      </c>
      <c r="D1937" s="6" t="s">
        <v>1328</v>
      </c>
      <c r="E1937" s="6" t="s">
        <v>25</v>
      </c>
      <c r="F1937" s="6" t="s">
        <v>1388</v>
      </c>
      <c r="G1937" s="6" t="s">
        <v>656</v>
      </c>
      <c r="H1937" s="6" t="s">
        <v>28</v>
      </c>
      <c r="I1937" s="6" t="str">
        <f>VLOOKUP(H1937,'Flow Location'!$A$1:$B$21,2,FALSE)</f>
        <v>Storm Sewer (not contained)</v>
      </c>
      <c r="J1937" s="20">
        <v>4905.0</v>
      </c>
      <c r="K1937" s="6" t="s">
        <v>29</v>
      </c>
      <c r="L1937" s="6" t="str">
        <f>VLOOKUP(K1937,'Structure type'!$A$1:$B$15,2,FALSE)</f>
        <v>Manhole</v>
      </c>
      <c r="M1937" s="6" t="s">
        <v>30</v>
      </c>
      <c r="N1937" s="6" t="str">
        <f>VLOOKUP(M1937,'Excursion Cause'!$A$1:$B$34,2,FALSE)</f>
        <v>Grease Blockage</v>
      </c>
      <c r="O1937" s="26">
        <v>44887.0</v>
      </c>
      <c r="P1937" s="27">
        <v>0.4270833333333333</v>
      </c>
      <c r="Q1937" s="26">
        <v>44888.0</v>
      </c>
      <c r="R1937" s="27">
        <v>0.5625</v>
      </c>
      <c r="S1937" s="20">
        <v>3.0</v>
      </c>
      <c r="T1937" s="6" t="s">
        <v>33</v>
      </c>
      <c r="U1937" s="6"/>
      <c r="V1937" s="6"/>
      <c r="W1937" s="6">
        <v>29.776617</v>
      </c>
      <c r="X1937" s="6">
        <v>-95.2233541</v>
      </c>
    </row>
    <row r="1938" ht="15.75" customHeight="1">
      <c r="A1938" s="6">
        <v>50049.0</v>
      </c>
      <c r="B1938" s="6">
        <v>2022.0</v>
      </c>
      <c r="C1938" s="6" t="str">
        <f t="shared" si="5"/>
        <v>7373 N WAYSIDE DR,Houston,TX</v>
      </c>
      <c r="D1938" s="6" t="s">
        <v>3340</v>
      </c>
      <c r="E1938" s="6" t="s">
        <v>25</v>
      </c>
      <c r="F1938" s="6" t="s">
        <v>1388</v>
      </c>
      <c r="G1938" s="6" t="s">
        <v>177</v>
      </c>
      <c r="H1938" s="6" t="s">
        <v>28</v>
      </c>
      <c r="I1938" s="6" t="str">
        <f>VLOOKUP(H1938,'Flow Location'!$A$1:$B$21,2,FALSE)</f>
        <v>Storm Sewer (not contained)</v>
      </c>
      <c r="J1938" s="20">
        <v>468.0</v>
      </c>
      <c r="K1938" s="6" t="s">
        <v>29</v>
      </c>
      <c r="L1938" s="6" t="str">
        <f>VLOOKUP(K1938,'Structure type'!$A$1:$B$15,2,FALSE)</f>
        <v>Manhole</v>
      </c>
      <c r="M1938" s="6" t="s">
        <v>30</v>
      </c>
      <c r="N1938" s="6" t="str">
        <f>VLOOKUP(M1938,'Excursion Cause'!$A$1:$B$34,2,FALSE)</f>
        <v>Grease Blockage</v>
      </c>
      <c r="O1938" s="26">
        <v>44887.0</v>
      </c>
      <c r="P1938" s="27">
        <v>0.5479166666666667</v>
      </c>
      <c r="Q1938" s="26">
        <v>44887.0</v>
      </c>
      <c r="R1938" s="27">
        <v>0.65625</v>
      </c>
      <c r="S1938" s="20">
        <v>3.0</v>
      </c>
      <c r="T1938" s="6" t="s">
        <v>59</v>
      </c>
      <c r="U1938" s="6"/>
      <c r="V1938" s="6"/>
      <c r="W1938" s="6">
        <v>29.828101</v>
      </c>
      <c r="X1938" s="6">
        <v>-95.2845962</v>
      </c>
    </row>
    <row r="1939" ht="15.75" customHeight="1">
      <c r="A1939" s="6">
        <v>50050.0</v>
      </c>
      <c r="B1939" s="6">
        <v>2022.0</v>
      </c>
      <c r="C1939" s="6" t="str">
        <f t="shared" si="5"/>
        <v>5003 E RIDGE CREEK DR,Houston,TX</v>
      </c>
      <c r="D1939" s="6" t="s">
        <v>3341</v>
      </c>
      <c r="E1939" s="6" t="s">
        <v>25</v>
      </c>
      <c r="F1939" s="6" t="s">
        <v>1388</v>
      </c>
      <c r="G1939" s="6" t="s">
        <v>517</v>
      </c>
      <c r="H1939" s="6" t="s">
        <v>50</v>
      </c>
      <c r="I1939" s="6" t="str">
        <f>VLOOKUP(H1939,'Flow Location'!$A$1:$B$21,2,FALSE)</f>
        <v>Contained On Site, not within 5 ft. of Bayou/Surface Water/Drainage Ditch</v>
      </c>
      <c r="J1939" s="20">
        <v>0.0</v>
      </c>
      <c r="K1939" s="6" t="s">
        <v>51</v>
      </c>
      <c r="L1939" s="6" t="str">
        <f>VLOOKUP(K1939,'Structure type'!$A$1:$B$15,2,FALSE)</f>
        <v>Private Cleanout</v>
      </c>
      <c r="M1939" s="6" t="s">
        <v>30</v>
      </c>
      <c r="N1939" s="6" t="str">
        <f>VLOOKUP(M1939,'Excursion Cause'!$A$1:$B$34,2,FALSE)</f>
        <v>Grease Blockage</v>
      </c>
      <c r="O1939" s="26">
        <v>44887.0</v>
      </c>
      <c r="P1939" s="27">
        <v>0.60625</v>
      </c>
      <c r="Q1939" s="26">
        <v>44887.0</v>
      </c>
      <c r="R1939" s="27">
        <v>0.6069444444444444</v>
      </c>
      <c r="S1939" s="20">
        <v>0.0</v>
      </c>
      <c r="T1939" s="6" t="s">
        <v>33</v>
      </c>
      <c r="U1939" s="6"/>
      <c r="V1939" s="6"/>
      <c r="W1939" s="6">
        <v>29.5904717</v>
      </c>
      <c r="X1939" s="6">
        <v>-95.4547451</v>
      </c>
    </row>
    <row r="1940" ht="15.75" customHeight="1">
      <c r="A1940" s="6">
        <v>50053.0</v>
      </c>
      <c r="B1940" s="6">
        <v>2022.0</v>
      </c>
      <c r="C1940" s="6" t="str">
        <f t="shared" si="5"/>
        <v>5858 2/3 REIMS RD,Houston,TX</v>
      </c>
      <c r="D1940" s="6" t="s">
        <v>3342</v>
      </c>
      <c r="E1940" s="6" t="s">
        <v>25</v>
      </c>
      <c r="F1940" s="6" t="s">
        <v>1388</v>
      </c>
      <c r="G1940" s="6" t="s">
        <v>100</v>
      </c>
      <c r="H1940" s="6" t="s">
        <v>28</v>
      </c>
      <c r="I1940" s="6" t="str">
        <f>VLOOKUP(H1940,'Flow Location'!$A$1:$B$21,2,FALSE)</f>
        <v>Storm Sewer (not contained)</v>
      </c>
      <c r="J1940" s="20">
        <v>513.0</v>
      </c>
      <c r="K1940" s="6" t="s">
        <v>29</v>
      </c>
      <c r="L1940" s="6" t="str">
        <f>VLOOKUP(K1940,'Structure type'!$A$1:$B$15,2,FALSE)</f>
        <v>Manhole</v>
      </c>
      <c r="M1940" s="6" t="s">
        <v>30</v>
      </c>
      <c r="N1940" s="6" t="str">
        <f>VLOOKUP(M1940,'Excursion Cause'!$A$1:$B$34,2,FALSE)</f>
        <v>Grease Blockage</v>
      </c>
      <c r="O1940" s="26">
        <v>44887.0</v>
      </c>
      <c r="P1940" s="27">
        <v>0.6694444444444444</v>
      </c>
      <c r="Q1940" s="26">
        <v>44887.0</v>
      </c>
      <c r="R1940" s="27">
        <v>0.7881944444444444</v>
      </c>
      <c r="S1940" s="20">
        <v>3.0</v>
      </c>
      <c r="T1940" s="6" t="s">
        <v>33</v>
      </c>
      <c r="U1940" s="6"/>
      <c r="V1940" s="6"/>
      <c r="W1940" s="6">
        <v>29.717042</v>
      </c>
      <c r="X1940" s="6">
        <v>-95.5157972</v>
      </c>
    </row>
    <row r="1941" ht="15.75" customHeight="1">
      <c r="A1941" s="6">
        <v>50055.0</v>
      </c>
      <c r="B1941" s="6">
        <v>2022.0</v>
      </c>
      <c r="C1941" s="6" t="str">
        <f t="shared" si="5"/>
        <v>8966 IMOGENE ST,Houston,TX</v>
      </c>
      <c r="D1941" s="6" t="s">
        <v>3343</v>
      </c>
      <c r="E1941" s="6" t="s">
        <v>25</v>
      </c>
      <c r="F1941" s="6" t="s">
        <v>1388</v>
      </c>
      <c r="G1941" s="6" t="s">
        <v>100</v>
      </c>
      <c r="H1941" s="6" t="s">
        <v>28</v>
      </c>
      <c r="I1941" s="6" t="str">
        <f>VLOOKUP(H1941,'Flow Location'!$A$1:$B$21,2,FALSE)</f>
        <v>Storm Sewer (not contained)</v>
      </c>
      <c r="J1941" s="20">
        <v>730.0</v>
      </c>
      <c r="K1941" s="6" t="s">
        <v>29</v>
      </c>
      <c r="L1941" s="6" t="str">
        <f>VLOOKUP(K1941,'Structure type'!$A$1:$B$15,2,FALSE)</f>
        <v>Manhole</v>
      </c>
      <c r="M1941" s="6" t="s">
        <v>30</v>
      </c>
      <c r="N1941" s="6" t="str">
        <f>VLOOKUP(M1941,'Excursion Cause'!$A$1:$B$34,2,FALSE)</f>
        <v>Grease Blockage</v>
      </c>
      <c r="O1941" s="26">
        <v>44888.0</v>
      </c>
      <c r="P1941" s="27">
        <v>0.3333333333333333</v>
      </c>
      <c r="Q1941" s="26">
        <v>44888.0</v>
      </c>
      <c r="R1941" s="27">
        <v>0.5868055555555556</v>
      </c>
      <c r="S1941" s="20">
        <v>2.0</v>
      </c>
      <c r="T1941" s="6" t="s">
        <v>59</v>
      </c>
      <c r="U1941" s="6"/>
      <c r="V1941" s="6"/>
      <c r="W1941" s="6">
        <v>29.685268399999998</v>
      </c>
      <c r="X1941" s="6">
        <v>-95.5373955</v>
      </c>
    </row>
    <row r="1942" ht="15.75" customHeight="1">
      <c r="A1942" s="6">
        <v>50058.0</v>
      </c>
      <c r="B1942" s="6">
        <v>2022.0</v>
      </c>
      <c r="C1942" s="6" t="str">
        <f t="shared" si="5"/>
        <v>10909 GULF FWY,Houston,TX</v>
      </c>
      <c r="D1942" s="6" t="s">
        <v>3344</v>
      </c>
      <c r="E1942" s="6" t="s">
        <v>25</v>
      </c>
      <c r="F1942" s="6" t="s">
        <v>1388</v>
      </c>
      <c r="G1942" s="6" t="s">
        <v>49</v>
      </c>
      <c r="H1942" s="6" t="s">
        <v>28</v>
      </c>
      <c r="I1942" s="6" t="str">
        <f>VLOOKUP(H1942,'Flow Location'!$A$1:$B$21,2,FALSE)</f>
        <v>Storm Sewer (not contained)</v>
      </c>
      <c r="J1942" s="20">
        <v>796.0</v>
      </c>
      <c r="K1942" s="6" t="s">
        <v>29</v>
      </c>
      <c r="L1942" s="6" t="str">
        <f>VLOOKUP(K1942,'Structure type'!$A$1:$B$15,2,FALSE)</f>
        <v>Manhole</v>
      </c>
      <c r="M1942" s="6" t="s">
        <v>30</v>
      </c>
      <c r="N1942" s="6" t="str">
        <f>VLOOKUP(M1942,'Excursion Cause'!$A$1:$B$34,2,FALSE)</f>
        <v>Grease Blockage</v>
      </c>
      <c r="O1942" s="26">
        <v>44888.0</v>
      </c>
      <c r="P1942" s="27">
        <v>0.4597222222222222</v>
      </c>
      <c r="Q1942" s="26">
        <v>44888.0</v>
      </c>
      <c r="R1942" s="27">
        <v>0.5979166666666667</v>
      </c>
      <c r="S1942" s="20">
        <v>4.0</v>
      </c>
      <c r="T1942" s="6" t="s">
        <v>59</v>
      </c>
      <c r="U1942" s="6"/>
      <c r="V1942" s="6"/>
      <c r="W1942" s="6">
        <v>29.6363453</v>
      </c>
      <c r="X1942" s="6">
        <v>-95.2375602</v>
      </c>
    </row>
    <row r="1943" ht="15.75" customHeight="1">
      <c r="A1943" s="6">
        <v>50061.0</v>
      </c>
      <c r="B1943" s="6">
        <v>2022.0</v>
      </c>
      <c r="C1943" s="6" t="str">
        <f t="shared" si="5"/>
        <v>10532 S POST OAK RD,Houston,TX</v>
      </c>
      <c r="D1943" s="6" t="s">
        <v>3345</v>
      </c>
      <c r="E1943" s="6" t="s">
        <v>25</v>
      </c>
      <c r="F1943" s="6" t="s">
        <v>1388</v>
      </c>
      <c r="G1943" s="6" t="s">
        <v>127</v>
      </c>
      <c r="H1943" s="6" t="s">
        <v>50</v>
      </c>
      <c r="I1943" s="6" t="str">
        <f>VLOOKUP(H1943,'Flow Location'!$A$1:$B$21,2,FALSE)</f>
        <v>Contained On Site, not within 5 ft. of Bayou/Surface Water/Drainage Ditch</v>
      </c>
      <c r="J1943" s="20">
        <v>0.0</v>
      </c>
      <c r="K1943" s="6" t="s">
        <v>51</v>
      </c>
      <c r="L1943" s="6" t="str">
        <f>VLOOKUP(K1943,'Structure type'!$A$1:$B$15,2,FALSE)</f>
        <v>Private Cleanout</v>
      </c>
      <c r="M1943" s="6" t="s">
        <v>30</v>
      </c>
      <c r="N1943" s="6" t="str">
        <f>VLOOKUP(M1943,'Excursion Cause'!$A$1:$B$34,2,FALSE)</f>
        <v>Grease Blockage</v>
      </c>
      <c r="O1943" s="26">
        <v>44888.0</v>
      </c>
      <c r="P1943" s="27">
        <v>0.4166666666666667</v>
      </c>
      <c r="Q1943" s="26">
        <v>44888.0</v>
      </c>
      <c r="R1943" s="27">
        <v>0.4173611111111111</v>
      </c>
      <c r="S1943" s="20">
        <v>0.0</v>
      </c>
      <c r="T1943" s="6" t="s">
        <v>59</v>
      </c>
      <c r="U1943" s="6"/>
      <c r="V1943" s="6"/>
      <c r="W1943" s="6">
        <v>29.6665931</v>
      </c>
      <c r="X1943" s="6">
        <v>-95.4636516</v>
      </c>
    </row>
    <row r="1944" ht="15.75" customHeight="1">
      <c r="A1944" s="6">
        <v>50064.0</v>
      </c>
      <c r="B1944" s="6">
        <v>2022.0</v>
      </c>
      <c r="C1944" s="6" t="str">
        <f t="shared" si="5"/>
        <v>7527 LEAFTEX DR,Houston,TX</v>
      </c>
      <c r="D1944" s="6" t="s">
        <v>3346</v>
      </c>
      <c r="E1944" s="6" t="s">
        <v>25</v>
      </c>
      <c r="F1944" s="6" t="s">
        <v>1388</v>
      </c>
      <c r="G1944" s="6" t="s">
        <v>853</v>
      </c>
      <c r="H1944" s="6" t="s">
        <v>28</v>
      </c>
      <c r="I1944" s="6" t="str">
        <f>VLOOKUP(H1944,'Flow Location'!$A$1:$B$21,2,FALSE)</f>
        <v>Storm Sewer (not contained)</v>
      </c>
      <c r="J1944" s="20">
        <v>260.0</v>
      </c>
      <c r="K1944" s="6" t="s">
        <v>29</v>
      </c>
      <c r="L1944" s="6" t="str">
        <f>VLOOKUP(K1944,'Structure type'!$A$1:$B$15,2,FALSE)</f>
        <v>Manhole</v>
      </c>
      <c r="M1944" s="6" t="s">
        <v>30</v>
      </c>
      <c r="N1944" s="6" t="str">
        <f>VLOOKUP(M1944,'Excursion Cause'!$A$1:$B$34,2,FALSE)</f>
        <v>Grease Blockage</v>
      </c>
      <c r="O1944" s="26">
        <v>44888.0</v>
      </c>
      <c r="P1944" s="27">
        <v>0.48680555555555555</v>
      </c>
      <c r="Q1944" s="26">
        <v>44888.0</v>
      </c>
      <c r="R1944" s="27">
        <v>0.6673611111111111</v>
      </c>
      <c r="S1944" s="20">
        <v>1.0</v>
      </c>
      <c r="T1944" s="6" t="s">
        <v>33</v>
      </c>
      <c r="U1944" s="6"/>
      <c r="V1944" s="6"/>
      <c r="W1944" s="6">
        <v>29.9374862</v>
      </c>
      <c r="X1944" s="6">
        <v>-95.2739674</v>
      </c>
    </row>
    <row r="1945" ht="15.75" customHeight="1">
      <c r="A1945" s="6">
        <v>50065.0</v>
      </c>
      <c r="B1945" s="6">
        <v>2022.0</v>
      </c>
      <c r="C1945" s="6" t="str">
        <f t="shared" si="5"/>
        <v>8502 SANDY GLEN LN,Houston,TX</v>
      </c>
      <c r="D1945" s="6" t="s">
        <v>3347</v>
      </c>
      <c r="E1945" s="6" t="s">
        <v>25</v>
      </c>
      <c r="F1945" s="6" t="s">
        <v>1388</v>
      </c>
      <c r="G1945" s="6" t="s">
        <v>148</v>
      </c>
      <c r="H1945" s="6" t="s">
        <v>50</v>
      </c>
      <c r="I1945" s="6" t="str">
        <f>VLOOKUP(H1945,'Flow Location'!$A$1:$B$21,2,FALSE)</f>
        <v>Contained On Site, not within 5 ft. of Bayou/Surface Water/Drainage Ditch</v>
      </c>
      <c r="J1945" s="20">
        <v>0.0</v>
      </c>
      <c r="K1945" s="6" t="s">
        <v>29</v>
      </c>
      <c r="L1945" s="6" t="str">
        <f>VLOOKUP(K1945,'Structure type'!$A$1:$B$15,2,FALSE)</f>
        <v>Manhole</v>
      </c>
      <c r="M1945" s="6" t="s">
        <v>30</v>
      </c>
      <c r="N1945" s="6" t="str">
        <f>VLOOKUP(M1945,'Excursion Cause'!$A$1:$B$34,2,FALSE)</f>
        <v>Grease Blockage</v>
      </c>
      <c r="O1945" s="26">
        <v>44888.0</v>
      </c>
      <c r="P1945" s="27">
        <v>0.55625</v>
      </c>
      <c r="Q1945" s="26">
        <v>44888.0</v>
      </c>
      <c r="R1945" s="27">
        <v>0.5569444444444445</v>
      </c>
      <c r="S1945" s="20">
        <v>0.0</v>
      </c>
      <c r="T1945" s="6" t="s">
        <v>59</v>
      </c>
      <c r="U1945" s="6"/>
      <c r="V1945" s="6"/>
      <c r="W1945" s="6">
        <v>29.6439883</v>
      </c>
      <c r="X1945" s="6">
        <v>-95.5262777</v>
      </c>
    </row>
    <row r="1946" ht="15.75" customHeight="1">
      <c r="A1946" s="6">
        <v>50070.0</v>
      </c>
      <c r="B1946" s="6">
        <v>2022.0</v>
      </c>
      <c r="C1946" s="6" t="str">
        <f t="shared" si="5"/>
        <v>205 E HAMILTON ST,Houston,TX</v>
      </c>
      <c r="D1946" s="6" t="s">
        <v>3348</v>
      </c>
      <c r="E1946" s="6" t="s">
        <v>25</v>
      </c>
      <c r="F1946" s="6" t="s">
        <v>1388</v>
      </c>
      <c r="G1946" s="6" t="s">
        <v>275</v>
      </c>
      <c r="H1946" s="6" t="s">
        <v>28</v>
      </c>
      <c r="I1946" s="6" t="str">
        <f>VLOOKUP(H1946,'Flow Location'!$A$1:$B$21,2,FALSE)</f>
        <v>Storm Sewer (not contained)</v>
      </c>
      <c r="J1946" s="20">
        <v>356.0</v>
      </c>
      <c r="K1946" s="6" t="s">
        <v>51</v>
      </c>
      <c r="L1946" s="6" t="str">
        <f>VLOOKUP(K1946,'Structure type'!$A$1:$B$15,2,FALSE)</f>
        <v>Private Cleanout</v>
      </c>
      <c r="M1946" s="6" t="s">
        <v>30</v>
      </c>
      <c r="N1946" s="6" t="str">
        <f>VLOOKUP(M1946,'Excursion Cause'!$A$1:$B$34,2,FALSE)</f>
        <v>Grease Blockage</v>
      </c>
      <c r="O1946" s="26">
        <v>44888.0</v>
      </c>
      <c r="P1946" s="27">
        <v>0.6840277777777778</v>
      </c>
      <c r="Q1946" s="26">
        <v>44888.0</v>
      </c>
      <c r="R1946" s="27">
        <v>0.8083333333333333</v>
      </c>
      <c r="S1946" s="20">
        <v>2.0</v>
      </c>
      <c r="T1946" s="6" t="s">
        <v>3349</v>
      </c>
      <c r="U1946" s="6"/>
      <c r="V1946" s="6"/>
      <c r="W1946" s="6">
        <v>29.8473935</v>
      </c>
      <c r="X1946" s="6">
        <v>-95.3981886</v>
      </c>
    </row>
    <row r="1947" ht="15.75" customHeight="1">
      <c r="A1947" s="6">
        <v>50072.0</v>
      </c>
      <c r="B1947" s="6">
        <v>2022.0</v>
      </c>
      <c r="C1947" s="6" t="str">
        <f t="shared" si="5"/>
        <v>10901 TELEPHONE RD,Houston,TX</v>
      </c>
      <c r="D1947" s="6" t="s">
        <v>3350</v>
      </c>
      <c r="E1947" s="6" t="s">
        <v>25</v>
      </c>
      <c r="F1947" s="6" t="s">
        <v>1388</v>
      </c>
      <c r="G1947" s="6" t="s">
        <v>95</v>
      </c>
      <c r="H1947" s="6" t="s">
        <v>3295</v>
      </c>
      <c r="I1947" s="6" t="str">
        <f>VLOOKUP(H1947,'Flow Location'!$A$1:$B$21,2,FALSE)</f>
        <v>Contained On Site, not within 5 ft. of Bayou/Surface Water/Drainage Ditch</v>
      </c>
      <c r="J1947" s="20">
        <v>0.0</v>
      </c>
      <c r="K1947" s="6" t="s">
        <v>29</v>
      </c>
      <c r="L1947" s="6" t="str">
        <f>VLOOKUP(K1947,'Structure type'!$A$1:$B$15,2,FALSE)</f>
        <v>Manhole</v>
      </c>
      <c r="M1947" s="6" t="s">
        <v>30</v>
      </c>
      <c r="N1947" s="6" t="str">
        <f>VLOOKUP(M1947,'Excursion Cause'!$A$1:$B$34,2,FALSE)</f>
        <v>Grease Blockage</v>
      </c>
      <c r="O1947" s="26">
        <v>44889.0</v>
      </c>
      <c r="P1947" s="27">
        <v>0.42291666666666666</v>
      </c>
      <c r="Q1947" s="26">
        <v>44889.0</v>
      </c>
      <c r="R1947" s="27">
        <v>0.4236111111111111</v>
      </c>
      <c r="S1947" s="20">
        <v>0.0</v>
      </c>
      <c r="T1947" s="6" t="s">
        <v>59</v>
      </c>
      <c r="U1947" s="6"/>
      <c r="V1947" s="6"/>
      <c r="W1947" s="6">
        <v>29.6069216</v>
      </c>
      <c r="X1947" s="6">
        <v>-95.2837911</v>
      </c>
    </row>
    <row r="1948" ht="15.75" customHeight="1">
      <c r="A1948" s="6">
        <v>50076.0</v>
      </c>
      <c r="B1948" s="6">
        <v>2022.0</v>
      </c>
      <c r="C1948" s="6" t="str">
        <f t="shared" si="5"/>
        <v>10830 SAGEVALE LN,Houston,TX</v>
      </c>
      <c r="D1948" s="6" t="s">
        <v>3351</v>
      </c>
      <c r="E1948" s="6" t="s">
        <v>25</v>
      </c>
      <c r="F1948" s="6" t="s">
        <v>1388</v>
      </c>
      <c r="G1948" s="6" t="s">
        <v>477</v>
      </c>
      <c r="H1948" s="6" t="s">
        <v>3295</v>
      </c>
      <c r="I1948" s="6" t="str">
        <f>VLOOKUP(H1948,'Flow Location'!$A$1:$B$21,2,FALSE)</f>
        <v>Contained On Site, not within 5 ft. of Bayou/Surface Water/Drainage Ditch</v>
      </c>
      <c r="J1948" s="20">
        <v>0.0</v>
      </c>
      <c r="K1948" s="6" t="s">
        <v>29</v>
      </c>
      <c r="L1948" s="6" t="str">
        <f>VLOOKUP(K1948,'Structure type'!$A$1:$B$15,2,FALSE)</f>
        <v>Manhole</v>
      </c>
      <c r="M1948" s="6" t="s">
        <v>30</v>
      </c>
      <c r="N1948" s="6" t="str">
        <f>VLOOKUP(M1948,'Excursion Cause'!$A$1:$B$34,2,FALSE)</f>
        <v>Grease Blockage</v>
      </c>
      <c r="O1948" s="26">
        <v>44889.0</v>
      </c>
      <c r="P1948" s="27">
        <v>0.5243055555555556</v>
      </c>
      <c r="Q1948" s="26">
        <v>44889.0</v>
      </c>
      <c r="R1948" s="27">
        <v>0.525</v>
      </c>
      <c r="S1948" s="20">
        <v>0.0</v>
      </c>
      <c r="T1948" s="6" t="s">
        <v>33</v>
      </c>
      <c r="U1948" s="6"/>
      <c r="V1948" s="6"/>
      <c r="W1948" s="6">
        <v>29.5921649</v>
      </c>
      <c r="X1948" s="6">
        <v>-95.2303992</v>
      </c>
    </row>
    <row r="1949" ht="15.75" customHeight="1">
      <c r="A1949" s="6">
        <v>50078.0</v>
      </c>
      <c r="B1949" s="6">
        <v>2022.0</v>
      </c>
      <c r="C1949" s="6" t="str">
        <f t="shared" si="5"/>
        <v>2401 MILWAUKEE ST,Houston,TX</v>
      </c>
      <c r="D1949" s="6" t="s">
        <v>1073</v>
      </c>
      <c r="E1949" s="6" t="s">
        <v>25</v>
      </c>
      <c r="F1949" s="6" t="s">
        <v>1388</v>
      </c>
      <c r="G1949" s="6" t="s">
        <v>43</v>
      </c>
      <c r="H1949" s="6" t="s">
        <v>50</v>
      </c>
      <c r="I1949" s="6" t="str">
        <f>VLOOKUP(H1949,'Flow Location'!$A$1:$B$21,2,FALSE)</f>
        <v>Contained On Site, not within 5 ft. of Bayou/Surface Water/Drainage Ditch</v>
      </c>
      <c r="J1949" s="20">
        <v>0.0</v>
      </c>
      <c r="K1949" s="6" t="s">
        <v>45</v>
      </c>
      <c r="L1949" s="6" t="str">
        <f>VLOOKUP(K1949,'Structure type'!$A$1:$B$15,2,FALSE)</f>
        <v>City Cleanout</v>
      </c>
      <c r="M1949" s="6" t="s">
        <v>56</v>
      </c>
      <c r="N1949" s="6" t="str">
        <f>VLOOKUP(M1949,'Excursion Cause'!$A$1:$B$34,2,FALSE)</f>
        <v>Rags/Wipes</v>
      </c>
      <c r="O1949" s="26">
        <v>44890.0</v>
      </c>
      <c r="P1949" s="27">
        <v>0.4041666666666667</v>
      </c>
      <c r="Q1949" s="26">
        <v>44890.0</v>
      </c>
      <c r="R1949" s="27">
        <v>0.4048611111111111</v>
      </c>
      <c r="S1949" s="20">
        <v>0.0</v>
      </c>
      <c r="T1949" s="6" t="s">
        <v>89</v>
      </c>
      <c r="U1949" s="6"/>
      <c r="V1949" s="6"/>
      <c r="W1949" s="6">
        <v>29.8096845</v>
      </c>
      <c r="X1949" s="6">
        <v>-95.3479973</v>
      </c>
    </row>
    <row r="1950" ht="15.75" customHeight="1">
      <c r="A1950" s="6">
        <v>50079.0</v>
      </c>
      <c r="B1950" s="6">
        <v>2022.0</v>
      </c>
      <c r="C1950" s="6" t="str">
        <f t="shared" si="5"/>
        <v>9703 RAVENSWORTH DR,Houston,TX</v>
      </c>
      <c r="D1950" s="6" t="s">
        <v>3352</v>
      </c>
      <c r="E1950" s="6" t="s">
        <v>25</v>
      </c>
      <c r="F1950" s="6" t="s">
        <v>1388</v>
      </c>
      <c r="G1950" s="6" t="s">
        <v>214</v>
      </c>
      <c r="H1950" s="6" t="s">
        <v>28</v>
      </c>
      <c r="I1950" s="6" t="str">
        <f>VLOOKUP(H1950,'Flow Location'!$A$1:$B$21,2,FALSE)</f>
        <v>Storm Sewer (not contained)</v>
      </c>
      <c r="J1950" s="20">
        <v>110.0</v>
      </c>
      <c r="K1950" s="6" t="s">
        <v>51</v>
      </c>
      <c r="L1950" s="6" t="str">
        <f>VLOOKUP(K1950,'Structure type'!$A$1:$B$15,2,FALSE)</f>
        <v>Private Cleanout</v>
      </c>
      <c r="M1950" s="6" t="s">
        <v>30</v>
      </c>
      <c r="N1950" s="6" t="str">
        <f>VLOOKUP(M1950,'Excursion Cause'!$A$1:$B$34,2,FALSE)</f>
        <v>Grease Blockage</v>
      </c>
      <c r="O1950" s="26">
        <v>44890.0</v>
      </c>
      <c r="P1950" s="27">
        <v>0.45069444444444445</v>
      </c>
      <c r="Q1950" s="26">
        <v>44890.0</v>
      </c>
      <c r="R1950" s="27">
        <v>0.5270833333333333</v>
      </c>
      <c r="S1950" s="20">
        <v>1.0</v>
      </c>
      <c r="T1950" s="6" t="s">
        <v>59</v>
      </c>
      <c r="U1950" s="6"/>
      <c r="V1950" s="6"/>
      <c r="W1950" s="6">
        <v>29.645097</v>
      </c>
      <c r="X1950" s="6">
        <v>-95.549485</v>
      </c>
    </row>
    <row r="1951" ht="15.75" customHeight="1">
      <c r="A1951" s="6">
        <v>50082.0</v>
      </c>
      <c r="B1951" s="6">
        <v>2022.0</v>
      </c>
      <c r="C1951" s="6" t="str">
        <f t="shared" si="5"/>
        <v>1019 E 7TH ST,Houston,TX</v>
      </c>
      <c r="D1951" s="6" t="s">
        <v>3353</v>
      </c>
      <c r="E1951" s="6" t="s">
        <v>25</v>
      </c>
      <c r="F1951" s="6" t="s">
        <v>1388</v>
      </c>
      <c r="G1951" s="6" t="s">
        <v>161</v>
      </c>
      <c r="H1951" s="6" t="s">
        <v>50</v>
      </c>
      <c r="I1951" s="6" t="str">
        <f>VLOOKUP(H1951,'Flow Location'!$A$1:$B$21,2,FALSE)</f>
        <v>Contained On Site, not within 5 ft. of Bayou/Surface Water/Drainage Ditch</v>
      </c>
      <c r="J1951" s="20">
        <v>0.0</v>
      </c>
      <c r="K1951" s="6" t="s">
        <v>51</v>
      </c>
      <c r="L1951" s="6" t="str">
        <f>VLOOKUP(K1951,'Structure type'!$A$1:$B$15,2,FALSE)</f>
        <v>Private Cleanout</v>
      </c>
      <c r="M1951" s="6" t="s">
        <v>56</v>
      </c>
      <c r="N1951" s="6" t="str">
        <f>VLOOKUP(M1951,'Excursion Cause'!$A$1:$B$34,2,FALSE)</f>
        <v>Rags/Wipes</v>
      </c>
      <c r="O1951" s="26">
        <v>44891.0</v>
      </c>
      <c r="P1951" s="27">
        <v>0.41805555555555557</v>
      </c>
      <c r="Q1951" s="26">
        <v>44891.0</v>
      </c>
      <c r="R1951" s="27">
        <v>0.41875</v>
      </c>
      <c r="S1951" s="20">
        <v>0.0</v>
      </c>
      <c r="T1951" s="6" t="s">
        <v>59</v>
      </c>
      <c r="U1951" s="6"/>
      <c r="V1951" s="6"/>
      <c r="W1951" s="6">
        <v>29.7837277</v>
      </c>
      <c r="X1951" s="6">
        <v>-95.3851416</v>
      </c>
    </row>
    <row r="1952" ht="15.75" customHeight="1">
      <c r="A1952" s="6">
        <v>50085.0</v>
      </c>
      <c r="B1952" s="6">
        <v>2022.0</v>
      </c>
      <c r="C1952" s="6" t="str">
        <f t="shared" si="5"/>
        <v>5202 JERICHO CT,Houston,TX</v>
      </c>
      <c r="D1952" s="6" t="s">
        <v>1134</v>
      </c>
      <c r="E1952" s="6" t="s">
        <v>25</v>
      </c>
      <c r="F1952" s="6" t="s">
        <v>1388</v>
      </c>
      <c r="G1952" s="6" t="s">
        <v>222</v>
      </c>
      <c r="H1952" s="6" t="s">
        <v>28</v>
      </c>
      <c r="I1952" s="6" t="str">
        <f>VLOOKUP(H1952,'Flow Location'!$A$1:$B$21,2,FALSE)</f>
        <v>Storm Sewer (not contained)</v>
      </c>
      <c r="J1952" s="20">
        <v>3124.0</v>
      </c>
      <c r="K1952" s="6" t="s">
        <v>29</v>
      </c>
      <c r="L1952" s="6" t="str">
        <f>VLOOKUP(K1952,'Structure type'!$A$1:$B$15,2,FALSE)</f>
        <v>Manhole</v>
      </c>
      <c r="M1952" s="6" t="s">
        <v>30</v>
      </c>
      <c r="N1952" s="6" t="str">
        <f>VLOOKUP(M1952,'Excursion Cause'!$A$1:$B$34,2,FALSE)</f>
        <v>Grease Blockage</v>
      </c>
      <c r="O1952" s="26">
        <v>44891.0</v>
      </c>
      <c r="P1952" s="27">
        <v>0.4673611111111111</v>
      </c>
      <c r="Q1952" s="26">
        <v>44892.0</v>
      </c>
      <c r="R1952" s="27">
        <v>0.5520833333333334</v>
      </c>
      <c r="S1952" s="20">
        <v>2.0</v>
      </c>
      <c r="T1952" s="6" t="s">
        <v>59</v>
      </c>
      <c r="U1952" s="6"/>
      <c r="V1952" s="6"/>
      <c r="W1952" s="6">
        <v>29.8413132</v>
      </c>
      <c r="X1952" s="6">
        <v>-95.4258025</v>
      </c>
    </row>
    <row r="1953" ht="15.75" customHeight="1">
      <c r="A1953" s="6">
        <v>50086.0</v>
      </c>
      <c r="B1953" s="6">
        <v>2022.0</v>
      </c>
      <c r="C1953" s="6" t="str">
        <f t="shared" si="5"/>
        <v>7313 SANTIAGO ST,Houston,TX</v>
      </c>
      <c r="D1953" s="6" t="s">
        <v>3354</v>
      </c>
      <c r="E1953" s="6" t="s">
        <v>25</v>
      </c>
      <c r="F1953" s="6" t="s">
        <v>1388</v>
      </c>
      <c r="G1953" s="6" t="s">
        <v>141</v>
      </c>
      <c r="H1953" s="6" t="s">
        <v>50</v>
      </c>
      <c r="I1953" s="6" t="str">
        <f>VLOOKUP(H1953,'Flow Location'!$A$1:$B$21,2,FALSE)</f>
        <v>Contained On Site, not within 5 ft. of Bayou/Surface Water/Drainage Ditch</v>
      </c>
      <c r="J1953" s="20">
        <v>0.0</v>
      </c>
      <c r="K1953" s="6" t="s">
        <v>45</v>
      </c>
      <c r="L1953" s="6" t="str">
        <f>VLOOKUP(K1953,'Structure type'!$A$1:$B$15,2,FALSE)</f>
        <v>City Cleanout</v>
      </c>
      <c r="M1953" s="6" t="s">
        <v>52</v>
      </c>
      <c r="N1953" s="6" t="str">
        <f>VLOOKUP(M1953,'Excursion Cause'!$A$1:$B$34,2,FALSE)</f>
        <v>Collection system structural blockage</v>
      </c>
      <c r="O1953" s="26">
        <v>44891.0</v>
      </c>
      <c r="P1953" s="27">
        <v>0.5465277777777777</v>
      </c>
      <c r="Q1953" s="26">
        <v>44891.0</v>
      </c>
      <c r="R1953" s="27">
        <v>0.5472222222222223</v>
      </c>
      <c r="S1953" s="20">
        <v>0.0</v>
      </c>
      <c r="T1953" s="6" t="s">
        <v>118</v>
      </c>
      <c r="U1953" s="6"/>
      <c r="V1953" s="6"/>
      <c r="W1953" s="6">
        <v>29.7253317</v>
      </c>
      <c r="X1953" s="6">
        <v>-95.2976011</v>
      </c>
    </row>
    <row r="1954" ht="15.75" customHeight="1">
      <c r="A1954" s="6">
        <v>50087.0</v>
      </c>
      <c r="B1954" s="6">
        <v>2022.0</v>
      </c>
      <c r="C1954" s="6" t="str">
        <f t="shared" si="5"/>
        <v>1554 ELLIOTT ST,Houston,TX</v>
      </c>
      <c r="D1954" s="6" t="s">
        <v>2753</v>
      </c>
      <c r="E1954" s="6" t="s">
        <v>25</v>
      </c>
      <c r="F1954" s="6" t="s">
        <v>1388</v>
      </c>
      <c r="G1954" s="6" t="s">
        <v>141</v>
      </c>
      <c r="H1954" s="6" t="s">
        <v>28</v>
      </c>
      <c r="I1954" s="6" t="str">
        <f>VLOOKUP(H1954,'Flow Location'!$A$1:$B$21,2,FALSE)</f>
        <v>Storm Sewer (not contained)</v>
      </c>
      <c r="J1954" s="20">
        <v>1318.0</v>
      </c>
      <c r="K1954" s="6" t="s">
        <v>29</v>
      </c>
      <c r="L1954" s="6" t="str">
        <f>VLOOKUP(K1954,'Structure type'!$A$1:$B$15,2,FALSE)</f>
        <v>Manhole</v>
      </c>
      <c r="M1954" s="6" t="s">
        <v>56</v>
      </c>
      <c r="N1954" s="6" t="str">
        <f>VLOOKUP(M1954,'Excursion Cause'!$A$1:$B$34,2,FALSE)</f>
        <v>Rags/Wipes</v>
      </c>
      <c r="O1954" s="26">
        <v>44891.0</v>
      </c>
      <c r="P1954" s="27">
        <v>0.5743055555555555</v>
      </c>
      <c r="Q1954" s="26">
        <v>44892.0</v>
      </c>
      <c r="R1954" s="27">
        <v>0.4895833333333333</v>
      </c>
      <c r="S1954" s="20">
        <v>1.0</v>
      </c>
      <c r="T1954" s="6" t="s">
        <v>59</v>
      </c>
      <c r="U1954" s="6"/>
      <c r="V1954" s="6"/>
      <c r="W1954" s="6">
        <v>29.7270182</v>
      </c>
      <c r="X1954" s="6">
        <v>-95.326527</v>
      </c>
    </row>
    <row r="1955" ht="15.75" customHeight="1">
      <c r="A1955" s="6">
        <v>50093.0</v>
      </c>
      <c r="B1955" s="6">
        <v>2022.0</v>
      </c>
      <c r="C1955" s="6" t="str">
        <f t="shared" si="5"/>
        <v>1820 KANE ST,Houston,TX</v>
      </c>
      <c r="D1955" s="6" t="s">
        <v>3355</v>
      </c>
      <c r="E1955" s="6" t="s">
        <v>25</v>
      </c>
      <c r="F1955" s="6" t="s">
        <v>1388</v>
      </c>
      <c r="G1955" s="6" t="s">
        <v>158</v>
      </c>
      <c r="H1955" s="6" t="s">
        <v>50</v>
      </c>
      <c r="I1955" s="6" t="str">
        <f>VLOOKUP(H1955,'Flow Location'!$A$1:$B$21,2,FALSE)</f>
        <v>Contained On Site, not within 5 ft. of Bayou/Surface Water/Drainage Ditch</v>
      </c>
      <c r="J1955" s="20">
        <v>0.0</v>
      </c>
      <c r="K1955" s="6" t="s">
        <v>45</v>
      </c>
      <c r="L1955" s="6" t="str">
        <f>VLOOKUP(K1955,'Structure type'!$A$1:$B$15,2,FALSE)</f>
        <v>City Cleanout</v>
      </c>
      <c r="M1955" s="6" t="s">
        <v>56</v>
      </c>
      <c r="N1955" s="6" t="str">
        <f>VLOOKUP(M1955,'Excursion Cause'!$A$1:$B$34,2,FALSE)</f>
        <v>Rags/Wipes</v>
      </c>
      <c r="O1955" s="26">
        <v>44892.0</v>
      </c>
      <c r="P1955" s="27">
        <v>0.5215277777777778</v>
      </c>
      <c r="Q1955" s="26">
        <v>44892.0</v>
      </c>
      <c r="R1955" s="27">
        <v>0.5222222222222223</v>
      </c>
      <c r="S1955" s="20">
        <v>0.0</v>
      </c>
      <c r="T1955" s="6" t="s">
        <v>74</v>
      </c>
      <c r="U1955" s="6"/>
      <c r="V1955" s="6"/>
      <c r="W1955" s="6">
        <v>29.7664769</v>
      </c>
      <c r="X1955" s="6">
        <v>-95.3769813</v>
      </c>
    </row>
    <row r="1956" ht="15.75" customHeight="1">
      <c r="A1956" s="6">
        <v>50096.0</v>
      </c>
      <c r="B1956" s="6">
        <v>2022.0</v>
      </c>
      <c r="C1956" s="6" t="str">
        <f t="shared" si="5"/>
        <v>14430 MINETTA ST,Houston,TX</v>
      </c>
      <c r="D1956" s="6" t="s">
        <v>1954</v>
      </c>
      <c r="E1956" s="6" t="s">
        <v>25</v>
      </c>
      <c r="F1956" s="6" t="s">
        <v>1388</v>
      </c>
      <c r="G1956" s="6" t="s">
        <v>127</v>
      </c>
      <c r="H1956" s="6" t="s">
        <v>50</v>
      </c>
      <c r="I1956" s="6" t="str">
        <f>VLOOKUP(H1956,'Flow Location'!$A$1:$B$21,2,FALSE)</f>
        <v>Contained On Site, not within 5 ft. of Bayou/Surface Water/Drainage Ditch</v>
      </c>
      <c r="J1956" s="20">
        <v>0.0</v>
      </c>
      <c r="K1956" s="6" t="s">
        <v>45</v>
      </c>
      <c r="L1956" s="6" t="str">
        <f>VLOOKUP(K1956,'Structure type'!$A$1:$B$15,2,FALSE)</f>
        <v>City Cleanout</v>
      </c>
      <c r="M1956" s="6" t="s">
        <v>56</v>
      </c>
      <c r="N1956" s="6" t="str">
        <f>VLOOKUP(M1956,'Excursion Cause'!$A$1:$B$34,2,FALSE)</f>
        <v>Rags/Wipes</v>
      </c>
      <c r="O1956" s="26">
        <v>44892.0</v>
      </c>
      <c r="P1956" s="27">
        <v>0.6326388888888889</v>
      </c>
      <c r="Q1956" s="26">
        <v>44892.0</v>
      </c>
      <c r="R1956" s="27">
        <v>0.6333333333333333</v>
      </c>
      <c r="S1956" s="20">
        <v>0.0</v>
      </c>
      <c r="T1956" s="6" t="s">
        <v>1439</v>
      </c>
      <c r="U1956" s="6"/>
      <c r="V1956" s="6"/>
      <c r="W1956" s="6">
        <v>29.6363399</v>
      </c>
      <c r="X1956" s="6">
        <v>-95.5017682</v>
      </c>
    </row>
    <row r="1957" ht="15.75" customHeight="1">
      <c r="A1957" s="6">
        <v>50097.0</v>
      </c>
      <c r="B1957" s="6">
        <v>2022.0</v>
      </c>
      <c r="C1957" s="6" t="str">
        <f t="shared" si="5"/>
        <v>7373 N WAYSIDE DR,Houston,TX</v>
      </c>
      <c r="D1957" s="6" t="s">
        <v>3340</v>
      </c>
      <c r="E1957" s="6" t="s">
        <v>25</v>
      </c>
      <c r="F1957" s="6" t="s">
        <v>1388</v>
      </c>
      <c r="G1957" s="6" t="s">
        <v>177</v>
      </c>
      <c r="H1957" s="6" t="s">
        <v>28</v>
      </c>
      <c r="I1957" s="6" t="str">
        <f>VLOOKUP(H1957,'Flow Location'!$A$1:$B$21,2,FALSE)</f>
        <v>Storm Sewer (not contained)</v>
      </c>
      <c r="J1957" s="20">
        <v>175.0</v>
      </c>
      <c r="K1957" s="6" t="s">
        <v>29</v>
      </c>
      <c r="L1957" s="6" t="str">
        <f>VLOOKUP(K1957,'Structure type'!$A$1:$B$15,2,FALSE)</f>
        <v>Manhole</v>
      </c>
      <c r="M1957" s="6" t="s">
        <v>30</v>
      </c>
      <c r="N1957" s="6" t="str">
        <f>VLOOKUP(M1957,'Excursion Cause'!$A$1:$B$34,2,FALSE)</f>
        <v>Grease Blockage</v>
      </c>
      <c r="O1957" s="26">
        <v>44892.0</v>
      </c>
      <c r="P1957" s="27">
        <v>0.5833333333333334</v>
      </c>
      <c r="Q1957" s="26">
        <v>44892.0</v>
      </c>
      <c r="R1957" s="27">
        <v>0.6076388888888888</v>
      </c>
      <c r="S1957" s="20">
        <v>5.0</v>
      </c>
      <c r="T1957" s="6" t="s">
        <v>59</v>
      </c>
      <c r="U1957" s="6"/>
      <c r="V1957" s="6"/>
      <c r="W1957" s="6">
        <v>29.828101</v>
      </c>
      <c r="X1957" s="6">
        <v>-95.2845962</v>
      </c>
    </row>
    <row r="1958" ht="15.75" customHeight="1">
      <c r="A1958" s="6">
        <v>50098.0</v>
      </c>
      <c r="B1958" s="6">
        <v>2022.0</v>
      </c>
      <c r="C1958" s="6" t="str">
        <f t="shared" si="5"/>
        <v>8435 SPRINGTIME LN,Houston,TX</v>
      </c>
      <c r="D1958" s="6" t="s">
        <v>3356</v>
      </c>
      <c r="E1958" s="6" t="s">
        <v>25</v>
      </c>
      <c r="F1958" s="6" t="s">
        <v>1388</v>
      </c>
      <c r="G1958" s="6" t="s">
        <v>95</v>
      </c>
      <c r="H1958" s="6" t="s">
        <v>50</v>
      </c>
      <c r="I1958" s="6" t="str">
        <f>VLOOKUP(H1958,'Flow Location'!$A$1:$B$21,2,FALSE)</f>
        <v>Contained On Site, not within 5 ft. of Bayou/Surface Water/Drainage Ditch</v>
      </c>
      <c r="J1958" s="20">
        <v>0.0</v>
      </c>
      <c r="K1958" s="6" t="s">
        <v>51</v>
      </c>
      <c r="L1958" s="6" t="str">
        <f>VLOOKUP(K1958,'Structure type'!$A$1:$B$15,2,FALSE)</f>
        <v>Private Cleanout</v>
      </c>
      <c r="M1958" s="6" t="s">
        <v>30</v>
      </c>
      <c r="N1958" s="6" t="str">
        <f>VLOOKUP(M1958,'Excursion Cause'!$A$1:$B$34,2,FALSE)</f>
        <v>Grease Blockage</v>
      </c>
      <c r="O1958" s="26">
        <v>44892.0</v>
      </c>
      <c r="P1958" s="27">
        <v>0.6888888888888889</v>
      </c>
      <c r="Q1958" s="26">
        <v>44892.0</v>
      </c>
      <c r="R1958" s="27">
        <v>0.6895833333333333</v>
      </c>
      <c r="S1958" s="20">
        <v>0.0</v>
      </c>
      <c r="T1958" s="6" t="s">
        <v>59</v>
      </c>
      <c r="U1958" s="6"/>
      <c r="V1958" s="6"/>
      <c r="W1958" s="6">
        <v>29.6087119</v>
      </c>
      <c r="X1958" s="6">
        <v>-95.2678494</v>
      </c>
    </row>
    <row r="1959" ht="15.75" customHeight="1">
      <c r="A1959" s="6">
        <v>50100.0</v>
      </c>
      <c r="B1959" s="6">
        <v>2022.0</v>
      </c>
      <c r="C1959" s="6" t="str">
        <f t="shared" si="5"/>
        <v>9009 IMOGENE ST,Houston,TX</v>
      </c>
      <c r="D1959" s="6" t="s">
        <v>3357</v>
      </c>
      <c r="E1959" s="6" t="s">
        <v>25</v>
      </c>
      <c r="F1959" s="6" t="s">
        <v>1388</v>
      </c>
      <c r="G1959" s="6" t="s">
        <v>100</v>
      </c>
      <c r="H1959" s="6" t="s">
        <v>28</v>
      </c>
      <c r="I1959" s="6" t="str">
        <f>VLOOKUP(H1959,'Flow Location'!$A$1:$B$21,2,FALSE)</f>
        <v>Storm Sewer (not contained)</v>
      </c>
      <c r="J1959" s="20">
        <v>70.0</v>
      </c>
      <c r="K1959" s="6" t="s">
        <v>29</v>
      </c>
      <c r="L1959" s="6" t="str">
        <f>VLOOKUP(K1959,'Structure type'!$A$1:$B$15,2,FALSE)</f>
        <v>Manhole</v>
      </c>
      <c r="M1959" s="6" t="s">
        <v>30</v>
      </c>
      <c r="N1959" s="6" t="str">
        <f>VLOOKUP(M1959,'Excursion Cause'!$A$1:$B$34,2,FALSE)</f>
        <v>Grease Blockage</v>
      </c>
      <c r="O1959" s="26">
        <v>44893.0</v>
      </c>
      <c r="P1959" s="27">
        <v>0.34097222222222223</v>
      </c>
      <c r="Q1959" s="26">
        <v>44893.0</v>
      </c>
      <c r="R1959" s="27">
        <v>0.38958333333333334</v>
      </c>
      <c r="S1959" s="20">
        <v>1.0</v>
      </c>
      <c r="T1959" s="6" t="s">
        <v>59</v>
      </c>
      <c r="U1959" s="6"/>
      <c r="V1959" s="6"/>
      <c r="W1959" s="6">
        <v>29.6854731</v>
      </c>
      <c r="X1959" s="6">
        <v>-95.5395421</v>
      </c>
    </row>
    <row r="1960" ht="15.75" customHeight="1">
      <c r="A1960" s="6">
        <v>50102.0</v>
      </c>
      <c r="B1960" s="6">
        <v>2022.0</v>
      </c>
      <c r="C1960" s="6" t="str">
        <f t="shared" si="5"/>
        <v>13338 ORLEANS ST,Houston,TX</v>
      </c>
      <c r="D1960" s="6" t="s">
        <v>3358</v>
      </c>
      <c r="E1960" s="6" t="s">
        <v>25</v>
      </c>
      <c r="F1960" s="6" t="s">
        <v>1388</v>
      </c>
      <c r="G1960" s="6" t="s">
        <v>623</v>
      </c>
      <c r="H1960" s="6" t="s">
        <v>50</v>
      </c>
      <c r="I1960" s="6" t="str">
        <f>VLOOKUP(H1960,'Flow Location'!$A$1:$B$21,2,FALSE)</f>
        <v>Contained On Site, not within 5 ft. of Bayou/Surface Water/Drainage Ditch</v>
      </c>
      <c r="J1960" s="20">
        <v>0.0</v>
      </c>
      <c r="K1960" s="6" t="s">
        <v>51</v>
      </c>
      <c r="L1960" s="6" t="str">
        <f>VLOOKUP(K1960,'Structure type'!$A$1:$B$15,2,FALSE)</f>
        <v>Private Cleanout</v>
      </c>
      <c r="M1960" s="6" t="s">
        <v>52</v>
      </c>
      <c r="N1960" s="6" t="str">
        <f>VLOOKUP(M1960,'Excursion Cause'!$A$1:$B$34,2,FALSE)</f>
        <v>Collection system structural blockage</v>
      </c>
      <c r="O1960" s="26">
        <v>44893.0</v>
      </c>
      <c r="P1960" s="27">
        <v>0.39305555555555555</v>
      </c>
      <c r="Q1960" s="26">
        <v>44893.0</v>
      </c>
      <c r="R1960" s="27">
        <v>0.39375</v>
      </c>
      <c r="S1960" s="20">
        <v>0.0</v>
      </c>
      <c r="T1960" s="6" t="s">
        <v>54</v>
      </c>
      <c r="U1960" s="6"/>
      <c r="V1960" s="6"/>
      <c r="W1960" s="6">
        <v>29.7813751</v>
      </c>
      <c r="X1960" s="6">
        <v>-95.189201</v>
      </c>
    </row>
    <row r="1961" ht="15.75" customHeight="1">
      <c r="A1961" s="6">
        <v>50105.0</v>
      </c>
      <c r="B1961" s="6">
        <v>2022.0</v>
      </c>
      <c r="C1961" s="6" t="str">
        <f t="shared" si="5"/>
        <v>5207 BRAESHEATHER DR,Houston,TX</v>
      </c>
      <c r="D1961" s="6" t="s">
        <v>3359</v>
      </c>
      <c r="E1961" s="6" t="s">
        <v>25</v>
      </c>
      <c r="F1961" s="6" t="s">
        <v>1388</v>
      </c>
      <c r="G1961" s="6" t="s">
        <v>69</v>
      </c>
      <c r="H1961" s="6" t="s">
        <v>28</v>
      </c>
      <c r="I1961" s="6" t="str">
        <f>VLOOKUP(H1961,'Flow Location'!$A$1:$B$21,2,FALSE)</f>
        <v>Storm Sewer (not contained)</v>
      </c>
      <c r="J1961" s="20">
        <v>0.0</v>
      </c>
      <c r="K1961" s="6" t="s">
        <v>198</v>
      </c>
      <c r="L1961" s="6" t="str">
        <f>VLOOKUP(K1961,'Structure type'!$A$1:$B$15,2,FALSE)</f>
        <v>Service Lateral</v>
      </c>
      <c r="M1961" s="6" t="s">
        <v>81</v>
      </c>
      <c r="N1961" s="6" t="str">
        <f>VLOOKUP(M1961,'Excursion Cause'!$A$1:$B$34,2,FALSE)</f>
        <v>Collection system structural failure</v>
      </c>
      <c r="O1961" s="26">
        <v>44893.0</v>
      </c>
      <c r="P1961" s="27">
        <v>0.4284722222222222</v>
      </c>
      <c r="Q1961" s="26">
        <v>44893.0</v>
      </c>
      <c r="R1961" s="27">
        <v>0.42916666666666664</v>
      </c>
      <c r="S1961" s="20">
        <v>0.0</v>
      </c>
      <c r="T1961" s="6" t="s">
        <v>107</v>
      </c>
      <c r="U1961" s="6"/>
      <c r="V1961" s="6"/>
      <c r="W1961" s="6">
        <v>29.6762886</v>
      </c>
      <c r="X1961" s="6">
        <v>-95.4720265</v>
      </c>
    </row>
    <row r="1962" ht="15.75" customHeight="1">
      <c r="A1962" s="6">
        <v>50106.0</v>
      </c>
      <c r="B1962" s="6">
        <v>2022.0</v>
      </c>
      <c r="C1962" s="6" t="str">
        <f t="shared" si="5"/>
        <v>5114 PARKRIDGE DR,Houston,TX</v>
      </c>
      <c r="D1962" s="6" t="s">
        <v>3360</v>
      </c>
      <c r="E1962" s="6" t="s">
        <v>25</v>
      </c>
      <c r="F1962" s="6" t="s">
        <v>1388</v>
      </c>
      <c r="G1962" s="6" t="s">
        <v>517</v>
      </c>
      <c r="H1962" s="6" t="s">
        <v>50</v>
      </c>
      <c r="I1962" s="6" t="str">
        <f>VLOOKUP(H1962,'Flow Location'!$A$1:$B$21,2,FALSE)</f>
        <v>Contained On Site, not within 5 ft. of Bayou/Surface Water/Drainage Ditch</v>
      </c>
      <c r="J1962" s="20">
        <v>0.0</v>
      </c>
      <c r="K1962" s="6" t="s">
        <v>29</v>
      </c>
      <c r="L1962" s="6" t="str">
        <f>VLOOKUP(K1962,'Structure type'!$A$1:$B$15,2,FALSE)</f>
        <v>Manhole</v>
      </c>
      <c r="M1962" s="6" t="s">
        <v>30</v>
      </c>
      <c r="N1962" s="6" t="str">
        <f>VLOOKUP(M1962,'Excursion Cause'!$A$1:$B$34,2,FALSE)</f>
        <v>Grease Blockage</v>
      </c>
      <c r="O1962" s="26">
        <v>44892.0</v>
      </c>
      <c r="P1962" s="27">
        <v>0.5083333333333333</v>
      </c>
      <c r="Q1962" s="26">
        <v>44892.0</v>
      </c>
      <c r="R1962" s="27">
        <v>0.5090277777777777</v>
      </c>
      <c r="S1962" s="20">
        <v>0.0</v>
      </c>
      <c r="T1962" s="6" t="s">
        <v>59</v>
      </c>
      <c r="U1962" s="6"/>
      <c r="V1962" s="6"/>
      <c r="W1962" s="6">
        <v>29.584133</v>
      </c>
      <c r="X1962" s="6">
        <v>-95.4650644</v>
      </c>
    </row>
    <row r="1963" ht="15.75" customHeight="1">
      <c r="A1963" s="6">
        <v>50113.0</v>
      </c>
      <c r="B1963" s="6">
        <v>2022.0</v>
      </c>
      <c r="C1963" s="6" t="str">
        <f t="shared" si="5"/>
        <v>12213 DASHWOOD DR,Houston,TX</v>
      </c>
      <c r="D1963" s="6" t="s">
        <v>3361</v>
      </c>
      <c r="E1963" s="6" t="s">
        <v>25</v>
      </c>
      <c r="F1963" s="6" t="s">
        <v>1388</v>
      </c>
      <c r="G1963" s="6" t="s">
        <v>91</v>
      </c>
      <c r="H1963" s="6" t="s">
        <v>28</v>
      </c>
      <c r="I1963" s="6" t="str">
        <f>VLOOKUP(H1963,'Flow Location'!$A$1:$B$21,2,FALSE)</f>
        <v>Storm Sewer (not contained)</v>
      </c>
      <c r="J1963" s="20">
        <v>318.0</v>
      </c>
      <c r="K1963" s="6" t="s">
        <v>29</v>
      </c>
      <c r="L1963" s="6" t="str">
        <f>VLOOKUP(K1963,'Structure type'!$A$1:$B$15,2,FALSE)</f>
        <v>Manhole</v>
      </c>
      <c r="M1963" s="6" t="s">
        <v>30</v>
      </c>
      <c r="N1963" s="6" t="str">
        <f>VLOOKUP(M1963,'Excursion Cause'!$A$1:$B$34,2,FALSE)</f>
        <v>Grease Blockage</v>
      </c>
      <c r="O1963" s="26">
        <v>44893.0</v>
      </c>
      <c r="P1963" s="27">
        <v>0.53125</v>
      </c>
      <c r="Q1963" s="26">
        <v>44893.0</v>
      </c>
      <c r="R1963" s="27">
        <v>0.6048611111111111</v>
      </c>
      <c r="S1963" s="20">
        <v>3.0</v>
      </c>
      <c r="T1963" s="6" t="s">
        <v>59</v>
      </c>
      <c r="U1963" s="6"/>
      <c r="V1963" s="6"/>
      <c r="W1963" s="6">
        <v>29.7057331</v>
      </c>
      <c r="X1963" s="6">
        <v>-95.594696</v>
      </c>
    </row>
    <row r="1964" ht="15.75" customHeight="1">
      <c r="A1964" s="6">
        <v>50117.0</v>
      </c>
      <c r="B1964" s="6">
        <v>2022.0</v>
      </c>
      <c r="C1964" s="6" t="str">
        <f t="shared" si="5"/>
        <v>2508 JAMESTOWN MALL,Houston,TX</v>
      </c>
      <c r="D1964" s="6" t="s">
        <v>3362</v>
      </c>
      <c r="E1964" s="6" t="s">
        <v>25</v>
      </c>
      <c r="F1964" s="6" t="s">
        <v>1388</v>
      </c>
      <c r="G1964" s="6" t="s">
        <v>689</v>
      </c>
      <c r="H1964" s="6" t="s">
        <v>28</v>
      </c>
      <c r="I1964" s="6" t="str">
        <f>VLOOKUP(H1964,'Flow Location'!$A$1:$B$21,2,FALSE)</f>
        <v>Storm Sewer (not contained)</v>
      </c>
      <c r="J1964" s="20">
        <v>637.0</v>
      </c>
      <c r="K1964" s="6" t="s">
        <v>51</v>
      </c>
      <c r="L1964" s="6" t="str">
        <f>VLOOKUP(K1964,'Structure type'!$A$1:$B$15,2,FALSE)</f>
        <v>Private Cleanout</v>
      </c>
      <c r="M1964" s="6" t="s">
        <v>30</v>
      </c>
      <c r="N1964" s="6" t="str">
        <f>VLOOKUP(M1964,'Excursion Cause'!$A$1:$B$34,2,FALSE)</f>
        <v>Grease Blockage</v>
      </c>
      <c r="O1964" s="26">
        <v>44893.0</v>
      </c>
      <c r="P1964" s="27">
        <v>0.5555555555555556</v>
      </c>
      <c r="Q1964" s="26">
        <v>44894.0</v>
      </c>
      <c r="R1964" s="27">
        <v>0.44027777777777777</v>
      </c>
      <c r="S1964" s="20">
        <v>1.0</v>
      </c>
      <c r="T1964" s="6" t="s">
        <v>59</v>
      </c>
      <c r="U1964" s="6"/>
      <c r="V1964" s="6"/>
      <c r="W1964" s="6">
        <v>29.7396559</v>
      </c>
      <c r="X1964" s="6">
        <v>-95.4911754</v>
      </c>
    </row>
    <row r="1965" ht="15.75" customHeight="1">
      <c r="A1965" s="6">
        <v>50120.0</v>
      </c>
      <c r="B1965" s="6">
        <v>2022.0</v>
      </c>
      <c r="C1965" s="6" t="str">
        <f t="shared" si="5"/>
        <v>9018 PETERSHAM DR,Houston,TX</v>
      </c>
      <c r="D1965" s="6" t="s">
        <v>1356</v>
      </c>
      <c r="E1965" s="6" t="s">
        <v>25</v>
      </c>
      <c r="F1965" s="6" t="s">
        <v>1388</v>
      </c>
      <c r="G1965" s="6" t="s">
        <v>214</v>
      </c>
      <c r="H1965" s="6" t="s">
        <v>3295</v>
      </c>
      <c r="I1965" s="6" t="str">
        <f>VLOOKUP(H1965,'Flow Location'!$A$1:$B$21,2,FALSE)</f>
        <v>Contained On Site, not within 5 ft. of Bayou/Surface Water/Drainage Ditch</v>
      </c>
      <c r="J1965" s="20">
        <v>0.0</v>
      </c>
      <c r="K1965" s="6" t="s">
        <v>45</v>
      </c>
      <c r="L1965" s="6" t="str">
        <f>VLOOKUP(K1965,'Structure type'!$A$1:$B$15,2,FALSE)</f>
        <v>City Cleanout</v>
      </c>
      <c r="M1965" s="6" t="s">
        <v>30</v>
      </c>
      <c r="N1965" s="6" t="str">
        <f>VLOOKUP(M1965,'Excursion Cause'!$A$1:$B$34,2,FALSE)</f>
        <v>Grease Blockage</v>
      </c>
      <c r="O1965" s="26">
        <v>44893.0</v>
      </c>
      <c r="P1965" s="27">
        <v>0.675</v>
      </c>
      <c r="Q1965" s="26">
        <v>44893.0</v>
      </c>
      <c r="R1965" s="27">
        <v>0.6756944444444445</v>
      </c>
      <c r="S1965" s="20">
        <v>0.0</v>
      </c>
      <c r="T1965" s="6" t="s">
        <v>74</v>
      </c>
      <c r="U1965" s="6"/>
      <c r="V1965" s="6"/>
      <c r="W1965" s="6">
        <v>29.6550842</v>
      </c>
      <c r="X1965" s="6">
        <v>-95.5425247</v>
      </c>
    </row>
    <row r="1966" ht="15.75" customHeight="1">
      <c r="A1966" s="6">
        <v>50122.0</v>
      </c>
      <c r="B1966" s="6">
        <v>2022.0</v>
      </c>
      <c r="C1966" s="6" t="str">
        <f t="shared" si="5"/>
        <v>7835 GROW LN,Houston,TX</v>
      </c>
      <c r="D1966" s="6" t="s">
        <v>3363</v>
      </c>
      <c r="E1966" s="6" t="s">
        <v>25</v>
      </c>
      <c r="F1966" s="6" t="s">
        <v>1388</v>
      </c>
      <c r="G1966" s="6" t="s">
        <v>253</v>
      </c>
      <c r="H1966" s="6" t="s">
        <v>28</v>
      </c>
      <c r="I1966" s="6" t="str">
        <f>VLOOKUP(H1966,'Flow Location'!$A$1:$B$21,2,FALSE)</f>
        <v>Storm Sewer (not contained)</v>
      </c>
      <c r="J1966" s="20">
        <v>2398.0</v>
      </c>
      <c r="K1966" s="6" t="s">
        <v>29</v>
      </c>
      <c r="L1966" s="6" t="str">
        <f>VLOOKUP(K1966,'Structure type'!$A$1:$B$15,2,FALSE)</f>
        <v>Manhole</v>
      </c>
      <c r="M1966" s="6" t="s">
        <v>30</v>
      </c>
      <c r="N1966" s="6" t="str">
        <f>VLOOKUP(M1966,'Excursion Cause'!$A$1:$B$34,2,FALSE)</f>
        <v>Grease Blockage</v>
      </c>
      <c r="O1966" s="26">
        <v>44893.0</v>
      </c>
      <c r="P1966" s="27">
        <v>0.6736111111111112</v>
      </c>
      <c r="Q1966" s="26">
        <v>44894.0</v>
      </c>
      <c r="R1966" s="27">
        <v>0.50625</v>
      </c>
      <c r="S1966" s="20">
        <v>2.0</v>
      </c>
      <c r="T1966" s="6" t="s">
        <v>59</v>
      </c>
      <c r="U1966" s="6"/>
      <c r="V1966" s="6"/>
      <c r="W1966" s="6">
        <v>29.8480134</v>
      </c>
      <c r="X1966" s="6">
        <v>-95.5090446</v>
      </c>
    </row>
    <row r="1967" ht="15.75" customHeight="1">
      <c r="A1967" s="6">
        <v>50124.0</v>
      </c>
      <c r="B1967" s="6">
        <v>2022.0</v>
      </c>
      <c r="C1967" s="6" t="str">
        <f t="shared" si="5"/>
        <v>2207 RIVER OAKS BLVD,Houston,TX</v>
      </c>
      <c r="D1967" s="6" t="s">
        <v>3364</v>
      </c>
      <c r="E1967" s="6" t="s">
        <v>25</v>
      </c>
      <c r="F1967" s="6" t="s">
        <v>1388</v>
      </c>
      <c r="G1967" s="6" t="s">
        <v>80</v>
      </c>
      <c r="H1967" s="6" t="s">
        <v>50</v>
      </c>
      <c r="I1967" s="6" t="str">
        <f>VLOOKUP(H1967,'Flow Location'!$A$1:$B$21,2,FALSE)</f>
        <v>Contained On Site, not within 5 ft. of Bayou/Surface Water/Drainage Ditch</v>
      </c>
      <c r="J1967" s="20">
        <v>0.0</v>
      </c>
      <c r="K1967" s="6" t="s">
        <v>45</v>
      </c>
      <c r="L1967" s="6" t="str">
        <f>VLOOKUP(K1967,'Structure type'!$A$1:$B$15,2,FALSE)</f>
        <v>City Cleanout</v>
      </c>
      <c r="M1967" s="6" t="s">
        <v>81</v>
      </c>
      <c r="N1967" s="6" t="str">
        <f>VLOOKUP(M1967,'Excursion Cause'!$A$1:$B$34,2,FALSE)</f>
        <v>Collection system structural failure</v>
      </c>
      <c r="O1967" s="26">
        <v>44893.0</v>
      </c>
      <c r="P1967" s="27">
        <v>0.7138888888888889</v>
      </c>
      <c r="Q1967" s="26">
        <v>44893.0</v>
      </c>
      <c r="R1967" s="27">
        <v>0.7145833333333333</v>
      </c>
      <c r="S1967" s="20">
        <v>0.0</v>
      </c>
      <c r="T1967" s="6" t="s">
        <v>1335</v>
      </c>
      <c r="U1967" s="6"/>
      <c r="V1967" s="6"/>
      <c r="W1967" s="6">
        <v>29.7457423</v>
      </c>
      <c r="X1967" s="6">
        <v>-95.4258258</v>
      </c>
    </row>
    <row r="1968" ht="15.75" customHeight="1">
      <c r="A1968" s="6">
        <v>50126.0</v>
      </c>
      <c r="B1968" s="6">
        <v>2022.0</v>
      </c>
      <c r="C1968" s="6" t="str">
        <f t="shared" si="5"/>
        <v>4809 BEECHAVEN DR,Houston,TX</v>
      </c>
      <c r="D1968" s="6" t="s">
        <v>3365</v>
      </c>
      <c r="E1968" s="6" t="s">
        <v>25</v>
      </c>
      <c r="F1968" s="6" t="s">
        <v>1388</v>
      </c>
      <c r="G1968" s="6" t="s">
        <v>517</v>
      </c>
      <c r="H1968" s="6" t="s">
        <v>50</v>
      </c>
      <c r="I1968" s="6" t="str">
        <f>VLOOKUP(H1968,'Flow Location'!$A$1:$B$21,2,FALSE)</f>
        <v>Contained On Site, not within 5 ft. of Bayou/Surface Water/Drainage Ditch</v>
      </c>
      <c r="J1968" s="20">
        <v>0.0</v>
      </c>
      <c r="K1968" s="6" t="s">
        <v>45</v>
      </c>
      <c r="L1968" s="6" t="str">
        <f>VLOOKUP(K1968,'Structure type'!$A$1:$B$15,2,FALSE)</f>
        <v>City Cleanout</v>
      </c>
      <c r="M1968" s="6" t="s">
        <v>56</v>
      </c>
      <c r="N1968" s="6" t="str">
        <f>VLOOKUP(M1968,'Excursion Cause'!$A$1:$B$34,2,FALSE)</f>
        <v>Rags/Wipes</v>
      </c>
      <c r="O1968" s="26">
        <v>44894.0</v>
      </c>
      <c r="P1968" s="27">
        <v>0.35138888888888886</v>
      </c>
      <c r="Q1968" s="26">
        <v>44894.0</v>
      </c>
      <c r="R1968" s="27">
        <v>0.35208333333333336</v>
      </c>
      <c r="S1968" s="20">
        <v>0.0</v>
      </c>
      <c r="T1968" s="6" t="s">
        <v>74</v>
      </c>
      <c r="U1968" s="6"/>
      <c r="V1968" s="6"/>
      <c r="W1968" s="6">
        <v>29.591858</v>
      </c>
      <c r="X1968" s="6">
        <v>-95.4518299</v>
      </c>
    </row>
    <row r="1969" ht="15.75" customHeight="1">
      <c r="A1969" s="6">
        <v>50127.0</v>
      </c>
      <c r="B1969" s="6">
        <v>2022.0</v>
      </c>
      <c r="C1969" s="6" t="str">
        <f t="shared" si="5"/>
        <v>11411 GREEN PLAZA DR,Houston,TX</v>
      </c>
      <c r="D1969" s="6" t="s">
        <v>3366</v>
      </c>
      <c r="E1969" s="6" t="s">
        <v>25</v>
      </c>
      <c r="F1969" s="6" t="s">
        <v>1388</v>
      </c>
      <c r="G1969" s="6" t="s">
        <v>3367</v>
      </c>
      <c r="H1969" s="6" t="s">
        <v>50</v>
      </c>
      <c r="I1969" s="6" t="str">
        <f>VLOOKUP(H1969,'Flow Location'!$A$1:$B$21,2,FALSE)</f>
        <v>Contained On Site, not within 5 ft. of Bayou/Surface Water/Drainage Ditch</v>
      </c>
      <c r="J1969" s="20">
        <v>151.0</v>
      </c>
      <c r="K1969" s="6" t="s">
        <v>29</v>
      </c>
      <c r="L1969" s="6" t="str">
        <f>VLOOKUP(K1969,'Structure type'!$A$1:$B$15,2,FALSE)</f>
        <v>Manhole</v>
      </c>
      <c r="M1969" s="6" t="s">
        <v>30</v>
      </c>
      <c r="N1969" s="6" t="str">
        <f>VLOOKUP(M1969,'Excursion Cause'!$A$1:$B$34,2,FALSE)</f>
        <v>Grease Blockage</v>
      </c>
      <c r="O1969" s="26">
        <v>44894.0</v>
      </c>
      <c r="P1969" s="27">
        <v>0.3472222222222222</v>
      </c>
      <c r="Q1969" s="26">
        <v>44894.0</v>
      </c>
      <c r="R1969" s="27">
        <v>0.45208333333333334</v>
      </c>
      <c r="S1969" s="20">
        <v>1.0</v>
      </c>
      <c r="T1969" s="6" t="s">
        <v>33</v>
      </c>
      <c r="U1969" s="6"/>
      <c r="V1969" s="6"/>
      <c r="W1969" s="6">
        <v>29.9322494</v>
      </c>
      <c r="X1969" s="6">
        <v>-95.4160459</v>
      </c>
    </row>
    <row r="1970" ht="15.75" customHeight="1">
      <c r="A1970" s="6">
        <v>50129.0</v>
      </c>
      <c r="B1970" s="6">
        <v>2022.0</v>
      </c>
      <c r="C1970" s="6" t="str">
        <f t="shared" si="5"/>
        <v>10122 MARISA ALEXIS DR,Houston,TX</v>
      </c>
      <c r="D1970" s="6" t="s">
        <v>3368</v>
      </c>
      <c r="E1970" s="6" t="s">
        <v>25</v>
      </c>
      <c r="F1970" s="6" t="s">
        <v>1388</v>
      </c>
      <c r="G1970" s="6" t="s">
        <v>95</v>
      </c>
      <c r="H1970" s="6" t="s">
        <v>28</v>
      </c>
      <c r="I1970" s="6" t="str">
        <f>VLOOKUP(H1970,'Flow Location'!$A$1:$B$21,2,FALSE)</f>
        <v>Storm Sewer (not contained)</v>
      </c>
      <c r="J1970" s="20">
        <v>412.0</v>
      </c>
      <c r="K1970" s="6" t="s">
        <v>29</v>
      </c>
      <c r="L1970" s="6" t="str">
        <f>VLOOKUP(K1970,'Structure type'!$A$1:$B$15,2,FALSE)</f>
        <v>Manhole</v>
      </c>
      <c r="M1970" s="6" t="s">
        <v>30</v>
      </c>
      <c r="N1970" s="6" t="str">
        <f>VLOOKUP(M1970,'Excursion Cause'!$A$1:$B$34,2,FALSE)</f>
        <v>Grease Blockage</v>
      </c>
      <c r="O1970" s="26">
        <v>44894.0</v>
      </c>
      <c r="P1970" s="27">
        <v>0.36041666666666666</v>
      </c>
      <c r="Q1970" s="26">
        <v>44894.0</v>
      </c>
      <c r="R1970" s="27">
        <v>0.5034722222222222</v>
      </c>
      <c r="S1970" s="20">
        <v>2.0</v>
      </c>
      <c r="T1970" s="6" t="s">
        <v>33</v>
      </c>
      <c r="U1970" s="6"/>
      <c r="V1970" s="6"/>
      <c r="W1970" s="6">
        <v>29.6212657</v>
      </c>
      <c r="X1970" s="6">
        <v>-95.23502</v>
      </c>
    </row>
    <row r="1971" ht="15.75" customHeight="1">
      <c r="A1971" s="6">
        <v>50131.0</v>
      </c>
      <c r="B1971" s="6">
        <v>2022.0</v>
      </c>
      <c r="C1971" s="6" t="str">
        <f t="shared" si="5"/>
        <v>7922 LIVINGSTON ST,Houston,TX</v>
      </c>
      <c r="D1971" s="6" t="s">
        <v>3369</v>
      </c>
      <c r="E1971" s="6" t="s">
        <v>25</v>
      </c>
      <c r="F1971" s="6" t="s">
        <v>1388</v>
      </c>
      <c r="G1971" s="6" t="s">
        <v>105</v>
      </c>
      <c r="H1971" s="6" t="s">
        <v>50</v>
      </c>
      <c r="I1971" s="6" t="str">
        <f>VLOOKUP(H1971,'Flow Location'!$A$1:$B$21,2,FALSE)</f>
        <v>Contained On Site, not within 5 ft. of Bayou/Surface Water/Drainage Ditch</v>
      </c>
      <c r="J1971" s="20">
        <v>0.0</v>
      </c>
      <c r="K1971" s="6" t="s">
        <v>45</v>
      </c>
      <c r="L1971" s="6" t="str">
        <f>VLOOKUP(K1971,'Structure type'!$A$1:$B$15,2,FALSE)</f>
        <v>City Cleanout</v>
      </c>
      <c r="M1971" s="6" t="s">
        <v>52</v>
      </c>
      <c r="N1971" s="6" t="str">
        <f>VLOOKUP(M1971,'Excursion Cause'!$A$1:$B$34,2,FALSE)</f>
        <v>Collection system structural blockage</v>
      </c>
      <c r="O1971" s="26">
        <v>44894.0</v>
      </c>
      <c r="P1971" s="27">
        <v>0.47847222222222224</v>
      </c>
      <c r="Q1971" s="26">
        <v>44894.0</v>
      </c>
      <c r="R1971" s="27">
        <v>0.4791666666666667</v>
      </c>
      <c r="S1971" s="20">
        <v>0.0</v>
      </c>
      <c r="T1971" s="6" t="s">
        <v>89</v>
      </c>
      <c r="U1971" s="6"/>
      <c r="V1971" s="6"/>
      <c r="W1971" s="6">
        <v>29.6758987</v>
      </c>
      <c r="X1971" s="6">
        <v>-95.3723407</v>
      </c>
    </row>
    <row r="1972" ht="15.75" customHeight="1">
      <c r="A1972" s="6">
        <v>50136.0</v>
      </c>
      <c r="B1972" s="6">
        <v>2022.0</v>
      </c>
      <c r="C1972" s="6" t="str">
        <f t="shared" si="5"/>
        <v>5342 WINDSWEPT LN,Houston,TX</v>
      </c>
      <c r="D1972" s="6" t="s">
        <v>3370</v>
      </c>
      <c r="E1972" s="6" t="s">
        <v>25</v>
      </c>
      <c r="F1972" s="6" t="s">
        <v>1388</v>
      </c>
      <c r="G1972" s="6" t="s">
        <v>993</v>
      </c>
      <c r="H1972" s="6" t="s">
        <v>28</v>
      </c>
      <c r="I1972" s="6" t="str">
        <f>VLOOKUP(H1972,'Flow Location'!$A$1:$B$21,2,FALSE)</f>
        <v>Storm Sewer (not contained)</v>
      </c>
      <c r="J1972" s="20">
        <v>1639.0</v>
      </c>
      <c r="K1972" s="6" t="s">
        <v>29</v>
      </c>
      <c r="L1972" s="6" t="str">
        <f>VLOOKUP(K1972,'Structure type'!$A$1:$B$15,2,FALSE)</f>
        <v>Manhole</v>
      </c>
      <c r="M1972" s="6" t="s">
        <v>3239</v>
      </c>
      <c r="N1972" s="6" t="str">
        <f>VLOOKUP(M1972,'Excursion Cause'!$A$1:$B$34,2,FALSE)</f>
        <v>Collection system temporary blockage</v>
      </c>
      <c r="O1972" s="26">
        <v>44894.0</v>
      </c>
      <c r="P1972" s="27">
        <v>0.5159722222222223</v>
      </c>
      <c r="Q1972" s="26">
        <v>44896.0</v>
      </c>
      <c r="R1972" s="27">
        <v>0.7916666666666666</v>
      </c>
      <c r="S1972" s="20">
        <v>1.0</v>
      </c>
      <c r="T1972" s="6" t="s">
        <v>107</v>
      </c>
      <c r="U1972" s="6"/>
      <c r="V1972" s="6"/>
      <c r="W1972" s="6">
        <v>29.7270651</v>
      </c>
      <c r="X1972" s="6">
        <v>-95.4703883</v>
      </c>
    </row>
    <row r="1973" ht="15.75" customHeight="1">
      <c r="A1973" s="6">
        <v>50139.0</v>
      </c>
      <c r="B1973" s="6">
        <v>2022.0</v>
      </c>
      <c r="C1973" s="6" t="str">
        <f t="shared" si="5"/>
        <v>1850 COLQUITT ST,Houston,TX</v>
      </c>
      <c r="D1973" s="6" t="s">
        <v>2881</v>
      </c>
      <c r="E1973" s="6" t="s">
        <v>25</v>
      </c>
      <c r="F1973" s="6" t="s">
        <v>1388</v>
      </c>
      <c r="G1973" s="6" t="s">
        <v>112</v>
      </c>
      <c r="H1973" s="6" t="s">
        <v>28</v>
      </c>
      <c r="I1973" s="6" t="str">
        <f>VLOOKUP(H1973,'Flow Location'!$A$1:$B$21,2,FALSE)</f>
        <v>Storm Sewer (not contained)</v>
      </c>
      <c r="J1973" s="20">
        <v>1197.0</v>
      </c>
      <c r="K1973" s="6" t="s">
        <v>45</v>
      </c>
      <c r="L1973" s="6" t="str">
        <f>VLOOKUP(K1973,'Structure type'!$A$1:$B$15,2,FALSE)</f>
        <v>City Cleanout</v>
      </c>
      <c r="M1973" s="6" t="s">
        <v>56</v>
      </c>
      <c r="N1973" s="6" t="str">
        <f>VLOOKUP(M1973,'Excursion Cause'!$A$1:$B$34,2,FALSE)</f>
        <v>Rags/Wipes</v>
      </c>
      <c r="O1973" s="26">
        <v>44894.0</v>
      </c>
      <c r="P1973" s="27">
        <v>0.6027777777777777</v>
      </c>
      <c r="Q1973" s="26">
        <v>44895.0</v>
      </c>
      <c r="R1973" s="27">
        <v>0.4340277777777778</v>
      </c>
      <c r="S1973" s="20">
        <v>1.0</v>
      </c>
      <c r="T1973" s="6" t="s">
        <v>1335</v>
      </c>
      <c r="U1973" s="6"/>
      <c r="V1973" s="6"/>
      <c r="W1973" s="6">
        <v>29.7354224</v>
      </c>
      <c r="X1973" s="6">
        <v>-95.406856</v>
      </c>
    </row>
    <row r="1974" ht="15.75" customHeight="1">
      <c r="A1974" s="6">
        <v>50143.0</v>
      </c>
      <c r="B1974" s="6">
        <v>2022.0</v>
      </c>
      <c r="C1974" s="6" t="str">
        <f t="shared" si="5"/>
        <v>5495 LAMPASAS ST,Houston,TX</v>
      </c>
      <c r="D1974" s="6" t="s">
        <v>3371</v>
      </c>
      <c r="E1974" s="6" t="s">
        <v>25</v>
      </c>
      <c r="F1974" s="6" t="s">
        <v>1388</v>
      </c>
      <c r="G1974" s="6" t="s">
        <v>993</v>
      </c>
      <c r="H1974" s="6" t="s">
        <v>28</v>
      </c>
      <c r="I1974" s="6" t="str">
        <f>VLOOKUP(H1974,'Flow Location'!$A$1:$B$21,2,FALSE)</f>
        <v>Storm Sewer (not contained)</v>
      </c>
      <c r="J1974" s="20">
        <v>1409.0</v>
      </c>
      <c r="K1974" s="6" t="s">
        <v>29</v>
      </c>
      <c r="L1974" s="6" t="str">
        <f>VLOOKUP(K1974,'Structure type'!$A$1:$B$15,2,FALSE)</f>
        <v>Manhole</v>
      </c>
      <c r="M1974" s="6" t="s">
        <v>30</v>
      </c>
      <c r="N1974" s="6" t="str">
        <f>VLOOKUP(M1974,'Excursion Cause'!$A$1:$B$34,2,FALSE)</f>
        <v>Grease Blockage</v>
      </c>
      <c r="O1974" s="26">
        <v>44894.0</v>
      </c>
      <c r="P1974" s="27">
        <v>0.6270833333333333</v>
      </c>
      <c r="Q1974" s="26">
        <v>44895.0</v>
      </c>
      <c r="R1974" s="27">
        <v>0.6055555555555555</v>
      </c>
      <c r="S1974" s="20">
        <v>1.0</v>
      </c>
      <c r="T1974" s="6" t="s">
        <v>59</v>
      </c>
      <c r="U1974" s="6"/>
      <c r="V1974" s="6"/>
      <c r="W1974" s="6">
        <v>29.732381</v>
      </c>
      <c r="X1974" s="6">
        <v>-95.4738286</v>
      </c>
    </row>
    <row r="1975" ht="15.75" customHeight="1">
      <c r="A1975" s="6">
        <v>50151.0</v>
      </c>
      <c r="B1975" s="6">
        <v>2022.0</v>
      </c>
      <c r="C1975" s="6" t="str">
        <f t="shared" si="5"/>
        <v>7373 N WAYSIDE DR,Houston,TX</v>
      </c>
      <c r="D1975" s="6" t="s">
        <v>3340</v>
      </c>
      <c r="E1975" s="6" t="s">
        <v>25</v>
      </c>
      <c r="F1975" s="6" t="s">
        <v>1388</v>
      </c>
      <c r="G1975" s="6" t="s">
        <v>177</v>
      </c>
      <c r="H1975" s="6" t="s">
        <v>28</v>
      </c>
      <c r="I1975" s="6" t="str">
        <f>VLOOKUP(H1975,'Flow Location'!$A$1:$B$21,2,FALSE)</f>
        <v>Storm Sewer (not contained)</v>
      </c>
      <c r="J1975" s="20">
        <v>0.0</v>
      </c>
      <c r="K1975" s="6" t="s">
        <v>29</v>
      </c>
      <c r="L1975" s="6" t="str">
        <f>VLOOKUP(K1975,'Structure type'!$A$1:$B$15,2,FALSE)</f>
        <v>Manhole</v>
      </c>
      <c r="M1975" s="6" t="s">
        <v>30</v>
      </c>
      <c r="N1975" s="6" t="str">
        <f>VLOOKUP(M1975,'Excursion Cause'!$A$1:$B$34,2,FALSE)</f>
        <v>Grease Blockage</v>
      </c>
      <c r="O1975" s="26">
        <v>44895.0</v>
      </c>
      <c r="P1975" s="27">
        <v>0.42986111111111114</v>
      </c>
      <c r="Q1975" s="26">
        <v>44895.0</v>
      </c>
      <c r="R1975" s="27">
        <v>0.4305555555555556</v>
      </c>
      <c r="S1975" s="20">
        <v>0.0</v>
      </c>
      <c r="T1975" s="6" t="s">
        <v>59</v>
      </c>
      <c r="U1975" s="6"/>
      <c r="V1975" s="6"/>
      <c r="W1975" s="6">
        <v>29.828101</v>
      </c>
      <c r="X1975" s="6">
        <v>-95.2845962</v>
      </c>
    </row>
    <row r="1976" ht="15.75" customHeight="1">
      <c r="A1976" s="6">
        <v>50152.0</v>
      </c>
      <c r="B1976" s="6">
        <v>2022.0</v>
      </c>
      <c r="C1976" s="6" t="str">
        <f>CONCATENATE(D1976,",",$E$1863,",",$F$1863)</f>
        <v>2923 ASHLEY ST,Houston,TX</v>
      </c>
      <c r="D1976" s="6" t="s">
        <v>3372</v>
      </c>
      <c r="E1976" s="6" t="s">
        <v>25</v>
      </c>
      <c r="F1976" s="6" t="s">
        <v>1388</v>
      </c>
      <c r="G1976" s="6" t="s">
        <v>135</v>
      </c>
      <c r="H1976" s="6" t="s">
        <v>44</v>
      </c>
      <c r="I1976" s="6" t="str">
        <f>VLOOKUP(H1976,'Flow Location'!$A$1:$B$21,2,FALSE)</f>
        <v>Bayou/surface water/drainage ditch</v>
      </c>
      <c r="J1976" s="20">
        <v>0.0</v>
      </c>
      <c r="K1976" s="6" t="s">
        <v>45</v>
      </c>
      <c r="L1976" s="6" t="str">
        <f>VLOOKUP(K1976,'Structure type'!$A$1:$B$15,2,FALSE)</f>
        <v>City Cleanout</v>
      </c>
      <c r="M1976" s="6" t="s">
        <v>81</v>
      </c>
      <c r="N1976" s="6" t="str">
        <f>VLOOKUP(M1976,'Excursion Cause'!$A$1:$B$34,2,FALSE)</f>
        <v>Collection system structural failure</v>
      </c>
      <c r="O1976" s="26">
        <v>44895.0</v>
      </c>
      <c r="P1976" s="27">
        <v>0.4305555555555556</v>
      </c>
      <c r="Q1976" s="26">
        <v>44895.0</v>
      </c>
      <c r="R1976" s="27">
        <v>0.43125</v>
      </c>
      <c r="S1976" s="20">
        <v>0.0</v>
      </c>
      <c r="T1976" s="6" t="s">
        <v>270</v>
      </c>
      <c r="U1976" s="6"/>
      <c r="V1976" s="6"/>
      <c r="W1976" s="6">
        <v>29.6981655</v>
      </c>
      <c r="X1976" s="6">
        <v>-95.2760149</v>
      </c>
    </row>
    <row r="1977" ht="15.75" customHeight="1">
      <c r="A1977" s="6">
        <v>50157.0</v>
      </c>
      <c r="B1977" s="6">
        <v>2022.0</v>
      </c>
      <c r="C1977" s="6" t="str">
        <f t="shared" ref="C1977:C1978" si="6">CONCATENATE(D1977,",",E1977,",",F1977)</f>
        <v>10402 VALLEY FORGE DR,Houston,TX</v>
      </c>
      <c r="D1977" s="6" t="s">
        <v>3373</v>
      </c>
      <c r="E1977" s="6" t="s">
        <v>25</v>
      </c>
      <c r="F1977" s="6" t="s">
        <v>1388</v>
      </c>
      <c r="G1977" s="6" t="s">
        <v>401</v>
      </c>
      <c r="H1977" s="6" t="s">
        <v>28</v>
      </c>
      <c r="I1977" s="6" t="str">
        <f>VLOOKUP(H1977,'Flow Location'!$A$1:$B$21,2,FALSE)</f>
        <v>Storm Sewer (not contained)</v>
      </c>
      <c r="J1977" s="20">
        <v>101.0</v>
      </c>
      <c r="K1977" s="6" t="s">
        <v>29</v>
      </c>
      <c r="L1977" s="6" t="str">
        <f>VLOOKUP(K1977,'Structure type'!$A$1:$B$15,2,FALSE)</f>
        <v>Manhole</v>
      </c>
      <c r="M1977" s="6" t="s">
        <v>30</v>
      </c>
      <c r="N1977" s="6" t="str">
        <f>VLOOKUP(M1977,'Excursion Cause'!$A$1:$B$34,2,FALSE)</f>
        <v>Grease Blockage</v>
      </c>
      <c r="O1977" s="26">
        <v>44895.0</v>
      </c>
      <c r="P1977" s="27">
        <v>0.6618055555555555</v>
      </c>
      <c r="Q1977" s="26">
        <v>44895.0</v>
      </c>
      <c r="R1977" s="27">
        <v>0.8020833333333334</v>
      </c>
      <c r="S1977" s="20">
        <v>1.0</v>
      </c>
      <c r="T1977" s="6" t="s">
        <v>33</v>
      </c>
      <c r="U1977" s="6"/>
      <c r="V1977" s="6"/>
      <c r="W1977" s="6">
        <v>29.7505828</v>
      </c>
      <c r="X1977" s="6">
        <v>-95.5588361</v>
      </c>
    </row>
    <row r="1978" ht="15.75" customHeight="1">
      <c r="A1978" s="6">
        <v>50160.0</v>
      </c>
      <c r="B1978" s="6">
        <v>2022.0</v>
      </c>
      <c r="C1978" s="6" t="str">
        <f t="shared" si="6"/>
        <v>11650 W BELLFORT AVE,Houston,TX</v>
      </c>
      <c r="D1978" s="6" t="s">
        <v>3374</v>
      </c>
      <c r="E1978" s="6" t="s">
        <v>25</v>
      </c>
      <c r="F1978" s="6" t="s">
        <v>1388</v>
      </c>
      <c r="G1978" s="6" t="s">
        <v>154</v>
      </c>
      <c r="H1978" s="6" t="s">
        <v>44</v>
      </c>
      <c r="I1978" s="6" t="str">
        <f>VLOOKUP(H1978,'Flow Location'!$A$1:$B$21,2,FALSE)</f>
        <v>Bayou/surface water/drainage ditch</v>
      </c>
      <c r="J1978" s="20">
        <v>1120.0</v>
      </c>
      <c r="K1978" s="6" t="s">
        <v>190</v>
      </c>
      <c r="L1978" s="6" t="str">
        <f>VLOOKUP(K1978,'Structure type'!$A$1:$B$15,2,FALSE)</f>
        <v>Force Main</v>
      </c>
      <c r="M1978" s="6" t="s">
        <v>620</v>
      </c>
      <c r="N1978" s="6" t="str">
        <f>VLOOKUP(M1978,'Excursion Cause'!$A$1:$B$34,2,FALSE)</f>
        <v>Air Relief Valve (ARV) Failure</v>
      </c>
      <c r="O1978" s="26">
        <v>44895.0</v>
      </c>
      <c r="P1978" s="27">
        <v>0.7236111111111111</v>
      </c>
      <c r="Q1978" s="26">
        <v>44895.0</v>
      </c>
      <c r="R1978" s="27">
        <v>0.8333333333333334</v>
      </c>
      <c r="S1978" s="20">
        <v>7.0</v>
      </c>
      <c r="T1978" s="6" t="s">
        <v>118</v>
      </c>
      <c r="U1978" s="6"/>
      <c r="V1978" s="6"/>
      <c r="W1978" s="6">
        <v>29.6588191</v>
      </c>
      <c r="X1978" s="6">
        <v>-95.582241</v>
      </c>
    </row>
    <row r="1979" ht="15.75" customHeight="1">
      <c r="A1979" s="23">
        <v>50161.0</v>
      </c>
      <c r="B1979" s="6">
        <v>2022.0</v>
      </c>
      <c r="C1979" s="6" t="str">
        <f t="shared" ref="C1979:C3687" si="7">CONCATENATE(D1979,",",$E$1863,",",$F$1863)</f>
        <v>1408 ALABAMA ST,Houston,TX</v>
      </c>
      <c r="D1979" s="23" t="s">
        <v>3375</v>
      </c>
      <c r="E1979" s="6" t="s">
        <v>25</v>
      </c>
      <c r="F1979" s="6" t="s">
        <v>1388</v>
      </c>
      <c r="G1979" s="6" t="s">
        <v>308</v>
      </c>
      <c r="H1979" s="23" t="s">
        <v>28</v>
      </c>
      <c r="I1979" s="6" t="str">
        <f>VLOOKUP(H1979,'Flow Location'!$A$1:$B$21,2,FALSE)</f>
        <v>Storm Sewer (not contained)</v>
      </c>
      <c r="J1979" s="28">
        <v>1404.0</v>
      </c>
      <c r="K1979" s="23" t="s">
        <v>29</v>
      </c>
      <c r="L1979" s="6" t="str">
        <f>VLOOKUP(K1979,'Structure type'!$A$1:$B$15,2,FALSE)</f>
        <v>Manhole</v>
      </c>
      <c r="M1979" s="23" t="s">
        <v>30</v>
      </c>
      <c r="N1979" s="6" t="str">
        <f>VLOOKUP(M1979,'Excursion Cause'!$A$1:$B$34,2,FALSE)</f>
        <v>Grease Blockage</v>
      </c>
      <c r="O1979" s="29">
        <v>44896.0</v>
      </c>
      <c r="P1979" s="30">
        <v>0.43125</v>
      </c>
      <c r="Q1979" s="29">
        <v>44897.0</v>
      </c>
      <c r="R1979" s="30">
        <v>0.40625</v>
      </c>
      <c r="S1979" s="28">
        <v>1.0</v>
      </c>
      <c r="T1979" s="23" t="s">
        <v>33</v>
      </c>
      <c r="U1979" s="6"/>
      <c r="V1979" s="6"/>
      <c r="W1979" s="23">
        <v>29.7353714</v>
      </c>
      <c r="X1979" s="23">
        <v>-95.3764206</v>
      </c>
    </row>
    <row r="1980" ht="15.75" customHeight="1">
      <c r="A1980" s="23">
        <v>50167.0</v>
      </c>
      <c r="B1980" s="6">
        <v>2022.0</v>
      </c>
      <c r="C1980" s="6" t="str">
        <f t="shared" si="7"/>
        <v>6700 CHIMNEY ROCK RD,Houston,TX</v>
      </c>
      <c r="D1980" s="23" t="s">
        <v>3078</v>
      </c>
      <c r="E1980" s="6" t="s">
        <v>25</v>
      </c>
      <c r="F1980" s="6" t="s">
        <v>1388</v>
      </c>
      <c r="G1980" s="6" t="s">
        <v>287</v>
      </c>
      <c r="H1980" s="23" t="s">
        <v>50</v>
      </c>
      <c r="I1980" s="6" t="str">
        <f>VLOOKUP(H1980,'Flow Location'!$A$1:$B$21,2,FALSE)</f>
        <v>Contained On Site, not within 5 ft. of Bayou/Surface Water/Drainage Ditch</v>
      </c>
      <c r="J1980" s="28">
        <v>0.0</v>
      </c>
      <c r="K1980" s="23" t="s">
        <v>45</v>
      </c>
      <c r="L1980" s="6" t="str">
        <f>VLOOKUP(K1980,'Structure type'!$A$1:$B$15,2,FALSE)</f>
        <v>City Cleanout</v>
      </c>
      <c r="M1980" s="23" t="s">
        <v>30</v>
      </c>
      <c r="N1980" s="6" t="str">
        <f>VLOOKUP(M1980,'Excursion Cause'!$A$1:$B$34,2,FALSE)</f>
        <v>Grease Blockage</v>
      </c>
      <c r="O1980" s="29">
        <v>44896.0</v>
      </c>
      <c r="P1980" s="30">
        <v>0.5666666666666667</v>
      </c>
      <c r="Q1980" s="29">
        <v>44896.0</v>
      </c>
      <c r="R1980" s="30">
        <v>0.5673611111111111</v>
      </c>
      <c r="S1980" s="28">
        <v>0.0</v>
      </c>
      <c r="T1980" s="23" t="s">
        <v>170</v>
      </c>
      <c r="U1980" s="6"/>
      <c r="V1980" s="6"/>
      <c r="W1980" s="23">
        <v>29.706857</v>
      </c>
      <c r="X1980" s="23">
        <v>-95.4771974</v>
      </c>
    </row>
    <row r="1981" ht="15.75" customHeight="1">
      <c r="A1981" s="23">
        <v>50169.0</v>
      </c>
      <c r="B1981" s="6">
        <v>2022.0</v>
      </c>
      <c r="C1981" s="6" t="str">
        <f t="shared" si="7"/>
        <v>1110 FERGUSON WAY,Houston,TX</v>
      </c>
      <c r="D1981" s="23" t="s">
        <v>3376</v>
      </c>
      <c r="E1981" s="6" t="s">
        <v>25</v>
      </c>
      <c r="F1981" s="6" t="s">
        <v>1388</v>
      </c>
      <c r="G1981" s="6" t="s">
        <v>502</v>
      </c>
      <c r="H1981" s="23" t="s">
        <v>50</v>
      </c>
      <c r="I1981" s="6" t="str">
        <f>VLOOKUP(H1981,'Flow Location'!$A$1:$B$21,2,FALSE)</f>
        <v>Contained On Site, not within 5 ft. of Bayou/Surface Water/Drainage Ditch</v>
      </c>
      <c r="J1981" s="28">
        <v>0.0</v>
      </c>
      <c r="K1981" s="23" t="s">
        <v>45</v>
      </c>
      <c r="L1981" s="6" t="str">
        <f>VLOOKUP(K1981,'Structure type'!$A$1:$B$15,2,FALSE)</f>
        <v>City Cleanout</v>
      </c>
      <c r="M1981" s="23" t="s">
        <v>30</v>
      </c>
      <c r="N1981" s="6" t="str">
        <f>VLOOKUP(M1981,'Excursion Cause'!$A$1:$B$34,2,FALSE)</f>
        <v>Grease Blockage</v>
      </c>
      <c r="O1981" s="29">
        <v>44896.0</v>
      </c>
      <c r="P1981" s="30">
        <v>0.6013888888888889</v>
      </c>
      <c r="Q1981" s="29">
        <v>44896.0</v>
      </c>
      <c r="R1981" s="30">
        <v>0.6020833333333333</v>
      </c>
      <c r="S1981" s="28">
        <v>0.0</v>
      </c>
      <c r="T1981" s="23" t="s">
        <v>74</v>
      </c>
      <c r="U1981" s="6"/>
      <c r="V1981" s="6"/>
      <c r="W1981" s="23">
        <v>29.8781515</v>
      </c>
      <c r="X1981" s="23">
        <v>-95.4304337</v>
      </c>
    </row>
    <row r="1982" ht="15.75" customHeight="1">
      <c r="A1982" s="23">
        <v>50180.0</v>
      </c>
      <c r="B1982" s="6">
        <v>2022.0</v>
      </c>
      <c r="C1982" s="6" t="str">
        <f t="shared" si="7"/>
        <v>2465 ELDRIDGE PKWY,Houston,TX</v>
      </c>
      <c r="D1982" s="23" t="s">
        <v>3377</v>
      </c>
      <c r="E1982" s="6" t="s">
        <v>25</v>
      </c>
      <c r="F1982" s="6" t="s">
        <v>1388</v>
      </c>
      <c r="G1982" s="6" t="s">
        <v>347</v>
      </c>
      <c r="H1982" s="23" t="s">
        <v>28</v>
      </c>
      <c r="I1982" s="6" t="str">
        <f>VLOOKUP(H1982,'Flow Location'!$A$1:$B$21,2,FALSE)</f>
        <v>Storm Sewer (not contained)</v>
      </c>
      <c r="J1982" s="28">
        <v>125.0</v>
      </c>
      <c r="K1982" s="23" t="s">
        <v>29</v>
      </c>
      <c r="L1982" s="6" t="str">
        <f>VLOOKUP(K1982,'Structure type'!$A$1:$B$15,2,FALSE)</f>
        <v>Manhole</v>
      </c>
      <c r="M1982" s="23" t="s">
        <v>30</v>
      </c>
      <c r="N1982" s="6" t="str">
        <f>VLOOKUP(M1982,'Excursion Cause'!$A$1:$B$34,2,FALSE)</f>
        <v>Grease Blockage</v>
      </c>
      <c r="O1982" s="29">
        <v>44897.0</v>
      </c>
      <c r="P1982" s="30">
        <v>0.60625</v>
      </c>
      <c r="Q1982" s="29">
        <v>44897.0</v>
      </c>
      <c r="R1982" s="30">
        <v>0.6930555555555555</v>
      </c>
      <c r="S1982" s="28">
        <v>1.0</v>
      </c>
      <c r="T1982" s="23" t="s">
        <v>59</v>
      </c>
      <c r="U1982" s="6"/>
      <c r="V1982" s="6"/>
      <c r="W1982" s="23">
        <v>29.7366044</v>
      </c>
      <c r="X1982" s="23">
        <v>-95.6234269</v>
      </c>
    </row>
    <row r="1983" ht="15.75" customHeight="1">
      <c r="A1983" s="23">
        <v>50181.0</v>
      </c>
      <c r="B1983" s="6">
        <v>2022.0</v>
      </c>
      <c r="C1983" s="6" t="str">
        <f t="shared" si="7"/>
        <v>12727 HUNTINGTON FIELD DR,Houston,TX</v>
      </c>
      <c r="D1983" s="23" t="s">
        <v>3378</v>
      </c>
      <c r="E1983" s="6" t="s">
        <v>25</v>
      </c>
      <c r="F1983" s="6" t="s">
        <v>1388</v>
      </c>
      <c r="G1983" s="6" t="s">
        <v>154</v>
      </c>
      <c r="H1983" s="23" t="s">
        <v>50</v>
      </c>
      <c r="I1983" s="6" t="str">
        <f>VLOOKUP(H1983,'Flow Location'!$A$1:$B$21,2,FALSE)</f>
        <v>Contained On Site, not within 5 ft. of Bayou/Surface Water/Drainage Ditch</v>
      </c>
      <c r="J1983" s="28">
        <v>0.0</v>
      </c>
      <c r="K1983" s="23" t="s">
        <v>45</v>
      </c>
      <c r="L1983" s="6" t="str">
        <f>VLOOKUP(K1983,'Structure type'!$A$1:$B$15,2,FALSE)</f>
        <v>City Cleanout</v>
      </c>
      <c r="M1983" s="23" t="s">
        <v>56</v>
      </c>
      <c r="N1983" s="6" t="str">
        <f>VLOOKUP(M1983,'Excursion Cause'!$A$1:$B$34,2,FALSE)</f>
        <v>Rags/Wipes</v>
      </c>
      <c r="O1983" s="29">
        <v>44897.0</v>
      </c>
      <c r="P1983" s="30">
        <v>0.6104166666666667</v>
      </c>
      <c r="Q1983" s="29">
        <v>44897.0</v>
      </c>
      <c r="R1983" s="30">
        <v>0.6111111111111112</v>
      </c>
      <c r="S1983" s="28">
        <v>0.0</v>
      </c>
      <c r="T1983" s="23" t="s">
        <v>89</v>
      </c>
      <c r="U1983" s="6"/>
      <c r="V1983" s="6"/>
      <c r="W1983" s="23">
        <v>29.6699133</v>
      </c>
      <c r="X1983" s="23">
        <v>-95.6097992</v>
      </c>
    </row>
    <row r="1984" ht="15.75" customHeight="1">
      <c r="A1984" s="23">
        <v>50186.0</v>
      </c>
      <c r="B1984" s="6">
        <v>2022.0</v>
      </c>
      <c r="C1984" s="6" t="str">
        <f t="shared" si="7"/>
        <v>3439 ASHLOCK DR,Houston,TX</v>
      </c>
      <c r="D1984" s="23" t="s">
        <v>3379</v>
      </c>
      <c r="E1984" s="6" t="s">
        <v>25</v>
      </c>
      <c r="F1984" s="6" t="s">
        <v>1388</v>
      </c>
      <c r="G1984" s="6" t="s">
        <v>313</v>
      </c>
      <c r="H1984" s="23" t="s">
        <v>28</v>
      </c>
      <c r="I1984" s="6" t="str">
        <f>VLOOKUP(H1984,'Flow Location'!$A$1:$B$21,2,FALSE)</f>
        <v>Storm Sewer (not contained)</v>
      </c>
      <c r="J1984" s="28">
        <v>1140.0</v>
      </c>
      <c r="K1984" s="23" t="s">
        <v>29</v>
      </c>
      <c r="L1984" s="6" t="str">
        <f>VLOOKUP(K1984,'Structure type'!$A$1:$B$15,2,FALSE)</f>
        <v>Manhole</v>
      </c>
      <c r="M1984" s="23" t="s">
        <v>30</v>
      </c>
      <c r="N1984" s="6" t="str">
        <f>VLOOKUP(M1984,'Excursion Cause'!$A$1:$B$34,2,FALSE)</f>
        <v>Grease Blockage</v>
      </c>
      <c r="O1984" s="29">
        <v>44897.0</v>
      </c>
      <c r="P1984" s="30">
        <v>0.6951388888888889</v>
      </c>
      <c r="Q1984" s="29">
        <v>44898.0</v>
      </c>
      <c r="R1984" s="30">
        <v>0.48680555555555555</v>
      </c>
      <c r="S1984" s="28">
        <v>1.0</v>
      </c>
      <c r="T1984" s="23" t="s">
        <v>59</v>
      </c>
      <c r="U1984" s="6"/>
      <c r="V1984" s="6"/>
      <c r="W1984" s="23">
        <v>29.7240649</v>
      </c>
      <c r="X1984" s="23">
        <v>-95.606231</v>
      </c>
    </row>
    <row r="1985" ht="15.75" customHeight="1">
      <c r="A1985" s="23">
        <v>50188.0</v>
      </c>
      <c r="B1985" s="6">
        <v>2022.0</v>
      </c>
      <c r="C1985" s="6" t="str">
        <f t="shared" si="7"/>
        <v>8832 LAKES AT 610 DR,Houston,TX</v>
      </c>
      <c r="D1985" s="23" t="s">
        <v>3380</v>
      </c>
      <c r="E1985" s="6" t="s">
        <v>25</v>
      </c>
      <c r="F1985" s="6" t="s">
        <v>1388</v>
      </c>
      <c r="G1985" s="6" t="s">
        <v>426</v>
      </c>
      <c r="H1985" s="23" t="s">
        <v>28</v>
      </c>
      <c r="I1985" s="6" t="str">
        <f>VLOOKUP(H1985,'Flow Location'!$A$1:$B$21,2,FALSE)</f>
        <v>Storm Sewer (not contained)</v>
      </c>
      <c r="J1985" s="28">
        <v>1205.0</v>
      </c>
      <c r="K1985" s="23" t="s">
        <v>29</v>
      </c>
      <c r="L1985" s="6" t="str">
        <f>VLOOKUP(K1985,'Structure type'!$A$1:$B$15,2,FALSE)</f>
        <v>Manhole</v>
      </c>
      <c r="M1985" s="23" t="s">
        <v>30</v>
      </c>
      <c r="N1985" s="6" t="str">
        <f>VLOOKUP(M1985,'Excursion Cause'!$A$1:$B$34,2,FALSE)</f>
        <v>Grease Blockage</v>
      </c>
      <c r="O1985" s="29">
        <v>44898.0</v>
      </c>
      <c r="P1985" s="30">
        <v>0.37430555555555556</v>
      </c>
      <c r="Q1985" s="29">
        <v>44898.0</v>
      </c>
      <c r="R1985" s="30">
        <v>0.5416666666666666</v>
      </c>
      <c r="S1985" s="28">
        <v>5.0</v>
      </c>
      <c r="T1985" s="23" t="s">
        <v>33</v>
      </c>
      <c r="U1985" s="6"/>
      <c r="V1985" s="6"/>
      <c r="W1985" s="23">
        <v>29.6770291</v>
      </c>
      <c r="X1985" s="23">
        <v>-95.4181714</v>
      </c>
    </row>
    <row r="1986" ht="15.75" customHeight="1">
      <c r="A1986" s="23">
        <v>50194.0</v>
      </c>
      <c r="B1986" s="6">
        <v>2022.0</v>
      </c>
      <c r="C1986" s="6" t="str">
        <f t="shared" si="7"/>
        <v>8927 SAGE PLACE DR,Houston,TX</v>
      </c>
      <c r="D1986" s="23" t="s">
        <v>3381</v>
      </c>
      <c r="E1986" s="6" t="s">
        <v>25</v>
      </c>
      <c r="F1986" s="6" t="s">
        <v>1388</v>
      </c>
      <c r="G1986" s="6" t="s">
        <v>148</v>
      </c>
      <c r="H1986" s="23" t="s">
        <v>50</v>
      </c>
      <c r="I1986" s="6" t="str">
        <f>VLOOKUP(H1986,'Flow Location'!$A$1:$B$21,2,FALSE)</f>
        <v>Contained On Site, not within 5 ft. of Bayou/Surface Water/Drainage Ditch</v>
      </c>
      <c r="J1986" s="28">
        <v>1538.0</v>
      </c>
      <c r="K1986" s="23" t="s">
        <v>29</v>
      </c>
      <c r="L1986" s="6" t="str">
        <f>VLOOKUP(K1986,'Structure type'!$A$1:$B$15,2,FALSE)</f>
        <v>Manhole</v>
      </c>
      <c r="M1986" s="23" t="s">
        <v>30</v>
      </c>
      <c r="N1986" s="6" t="str">
        <f>VLOOKUP(M1986,'Excursion Cause'!$A$1:$B$34,2,FALSE)</f>
        <v>Grease Blockage</v>
      </c>
      <c r="O1986" s="29">
        <v>44899.0</v>
      </c>
      <c r="P1986" s="30">
        <v>0.38680555555555557</v>
      </c>
      <c r="Q1986" s="29">
        <v>44900.0</v>
      </c>
      <c r="R1986" s="30">
        <v>0.4548611111111111</v>
      </c>
      <c r="S1986" s="28">
        <v>1.0</v>
      </c>
      <c r="T1986" s="23" t="s">
        <v>59</v>
      </c>
      <c r="U1986" s="6"/>
      <c r="V1986" s="6"/>
      <c r="W1986" s="23">
        <v>29.650486</v>
      </c>
      <c r="X1986" s="23">
        <v>-95.535373</v>
      </c>
    </row>
    <row r="1987" ht="15.75" customHeight="1">
      <c r="A1987" s="23">
        <v>50196.0</v>
      </c>
      <c r="B1987" s="6">
        <v>2022.0</v>
      </c>
      <c r="C1987" s="6" t="str">
        <f t="shared" si="7"/>
        <v>5255 PEASE ST,Houston,TX</v>
      </c>
      <c r="D1987" s="23" t="s">
        <v>3382</v>
      </c>
      <c r="E1987" s="6" t="s">
        <v>25</v>
      </c>
      <c r="F1987" s="6" t="s">
        <v>1388</v>
      </c>
      <c r="G1987" s="6" t="s">
        <v>141</v>
      </c>
      <c r="H1987" s="23" t="s">
        <v>50</v>
      </c>
      <c r="I1987" s="6" t="str">
        <f>VLOOKUP(H1987,'Flow Location'!$A$1:$B$21,2,FALSE)</f>
        <v>Contained On Site, not within 5 ft. of Bayou/Surface Water/Drainage Ditch</v>
      </c>
      <c r="J1987" s="28">
        <v>0.0</v>
      </c>
      <c r="K1987" s="23" t="s">
        <v>51</v>
      </c>
      <c r="L1987" s="6" t="str">
        <f>VLOOKUP(K1987,'Structure type'!$A$1:$B$15,2,FALSE)</f>
        <v>Private Cleanout</v>
      </c>
      <c r="M1987" s="23" t="s">
        <v>52</v>
      </c>
      <c r="N1987" s="6" t="str">
        <f>VLOOKUP(M1987,'Excursion Cause'!$A$1:$B$34,2,FALSE)</f>
        <v>Collection system structural blockage</v>
      </c>
      <c r="O1987" s="29">
        <v>44900.0</v>
      </c>
      <c r="P1987" s="30">
        <v>0.4652777777777778</v>
      </c>
      <c r="Q1987" s="29">
        <v>44900.0</v>
      </c>
      <c r="R1987" s="30">
        <v>0.46597222222222223</v>
      </c>
      <c r="S1987" s="28">
        <v>0.0</v>
      </c>
      <c r="T1987" s="23" t="s">
        <v>89</v>
      </c>
      <c r="U1987" s="6"/>
      <c r="V1987" s="6"/>
      <c r="W1987" s="23">
        <v>29.7319475</v>
      </c>
      <c r="X1987" s="23">
        <v>-95.3218944</v>
      </c>
    </row>
    <row r="1988" ht="15.75" customHeight="1">
      <c r="A1988" s="23">
        <v>50198.0</v>
      </c>
      <c r="B1988" s="6">
        <v>2022.0</v>
      </c>
      <c r="C1988" s="6" t="str">
        <f t="shared" si="7"/>
        <v>5854 SAN FELIPE ST,Houston,TX</v>
      </c>
      <c r="D1988" s="23" t="s">
        <v>3383</v>
      </c>
      <c r="E1988" s="6" t="s">
        <v>25</v>
      </c>
      <c r="F1988" s="6" t="s">
        <v>1388</v>
      </c>
      <c r="G1988" s="6" t="s">
        <v>689</v>
      </c>
      <c r="H1988" s="23" t="s">
        <v>50</v>
      </c>
      <c r="I1988" s="6" t="str">
        <f>VLOOKUP(H1988,'Flow Location'!$A$1:$B$21,2,FALSE)</f>
        <v>Contained On Site, not within 5 ft. of Bayou/Surface Water/Drainage Ditch</v>
      </c>
      <c r="J1988" s="28">
        <v>483.0</v>
      </c>
      <c r="K1988" s="23" t="s">
        <v>29</v>
      </c>
      <c r="L1988" s="6" t="str">
        <f>VLOOKUP(K1988,'Structure type'!$A$1:$B$15,2,FALSE)</f>
        <v>Manhole</v>
      </c>
      <c r="M1988" s="23" t="s">
        <v>30</v>
      </c>
      <c r="N1988" s="6" t="str">
        <f>VLOOKUP(M1988,'Excursion Cause'!$A$1:$B$34,2,FALSE)</f>
        <v>Grease Blockage</v>
      </c>
      <c r="O1988" s="29">
        <v>44899.0</v>
      </c>
      <c r="P1988" s="30">
        <v>0.49236111111111114</v>
      </c>
      <c r="Q1988" s="29">
        <v>44899.0</v>
      </c>
      <c r="R1988" s="30">
        <v>0.6041666666666666</v>
      </c>
      <c r="S1988" s="28">
        <v>3.0</v>
      </c>
      <c r="T1988" s="23" t="s">
        <v>59</v>
      </c>
      <c r="U1988" s="6"/>
      <c r="V1988" s="6"/>
      <c r="W1988" s="23">
        <v>29.7510345</v>
      </c>
      <c r="X1988" s="23">
        <v>-95.4835568</v>
      </c>
    </row>
    <row r="1989" ht="15.75" customHeight="1">
      <c r="A1989" s="23">
        <v>50202.0</v>
      </c>
      <c r="B1989" s="6">
        <v>2022.0</v>
      </c>
      <c r="C1989" s="6" t="str">
        <f t="shared" si="7"/>
        <v>3715 GANO ST,Houston,TX</v>
      </c>
      <c r="D1989" s="23" t="s">
        <v>3384</v>
      </c>
      <c r="E1989" s="6" t="s">
        <v>25</v>
      </c>
      <c r="F1989" s="6" t="s">
        <v>1388</v>
      </c>
      <c r="G1989" s="6" t="s">
        <v>161</v>
      </c>
      <c r="H1989" s="23" t="s">
        <v>50</v>
      </c>
      <c r="I1989" s="6" t="str">
        <f>VLOOKUP(H1989,'Flow Location'!$A$1:$B$21,2,FALSE)</f>
        <v>Contained On Site, not within 5 ft. of Bayou/Surface Water/Drainage Ditch</v>
      </c>
      <c r="J1989" s="28">
        <v>0.0</v>
      </c>
      <c r="K1989" s="23" t="s">
        <v>45</v>
      </c>
      <c r="L1989" s="6" t="str">
        <f>VLOOKUP(K1989,'Structure type'!$A$1:$B$15,2,FALSE)</f>
        <v>City Cleanout</v>
      </c>
      <c r="M1989" s="23" t="s">
        <v>56</v>
      </c>
      <c r="N1989" s="6" t="str">
        <f>VLOOKUP(M1989,'Excursion Cause'!$A$1:$B$34,2,FALSE)</f>
        <v>Rags/Wipes</v>
      </c>
      <c r="O1989" s="29">
        <v>44900.0</v>
      </c>
      <c r="P1989" s="30">
        <v>0.36944444444444446</v>
      </c>
      <c r="Q1989" s="29">
        <v>44900.0</v>
      </c>
      <c r="R1989" s="30">
        <v>0.3701388888888889</v>
      </c>
      <c r="S1989" s="28">
        <v>0.0</v>
      </c>
      <c r="T1989" s="23" t="s">
        <v>74</v>
      </c>
      <c r="U1989" s="6"/>
      <c r="V1989" s="6"/>
      <c r="W1989" s="23">
        <v>29.7945811</v>
      </c>
      <c r="X1989" s="23">
        <v>-95.3553725</v>
      </c>
    </row>
    <row r="1990" ht="15.75" customHeight="1">
      <c r="A1990" s="23">
        <v>50203.0</v>
      </c>
      <c r="B1990" s="6">
        <v>2022.0</v>
      </c>
      <c r="C1990" s="6" t="str">
        <f t="shared" si="7"/>
        <v>7706 ELLIS DR,Houston,TX</v>
      </c>
      <c r="D1990" s="23" t="s">
        <v>3313</v>
      </c>
      <c r="E1990" s="6" t="s">
        <v>25</v>
      </c>
      <c r="F1990" s="6" t="s">
        <v>1388</v>
      </c>
      <c r="G1990" s="6" t="s">
        <v>166</v>
      </c>
      <c r="H1990" s="23" t="s">
        <v>50</v>
      </c>
      <c r="I1990" s="6" t="str">
        <f>VLOOKUP(H1990,'Flow Location'!$A$1:$B$21,2,FALSE)</f>
        <v>Contained On Site, not within 5 ft. of Bayou/Surface Water/Drainage Ditch</v>
      </c>
      <c r="J1990" s="28">
        <v>282.0</v>
      </c>
      <c r="K1990" s="23" t="s">
        <v>29</v>
      </c>
      <c r="L1990" s="6" t="str">
        <f>VLOOKUP(K1990,'Structure type'!$A$1:$B$15,2,FALSE)</f>
        <v>Manhole</v>
      </c>
      <c r="M1990" s="23" t="s">
        <v>30</v>
      </c>
      <c r="N1990" s="6" t="str">
        <f>VLOOKUP(M1990,'Excursion Cause'!$A$1:$B$34,2,FALSE)</f>
        <v>Grease Blockage</v>
      </c>
      <c r="O1990" s="29">
        <v>44900.0</v>
      </c>
      <c r="P1990" s="30">
        <v>0.3701388888888889</v>
      </c>
      <c r="Q1990" s="29">
        <v>44900.0</v>
      </c>
      <c r="R1990" s="30">
        <v>0.46805555555555556</v>
      </c>
      <c r="S1990" s="28">
        <v>2.0</v>
      </c>
      <c r="T1990" s="23" t="s">
        <v>59</v>
      </c>
      <c r="U1990" s="6"/>
      <c r="V1990" s="6"/>
      <c r="W1990" s="23">
        <v>29.6030415</v>
      </c>
      <c r="X1990" s="23">
        <v>-95.5048185</v>
      </c>
    </row>
    <row r="1991" ht="15.75" customHeight="1">
      <c r="A1991" s="23">
        <v>50206.0</v>
      </c>
      <c r="B1991" s="6">
        <v>2022.0</v>
      </c>
      <c r="C1991" s="6" t="str">
        <f t="shared" si="7"/>
        <v>5629 GRAPEVINE ST,Houston,TX</v>
      </c>
      <c r="D1991" s="23" t="s">
        <v>2305</v>
      </c>
      <c r="E1991" s="6" t="s">
        <v>25</v>
      </c>
      <c r="F1991" s="6" t="s">
        <v>1388</v>
      </c>
      <c r="G1991" s="6" t="s">
        <v>384</v>
      </c>
      <c r="H1991" s="23" t="s">
        <v>1977</v>
      </c>
      <c r="I1991" s="6" t="str">
        <f>VLOOKUP(H1991,'Flow Location'!$A$1:$B$21,2,FALSE)</f>
        <v>Bayou/surface water/drainage ditch</v>
      </c>
      <c r="J1991" s="28">
        <v>0.0</v>
      </c>
      <c r="K1991" s="23" t="s">
        <v>45</v>
      </c>
      <c r="L1991" s="6" t="str">
        <f>VLOOKUP(K1991,'Structure type'!$A$1:$B$15,2,FALSE)</f>
        <v>City Cleanout</v>
      </c>
      <c r="M1991" s="23" t="s">
        <v>30</v>
      </c>
      <c r="N1991" s="6" t="str">
        <f>VLOOKUP(M1991,'Excursion Cause'!$A$1:$B$34,2,FALSE)</f>
        <v>Grease Blockage</v>
      </c>
      <c r="O1991" s="29">
        <v>44900.0</v>
      </c>
      <c r="P1991" s="30">
        <v>0.40625</v>
      </c>
      <c r="Q1991" s="29">
        <v>44900.0</v>
      </c>
      <c r="R1991" s="30">
        <v>0.40694444444444444</v>
      </c>
      <c r="S1991" s="28">
        <v>0.0</v>
      </c>
      <c r="T1991" s="23" t="s">
        <v>270</v>
      </c>
      <c r="U1991" s="6"/>
      <c r="V1991" s="6"/>
      <c r="W1991" s="23">
        <v>29.6158711</v>
      </c>
      <c r="X1991" s="23">
        <v>-95.4680008</v>
      </c>
    </row>
    <row r="1992" ht="15.75" customHeight="1">
      <c r="A1992" s="23">
        <v>50209.0</v>
      </c>
      <c r="B1992" s="6">
        <v>2022.0</v>
      </c>
      <c r="C1992" s="6" t="str">
        <f t="shared" si="7"/>
        <v>1655 NORFOLK ST,Houston,TX</v>
      </c>
      <c r="D1992" s="23" t="s">
        <v>3385</v>
      </c>
      <c r="E1992" s="6" t="s">
        <v>25</v>
      </c>
      <c r="F1992" s="6" t="s">
        <v>1388</v>
      </c>
      <c r="G1992" s="6" t="s">
        <v>761</v>
      </c>
      <c r="H1992" s="23" t="s">
        <v>50</v>
      </c>
      <c r="I1992" s="6" t="str">
        <f>VLOOKUP(H1992,'Flow Location'!$A$1:$B$21,2,FALSE)</f>
        <v>Contained On Site, not within 5 ft. of Bayou/Surface Water/Drainage Ditch</v>
      </c>
      <c r="J1992" s="28">
        <v>0.0</v>
      </c>
      <c r="K1992" s="23" t="s">
        <v>29</v>
      </c>
      <c r="L1992" s="6" t="str">
        <f>VLOOKUP(K1992,'Structure type'!$A$1:$B$15,2,FALSE)</f>
        <v>Manhole</v>
      </c>
      <c r="M1992" s="23" t="s">
        <v>96</v>
      </c>
      <c r="N1992" s="6" t="str">
        <f>VLOOKUP(M1992,'Excursion Cause'!$A$1:$B$34,2,FALSE)</f>
        <v>Collection system temporary blockage</v>
      </c>
      <c r="O1992" s="29">
        <v>44900.0</v>
      </c>
      <c r="P1992" s="30">
        <v>0.46875</v>
      </c>
      <c r="Q1992" s="29">
        <v>44900.0</v>
      </c>
      <c r="R1992" s="30">
        <v>0.46944444444444444</v>
      </c>
      <c r="S1992" s="28">
        <v>0.0</v>
      </c>
      <c r="T1992" s="23" t="s">
        <v>59</v>
      </c>
      <c r="U1992" s="6"/>
      <c r="V1992" s="6"/>
      <c r="W1992" s="23">
        <v>29.732532</v>
      </c>
      <c r="X1992" s="23">
        <v>-95.4019661</v>
      </c>
    </row>
    <row r="1993" ht="15.75" customHeight="1">
      <c r="A1993" s="23">
        <v>50210.0</v>
      </c>
      <c r="B1993" s="6">
        <v>2022.0</v>
      </c>
      <c r="C1993" s="6" t="str">
        <f t="shared" si="7"/>
        <v>1206 E 26TH ST,Houston,TX</v>
      </c>
      <c r="D1993" s="23" t="s">
        <v>3386</v>
      </c>
      <c r="E1993" s="6" t="s">
        <v>25</v>
      </c>
      <c r="F1993" s="6" t="s">
        <v>1388</v>
      </c>
      <c r="G1993" s="6" t="s">
        <v>161</v>
      </c>
      <c r="H1993" s="23" t="s">
        <v>28</v>
      </c>
      <c r="I1993" s="6" t="str">
        <f>VLOOKUP(H1993,'Flow Location'!$A$1:$B$21,2,FALSE)</f>
        <v>Storm Sewer (not contained)</v>
      </c>
      <c r="J1993" s="28">
        <v>0.0</v>
      </c>
      <c r="K1993" s="23" t="s">
        <v>290</v>
      </c>
      <c r="L1993" s="6" t="str">
        <f>VLOOKUP(K1993,'Structure type'!$A$1:$B$15,2,FALSE)</f>
        <v>Gravity Main</v>
      </c>
      <c r="M1993" s="23" t="s">
        <v>3250</v>
      </c>
      <c r="N1993" s="6" t="str">
        <f>VLOOKUP(M1993,'Excursion Cause'!$A$1:$B$34,2,FALSE)</f>
        <v>Collection system structural blockage</v>
      </c>
      <c r="O1993" s="29">
        <v>44900.0</v>
      </c>
      <c r="P1993" s="30">
        <v>0.5055555555555555</v>
      </c>
      <c r="Q1993" s="29">
        <v>44900.0</v>
      </c>
      <c r="R1993" s="30">
        <v>0.50625</v>
      </c>
      <c r="S1993" s="28">
        <v>0.0</v>
      </c>
      <c r="T1993" s="23" t="s">
        <v>107</v>
      </c>
      <c r="U1993" s="6"/>
      <c r="V1993" s="6"/>
      <c r="W1993" s="23">
        <v>29.8110659</v>
      </c>
      <c r="X1993" s="23">
        <v>-95.3831174</v>
      </c>
    </row>
    <row r="1994" ht="15.75" customHeight="1">
      <c r="A1994" s="23">
        <v>50211.0</v>
      </c>
      <c r="B1994" s="6">
        <v>2022.0</v>
      </c>
      <c r="C1994" s="6" t="str">
        <f t="shared" si="7"/>
        <v>3505 BLODGETT ST,Houston,TX</v>
      </c>
      <c r="D1994" s="23" t="s">
        <v>1635</v>
      </c>
      <c r="E1994" s="6" t="s">
        <v>25</v>
      </c>
      <c r="F1994" s="6" t="s">
        <v>1388</v>
      </c>
      <c r="G1994" s="6" t="s">
        <v>308</v>
      </c>
      <c r="H1994" s="23" t="s">
        <v>28</v>
      </c>
      <c r="I1994" s="6" t="str">
        <f>VLOOKUP(H1994,'Flow Location'!$A$1:$B$21,2,FALSE)</f>
        <v>Storm Sewer (not contained)</v>
      </c>
      <c r="J1994" s="28">
        <v>344.0</v>
      </c>
      <c r="K1994" s="23" t="s">
        <v>29</v>
      </c>
      <c r="L1994" s="6" t="str">
        <f>VLOOKUP(K1994,'Structure type'!$A$1:$B$15,2,FALSE)</f>
        <v>Manhole</v>
      </c>
      <c r="M1994" s="23" t="s">
        <v>30</v>
      </c>
      <c r="N1994" s="6" t="str">
        <f>VLOOKUP(M1994,'Excursion Cause'!$A$1:$B$34,2,FALSE)</f>
        <v>Grease Blockage</v>
      </c>
      <c r="O1994" s="29">
        <v>44900.0</v>
      </c>
      <c r="P1994" s="30">
        <v>0.5263888888888889</v>
      </c>
      <c r="Q1994" s="29">
        <v>44900.0</v>
      </c>
      <c r="R1994" s="30">
        <v>0.6458333333333334</v>
      </c>
      <c r="S1994" s="28">
        <v>2.0</v>
      </c>
      <c r="T1994" s="23" t="s">
        <v>59</v>
      </c>
      <c r="U1994" s="6"/>
      <c r="V1994" s="6"/>
      <c r="W1994" s="23">
        <v>29.718456</v>
      </c>
      <c r="X1994" s="23">
        <v>-95.3580143</v>
      </c>
    </row>
    <row r="1995" ht="15.75" customHeight="1">
      <c r="A1995" s="23">
        <v>50212.0</v>
      </c>
      <c r="B1995" s="6">
        <v>2022.0</v>
      </c>
      <c r="C1995" s="6" t="str">
        <f t="shared" si="7"/>
        <v>790 BATESWOOD DR,Houston,TX</v>
      </c>
      <c r="D1995" s="23" t="s">
        <v>2230</v>
      </c>
      <c r="E1995" s="6" t="s">
        <v>25</v>
      </c>
      <c r="F1995" s="6" t="s">
        <v>1388</v>
      </c>
      <c r="G1995" s="6" t="s">
        <v>520</v>
      </c>
      <c r="H1995" s="23" t="s">
        <v>50</v>
      </c>
      <c r="I1995" s="6" t="str">
        <f>VLOOKUP(H1995,'Flow Location'!$A$1:$B$21,2,FALSE)</f>
        <v>Contained On Site, not within 5 ft. of Bayou/Surface Water/Drainage Ditch</v>
      </c>
      <c r="J1995" s="28">
        <v>272.0</v>
      </c>
      <c r="K1995" s="23" t="s">
        <v>29</v>
      </c>
      <c r="L1995" s="6" t="str">
        <f>VLOOKUP(K1995,'Structure type'!$A$1:$B$15,2,FALSE)</f>
        <v>Manhole</v>
      </c>
      <c r="M1995" s="23" t="s">
        <v>30</v>
      </c>
      <c r="N1995" s="6" t="str">
        <f>VLOOKUP(M1995,'Excursion Cause'!$A$1:$B$34,2,FALSE)</f>
        <v>Grease Blockage</v>
      </c>
      <c r="O1995" s="29">
        <v>44900.0</v>
      </c>
      <c r="P1995" s="30">
        <v>0.45694444444444443</v>
      </c>
      <c r="Q1995" s="29">
        <v>44900.0</v>
      </c>
      <c r="R1995" s="30">
        <v>0.6458333333333334</v>
      </c>
      <c r="S1995" s="28">
        <v>1.0</v>
      </c>
      <c r="T1995" s="23" t="s">
        <v>33</v>
      </c>
      <c r="U1995" s="6"/>
      <c r="V1995" s="6"/>
      <c r="W1995" s="23">
        <v>29.7743484</v>
      </c>
      <c r="X1995" s="23">
        <v>-95.5919873</v>
      </c>
    </row>
    <row r="1996" ht="15.75" customHeight="1">
      <c r="A1996" s="23">
        <v>50215.0</v>
      </c>
      <c r="B1996" s="6">
        <v>2022.0</v>
      </c>
      <c r="C1996" s="6" t="str">
        <f t="shared" si="7"/>
        <v>5123 FAIRGREEN LN,Houston,TX</v>
      </c>
      <c r="D1996" s="23" t="s">
        <v>2266</v>
      </c>
      <c r="E1996" s="6" t="s">
        <v>25</v>
      </c>
      <c r="F1996" s="6" t="s">
        <v>1388</v>
      </c>
      <c r="G1996" s="6" t="s">
        <v>301</v>
      </c>
      <c r="H1996" s="23" t="s">
        <v>50</v>
      </c>
      <c r="I1996" s="6" t="str">
        <f>VLOOKUP(H1996,'Flow Location'!$A$1:$B$21,2,FALSE)</f>
        <v>Contained On Site, not within 5 ft. of Bayou/Surface Water/Drainage Ditch</v>
      </c>
      <c r="J1996" s="28">
        <v>0.0</v>
      </c>
      <c r="K1996" s="23" t="s">
        <v>29</v>
      </c>
      <c r="L1996" s="6" t="str">
        <f>VLOOKUP(K1996,'Structure type'!$A$1:$B$15,2,FALSE)</f>
        <v>Manhole</v>
      </c>
      <c r="M1996" s="23" t="s">
        <v>56</v>
      </c>
      <c r="N1996" s="6" t="str">
        <f>VLOOKUP(M1996,'Excursion Cause'!$A$1:$B$34,2,FALSE)</f>
        <v>Rags/Wipes</v>
      </c>
      <c r="O1996" s="29">
        <v>44900.0</v>
      </c>
      <c r="P1996" s="30">
        <v>0.5819444444444445</v>
      </c>
      <c r="Q1996" s="29">
        <v>44900.0</v>
      </c>
      <c r="R1996" s="30">
        <v>0.5826388888888889</v>
      </c>
      <c r="S1996" s="28">
        <v>0.0</v>
      </c>
      <c r="T1996" s="23" t="s">
        <v>377</v>
      </c>
      <c r="U1996" s="6"/>
      <c r="V1996" s="6"/>
      <c r="W1996" s="23">
        <v>29.6313452</v>
      </c>
      <c r="X1996" s="23">
        <v>-95.3476532</v>
      </c>
    </row>
    <row r="1997" ht="15.75" customHeight="1">
      <c r="A1997" s="23">
        <v>50219.0</v>
      </c>
      <c r="B1997" s="6">
        <v>2022.0</v>
      </c>
      <c r="C1997" s="6" t="str">
        <f t="shared" si="7"/>
        <v>1706 LAKESHORE DR,Houston,TX</v>
      </c>
      <c r="D1997" s="23" t="s">
        <v>3387</v>
      </c>
      <c r="E1997" s="6" t="s">
        <v>25</v>
      </c>
      <c r="F1997" s="6" t="s">
        <v>1388</v>
      </c>
      <c r="G1997" s="6" t="s">
        <v>1078</v>
      </c>
      <c r="H1997" s="23" t="s">
        <v>44</v>
      </c>
      <c r="I1997" s="6" t="str">
        <f>VLOOKUP(H1997,'Flow Location'!$A$1:$B$21,2,FALSE)</f>
        <v>Bayou/surface water/drainage ditch</v>
      </c>
      <c r="J1997" s="28">
        <v>0.0</v>
      </c>
      <c r="K1997" s="23" t="s">
        <v>29</v>
      </c>
      <c r="L1997" s="6" t="str">
        <f>VLOOKUP(K1997,'Structure type'!$A$1:$B$15,2,FALSE)</f>
        <v>Manhole</v>
      </c>
      <c r="M1997" s="23" t="s">
        <v>2871</v>
      </c>
      <c r="N1997" s="6" t="str">
        <f>VLOOKUP(M1997,'Excursion Cause'!$A$1:$B$34,2,FALSE)</f>
        <v>Pump/Lift Station Mechanical Failure</v>
      </c>
      <c r="O1997" s="29">
        <v>44900.0</v>
      </c>
      <c r="P1997" s="30">
        <v>0.6243055555555556</v>
      </c>
      <c r="Q1997" s="29">
        <v>44900.0</v>
      </c>
      <c r="R1997" s="30">
        <v>0.625</v>
      </c>
      <c r="S1997" s="28">
        <v>0.0</v>
      </c>
      <c r="T1997" s="23" t="s">
        <v>193</v>
      </c>
      <c r="U1997" s="6"/>
      <c r="V1997" s="6"/>
      <c r="W1997" s="23">
        <v>30.0223693</v>
      </c>
      <c r="X1997" s="23">
        <v>-95.231011</v>
      </c>
    </row>
    <row r="1998" ht="15.75" customHeight="1">
      <c r="A1998" s="23">
        <v>50224.0</v>
      </c>
      <c r="B1998" s="6">
        <v>2022.0</v>
      </c>
      <c r="C1998" s="6" t="str">
        <f t="shared" si="7"/>
        <v>1320 WILBURFORCE ST,Houston,TX</v>
      </c>
      <c r="D1998" s="23" t="s">
        <v>3388</v>
      </c>
      <c r="E1998" s="6" t="s">
        <v>25</v>
      </c>
      <c r="F1998" s="6" t="s">
        <v>1388</v>
      </c>
      <c r="G1998" s="6" t="s">
        <v>222</v>
      </c>
      <c r="H1998" s="23" t="s">
        <v>1977</v>
      </c>
      <c r="I1998" s="6" t="str">
        <f>VLOOKUP(H1998,'Flow Location'!$A$1:$B$21,2,FALSE)</f>
        <v>Bayou/surface water/drainage ditch</v>
      </c>
      <c r="J1998" s="28">
        <v>0.0</v>
      </c>
      <c r="K1998" s="23" t="s">
        <v>29</v>
      </c>
      <c r="L1998" s="6" t="str">
        <f>VLOOKUP(K1998,'Structure type'!$A$1:$B$15,2,FALSE)</f>
        <v>Manhole</v>
      </c>
      <c r="M1998" s="23" t="s">
        <v>30</v>
      </c>
      <c r="N1998" s="6" t="str">
        <f>VLOOKUP(M1998,'Excursion Cause'!$A$1:$B$34,2,FALSE)</f>
        <v>Grease Blockage</v>
      </c>
      <c r="O1998" s="29">
        <v>44901.0</v>
      </c>
      <c r="P1998" s="30">
        <v>0.39861111111111114</v>
      </c>
      <c r="Q1998" s="29">
        <v>44901.0</v>
      </c>
      <c r="R1998" s="30">
        <v>0.3993055555555556</v>
      </c>
      <c r="S1998" s="28">
        <v>0.0</v>
      </c>
      <c r="T1998" s="23" t="s">
        <v>59</v>
      </c>
      <c r="U1998" s="6"/>
      <c r="V1998" s="6"/>
      <c r="W1998" s="23">
        <v>29.8579718</v>
      </c>
      <c r="X1998" s="23">
        <v>-95.4318585</v>
      </c>
    </row>
    <row r="1999" ht="15.75" customHeight="1">
      <c r="A1999" s="23">
        <v>50229.0</v>
      </c>
      <c r="B1999" s="6">
        <v>2022.0</v>
      </c>
      <c r="C1999" s="6" t="str">
        <f t="shared" si="7"/>
        <v>9925 BURDEN ST,Houston,TX</v>
      </c>
      <c r="D1999" s="23" t="s">
        <v>3389</v>
      </c>
      <c r="E1999" s="6" t="s">
        <v>25</v>
      </c>
      <c r="F1999" s="6" t="s">
        <v>1388</v>
      </c>
      <c r="G1999" s="6" t="s">
        <v>109</v>
      </c>
      <c r="H1999" s="23" t="s">
        <v>50</v>
      </c>
      <c r="I1999" s="6" t="str">
        <f>VLOOKUP(H1999,'Flow Location'!$A$1:$B$21,2,FALSE)</f>
        <v>Contained On Site, not within 5 ft. of Bayou/Surface Water/Drainage Ditch</v>
      </c>
      <c r="J1999" s="28">
        <v>0.0</v>
      </c>
      <c r="K1999" s="23" t="s">
        <v>198</v>
      </c>
      <c r="L1999" s="6" t="str">
        <f>VLOOKUP(K1999,'Structure type'!$A$1:$B$15,2,FALSE)</f>
        <v>Service Lateral</v>
      </c>
      <c r="M1999" s="23" t="s">
        <v>52</v>
      </c>
      <c r="N1999" s="6" t="str">
        <f>VLOOKUP(M1999,'Excursion Cause'!$A$1:$B$34,2,FALSE)</f>
        <v>Collection system structural blockage</v>
      </c>
      <c r="O1999" s="29">
        <v>44901.0</v>
      </c>
      <c r="P1999" s="30">
        <v>0.50625</v>
      </c>
      <c r="Q1999" s="29">
        <v>44901.0</v>
      </c>
      <c r="R1999" s="30">
        <v>0.5069444444444444</v>
      </c>
      <c r="S1999" s="28">
        <v>0.0</v>
      </c>
      <c r="T1999" s="23" t="s">
        <v>107</v>
      </c>
      <c r="U1999" s="6"/>
      <c r="V1999" s="6"/>
      <c r="W1999" s="23">
        <v>29.8566434</v>
      </c>
      <c r="X1999" s="23">
        <v>-95.3531305</v>
      </c>
    </row>
    <row r="2000" ht="15.75" customHeight="1">
      <c r="A2000" s="23">
        <v>50238.0</v>
      </c>
      <c r="B2000" s="6">
        <v>2022.0</v>
      </c>
      <c r="C2000" s="6" t="str">
        <f t="shared" si="7"/>
        <v>5700 LOST FOREST DR,Houston,TX</v>
      </c>
      <c r="D2000" s="23" t="s">
        <v>3390</v>
      </c>
      <c r="E2000" s="6" t="s">
        <v>25</v>
      </c>
      <c r="F2000" s="6" t="s">
        <v>1388</v>
      </c>
      <c r="G2000" s="6" t="s">
        <v>76</v>
      </c>
      <c r="H2000" s="23" t="s">
        <v>28</v>
      </c>
      <c r="I2000" s="6" t="str">
        <f>VLOOKUP(H2000,'Flow Location'!$A$1:$B$21,2,FALSE)</f>
        <v>Storm Sewer (not contained)</v>
      </c>
      <c r="J2000" s="28">
        <v>150.0</v>
      </c>
      <c r="K2000" s="23" t="s">
        <v>29</v>
      </c>
      <c r="L2000" s="6" t="str">
        <f>VLOOKUP(K2000,'Structure type'!$A$1:$B$15,2,FALSE)</f>
        <v>Manhole</v>
      </c>
      <c r="M2000" s="23" t="s">
        <v>30</v>
      </c>
      <c r="N2000" s="6" t="str">
        <f>VLOOKUP(M2000,'Excursion Cause'!$A$1:$B$34,2,FALSE)</f>
        <v>Grease Blockage</v>
      </c>
      <c r="O2000" s="29">
        <v>44901.0</v>
      </c>
      <c r="P2000" s="30">
        <v>0.7027777777777777</v>
      </c>
      <c r="Q2000" s="29">
        <v>44902.0</v>
      </c>
      <c r="R2000" s="30">
        <v>0.7847222222222222</v>
      </c>
      <c r="S2000" s="28">
        <v>0.0</v>
      </c>
      <c r="T2000" s="23" t="s">
        <v>59</v>
      </c>
      <c r="U2000" s="6"/>
      <c r="V2000" s="6"/>
      <c r="W2000" s="23">
        <v>29.8511557</v>
      </c>
      <c r="X2000" s="23">
        <v>-95.4779962</v>
      </c>
    </row>
    <row r="2001" ht="15.75" customHeight="1">
      <c r="A2001" s="23">
        <v>50242.0</v>
      </c>
      <c r="B2001" s="6">
        <v>2022.0</v>
      </c>
      <c r="C2001" s="6" t="str">
        <f t="shared" si="7"/>
        <v>7132 AVENUE Q,Houston,TX</v>
      </c>
      <c r="D2001" s="23" t="s">
        <v>3273</v>
      </c>
      <c r="E2001" s="6" t="s">
        <v>25</v>
      </c>
      <c r="F2001" s="6" t="s">
        <v>1388</v>
      </c>
      <c r="G2001" s="6" t="s">
        <v>227</v>
      </c>
      <c r="H2001" s="23" t="s">
        <v>50</v>
      </c>
      <c r="I2001" s="6" t="str">
        <f>VLOOKUP(H2001,'Flow Location'!$A$1:$B$21,2,FALSE)</f>
        <v>Contained On Site, not within 5 ft. of Bayou/Surface Water/Drainage Ditch</v>
      </c>
      <c r="J2001" s="28">
        <v>0.0</v>
      </c>
      <c r="K2001" s="23" t="s">
        <v>45</v>
      </c>
      <c r="L2001" s="6" t="str">
        <f>VLOOKUP(K2001,'Structure type'!$A$1:$B$15,2,FALSE)</f>
        <v>City Cleanout</v>
      </c>
      <c r="M2001" s="23" t="s">
        <v>30</v>
      </c>
      <c r="N2001" s="6" t="str">
        <f>VLOOKUP(M2001,'Excursion Cause'!$A$1:$B$34,2,FALSE)</f>
        <v>Grease Blockage</v>
      </c>
      <c r="O2001" s="29">
        <v>44902.0</v>
      </c>
      <c r="P2001" s="30">
        <v>0.39166666666666666</v>
      </c>
      <c r="Q2001" s="29">
        <v>44902.0</v>
      </c>
      <c r="R2001" s="30">
        <v>0.3923611111111111</v>
      </c>
      <c r="S2001" s="28">
        <v>0.0</v>
      </c>
      <c r="T2001" s="23" t="s">
        <v>74</v>
      </c>
      <c r="U2001" s="6"/>
      <c r="V2001" s="6"/>
      <c r="W2001" s="23">
        <v>29.7452606</v>
      </c>
      <c r="X2001" s="23">
        <v>-95.2945598</v>
      </c>
    </row>
    <row r="2002" ht="15.75" customHeight="1">
      <c r="A2002" s="23">
        <v>50243.0</v>
      </c>
      <c r="B2002" s="6">
        <v>2022.0</v>
      </c>
      <c r="C2002" s="6" t="str">
        <f t="shared" si="7"/>
        <v>14430 MINETTA ST,Houston,TX</v>
      </c>
      <c r="D2002" s="23" t="s">
        <v>1954</v>
      </c>
      <c r="E2002" s="6" t="s">
        <v>25</v>
      </c>
      <c r="F2002" s="6" t="s">
        <v>1388</v>
      </c>
      <c r="G2002" s="6" t="s">
        <v>127</v>
      </c>
      <c r="H2002" s="23" t="s">
        <v>28</v>
      </c>
      <c r="I2002" s="6" t="str">
        <f>VLOOKUP(H2002,'Flow Location'!$A$1:$B$21,2,FALSE)</f>
        <v>Storm Sewer (not contained)</v>
      </c>
      <c r="J2002" s="28">
        <v>24.0</v>
      </c>
      <c r="K2002" s="23" t="s">
        <v>45</v>
      </c>
      <c r="L2002" s="6" t="str">
        <f>VLOOKUP(K2002,'Structure type'!$A$1:$B$15,2,FALSE)</f>
        <v>City Cleanout</v>
      </c>
      <c r="M2002" s="23" t="s">
        <v>56</v>
      </c>
      <c r="N2002" s="6" t="str">
        <f>VLOOKUP(M2002,'Excursion Cause'!$A$1:$B$34,2,FALSE)</f>
        <v>Rags/Wipes</v>
      </c>
      <c r="O2002" s="29">
        <v>44902.0</v>
      </c>
      <c r="P2002" s="30">
        <v>0.42986111111111114</v>
      </c>
      <c r="Q2002" s="29">
        <v>44902.0</v>
      </c>
      <c r="R2002" s="30">
        <v>0.4965277777777778</v>
      </c>
      <c r="S2002" s="28">
        <v>0.0</v>
      </c>
      <c r="T2002" s="23" t="s">
        <v>84</v>
      </c>
      <c r="U2002" s="6"/>
      <c r="V2002" s="6"/>
      <c r="W2002" s="23">
        <v>29.6363399</v>
      </c>
      <c r="X2002" s="23">
        <v>-95.5017682</v>
      </c>
    </row>
    <row r="2003" ht="15.75" customHeight="1">
      <c r="A2003" s="23">
        <v>50249.0</v>
      </c>
      <c r="B2003" s="6">
        <v>2022.0</v>
      </c>
      <c r="C2003" s="6" t="str">
        <f t="shared" si="7"/>
        <v>15885 RIDGECROFT RD,Houston,TX</v>
      </c>
      <c r="D2003" s="23" t="s">
        <v>3391</v>
      </c>
      <c r="E2003" s="6" t="s">
        <v>25</v>
      </c>
      <c r="F2003" s="6" t="s">
        <v>1388</v>
      </c>
      <c r="G2003" s="6" t="s">
        <v>517</v>
      </c>
      <c r="H2003" s="23" t="s">
        <v>50</v>
      </c>
      <c r="I2003" s="6" t="str">
        <f>VLOOKUP(H2003,'Flow Location'!$A$1:$B$21,2,FALSE)</f>
        <v>Contained On Site, not within 5 ft. of Bayou/Surface Water/Drainage Ditch</v>
      </c>
      <c r="J2003" s="28">
        <v>87.0</v>
      </c>
      <c r="K2003" s="23" t="s">
        <v>29</v>
      </c>
      <c r="L2003" s="6" t="str">
        <f>VLOOKUP(K2003,'Structure type'!$A$1:$B$15,2,FALSE)</f>
        <v>Manhole</v>
      </c>
      <c r="M2003" s="23" t="s">
        <v>30</v>
      </c>
      <c r="N2003" s="6" t="str">
        <f>VLOOKUP(M2003,'Excursion Cause'!$A$1:$B$34,2,FALSE)</f>
        <v>Grease Blockage</v>
      </c>
      <c r="O2003" s="29">
        <v>44902.0</v>
      </c>
      <c r="P2003" s="30">
        <v>0.48819444444444443</v>
      </c>
      <c r="Q2003" s="29">
        <v>44902.0</v>
      </c>
      <c r="R2003" s="30">
        <v>0.5486111111111112</v>
      </c>
      <c r="S2003" s="28">
        <v>1.0</v>
      </c>
      <c r="T2003" s="23" t="s">
        <v>59</v>
      </c>
      <c r="U2003" s="6"/>
      <c r="V2003" s="6"/>
      <c r="W2003" s="23">
        <v>29.5907336</v>
      </c>
      <c r="X2003" s="23">
        <v>-95.4484897</v>
      </c>
    </row>
    <row r="2004" ht="15.75" customHeight="1">
      <c r="A2004" s="23">
        <v>50250.0</v>
      </c>
      <c r="B2004" s="6">
        <v>2022.0</v>
      </c>
      <c r="C2004" s="6" t="str">
        <f t="shared" si="7"/>
        <v>2320 CRESLINE ST,Houston,TX</v>
      </c>
      <c r="D2004" s="23" t="s">
        <v>3392</v>
      </c>
      <c r="E2004" s="6" t="s">
        <v>25</v>
      </c>
      <c r="F2004" s="6" t="s">
        <v>1388</v>
      </c>
      <c r="G2004" s="6" t="s">
        <v>109</v>
      </c>
      <c r="H2004" s="23" t="s">
        <v>28</v>
      </c>
      <c r="I2004" s="6" t="str">
        <f>VLOOKUP(H2004,'Flow Location'!$A$1:$B$21,2,FALSE)</f>
        <v>Storm Sewer (not contained)</v>
      </c>
      <c r="J2004" s="28">
        <v>0.0</v>
      </c>
      <c r="K2004" s="23" t="s">
        <v>198</v>
      </c>
      <c r="L2004" s="6" t="str">
        <f>VLOOKUP(K2004,'Structure type'!$A$1:$B$15,2,FALSE)</f>
        <v>Service Lateral</v>
      </c>
      <c r="M2004" s="23" t="s">
        <v>3250</v>
      </c>
      <c r="N2004" s="6" t="str">
        <f>VLOOKUP(M2004,'Excursion Cause'!$A$1:$B$34,2,FALSE)</f>
        <v>Collection system structural blockage</v>
      </c>
      <c r="O2004" s="29">
        <v>44902.0</v>
      </c>
      <c r="P2004" s="30">
        <v>0.6736111111111112</v>
      </c>
      <c r="Q2004" s="29">
        <v>44902.0</v>
      </c>
      <c r="R2004" s="30">
        <v>0.6743055555555556</v>
      </c>
      <c r="S2004" s="28">
        <v>0.0</v>
      </c>
      <c r="T2004" s="23" t="s">
        <v>118</v>
      </c>
      <c r="U2004" s="6"/>
      <c r="V2004" s="6"/>
      <c r="W2004" s="23">
        <v>29.8605896</v>
      </c>
      <c r="X2004" s="23">
        <v>-95.348841</v>
      </c>
    </row>
    <row r="2005" ht="15.75" customHeight="1">
      <c r="A2005" s="23">
        <v>50251.0</v>
      </c>
      <c r="B2005" s="6">
        <v>2022.0</v>
      </c>
      <c r="C2005" s="6" t="str">
        <f t="shared" si="7"/>
        <v>12235 WHITE CAP LN,Houston,TX</v>
      </c>
      <c r="D2005" s="23" t="s">
        <v>3393</v>
      </c>
      <c r="E2005" s="6" t="s">
        <v>25</v>
      </c>
      <c r="F2005" s="6" t="s">
        <v>1388</v>
      </c>
      <c r="G2005" s="6" t="s">
        <v>91</v>
      </c>
      <c r="H2005" s="23" t="s">
        <v>28</v>
      </c>
      <c r="I2005" s="6" t="str">
        <f>VLOOKUP(H2005,'Flow Location'!$A$1:$B$21,2,FALSE)</f>
        <v>Storm Sewer (not contained)</v>
      </c>
      <c r="J2005" s="28">
        <v>0.0</v>
      </c>
      <c r="K2005" s="23" t="s">
        <v>45</v>
      </c>
      <c r="L2005" s="6" t="str">
        <f>VLOOKUP(K2005,'Structure type'!$A$1:$B$15,2,FALSE)</f>
        <v>City Cleanout</v>
      </c>
      <c r="M2005" s="23" t="s">
        <v>30</v>
      </c>
      <c r="N2005" s="6" t="str">
        <f>VLOOKUP(M2005,'Excursion Cause'!$A$1:$B$34,2,FALSE)</f>
        <v>Grease Blockage</v>
      </c>
      <c r="O2005" s="29">
        <v>44902.0</v>
      </c>
      <c r="P2005" s="30">
        <v>0.6798611111111111</v>
      </c>
      <c r="Q2005" s="29">
        <v>44902.0</v>
      </c>
      <c r="R2005" s="30">
        <v>0.6805555555555556</v>
      </c>
      <c r="S2005" s="28">
        <v>0.0</v>
      </c>
      <c r="T2005" s="23" t="s">
        <v>74</v>
      </c>
      <c r="U2005" s="6"/>
      <c r="V2005" s="6"/>
      <c r="W2005" s="23">
        <v>29.690307</v>
      </c>
      <c r="X2005" s="23">
        <v>-95.5956676</v>
      </c>
    </row>
    <row r="2006" ht="15.75" customHeight="1">
      <c r="A2006" s="23">
        <v>50262.0</v>
      </c>
      <c r="B2006" s="6">
        <v>2022.0</v>
      </c>
      <c r="C2006" s="6" t="str">
        <f t="shared" si="7"/>
        <v>8225 SPAULDING ST,Houston,TX</v>
      </c>
      <c r="D2006" s="23" t="s">
        <v>3394</v>
      </c>
      <c r="E2006" s="6" t="s">
        <v>25</v>
      </c>
      <c r="F2006" s="6" t="s">
        <v>1388</v>
      </c>
      <c r="G2006" s="6" t="s">
        <v>326</v>
      </c>
      <c r="H2006" s="23" t="s">
        <v>28</v>
      </c>
      <c r="I2006" s="6" t="str">
        <f>VLOOKUP(H2006,'Flow Location'!$A$1:$B$21,2,FALSE)</f>
        <v>Storm Sewer (not contained)</v>
      </c>
      <c r="J2006" s="28">
        <v>0.0</v>
      </c>
      <c r="K2006" s="23" t="s">
        <v>45</v>
      </c>
      <c r="L2006" s="6" t="str">
        <f>VLOOKUP(K2006,'Structure type'!$A$1:$B$15,2,FALSE)</f>
        <v>City Cleanout</v>
      </c>
      <c r="M2006" s="23" t="s">
        <v>52</v>
      </c>
      <c r="N2006" s="6" t="str">
        <f>VLOOKUP(M2006,'Excursion Cause'!$A$1:$B$34,2,FALSE)</f>
        <v>Collection system structural blockage</v>
      </c>
      <c r="O2006" s="29">
        <v>44903.0</v>
      </c>
      <c r="P2006" s="30">
        <v>0.5083333333333333</v>
      </c>
      <c r="Q2006" s="29">
        <v>44903.0</v>
      </c>
      <c r="R2006" s="30">
        <v>0.5090277777777777</v>
      </c>
      <c r="S2006" s="28">
        <v>0.0</v>
      </c>
      <c r="T2006" s="23" t="s">
        <v>270</v>
      </c>
      <c r="U2006" s="6"/>
      <c r="V2006" s="6"/>
      <c r="W2006" s="23">
        <v>29.8355906</v>
      </c>
      <c r="X2006" s="23">
        <v>-95.3077387</v>
      </c>
    </row>
    <row r="2007" ht="15.75" customHeight="1">
      <c r="A2007" s="23">
        <v>50264.0</v>
      </c>
      <c r="B2007" s="6">
        <v>2022.0</v>
      </c>
      <c r="C2007" s="6" t="str">
        <f t="shared" si="7"/>
        <v>19210 GULF FWY,Houston,TX</v>
      </c>
      <c r="D2007" s="23" t="s">
        <v>3395</v>
      </c>
      <c r="E2007" s="6" t="s">
        <v>25</v>
      </c>
      <c r="F2007" s="6" t="s">
        <v>1388</v>
      </c>
      <c r="G2007" s="6" t="s">
        <v>3396</v>
      </c>
      <c r="H2007" s="23" t="s">
        <v>50</v>
      </c>
      <c r="I2007" s="6" t="str">
        <f>VLOOKUP(H2007,'Flow Location'!$A$1:$B$21,2,FALSE)</f>
        <v>Contained On Site, not within 5 ft. of Bayou/Surface Water/Drainage Ditch</v>
      </c>
      <c r="J2007" s="28">
        <v>153.0</v>
      </c>
      <c r="K2007" s="23" t="s">
        <v>29</v>
      </c>
      <c r="L2007" s="6" t="str">
        <f>VLOOKUP(K2007,'Structure type'!$A$1:$B$15,2,FALSE)</f>
        <v>Manhole</v>
      </c>
      <c r="M2007" s="23" t="s">
        <v>30</v>
      </c>
      <c r="N2007" s="6" t="str">
        <f>VLOOKUP(M2007,'Excursion Cause'!$A$1:$B$34,2,FALSE)</f>
        <v>Grease Blockage</v>
      </c>
      <c r="O2007" s="29">
        <v>44903.0</v>
      </c>
      <c r="P2007" s="30">
        <v>0.5409722222222222</v>
      </c>
      <c r="Q2007" s="29">
        <v>44903.0</v>
      </c>
      <c r="R2007" s="30">
        <v>0.5763888888888888</v>
      </c>
      <c r="S2007" s="28">
        <v>3.0</v>
      </c>
      <c r="T2007" s="23" t="s">
        <v>59</v>
      </c>
      <c r="U2007" s="6"/>
      <c r="V2007" s="6"/>
      <c r="W2007" s="23">
        <v>29.5426053</v>
      </c>
      <c r="X2007" s="23">
        <v>-95.1447747</v>
      </c>
    </row>
    <row r="2008" ht="15.75" customHeight="1">
      <c r="A2008" s="23">
        <v>50265.0</v>
      </c>
      <c r="B2008" s="6">
        <v>2022.0</v>
      </c>
      <c r="C2008" s="6" t="str">
        <f t="shared" si="7"/>
        <v>13367 LOUISVILLE ST,Houston,TX</v>
      </c>
      <c r="D2008" s="23" t="s">
        <v>3397</v>
      </c>
      <c r="E2008" s="6" t="s">
        <v>25</v>
      </c>
      <c r="F2008" s="6" t="s">
        <v>1388</v>
      </c>
      <c r="G2008" s="6" t="s">
        <v>623</v>
      </c>
      <c r="H2008" s="23" t="s">
        <v>50</v>
      </c>
      <c r="I2008" s="6" t="str">
        <f>VLOOKUP(H2008,'Flow Location'!$A$1:$B$21,2,FALSE)</f>
        <v>Contained On Site, not within 5 ft. of Bayou/Surface Water/Drainage Ditch</v>
      </c>
      <c r="J2008" s="28">
        <v>0.0</v>
      </c>
      <c r="K2008" s="23" t="s">
        <v>51</v>
      </c>
      <c r="L2008" s="6" t="str">
        <f>VLOOKUP(K2008,'Structure type'!$A$1:$B$15,2,FALSE)</f>
        <v>Private Cleanout</v>
      </c>
      <c r="M2008" s="23" t="s">
        <v>52</v>
      </c>
      <c r="N2008" s="6" t="str">
        <f>VLOOKUP(M2008,'Excursion Cause'!$A$1:$B$34,2,FALSE)</f>
        <v>Collection system structural blockage</v>
      </c>
      <c r="O2008" s="29">
        <v>44903.0</v>
      </c>
      <c r="P2008" s="30">
        <v>0.4236111111111111</v>
      </c>
      <c r="Q2008" s="29">
        <v>44903.0</v>
      </c>
      <c r="R2008" s="30">
        <v>0.42430555555555555</v>
      </c>
      <c r="S2008" s="28">
        <v>0.0</v>
      </c>
      <c r="T2008" s="23" t="s">
        <v>107</v>
      </c>
      <c r="U2008" s="6"/>
      <c r="V2008" s="6"/>
      <c r="W2008" s="23">
        <v>29.7855143</v>
      </c>
      <c r="X2008" s="23">
        <v>-95.1879967</v>
      </c>
    </row>
    <row r="2009" ht="15.75" customHeight="1">
      <c r="A2009" s="23">
        <v>50270.0</v>
      </c>
      <c r="B2009" s="6">
        <v>2022.0</v>
      </c>
      <c r="C2009" s="6" t="str">
        <f t="shared" si="7"/>
        <v>4114 FULTON ST,Houston,TX</v>
      </c>
      <c r="D2009" s="23" t="s">
        <v>261</v>
      </c>
      <c r="E2009" s="6" t="s">
        <v>25</v>
      </c>
      <c r="F2009" s="6" t="s">
        <v>1388</v>
      </c>
      <c r="G2009" s="6" t="s">
        <v>161</v>
      </c>
      <c r="H2009" s="23" t="s">
        <v>50</v>
      </c>
      <c r="I2009" s="6" t="str">
        <f>VLOOKUP(H2009,'Flow Location'!$A$1:$B$21,2,FALSE)</f>
        <v>Contained On Site, not within 5 ft. of Bayou/Surface Water/Drainage Ditch</v>
      </c>
      <c r="J2009" s="28">
        <v>0.0</v>
      </c>
      <c r="K2009" s="23" t="s">
        <v>29</v>
      </c>
      <c r="L2009" s="6" t="str">
        <f>VLOOKUP(K2009,'Structure type'!$A$1:$B$15,2,FALSE)</f>
        <v>Manhole</v>
      </c>
      <c r="M2009" s="23" t="s">
        <v>30</v>
      </c>
      <c r="N2009" s="6" t="str">
        <f>VLOOKUP(M2009,'Excursion Cause'!$A$1:$B$34,2,FALSE)</f>
        <v>Grease Blockage</v>
      </c>
      <c r="O2009" s="29">
        <v>44903.0</v>
      </c>
      <c r="P2009" s="30">
        <v>0.7423611111111111</v>
      </c>
      <c r="Q2009" s="29">
        <v>44903.0</v>
      </c>
      <c r="R2009" s="30">
        <v>0.7430555555555556</v>
      </c>
      <c r="S2009" s="28">
        <v>0.0</v>
      </c>
      <c r="T2009" s="23" t="s">
        <v>59</v>
      </c>
      <c r="U2009" s="6"/>
      <c r="V2009" s="6"/>
      <c r="W2009" s="23">
        <v>29.797411</v>
      </c>
      <c r="X2009" s="23">
        <v>-95.367007</v>
      </c>
    </row>
    <row r="2010" ht="15.75" customHeight="1">
      <c r="A2010" s="23">
        <v>50271.0</v>
      </c>
      <c r="B2010" s="6">
        <v>2022.0</v>
      </c>
      <c r="C2010" s="6" t="str">
        <f t="shared" si="7"/>
        <v>12402 HILLCROFT AVE,Houston,TX</v>
      </c>
      <c r="D2010" s="23" t="s">
        <v>3398</v>
      </c>
      <c r="E2010" s="6" t="s">
        <v>25</v>
      </c>
      <c r="F2010" s="6" t="s">
        <v>1388</v>
      </c>
      <c r="G2010" s="6" t="s">
        <v>127</v>
      </c>
      <c r="H2010" s="23" t="s">
        <v>50</v>
      </c>
      <c r="I2010" s="6" t="str">
        <f>VLOOKUP(H2010,'Flow Location'!$A$1:$B$21,2,FALSE)</f>
        <v>Contained On Site, not within 5 ft. of Bayou/Surface Water/Drainage Ditch</v>
      </c>
      <c r="J2010" s="28">
        <v>254.0</v>
      </c>
      <c r="K2010" s="23" t="s">
        <v>29</v>
      </c>
      <c r="L2010" s="6" t="str">
        <f>VLOOKUP(K2010,'Structure type'!$A$1:$B$15,2,FALSE)</f>
        <v>Manhole</v>
      </c>
      <c r="M2010" s="23" t="s">
        <v>30</v>
      </c>
      <c r="N2010" s="6" t="str">
        <f>VLOOKUP(M2010,'Excursion Cause'!$A$1:$B$34,2,FALSE)</f>
        <v>Grease Blockage</v>
      </c>
      <c r="O2010" s="29">
        <v>44904.0</v>
      </c>
      <c r="P2010" s="30">
        <v>0.3527777777777778</v>
      </c>
      <c r="Q2010" s="29">
        <v>44904.0</v>
      </c>
      <c r="R2010" s="30">
        <v>0.4409722222222222</v>
      </c>
      <c r="S2010" s="28">
        <v>2.0</v>
      </c>
      <c r="T2010" s="23" t="s">
        <v>33</v>
      </c>
      <c r="U2010" s="6"/>
      <c r="V2010" s="6"/>
      <c r="W2010" s="23">
        <v>29.6424522</v>
      </c>
      <c r="X2010" s="23">
        <v>-95.4937108</v>
      </c>
    </row>
    <row r="2011" ht="15.75" customHeight="1">
      <c r="A2011" s="23">
        <v>50273.0</v>
      </c>
      <c r="B2011" s="6">
        <v>2022.0</v>
      </c>
      <c r="C2011" s="6" t="str">
        <f t="shared" si="7"/>
        <v>7237 LYONS AVE,Houston,TX</v>
      </c>
      <c r="D2011" s="23" t="s">
        <v>3399</v>
      </c>
      <c r="E2011" s="6" t="s">
        <v>25</v>
      </c>
      <c r="F2011" s="6" t="s">
        <v>1388</v>
      </c>
      <c r="G2011" s="6" t="s">
        <v>86</v>
      </c>
      <c r="H2011" s="23" t="s">
        <v>50</v>
      </c>
      <c r="I2011" s="6" t="str">
        <f>VLOOKUP(H2011,'Flow Location'!$A$1:$B$21,2,FALSE)</f>
        <v>Contained On Site, not within 5 ft. of Bayou/Surface Water/Drainage Ditch</v>
      </c>
      <c r="J2011" s="28">
        <v>0.0</v>
      </c>
      <c r="K2011" s="23" t="s">
        <v>51</v>
      </c>
      <c r="L2011" s="6" t="str">
        <f>VLOOKUP(K2011,'Structure type'!$A$1:$B$15,2,FALSE)</f>
        <v>Private Cleanout</v>
      </c>
      <c r="M2011" s="23" t="s">
        <v>52</v>
      </c>
      <c r="N2011" s="6" t="str">
        <f>VLOOKUP(M2011,'Excursion Cause'!$A$1:$B$34,2,FALSE)</f>
        <v>Collection system structural blockage</v>
      </c>
      <c r="O2011" s="29">
        <v>44904.0</v>
      </c>
      <c r="P2011" s="30">
        <v>0.39791666666666664</v>
      </c>
      <c r="Q2011" s="29">
        <v>44904.0</v>
      </c>
      <c r="R2011" s="30">
        <v>0.39861111111111114</v>
      </c>
      <c r="S2011" s="28">
        <v>0.0</v>
      </c>
      <c r="T2011" s="23" t="s">
        <v>170</v>
      </c>
      <c r="U2011" s="6"/>
      <c r="V2011" s="6"/>
      <c r="W2011" s="23">
        <v>29.7768637</v>
      </c>
      <c r="X2011" s="23">
        <v>-95.296507</v>
      </c>
    </row>
    <row r="2012" ht="15.75" customHeight="1">
      <c r="A2012" s="23">
        <v>50277.0</v>
      </c>
      <c r="B2012" s="6">
        <v>2022.0</v>
      </c>
      <c r="C2012" s="6" t="str">
        <f t="shared" si="7"/>
        <v>6815 INWOOD WEST DR,Houston,TX</v>
      </c>
      <c r="D2012" s="23" t="s">
        <v>3400</v>
      </c>
      <c r="E2012" s="6" t="s">
        <v>25</v>
      </c>
      <c r="F2012" s="6" t="s">
        <v>1388</v>
      </c>
      <c r="G2012" s="6" t="s">
        <v>502</v>
      </c>
      <c r="H2012" s="23" t="s">
        <v>50</v>
      </c>
      <c r="I2012" s="6" t="str">
        <f>VLOOKUP(H2012,'Flow Location'!$A$1:$B$21,2,FALSE)</f>
        <v>Contained On Site, not within 5 ft. of Bayou/Surface Water/Drainage Ditch</v>
      </c>
      <c r="J2012" s="28">
        <v>0.0</v>
      </c>
      <c r="K2012" s="23" t="s">
        <v>45</v>
      </c>
      <c r="L2012" s="6" t="str">
        <f>VLOOKUP(K2012,'Structure type'!$A$1:$B$15,2,FALSE)</f>
        <v>City Cleanout</v>
      </c>
      <c r="M2012" s="23" t="s">
        <v>30</v>
      </c>
      <c r="N2012" s="6" t="str">
        <f>VLOOKUP(M2012,'Excursion Cause'!$A$1:$B$34,2,FALSE)</f>
        <v>Grease Blockage</v>
      </c>
      <c r="O2012" s="29">
        <v>44904.0</v>
      </c>
      <c r="P2012" s="30">
        <v>0.5208333333333334</v>
      </c>
      <c r="Q2012" s="29">
        <v>44904.0</v>
      </c>
      <c r="R2012" s="30">
        <v>0.5215277777777778</v>
      </c>
      <c r="S2012" s="28">
        <v>0.0</v>
      </c>
      <c r="T2012" s="23" t="s">
        <v>89</v>
      </c>
      <c r="U2012" s="6"/>
      <c r="V2012" s="6"/>
      <c r="W2012" s="23">
        <v>29.88493</v>
      </c>
      <c r="X2012" s="23">
        <v>-95.491162</v>
      </c>
    </row>
    <row r="2013" ht="15.75" customHeight="1">
      <c r="A2013" s="23">
        <v>50278.0</v>
      </c>
      <c r="B2013" s="6">
        <v>2022.0</v>
      </c>
      <c r="C2013" s="6" t="str">
        <f t="shared" si="7"/>
        <v>1200 DAIRY ASHFORD RD,Houston,TX</v>
      </c>
      <c r="D2013" s="23" t="s">
        <v>3337</v>
      </c>
      <c r="E2013" s="6" t="s">
        <v>25</v>
      </c>
      <c r="F2013" s="6" t="s">
        <v>1388</v>
      </c>
      <c r="G2013" s="6" t="s">
        <v>347</v>
      </c>
      <c r="H2013" s="23" t="s">
        <v>50</v>
      </c>
      <c r="I2013" s="6" t="str">
        <f>VLOOKUP(H2013,'Flow Location'!$A$1:$B$21,2,FALSE)</f>
        <v>Contained On Site, not within 5 ft. of Bayou/Surface Water/Drainage Ditch</v>
      </c>
      <c r="J2013" s="28">
        <v>0.0</v>
      </c>
      <c r="K2013" s="23" t="s">
        <v>29</v>
      </c>
      <c r="L2013" s="6" t="str">
        <f>VLOOKUP(K2013,'Structure type'!$A$1:$B$15,2,FALSE)</f>
        <v>Manhole</v>
      </c>
      <c r="M2013" s="23" t="s">
        <v>30</v>
      </c>
      <c r="N2013" s="6" t="str">
        <f>VLOOKUP(M2013,'Excursion Cause'!$A$1:$B$34,2,FALSE)</f>
        <v>Grease Blockage</v>
      </c>
      <c r="O2013" s="29">
        <v>44904.0</v>
      </c>
      <c r="P2013" s="30">
        <v>0.5625</v>
      </c>
      <c r="Q2013" s="29">
        <v>44904.0</v>
      </c>
      <c r="R2013" s="30">
        <v>0.5631944444444444</v>
      </c>
      <c r="S2013" s="28">
        <v>0.0</v>
      </c>
      <c r="T2013" s="23" t="s">
        <v>33</v>
      </c>
      <c r="U2013" s="6"/>
      <c r="V2013" s="6"/>
      <c r="W2013" s="23">
        <v>29.7603419</v>
      </c>
      <c r="X2013" s="23">
        <v>-95.6065667</v>
      </c>
    </row>
    <row r="2014" ht="15.75" customHeight="1">
      <c r="A2014" s="23">
        <v>50279.0</v>
      </c>
      <c r="B2014" s="6">
        <v>2022.0</v>
      </c>
      <c r="C2014" s="6" t="str">
        <f t="shared" si="7"/>
        <v>8150 SNOWDEN ST,Houston,TX</v>
      </c>
      <c r="D2014" s="23" t="s">
        <v>3252</v>
      </c>
      <c r="E2014" s="6" t="s">
        <v>25</v>
      </c>
      <c r="F2014" s="6" t="s">
        <v>1388</v>
      </c>
      <c r="G2014" s="6" t="s">
        <v>177</v>
      </c>
      <c r="H2014" s="23" t="s">
        <v>28</v>
      </c>
      <c r="I2014" s="6" t="str">
        <f>VLOOKUP(H2014,'Flow Location'!$A$1:$B$21,2,FALSE)</f>
        <v>Storm Sewer (not contained)</v>
      </c>
      <c r="J2014" s="28">
        <v>0.0</v>
      </c>
      <c r="K2014" s="23" t="s">
        <v>45</v>
      </c>
      <c r="L2014" s="6" t="str">
        <f>VLOOKUP(K2014,'Structure type'!$A$1:$B$15,2,FALSE)</f>
        <v>City Cleanout</v>
      </c>
      <c r="M2014" s="23" t="s">
        <v>52</v>
      </c>
      <c r="N2014" s="6" t="str">
        <f>VLOOKUP(M2014,'Excursion Cause'!$A$1:$B$34,2,FALSE)</f>
        <v>Collection system structural blockage</v>
      </c>
      <c r="O2014" s="29">
        <v>44904.0</v>
      </c>
      <c r="P2014" s="30">
        <v>0.5951388888888889</v>
      </c>
      <c r="Q2014" s="29">
        <v>44904.0</v>
      </c>
      <c r="R2014" s="30">
        <v>0.5958333333333333</v>
      </c>
      <c r="S2014" s="28">
        <v>0.0</v>
      </c>
      <c r="T2014" s="23" t="s">
        <v>89</v>
      </c>
      <c r="U2014" s="6"/>
      <c r="V2014" s="6"/>
      <c r="W2014" s="23">
        <v>29.84573</v>
      </c>
      <c r="X2014" s="23">
        <v>-95.2782293</v>
      </c>
    </row>
    <row r="2015" ht="15.75" customHeight="1">
      <c r="A2015" s="23">
        <v>50282.0</v>
      </c>
      <c r="B2015" s="6">
        <v>2022.0</v>
      </c>
      <c r="C2015" s="6" t="str">
        <f t="shared" si="7"/>
        <v>1504 TAUB LOOP,Houston,TX</v>
      </c>
      <c r="D2015" s="23" t="s">
        <v>3401</v>
      </c>
      <c r="E2015" s="6" t="s">
        <v>25</v>
      </c>
      <c r="F2015" s="6" t="s">
        <v>1388</v>
      </c>
      <c r="G2015" s="6" t="s">
        <v>512</v>
      </c>
      <c r="H2015" s="23" t="s">
        <v>28</v>
      </c>
      <c r="I2015" s="6" t="str">
        <f>VLOOKUP(H2015,'Flow Location'!$A$1:$B$21,2,FALSE)</f>
        <v>Storm Sewer (not contained)</v>
      </c>
      <c r="J2015" s="28">
        <v>598.0</v>
      </c>
      <c r="K2015" s="23" t="s">
        <v>29</v>
      </c>
      <c r="L2015" s="6" t="str">
        <f>VLOOKUP(K2015,'Structure type'!$A$1:$B$15,2,FALSE)</f>
        <v>Manhole</v>
      </c>
      <c r="M2015" s="23" t="s">
        <v>3239</v>
      </c>
      <c r="N2015" s="6" t="str">
        <f>VLOOKUP(M2015,'Excursion Cause'!$A$1:$B$34,2,FALSE)</f>
        <v>Collection system temporary blockage</v>
      </c>
      <c r="O2015" s="29">
        <v>44904.0</v>
      </c>
      <c r="P2015" s="30">
        <v>0.6152777777777778</v>
      </c>
      <c r="Q2015" s="29">
        <v>44904.0</v>
      </c>
      <c r="R2015" s="30">
        <v>0.8229166666666666</v>
      </c>
      <c r="S2015" s="28">
        <v>2.0</v>
      </c>
      <c r="T2015" s="23" t="s">
        <v>33</v>
      </c>
      <c r="U2015" s="6"/>
      <c r="V2015" s="6"/>
      <c r="W2015" s="23">
        <v>29.7106453</v>
      </c>
      <c r="X2015" s="23">
        <v>-95.3937915</v>
      </c>
    </row>
    <row r="2016" ht="15.75" customHeight="1">
      <c r="A2016" s="23">
        <v>50283.0</v>
      </c>
      <c r="B2016" s="6">
        <v>2022.0</v>
      </c>
      <c r="C2016" s="6" t="str">
        <f t="shared" si="7"/>
        <v>3504 DAIRY ASHFORD RD,Houston,TX</v>
      </c>
      <c r="D2016" s="23" t="s">
        <v>969</v>
      </c>
      <c r="E2016" s="6" t="s">
        <v>25</v>
      </c>
      <c r="F2016" s="6" t="s">
        <v>1388</v>
      </c>
      <c r="G2016" s="6" t="s">
        <v>313</v>
      </c>
      <c r="H2016" s="23" t="s">
        <v>28</v>
      </c>
      <c r="I2016" s="6" t="str">
        <f>VLOOKUP(H2016,'Flow Location'!$A$1:$B$21,2,FALSE)</f>
        <v>Storm Sewer (not contained)</v>
      </c>
      <c r="J2016" s="28">
        <v>9757.0</v>
      </c>
      <c r="K2016" s="23" t="s">
        <v>29</v>
      </c>
      <c r="L2016" s="6" t="str">
        <f>VLOOKUP(K2016,'Structure type'!$A$1:$B$15,2,FALSE)</f>
        <v>Manhole</v>
      </c>
      <c r="M2016" s="23" t="s">
        <v>30</v>
      </c>
      <c r="N2016" s="6" t="str">
        <f>VLOOKUP(M2016,'Excursion Cause'!$A$1:$B$34,2,FALSE)</f>
        <v>Grease Blockage</v>
      </c>
      <c r="O2016" s="29">
        <v>44904.0</v>
      </c>
      <c r="P2016" s="30">
        <v>0.6409722222222223</v>
      </c>
      <c r="Q2016" s="29">
        <v>44911.0</v>
      </c>
      <c r="R2016" s="30">
        <v>0.4166666666666667</v>
      </c>
      <c r="S2016" s="28">
        <v>1.0</v>
      </c>
      <c r="T2016" s="23" t="s">
        <v>33</v>
      </c>
      <c r="U2016" s="6"/>
      <c r="V2016" s="6"/>
      <c r="W2016" s="23">
        <v>29.7234257</v>
      </c>
      <c r="X2016" s="23">
        <v>-95.6056347</v>
      </c>
    </row>
    <row r="2017" ht="15.75" customHeight="1">
      <c r="A2017" s="23">
        <v>50290.0</v>
      </c>
      <c r="B2017" s="6">
        <v>2022.0</v>
      </c>
      <c r="C2017" s="6" t="str">
        <f t="shared" si="7"/>
        <v>4023 HEATHERBLOOM DR,Houston,TX</v>
      </c>
      <c r="D2017" s="23" t="s">
        <v>3402</v>
      </c>
      <c r="E2017" s="6" t="s">
        <v>25</v>
      </c>
      <c r="F2017" s="6" t="s">
        <v>1388</v>
      </c>
      <c r="G2017" s="6" t="s">
        <v>39</v>
      </c>
      <c r="H2017" s="23" t="s">
        <v>50</v>
      </c>
      <c r="I2017" s="6" t="str">
        <f>VLOOKUP(H2017,'Flow Location'!$A$1:$B$21,2,FALSE)</f>
        <v>Contained On Site, not within 5 ft. of Bayou/Surface Water/Drainage Ditch</v>
      </c>
      <c r="J2017" s="28">
        <v>0.0</v>
      </c>
      <c r="K2017" s="23" t="s">
        <v>45</v>
      </c>
      <c r="L2017" s="6" t="str">
        <f>VLOOKUP(K2017,'Structure type'!$A$1:$B$15,2,FALSE)</f>
        <v>City Cleanout</v>
      </c>
      <c r="M2017" s="23" t="s">
        <v>56</v>
      </c>
      <c r="N2017" s="6" t="str">
        <f>VLOOKUP(M2017,'Excursion Cause'!$A$1:$B$34,2,FALSE)</f>
        <v>Rags/Wipes</v>
      </c>
      <c r="O2017" s="29">
        <v>44904.0</v>
      </c>
      <c r="P2017" s="30">
        <v>0.43472222222222223</v>
      </c>
      <c r="Q2017" s="29">
        <v>44904.0</v>
      </c>
      <c r="R2017" s="30">
        <v>0.4354166666666667</v>
      </c>
      <c r="S2017" s="28">
        <v>0.0</v>
      </c>
      <c r="T2017" s="23" t="s">
        <v>170</v>
      </c>
      <c r="U2017" s="6"/>
      <c r="V2017" s="6"/>
      <c r="W2017" s="23">
        <v>29.6230512</v>
      </c>
      <c r="X2017" s="23">
        <v>-95.437558</v>
      </c>
    </row>
    <row r="2018" ht="15.75" customHeight="1">
      <c r="A2018" s="23">
        <v>50291.0</v>
      </c>
      <c r="B2018" s="6">
        <v>2022.0</v>
      </c>
      <c r="C2018" s="6" t="str">
        <f t="shared" si="7"/>
        <v>7972 RAVENWOOD CIR,Houston,TX</v>
      </c>
      <c r="D2018" s="23" t="s">
        <v>3403</v>
      </c>
      <c r="E2018" s="6" t="s">
        <v>25</v>
      </c>
      <c r="F2018" s="6" t="s">
        <v>1388</v>
      </c>
      <c r="G2018" s="6" t="s">
        <v>27</v>
      </c>
      <c r="H2018" s="23" t="s">
        <v>28</v>
      </c>
      <c r="I2018" s="6" t="str">
        <f>VLOOKUP(H2018,'Flow Location'!$A$1:$B$21,2,FALSE)</f>
        <v>Storm Sewer (not contained)</v>
      </c>
      <c r="J2018" s="28">
        <v>121.0</v>
      </c>
      <c r="K2018" s="23" t="s">
        <v>29</v>
      </c>
      <c r="L2018" s="6" t="str">
        <f>VLOOKUP(K2018,'Structure type'!$A$1:$B$15,2,FALSE)</f>
        <v>Manhole</v>
      </c>
      <c r="M2018" s="23" t="s">
        <v>30</v>
      </c>
      <c r="N2018" s="6" t="str">
        <f>VLOOKUP(M2018,'Excursion Cause'!$A$1:$B$34,2,FALSE)</f>
        <v>Grease Blockage</v>
      </c>
      <c r="O2018" s="29">
        <v>44905.0</v>
      </c>
      <c r="P2018" s="30">
        <v>0.4111111111111111</v>
      </c>
      <c r="Q2018" s="29">
        <v>44905.0</v>
      </c>
      <c r="R2018" s="30">
        <v>0.4951388888888889</v>
      </c>
      <c r="S2018" s="28">
        <v>1.0</v>
      </c>
      <c r="T2018" s="23" t="s">
        <v>59</v>
      </c>
      <c r="U2018" s="6"/>
      <c r="V2018" s="6"/>
      <c r="W2018" s="23">
        <v>29.8076936</v>
      </c>
      <c r="X2018" s="23">
        <v>-95.4856255</v>
      </c>
    </row>
    <row r="2019" ht="15.75" customHeight="1">
      <c r="A2019" s="23">
        <v>50293.0</v>
      </c>
      <c r="B2019" s="6">
        <v>2022.0</v>
      </c>
      <c r="C2019" s="6" t="str">
        <f t="shared" si="7"/>
        <v>6125 COLLINGSWORTH ST,Houston,TX</v>
      </c>
      <c r="D2019" s="23" t="s">
        <v>3404</v>
      </c>
      <c r="E2019" s="6" t="s">
        <v>25</v>
      </c>
      <c r="F2019" s="6" t="s">
        <v>1388</v>
      </c>
      <c r="G2019" s="6" t="s">
        <v>43</v>
      </c>
      <c r="H2019" s="23" t="s">
        <v>50</v>
      </c>
      <c r="I2019" s="6" t="str">
        <f>VLOOKUP(H2019,'Flow Location'!$A$1:$B$21,2,FALSE)</f>
        <v>Contained On Site, not within 5 ft. of Bayou/Surface Water/Drainage Ditch</v>
      </c>
      <c r="J2019" s="28">
        <v>0.0</v>
      </c>
      <c r="K2019" s="23" t="s">
        <v>51</v>
      </c>
      <c r="L2019" s="6" t="str">
        <f>VLOOKUP(K2019,'Structure type'!$A$1:$B$15,2,FALSE)</f>
        <v>Private Cleanout</v>
      </c>
      <c r="M2019" s="23" t="s">
        <v>30</v>
      </c>
      <c r="N2019" s="6" t="str">
        <f>VLOOKUP(M2019,'Excursion Cause'!$A$1:$B$34,2,FALSE)</f>
        <v>Grease Blockage</v>
      </c>
      <c r="O2019" s="29">
        <v>44905.0</v>
      </c>
      <c r="P2019" s="30">
        <v>0.5569444444444445</v>
      </c>
      <c r="Q2019" s="29">
        <v>44905.0</v>
      </c>
      <c r="R2019" s="30">
        <v>0.5576388888888889</v>
      </c>
      <c r="S2019" s="28">
        <v>0.0</v>
      </c>
      <c r="T2019" s="23" t="s">
        <v>59</v>
      </c>
      <c r="U2019" s="6"/>
      <c r="V2019" s="6"/>
      <c r="W2019" s="23">
        <v>29.7947875</v>
      </c>
      <c r="X2019" s="23">
        <v>-95.3083255</v>
      </c>
    </row>
    <row r="2020" ht="15.75" customHeight="1">
      <c r="A2020" s="23">
        <v>50294.0</v>
      </c>
      <c r="B2020" s="6">
        <v>2022.0</v>
      </c>
      <c r="C2020" s="6" t="str">
        <f t="shared" si="7"/>
        <v>6720 DE MOSS DR,Houston,TX</v>
      </c>
      <c r="D2020" s="23" t="s">
        <v>3405</v>
      </c>
      <c r="E2020" s="6" t="s">
        <v>25</v>
      </c>
      <c r="F2020" s="6" t="s">
        <v>1388</v>
      </c>
      <c r="G2020" s="6" t="s">
        <v>471</v>
      </c>
      <c r="H2020" s="23" t="s">
        <v>28</v>
      </c>
      <c r="I2020" s="6" t="str">
        <f>VLOOKUP(H2020,'Flow Location'!$A$1:$B$21,2,FALSE)</f>
        <v>Storm Sewer (not contained)</v>
      </c>
      <c r="J2020" s="28">
        <v>228.0</v>
      </c>
      <c r="K2020" s="23" t="s">
        <v>29</v>
      </c>
      <c r="L2020" s="6" t="str">
        <f>VLOOKUP(K2020,'Structure type'!$A$1:$B$15,2,FALSE)</f>
        <v>Manhole</v>
      </c>
      <c r="M2020" s="23" t="s">
        <v>56</v>
      </c>
      <c r="N2020" s="6" t="str">
        <f>VLOOKUP(M2020,'Excursion Cause'!$A$1:$B$34,2,FALSE)</f>
        <v>Rags/Wipes</v>
      </c>
      <c r="O2020" s="29">
        <v>44905.0</v>
      </c>
      <c r="P2020" s="30">
        <v>0.6111111111111112</v>
      </c>
      <c r="Q2020" s="29">
        <v>44905.0</v>
      </c>
      <c r="R2020" s="30">
        <v>0.65625</v>
      </c>
      <c r="S2020" s="28">
        <v>4.0</v>
      </c>
      <c r="T2020" s="23" t="s">
        <v>59</v>
      </c>
      <c r="U2020" s="6"/>
      <c r="V2020" s="6"/>
      <c r="W2020" s="23">
        <v>29.7073837</v>
      </c>
      <c r="X2020" s="23">
        <v>-95.5013968</v>
      </c>
    </row>
    <row r="2021" ht="15.75" customHeight="1">
      <c r="A2021" s="23">
        <v>50297.0</v>
      </c>
      <c r="B2021" s="6">
        <v>2022.0</v>
      </c>
      <c r="C2021" s="6" t="str">
        <f t="shared" si="7"/>
        <v>13310 GERRARDS CROSS DR,Houston,TX</v>
      </c>
      <c r="D2021" s="23" t="s">
        <v>3406</v>
      </c>
      <c r="E2021" s="6" t="s">
        <v>25</v>
      </c>
      <c r="F2021" s="6" t="s">
        <v>1388</v>
      </c>
      <c r="G2021" s="6" t="s">
        <v>313</v>
      </c>
      <c r="H2021" s="23" t="s">
        <v>28</v>
      </c>
      <c r="I2021" s="6" t="str">
        <f>VLOOKUP(H2021,'Flow Location'!$A$1:$B$21,2,FALSE)</f>
        <v>Storm Sewer (not contained)</v>
      </c>
      <c r="J2021" s="28">
        <v>0.0</v>
      </c>
      <c r="K2021" s="23" t="s">
        <v>29</v>
      </c>
      <c r="L2021" s="6" t="str">
        <f>VLOOKUP(K2021,'Structure type'!$A$1:$B$15,2,FALSE)</f>
        <v>Manhole</v>
      </c>
      <c r="M2021" s="23" t="s">
        <v>30</v>
      </c>
      <c r="N2021" s="6" t="str">
        <f>VLOOKUP(M2021,'Excursion Cause'!$A$1:$B$34,2,FALSE)</f>
        <v>Grease Blockage</v>
      </c>
      <c r="O2021" s="29">
        <v>44906.0</v>
      </c>
      <c r="P2021" s="30">
        <v>0.5125</v>
      </c>
      <c r="Q2021" s="29">
        <v>44906.0</v>
      </c>
      <c r="R2021" s="30">
        <v>0.5131944444444444</v>
      </c>
      <c r="S2021" s="28">
        <v>0.0</v>
      </c>
      <c r="T2021" s="23" t="s">
        <v>59</v>
      </c>
      <c r="U2021" s="6"/>
      <c r="V2021" s="6"/>
      <c r="W2021" s="23">
        <v>29.7201818</v>
      </c>
      <c r="X2021" s="23">
        <v>-95.6211286</v>
      </c>
    </row>
    <row r="2022" ht="15.75" customHeight="1">
      <c r="A2022" s="23">
        <v>50301.0</v>
      </c>
      <c r="B2022" s="6">
        <v>2022.0</v>
      </c>
      <c r="C2022" s="6" t="str">
        <f t="shared" si="7"/>
        <v>4701 CLINTON DR,Houston,TX</v>
      </c>
      <c r="D2022" s="23" t="s">
        <v>3407</v>
      </c>
      <c r="E2022" s="6" t="s">
        <v>25</v>
      </c>
      <c r="F2022" s="6" t="s">
        <v>1388</v>
      </c>
      <c r="G2022" s="6" t="s">
        <v>86</v>
      </c>
      <c r="H2022" s="23" t="s">
        <v>50</v>
      </c>
      <c r="I2022" s="6" t="str">
        <f>VLOOKUP(H2022,'Flow Location'!$A$1:$B$21,2,FALSE)</f>
        <v>Contained On Site, not within 5 ft. of Bayou/Surface Water/Drainage Ditch</v>
      </c>
      <c r="J2022" s="28">
        <v>0.0</v>
      </c>
      <c r="K2022" s="23" t="s">
        <v>45</v>
      </c>
      <c r="L2022" s="6" t="str">
        <f>VLOOKUP(K2022,'Structure type'!$A$1:$B$15,2,FALSE)</f>
        <v>City Cleanout</v>
      </c>
      <c r="M2022" s="23" t="s">
        <v>56</v>
      </c>
      <c r="N2022" s="6" t="str">
        <f>VLOOKUP(M2022,'Excursion Cause'!$A$1:$B$34,2,FALSE)</f>
        <v>Rags/Wipes</v>
      </c>
      <c r="O2022" s="29">
        <v>44906.0</v>
      </c>
      <c r="P2022" s="30">
        <v>0.6236111111111111</v>
      </c>
      <c r="Q2022" s="29">
        <v>44906.0</v>
      </c>
      <c r="R2022" s="30">
        <v>0.6243055555555556</v>
      </c>
      <c r="S2022" s="28">
        <v>0.0</v>
      </c>
      <c r="T2022" s="23" t="s">
        <v>170</v>
      </c>
      <c r="U2022" s="6"/>
      <c r="V2022" s="6"/>
      <c r="W2022" s="23">
        <v>29.7657513</v>
      </c>
      <c r="X2022" s="23">
        <v>-95.3227494</v>
      </c>
    </row>
    <row r="2023" ht="15.75" customHeight="1">
      <c r="A2023" s="23">
        <v>50302.0</v>
      </c>
      <c r="B2023" s="6">
        <v>2022.0</v>
      </c>
      <c r="C2023" s="6" t="str">
        <f t="shared" si="7"/>
        <v>4902 LYONS AVE,Houston,TX</v>
      </c>
      <c r="D2023" s="23" t="s">
        <v>3408</v>
      </c>
      <c r="E2023" s="6" t="s">
        <v>25</v>
      </c>
      <c r="F2023" s="6" t="s">
        <v>1388</v>
      </c>
      <c r="G2023" s="6" t="s">
        <v>86</v>
      </c>
      <c r="H2023" s="23" t="s">
        <v>50</v>
      </c>
      <c r="I2023" s="6" t="str">
        <f>VLOOKUP(H2023,'Flow Location'!$A$1:$B$21,2,FALSE)</f>
        <v>Contained On Site, not within 5 ft. of Bayou/Surface Water/Drainage Ditch</v>
      </c>
      <c r="J2023" s="28">
        <v>0.0</v>
      </c>
      <c r="K2023" s="23" t="s">
        <v>45</v>
      </c>
      <c r="L2023" s="6" t="str">
        <f>VLOOKUP(K2023,'Structure type'!$A$1:$B$15,2,FALSE)</f>
        <v>City Cleanout</v>
      </c>
      <c r="M2023" s="23" t="s">
        <v>56</v>
      </c>
      <c r="N2023" s="6" t="str">
        <f>VLOOKUP(M2023,'Excursion Cause'!$A$1:$B$34,2,FALSE)</f>
        <v>Rags/Wipes</v>
      </c>
      <c r="O2023" s="29">
        <v>44906.0</v>
      </c>
      <c r="P2023" s="30">
        <v>0.6486111111111111</v>
      </c>
      <c r="Q2023" s="29">
        <v>44906.0</v>
      </c>
      <c r="R2023" s="30">
        <v>0.6493055555555556</v>
      </c>
      <c r="S2023" s="28">
        <v>0.0</v>
      </c>
      <c r="T2023" s="23" t="s">
        <v>74</v>
      </c>
      <c r="U2023" s="6"/>
      <c r="V2023" s="6"/>
      <c r="W2023" s="23">
        <v>29.7760334</v>
      </c>
      <c r="X2023" s="23">
        <v>-95.320926</v>
      </c>
    </row>
    <row r="2024" ht="15.75" customHeight="1">
      <c r="A2024" s="23">
        <v>50303.0</v>
      </c>
      <c r="B2024" s="6">
        <v>2022.0</v>
      </c>
      <c r="C2024" s="6" t="str">
        <f t="shared" si="7"/>
        <v>5715 GARDEN POINT DR,Houston,TX</v>
      </c>
      <c r="D2024" s="23" t="s">
        <v>3409</v>
      </c>
      <c r="E2024" s="6" t="s">
        <v>25</v>
      </c>
      <c r="F2024" s="6" t="s">
        <v>1388</v>
      </c>
      <c r="G2024" s="6" t="s">
        <v>555</v>
      </c>
      <c r="H2024" s="23" t="s">
        <v>50</v>
      </c>
      <c r="I2024" s="6" t="str">
        <f>VLOOKUP(H2024,'Flow Location'!$A$1:$B$21,2,FALSE)</f>
        <v>Contained On Site, not within 5 ft. of Bayou/Surface Water/Drainage Ditch</v>
      </c>
      <c r="J2024" s="28">
        <v>300.0</v>
      </c>
      <c r="K2024" s="23" t="s">
        <v>51</v>
      </c>
      <c r="L2024" s="6" t="str">
        <f>VLOOKUP(K2024,'Structure type'!$A$1:$B$15,2,FALSE)</f>
        <v>Private Cleanout</v>
      </c>
      <c r="M2024" s="23" t="s">
        <v>81</v>
      </c>
      <c r="N2024" s="6" t="str">
        <f>VLOOKUP(M2024,'Excursion Cause'!$A$1:$B$34,2,FALSE)</f>
        <v>Collection system structural failure</v>
      </c>
      <c r="O2024" s="29">
        <v>44906.0</v>
      </c>
      <c r="P2024" s="30">
        <v>0.6666666666666666</v>
      </c>
      <c r="Q2024" s="29">
        <v>44906.0</v>
      </c>
      <c r="R2024" s="30">
        <v>0.75</v>
      </c>
      <c r="S2024" s="28">
        <v>3.0</v>
      </c>
      <c r="T2024" s="23" t="s">
        <v>54</v>
      </c>
      <c r="U2024" s="6"/>
      <c r="V2024" s="6"/>
      <c r="W2024" s="23">
        <v>30.0531551</v>
      </c>
      <c r="X2024" s="23">
        <v>-95.1597833</v>
      </c>
    </row>
    <row r="2025" ht="15.75" customHeight="1">
      <c r="A2025" s="23">
        <v>50306.0</v>
      </c>
      <c r="B2025" s="6">
        <v>2022.0</v>
      </c>
      <c r="C2025" s="6" t="str">
        <f t="shared" si="7"/>
        <v>15280 CHIPMAN LN,Houston,TX</v>
      </c>
      <c r="D2025" s="23" t="s">
        <v>3410</v>
      </c>
      <c r="E2025" s="6" t="s">
        <v>25</v>
      </c>
      <c r="F2025" s="6" t="s">
        <v>1388</v>
      </c>
      <c r="G2025" s="6" t="s">
        <v>393</v>
      </c>
      <c r="H2025" s="23" t="s">
        <v>28</v>
      </c>
      <c r="I2025" s="6" t="str">
        <f>VLOOKUP(H2025,'Flow Location'!$A$1:$B$21,2,FALSE)</f>
        <v>Storm Sewer (not contained)</v>
      </c>
      <c r="J2025" s="28">
        <v>441.0</v>
      </c>
      <c r="K2025" s="23" t="s">
        <v>29</v>
      </c>
      <c r="L2025" s="6" t="str">
        <f>VLOOKUP(K2025,'Structure type'!$A$1:$B$15,2,FALSE)</f>
        <v>Manhole</v>
      </c>
      <c r="M2025" s="23" t="s">
        <v>30</v>
      </c>
      <c r="N2025" s="6" t="str">
        <f>VLOOKUP(M2025,'Excursion Cause'!$A$1:$B$34,2,FALSE)</f>
        <v>Grease Blockage</v>
      </c>
      <c r="O2025" s="29">
        <v>44907.0</v>
      </c>
      <c r="P2025" s="30">
        <v>0.3701388888888889</v>
      </c>
      <c r="Q2025" s="29">
        <v>44907.0</v>
      </c>
      <c r="R2025" s="30">
        <v>0.4722222222222222</v>
      </c>
      <c r="S2025" s="28">
        <v>3.0</v>
      </c>
      <c r="T2025" s="23" t="s">
        <v>59</v>
      </c>
      <c r="U2025" s="6"/>
      <c r="V2025" s="6"/>
      <c r="W2025" s="23">
        <v>29.923217</v>
      </c>
      <c r="X2025" s="23">
        <v>-95.403922</v>
      </c>
    </row>
    <row r="2026" ht="15.75" customHeight="1">
      <c r="A2026" s="23">
        <v>50309.0</v>
      </c>
      <c r="B2026" s="6">
        <v>2022.0</v>
      </c>
      <c r="C2026" s="6" t="str">
        <f t="shared" si="7"/>
        <v>2302 STATELY OAK ST,Houston,TX</v>
      </c>
      <c r="D2026" s="23" t="s">
        <v>3411</v>
      </c>
      <c r="E2026" s="6" t="s">
        <v>25</v>
      </c>
      <c r="F2026" s="6" t="s">
        <v>1388</v>
      </c>
      <c r="G2026" s="6" t="s">
        <v>555</v>
      </c>
      <c r="H2026" s="23" t="s">
        <v>50</v>
      </c>
      <c r="I2026" s="6" t="str">
        <f>VLOOKUP(H2026,'Flow Location'!$A$1:$B$21,2,FALSE)</f>
        <v>Contained On Site, not within 5 ft. of Bayou/Surface Water/Drainage Ditch</v>
      </c>
      <c r="J2026" s="28">
        <v>0.0</v>
      </c>
      <c r="K2026" s="23" t="s">
        <v>29</v>
      </c>
      <c r="L2026" s="6" t="str">
        <f>VLOOKUP(K2026,'Structure type'!$A$1:$B$15,2,FALSE)</f>
        <v>Manhole</v>
      </c>
      <c r="M2026" s="23" t="s">
        <v>764</v>
      </c>
      <c r="N2026" s="6" t="str">
        <f>VLOOKUP(M2026,'Excursion Cause'!$A$1:$B$34,2,FALSE)</f>
        <v>Power Outage</v>
      </c>
      <c r="O2026" s="29">
        <v>44906.0</v>
      </c>
      <c r="P2026" s="30">
        <v>0.4583333333333333</v>
      </c>
      <c r="Q2026" s="29">
        <v>44906.0</v>
      </c>
      <c r="R2026" s="30">
        <v>0.5</v>
      </c>
      <c r="S2026" s="28">
        <v>0.0</v>
      </c>
      <c r="T2026" s="23" t="s">
        <v>193</v>
      </c>
      <c r="U2026" s="6"/>
      <c r="V2026" s="6"/>
      <c r="W2026" s="23">
        <v>30.0553164</v>
      </c>
      <c r="X2026" s="23">
        <v>-95.1465258</v>
      </c>
    </row>
    <row r="2027" ht="15.75" customHeight="1">
      <c r="A2027" s="23">
        <v>50310.0</v>
      </c>
      <c r="B2027" s="6">
        <v>2022.0</v>
      </c>
      <c r="C2027" s="6" t="str">
        <f t="shared" si="7"/>
        <v>7402 DALLAS ST,Houston,TX</v>
      </c>
      <c r="D2027" s="23" t="s">
        <v>3412</v>
      </c>
      <c r="E2027" s="6" t="s">
        <v>25</v>
      </c>
      <c r="F2027" s="6" t="s">
        <v>1388</v>
      </c>
      <c r="G2027" s="6" t="s">
        <v>227</v>
      </c>
      <c r="H2027" s="23" t="s">
        <v>28</v>
      </c>
      <c r="I2027" s="6" t="str">
        <f>VLOOKUP(H2027,'Flow Location'!$A$1:$B$21,2,FALSE)</f>
        <v>Storm Sewer (not contained)</v>
      </c>
      <c r="J2027" s="28">
        <v>477.0</v>
      </c>
      <c r="K2027" s="23" t="s">
        <v>29</v>
      </c>
      <c r="L2027" s="6" t="str">
        <f>VLOOKUP(K2027,'Structure type'!$A$1:$B$15,2,FALSE)</f>
        <v>Manhole</v>
      </c>
      <c r="M2027" s="23" t="s">
        <v>30</v>
      </c>
      <c r="N2027" s="6" t="str">
        <f>VLOOKUP(M2027,'Excursion Cause'!$A$1:$B$34,2,FALSE)</f>
        <v>Grease Blockage</v>
      </c>
      <c r="O2027" s="29">
        <v>44907.0</v>
      </c>
      <c r="P2027" s="30">
        <v>0.44930555555555557</v>
      </c>
      <c r="Q2027" s="29">
        <v>44907.0</v>
      </c>
      <c r="R2027" s="30">
        <v>0.5597222222222222</v>
      </c>
      <c r="S2027" s="28">
        <v>3.0</v>
      </c>
      <c r="T2027" s="23" t="s">
        <v>59</v>
      </c>
      <c r="U2027" s="6"/>
      <c r="V2027" s="6"/>
      <c r="W2027" s="23">
        <v>29.7283404</v>
      </c>
      <c r="X2027" s="23">
        <v>-95.2967586</v>
      </c>
    </row>
    <row r="2028" ht="15.75" customHeight="1">
      <c r="A2028" s="23">
        <v>50311.0</v>
      </c>
      <c r="B2028" s="6">
        <v>2022.0</v>
      </c>
      <c r="C2028" s="6" t="str">
        <f t="shared" si="7"/>
        <v>7707 SIGN ST,Houston,TX</v>
      </c>
      <c r="D2028" s="23" t="s">
        <v>3413</v>
      </c>
      <c r="E2028" s="6" t="s">
        <v>25</v>
      </c>
      <c r="F2028" s="6" t="s">
        <v>1388</v>
      </c>
      <c r="G2028" s="6" t="s">
        <v>166</v>
      </c>
      <c r="H2028" s="23" t="s">
        <v>50</v>
      </c>
      <c r="I2028" s="6" t="str">
        <f>VLOOKUP(H2028,'Flow Location'!$A$1:$B$21,2,FALSE)</f>
        <v>Contained On Site, not within 5 ft. of Bayou/Surface Water/Drainage Ditch</v>
      </c>
      <c r="J2028" s="28">
        <v>310.0</v>
      </c>
      <c r="K2028" s="23" t="s">
        <v>29</v>
      </c>
      <c r="L2028" s="6" t="str">
        <f>VLOOKUP(K2028,'Structure type'!$A$1:$B$15,2,FALSE)</f>
        <v>Manhole</v>
      </c>
      <c r="M2028" s="23" t="s">
        <v>30</v>
      </c>
      <c r="N2028" s="6" t="str">
        <f>VLOOKUP(M2028,'Excursion Cause'!$A$1:$B$34,2,FALSE)</f>
        <v>Grease Blockage</v>
      </c>
      <c r="O2028" s="29">
        <v>44907.0</v>
      </c>
      <c r="P2028" s="30">
        <v>0.4618055555555556</v>
      </c>
      <c r="Q2028" s="29">
        <v>44907.0</v>
      </c>
      <c r="R2028" s="30">
        <v>0.5694444444444444</v>
      </c>
      <c r="S2028" s="28">
        <v>2.0</v>
      </c>
      <c r="T2028" s="23" t="s">
        <v>59</v>
      </c>
      <c r="U2028" s="6"/>
      <c r="V2028" s="6"/>
      <c r="W2028" s="23">
        <v>29.6032678</v>
      </c>
      <c r="X2028" s="23">
        <v>-95.5048152</v>
      </c>
    </row>
    <row r="2029" ht="15.75" customHeight="1">
      <c r="A2029" s="23">
        <v>50315.0</v>
      </c>
      <c r="B2029" s="6">
        <v>2022.0</v>
      </c>
      <c r="C2029" s="6" t="str">
        <f t="shared" si="7"/>
        <v>11621 FLEMING DR,Houston,TX</v>
      </c>
      <c r="D2029" s="23" t="s">
        <v>3414</v>
      </c>
      <c r="E2029" s="6" t="s">
        <v>25</v>
      </c>
      <c r="F2029" s="6" t="s">
        <v>1388</v>
      </c>
      <c r="G2029" s="6" t="s">
        <v>656</v>
      </c>
      <c r="H2029" s="23" t="s">
        <v>50</v>
      </c>
      <c r="I2029" s="6" t="str">
        <f>VLOOKUP(H2029,'Flow Location'!$A$1:$B$21,2,FALSE)</f>
        <v>Contained On Site, not within 5 ft. of Bayou/Surface Water/Drainage Ditch</v>
      </c>
      <c r="J2029" s="28">
        <v>0.0</v>
      </c>
      <c r="K2029" s="23" t="s">
        <v>29</v>
      </c>
      <c r="L2029" s="6" t="str">
        <f>VLOOKUP(K2029,'Structure type'!$A$1:$B$15,2,FALSE)</f>
        <v>Manhole</v>
      </c>
      <c r="M2029" s="23" t="s">
        <v>30</v>
      </c>
      <c r="N2029" s="6" t="str">
        <f>VLOOKUP(M2029,'Excursion Cause'!$A$1:$B$34,2,FALSE)</f>
        <v>Grease Blockage</v>
      </c>
      <c r="O2029" s="29">
        <v>44907.0</v>
      </c>
      <c r="P2029" s="30">
        <v>0.6152777777777778</v>
      </c>
      <c r="Q2029" s="29">
        <v>44907.0</v>
      </c>
      <c r="R2029" s="30">
        <v>0.6159722222222223</v>
      </c>
      <c r="S2029" s="28">
        <v>0.0</v>
      </c>
      <c r="T2029" s="23" t="s">
        <v>59</v>
      </c>
      <c r="U2029" s="6"/>
      <c r="V2029" s="6"/>
      <c r="W2029" s="23">
        <v>29.7762309</v>
      </c>
      <c r="X2029" s="23">
        <v>-95.2274095</v>
      </c>
    </row>
    <row r="2030" ht="15.75" customHeight="1">
      <c r="A2030" s="23">
        <v>50317.0</v>
      </c>
      <c r="B2030" s="6">
        <v>2022.0</v>
      </c>
      <c r="C2030" s="6" t="str">
        <f t="shared" si="7"/>
        <v>2933 KIRK ST,Houston,TX</v>
      </c>
      <c r="D2030" s="23" t="s">
        <v>2375</v>
      </c>
      <c r="E2030" s="6" t="s">
        <v>25</v>
      </c>
      <c r="F2030" s="6" t="s">
        <v>1388</v>
      </c>
      <c r="G2030" s="6" t="s">
        <v>43</v>
      </c>
      <c r="H2030" s="23" t="s">
        <v>28</v>
      </c>
      <c r="I2030" s="6" t="str">
        <f>VLOOKUP(H2030,'Flow Location'!$A$1:$B$21,2,FALSE)</f>
        <v>Storm Sewer (not contained)</v>
      </c>
      <c r="J2030" s="28">
        <v>0.0</v>
      </c>
      <c r="K2030" s="23" t="s">
        <v>45</v>
      </c>
      <c r="L2030" s="6" t="str">
        <f>VLOOKUP(K2030,'Structure type'!$A$1:$B$15,2,FALSE)</f>
        <v>City Cleanout</v>
      </c>
      <c r="M2030" s="23" t="s">
        <v>30</v>
      </c>
      <c r="N2030" s="6" t="str">
        <f>VLOOKUP(M2030,'Excursion Cause'!$A$1:$B$34,2,FALSE)</f>
        <v>Grease Blockage</v>
      </c>
      <c r="O2030" s="29">
        <v>44907.0</v>
      </c>
      <c r="P2030" s="30">
        <v>0.6847222222222222</v>
      </c>
      <c r="Q2030" s="29">
        <v>44907.0</v>
      </c>
      <c r="R2030" s="30">
        <v>0.6854166666666667</v>
      </c>
      <c r="S2030" s="28">
        <v>0.0</v>
      </c>
      <c r="T2030" s="23" t="s">
        <v>74</v>
      </c>
      <c r="U2030" s="6"/>
      <c r="V2030" s="6"/>
      <c r="W2030" s="23">
        <v>29.7879341</v>
      </c>
      <c r="X2030" s="23">
        <v>-95.3268142</v>
      </c>
    </row>
    <row r="2031" ht="15.75" customHeight="1">
      <c r="A2031" s="23">
        <v>50319.0</v>
      </c>
      <c r="B2031" s="6">
        <v>2022.0</v>
      </c>
      <c r="C2031" s="6" t="str">
        <f t="shared" si="7"/>
        <v>4925 OAKLAND ST,Houston,TX</v>
      </c>
      <c r="D2031" s="23" t="s">
        <v>3415</v>
      </c>
      <c r="E2031" s="6" t="s">
        <v>25</v>
      </c>
      <c r="F2031" s="6" t="s">
        <v>1388</v>
      </c>
      <c r="G2031" s="6" t="s">
        <v>141</v>
      </c>
      <c r="H2031" s="23" t="s">
        <v>50</v>
      </c>
      <c r="I2031" s="6" t="str">
        <f>VLOOKUP(H2031,'Flow Location'!$A$1:$B$21,2,FALSE)</f>
        <v>Contained On Site, not within 5 ft. of Bayou/Surface Water/Drainage Ditch</v>
      </c>
      <c r="J2031" s="28">
        <v>0.0</v>
      </c>
      <c r="K2031" s="23" t="s">
        <v>198</v>
      </c>
      <c r="L2031" s="6" t="str">
        <f>VLOOKUP(K2031,'Structure type'!$A$1:$B$15,2,FALSE)</f>
        <v>Service Lateral</v>
      </c>
      <c r="M2031" s="23" t="s">
        <v>81</v>
      </c>
      <c r="N2031" s="6" t="str">
        <f>VLOOKUP(M2031,'Excursion Cause'!$A$1:$B$34,2,FALSE)</f>
        <v>Collection system structural failure</v>
      </c>
      <c r="O2031" s="29">
        <v>44908.0</v>
      </c>
      <c r="P2031" s="30">
        <v>0.33541666666666664</v>
      </c>
      <c r="Q2031" s="29">
        <v>44908.0</v>
      </c>
      <c r="R2031" s="30">
        <v>0.33611111111111114</v>
      </c>
      <c r="S2031" s="28">
        <v>0.0</v>
      </c>
      <c r="T2031" s="23" t="s">
        <v>118</v>
      </c>
      <c r="U2031" s="6"/>
      <c r="V2031" s="6"/>
      <c r="W2031" s="23">
        <v>29.7369175</v>
      </c>
      <c r="X2031" s="23">
        <v>-95.3271172</v>
      </c>
    </row>
    <row r="2032" ht="15.75" customHeight="1">
      <c r="A2032" s="23">
        <v>50321.0</v>
      </c>
      <c r="B2032" s="6">
        <v>2022.0</v>
      </c>
      <c r="C2032" s="6" t="str">
        <f t="shared" si="7"/>
        <v>1811 CALUMET ST,Houston,TX</v>
      </c>
      <c r="D2032" s="23" t="s">
        <v>3416</v>
      </c>
      <c r="E2032" s="6" t="s">
        <v>25</v>
      </c>
      <c r="F2032" s="6" t="s">
        <v>1388</v>
      </c>
      <c r="G2032" s="6" t="s">
        <v>308</v>
      </c>
      <c r="H2032" s="23" t="s">
        <v>50</v>
      </c>
      <c r="I2032" s="6" t="str">
        <f>VLOOKUP(H2032,'Flow Location'!$A$1:$B$21,2,FALSE)</f>
        <v>Contained On Site, not within 5 ft. of Bayou/Surface Water/Drainage Ditch</v>
      </c>
      <c r="J2032" s="28">
        <v>0.0</v>
      </c>
      <c r="K2032" s="23" t="s">
        <v>45</v>
      </c>
      <c r="L2032" s="6" t="str">
        <f>VLOOKUP(K2032,'Structure type'!$A$1:$B$15,2,FALSE)</f>
        <v>City Cleanout</v>
      </c>
      <c r="M2032" s="23" t="s">
        <v>30</v>
      </c>
      <c r="N2032" s="6" t="str">
        <f>VLOOKUP(M2032,'Excursion Cause'!$A$1:$B$34,2,FALSE)</f>
        <v>Grease Blockage</v>
      </c>
      <c r="O2032" s="29">
        <v>44907.0</v>
      </c>
      <c r="P2032" s="30">
        <v>0.5166666666666667</v>
      </c>
      <c r="Q2032" s="29">
        <v>44907.0</v>
      </c>
      <c r="R2032" s="30">
        <v>0.5173611111111112</v>
      </c>
      <c r="S2032" s="28">
        <v>0.0</v>
      </c>
      <c r="T2032" s="23" t="s">
        <v>74</v>
      </c>
      <c r="U2032" s="6"/>
      <c r="V2032" s="6"/>
      <c r="W2032" s="23">
        <v>29.7224311</v>
      </c>
      <c r="X2032" s="23">
        <v>-95.3814025</v>
      </c>
    </row>
    <row r="2033" ht="15.75" customHeight="1">
      <c r="A2033" s="23">
        <v>50323.0</v>
      </c>
      <c r="B2033" s="6">
        <v>2022.0</v>
      </c>
      <c r="C2033" s="6" t="str">
        <f t="shared" si="7"/>
        <v>4809 BEECHAVEN DR,Houston,TX</v>
      </c>
      <c r="D2033" s="23" t="s">
        <v>3365</v>
      </c>
      <c r="E2033" s="6" t="s">
        <v>25</v>
      </c>
      <c r="F2033" s="6" t="s">
        <v>1388</v>
      </c>
      <c r="G2033" s="6" t="s">
        <v>517</v>
      </c>
      <c r="H2033" s="23" t="s">
        <v>50</v>
      </c>
      <c r="I2033" s="6" t="str">
        <f>VLOOKUP(H2033,'Flow Location'!$A$1:$B$21,2,FALSE)</f>
        <v>Contained On Site, not within 5 ft. of Bayou/Surface Water/Drainage Ditch</v>
      </c>
      <c r="J2033" s="28">
        <v>0.0</v>
      </c>
      <c r="K2033" s="23" t="s">
        <v>45</v>
      </c>
      <c r="L2033" s="6" t="str">
        <f>VLOOKUP(K2033,'Structure type'!$A$1:$B$15,2,FALSE)</f>
        <v>City Cleanout</v>
      </c>
      <c r="M2033" s="23" t="s">
        <v>56</v>
      </c>
      <c r="N2033" s="6" t="str">
        <f>VLOOKUP(M2033,'Excursion Cause'!$A$1:$B$34,2,FALSE)</f>
        <v>Rags/Wipes</v>
      </c>
      <c r="O2033" s="29">
        <v>44908.0</v>
      </c>
      <c r="P2033" s="30">
        <v>0.5284722222222222</v>
      </c>
      <c r="Q2033" s="29">
        <v>44908.0</v>
      </c>
      <c r="R2033" s="30">
        <v>0.5291666666666667</v>
      </c>
      <c r="S2033" s="28">
        <v>0.0</v>
      </c>
      <c r="T2033" s="23" t="s">
        <v>74</v>
      </c>
      <c r="U2033" s="6"/>
      <c r="V2033" s="6"/>
      <c r="W2033" s="23">
        <v>29.591858</v>
      </c>
      <c r="X2033" s="23">
        <v>-95.4518299</v>
      </c>
    </row>
    <row r="2034" ht="15.75" customHeight="1">
      <c r="A2034" s="23">
        <v>50324.0</v>
      </c>
      <c r="B2034" s="6">
        <v>2022.0</v>
      </c>
      <c r="C2034" s="6" t="str">
        <f t="shared" si="7"/>
        <v>803 STANFORD ST,Houston,TX</v>
      </c>
      <c r="D2034" s="23" t="s">
        <v>3417</v>
      </c>
      <c r="E2034" s="6" t="s">
        <v>25</v>
      </c>
      <c r="F2034" s="6" t="s">
        <v>1388</v>
      </c>
      <c r="G2034" s="6" t="s">
        <v>80</v>
      </c>
      <c r="H2034" s="23" t="s">
        <v>1977</v>
      </c>
      <c r="I2034" s="6" t="str">
        <f>VLOOKUP(H2034,'Flow Location'!$A$1:$B$21,2,FALSE)</f>
        <v>Bayou/surface water/drainage ditch</v>
      </c>
      <c r="J2034" s="28">
        <v>90.0</v>
      </c>
      <c r="K2034" s="23" t="s">
        <v>45</v>
      </c>
      <c r="L2034" s="6" t="str">
        <f>VLOOKUP(K2034,'Structure type'!$A$1:$B$15,2,FALSE)</f>
        <v>City Cleanout</v>
      </c>
      <c r="M2034" s="23" t="s">
        <v>30</v>
      </c>
      <c r="N2034" s="6" t="str">
        <f>VLOOKUP(M2034,'Excursion Cause'!$A$1:$B$34,2,FALSE)</f>
        <v>Grease Blockage</v>
      </c>
      <c r="O2034" s="29">
        <v>44908.0</v>
      </c>
      <c r="P2034" s="30">
        <v>0.5625</v>
      </c>
      <c r="Q2034" s="29">
        <v>44908.0</v>
      </c>
      <c r="R2034" s="30">
        <v>0.625</v>
      </c>
      <c r="S2034" s="28">
        <v>1.0</v>
      </c>
      <c r="T2034" s="23" t="s">
        <v>59</v>
      </c>
      <c r="U2034" s="6"/>
      <c r="V2034" s="6"/>
      <c r="W2034" s="23">
        <v>29.7587679</v>
      </c>
      <c r="X2034" s="23">
        <v>-95.3890414</v>
      </c>
    </row>
    <row r="2035" ht="15.75" customHeight="1">
      <c r="A2035" s="23">
        <v>50327.0</v>
      </c>
      <c r="B2035" s="6">
        <v>2022.0</v>
      </c>
      <c r="C2035" s="6" t="str">
        <f t="shared" si="7"/>
        <v>8603 LOMAX ST,Houston,TX</v>
      </c>
      <c r="D2035" s="23" t="s">
        <v>3418</v>
      </c>
      <c r="E2035" s="6" t="s">
        <v>25</v>
      </c>
      <c r="F2035" s="6" t="s">
        <v>1388</v>
      </c>
      <c r="G2035" s="6" t="s">
        <v>109</v>
      </c>
      <c r="H2035" s="23" t="s">
        <v>50</v>
      </c>
      <c r="I2035" s="6" t="str">
        <f>VLOOKUP(H2035,'Flow Location'!$A$1:$B$21,2,FALSE)</f>
        <v>Contained On Site, not within 5 ft. of Bayou/Surface Water/Drainage Ditch</v>
      </c>
      <c r="J2035" s="28">
        <v>0.0</v>
      </c>
      <c r="K2035" s="23" t="s">
        <v>45</v>
      </c>
      <c r="L2035" s="6" t="str">
        <f>VLOOKUP(K2035,'Structure type'!$A$1:$B$15,2,FALSE)</f>
        <v>City Cleanout</v>
      </c>
      <c r="M2035" s="23" t="s">
        <v>56</v>
      </c>
      <c r="N2035" s="6" t="str">
        <f>VLOOKUP(M2035,'Excursion Cause'!$A$1:$B$34,2,FALSE)</f>
        <v>Rags/Wipes</v>
      </c>
      <c r="O2035" s="29">
        <v>44910.0</v>
      </c>
      <c r="P2035" s="30">
        <v>0.4652777777777778</v>
      </c>
      <c r="Q2035" s="29">
        <v>44910.0</v>
      </c>
      <c r="R2035" s="30">
        <v>0.46597222222222223</v>
      </c>
      <c r="S2035" s="28">
        <v>0.0</v>
      </c>
      <c r="T2035" s="23" t="s">
        <v>74</v>
      </c>
      <c r="U2035" s="6"/>
      <c r="V2035" s="6"/>
      <c r="W2035" s="23">
        <v>29.8380181</v>
      </c>
      <c r="X2035" s="23">
        <v>-95.3482254</v>
      </c>
    </row>
    <row r="2036" ht="15.75" customHeight="1">
      <c r="A2036" s="23">
        <v>50332.0</v>
      </c>
      <c r="B2036" s="6">
        <v>2022.0</v>
      </c>
      <c r="C2036" s="6" t="str">
        <f t="shared" si="7"/>
        <v>8307 ROSWELL ST,Houston,TX</v>
      </c>
      <c r="D2036" s="23" t="s">
        <v>652</v>
      </c>
      <c r="E2036" s="6" t="s">
        <v>25</v>
      </c>
      <c r="F2036" s="6" t="s">
        <v>1388</v>
      </c>
      <c r="G2036" s="6" t="s">
        <v>653</v>
      </c>
      <c r="H2036" s="23" t="s">
        <v>28</v>
      </c>
      <c r="I2036" s="6" t="str">
        <f>VLOOKUP(H2036,'Flow Location'!$A$1:$B$21,2,FALSE)</f>
        <v>Storm Sewer (not contained)</v>
      </c>
      <c r="J2036" s="28">
        <v>0.0</v>
      </c>
      <c r="K2036" s="23" t="s">
        <v>51</v>
      </c>
      <c r="L2036" s="6" t="str">
        <f>VLOOKUP(K2036,'Structure type'!$A$1:$B$15,2,FALSE)</f>
        <v>Private Cleanout</v>
      </c>
      <c r="M2036" s="23" t="s">
        <v>81</v>
      </c>
      <c r="N2036" s="6" t="str">
        <f>VLOOKUP(M2036,'Excursion Cause'!$A$1:$B$34,2,FALSE)</f>
        <v>Collection system structural failure</v>
      </c>
      <c r="O2036" s="29">
        <v>44909.0</v>
      </c>
      <c r="P2036" s="30">
        <v>0.3659722222222222</v>
      </c>
      <c r="Q2036" s="29">
        <v>44909.0</v>
      </c>
      <c r="R2036" s="30">
        <v>0.36666666666666664</v>
      </c>
      <c r="S2036" s="28">
        <v>0.0</v>
      </c>
      <c r="T2036" s="23" t="s">
        <v>89</v>
      </c>
      <c r="U2036" s="6"/>
      <c r="V2036" s="6"/>
      <c r="W2036" s="23">
        <v>29.8359839</v>
      </c>
      <c r="X2036" s="23">
        <v>-95.3695219</v>
      </c>
    </row>
    <row r="2037" ht="15.75" customHeight="1">
      <c r="A2037" s="23">
        <v>50336.0</v>
      </c>
      <c r="B2037" s="6">
        <v>2022.0</v>
      </c>
      <c r="C2037" s="6" t="str">
        <f t="shared" si="7"/>
        <v>11802 HILLCROFT AVE,Houston,TX</v>
      </c>
      <c r="D2037" s="23" t="s">
        <v>3419</v>
      </c>
      <c r="E2037" s="6" t="s">
        <v>25</v>
      </c>
      <c r="F2037" s="6" t="s">
        <v>1388</v>
      </c>
      <c r="G2037" s="6" t="s">
        <v>127</v>
      </c>
      <c r="H2037" s="23" t="s">
        <v>50</v>
      </c>
      <c r="I2037" s="6" t="str">
        <f>VLOOKUP(H2037,'Flow Location'!$A$1:$B$21,2,FALSE)</f>
        <v>Contained On Site, not within 5 ft. of Bayou/Surface Water/Drainage Ditch</v>
      </c>
      <c r="J2037" s="28">
        <v>0.0</v>
      </c>
      <c r="K2037" s="23" t="s">
        <v>198</v>
      </c>
      <c r="L2037" s="6" t="str">
        <f>VLOOKUP(K2037,'Structure type'!$A$1:$B$15,2,FALSE)</f>
        <v>Service Lateral</v>
      </c>
      <c r="M2037" s="23" t="s">
        <v>52</v>
      </c>
      <c r="N2037" s="6" t="str">
        <f>VLOOKUP(M2037,'Excursion Cause'!$A$1:$B$34,2,FALSE)</f>
        <v>Collection system structural blockage</v>
      </c>
      <c r="O2037" s="29">
        <v>44909.0</v>
      </c>
      <c r="P2037" s="30">
        <v>0.4173611111111111</v>
      </c>
      <c r="Q2037" s="29">
        <v>44909.0</v>
      </c>
      <c r="R2037" s="30">
        <v>0.41805555555555557</v>
      </c>
      <c r="S2037" s="28">
        <v>0.0</v>
      </c>
      <c r="T2037" s="23" t="s">
        <v>1335</v>
      </c>
      <c r="U2037" s="6"/>
      <c r="V2037" s="6"/>
      <c r="W2037" s="23">
        <v>29.6505176</v>
      </c>
      <c r="X2037" s="23">
        <v>-95.4930435</v>
      </c>
    </row>
    <row r="2038" ht="15.75" customHeight="1">
      <c r="A2038" s="23">
        <v>50340.0</v>
      </c>
      <c r="B2038" s="6">
        <v>2022.0</v>
      </c>
      <c r="C2038" s="6" t="str">
        <f t="shared" si="7"/>
        <v>214 CLINTON PARK ST,Houston,TX</v>
      </c>
      <c r="D2038" s="23" t="s">
        <v>2181</v>
      </c>
      <c r="E2038" s="6" t="s">
        <v>25</v>
      </c>
      <c r="F2038" s="6" t="s">
        <v>1388</v>
      </c>
      <c r="G2038" s="6" t="s">
        <v>247</v>
      </c>
      <c r="H2038" s="23" t="s">
        <v>50</v>
      </c>
      <c r="I2038" s="6" t="str">
        <f>VLOOKUP(H2038,'Flow Location'!$A$1:$B$21,2,FALSE)</f>
        <v>Contained On Site, not within 5 ft. of Bayou/Surface Water/Drainage Ditch</v>
      </c>
      <c r="J2038" s="28">
        <v>0.0</v>
      </c>
      <c r="K2038" s="23" t="s">
        <v>29</v>
      </c>
      <c r="L2038" s="6" t="str">
        <f>VLOOKUP(K2038,'Structure type'!$A$1:$B$15,2,FALSE)</f>
        <v>Manhole</v>
      </c>
      <c r="M2038" s="23" t="s">
        <v>30</v>
      </c>
      <c r="N2038" s="6" t="str">
        <f>VLOOKUP(M2038,'Excursion Cause'!$A$1:$B$34,2,FALSE)</f>
        <v>Grease Blockage</v>
      </c>
      <c r="O2038" s="29">
        <v>44909.0</v>
      </c>
      <c r="P2038" s="30">
        <v>0.4534722222222222</v>
      </c>
      <c r="Q2038" s="29">
        <v>44909.0</v>
      </c>
      <c r="R2038" s="30">
        <v>0.45416666666666666</v>
      </c>
      <c r="S2038" s="28">
        <v>0.0</v>
      </c>
      <c r="T2038" s="23" t="s">
        <v>59</v>
      </c>
      <c r="U2038" s="6"/>
      <c r="V2038" s="6"/>
      <c r="W2038" s="23">
        <v>29.7342946</v>
      </c>
      <c r="X2038" s="23">
        <v>-95.2569971</v>
      </c>
    </row>
    <row r="2039" ht="15.75" customHeight="1">
      <c r="A2039" s="23">
        <v>50345.0</v>
      </c>
      <c r="B2039" s="6">
        <v>2022.0</v>
      </c>
      <c r="C2039" s="6" t="str">
        <f t="shared" si="7"/>
        <v>406 W 22ND ST,Houston,TX</v>
      </c>
      <c r="D2039" s="23" t="s">
        <v>3420</v>
      </c>
      <c r="E2039" s="6" t="s">
        <v>25</v>
      </c>
      <c r="F2039" s="6" t="s">
        <v>1388</v>
      </c>
      <c r="G2039" s="6" t="s">
        <v>232</v>
      </c>
      <c r="H2039" s="23" t="s">
        <v>50</v>
      </c>
      <c r="I2039" s="6" t="str">
        <f>VLOOKUP(H2039,'Flow Location'!$A$1:$B$21,2,FALSE)</f>
        <v>Contained On Site, not within 5 ft. of Bayou/Surface Water/Drainage Ditch</v>
      </c>
      <c r="J2039" s="28">
        <v>186.0</v>
      </c>
      <c r="K2039" s="23" t="s">
        <v>29</v>
      </c>
      <c r="L2039" s="6" t="str">
        <f>VLOOKUP(K2039,'Structure type'!$A$1:$B$15,2,FALSE)</f>
        <v>Manhole</v>
      </c>
      <c r="M2039" s="23" t="s">
        <v>30</v>
      </c>
      <c r="N2039" s="6" t="str">
        <f>VLOOKUP(M2039,'Excursion Cause'!$A$1:$B$34,2,FALSE)</f>
        <v>Grease Blockage</v>
      </c>
      <c r="O2039" s="29">
        <v>44909.0</v>
      </c>
      <c r="P2039" s="30">
        <v>0.6854166666666667</v>
      </c>
      <c r="Q2039" s="29">
        <v>44909.0</v>
      </c>
      <c r="R2039" s="30">
        <v>0.75</v>
      </c>
      <c r="S2039" s="28">
        <v>2.0</v>
      </c>
      <c r="T2039" s="23" t="s">
        <v>59</v>
      </c>
      <c r="U2039" s="6"/>
      <c r="V2039" s="6"/>
      <c r="W2039" s="23">
        <v>29.8056766</v>
      </c>
      <c r="X2039" s="23">
        <v>-95.4040518</v>
      </c>
    </row>
    <row r="2040" ht="15.75" customHeight="1">
      <c r="A2040" s="23">
        <v>50346.0</v>
      </c>
      <c r="B2040" s="6">
        <v>2022.0</v>
      </c>
      <c r="C2040" s="6" t="str">
        <f t="shared" si="7"/>
        <v>413 MAYFORD ST,Houston,TX</v>
      </c>
      <c r="D2040" s="23" t="s">
        <v>3421</v>
      </c>
      <c r="E2040" s="6" t="s">
        <v>25</v>
      </c>
      <c r="F2040" s="6" t="s">
        <v>1388</v>
      </c>
      <c r="G2040" s="6" t="s">
        <v>275</v>
      </c>
      <c r="H2040" s="23" t="s">
        <v>28</v>
      </c>
      <c r="I2040" s="6" t="str">
        <f>VLOOKUP(H2040,'Flow Location'!$A$1:$B$21,2,FALSE)</f>
        <v>Storm Sewer (not contained)</v>
      </c>
      <c r="J2040" s="28">
        <v>0.0</v>
      </c>
      <c r="K2040" s="23" t="s">
        <v>29</v>
      </c>
      <c r="L2040" s="6" t="str">
        <f>VLOOKUP(K2040,'Structure type'!$A$1:$B$15,2,FALSE)</f>
        <v>Manhole</v>
      </c>
      <c r="M2040" s="23" t="s">
        <v>30</v>
      </c>
      <c r="N2040" s="6" t="str">
        <f>VLOOKUP(M2040,'Excursion Cause'!$A$1:$B$34,2,FALSE)</f>
        <v>Grease Blockage</v>
      </c>
      <c r="O2040" s="29">
        <v>44909.0</v>
      </c>
      <c r="P2040" s="30">
        <v>0.6888888888888889</v>
      </c>
      <c r="Q2040" s="29">
        <v>44909.0</v>
      </c>
      <c r="R2040" s="30">
        <v>0.6895833333333333</v>
      </c>
      <c r="S2040" s="28">
        <v>0.0</v>
      </c>
      <c r="T2040" s="23" t="s">
        <v>33</v>
      </c>
      <c r="U2040" s="6"/>
      <c r="V2040" s="6"/>
      <c r="W2040" s="23">
        <v>29.8617353</v>
      </c>
      <c r="X2040" s="23">
        <v>-95.3706344</v>
      </c>
    </row>
    <row r="2041" ht="15.75" customHeight="1">
      <c r="A2041" s="23">
        <v>50347.0</v>
      </c>
      <c r="B2041" s="6">
        <v>2022.0</v>
      </c>
      <c r="C2041" s="6" t="str">
        <f t="shared" si="7"/>
        <v>6111 WILLOWBEND BLVD,Houston,TX</v>
      </c>
      <c r="D2041" s="23" t="s">
        <v>3422</v>
      </c>
      <c r="E2041" s="6" t="s">
        <v>25</v>
      </c>
      <c r="F2041" s="6" t="s">
        <v>1388</v>
      </c>
      <c r="G2041" s="6" t="s">
        <v>69</v>
      </c>
      <c r="H2041" s="23" t="s">
        <v>50</v>
      </c>
      <c r="I2041" s="6" t="str">
        <f>VLOOKUP(H2041,'Flow Location'!$A$1:$B$21,2,FALSE)</f>
        <v>Contained On Site, not within 5 ft. of Bayou/Surface Water/Drainage Ditch</v>
      </c>
      <c r="J2041" s="28">
        <v>1130.0</v>
      </c>
      <c r="K2041" s="23" t="s">
        <v>29</v>
      </c>
      <c r="L2041" s="6" t="str">
        <f>VLOOKUP(K2041,'Structure type'!$A$1:$B$15,2,FALSE)</f>
        <v>Manhole</v>
      </c>
      <c r="M2041" s="23" t="s">
        <v>30</v>
      </c>
      <c r="N2041" s="6" t="str">
        <f>VLOOKUP(M2041,'Excursion Cause'!$A$1:$B$34,2,FALSE)</f>
        <v>Grease Blockage</v>
      </c>
      <c r="O2041" s="29">
        <v>44909.0</v>
      </c>
      <c r="P2041" s="30">
        <v>0.6826388888888889</v>
      </c>
      <c r="Q2041" s="29">
        <v>44910.0</v>
      </c>
      <c r="R2041" s="30">
        <v>0.4673611111111111</v>
      </c>
      <c r="S2041" s="28">
        <v>1.0</v>
      </c>
      <c r="T2041" s="23" t="s">
        <v>33</v>
      </c>
      <c r="U2041" s="6"/>
      <c r="V2041" s="6"/>
      <c r="W2041" s="23">
        <v>29.6665446</v>
      </c>
      <c r="X2041" s="23">
        <v>-95.4992687</v>
      </c>
    </row>
    <row r="2042" ht="15.75" customHeight="1">
      <c r="A2042" s="23">
        <v>50350.0</v>
      </c>
      <c r="B2042" s="6">
        <v>2022.0</v>
      </c>
      <c r="C2042" s="6" t="str">
        <f t="shared" si="7"/>
        <v>6030 TRURO ST,Houston,TX</v>
      </c>
      <c r="D2042" s="23" t="s">
        <v>3423</v>
      </c>
      <c r="E2042" s="6" t="s">
        <v>25</v>
      </c>
      <c r="F2042" s="6" t="s">
        <v>1388</v>
      </c>
      <c r="G2042" s="6" t="s">
        <v>158</v>
      </c>
      <c r="H2042" s="23" t="s">
        <v>44</v>
      </c>
      <c r="I2042" s="6" t="str">
        <f>VLOOKUP(H2042,'Flow Location'!$A$1:$B$21,2,FALSE)</f>
        <v>Bayou/surface water/drainage ditch</v>
      </c>
      <c r="J2042" s="28">
        <v>0.0</v>
      </c>
      <c r="K2042" s="23" t="s">
        <v>51</v>
      </c>
      <c r="L2042" s="6" t="str">
        <f>VLOOKUP(K2042,'Structure type'!$A$1:$B$15,2,FALSE)</f>
        <v>Private Cleanout</v>
      </c>
      <c r="M2042" s="23" t="s">
        <v>52</v>
      </c>
      <c r="N2042" s="6" t="str">
        <f>VLOOKUP(M2042,'Excursion Cause'!$A$1:$B$34,2,FALSE)</f>
        <v>Collection system structural blockage</v>
      </c>
      <c r="O2042" s="29">
        <v>44910.0</v>
      </c>
      <c r="P2042" s="30">
        <v>0.35555555555555557</v>
      </c>
      <c r="Q2042" s="29">
        <v>44910.0</v>
      </c>
      <c r="R2042" s="30">
        <v>0.35625</v>
      </c>
      <c r="S2042" s="28">
        <v>0.0</v>
      </c>
      <c r="T2042" s="23" t="s">
        <v>170</v>
      </c>
      <c r="U2042" s="6"/>
      <c r="V2042" s="6"/>
      <c r="W2042" s="23">
        <v>29.7733416</v>
      </c>
      <c r="X2042" s="23">
        <v>-95.4231807</v>
      </c>
    </row>
    <row r="2043" ht="15.75" customHeight="1">
      <c r="A2043" s="23">
        <v>50353.0</v>
      </c>
      <c r="B2043" s="6">
        <v>2022.0</v>
      </c>
      <c r="C2043" s="6" t="str">
        <f t="shared" si="7"/>
        <v>4676 BELLFORT ST,Houston,TX</v>
      </c>
      <c r="D2043" s="23" t="s">
        <v>3424</v>
      </c>
      <c r="E2043" s="6" t="s">
        <v>25</v>
      </c>
      <c r="F2043" s="6" t="s">
        <v>1388</v>
      </c>
      <c r="G2043" s="6" t="s">
        <v>105</v>
      </c>
      <c r="H2043" s="23" t="s">
        <v>28</v>
      </c>
      <c r="I2043" s="6" t="str">
        <f>VLOOKUP(H2043,'Flow Location'!$A$1:$B$21,2,FALSE)</f>
        <v>Storm Sewer (not contained)</v>
      </c>
      <c r="J2043" s="28">
        <v>324.0</v>
      </c>
      <c r="K2043" s="23" t="s">
        <v>45</v>
      </c>
      <c r="L2043" s="6" t="str">
        <f>VLOOKUP(K2043,'Structure type'!$A$1:$B$15,2,FALSE)</f>
        <v>City Cleanout</v>
      </c>
      <c r="M2043" s="23" t="s">
        <v>30</v>
      </c>
      <c r="N2043" s="6" t="str">
        <f>VLOOKUP(M2043,'Excursion Cause'!$A$1:$B$34,2,FALSE)</f>
        <v>Grease Blockage</v>
      </c>
      <c r="O2043" s="29">
        <v>44910.0</v>
      </c>
      <c r="P2043" s="30">
        <v>0.4</v>
      </c>
      <c r="Q2043" s="29">
        <v>44910.0</v>
      </c>
      <c r="R2043" s="30">
        <v>0.625</v>
      </c>
      <c r="S2043" s="28">
        <v>1.0</v>
      </c>
      <c r="T2043" s="23" t="s">
        <v>170</v>
      </c>
      <c r="U2043" s="6"/>
      <c r="V2043" s="6"/>
      <c r="W2043" s="23">
        <v>29.668984</v>
      </c>
      <c r="X2043" s="23">
        <v>-95.3563998</v>
      </c>
    </row>
    <row r="2044" ht="15.75" customHeight="1">
      <c r="A2044" s="23">
        <v>50355.0</v>
      </c>
      <c r="B2044" s="6">
        <v>2022.0</v>
      </c>
      <c r="C2044" s="6" t="str">
        <f t="shared" si="7"/>
        <v>8822 VINKINS RD,Houston,TX</v>
      </c>
      <c r="D2044" s="23" t="s">
        <v>3425</v>
      </c>
      <c r="E2044" s="6" t="s">
        <v>25</v>
      </c>
      <c r="F2044" s="6" t="s">
        <v>1388</v>
      </c>
      <c r="G2044" s="6" t="s">
        <v>148</v>
      </c>
      <c r="H2044" s="23" t="s">
        <v>50</v>
      </c>
      <c r="I2044" s="6" t="str">
        <f>VLOOKUP(H2044,'Flow Location'!$A$1:$B$21,2,FALSE)</f>
        <v>Contained On Site, not within 5 ft. of Bayou/Surface Water/Drainage Ditch</v>
      </c>
      <c r="J2044" s="28">
        <v>0.0</v>
      </c>
      <c r="K2044" s="23" t="s">
        <v>45</v>
      </c>
      <c r="L2044" s="6" t="str">
        <f>VLOOKUP(K2044,'Structure type'!$A$1:$B$15,2,FALSE)</f>
        <v>City Cleanout</v>
      </c>
      <c r="M2044" s="23" t="s">
        <v>56</v>
      </c>
      <c r="N2044" s="6" t="str">
        <f>VLOOKUP(M2044,'Excursion Cause'!$A$1:$B$34,2,FALSE)</f>
        <v>Rags/Wipes</v>
      </c>
      <c r="O2044" s="29">
        <v>44910.0</v>
      </c>
      <c r="P2044" s="30">
        <v>0.45069444444444445</v>
      </c>
      <c r="Q2044" s="29">
        <v>44910.0</v>
      </c>
      <c r="R2044" s="30">
        <v>0.4513888888888889</v>
      </c>
      <c r="S2044" s="28">
        <v>0.0</v>
      </c>
      <c r="T2044" s="23" t="s">
        <v>89</v>
      </c>
      <c r="U2044" s="6"/>
      <c r="V2044" s="6"/>
      <c r="W2044" s="23">
        <v>29.6426906</v>
      </c>
      <c r="X2044" s="23">
        <v>-95.5339633</v>
      </c>
    </row>
    <row r="2045" ht="15.75" customHeight="1">
      <c r="A2045" s="23">
        <v>50357.0</v>
      </c>
      <c r="B2045" s="6">
        <v>2022.0</v>
      </c>
      <c r="C2045" s="6" t="str">
        <f t="shared" si="7"/>
        <v>3137 TILFER ST,Houston,TX</v>
      </c>
      <c r="D2045" s="23" t="s">
        <v>3426</v>
      </c>
      <c r="E2045" s="6" t="s">
        <v>25</v>
      </c>
      <c r="F2045" s="6" t="s">
        <v>1388</v>
      </c>
      <c r="G2045" s="6" t="s">
        <v>35</v>
      </c>
      <c r="H2045" s="23" t="s">
        <v>50</v>
      </c>
      <c r="I2045" s="6" t="str">
        <f>VLOOKUP(H2045,'Flow Location'!$A$1:$B$21,2,FALSE)</f>
        <v>Contained On Site, not within 5 ft. of Bayou/Surface Water/Drainage Ditch</v>
      </c>
      <c r="J2045" s="28">
        <v>0.0</v>
      </c>
      <c r="K2045" s="23" t="s">
        <v>198</v>
      </c>
      <c r="L2045" s="6" t="str">
        <f>VLOOKUP(K2045,'Structure type'!$A$1:$B$15,2,FALSE)</f>
        <v>Service Lateral</v>
      </c>
      <c r="M2045" s="23" t="s">
        <v>52</v>
      </c>
      <c r="N2045" s="6" t="str">
        <f>VLOOKUP(M2045,'Excursion Cause'!$A$1:$B$34,2,FALSE)</f>
        <v>Collection system structural blockage</v>
      </c>
      <c r="O2045" s="29">
        <v>44910.0</v>
      </c>
      <c r="P2045" s="30">
        <v>0.49583333333333335</v>
      </c>
      <c r="Q2045" s="29">
        <v>44910.0</v>
      </c>
      <c r="R2045" s="30">
        <v>0.4965277777777778</v>
      </c>
      <c r="S2045" s="28">
        <v>0.0</v>
      </c>
      <c r="T2045" s="23" t="s">
        <v>170</v>
      </c>
      <c r="U2045" s="6"/>
      <c r="V2045" s="6"/>
      <c r="W2045" s="23">
        <v>29.6936802</v>
      </c>
      <c r="X2045" s="23">
        <v>-95.3016125</v>
      </c>
    </row>
    <row r="2046" ht="15.75" customHeight="1">
      <c r="A2046" s="23">
        <v>50362.0</v>
      </c>
      <c r="B2046" s="6">
        <v>2022.0</v>
      </c>
      <c r="C2046" s="6" t="str">
        <f t="shared" si="7"/>
        <v>3215 S LOOP FWY,Houston,TX</v>
      </c>
      <c r="D2046" s="23" t="s">
        <v>3427</v>
      </c>
      <c r="E2046" s="6" t="s">
        <v>25</v>
      </c>
      <c r="F2046" s="6" t="s">
        <v>1388</v>
      </c>
      <c r="G2046" s="6" t="s">
        <v>135</v>
      </c>
      <c r="H2046" s="23" t="s">
        <v>28</v>
      </c>
      <c r="I2046" s="6" t="str">
        <f>VLOOKUP(H2046,'Flow Location'!$A$1:$B$21,2,FALSE)</f>
        <v>Storm Sewer (not contained)</v>
      </c>
      <c r="J2046" s="28">
        <v>1170.0</v>
      </c>
      <c r="K2046" s="23" t="s">
        <v>1127</v>
      </c>
      <c r="L2046" s="6" t="str">
        <f>VLOOKUP(K2046,'Structure type'!$A$1:$B$15,2,FALSE)</f>
        <v>Private Sample Well</v>
      </c>
      <c r="M2046" s="23" t="s">
        <v>30</v>
      </c>
      <c r="N2046" s="6" t="str">
        <f>VLOOKUP(M2046,'Excursion Cause'!$A$1:$B$34,2,FALSE)</f>
        <v>Grease Blockage</v>
      </c>
      <c r="O2046" s="29">
        <v>44910.0</v>
      </c>
      <c r="P2046" s="30">
        <v>0.6875</v>
      </c>
      <c r="Q2046" s="29">
        <v>44911.0</v>
      </c>
      <c r="R2046" s="30">
        <v>0.5</v>
      </c>
      <c r="S2046" s="28">
        <v>1.0</v>
      </c>
      <c r="T2046" s="23" t="s">
        <v>33</v>
      </c>
      <c r="U2046" s="6"/>
      <c r="V2046" s="6"/>
      <c r="W2046" s="23">
        <v>29.7085112</v>
      </c>
      <c r="X2046" s="23">
        <v>-95.2709665</v>
      </c>
    </row>
    <row r="2047" ht="15.75" customHeight="1">
      <c r="A2047" s="23">
        <v>50365.0</v>
      </c>
      <c r="B2047" s="6">
        <v>2022.0</v>
      </c>
      <c r="C2047" s="6" t="str">
        <f t="shared" si="7"/>
        <v>715 REINERMAN ST,Houston,TX</v>
      </c>
      <c r="D2047" s="23" t="s">
        <v>3428</v>
      </c>
      <c r="E2047" s="6" t="s">
        <v>25</v>
      </c>
      <c r="F2047" s="6" t="s">
        <v>1388</v>
      </c>
      <c r="G2047" s="6" t="s">
        <v>158</v>
      </c>
      <c r="H2047" s="23" t="s">
        <v>28</v>
      </c>
      <c r="I2047" s="6" t="str">
        <f>VLOOKUP(H2047,'Flow Location'!$A$1:$B$21,2,FALSE)</f>
        <v>Storm Sewer (not contained)</v>
      </c>
      <c r="J2047" s="28">
        <v>0.0</v>
      </c>
      <c r="K2047" s="23" t="s">
        <v>29</v>
      </c>
      <c r="L2047" s="6" t="str">
        <f>VLOOKUP(K2047,'Structure type'!$A$1:$B$15,2,FALSE)</f>
        <v>Manhole</v>
      </c>
      <c r="M2047" s="23" t="s">
        <v>30</v>
      </c>
      <c r="N2047" s="6" t="str">
        <f>VLOOKUP(M2047,'Excursion Cause'!$A$1:$B$34,2,FALSE)</f>
        <v>Grease Blockage</v>
      </c>
      <c r="O2047" s="29">
        <v>44911.0</v>
      </c>
      <c r="P2047" s="30">
        <v>0.36180555555555555</v>
      </c>
      <c r="Q2047" s="29">
        <v>44911.0</v>
      </c>
      <c r="R2047" s="30">
        <v>0.3625</v>
      </c>
      <c r="S2047" s="28">
        <v>0.0</v>
      </c>
      <c r="T2047" s="23" t="s">
        <v>33</v>
      </c>
      <c r="U2047" s="6"/>
      <c r="V2047" s="6"/>
      <c r="W2047" s="23">
        <v>29.7684616</v>
      </c>
      <c r="X2047" s="23">
        <v>-95.4135215</v>
      </c>
    </row>
    <row r="2048" ht="15.75" customHeight="1">
      <c r="A2048" s="23">
        <v>50366.0</v>
      </c>
      <c r="B2048" s="6">
        <v>2022.0</v>
      </c>
      <c r="C2048" s="6" t="str">
        <f t="shared" si="7"/>
        <v>1210 LUZON ST,Houston,TX</v>
      </c>
      <c r="D2048" s="23" t="s">
        <v>3429</v>
      </c>
      <c r="E2048" s="6" t="s">
        <v>25</v>
      </c>
      <c r="F2048" s="6" t="s">
        <v>1388</v>
      </c>
      <c r="G2048" s="6" t="s">
        <v>161</v>
      </c>
      <c r="H2048" s="23" t="s">
        <v>44</v>
      </c>
      <c r="I2048" s="6" t="str">
        <f>VLOOKUP(H2048,'Flow Location'!$A$1:$B$21,2,FALSE)</f>
        <v>Bayou/surface water/drainage ditch</v>
      </c>
      <c r="J2048" s="28">
        <v>0.0</v>
      </c>
      <c r="K2048" s="23" t="s">
        <v>45</v>
      </c>
      <c r="L2048" s="6" t="str">
        <f>VLOOKUP(K2048,'Structure type'!$A$1:$B$15,2,FALSE)</f>
        <v>City Cleanout</v>
      </c>
      <c r="M2048" s="23" t="s">
        <v>52</v>
      </c>
      <c r="N2048" s="6" t="str">
        <f>VLOOKUP(M2048,'Excursion Cause'!$A$1:$B$34,2,FALSE)</f>
        <v>Collection system structural blockage</v>
      </c>
      <c r="O2048" s="29">
        <v>44911.0</v>
      </c>
      <c r="P2048" s="30">
        <v>0.3951388888888889</v>
      </c>
      <c r="Q2048" s="29">
        <v>44911.0</v>
      </c>
      <c r="R2048" s="30">
        <v>0.3958333333333333</v>
      </c>
      <c r="S2048" s="28">
        <v>0.0</v>
      </c>
      <c r="T2048" s="23" t="s">
        <v>74</v>
      </c>
      <c r="U2048" s="6"/>
      <c r="V2048" s="6"/>
      <c r="W2048" s="23">
        <v>29.7865224</v>
      </c>
      <c r="X2048" s="23">
        <v>-95.357162</v>
      </c>
    </row>
    <row r="2049" ht="15.75" customHeight="1">
      <c r="A2049" s="23">
        <v>50368.0</v>
      </c>
      <c r="B2049" s="6">
        <v>2022.0</v>
      </c>
      <c r="C2049" s="6" t="str">
        <f t="shared" si="7"/>
        <v>9639 BLACKHAWK BLVD,Houston,TX</v>
      </c>
      <c r="D2049" s="23" t="s">
        <v>3430</v>
      </c>
      <c r="E2049" s="6" t="s">
        <v>25</v>
      </c>
      <c r="F2049" s="6" t="s">
        <v>1388</v>
      </c>
      <c r="G2049" s="6" t="s">
        <v>95</v>
      </c>
      <c r="H2049" s="23" t="s">
        <v>50</v>
      </c>
      <c r="I2049" s="6" t="str">
        <f>VLOOKUP(H2049,'Flow Location'!$A$1:$B$21,2,FALSE)</f>
        <v>Contained On Site, not within 5 ft. of Bayou/Surface Water/Drainage Ditch</v>
      </c>
      <c r="J2049" s="28">
        <v>179.0</v>
      </c>
      <c r="K2049" s="23" t="s">
        <v>51</v>
      </c>
      <c r="L2049" s="6" t="str">
        <f>VLOOKUP(K2049,'Structure type'!$A$1:$B$15,2,FALSE)</f>
        <v>Private Cleanout</v>
      </c>
      <c r="M2049" s="23" t="s">
        <v>30</v>
      </c>
      <c r="N2049" s="6" t="str">
        <f>VLOOKUP(M2049,'Excursion Cause'!$A$1:$B$34,2,FALSE)</f>
        <v>Grease Blockage</v>
      </c>
      <c r="O2049" s="29">
        <v>44911.0</v>
      </c>
      <c r="P2049" s="30">
        <v>0.4166666666666667</v>
      </c>
      <c r="Q2049" s="29">
        <v>44911.0</v>
      </c>
      <c r="R2049" s="30">
        <v>0.5409722222222222</v>
      </c>
      <c r="S2049" s="28">
        <v>1.0</v>
      </c>
      <c r="T2049" s="23" t="s">
        <v>59</v>
      </c>
      <c r="U2049" s="6"/>
      <c r="V2049" s="6"/>
      <c r="W2049" s="23">
        <v>29.6078921</v>
      </c>
      <c r="X2049" s="23">
        <v>-95.24974</v>
      </c>
    </row>
    <row r="2050" ht="15.75" customHeight="1">
      <c r="A2050" s="23">
        <v>50369.0</v>
      </c>
      <c r="B2050" s="6">
        <v>2022.0</v>
      </c>
      <c r="C2050" s="6" t="str">
        <f t="shared" si="7"/>
        <v>3206 S GREENPARK DR,Houston,TX</v>
      </c>
      <c r="D2050" s="23" t="s">
        <v>3431</v>
      </c>
      <c r="E2050" s="6" t="s">
        <v>25</v>
      </c>
      <c r="F2050" s="6" t="s">
        <v>1388</v>
      </c>
      <c r="G2050" s="6" t="s">
        <v>313</v>
      </c>
      <c r="H2050" s="23" t="s">
        <v>50</v>
      </c>
      <c r="I2050" s="6" t="str">
        <f>VLOOKUP(H2050,'Flow Location'!$A$1:$B$21,2,FALSE)</f>
        <v>Contained On Site, not within 5 ft. of Bayou/Surface Water/Drainage Ditch</v>
      </c>
      <c r="J2050" s="28">
        <v>0.0</v>
      </c>
      <c r="K2050" s="23" t="s">
        <v>29</v>
      </c>
      <c r="L2050" s="6" t="str">
        <f>VLOOKUP(K2050,'Structure type'!$A$1:$B$15,2,FALSE)</f>
        <v>Manhole</v>
      </c>
      <c r="M2050" s="23" t="s">
        <v>30</v>
      </c>
      <c r="N2050" s="6" t="str">
        <f>VLOOKUP(M2050,'Excursion Cause'!$A$1:$B$34,2,FALSE)</f>
        <v>Grease Blockage</v>
      </c>
      <c r="O2050" s="29">
        <v>44911.0</v>
      </c>
      <c r="P2050" s="30">
        <v>0.43194444444444446</v>
      </c>
      <c r="Q2050" s="29">
        <v>44911.0</v>
      </c>
      <c r="R2050" s="30">
        <v>0.4326388888888889</v>
      </c>
      <c r="S2050" s="28">
        <v>0.0</v>
      </c>
      <c r="T2050" s="23" t="s">
        <v>33</v>
      </c>
      <c r="U2050" s="6"/>
      <c r="V2050" s="6"/>
      <c r="W2050" s="23">
        <v>29.7288583</v>
      </c>
      <c r="X2050" s="23">
        <v>-95.6113604</v>
      </c>
    </row>
    <row r="2051" ht="15.75" customHeight="1">
      <c r="A2051" s="23">
        <v>50371.0</v>
      </c>
      <c r="B2051" s="6">
        <v>2022.0</v>
      </c>
      <c r="C2051" s="6" t="str">
        <f t="shared" si="7"/>
        <v>9555 CROFTON ST,Houston,TX</v>
      </c>
      <c r="D2051" s="23" t="s">
        <v>1224</v>
      </c>
      <c r="E2051" s="6" t="s">
        <v>25</v>
      </c>
      <c r="F2051" s="6" t="s">
        <v>1388</v>
      </c>
      <c r="G2051" s="6" t="s">
        <v>326</v>
      </c>
      <c r="H2051" s="23" t="s">
        <v>28</v>
      </c>
      <c r="I2051" s="6" t="str">
        <f>VLOOKUP(H2051,'Flow Location'!$A$1:$B$21,2,FALSE)</f>
        <v>Storm Sewer (not contained)</v>
      </c>
      <c r="J2051" s="28">
        <v>384.0</v>
      </c>
      <c r="K2051" s="23" t="s">
        <v>29</v>
      </c>
      <c r="L2051" s="6" t="str">
        <f>VLOOKUP(K2051,'Structure type'!$A$1:$B$15,2,FALSE)</f>
        <v>Manhole</v>
      </c>
      <c r="M2051" s="23" t="s">
        <v>30</v>
      </c>
      <c r="N2051" s="6" t="str">
        <f>VLOOKUP(M2051,'Excursion Cause'!$A$1:$B$34,2,FALSE)</f>
        <v>Grease Blockage</v>
      </c>
      <c r="O2051" s="29">
        <v>44911.0</v>
      </c>
      <c r="P2051" s="30">
        <v>0.475</v>
      </c>
      <c r="Q2051" s="29">
        <v>44911.0</v>
      </c>
      <c r="R2051" s="30">
        <v>0.5638888888888889</v>
      </c>
      <c r="S2051" s="28">
        <v>3.0</v>
      </c>
      <c r="T2051" s="23" t="s">
        <v>59</v>
      </c>
      <c r="U2051" s="6"/>
      <c r="V2051" s="6"/>
      <c r="W2051" s="23">
        <v>29.8504768</v>
      </c>
      <c r="X2051" s="23">
        <v>-95.3001634</v>
      </c>
    </row>
    <row r="2052" ht="15.75" customHeight="1">
      <c r="A2052" s="23">
        <v>50372.0</v>
      </c>
      <c r="B2052" s="6">
        <v>2022.0</v>
      </c>
      <c r="C2052" s="6" t="str">
        <f t="shared" si="7"/>
        <v>2840 SHADOWBRIAR DR,Houston,TX</v>
      </c>
      <c r="D2052" s="23" t="s">
        <v>2439</v>
      </c>
      <c r="E2052" s="6" t="s">
        <v>25</v>
      </c>
      <c r="F2052" s="6" t="s">
        <v>1388</v>
      </c>
      <c r="G2052" s="6" t="s">
        <v>347</v>
      </c>
      <c r="H2052" s="23" t="s">
        <v>28</v>
      </c>
      <c r="I2052" s="6" t="str">
        <f>VLOOKUP(H2052,'Flow Location'!$A$1:$B$21,2,FALSE)</f>
        <v>Storm Sewer (not contained)</v>
      </c>
      <c r="J2052" s="28">
        <v>336.0</v>
      </c>
      <c r="K2052" s="23" t="s">
        <v>29</v>
      </c>
      <c r="L2052" s="6" t="str">
        <f>VLOOKUP(K2052,'Structure type'!$A$1:$B$15,2,FALSE)</f>
        <v>Manhole</v>
      </c>
      <c r="M2052" s="23" t="s">
        <v>30</v>
      </c>
      <c r="N2052" s="6" t="str">
        <f>VLOOKUP(M2052,'Excursion Cause'!$A$1:$B$34,2,FALSE)</f>
        <v>Grease Blockage</v>
      </c>
      <c r="O2052" s="29">
        <v>44911.0</v>
      </c>
      <c r="P2052" s="30">
        <v>0.47708333333333336</v>
      </c>
      <c r="Q2052" s="29">
        <v>44911.0</v>
      </c>
      <c r="R2052" s="30">
        <v>0.5548611111111111</v>
      </c>
      <c r="S2052" s="28">
        <v>3.0</v>
      </c>
      <c r="T2052" s="23" t="s">
        <v>59</v>
      </c>
      <c r="U2052" s="6"/>
      <c r="V2052" s="6"/>
      <c r="W2052" s="23">
        <v>29.7344699</v>
      </c>
      <c r="X2052" s="23">
        <v>-95.5997411</v>
      </c>
    </row>
    <row r="2053" ht="15.75" customHeight="1">
      <c r="A2053" s="23">
        <v>50387.0</v>
      </c>
      <c r="B2053" s="6">
        <v>2022.0</v>
      </c>
      <c r="C2053" s="6" t="str">
        <f t="shared" si="7"/>
        <v>3800 TANGLEWILDE ST,Houston,TX</v>
      </c>
      <c r="D2053" s="23" t="s">
        <v>3232</v>
      </c>
      <c r="E2053" s="6" t="s">
        <v>25</v>
      </c>
      <c r="F2053" s="6" t="s">
        <v>1388</v>
      </c>
      <c r="G2053" s="6" t="s">
        <v>482</v>
      </c>
      <c r="H2053" s="23" t="s">
        <v>50</v>
      </c>
      <c r="I2053" s="6" t="str">
        <f>VLOOKUP(H2053,'Flow Location'!$A$1:$B$21,2,FALSE)</f>
        <v>Contained On Site, not within 5 ft. of Bayou/Surface Water/Drainage Ditch</v>
      </c>
      <c r="J2053" s="28">
        <v>202.0</v>
      </c>
      <c r="K2053" s="23" t="s">
        <v>51</v>
      </c>
      <c r="L2053" s="6" t="str">
        <f>VLOOKUP(K2053,'Structure type'!$A$1:$B$15,2,FALSE)</f>
        <v>Private Cleanout</v>
      </c>
      <c r="M2053" s="23" t="s">
        <v>56</v>
      </c>
      <c r="N2053" s="6" t="str">
        <f>VLOOKUP(M2053,'Excursion Cause'!$A$1:$B$34,2,FALSE)</f>
        <v>Rags/Wipes</v>
      </c>
      <c r="O2053" s="29">
        <v>44913.0</v>
      </c>
      <c r="P2053" s="30">
        <v>0.31805555555555554</v>
      </c>
      <c r="Q2053" s="29">
        <v>44913.0</v>
      </c>
      <c r="R2053" s="30">
        <v>0.4583333333333333</v>
      </c>
      <c r="S2053" s="28">
        <v>1.0</v>
      </c>
      <c r="T2053" s="23" t="s">
        <v>89</v>
      </c>
      <c r="U2053" s="6"/>
      <c r="V2053" s="6"/>
      <c r="W2053" s="23">
        <v>29.7222264</v>
      </c>
      <c r="X2053" s="23">
        <v>-95.5364154</v>
      </c>
    </row>
    <row r="2054" ht="15.75" customHeight="1">
      <c r="A2054" s="23">
        <v>50388.0</v>
      </c>
      <c r="B2054" s="6">
        <v>2022.0</v>
      </c>
      <c r="C2054" s="6" t="str">
        <f t="shared" si="7"/>
        <v>2120 WALKER ST,Houston,TX</v>
      </c>
      <c r="D2054" s="23" t="s">
        <v>2129</v>
      </c>
      <c r="E2054" s="6" t="s">
        <v>25</v>
      </c>
      <c r="F2054" s="6" t="s">
        <v>1388</v>
      </c>
      <c r="G2054" s="6" t="s">
        <v>172</v>
      </c>
      <c r="H2054" s="23" t="s">
        <v>28</v>
      </c>
      <c r="I2054" s="6" t="str">
        <f>VLOOKUP(H2054,'Flow Location'!$A$1:$B$21,2,FALSE)</f>
        <v>Storm Sewer (not contained)</v>
      </c>
      <c r="J2054" s="28">
        <v>0.0</v>
      </c>
      <c r="K2054" s="23" t="s">
        <v>29</v>
      </c>
      <c r="L2054" s="6" t="str">
        <f>VLOOKUP(K2054,'Structure type'!$A$1:$B$15,2,FALSE)</f>
        <v>Manhole</v>
      </c>
      <c r="M2054" s="23" t="s">
        <v>30</v>
      </c>
      <c r="N2054" s="6" t="str">
        <f>VLOOKUP(M2054,'Excursion Cause'!$A$1:$B$34,2,FALSE)</f>
        <v>Grease Blockage</v>
      </c>
      <c r="O2054" s="29">
        <v>44913.0</v>
      </c>
      <c r="P2054" s="30">
        <v>0.35347222222222224</v>
      </c>
      <c r="Q2054" s="29">
        <v>44913.0</v>
      </c>
      <c r="R2054" s="30">
        <v>0.3541666666666667</v>
      </c>
      <c r="S2054" s="28">
        <v>0.0</v>
      </c>
      <c r="T2054" s="23" t="s">
        <v>59</v>
      </c>
      <c r="U2054" s="6"/>
      <c r="V2054" s="6"/>
      <c r="W2054" s="23">
        <v>29.7516517</v>
      </c>
      <c r="X2054" s="23">
        <v>-95.3548006</v>
      </c>
    </row>
    <row r="2055" ht="15.75" customHeight="1">
      <c r="A2055" s="23">
        <v>50390.0</v>
      </c>
      <c r="B2055" s="6">
        <v>2022.0</v>
      </c>
      <c r="C2055" s="6" t="str">
        <f t="shared" si="7"/>
        <v>8235 BROCKTON ST,Houston,TX</v>
      </c>
      <c r="D2055" s="23" t="s">
        <v>3432</v>
      </c>
      <c r="E2055" s="6" t="s">
        <v>25</v>
      </c>
      <c r="F2055" s="6" t="s">
        <v>1388</v>
      </c>
      <c r="G2055" s="6" t="s">
        <v>135</v>
      </c>
      <c r="H2055" s="23" t="s">
        <v>50</v>
      </c>
      <c r="I2055" s="6" t="str">
        <f>VLOOKUP(H2055,'Flow Location'!$A$1:$B$21,2,FALSE)</f>
        <v>Contained On Site, not within 5 ft. of Bayou/Surface Water/Drainage Ditch</v>
      </c>
      <c r="J2055" s="28">
        <v>0.0</v>
      </c>
      <c r="K2055" s="23" t="s">
        <v>198</v>
      </c>
      <c r="L2055" s="6" t="str">
        <f>VLOOKUP(K2055,'Structure type'!$A$1:$B$15,2,FALSE)</f>
        <v>Service Lateral</v>
      </c>
      <c r="M2055" s="23" t="s">
        <v>30</v>
      </c>
      <c r="N2055" s="6" t="str">
        <f>VLOOKUP(M2055,'Excursion Cause'!$A$1:$B$34,2,FALSE)</f>
        <v>Grease Blockage</v>
      </c>
      <c r="O2055" s="29">
        <v>44912.0</v>
      </c>
      <c r="P2055" s="30">
        <v>0.3659722222222222</v>
      </c>
      <c r="Q2055" s="29">
        <v>44912.0</v>
      </c>
      <c r="R2055" s="30">
        <v>0.36666666666666664</v>
      </c>
      <c r="S2055" s="28">
        <v>0.0</v>
      </c>
      <c r="T2055" s="23" t="s">
        <v>107</v>
      </c>
      <c r="U2055" s="6"/>
      <c r="V2055" s="6"/>
      <c r="W2055" s="23">
        <v>29.6994344</v>
      </c>
      <c r="X2055" s="23">
        <v>-95.2736067</v>
      </c>
    </row>
    <row r="2056" ht="15.75" customHeight="1">
      <c r="A2056" s="23">
        <v>50391.0</v>
      </c>
      <c r="B2056" s="6">
        <v>2022.0</v>
      </c>
      <c r="C2056" s="6" t="str">
        <f t="shared" si="7"/>
        <v>238 N SAMPSON ST,Houston,TX</v>
      </c>
      <c r="D2056" s="23" t="s">
        <v>3433</v>
      </c>
      <c r="E2056" s="6" t="s">
        <v>25</v>
      </c>
      <c r="F2056" s="6" t="s">
        <v>1388</v>
      </c>
      <c r="G2056" s="6" t="s">
        <v>172</v>
      </c>
      <c r="H2056" s="23" t="s">
        <v>1493</v>
      </c>
      <c r="I2056" s="6" t="str">
        <f>VLOOKUP(H2056,'Flow Location'!$A$1:$B$21,2,FALSE)</f>
        <v>Contained On Site, not within 5 ft. of Bayou/Surface Water/Drainage Ditch</v>
      </c>
      <c r="J2056" s="28">
        <v>0.0</v>
      </c>
      <c r="K2056" s="23" t="s">
        <v>51</v>
      </c>
      <c r="L2056" s="6" t="str">
        <f>VLOOKUP(K2056,'Structure type'!$A$1:$B$15,2,FALSE)</f>
        <v>Private Cleanout</v>
      </c>
      <c r="M2056" s="23" t="s">
        <v>81</v>
      </c>
      <c r="N2056" s="6" t="str">
        <f>VLOOKUP(M2056,'Excursion Cause'!$A$1:$B$34,2,FALSE)</f>
        <v>Collection system structural failure</v>
      </c>
      <c r="O2056" s="29">
        <v>44913.0</v>
      </c>
      <c r="P2056" s="30">
        <v>0.49444444444444446</v>
      </c>
      <c r="Q2056" s="29">
        <v>44913.0</v>
      </c>
      <c r="R2056" s="30">
        <v>0.4951388888888889</v>
      </c>
      <c r="S2056" s="28">
        <v>0.0</v>
      </c>
      <c r="T2056" s="23" t="s">
        <v>170</v>
      </c>
      <c r="U2056" s="6"/>
      <c r="V2056" s="6"/>
      <c r="W2056" s="23">
        <v>29.7541682</v>
      </c>
      <c r="X2056" s="23">
        <v>-95.3362638</v>
      </c>
    </row>
    <row r="2057" ht="15.75" customHeight="1">
      <c r="A2057" s="23">
        <v>50394.0</v>
      </c>
      <c r="B2057" s="6">
        <v>2022.0</v>
      </c>
      <c r="C2057" s="6" t="str">
        <f t="shared" si="7"/>
        <v>6234 BRIAR TERRACE DR,Houston,TX</v>
      </c>
      <c r="D2057" s="23" t="s">
        <v>3434</v>
      </c>
      <c r="E2057" s="6" t="s">
        <v>25</v>
      </c>
      <c r="F2057" s="6" t="s">
        <v>1388</v>
      </c>
      <c r="G2057" s="6" t="s">
        <v>91</v>
      </c>
      <c r="H2057" s="23" t="s">
        <v>50</v>
      </c>
      <c r="I2057" s="6" t="str">
        <f>VLOOKUP(H2057,'Flow Location'!$A$1:$B$21,2,FALSE)</f>
        <v>Contained On Site, not within 5 ft. of Bayou/Surface Water/Drainage Ditch</v>
      </c>
      <c r="J2057" s="28">
        <v>0.0</v>
      </c>
      <c r="K2057" s="23" t="s">
        <v>51</v>
      </c>
      <c r="L2057" s="6" t="str">
        <f>VLOOKUP(K2057,'Structure type'!$A$1:$B$15,2,FALSE)</f>
        <v>Private Cleanout</v>
      </c>
      <c r="M2057" s="23" t="s">
        <v>30</v>
      </c>
      <c r="N2057" s="6" t="str">
        <f>VLOOKUP(M2057,'Excursion Cause'!$A$1:$B$34,2,FALSE)</f>
        <v>Grease Blockage</v>
      </c>
      <c r="O2057" s="29">
        <v>44913.0</v>
      </c>
      <c r="P2057" s="30">
        <v>0.5409722222222222</v>
      </c>
      <c r="Q2057" s="29">
        <v>44913.0</v>
      </c>
      <c r="R2057" s="30">
        <v>0.5416666666666666</v>
      </c>
      <c r="S2057" s="28">
        <v>0.0</v>
      </c>
      <c r="T2057" s="23" t="s">
        <v>59</v>
      </c>
      <c r="U2057" s="6"/>
      <c r="V2057" s="6"/>
      <c r="W2057" s="23">
        <v>29.7119037</v>
      </c>
      <c r="X2057" s="23">
        <v>-95.5698102</v>
      </c>
    </row>
    <row r="2058" ht="15.75" customHeight="1">
      <c r="A2058" s="23">
        <v>50399.0</v>
      </c>
      <c r="B2058" s="6">
        <v>2022.0</v>
      </c>
      <c r="C2058" s="6" t="str">
        <f t="shared" si="7"/>
        <v>6150 HOLLY SPRINGS DR,Houston,TX</v>
      </c>
      <c r="D2058" s="23" t="s">
        <v>3435</v>
      </c>
      <c r="E2058" s="6" t="s">
        <v>25</v>
      </c>
      <c r="F2058" s="6" t="s">
        <v>1388</v>
      </c>
      <c r="G2058" s="6" t="s">
        <v>689</v>
      </c>
      <c r="H2058" s="23" t="s">
        <v>50</v>
      </c>
      <c r="I2058" s="6" t="str">
        <f>VLOOKUP(H2058,'Flow Location'!$A$1:$B$21,2,FALSE)</f>
        <v>Contained On Site, not within 5 ft. of Bayou/Surface Water/Drainage Ditch</v>
      </c>
      <c r="J2058" s="28">
        <v>709.0</v>
      </c>
      <c r="K2058" s="23" t="s">
        <v>290</v>
      </c>
      <c r="L2058" s="6" t="str">
        <f>VLOOKUP(K2058,'Structure type'!$A$1:$B$15,2,FALSE)</f>
        <v>Gravity Main</v>
      </c>
      <c r="M2058" s="23" t="s">
        <v>52</v>
      </c>
      <c r="N2058" s="6" t="str">
        <f>VLOOKUP(M2058,'Excursion Cause'!$A$1:$B$34,2,FALSE)</f>
        <v>Collection system structural blockage</v>
      </c>
      <c r="O2058" s="29">
        <v>44914.0</v>
      </c>
      <c r="P2058" s="30">
        <v>0.4979166666666667</v>
      </c>
      <c r="Q2058" s="29">
        <v>44915.0</v>
      </c>
      <c r="R2058" s="30">
        <v>0.48333333333333334</v>
      </c>
      <c r="S2058" s="28">
        <v>0.0</v>
      </c>
      <c r="T2058" s="23" t="s">
        <v>118</v>
      </c>
      <c r="U2058" s="6"/>
      <c r="V2058" s="6"/>
      <c r="W2058" s="23">
        <v>29.7570718</v>
      </c>
      <c r="X2058" s="23">
        <v>-95.4920248</v>
      </c>
    </row>
    <row r="2059" ht="15.75" customHeight="1">
      <c r="A2059" s="23">
        <v>50402.0</v>
      </c>
      <c r="B2059" s="6">
        <v>2022.0</v>
      </c>
      <c r="C2059" s="6" t="str">
        <f t="shared" si="7"/>
        <v>8715 W LOOP FWY,Houston,TX</v>
      </c>
      <c r="D2059" s="23" t="s">
        <v>3436</v>
      </c>
      <c r="E2059" s="6" t="s">
        <v>25</v>
      </c>
      <c r="F2059" s="6" t="s">
        <v>1388</v>
      </c>
      <c r="G2059" s="23">
        <v>77096.0</v>
      </c>
      <c r="H2059" s="23" t="s">
        <v>28</v>
      </c>
      <c r="I2059" s="6" t="str">
        <f>VLOOKUP(H2059,'Flow Location'!$A$1:$B$21,2,FALSE)</f>
        <v>Storm Sewer (not contained)</v>
      </c>
      <c r="J2059" s="28">
        <v>157.0</v>
      </c>
      <c r="K2059" s="23" t="s">
        <v>29</v>
      </c>
      <c r="L2059" s="6" t="str">
        <f>VLOOKUP(K2059,'Structure type'!$A$1:$B$15,2,FALSE)</f>
        <v>Manhole</v>
      </c>
      <c r="M2059" s="23" t="s">
        <v>30</v>
      </c>
      <c r="N2059" s="6" t="str">
        <f>VLOOKUP(M2059,'Excursion Cause'!$A$1:$B$34,2,FALSE)</f>
        <v>Grease Blockage</v>
      </c>
      <c r="O2059" s="29">
        <v>44914.0</v>
      </c>
      <c r="P2059" s="30">
        <v>0.6895833333333333</v>
      </c>
      <c r="Q2059" s="29">
        <v>44914.0</v>
      </c>
      <c r="R2059" s="30">
        <v>0.7986111111111112</v>
      </c>
      <c r="S2059" s="28">
        <v>1.0</v>
      </c>
      <c r="T2059" s="23" t="s">
        <v>59</v>
      </c>
      <c r="U2059" s="6"/>
      <c r="V2059" s="6"/>
      <c r="W2059" s="23">
        <v>29.733646</v>
      </c>
      <c r="X2059" s="23">
        <v>-95.2668019</v>
      </c>
    </row>
    <row r="2060" ht="15.75" customHeight="1">
      <c r="A2060" s="23">
        <v>50403.0</v>
      </c>
      <c r="B2060" s="6">
        <v>2022.0</v>
      </c>
      <c r="C2060" s="6" t="str">
        <f t="shared" si="7"/>
        <v>5501 BEECHNUT ST,Houston,TX</v>
      </c>
      <c r="D2060" s="23" t="s">
        <v>3437</v>
      </c>
      <c r="E2060" s="6" t="s">
        <v>25</v>
      </c>
      <c r="F2060" s="6" t="s">
        <v>1388</v>
      </c>
      <c r="G2060" s="6" t="s">
        <v>69</v>
      </c>
      <c r="H2060" s="23" t="s">
        <v>28</v>
      </c>
      <c r="I2060" s="6" t="str">
        <f>VLOOKUP(H2060,'Flow Location'!$A$1:$B$21,2,FALSE)</f>
        <v>Storm Sewer (not contained)</v>
      </c>
      <c r="J2060" s="28">
        <v>0.0</v>
      </c>
      <c r="K2060" s="23" t="s">
        <v>29</v>
      </c>
      <c r="L2060" s="6" t="str">
        <f>VLOOKUP(K2060,'Structure type'!$A$1:$B$15,2,FALSE)</f>
        <v>Manhole</v>
      </c>
      <c r="M2060" s="23" t="s">
        <v>96</v>
      </c>
      <c r="N2060" s="6" t="str">
        <f>VLOOKUP(M2060,'Excursion Cause'!$A$1:$B$34,2,FALSE)</f>
        <v>Collection system temporary blockage</v>
      </c>
      <c r="O2060" s="29">
        <v>44915.0</v>
      </c>
      <c r="P2060" s="30">
        <v>0.23958333333333334</v>
      </c>
      <c r="Q2060" s="29">
        <v>44915.0</v>
      </c>
      <c r="R2060" s="30">
        <v>0.5083333333333333</v>
      </c>
      <c r="S2060" s="28">
        <v>0.0</v>
      </c>
      <c r="T2060" s="23" t="s">
        <v>107</v>
      </c>
      <c r="U2060" s="6"/>
      <c r="V2060" s="6"/>
      <c r="W2060" s="23">
        <v>29.6884855</v>
      </c>
      <c r="X2060" s="23">
        <v>-95.4853467</v>
      </c>
    </row>
    <row r="2061" ht="15.75" customHeight="1">
      <c r="A2061" s="23">
        <v>50405.0</v>
      </c>
      <c r="B2061" s="6">
        <v>2022.0</v>
      </c>
      <c r="C2061" s="6" t="str">
        <f t="shared" si="7"/>
        <v>12929 WESTPARK DR,Houston,TX</v>
      </c>
      <c r="D2061" s="23" t="s">
        <v>574</v>
      </c>
      <c r="E2061" s="6" t="s">
        <v>25</v>
      </c>
      <c r="F2061" s="6" t="s">
        <v>1388</v>
      </c>
      <c r="G2061" s="6" t="s">
        <v>313</v>
      </c>
      <c r="H2061" s="23" t="s">
        <v>28</v>
      </c>
      <c r="I2061" s="6" t="str">
        <f>VLOOKUP(H2061,'Flow Location'!$A$1:$B$21,2,FALSE)</f>
        <v>Storm Sewer (not contained)</v>
      </c>
      <c r="J2061" s="28">
        <v>214.0</v>
      </c>
      <c r="K2061" s="23" t="s">
        <v>29</v>
      </c>
      <c r="L2061" s="6" t="str">
        <f>VLOOKUP(K2061,'Structure type'!$A$1:$B$15,2,FALSE)</f>
        <v>Manhole</v>
      </c>
      <c r="M2061" s="23" t="s">
        <v>30</v>
      </c>
      <c r="N2061" s="6" t="str">
        <f>VLOOKUP(M2061,'Excursion Cause'!$A$1:$B$34,2,FALSE)</f>
        <v>Grease Blockage</v>
      </c>
      <c r="O2061" s="29">
        <v>44915.0</v>
      </c>
      <c r="P2061" s="30">
        <v>0.40347222222222223</v>
      </c>
      <c r="Q2061" s="29">
        <v>44915.0</v>
      </c>
      <c r="R2061" s="30">
        <v>0.5520833333333334</v>
      </c>
      <c r="S2061" s="28">
        <v>1.0</v>
      </c>
      <c r="T2061" s="23" t="s">
        <v>59</v>
      </c>
      <c r="U2061" s="6"/>
      <c r="V2061" s="6"/>
      <c r="W2061" s="23">
        <v>29.7218921</v>
      </c>
      <c r="X2061" s="23">
        <v>-95.6157</v>
      </c>
    </row>
    <row r="2062" ht="15.75" customHeight="1">
      <c r="A2062" s="23">
        <v>50407.0</v>
      </c>
      <c r="B2062" s="6">
        <v>2022.0</v>
      </c>
      <c r="C2062" s="6" t="str">
        <f t="shared" si="7"/>
        <v>1811 RUIZ ST,Houston,TX</v>
      </c>
      <c r="D2062" s="23" t="s">
        <v>3438</v>
      </c>
      <c r="E2062" s="6" t="s">
        <v>25</v>
      </c>
      <c r="F2062" s="6" t="s">
        <v>1388</v>
      </c>
      <c r="G2062" s="6" t="s">
        <v>463</v>
      </c>
      <c r="H2062" s="23" t="s">
        <v>1493</v>
      </c>
      <c r="I2062" s="6" t="str">
        <f>VLOOKUP(H2062,'Flow Location'!$A$1:$B$21,2,FALSE)</f>
        <v>Contained On Site, not within 5 ft. of Bayou/Surface Water/Drainage Ditch</v>
      </c>
      <c r="J2062" s="28">
        <v>612.0</v>
      </c>
      <c r="K2062" s="23" t="s">
        <v>29</v>
      </c>
      <c r="L2062" s="6" t="str">
        <f>VLOOKUP(K2062,'Structure type'!$A$1:$B$15,2,FALSE)</f>
        <v>Manhole</v>
      </c>
      <c r="M2062" s="23" t="s">
        <v>30</v>
      </c>
      <c r="N2062" s="6" t="str">
        <f>VLOOKUP(M2062,'Excursion Cause'!$A$1:$B$34,2,FALSE)</f>
        <v>Grease Blockage</v>
      </c>
      <c r="O2062" s="29">
        <v>44915.0</v>
      </c>
      <c r="P2062" s="30">
        <v>0.43333333333333335</v>
      </c>
      <c r="Q2062" s="29">
        <v>44915.0</v>
      </c>
      <c r="R2062" s="30">
        <v>0.6458333333333334</v>
      </c>
      <c r="S2062" s="28">
        <v>2.0</v>
      </c>
      <c r="T2062" s="23" t="s">
        <v>59</v>
      </c>
      <c r="U2062" s="6"/>
      <c r="V2062" s="6"/>
      <c r="W2062" s="23">
        <v>29.7606139</v>
      </c>
      <c r="X2062" s="23">
        <v>-95.3515034</v>
      </c>
    </row>
    <row r="2063" ht="15.75" customHeight="1">
      <c r="A2063" s="23">
        <v>50409.0</v>
      </c>
      <c r="B2063" s="6">
        <v>2022.0</v>
      </c>
      <c r="C2063" s="6" t="str">
        <f t="shared" si="7"/>
        <v>4023 HEATHERBLOOM DR,Houston,TX</v>
      </c>
      <c r="D2063" s="23" t="s">
        <v>3402</v>
      </c>
      <c r="E2063" s="6" t="s">
        <v>25</v>
      </c>
      <c r="F2063" s="6" t="s">
        <v>1388</v>
      </c>
      <c r="G2063" s="6" t="s">
        <v>39</v>
      </c>
      <c r="H2063" s="23" t="s">
        <v>50</v>
      </c>
      <c r="I2063" s="6" t="str">
        <f>VLOOKUP(H2063,'Flow Location'!$A$1:$B$21,2,FALSE)</f>
        <v>Contained On Site, not within 5 ft. of Bayou/Surface Water/Drainage Ditch</v>
      </c>
      <c r="J2063" s="28">
        <v>0.0</v>
      </c>
      <c r="K2063" s="23" t="s">
        <v>45</v>
      </c>
      <c r="L2063" s="6" t="str">
        <f>VLOOKUP(K2063,'Structure type'!$A$1:$B$15,2,FALSE)</f>
        <v>City Cleanout</v>
      </c>
      <c r="M2063" s="23" t="s">
        <v>30</v>
      </c>
      <c r="N2063" s="6" t="str">
        <f>VLOOKUP(M2063,'Excursion Cause'!$A$1:$B$34,2,FALSE)</f>
        <v>Grease Blockage</v>
      </c>
      <c r="O2063" s="29">
        <v>44914.0</v>
      </c>
      <c r="P2063" s="30">
        <v>0.5256944444444445</v>
      </c>
      <c r="Q2063" s="29">
        <v>44914.0</v>
      </c>
      <c r="R2063" s="30">
        <v>0.5263888888888889</v>
      </c>
      <c r="S2063" s="28">
        <v>0.0</v>
      </c>
      <c r="T2063" s="23" t="s">
        <v>74</v>
      </c>
      <c r="U2063" s="6"/>
      <c r="V2063" s="6"/>
      <c r="W2063" s="23">
        <v>29.6230512</v>
      </c>
      <c r="X2063" s="23">
        <v>-95.437558</v>
      </c>
    </row>
    <row r="2064" ht="15.75" customHeight="1">
      <c r="A2064" s="23">
        <v>50412.0</v>
      </c>
      <c r="B2064" s="6">
        <v>2022.0</v>
      </c>
      <c r="C2064" s="6" t="str">
        <f t="shared" si="7"/>
        <v>5 ADAMS ST,Houston,TX</v>
      </c>
      <c r="D2064" s="23" t="s">
        <v>3439</v>
      </c>
      <c r="E2064" s="6" t="s">
        <v>25</v>
      </c>
      <c r="F2064" s="6" t="s">
        <v>1388</v>
      </c>
      <c r="G2064" s="6" t="s">
        <v>227</v>
      </c>
      <c r="H2064" s="23" t="s">
        <v>50</v>
      </c>
      <c r="I2064" s="6" t="str">
        <f>VLOOKUP(H2064,'Flow Location'!$A$1:$B$21,2,FALSE)</f>
        <v>Contained On Site, not within 5 ft. of Bayou/Surface Water/Drainage Ditch</v>
      </c>
      <c r="J2064" s="28">
        <v>0.0</v>
      </c>
      <c r="K2064" s="23" t="s">
        <v>51</v>
      </c>
      <c r="L2064" s="6" t="str">
        <f>VLOOKUP(K2064,'Structure type'!$A$1:$B$15,2,FALSE)</f>
        <v>Private Cleanout</v>
      </c>
      <c r="M2064" s="23" t="s">
        <v>30</v>
      </c>
      <c r="N2064" s="6" t="str">
        <f>VLOOKUP(M2064,'Excursion Cause'!$A$1:$B$34,2,FALSE)</f>
        <v>Grease Blockage</v>
      </c>
      <c r="O2064" s="29">
        <v>44915.0</v>
      </c>
      <c r="P2064" s="30">
        <v>0.6076388888888888</v>
      </c>
      <c r="Q2064" s="29">
        <v>44915.0</v>
      </c>
      <c r="R2064" s="30">
        <v>0.6083333333333333</v>
      </c>
      <c r="S2064" s="28">
        <v>0.0</v>
      </c>
      <c r="T2064" s="23" t="s">
        <v>33</v>
      </c>
      <c r="U2064" s="6"/>
      <c r="V2064" s="6"/>
      <c r="W2064" s="23">
        <v>29.7462981</v>
      </c>
      <c r="X2064" s="23">
        <v>-95.3228338</v>
      </c>
    </row>
    <row r="2065" ht="15.75" customHeight="1">
      <c r="A2065" s="23">
        <v>50415.0</v>
      </c>
      <c r="B2065" s="6">
        <v>2022.0</v>
      </c>
      <c r="C2065" s="6" t="str">
        <f t="shared" si="7"/>
        <v>7216 AVENUE F,Houston,TX</v>
      </c>
      <c r="D2065" s="23" t="s">
        <v>3440</v>
      </c>
      <c r="E2065" s="6" t="s">
        <v>25</v>
      </c>
      <c r="F2065" s="6" t="s">
        <v>1388</v>
      </c>
      <c r="G2065" s="6" t="s">
        <v>227</v>
      </c>
      <c r="H2065" s="23" t="s">
        <v>50</v>
      </c>
      <c r="I2065" s="6" t="str">
        <f>VLOOKUP(H2065,'Flow Location'!$A$1:$B$21,2,FALSE)</f>
        <v>Contained On Site, not within 5 ft. of Bayou/Surface Water/Drainage Ditch</v>
      </c>
      <c r="J2065" s="28">
        <v>0.0</v>
      </c>
      <c r="K2065" s="23" t="s">
        <v>45</v>
      </c>
      <c r="L2065" s="6" t="str">
        <f>VLOOKUP(K2065,'Structure type'!$A$1:$B$15,2,FALSE)</f>
        <v>City Cleanout</v>
      </c>
      <c r="M2065" s="23" t="s">
        <v>30</v>
      </c>
      <c r="N2065" s="6" t="str">
        <f>VLOOKUP(M2065,'Excursion Cause'!$A$1:$B$34,2,FALSE)</f>
        <v>Grease Blockage</v>
      </c>
      <c r="O2065" s="29">
        <v>44915.0</v>
      </c>
      <c r="P2065" s="30">
        <v>0.7145833333333333</v>
      </c>
      <c r="Q2065" s="29">
        <v>44915.0</v>
      </c>
      <c r="R2065" s="30">
        <v>0.7152777777777778</v>
      </c>
      <c r="S2065" s="28">
        <v>0.0</v>
      </c>
      <c r="T2065" s="23" t="s">
        <v>3441</v>
      </c>
      <c r="U2065" s="6"/>
      <c r="V2065" s="6"/>
      <c r="W2065" s="23">
        <v>29.7372023</v>
      </c>
      <c r="X2065" s="23">
        <v>-95.2961608</v>
      </c>
    </row>
    <row r="2066" ht="15.75" customHeight="1">
      <c r="A2066" s="23">
        <v>50418.0</v>
      </c>
      <c r="B2066" s="6">
        <v>2022.0</v>
      </c>
      <c r="C2066" s="6" t="str">
        <f t="shared" si="7"/>
        <v>8241 BROCKTON ST,Houston,TX</v>
      </c>
      <c r="D2066" s="23" t="s">
        <v>3442</v>
      </c>
      <c r="E2066" s="6" t="s">
        <v>25</v>
      </c>
      <c r="F2066" s="6" t="s">
        <v>1388</v>
      </c>
      <c r="G2066" s="6" t="s">
        <v>135</v>
      </c>
      <c r="H2066" s="23" t="s">
        <v>44</v>
      </c>
      <c r="I2066" s="6" t="str">
        <f>VLOOKUP(H2066,'Flow Location'!$A$1:$B$21,2,FALSE)</f>
        <v>Bayou/surface water/drainage ditch</v>
      </c>
      <c r="J2066" s="28">
        <v>210.0</v>
      </c>
      <c r="K2066" s="23" t="s">
        <v>198</v>
      </c>
      <c r="L2066" s="6" t="str">
        <f>VLOOKUP(K2066,'Structure type'!$A$1:$B$15,2,FALSE)</f>
        <v>Service Lateral</v>
      </c>
      <c r="M2066" s="23" t="s">
        <v>81</v>
      </c>
      <c r="N2066" s="6" t="str">
        <f>VLOOKUP(M2066,'Excursion Cause'!$A$1:$B$34,2,FALSE)</f>
        <v>Collection system structural failure</v>
      </c>
      <c r="O2066" s="29">
        <v>44916.0</v>
      </c>
      <c r="P2066" s="30">
        <v>0.34930555555555554</v>
      </c>
      <c r="Q2066" s="29">
        <v>44916.0</v>
      </c>
      <c r="R2066" s="30">
        <v>0.4951388888888889</v>
      </c>
      <c r="S2066" s="28">
        <v>1.0</v>
      </c>
      <c r="T2066" s="23" t="s">
        <v>54</v>
      </c>
      <c r="U2066" s="6"/>
      <c r="V2066" s="6"/>
      <c r="W2066" s="23">
        <v>29.6993974</v>
      </c>
      <c r="X2066" s="23">
        <v>-95.2734026</v>
      </c>
    </row>
    <row r="2067" ht="15.75" customHeight="1">
      <c r="A2067" s="23">
        <v>50421.0</v>
      </c>
      <c r="B2067" s="6">
        <v>2022.0</v>
      </c>
      <c r="C2067" s="6" t="str">
        <f t="shared" si="7"/>
        <v>9018 PETERSHAM DR,Houston,TX</v>
      </c>
      <c r="D2067" s="23" t="s">
        <v>1356</v>
      </c>
      <c r="E2067" s="6" t="s">
        <v>25</v>
      </c>
      <c r="F2067" s="6" t="s">
        <v>1388</v>
      </c>
      <c r="G2067" s="6" t="s">
        <v>214</v>
      </c>
      <c r="H2067" s="23" t="s">
        <v>50</v>
      </c>
      <c r="I2067" s="6" t="str">
        <f>VLOOKUP(H2067,'Flow Location'!$A$1:$B$21,2,FALSE)</f>
        <v>Contained On Site, not within 5 ft. of Bayou/Surface Water/Drainage Ditch</v>
      </c>
      <c r="J2067" s="28">
        <v>0.0</v>
      </c>
      <c r="K2067" s="23" t="s">
        <v>45</v>
      </c>
      <c r="L2067" s="6" t="str">
        <f>VLOOKUP(K2067,'Structure type'!$A$1:$B$15,2,FALSE)</f>
        <v>City Cleanout</v>
      </c>
      <c r="M2067" s="23" t="s">
        <v>56</v>
      </c>
      <c r="N2067" s="6" t="str">
        <f>VLOOKUP(M2067,'Excursion Cause'!$A$1:$B$34,2,FALSE)</f>
        <v>Rags/Wipes</v>
      </c>
      <c r="O2067" s="29">
        <v>44916.0</v>
      </c>
      <c r="P2067" s="30">
        <v>0.4201388888888889</v>
      </c>
      <c r="Q2067" s="29">
        <v>44916.0</v>
      </c>
      <c r="R2067" s="30">
        <v>0.42083333333333334</v>
      </c>
      <c r="S2067" s="28">
        <v>0.0</v>
      </c>
      <c r="T2067" s="23" t="s">
        <v>74</v>
      </c>
      <c r="U2067" s="6"/>
      <c r="V2067" s="6"/>
      <c r="W2067" s="23">
        <v>29.6550843</v>
      </c>
      <c r="X2067" s="23">
        <v>-95.5425247</v>
      </c>
    </row>
    <row r="2068" ht="15.75" customHeight="1">
      <c r="A2068" s="23">
        <v>50426.0</v>
      </c>
      <c r="B2068" s="6">
        <v>2022.0</v>
      </c>
      <c r="C2068" s="6" t="str">
        <f t="shared" si="7"/>
        <v>7319 DALLAS ST,Houston,TX</v>
      </c>
      <c r="D2068" s="23" t="s">
        <v>3443</v>
      </c>
      <c r="E2068" s="6" t="s">
        <v>25</v>
      </c>
      <c r="F2068" s="6" t="s">
        <v>1388</v>
      </c>
      <c r="G2068" s="6" t="s">
        <v>227</v>
      </c>
      <c r="H2068" s="23" t="s">
        <v>28</v>
      </c>
      <c r="I2068" s="6" t="str">
        <f>VLOOKUP(H2068,'Flow Location'!$A$1:$B$21,2,FALSE)</f>
        <v>Storm Sewer (not contained)</v>
      </c>
      <c r="J2068" s="28">
        <v>618.0</v>
      </c>
      <c r="K2068" s="23" t="s">
        <v>51</v>
      </c>
      <c r="L2068" s="6" t="str">
        <f>VLOOKUP(K2068,'Structure type'!$A$1:$B$15,2,FALSE)</f>
        <v>Private Cleanout</v>
      </c>
      <c r="M2068" s="23" t="s">
        <v>30</v>
      </c>
      <c r="N2068" s="6" t="str">
        <f>VLOOKUP(M2068,'Excursion Cause'!$A$1:$B$34,2,FALSE)</f>
        <v>Grease Blockage</v>
      </c>
      <c r="O2068" s="29">
        <v>44916.0</v>
      </c>
      <c r="P2068" s="30">
        <v>0.5041666666666667</v>
      </c>
      <c r="Q2068" s="29">
        <v>44916.0</v>
      </c>
      <c r="R2068" s="30">
        <v>0.6472222222222223</v>
      </c>
      <c r="S2068" s="28">
        <v>3.0</v>
      </c>
      <c r="T2068" s="23" t="s">
        <v>33</v>
      </c>
      <c r="U2068" s="6"/>
      <c r="V2068" s="6"/>
      <c r="W2068" s="23">
        <v>29.7288145</v>
      </c>
      <c r="X2068" s="23">
        <v>-95.2985169</v>
      </c>
    </row>
    <row r="2069" ht="15.75" customHeight="1">
      <c r="A2069" s="23">
        <v>50427.0</v>
      </c>
      <c r="B2069" s="6">
        <v>2022.0</v>
      </c>
      <c r="C2069" s="6" t="str">
        <f t="shared" si="7"/>
        <v>8711 COMPTON ST,Houston,TX</v>
      </c>
      <c r="D2069" s="23" t="s">
        <v>3444</v>
      </c>
      <c r="E2069" s="6" t="s">
        <v>25</v>
      </c>
      <c r="F2069" s="6" t="s">
        <v>1388</v>
      </c>
      <c r="G2069" s="6" t="s">
        <v>326</v>
      </c>
      <c r="H2069" s="23" t="s">
        <v>28</v>
      </c>
      <c r="I2069" s="6" t="str">
        <f>VLOOKUP(H2069,'Flow Location'!$A$1:$B$21,2,FALSE)</f>
        <v>Storm Sewer (not contained)</v>
      </c>
      <c r="J2069" s="28">
        <v>0.0</v>
      </c>
      <c r="K2069" s="23" t="s">
        <v>29</v>
      </c>
      <c r="L2069" s="6" t="str">
        <f>VLOOKUP(K2069,'Structure type'!$A$1:$B$15,2,FALSE)</f>
        <v>Manhole</v>
      </c>
      <c r="M2069" s="23" t="s">
        <v>30</v>
      </c>
      <c r="N2069" s="6" t="str">
        <f>VLOOKUP(M2069,'Excursion Cause'!$A$1:$B$34,2,FALSE)</f>
        <v>Grease Blockage</v>
      </c>
      <c r="O2069" s="29">
        <v>44916.0</v>
      </c>
      <c r="P2069" s="30">
        <v>0.47430555555555554</v>
      </c>
      <c r="Q2069" s="29">
        <v>44916.0</v>
      </c>
      <c r="R2069" s="30">
        <v>0.475</v>
      </c>
      <c r="S2069" s="28">
        <v>0.0</v>
      </c>
      <c r="T2069" s="23" t="s">
        <v>33</v>
      </c>
      <c r="U2069" s="6"/>
      <c r="V2069" s="6"/>
      <c r="W2069" s="23">
        <v>29.8397718</v>
      </c>
      <c r="X2069" s="23">
        <v>-95.3062966</v>
      </c>
    </row>
    <row r="2070" ht="15.75" customHeight="1">
      <c r="A2070" s="23">
        <v>50431.0</v>
      </c>
      <c r="B2070" s="6">
        <v>2022.0</v>
      </c>
      <c r="C2070" s="6" t="str">
        <f t="shared" si="7"/>
        <v>1102 TEAL ST,Houston,TX</v>
      </c>
      <c r="D2070" s="23" t="s">
        <v>3445</v>
      </c>
      <c r="E2070" s="6" t="s">
        <v>25</v>
      </c>
      <c r="F2070" s="6" t="s">
        <v>1388</v>
      </c>
      <c r="G2070" s="6" t="s">
        <v>247</v>
      </c>
      <c r="H2070" s="23" t="s">
        <v>50</v>
      </c>
      <c r="I2070" s="6" t="str">
        <f>VLOOKUP(H2070,'Flow Location'!$A$1:$B$21,2,FALSE)</f>
        <v>Contained On Site, not within 5 ft. of Bayou/Surface Water/Drainage Ditch</v>
      </c>
      <c r="J2070" s="28">
        <v>0.0</v>
      </c>
      <c r="K2070" s="23" t="s">
        <v>198</v>
      </c>
      <c r="L2070" s="6" t="str">
        <f>VLOOKUP(K2070,'Structure type'!$A$1:$B$15,2,FALSE)</f>
        <v>Service Lateral</v>
      </c>
      <c r="M2070" s="23" t="s">
        <v>81</v>
      </c>
      <c r="N2070" s="6" t="str">
        <f>VLOOKUP(M2070,'Excursion Cause'!$A$1:$B$34,2,FALSE)</f>
        <v>Collection system structural failure</v>
      </c>
      <c r="O2070" s="29">
        <v>44916.0</v>
      </c>
      <c r="P2070" s="30">
        <v>0.5201388888888889</v>
      </c>
      <c r="Q2070" s="29">
        <v>44916.0</v>
      </c>
      <c r="R2070" s="30">
        <v>0.5208333333333334</v>
      </c>
      <c r="S2070" s="28">
        <v>0.0</v>
      </c>
      <c r="T2070" s="23" t="s">
        <v>118</v>
      </c>
      <c r="U2070" s="6"/>
      <c r="V2070" s="6"/>
      <c r="W2070" s="23">
        <v>29.7423327</v>
      </c>
      <c r="X2070" s="23">
        <v>-95.2670358</v>
      </c>
    </row>
    <row r="2071" ht="15.75" customHeight="1">
      <c r="A2071" s="23">
        <v>50432.0</v>
      </c>
      <c r="B2071" s="6">
        <v>2022.0</v>
      </c>
      <c r="C2071" s="6" t="str">
        <f t="shared" si="7"/>
        <v>4420 CREEKMONT DR,Houston,TX</v>
      </c>
      <c r="D2071" s="23" t="s">
        <v>3446</v>
      </c>
      <c r="E2071" s="6" t="s">
        <v>25</v>
      </c>
      <c r="F2071" s="6" t="s">
        <v>1388</v>
      </c>
      <c r="G2071" s="6" t="s">
        <v>222</v>
      </c>
      <c r="H2071" s="23" t="s">
        <v>1977</v>
      </c>
      <c r="I2071" s="6" t="str">
        <f>VLOOKUP(H2071,'Flow Location'!$A$1:$B$21,2,FALSE)</f>
        <v>Bayou/surface water/drainage ditch</v>
      </c>
      <c r="J2071" s="28">
        <v>1532.0</v>
      </c>
      <c r="K2071" s="23" t="s">
        <v>29</v>
      </c>
      <c r="L2071" s="6" t="str">
        <f>VLOOKUP(K2071,'Structure type'!$A$1:$B$15,2,FALSE)</f>
        <v>Manhole</v>
      </c>
      <c r="M2071" s="23" t="s">
        <v>30</v>
      </c>
      <c r="N2071" s="6" t="str">
        <f>VLOOKUP(M2071,'Excursion Cause'!$A$1:$B$34,2,FALSE)</f>
        <v>Grease Blockage</v>
      </c>
      <c r="O2071" s="29">
        <v>44916.0</v>
      </c>
      <c r="P2071" s="30">
        <v>0.5583333333333333</v>
      </c>
      <c r="Q2071" s="29">
        <v>44917.0</v>
      </c>
      <c r="R2071" s="30">
        <v>0.6222222222222222</v>
      </c>
      <c r="S2071" s="28">
        <v>1.0</v>
      </c>
      <c r="T2071" s="23" t="s">
        <v>33</v>
      </c>
      <c r="U2071" s="6"/>
      <c r="V2071" s="6"/>
      <c r="W2071" s="23">
        <v>29.8427483</v>
      </c>
      <c r="X2071" s="23">
        <v>-95.4526779</v>
      </c>
    </row>
    <row r="2072" ht="15.75" customHeight="1">
      <c r="A2072" s="23">
        <v>50441.0</v>
      </c>
      <c r="B2072" s="6">
        <v>2022.0</v>
      </c>
      <c r="C2072" s="6" t="str">
        <f t="shared" si="7"/>
        <v>8715 W LOOP FWY,Houston,TX</v>
      </c>
      <c r="D2072" s="23" t="s">
        <v>3436</v>
      </c>
      <c r="E2072" s="6" t="s">
        <v>25</v>
      </c>
      <c r="F2072" s="6" t="s">
        <v>1388</v>
      </c>
      <c r="G2072" s="23">
        <v>77096.0</v>
      </c>
      <c r="H2072" s="23" t="s">
        <v>50</v>
      </c>
      <c r="I2072" s="6" t="str">
        <f>VLOOKUP(H2072,'Flow Location'!$A$1:$B$21,2,FALSE)</f>
        <v>Contained On Site, not within 5 ft. of Bayou/Surface Water/Drainage Ditch</v>
      </c>
      <c r="J2072" s="28">
        <v>0.0</v>
      </c>
      <c r="K2072" s="23" t="s">
        <v>29</v>
      </c>
      <c r="L2072" s="6" t="str">
        <f>VLOOKUP(K2072,'Structure type'!$A$1:$B$15,2,FALSE)</f>
        <v>Manhole</v>
      </c>
      <c r="M2072" s="23" t="s">
        <v>30</v>
      </c>
      <c r="N2072" s="6" t="str">
        <f>VLOOKUP(M2072,'Excursion Cause'!$A$1:$B$34,2,FALSE)</f>
        <v>Grease Blockage</v>
      </c>
      <c r="O2072" s="29">
        <v>44914.0</v>
      </c>
      <c r="P2072" s="30">
        <v>0.36319444444444443</v>
      </c>
      <c r="Q2072" s="29">
        <v>44914.0</v>
      </c>
      <c r="R2072" s="30">
        <v>0.3638888888888889</v>
      </c>
      <c r="S2072" s="28">
        <v>0.0</v>
      </c>
      <c r="T2072" s="23" t="s">
        <v>33</v>
      </c>
      <c r="U2072" s="6"/>
      <c r="V2072" s="6"/>
      <c r="W2072" s="23">
        <v>29.733646</v>
      </c>
      <c r="X2072" s="23">
        <v>-95.2668019</v>
      </c>
    </row>
    <row r="2073" ht="15.75" customHeight="1">
      <c r="A2073" s="23">
        <v>50446.0</v>
      </c>
      <c r="B2073" s="6">
        <v>2022.0</v>
      </c>
      <c r="C2073" s="6" t="str">
        <f t="shared" si="7"/>
        <v>4911 E RIDGE CREEK DR,Houston,TX</v>
      </c>
      <c r="D2073" s="23" t="s">
        <v>2638</v>
      </c>
      <c r="E2073" s="6" t="s">
        <v>25</v>
      </c>
      <c r="F2073" s="6" t="s">
        <v>1388</v>
      </c>
      <c r="G2073" s="6" t="s">
        <v>517</v>
      </c>
      <c r="H2073" s="23" t="s">
        <v>28</v>
      </c>
      <c r="I2073" s="6" t="str">
        <f>VLOOKUP(H2073,'Flow Location'!$A$1:$B$21,2,FALSE)</f>
        <v>Storm Sewer (not contained)</v>
      </c>
      <c r="J2073" s="28">
        <v>8190.0</v>
      </c>
      <c r="K2073" s="23" t="s">
        <v>29</v>
      </c>
      <c r="L2073" s="6" t="str">
        <f>VLOOKUP(K2073,'Structure type'!$A$1:$B$15,2,FALSE)</f>
        <v>Manhole</v>
      </c>
      <c r="M2073" s="23" t="s">
        <v>30</v>
      </c>
      <c r="N2073" s="6" t="str">
        <f>VLOOKUP(M2073,'Excursion Cause'!$A$1:$B$34,2,FALSE)</f>
        <v>Grease Blockage</v>
      </c>
      <c r="O2073" s="29">
        <v>44917.0</v>
      </c>
      <c r="P2073" s="30">
        <v>0.6111111111111112</v>
      </c>
      <c r="Q2073" s="29">
        <v>44919.0</v>
      </c>
      <c r="R2073" s="30">
        <v>0.5069444444444444</v>
      </c>
      <c r="S2073" s="28">
        <v>3.0</v>
      </c>
      <c r="T2073" s="23" t="s">
        <v>33</v>
      </c>
      <c r="U2073" s="6"/>
      <c r="V2073" s="6"/>
      <c r="W2073" s="23">
        <v>29.5880624</v>
      </c>
      <c r="X2073" s="23">
        <v>-95.4541388</v>
      </c>
    </row>
    <row r="2074" ht="15.75" customHeight="1">
      <c r="A2074" s="23">
        <v>50452.0</v>
      </c>
      <c r="B2074" s="6">
        <v>2022.0</v>
      </c>
      <c r="C2074" s="6" t="str">
        <f t="shared" si="7"/>
        <v>7825 CORPORATE DR,Houston,TX</v>
      </c>
      <c r="D2074" s="23" t="s">
        <v>3447</v>
      </c>
      <c r="E2074" s="6" t="s">
        <v>25</v>
      </c>
      <c r="F2074" s="6" t="s">
        <v>1388</v>
      </c>
      <c r="G2074" s="6" t="s">
        <v>100</v>
      </c>
      <c r="H2074" s="23" t="s">
        <v>28</v>
      </c>
      <c r="I2074" s="6" t="str">
        <f>VLOOKUP(H2074,'Flow Location'!$A$1:$B$21,2,FALSE)</f>
        <v>Storm Sewer (not contained)</v>
      </c>
      <c r="J2074" s="28">
        <v>292.0</v>
      </c>
      <c r="K2074" s="23" t="s">
        <v>29</v>
      </c>
      <c r="L2074" s="6" t="str">
        <f>VLOOKUP(K2074,'Structure type'!$A$1:$B$15,2,FALSE)</f>
        <v>Manhole</v>
      </c>
      <c r="M2074" s="23" t="s">
        <v>30</v>
      </c>
      <c r="N2074" s="6" t="str">
        <f>VLOOKUP(M2074,'Excursion Cause'!$A$1:$B$34,2,FALSE)</f>
        <v>Grease Blockage</v>
      </c>
      <c r="O2074" s="29">
        <v>44918.0</v>
      </c>
      <c r="P2074" s="30">
        <v>0.41180555555555554</v>
      </c>
      <c r="Q2074" s="29">
        <v>44918.0</v>
      </c>
      <c r="R2074" s="30">
        <v>0.6145833333333334</v>
      </c>
      <c r="S2074" s="28">
        <v>1.0</v>
      </c>
      <c r="T2074" s="23" t="s">
        <v>33</v>
      </c>
      <c r="U2074" s="6"/>
      <c r="V2074" s="6"/>
      <c r="W2074" s="23">
        <v>29.6932782</v>
      </c>
      <c r="X2074" s="23">
        <v>-95.5507563</v>
      </c>
    </row>
    <row r="2075" ht="15.75" customHeight="1">
      <c r="A2075" s="23">
        <v>50455.0</v>
      </c>
      <c r="B2075" s="6">
        <v>2022.0</v>
      </c>
      <c r="C2075" s="6" t="str">
        <f t="shared" si="7"/>
        <v>8800 GUSTINE LN,Houston,TX</v>
      </c>
      <c r="D2075" s="23" t="s">
        <v>2896</v>
      </c>
      <c r="E2075" s="6" t="s">
        <v>25</v>
      </c>
      <c r="F2075" s="6" t="s">
        <v>1388</v>
      </c>
      <c r="G2075" s="6" t="s">
        <v>214</v>
      </c>
      <c r="H2075" s="23" t="s">
        <v>28</v>
      </c>
      <c r="I2075" s="6" t="str">
        <f>VLOOKUP(H2075,'Flow Location'!$A$1:$B$21,2,FALSE)</f>
        <v>Storm Sewer (not contained)</v>
      </c>
      <c r="J2075" s="28">
        <v>393.0</v>
      </c>
      <c r="K2075" s="23" t="s">
        <v>29</v>
      </c>
      <c r="L2075" s="6" t="str">
        <f>VLOOKUP(K2075,'Structure type'!$A$1:$B$15,2,FALSE)</f>
        <v>Manhole</v>
      </c>
      <c r="M2075" s="23" t="s">
        <v>30</v>
      </c>
      <c r="N2075" s="6" t="str">
        <f>VLOOKUP(M2075,'Excursion Cause'!$A$1:$B$34,2,FALSE)</f>
        <v>Grease Blockage</v>
      </c>
      <c r="O2075" s="29">
        <v>44919.0</v>
      </c>
      <c r="P2075" s="30">
        <v>0.44027777777777777</v>
      </c>
      <c r="Q2075" s="29">
        <v>44919.0</v>
      </c>
      <c r="R2075" s="30">
        <v>0.53125</v>
      </c>
      <c r="S2075" s="28">
        <v>3.0</v>
      </c>
      <c r="T2075" s="23" t="s">
        <v>33</v>
      </c>
      <c r="U2075" s="6"/>
      <c r="V2075" s="6"/>
      <c r="W2075" s="23">
        <v>29.6696517</v>
      </c>
      <c r="X2075" s="23">
        <v>-95.5357601</v>
      </c>
    </row>
    <row r="2076" ht="15.75" customHeight="1">
      <c r="A2076" s="23">
        <v>50456.0</v>
      </c>
      <c r="B2076" s="6">
        <v>2022.0</v>
      </c>
      <c r="C2076" s="6" t="str">
        <f t="shared" si="7"/>
        <v>11531 MISTY GLEN LN,Houston,TX</v>
      </c>
      <c r="D2076" s="23" t="s">
        <v>3448</v>
      </c>
      <c r="E2076" s="6" t="s">
        <v>25</v>
      </c>
      <c r="F2076" s="6" t="s">
        <v>1388</v>
      </c>
      <c r="G2076" s="6" t="s">
        <v>154</v>
      </c>
      <c r="H2076" s="23" t="s">
        <v>28</v>
      </c>
      <c r="I2076" s="6" t="str">
        <f>VLOOKUP(H2076,'Flow Location'!$A$1:$B$21,2,FALSE)</f>
        <v>Storm Sewer (not contained)</v>
      </c>
      <c r="J2076" s="28">
        <v>201.0</v>
      </c>
      <c r="K2076" s="23" t="s">
        <v>29</v>
      </c>
      <c r="L2076" s="6" t="str">
        <f>VLOOKUP(K2076,'Structure type'!$A$1:$B$15,2,FALSE)</f>
        <v>Manhole</v>
      </c>
      <c r="M2076" s="23" t="s">
        <v>30</v>
      </c>
      <c r="N2076" s="6" t="str">
        <f>VLOOKUP(M2076,'Excursion Cause'!$A$1:$B$34,2,FALSE)</f>
        <v>Grease Blockage</v>
      </c>
      <c r="O2076" s="29">
        <v>44919.0</v>
      </c>
      <c r="P2076" s="30">
        <v>0.475</v>
      </c>
      <c r="Q2076" s="29">
        <v>44919.0</v>
      </c>
      <c r="R2076" s="30">
        <v>0.6145833333333334</v>
      </c>
      <c r="S2076" s="28">
        <v>1.0</v>
      </c>
      <c r="T2076" s="23" t="s">
        <v>59</v>
      </c>
      <c r="U2076" s="6"/>
      <c r="V2076" s="6"/>
      <c r="W2076" s="23">
        <v>29.6560861</v>
      </c>
      <c r="X2076" s="23">
        <v>-95.5783619</v>
      </c>
    </row>
    <row r="2077" ht="15.75" customHeight="1">
      <c r="A2077" s="23">
        <v>50459.0</v>
      </c>
      <c r="B2077" s="6">
        <v>2022.0</v>
      </c>
      <c r="C2077" s="6" t="str">
        <f t="shared" si="7"/>
        <v>9725 BUCROFT ST,Houston,TX</v>
      </c>
      <c r="D2077" s="23" t="s">
        <v>3449</v>
      </c>
      <c r="E2077" s="6" t="s">
        <v>25</v>
      </c>
      <c r="F2077" s="6" t="s">
        <v>1388</v>
      </c>
      <c r="G2077" s="6" t="s">
        <v>247</v>
      </c>
      <c r="H2077" s="23" t="s">
        <v>28</v>
      </c>
      <c r="I2077" s="6" t="str">
        <f>VLOOKUP(H2077,'Flow Location'!$A$1:$B$21,2,FALSE)</f>
        <v>Storm Sewer (not contained)</v>
      </c>
      <c r="J2077" s="28">
        <v>0.0</v>
      </c>
      <c r="K2077" s="23" t="s">
        <v>45</v>
      </c>
      <c r="L2077" s="6" t="str">
        <f>VLOOKUP(K2077,'Structure type'!$A$1:$B$15,2,FALSE)</f>
        <v>City Cleanout</v>
      </c>
      <c r="M2077" s="23" t="s">
        <v>56</v>
      </c>
      <c r="N2077" s="6" t="str">
        <f>VLOOKUP(M2077,'Excursion Cause'!$A$1:$B$34,2,FALSE)</f>
        <v>Rags/Wipes</v>
      </c>
      <c r="O2077" s="29">
        <v>44919.0</v>
      </c>
      <c r="P2077" s="30">
        <v>0.60625</v>
      </c>
      <c r="Q2077" s="29">
        <v>44919.0</v>
      </c>
      <c r="R2077" s="30">
        <v>0.6069444444444444</v>
      </c>
      <c r="S2077" s="28">
        <v>0.0</v>
      </c>
      <c r="T2077" s="23" t="s">
        <v>74</v>
      </c>
      <c r="U2077" s="6"/>
      <c r="V2077" s="6"/>
      <c r="W2077" s="23">
        <v>29.7576471</v>
      </c>
      <c r="X2077" s="23">
        <v>-95.256292</v>
      </c>
    </row>
    <row r="2078" ht="15.75" customHeight="1">
      <c r="A2078" s="23">
        <v>50460.0</v>
      </c>
      <c r="B2078" s="6">
        <v>2022.0</v>
      </c>
      <c r="C2078" s="6" t="str">
        <f t="shared" si="7"/>
        <v>7575 BISSONNET ST,Houston,TX</v>
      </c>
      <c r="D2078" s="23" t="s">
        <v>3450</v>
      </c>
      <c r="E2078" s="6" t="s">
        <v>25</v>
      </c>
      <c r="F2078" s="6" t="s">
        <v>1388</v>
      </c>
      <c r="G2078" s="6" t="s">
        <v>471</v>
      </c>
      <c r="H2078" s="23" t="s">
        <v>50</v>
      </c>
      <c r="I2078" s="6" t="str">
        <f>VLOOKUP(H2078,'Flow Location'!$A$1:$B$21,2,FALSE)</f>
        <v>Contained On Site, not within 5 ft. of Bayou/Surface Water/Drainage Ditch</v>
      </c>
      <c r="J2078" s="28">
        <v>135.0</v>
      </c>
      <c r="K2078" s="23" t="s">
        <v>29</v>
      </c>
      <c r="L2078" s="6" t="str">
        <f>VLOOKUP(K2078,'Structure type'!$A$1:$B$15,2,FALSE)</f>
        <v>Manhole</v>
      </c>
      <c r="M2078" s="23" t="s">
        <v>30</v>
      </c>
      <c r="N2078" s="6" t="str">
        <f>VLOOKUP(M2078,'Excursion Cause'!$A$1:$B$34,2,FALSE)</f>
        <v>Grease Blockage</v>
      </c>
      <c r="O2078" s="29">
        <v>44920.0</v>
      </c>
      <c r="P2078" s="30">
        <v>0.34375</v>
      </c>
      <c r="Q2078" s="29">
        <v>44920.0</v>
      </c>
      <c r="R2078" s="30">
        <v>0.4375</v>
      </c>
      <c r="S2078" s="28">
        <v>1.0</v>
      </c>
      <c r="T2078" s="23" t="s">
        <v>59</v>
      </c>
      <c r="U2078" s="6"/>
      <c r="V2078" s="6"/>
      <c r="W2078" s="23">
        <v>29.6826834</v>
      </c>
      <c r="X2078" s="23">
        <v>-95.5149838</v>
      </c>
    </row>
    <row r="2079" ht="15.75" customHeight="1">
      <c r="A2079" s="23">
        <v>50464.0</v>
      </c>
      <c r="B2079" s="6">
        <v>2022.0</v>
      </c>
      <c r="C2079" s="6" t="str">
        <f t="shared" si="7"/>
        <v>960 KIRBY DR,Houston,TX</v>
      </c>
      <c r="D2079" s="23" t="s">
        <v>3451</v>
      </c>
      <c r="E2079" s="6" t="s">
        <v>25</v>
      </c>
      <c r="F2079" s="6" t="s">
        <v>1388</v>
      </c>
      <c r="G2079" s="6" t="s">
        <v>80</v>
      </c>
      <c r="H2079" s="23" t="s">
        <v>28</v>
      </c>
      <c r="I2079" s="6" t="str">
        <f>VLOOKUP(H2079,'Flow Location'!$A$1:$B$21,2,FALSE)</f>
        <v>Storm Sewer (not contained)</v>
      </c>
      <c r="J2079" s="28">
        <v>0.0</v>
      </c>
      <c r="K2079" s="23" t="s">
        <v>29</v>
      </c>
      <c r="L2079" s="6" t="str">
        <f>VLOOKUP(K2079,'Structure type'!$A$1:$B$15,2,FALSE)</f>
        <v>Manhole</v>
      </c>
      <c r="M2079" s="23" t="s">
        <v>30</v>
      </c>
      <c r="N2079" s="6" t="str">
        <f>VLOOKUP(M2079,'Excursion Cause'!$A$1:$B$34,2,FALSE)</f>
        <v>Grease Blockage</v>
      </c>
      <c r="O2079" s="29">
        <v>44920.0</v>
      </c>
      <c r="P2079" s="30">
        <v>0.5159722222222223</v>
      </c>
      <c r="Q2079" s="29">
        <v>44920.0</v>
      </c>
      <c r="R2079" s="30">
        <v>0.5166666666666667</v>
      </c>
      <c r="S2079" s="28">
        <v>0.0</v>
      </c>
      <c r="T2079" s="23" t="s">
        <v>59</v>
      </c>
      <c r="U2079" s="6"/>
      <c r="V2079" s="6"/>
      <c r="W2079" s="23">
        <v>29.7591903</v>
      </c>
      <c r="X2079" s="23">
        <v>-95.41241</v>
      </c>
    </row>
    <row r="2080" ht="15.75" customHeight="1">
      <c r="A2080" s="23">
        <v>50467.0</v>
      </c>
      <c r="B2080" s="6">
        <v>2022.0</v>
      </c>
      <c r="C2080" s="6" t="str">
        <f t="shared" si="7"/>
        <v>8302 SUMMER QUAIL DR,Houston,TX</v>
      </c>
      <c r="D2080" s="23" t="s">
        <v>3452</v>
      </c>
      <c r="E2080" s="6" t="s">
        <v>25</v>
      </c>
      <c r="F2080" s="6" t="s">
        <v>1388</v>
      </c>
      <c r="G2080" s="6" t="s">
        <v>166</v>
      </c>
      <c r="H2080" s="23" t="s">
        <v>50</v>
      </c>
      <c r="I2080" s="6" t="str">
        <f>VLOOKUP(H2080,'Flow Location'!$A$1:$B$21,2,FALSE)</f>
        <v>Contained On Site, not within 5 ft. of Bayou/Surface Water/Drainage Ditch</v>
      </c>
      <c r="J2080" s="28">
        <v>0.0</v>
      </c>
      <c r="K2080" s="23" t="s">
        <v>29</v>
      </c>
      <c r="L2080" s="6" t="str">
        <f>VLOOKUP(K2080,'Structure type'!$A$1:$B$15,2,FALSE)</f>
        <v>Manhole</v>
      </c>
      <c r="M2080" s="23" t="s">
        <v>30</v>
      </c>
      <c r="N2080" s="6" t="str">
        <f>VLOOKUP(M2080,'Excursion Cause'!$A$1:$B$34,2,FALSE)</f>
        <v>Grease Blockage</v>
      </c>
      <c r="O2080" s="29">
        <v>44921.0</v>
      </c>
      <c r="P2080" s="30">
        <v>0.3784722222222222</v>
      </c>
      <c r="Q2080" s="29">
        <v>44921.0</v>
      </c>
      <c r="R2080" s="30">
        <v>0.37916666666666665</v>
      </c>
      <c r="S2080" s="28">
        <v>0.0</v>
      </c>
      <c r="T2080" s="23" t="s">
        <v>59</v>
      </c>
      <c r="U2080" s="6"/>
      <c r="V2080" s="6"/>
      <c r="W2080" s="23">
        <v>29.5871718</v>
      </c>
      <c r="X2080" s="23">
        <v>-95.5130415</v>
      </c>
    </row>
    <row r="2081" ht="15.75" customHeight="1">
      <c r="A2081" s="23">
        <v>50469.0</v>
      </c>
      <c r="B2081" s="6">
        <v>2022.0</v>
      </c>
      <c r="C2081" s="6" t="str">
        <f t="shared" si="7"/>
        <v>6702 TELEPHONE RD,Houston,TX</v>
      </c>
      <c r="D2081" s="23" t="s">
        <v>1114</v>
      </c>
      <c r="E2081" s="6" t="s">
        <v>25</v>
      </c>
      <c r="F2081" s="6" t="s">
        <v>1388</v>
      </c>
      <c r="G2081" s="6" t="s">
        <v>398</v>
      </c>
      <c r="H2081" s="23" t="s">
        <v>50</v>
      </c>
      <c r="I2081" s="6" t="str">
        <f>VLOOKUP(H2081,'Flow Location'!$A$1:$B$21,2,FALSE)</f>
        <v>Contained On Site, not within 5 ft. of Bayou/Surface Water/Drainage Ditch</v>
      </c>
      <c r="J2081" s="28">
        <v>310.0</v>
      </c>
      <c r="K2081" s="23" t="s">
        <v>29</v>
      </c>
      <c r="L2081" s="6" t="str">
        <f>VLOOKUP(K2081,'Structure type'!$A$1:$B$15,2,FALSE)</f>
        <v>Manhole</v>
      </c>
      <c r="M2081" s="23" t="s">
        <v>30</v>
      </c>
      <c r="N2081" s="6" t="str">
        <f>VLOOKUP(M2081,'Excursion Cause'!$A$1:$B$34,2,FALSE)</f>
        <v>Grease Blockage</v>
      </c>
      <c r="O2081" s="29">
        <v>44921.0</v>
      </c>
      <c r="P2081" s="30">
        <v>0.4548611111111111</v>
      </c>
      <c r="Q2081" s="29">
        <v>44921.0</v>
      </c>
      <c r="R2081" s="30">
        <v>0.5625</v>
      </c>
      <c r="S2081" s="28">
        <v>2.0</v>
      </c>
      <c r="T2081" s="23" t="s">
        <v>59</v>
      </c>
      <c r="U2081" s="6"/>
      <c r="V2081" s="6"/>
      <c r="W2081" s="23">
        <v>29.6670447</v>
      </c>
      <c r="X2081" s="23">
        <v>-95.2897107</v>
      </c>
    </row>
    <row r="2082" ht="15.75" customHeight="1">
      <c r="A2082" s="23">
        <v>50470.0</v>
      </c>
      <c r="B2082" s="6">
        <v>2022.0</v>
      </c>
      <c r="C2082" s="6" t="str">
        <f t="shared" si="7"/>
        <v>1811 RUIZ ST,Houston,TX</v>
      </c>
      <c r="D2082" s="23" t="s">
        <v>3438</v>
      </c>
      <c r="E2082" s="6" t="s">
        <v>25</v>
      </c>
      <c r="F2082" s="6" t="s">
        <v>1388</v>
      </c>
      <c r="G2082" s="6" t="s">
        <v>463</v>
      </c>
      <c r="H2082" s="23" t="s">
        <v>50</v>
      </c>
      <c r="I2082" s="6" t="str">
        <f>VLOOKUP(H2082,'Flow Location'!$A$1:$B$21,2,FALSE)</f>
        <v>Contained On Site, not within 5 ft. of Bayou/Surface Water/Drainage Ditch</v>
      </c>
      <c r="J2082" s="28">
        <v>0.0</v>
      </c>
      <c r="K2082" s="23" t="s">
        <v>29</v>
      </c>
      <c r="L2082" s="6" t="str">
        <f>VLOOKUP(K2082,'Structure type'!$A$1:$B$15,2,FALSE)</f>
        <v>Manhole</v>
      </c>
      <c r="M2082" s="23" t="s">
        <v>56</v>
      </c>
      <c r="N2082" s="6" t="str">
        <f>VLOOKUP(M2082,'Excursion Cause'!$A$1:$B$34,2,FALSE)</f>
        <v>Rags/Wipes</v>
      </c>
      <c r="O2082" s="29">
        <v>44921.0</v>
      </c>
      <c r="P2082" s="30">
        <v>0.44722222222222224</v>
      </c>
      <c r="Q2082" s="29">
        <v>44921.0</v>
      </c>
      <c r="R2082" s="30">
        <v>0.4479166666666667</v>
      </c>
      <c r="S2082" s="28">
        <v>0.0</v>
      </c>
      <c r="T2082" s="23" t="s">
        <v>59</v>
      </c>
      <c r="U2082" s="6"/>
      <c r="V2082" s="6"/>
      <c r="W2082" s="23">
        <v>29.7606139</v>
      </c>
      <c r="X2082" s="23">
        <v>-95.3515034</v>
      </c>
    </row>
    <row r="2083" ht="15.75" customHeight="1">
      <c r="A2083" s="23">
        <v>50482.0</v>
      </c>
      <c r="B2083" s="6">
        <v>2022.0</v>
      </c>
      <c r="C2083" s="6" t="str">
        <f t="shared" si="7"/>
        <v>13513 CORPUS CHRISTI ST,Houston,TX</v>
      </c>
      <c r="D2083" s="23" t="s">
        <v>3453</v>
      </c>
      <c r="E2083" s="6" t="s">
        <v>25</v>
      </c>
      <c r="F2083" s="6" t="s">
        <v>1388</v>
      </c>
      <c r="G2083" s="6" t="s">
        <v>623</v>
      </c>
      <c r="H2083" s="23" t="s">
        <v>50</v>
      </c>
      <c r="I2083" s="6" t="str">
        <f>VLOOKUP(H2083,'Flow Location'!$A$1:$B$21,2,FALSE)</f>
        <v>Contained On Site, not within 5 ft. of Bayou/Surface Water/Drainage Ditch</v>
      </c>
      <c r="J2083" s="28">
        <v>0.0</v>
      </c>
      <c r="K2083" s="23" t="s">
        <v>29</v>
      </c>
      <c r="L2083" s="6" t="str">
        <f>VLOOKUP(K2083,'Structure type'!$A$1:$B$15,2,FALSE)</f>
        <v>Manhole</v>
      </c>
      <c r="M2083" s="23" t="s">
        <v>30</v>
      </c>
      <c r="N2083" s="6" t="str">
        <f>VLOOKUP(M2083,'Excursion Cause'!$A$1:$B$34,2,FALSE)</f>
        <v>Grease Blockage</v>
      </c>
      <c r="O2083" s="29">
        <v>44922.0</v>
      </c>
      <c r="P2083" s="30">
        <v>0.38819444444444445</v>
      </c>
      <c r="Q2083" s="29">
        <v>44922.0</v>
      </c>
      <c r="R2083" s="30">
        <v>0.3888888888888889</v>
      </c>
      <c r="S2083" s="28">
        <v>0.0</v>
      </c>
      <c r="T2083" s="23" t="s">
        <v>33</v>
      </c>
      <c r="U2083" s="6"/>
      <c r="V2083" s="6"/>
      <c r="W2083" s="23">
        <v>29.7830108</v>
      </c>
      <c r="X2083" s="23">
        <v>-95.1839163</v>
      </c>
    </row>
    <row r="2084" ht="15.75" customHeight="1">
      <c r="A2084" s="23">
        <v>50483.0</v>
      </c>
      <c r="B2084" s="6">
        <v>2022.0</v>
      </c>
      <c r="C2084" s="6" t="str">
        <f t="shared" si="7"/>
        <v>4320 EUROPA ST,Houston,TX</v>
      </c>
      <c r="D2084" s="23" t="s">
        <v>3454</v>
      </c>
      <c r="E2084" s="6" t="s">
        <v>25</v>
      </c>
      <c r="F2084" s="6" t="s">
        <v>1388</v>
      </c>
      <c r="G2084" s="6" t="s">
        <v>653</v>
      </c>
      <c r="H2084" s="23" t="s">
        <v>50</v>
      </c>
      <c r="I2084" s="6" t="str">
        <f>VLOOKUP(H2084,'Flow Location'!$A$1:$B$21,2,FALSE)</f>
        <v>Contained On Site, not within 5 ft. of Bayou/Surface Water/Drainage Ditch</v>
      </c>
      <c r="J2084" s="28">
        <v>0.0</v>
      </c>
      <c r="K2084" s="23" t="s">
        <v>45</v>
      </c>
      <c r="L2084" s="6" t="str">
        <f>VLOOKUP(K2084,'Structure type'!$A$1:$B$15,2,FALSE)</f>
        <v>City Cleanout</v>
      </c>
      <c r="M2084" s="23" t="s">
        <v>56</v>
      </c>
      <c r="N2084" s="6" t="str">
        <f>VLOOKUP(M2084,'Excursion Cause'!$A$1:$B$34,2,FALSE)</f>
        <v>Rags/Wipes</v>
      </c>
      <c r="O2084" s="29">
        <v>44922.0</v>
      </c>
      <c r="P2084" s="30">
        <v>0.3763888888888889</v>
      </c>
      <c r="Q2084" s="29">
        <v>44922.0</v>
      </c>
      <c r="R2084" s="30">
        <v>0.3770833333333333</v>
      </c>
      <c r="S2084" s="28">
        <v>0.0</v>
      </c>
      <c r="T2084" s="23" t="s">
        <v>74</v>
      </c>
      <c r="U2084" s="6"/>
      <c r="V2084" s="6"/>
      <c r="W2084" s="23">
        <v>29.8281732</v>
      </c>
      <c r="X2084" s="23">
        <v>-95.3864602</v>
      </c>
    </row>
    <row r="2085" ht="15.75" customHeight="1">
      <c r="A2085" s="23">
        <v>50485.0</v>
      </c>
      <c r="B2085" s="6">
        <v>2022.0</v>
      </c>
      <c r="C2085" s="6" t="str">
        <f t="shared" si="7"/>
        <v>11902 CHANTELOUP DR,Houston,TX</v>
      </c>
      <c r="D2085" s="23" t="s">
        <v>3455</v>
      </c>
      <c r="E2085" s="6" t="s">
        <v>25</v>
      </c>
      <c r="F2085" s="6" t="s">
        <v>1388</v>
      </c>
      <c r="G2085" s="6" t="s">
        <v>419</v>
      </c>
      <c r="H2085" s="23" t="s">
        <v>28</v>
      </c>
      <c r="I2085" s="6" t="str">
        <f>VLOOKUP(H2085,'Flow Location'!$A$1:$B$21,2,FALSE)</f>
        <v>Storm Sewer (not contained)</v>
      </c>
      <c r="J2085" s="28">
        <v>600.0</v>
      </c>
      <c r="K2085" s="23" t="s">
        <v>29</v>
      </c>
      <c r="L2085" s="6" t="str">
        <f>VLOOKUP(K2085,'Structure type'!$A$1:$B$15,2,FALSE)</f>
        <v>Manhole</v>
      </c>
      <c r="M2085" s="23" t="s">
        <v>30</v>
      </c>
      <c r="N2085" s="6" t="str">
        <f>VLOOKUP(M2085,'Excursion Cause'!$A$1:$B$34,2,FALSE)</f>
        <v>Grease Blockage</v>
      </c>
      <c r="O2085" s="29">
        <v>44922.0</v>
      </c>
      <c r="P2085" s="30">
        <v>0.4361111111111111</v>
      </c>
      <c r="Q2085" s="29">
        <v>44922.0</v>
      </c>
      <c r="R2085" s="30">
        <v>0.575</v>
      </c>
      <c r="S2085" s="28">
        <v>3.0</v>
      </c>
      <c r="T2085" s="23" t="s">
        <v>59</v>
      </c>
      <c r="U2085" s="6"/>
      <c r="V2085" s="6"/>
      <c r="W2085" s="23">
        <v>29.6244724</v>
      </c>
      <c r="X2085" s="23">
        <v>-95.3926259</v>
      </c>
    </row>
    <row r="2086" ht="15.75" customHeight="1">
      <c r="A2086" s="23">
        <v>50494.0</v>
      </c>
      <c r="B2086" s="6">
        <v>2022.0</v>
      </c>
      <c r="C2086" s="6" t="str">
        <f t="shared" si="7"/>
        <v>4506 BLUE BONNET DR,Houston,TX</v>
      </c>
      <c r="D2086" s="23" t="s">
        <v>3456</v>
      </c>
      <c r="E2086" s="6" t="s">
        <v>25</v>
      </c>
      <c r="F2086" s="6" t="s">
        <v>1388</v>
      </c>
      <c r="G2086" s="6" t="s">
        <v>517</v>
      </c>
      <c r="H2086" s="23" t="s">
        <v>50</v>
      </c>
      <c r="I2086" s="6" t="str">
        <f>VLOOKUP(H2086,'Flow Location'!$A$1:$B$21,2,FALSE)</f>
        <v>Contained On Site, not within 5 ft. of Bayou/Surface Water/Drainage Ditch</v>
      </c>
      <c r="J2086" s="28">
        <v>0.0</v>
      </c>
      <c r="K2086" s="23" t="s">
        <v>45</v>
      </c>
      <c r="L2086" s="6" t="str">
        <f>VLOOKUP(K2086,'Structure type'!$A$1:$B$15,2,FALSE)</f>
        <v>City Cleanout</v>
      </c>
      <c r="M2086" s="23" t="s">
        <v>56</v>
      </c>
      <c r="N2086" s="6" t="str">
        <f>VLOOKUP(M2086,'Excursion Cause'!$A$1:$B$34,2,FALSE)</f>
        <v>Rags/Wipes</v>
      </c>
      <c r="O2086" s="29">
        <v>44922.0</v>
      </c>
      <c r="P2086" s="30">
        <v>0.5701388888888889</v>
      </c>
      <c r="Q2086" s="29">
        <v>44922.0</v>
      </c>
      <c r="R2086" s="30">
        <v>0.5708333333333333</v>
      </c>
      <c r="S2086" s="28">
        <v>0.0</v>
      </c>
      <c r="T2086" s="23" t="s">
        <v>74</v>
      </c>
      <c r="U2086" s="6"/>
      <c r="V2086" s="6"/>
      <c r="W2086" s="23">
        <v>29.5880952</v>
      </c>
      <c r="X2086" s="23">
        <v>-95.447201</v>
      </c>
    </row>
    <row r="2087" ht="15.75" customHeight="1">
      <c r="A2087" s="23">
        <v>50497.0</v>
      </c>
      <c r="B2087" s="6">
        <v>2022.0</v>
      </c>
      <c r="C2087" s="6" t="str">
        <f t="shared" si="7"/>
        <v>5629 GRAPEVINE ST,Houston,TX</v>
      </c>
      <c r="D2087" s="23" t="s">
        <v>2305</v>
      </c>
      <c r="E2087" s="6" t="s">
        <v>25</v>
      </c>
      <c r="F2087" s="6" t="s">
        <v>1388</v>
      </c>
      <c r="G2087" s="6" t="s">
        <v>384</v>
      </c>
      <c r="H2087" s="23" t="s">
        <v>1977</v>
      </c>
      <c r="I2087" s="6" t="str">
        <f>VLOOKUP(H2087,'Flow Location'!$A$1:$B$21,2,FALSE)</f>
        <v>Bayou/surface water/drainage ditch</v>
      </c>
      <c r="J2087" s="28">
        <v>1317.0</v>
      </c>
      <c r="K2087" s="23" t="s">
        <v>45</v>
      </c>
      <c r="L2087" s="6" t="str">
        <f>VLOOKUP(K2087,'Structure type'!$A$1:$B$15,2,FALSE)</f>
        <v>City Cleanout</v>
      </c>
      <c r="M2087" s="23" t="s">
        <v>56</v>
      </c>
      <c r="N2087" s="6" t="str">
        <f>VLOOKUP(M2087,'Excursion Cause'!$A$1:$B$34,2,FALSE)</f>
        <v>Rags/Wipes</v>
      </c>
      <c r="O2087" s="29">
        <v>44922.0</v>
      </c>
      <c r="P2087" s="30">
        <v>0.6104166666666667</v>
      </c>
      <c r="Q2087" s="29">
        <v>44923.0</v>
      </c>
      <c r="R2087" s="30">
        <v>0.525</v>
      </c>
      <c r="S2087" s="28">
        <v>1.0</v>
      </c>
      <c r="T2087" s="23" t="s">
        <v>74</v>
      </c>
      <c r="U2087" s="6"/>
      <c r="V2087" s="6"/>
      <c r="W2087" s="23">
        <v>29.6158711</v>
      </c>
      <c r="X2087" s="23">
        <v>-95.4680008</v>
      </c>
    </row>
    <row r="2088" ht="15.75" customHeight="1">
      <c r="A2088" s="23">
        <v>50500.0</v>
      </c>
      <c r="B2088" s="6">
        <v>2022.0</v>
      </c>
      <c r="C2088" s="6" t="str">
        <f t="shared" si="7"/>
        <v>9009 RICHMOND AVE,Houston,TX</v>
      </c>
      <c r="D2088" s="23" t="s">
        <v>3457</v>
      </c>
      <c r="E2088" s="6" t="s">
        <v>25</v>
      </c>
      <c r="F2088" s="6" t="s">
        <v>1388</v>
      </c>
      <c r="G2088" s="6" t="s">
        <v>482</v>
      </c>
      <c r="H2088" s="23" t="s">
        <v>28</v>
      </c>
      <c r="I2088" s="6" t="str">
        <f>VLOOKUP(H2088,'Flow Location'!$A$1:$B$21,2,FALSE)</f>
        <v>Storm Sewer (not contained)</v>
      </c>
      <c r="J2088" s="28">
        <v>0.0</v>
      </c>
      <c r="K2088" s="23" t="s">
        <v>29</v>
      </c>
      <c r="L2088" s="6" t="str">
        <f>VLOOKUP(K2088,'Structure type'!$A$1:$B$15,2,FALSE)</f>
        <v>Manhole</v>
      </c>
      <c r="M2088" s="23" t="s">
        <v>30</v>
      </c>
      <c r="N2088" s="6" t="str">
        <f>VLOOKUP(M2088,'Excursion Cause'!$A$1:$B$34,2,FALSE)</f>
        <v>Grease Blockage</v>
      </c>
      <c r="O2088" s="29">
        <v>44923.0</v>
      </c>
      <c r="P2088" s="30">
        <v>0.3729166666666667</v>
      </c>
      <c r="Q2088" s="29">
        <v>44923.0</v>
      </c>
      <c r="R2088" s="30">
        <v>0.3736111111111111</v>
      </c>
      <c r="S2088" s="28">
        <v>0.0</v>
      </c>
      <c r="T2088" s="23" t="s">
        <v>59</v>
      </c>
      <c r="U2088" s="6"/>
      <c r="V2088" s="6"/>
      <c r="W2088" s="23">
        <v>29.7286214</v>
      </c>
      <c r="X2088" s="23">
        <v>-95.5237156</v>
      </c>
    </row>
    <row r="2089" ht="15.75" customHeight="1">
      <c r="A2089" s="23">
        <v>50503.0</v>
      </c>
      <c r="B2089" s="6">
        <v>2022.0</v>
      </c>
      <c r="C2089" s="6" t="str">
        <f t="shared" si="7"/>
        <v>11201 FUQUA ST,Houston,TX</v>
      </c>
      <c r="D2089" s="23" t="s">
        <v>3458</v>
      </c>
      <c r="E2089" s="6" t="s">
        <v>25</v>
      </c>
      <c r="F2089" s="6" t="s">
        <v>1388</v>
      </c>
      <c r="G2089" s="6" t="s">
        <v>477</v>
      </c>
      <c r="H2089" s="23" t="s">
        <v>28</v>
      </c>
      <c r="I2089" s="6" t="str">
        <f>VLOOKUP(H2089,'Flow Location'!$A$1:$B$21,2,FALSE)</f>
        <v>Storm Sewer (not contained)</v>
      </c>
      <c r="J2089" s="28">
        <v>156.0</v>
      </c>
      <c r="K2089" s="23" t="s">
        <v>29</v>
      </c>
      <c r="L2089" s="6" t="str">
        <f>VLOOKUP(K2089,'Structure type'!$A$1:$B$15,2,FALSE)</f>
        <v>Manhole</v>
      </c>
      <c r="M2089" s="23" t="s">
        <v>30</v>
      </c>
      <c r="N2089" s="6" t="str">
        <f>VLOOKUP(M2089,'Excursion Cause'!$A$1:$B$34,2,FALSE)</f>
        <v>Grease Blockage</v>
      </c>
      <c r="O2089" s="29">
        <v>44923.0</v>
      </c>
      <c r="P2089" s="30">
        <v>0.3729166666666667</v>
      </c>
      <c r="Q2089" s="29">
        <v>44923.0</v>
      </c>
      <c r="R2089" s="30">
        <v>0.4270833333333333</v>
      </c>
      <c r="S2089" s="28">
        <v>2.0</v>
      </c>
      <c r="T2089" s="23" t="s">
        <v>59</v>
      </c>
      <c r="U2089" s="6"/>
      <c r="V2089" s="6"/>
      <c r="W2089" s="23">
        <v>29.613671</v>
      </c>
      <c r="X2089" s="23">
        <v>-95.2200144</v>
      </c>
    </row>
    <row r="2090" ht="15.75" customHeight="1">
      <c r="A2090" s="23">
        <v>50504.0</v>
      </c>
      <c r="B2090" s="6">
        <v>2022.0</v>
      </c>
      <c r="C2090" s="6" t="str">
        <f t="shared" si="7"/>
        <v>2374 DUNSTAN RD,Houston,TX</v>
      </c>
      <c r="D2090" s="23" t="s">
        <v>3459</v>
      </c>
      <c r="E2090" s="6" t="s">
        <v>25</v>
      </c>
      <c r="F2090" s="6" t="s">
        <v>1388</v>
      </c>
      <c r="G2090" s="6" t="s">
        <v>3158</v>
      </c>
      <c r="H2090" s="23" t="s">
        <v>50</v>
      </c>
      <c r="I2090" s="6" t="str">
        <f>VLOOKUP(H2090,'Flow Location'!$A$1:$B$21,2,FALSE)</f>
        <v>Contained On Site, not within 5 ft. of Bayou/Surface Water/Drainage Ditch</v>
      </c>
      <c r="J2090" s="28">
        <v>0.0</v>
      </c>
      <c r="K2090" s="23" t="s">
        <v>51</v>
      </c>
      <c r="L2090" s="6" t="str">
        <f>VLOOKUP(K2090,'Structure type'!$A$1:$B$15,2,FALSE)</f>
        <v>Private Cleanout</v>
      </c>
      <c r="M2090" s="23" t="s">
        <v>56</v>
      </c>
      <c r="N2090" s="6" t="str">
        <f>VLOOKUP(M2090,'Excursion Cause'!$A$1:$B$34,2,FALSE)</f>
        <v>Rags/Wipes</v>
      </c>
      <c r="O2090" s="29">
        <v>44923.0</v>
      </c>
      <c r="P2090" s="30">
        <v>0.4236111111111111</v>
      </c>
      <c r="Q2090" s="29">
        <v>44923.0</v>
      </c>
      <c r="R2090" s="30">
        <v>0.42430555555555555</v>
      </c>
      <c r="S2090" s="28">
        <v>0.0</v>
      </c>
      <c r="T2090" s="23" t="s">
        <v>33</v>
      </c>
      <c r="U2090" s="6"/>
      <c r="V2090" s="6"/>
      <c r="W2090" s="23">
        <v>29.7197126</v>
      </c>
      <c r="X2090" s="23">
        <v>-95.4147649</v>
      </c>
    </row>
    <row r="2091" ht="15.75" customHeight="1">
      <c r="A2091" s="23">
        <v>50507.0</v>
      </c>
      <c r="B2091" s="6">
        <v>2022.0</v>
      </c>
      <c r="C2091" s="6" t="str">
        <f t="shared" si="7"/>
        <v>15807 CARDONO LN,Houston,TX</v>
      </c>
      <c r="D2091" s="23" t="s">
        <v>3460</v>
      </c>
      <c r="E2091" s="6" t="s">
        <v>25</v>
      </c>
      <c r="F2091" s="6" t="s">
        <v>1388</v>
      </c>
      <c r="G2091" s="6" t="s">
        <v>166</v>
      </c>
      <c r="H2091" s="23" t="s">
        <v>50</v>
      </c>
      <c r="I2091" s="6" t="str">
        <f>VLOOKUP(H2091,'Flow Location'!$A$1:$B$21,2,FALSE)</f>
        <v>Contained On Site, not within 5 ft. of Bayou/Surface Water/Drainage Ditch</v>
      </c>
      <c r="J2091" s="28">
        <v>0.0</v>
      </c>
      <c r="K2091" s="23" t="s">
        <v>29</v>
      </c>
      <c r="L2091" s="6" t="str">
        <f>VLOOKUP(K2091,'Structure type'!$A$1:$B$15,2,FALSE)</f>
        <v>Manhole</v>
      </c>
      <c r="M2091" s="23" t="s">
        <v>30</v>
      </c>
      <c r="N2091" s="6" t="str">
        <f>VLOOKUP(M2091,'Excursion Cause'!$A$1:$B$34,2,FALSE)</f>
        <v>Grease Blockage</v>
      </c>
      <c r="O2091" s="29">
        <v>44923.0</v>
      </c>
      <c r="P2091" s="30">
        <v>0.42569444444444443</v>
      </c>
      <c r="Q2091" s="29">
        <v>44923.0</v>
      </c>
      <c r="R2091" s="30">
        <v>0.4263888888888889</v>
      </c>
      <c r="S2091" s="28">
        <v>0.0</v>
      </c>
      <c r="T2091" s="23" t="s">
        <v>59</v>
      </c>
      <c r="U2091" s="6"/>
      <c r="V2091" s="6"/>
      <c r="W2091" s="23">
        <v>29.5973907</v>
      </c>
      <c r="X2091" s="23">
        <v>-95.4825712</v>
      </c>
    </row>
    <row r="2092" ht="15.75" customHeight="1">
      <c r="A2092" s="23">
        <v>50508.0</v>
      </c>
      <c r="B2092" s="6">
        <v>2022.0</v>
      </c>
      <c r="C2092" s="6" t="str">
        <f t="shared" si="7"/>
        <v>4002 CORDER ST,Houston,TX</v>
      </c>
      <c r="D2092" s="23" t="s">
        <v>3461</v>
      </c>
      <c r="E2092" s="6" t="s">
        <v>25</v>
      </c>
      <c r="F2092" s="6" t="s">
        <v>1388</v>
      </c>
      <c r="G2092" s="6" t="s">
        <v>238</v>
      </c>
      <c r="H2092" s="23" t="s">
        <v>28</v>
      </c>
      <c r="I2092" s="6" t="str">
        <f>VLOOKUP(H2092,'Flow Location'!$A$1:$B$21,2,FALSE)</f>
        <v>Storm Sewer (not contained)</v>
      </c>
      <c r="J2092" s="28">
        <v>602.0</v>
      </c>
      <c r="K2092" s="23" t="s">
        <v>29</v>
      </c>
      <c r="L2092" s="6" t="str">
        <f>VLOOKUP(K2092,'Structure type'!$A$1:$B$15,2,FALSE)</f>
        <v>Manhole</v>
      </c>
      <c r="M2092" s="23" t="s">
        <v>30</v>
      </c>
      <c r="N2092" s="6" t="str">
        <f>VLOOKUP(M2092,'Excursion Cause'!$A$1:$B$34,2,FALSE)</f>
        <v>Grease Blockage</v>
      </c>
      <c r="O2092" s="29">
        <v>44923.0</v>
      </c>
      <c r="P2092" s="30">
        <v>0.48194444444444445</v>
      </c>
      <c r="Q2092" s="29">
        <v>44923.0</v>
      </c>
      <c r="R2092" s="30">
        <v>0.6909722222222222</v>
      </c>
      <c r="S2092" s="28">
        <v>2.0</v>
      </c>
      <c r="T2092" s="23" t="s">
        <v>59</v>
      </c>
      <c r="U2092" s="6"/>
      <c r="V2092" s="6"/>
      <c r="W2092" s="23">
        <v>29.6841267</v>
      </c>
      <c r="X2092" s="23">
        <v>-95.3628582</v>
      </c>
    </row>
    <row r="2093" ht="15.75" customHeight="1">
      <c r="A2093" s="23">
        <v>50509.0</v>
      </c>
      <c r="B2093" s="6">
        <v>2022.0</v>
      </c>
      <c r="C2093" s="6" t="str">
        <f t="shared" si="7"/>
        <v>8423 BRAES BLVD,Houston,TX</v>
      </c>
      <c r="D2093" s="23" t="s">
        <v>3462</v>
      </c>
      <c r="E2093" s="6" t="s">
        <v>25</v>
      </c>
      <c r="F2093" s="6" t="s">
        <v>1388</v>
      </c>
      <c r="G2093" s="6" t="s">
        <v>65</v>
      </c>
      <c r="H2093" s="23" t="s">
        <v>28</v>
      </c>
      <c r="I2093" s="6" t="str">
        <f>VLOOKUP(H2093,'Flow Location'!$A$1:$B$21,2,FALSE)</f>
        <v>Storm Sewer (not contained)</v>
      </c>
      <c r="J2093" s="28">
        <v>316.0</v>
      </c>
      <c r="K2093" s="23" t="s">
        <v>29</v>
      </c>
      <c r="L2093" s="6" t="str">
        <f>VLOOKUP(K2093,'Structure type'!$A$1:$B$15,2,FALSE)</f>
        <v>Manhole</v>
      </c>
      <c r="M2093" s="23" t="s">
        <v>30</v>
      </c>
      <c r="N2093" s="6" t="str">
        <f>VLOOKUP(M2093,'Excursion Cause'!$A$1:$B$34,2,FALSE)</f>
        <v>Grease Blockage</v>
      </c>
      <c r="O2093" s="29">
        <v>44923.0</v>
      </c>
      <c r="P2093" s="30">
        <v>0.48194444444444445</v>
      </c>
      <c r="Q2093" s="29">
        <v>44923.0</v>
      </c>
      <c r="R2093" s="30">
        <v>0.5916666666666667</v>
      </c>
      <c r="S2093" s="28">
        <v>2.0</v>
      </c>
      <c r="T2093" s="23" t="s">
        <v>59</v>
      </c>
      <c r="U2093" s="6"/>
      <c r="V2093" s="6"/>
      <c r="W2093" s="23">
        <v>29.6928942</v>
      </c>
      <c r="X2093" s="23">
        <v>-95.4363032</v>
      </c>
    </row>
    <row r="2094" ht="15.75" customHeight="1">
      <c r="A2094" s="23">
        <v>50512.0</v>
      </c>
      <c r="B2094" s="6">
        <v>2022.0</v>
      </c>
      <c r="C2094" s="6" t="str">
        <f t="shared" si="7"/>
        <v>4306 GIBSON ST,Houston,TX</v>
      </c>
      <c r="D2094" s="23" t="s">
        <v>3463</v>
      </c>
      <c r="E2094" s="6" t="s">
        <v>25</v>
      </c>
      <c r="F2094" s="6" t="s">
        <v>1388</v>
      </c>
      <c r="G2094" s="6" t="s">
        <v>158</v>
      </c>
      <c r="H2094" s="23" t="s">
        <v>1977</v>
      </c>
      <c r="I2094" s="6" t="str">
        <f>VLOOKUP(H2094,'Flow Location'!$A$1:$B$21,2,FALSE)</f>
        <v>Bayou/surface water/drainage ditch</v>
      </c>
      <c r="J2094" s="28">
        <v>0.0</v>
      </c>
      <c r="K2094" s="23" t="s">
        <v>29</v>
      </c>
      <c r="L2094" s="6" t="str">
        <f>VLOOKUP(K2094,'Structure type'!$A$1:$B$15,2,FALSE)</f>
        <v>Manhole</v>
      </c>
      <c r="M2094" s="23" t="s">
        <v>30</v>
      </c>
      <c r="N2094" s="6" t="str">
        <f>VLOOKUP(M2094,'Excursion Cause'!$A$1:$B$34,2,FALSE)</f>
        <v>Grease Blockage</v>
      </c>
      <c r="O2094" s="29">
        <v>44923.0</v>
      </c>
      <c r="P2094" s="30">
        <v>0.5631944444444444</v>
      </c>
      <c r="Q2094" s="29">
        <v>44923.0</v>
      </c>
      <c r="R2094" s="30">
        <v>0.5638888888888889</v>
      </c>
      <c r="S2094" s="28">
        <v>0.0</v>
      </c>
      <c r="T2094" s="23" t="s">
        <v>33</v>
      </c>
      <c r="U2094" s="6"/>
      <c r="V2094" s="6"/>
      <c r="W2094" s="23">
        <v>29.7671335</v>
      </c>
      <c r="X2094" s="23">
        <v>-95.4035833</v>
      </c>
    </row>
    <row r="2095" ht="15.75" customHeight="1">
      <c r="A2095" s="23">
        <v>50513.0</v>
      </c>
      <c r="B2095" s="6">
        <v>2022.0</v>
      </c>
      <c r="C2095" s="6" t="str">
        <f t="shared" si="7"/>
        <v>4023 HEATHERBLOOM DR,Houston,TX</v>
      </c>
      <c r="D2095" s="23" t="s">
        <v>3402</v>
      </c>
      <c r="E2095" s="6" t="s">
        <v>25</v>
      </c>
      <c r="F2095" s="6" t="s">
        <v>1388</v>
      </c>
      <c r="G2095" s="6" t="s">
        <v>39</v>
      </c>
      <c r="H2095" s="23" t="s">
        <v>50</v>
      </c>
      <c r="I2095" s="6" t="str">
        <f>VLOOKUP(H2095,'Flow Location'!$A$1:$B$21,2,FALSE)</f>
        <v>Contained On Site, not within 5 ft. of Bayou/Surface Water/Drainage Ditch</v>
      </c>
      <c r="J2095" s="28">
        <v>0.0</v>
      </c>
      <c r="K2095" s="23" t="s">
        <v>45</v>
      </c>
      <c r="L2095" s="6" t="str">
        <f>VLOOKUP(K2095,'Structure type'!$A$1:$B$15,2,FALSE)</f>
        <v>City Cleanout</v>
      </c>
      <c r="M2095" s="23" t="s">
        <v>366</v>
      </c>
      <c r="N2095" s="6" t="str">
        <f>VLOOKUP(M2095,'Excursion Cause'!$A$1:$B$34,2,FALSE)</f>
        <v>Collection system structural blockage</v>
      </c>
      <c r="O2095" s="29">
        <v>44923.0</v>
      </c>
      <c r="P2095" s="30">
        <v>0.6173611111111111</v>
      </c>
      <c r="Q2095" s="29">
        <v>44923.0</v>
      </c>
      <c r="R2095" s="30">
        <v>0.6180555555555556</v>
      </c>
      <c r="S2095" s="28">
        <v>0.0</v>
      </c>
      <c r="T2095" s="23" t="s">
        <v>84</v>
      </c>
      <c r="U2095" s="6"/>
      <c r="V2095" s="6"/>
      <c r="W2095" s="23">
        <v>29.6230512</v>
      </c>
      <c r="X2095" s="23">
        <v>-95.437558</v>
      </c>
    </row>
    <row r="2096" ht="15.75" customHeight="1">
      <c r="A2096" s="23">
        <v>50516.0</v>
      </c>
      <c r="B2096" s="6">
        <v>2022.0</v>
      </c>
      <c r="C2096" s="6" t="str">
        <f t="shared" si="7"/>
        <v>1014 GRENSHAW ST,Houston,TX</v>
      </c>
      <c r="D2096" s="23" t="s">
        <v>3464</v>
      </c>
      <c r="E2096" s="6" t="s">
        <v>25</v>
      </c>
      <c r="F2096" s="6" t="s">
        <v>1388</v>
      </c>
      <c r="G2096" s="6" t="s">
        <v>502</v>
      </c>
      <c r="H2096" s="23" t="s">
        <v>28</v>
      </c>
      <c r="I2096" s="6" t="str">
        <f>VLOOKUP(H2096,'Flow Location'!$A$1:$B$21,2,FALSE)</f>
        <v>Storm Sewer (not contained)</v>
      </c>
      <c r="J2096" s="28">
        <v>204.0</v>
      </c>
      <c r="K2096" s="23" t="s">
        <v>29</v>
      </c>
      <c r="L2096" s="6" t="str">
        <f>VLOOKUP(K2096,'Structure type'!$A$1:$B$15,2,FALSE)</f>
        <v>Manhole</v>
      </c>
      <c r="M2096" s="23" t="s">
        <v>30</v>
      </c>
      <c r="N2096" s="6" t="str">
        <f>VLOOKUP(M2096,'Excursion Cause'!$A$1:$B$34,2,FALSE)</f>
        <v>Grease Blockage</v>
      </c>
      <c r="O2096" s="29">
        <v>44924.0</v>
      </c>
      <c r="P2096" s="30">
        <v>0.3375</v>
      </c>
      <c r="Q2096" s="29">
        <v>44924.0</v>
      </c>
      <c r="R2096" s="30">
        <v>0.4791666666666667</v>
      </c>
      <c r="S2096" s="28">
        <v>1.0</v>
      </c>
      <c r="T2096" s="23" t="s">
        <v>33</v>
      </c>
      <c r="U2096" s="6"/>
      <c r="V2096" s="6"/>
      <c r="W2096" s="23">
        <v>29.8807251</v>
      </c>
      <c r="X2096" s="23">
        <v>-95.4258986</v>
      </c>
    </row>
    <row r="2097" ht="15.75" customHeight="1">
      <c r="A2097" s="23">
        <v>50518.0</v>
      </c>
      <c r="B2097" s="6">
        <v>2022.0</v>
      </c>
      <c r="C2097" s="6" t="str">
        <f t="shared" si="7"/>
        <v>2500 S LOOP FWY,Houston,TX</v>
      </c>
      <c r="D2097" s="23" t="s">
        <v>3465</v>
      </c>
      <c r="E2097" s="6" t="s">
        <v>25</v>
      </c>
      <c r="F2097" s="6" t="s">
        <v>1388</v>
      </c>
      <c r="G2097" s="6" t="s">
        <v>135</v>
      </c>
      <c r="H2097" s="23" t="s">
        <v>50</v>
      </c>
      <c r="I2097" s="6" t="str">
        <f>VLOOKUP(H2097,'Flow Location'!$A$1:$B$21,2,FALSE)</f>
        <v>Contained On Site, not within 5 ft. of Bayou/Surface Water/Drainage Ditch</v>
      </c>
      <c r="J2097" s="28">
        <v>394.0</v>
      </c>
      <c r="K2097" s="23" t="s">
        <v>29</v>
      </c>
      <c r="L2097" s="6" t="str">
        <f>VLOOKUP(K2097,'Structure type'!$A$1:$B$15,2,FALSE)</f>
        <v>Manhole</v>
      </c>
      <c r="M2097" s="23" t="s">
        <v>30</v>
      </c>
      <c r="N2097" s="6" t="str">
        <f>VLOOKUP(M2097,'Excursion Cause'!$A$1:$B$34,2,FALSE)</f>
        <v>Grease Blockage</v>
      </c>
      <c r="O2097" s="29">
        <v>44924.0</v>
      </c>
      <c r="P2097" s="30">
        <v>0.3375</v>
      </c>
      <c r="Q2097" s="29">
        <v>44924.0</v>
      </c>
      <c r="R2097" s="30">
        <v>0.6111111111111112</v>
      </c>
      <c r="S2097" s="28">
        <v>1.0</v>
      </c>
      <c r="T2097" s="23" t="s">
        <v>33</v>
      </c>
      <c r="U2097" s="6"/>
      <c r="V2097" s="6"/>
      <c r="W2097" s="23">
        <v>29.7085112</v>
      </c>
      <c r="X2097" s="23">
        <v>-95.2709665</v>
      </c>
    </row>
    <row r="2098" ht="15.75" customHeight="1">
      <c r="A2098" s="23">
        <v>50521.0</v>
      </c>
      <c r="B2098" s="6">
        <v>2022.0</v>
      </c>
      <c r="C2098" s="6" t="str">
        <f t="shared" si="7"/>
        <v>9707 KIT ST,Houston,TX</v>
      </c>
      <c r="D2098" s="23" t="s">
        <v>3466</v>
      </c>
      <c r="E2098" s="6" t="s">
        <v>25</v>
      </c>
      <c r="F2098" s="6" t="s">
        <v>1388</v>
      </c>
      <c r="G2098" s="6" t="s">
        <v>69</v>
      </c>
      <c r="H2098" s="23" t="s">
        <v>50</v>
      </c>
      <c r="I2098" s="6" t="str">
        <f>VLOOKUP(H2098,'Flow Location'!$A$1:$B$21,2,FALSE)</f>
        <v>Contained On Site, not within 5 ft. of Bayou/Surface Water/Drainage Ditch</v>
      </c>
      <c r="J2098" s="28">
        <v>0.0</v>
      </c>
      <c r="K2098" s="23" t="s">
        <v>51</v>
      </c>
      <c r="L2098" s="6" t="str">
        <f>VLOOKUP(K2098,'Structure type'!$A$1:$B$15,2,FALSE)</f>
        <v>Private Cleanout</v>
      </c>
      <c r="M2098" s="23" t="s">
        <v>52</v>
      </c>
      <c r="N2098" s="6" t="str">
        <f>VLOOKUP(M2098,'Excursion Cause'!$A$1:$B$34,2,FALSE)</f>
        <v>Collection system structural blockage</v>
      </c>
      <c r="O2098" s="29">
        <v>44924.0</v>
      </c>
      <c r="P2098" s="30">
        <v>0.4354166666666667</v>
      </c>
      <c r="Q2098" s="29">
        <v>44924.0</v>
      </c>
      <c r="R2098" s="30">
        <v>0.4361111111111111</v>
      </c>
      <c r="S2098" s="28">
        <v>0.0</v>
      </c>
      <c r="T2098" s="23" t="s">
        <v>107</v>
      </c>
      <c r="U2098" s="6"/>
      <c r="V2098" s="6"/>
      <c r="W2098" s="23">
        <v>29.675161</v>
      </c>
      <c r="X2098" s="23">
        <v>-95.4785798</v>
      </c>
    </row>
    <row r="2099" ht="15.75" customHeight="1">
      <c r="A2099" s="23">
        <v>50524.0</v>
      </c>
      <c r="B2099" s="6">
        <v>2022.0</v>
      </c>
      <c r="C2099" s="6" t="str">
        <f t="shared" si="7"/>
        <v>8423 BRAES BLVD,Houston,TX</v>
      </c>
      <c r="D2099" s="23" t="s">
        <v>3462</v>
      </c>
      <c r="E2099" s="6" t="s">
        <v>25</v>
      </c>
      <c r="F2099" s="6" t="s">
        <v>1388</v>
      </c>
      <c r="G2099" s="6" t="s">
        <v>65</v>
      </c>
      <c r="H2099" s="23" t="s">
        <v>28</v>
      </c>
      <c r="I2099" s="6" t="str">
        <f>VLOOKUP(H2099,'Flow Location'!$A$1:$B$21,2,FALSE)</f>
        <v>Storm Sewer (not contained)</v>
      </c>
      <c r="J2099" s="28">
        <v>524.0</v>
      </c>
      <c r="K2099" s="23" t="s">
        <v>29</v>
      </c>
      <c r="L2099" s="6" t="str">
        <f>VLOOKUP(K2099,'Structure type'!$A$1:$B$15,2,FALSE)</f>
        <v>Manhole</v>
      </c>
      <c r="M2099" s="23" t="s">
        <v>30</v>
      </c>
      <c r="N2099" s="6" t="str">
        <f>VLOOKUP(M2099,'Excursion Cause'!$A$1:$B$34,2,FALSE)</f>
        <v>Grease Blockage</v>
      </c>
      <c r="O2099" s="29">
        <v>44924.0</v>
      </c>
      <c r="P2099" s="30">
        <v>0.5055555555555555</v>
      </c>
      <c r="Q2099" s="29">
        <v>44924.0</v>
      </c>
      <c r="R2099" s="30">
        <v>0.6875</v>
      </c>
      <c r="S2099" s="28">
        <v>2.0</v>
      </c>
      <c r="T2099" s="23" t="s">
        <v>33</v>
      </c>
      <c r="U2099" s="6"/>
      <c r="V2099" s="6"/>
      <c r="W2099" s="23">
        <v>29.6928942</v>
      </c>
      <c r="X2099" s="23">
        <v>-95.4363032</v>
      </c>
    </row>
    <row r="2100" ht="15.75" customHeight="1">
      <c r="A2100" s="23">
        <v>50527.0</v>
      </c>
      <c r="B2100" s="6">
        <v>2022.0</v>
      </c>
      <c r="C2100" s="6" t="str">
        <f t="shared" si="7"/>
        <v>4517 KINGWOOD DR,Houston,TX</v>
      </c>
      <c r="D2100" s="23" t="s">
        <v>3467</v>
      </c>
      <c r="E2100" s="6" t="s">
        <v>25</v>
      </c>
      <c r="F2100" s="6" t="s">
        <v>1388</v>
      </c>
      <c r="G2100" s="6" t="s">
        <v>555</v>
      </c>
      <c r="H2100" s="23" t="s">
        <v>28</v>
      </c>
      <c r="I2100" s="6" t="str">
        <f>VLOOKUP(H2100,'Flow Location'!$A$1:$B$21,2,FALSE)</f>
        <v>Storm Sewer (not contained)</v>
      </c>
      <c r="J2100" s="28">
        <v>190.0</v>
      </c>
      <c r="K2100" s="23" t="s">
        <v>29</v>
      </c>
      <c r="L2100" s="6" t="str">
        <f>VLOOKUP(K2100,'Structure type'!$A$1:$B$15,2,FALSE)</f>
        <v>Manhole</v>
      </c>
      <c r="M2100" s="23" t="s">
        <v>977</v>
      </c>
      <c r="N2100" s="6" t="str">
        <f>VLOOKUP(M2100,'Excursion Cause'!$A$1:$B$34,2,FALSE)</f>
        <v>Pump/Lift Station Electrical Failure</v>
      </c>
      <c r="O2100" s="29">
        <v>44925.0</v>
      </c>
      <c r="P2100" s="30">
        <v>0.3125</v>
      </c>
      <c r="Q2100" s="29">
        <v>44925.0</v>
      </c>
      <c r="R2100" s="30">
        <v>0.3388888888888889</v>
      </c>
      <c r="S2100" s="28">
        <v>5.0</v>
      </c>
      <c r="T2100" s="23" t="s">
        <v>270</v>
      </c>
      <c r="U2100" s="6"/>
      <c r="V2100" s="6"/>
      <c r="W2100" s="23">
        <v>30.0510409</v>
      </c>
      <c r="X2100" s="23">
        <v>-95.1821126</v>
      </c>
    </row>
    <row r="2101" ht="15.75" customHeight="1">
      <c r="A2101" s="23">
        <v>50528.0</v>
      </c>
      <c r="B2101" s="6">
        <v>2022.0</v>
      </c>
      <c r="C2101" s="6" t="str">
        <f t="shared" si="7"/>
        <v>2815 SAN JACINTO ST,Houston,TX</v>
      </c>
      <c r="D2101" s="23" t="s">
        <v>3468</v>
      </c>
      <c r="E2101" s="6" t="s">
        <v>25</v>
      </c>
      <c r="F2101" s="6" t="s">
        <v>1388</v>
      </c>
      <c r="G2101" s="6" t="s">
        <v>308</v>
      </c>
      <c r="H2101" s="23" t="s">
        <v>50</v>
      </c>
      <c r="I2101" s="6" t="str">
        <f>VLOOKUP(H2101,'Flow Location'!$A$1:$B$21,2,FALSE)</f>
        <v>Contained On Site, not within 5 ft. of Bayou/Surface Water/Drainage Ditch</v>
      </c>
      <c r="J2101" s="28">
        <v>0.0</v>
      </c>
      <c r="K2101" s="23" t="s">
        <v>45</v>
      </c>
      <c r="L2101" s="6" t="str">
        <f>VLOOKUP(K2101,'Structure type'!$A$1:$B$15,2,FALSE)</f>
        <v>City Cleanout</v>
      </c>
      <c r="M2101" s="23" t="s">
        <v>56</v>
      </c>
      <c r="N2101" s="6" t="str">
        <f>VLOOKUP(M2101,'Excursion Cause'!$A$1:$B$34,2,FALSE)</f>
        <v>Rags/Wipes</v>
      </c>
      <c r="O2101" s="29">
        <v>44925.0</v>
      </c>
      <c r="P2101" s="30">
        <v>0.3576388888888889</v>
      </c>
      <c r="Q2101" s="29">
        <v>44925.0</v>
      </c>
      <c r="R2101" s="30">
        <v>0.35833333333333334</v>
      </c>
      <c r="S2101" s="28">
        <v>0.0</v>
      </c>
      <c r="T2101" s="23" t="s">
        <v>59</v>
      </c>
      <c r="U2101" s="6"/>
      <c r="V2101" s="6"/>
      <c r="W2101" s="23">
        <v>29.7426453</v>
      </c>
      <c r="X2101" s="23">
        <v>-95.3733856</v>
      </c>
    </row>
    <row r="2102" ht="15.75" customHeight="1">
      <c r="A2102" s="23">
        <v>50529.0</v>
      </c>
      <c r="B2102" s="6">
        <v>2022.0</v>
      </c>
      <c r="C2102" s="6" t="str">
        <f t="shared" si="7"/>
        <v>8518 BONNER DR,Houston,TX</v>
      </c>
      <c r="D2102" s="23" t="s">
        <v>3469</v>
      </c>
      <c r="E2102" s="6" t="s">
        <v>25</v>
      </c>
      <c r="F2102" s="6" t="s">
        <v>1388</v>
      </c>
      <c r="G2102" s="6" t="s">
        <v>135</v>
      </c>
      <c r="H2102" s="23" t="s">
        <v>28</v>
      </c>
      <c r="I2102" s="6" t="str">
        <f>VLOOKUP(H2102,'Flow Location'!$A$1:$B$21,2,FALSE)</f>
        <v>Storm Sewer (not contained)</v>
      </c>
      <c r="J2102" s="28">
        <v>162.0</v>
      </c>
      <c r="K2102" s="23" t="s">
        <v>29</v>
      </c>
      <c r="L2102" s="6" t="str">
        <f>VLOOKUP(K2102,'Structure type'!$A$1:$B$15,2,FALSE)</f>
        <v>Manhole</v>
      </c>
      <c r="M2102" s="23" t="s">
        <v>30</v>
      </c>
      <c r="N2102" s="6" t="str">
        <f>VLOOKUP(M2102,'Excursion Cause'!$A$1:$B$34,2,FALSE)</f>
        <v>Grease Blockage</v>
      </c>
      <c r="O2102" s="29">
        <v>44925.0</v>
      </c>
      <c r="P2102" s="30">
        <v>0.40208333333333335</v>
      </c>
      <c r="Q2102" s="29">
        <v>44925.0</v>
      </c>
      <c r="R2102" s="30">
        <v>0.4583333333333333</v>
      </c>
      <c r="S2102" s="28">
        <v>2.0</v>
      </c>
      <c r="T2102" s="23" t="s">
        <v>1439</v>
      </c>
      <c r="U2102" s="6"/>
      <c r="V2102" s="6"/>
      <c r="W2102" s="23">
        <v>29.6860582</v>
      </c>
      <c r="X2102" s="23">
        <v>-95.2570752</v>
      </c>
    </row>
    <row r="2103" ht="15.75" customHeight="1">
      <c r="A2103" s="23">
        <v>50532.0</v>
      </c>
      <c r="B2103" s="6">
        <v>2022.0</v>
      </c>
      <c r="C2103" s="6" t="str">
        <f t="shared" si="7"/>
        <v>5446 APPLE CREEK RD,Houston,TX</v>
      </c>
      <c r="D2103" s="23" t="s">
        <v>3470</v>
      </c>
      <c r="E2103" s="6" t="s">
        <v>25</v>
      </c>
      <c r="F2103" s="6" t="s">
        <v>1388</v>
      </c>
      <c r="G2103" s="6" t="s">
        <v>135</v>
      </c>
      <c r="H2103" s="23" t="s">
        <v>50</v>
      </c>
      <c r="I2103" s="6" t="str">
        <f>VLOOKUP(H2103,'Flow Location'!$A$1:$B$21,2,FALSE)</f>
        <v>Contained On Site, not within 5 ft. of Bayou/Surface Water/Drainage Ditch</v>
      </c>
      <c r="J2103" s="28">
        <v>2656.0</v>
      </c>
      <c r="K2103" s="23" t="s">
        <v>45</v>
      </c>
      <c r="L2103" s="6" t="str">
        <f>VLOOKUP(K2103,'Structure type'!$A$1:$B$15,2,FALSE)</f>
        <v>City Cleanout</v>
      </c>
      <c r="M2103" s="23" t="s">
        <v>30</v>
      </c>
      <c r="N2103" s="6" t="str">
        <f>VLOOKUP(M2103,'Excursion Cause'!$A$1:$B$34,2,FALSE)</f>
        <v>Grease Blockage</v>
      </c>
      <c r="O2103" s="29">
        <v>44925.0</v>
      </c>
      <c r="P2103" s="30">
        <v>0.49444444444444446</v>
      </c>
      <c r="Q2103" s="29">
        <v>44926.0</v>
      </c>
      <c r="R2103" s="30">
        <v>0.4166666666666667</v>
      </c>
      <c r="S2103" s="28">
        <v>2.0</v>
      </c>
      <c r="T2103" s="23" t="s">
        <v>1439</v>
      </c>
      <c r="U2103" s="6"/>
      <c r="V2103" s="6"/>
      <c r="W2103" s="23">
        <v>29.6724478</v>
      </c>
      <c r="X2103" s="23">
        <v>-95.2379676</v>
      </c>
    </row>
    <row r="2104" ht="15.75" customHeight="1">
      <c r="A2104" s="23">
        <v>50536.0</v>
      </c>
      <c r="B2104" s="6">
        <v>2022.0</v>
      </c>
      <c r="C2104" s="6" t="str">
        <f t="shared" si="7"/>
        <v>9801 FONDREN RD,Houston,TX</v>
      </c>
      <c r="D2104" s="23" t="s">
        <v>3471</v>
      </c>
      <c r="E2104" s="6" t="s">
        <v>25</v>
      </c>
      <c r="F2104" s="6" t="s">
        <v>1388</v>
      </c>
      <c r="G2104" s="6" t="s">
        <v>69</v>
      </c>
      <c r="H2104" s="23" t="s">
        <v>28</v>
      </c>
      <c r="I2104" s="6" t="str">
        <f>VLOOKUP(H2104,'Flow Location'!$A$1:$B$21,2,FALSE)</f>
        <v>Storm Sewer (not contained)</v>
      </c>
      <c r="J2104" s="28">
        <v>336.0</v>
      </c>
      <c r="K2104" s="23" t="s">
        <v>29</v>
      </c>
      <c r="L2104" s="6" t="str">
        <f>VLOOKUP(K2104,'Structure type'!$A$1:$B$15,2,FALSE)</f>
        <v>Manhole</v>
      </c>
      <c r="M2104" s="23" t="s">
        <v>30</v>
      </c>
      <c r="N2104" s="6" t="str">
        <f>VLOOKUP(M2104,'Excursion Cause'!$A$1:$B$34,2,FALSE)</f>
        <v>Grease Blockage</v>
      </c>
      <c r="O2104" s="29">
        <v>44925.0</v>
      </c>
      <c r="P2104" s="30">
        <v>0.575</v>
      </c>
      <c r="Q2104" s="29">
        <v>44925.0</v>
      </c>
      <c r="R2104" s="30">
        <v>0.6916666666666667</v>
      </c>
      <c r="S2104" s="28">
        <v>2.0</v>
      </c>
      <c r="T2104" s="23" t="s">
        <v>54</v>
      </c>
      <c r="U2104" s="6"/>
      <c r="V2104" s="6"/>
      <c r="W2104" s="23">
        <v>29.6727143</v>
      </c>
      <c r="X2104" s="23">
        <v>-95.5077307</v>
      </c>
    </row>
    <row r="2105" ht="15.75" customHeight="1">
      <c r="A2105" s="23">
        <v>50537.0</v>
      </c>
      <c r="B2105" s="6">
        <v>2022.0</v>
      </c>
      <c r="C2105" s="6" t="str">
        <f t="shared" si="7"/>
        <v>911 W LITTLE YORK RD,Houston,TX</v>
      </c>
      <c r="D2105" s="23" t="s">
        <v>3472</v>
      </c>
      <c r="E2105" s="6" t="s">
        <v>25</v>
      </c>
      <c r="F2105" s="6" t="s">
        <v>1388</v>
      </c>
      <c r="G2105" s="6" t="s">
        <v>222</v>
      </c>
      <c r="H2105" s="23" t="s">
        <v>50</v>
      </c>
      <c r="I2105" s="6" t="str">
        <f>VLOOKUP(H2105,'Flow Location'!$A$1:$B$21,2,FALSE)</f>
        <v>Contained On Site, not within 5 ft. of Bayou/Surface Water/Drainage Ditch</v>
      </c>
      <c r="J2105" s="28">
        <v>0.0</v>
      </c>
      <c r="K2105" s="23" t="s">
        <v>45</v>
      </c>
      <c r="L2105" s="6" t="str">
        <f>VLOOKUP(K2105,'Structure type'!$A$1:$B$15,2,FALSE)</f>
        <v>City Cleanout</v>
      </c>
      <c r="M2105" s="23" t="s">
        <v>52</v>
      </c>
      <c r="N2105" s="6" t="str">
        <f>VLOOKUP(M2105,'Excursion Cause'!$A$1:$B$34,2,FALSE)</f>
        <v>Collection system structural blockage</v>
      </c>
      <c r="O2105" s="29">
        <v>44925.0</v>
      </c>
      <c r="P2105" s="30">
        <v>0.5645833333333333</v>
      </c>
      <c r="Q2105" s="29">
        <v>44925.0</v>
      </c>
      <c r="R2105" s="30">
        <v>0.5652777777777778</v>
      </c>
      <c r="S2105" s="28">
        <v>0.0</v>
      </c>
      <c r="T2105" s="23" t="s">
        <v>89</v>
      </c>
      <c r="U2105" s="6"/>
      <c r="V2105" s="6"/>
      <c r="W2105" s="23">
        <v>29.8652871</v>
      </c>
      <c r="X2105" s="23">
        <v>-95.4220858</v>
      </c>
    </row>
    <row r="2106" ht="15.75" customHeight="1">
      <c r="A2106" s="23">
        <v>50539.0</v>
      </c>
      <c r="B2106" s="6">
        <v>2022.0</v>
      </c>
      <c r="C2106" s="6" t="str">
        <f t="shared" si="7"/>
        <v>141 E SUNNYSIDE ST,Houston,TX</v>
      </c>
      <c r="D2106" s="23" t="s">
        <v>3473</v>
      </c>
      <c r="E2106" s="6" t="s">
        <v>25</v>
      </c>
      <c r="F2106" s="6" t="s">
        <v>1388</v>
      </c>
      <c r="G2106" s="6" t="s">
        <v>275</v>
      </c>
      <c r="H2106" s="23" t="s">
        <v>1493</v>
      </c>
      <c r="I2106" s="6" t="str">
        <f>VLOOKUP(H2106,'Flow Location'!$A$1:$B$21,2,FALSE)</f>
        <v>Contained On Site, not within 5 ft. of Bayou/Surface Water/Drainage Ditch</v>
      </c>
      <c r="J2106" s="28">
        <v>0.0</v>
      </c>
      <c r="K2106" s="23" t="s">
        <v>45</v>
      </c>
      <c r="L2106" s="6" t="str">
        <f>VLOOKUP(K2106,'Structure type'!$A$1:$B$15,2,FALSE)</f>
        <v>City Cleanout</v>
      </c>
      <c r="M2106" s="23" t="s">
        <v>30</v>
      </c>
      <c r="N2106" s="6" t="str">
        <f>VLOOKUP(M2106,'Excursion Cause'!$A$1:$B$34,2,FALSE)</f>
        <v>Grease Blockage</v>
      </c>
      <c r="O2106" s="29">
        <v>44925.0</v>
      </c>
      <c r="P2106" s="30">
        <v>0.6375</v>
      </c>
      <c r="Q2106" s="29">
        <v>44925.0</v>
      </c>
      <c r="R2106" s="30">
        <v>0.6381944444444444</v>
      </c>
      <c r="S2106" s="28">
        <v>0.0</v>
      </c>
      <c r="T2106" s="23" t="s">
        <v>1439</v>
      </c>
      <c r="U2106" s="6"/>
      <c r="V2106" s="6"/>
      <c r="W2106" s="23">
        <v>29.8571958</v>
      </c>
      <c r="X2106" s="23">
        <v>-95.3772195</v>
      </c>
    </row>
    <row r="2107" ht="15.75" customHeight="1">
      <c r="A2107" s="23">
        <v>50542.0</v>
      </c>
      <c r="B2107" s="6">
        <v>2022.0</v>
      </c>
      <c r="C2107" s="6" t="str">
        <f t="shared" si="7"/>
        <v>10006 WESTVIEW DR,Houston,TX</v>
      </c>
      <c r="D2107" s="23" t="s">
        <v>1673</v>
      </c>
      <c r="E2107" s="6" t="s">
        <v>25</v>
      </c>
      <c r="F2107" s="6" t="s">
        <v>1388</v>
      </c>
      <c r="G2107" s="6" t="s">
        <v>27</v>
      </c>
      <c r="H2107" s="23" t="s">
        <v>50</v>
      </c>
      <c r="I2107" s="6" t="str">
        <f>VLOOKUP(H2107,'Flow Location'!$A$1:$B$21,2,FALSE)</f>
        <v>Contained On Site, not within 5 ft. of Bayou/Surface Water/Drainage Ditch</v>
      </c>
      <c r="J2107" s="28">
        <v>1089.0</v>
      </c>
      <c r="K2107" s="23" t="s">
        <v>45</v>
      </c>
      <c r="L2107" s="6" t="str">
        <f>VLOOKUP(K2107,'Structure type'!$A$1:$B$15,2,FALSE)</f>
        <v>City Cleanout</v>
      </c>
      <c r="M2107" s="23" t="s">
        <v>56</v>
      </c>
      <c r="N2107" s="6" t="str">
        <f>VLOOKUP(M2107,'Excursion Cause'!$A$1:$B$34,2,FALSE)</f>
        <v>Rags/Wipes</v>
      </c>
      <c r="O2107" s="29">
        <v>44925.0</v>
      </c>
      <c r="P2107" s="30">
        <v>0.7631944444444444</v>
      </c>
      <c r="Q2107" s="29">
        <v>44926.0</v>
      </c>
      <c r="R2107" s="30">
        <v>0.5194444444444445</v>
      </c>
      <c r="S2107" s="28">
        <v>1.0</v>
      </c>
      <c r="T2107" s="23" t="s">
        <v>59</v>
      </c>
      <c r="U2107" s="6"/>
      <c r="V2107" s="6"/>
      <c r="W2107" s="23">
        <v>29.7911516</v>
      </c>
      <c r="X2107" s="23">
        <v>-95.5407914</v>
      </c>
    </row>
    <row r="2108" ht="15.75" customHeight="1">
      <c r="A2108" s="23">
        <v>50543.0</v>
      </c>
      <c r="B2108" s="6">
        <v>2022.0</v>
      </c>
      <c r="C2108" s="6" t="str">
        <f t="shared" si="7"/>
        <v>12607 ASHFORD MEADOW DR,Houston,TX</v>
      </c>
      <c r="D2108" s="23" t="s">
        <v>3474</v>
      </c>
      <c r="E2108" s="6" t="s">
        <v>25</v>
      </c>
      <c r="F2108" s="6" t="s">
        <v>1388</v>
      </c>
      <c r="G2108" s="6" t="s">
        <v>313</v>
      </c>
      <c r="H2108" s="23" t="s">
        <v>50</v>
      </c>
      <c r="I2108" s="6" t="str">
        <f>VLOOKUP(H2108,'Flow Location'!$A$1:$B$21,2,FALSE)</f>
        <v>Contained On Site, not within 5 ft. of Bayou/Surface Water/Drainage Ditch</v>
      </c>
      <c r="J2108" s="28">
        <v>570.0</v>
      </c>
      <c r="K2108" s="23" t="s">
        <v>29</v>
      </c>
      <c r="L2108" s="6" t="str">
        <f>VLOOKUP(K2108,'Structure type'!$A$1:$B$15,2,FALSE)</f>
        <v>Manhole</v>
      </c>
      <c r="M2108" s="23" t="s">
        <v>30</v>
      </c>
      <c r="N2108" s="6" t="str">
        <f>VLOOKUP(M2108,'Excursion Cause'!$A$1:$B$34,2,FALSE)</f>
        <v>Grease Blockage</v>
      </c>
      <c r="O2108" s="29">
        <v>44926.0</v>
      </c>
      <c r="P2108" s="30">
        <v>0.3993055555555556</v>
      </c>
      <c r="Q2108" s="29">
        <v>44926.0</v>
      </c>
      <c r="R2108" s="30">
        <v>0.5972222222222222</v>
      </c>
      <c r="S2108" s="28">
        <v>2.0</v>
      </c>
      <c r="T2108" s="23" t="s">
        <v>33</v>
      </c>
      <c r="U2108" s="6"/>
      <c r="V2108" s="6"/>
      <c r="W2108" s="23">
        <v>29.7334984</v>
      </c>
      <c r="X2108" s="23">
        <v>-95.6073999</v>
      </c>
    </row>
    <row r="2109" ht="15.75" customHeight="1">
      <c r="A2109" s="23">
        <v>50545.0</v>
      </c>
      <c r="B2109" s="6">
        <v>2022.0</v>
      </c>
      <c r="C2109" s="6" t="str">
        <f t="shared" si="7"/>
        <v>14910 CHADBOURNE DR,Houston,TX</v>
      </c>
      <c r="D2109" s="23" t="s">
        <v>3475</v>
      </c>
      <c r="E2109" s="6" t="s">
        <v>25</v>
      </c>
      <c r="F2109" s="6" t="s">
        <v>1388</v>
      </c>
      <c r="G2109" s="6" t="s">
        <v>520</v>
      </c>
      <c r="H2109" s="23" t="s">
        <v>50</v>
      </c>
      <c r="I2109" s="6" t="str">
        <f>VLOOKUP(H2109,'Flow Location'!$A$1:$B$21,2,FALSE)</f>
        <v>Contained On Site, not within 5 ft. of Bayou/Surface Water/Drainage Ditch</v>
      </c>
      <c r="J2109" s="28">
        <v>2860.0</v>
      </c>
      <c r="K2109" s="23" t="s">
        <v>29</v>
      </c>
      <c r="L2109" s="6" t="str">
        <f>VLOOKUP(K2109,'Structure type'!$A$1:$B$15,2,FALSE)</f>
        <v>Manhole</v>
      </c>
      <c r="M2109" s="23" t="s">
        <v>30</v>
      </c>
      <c r="N2109" s="6" t="str">
        <f>VLOOKUP(M2109,'Excursion Cause'!$A$1:$B$34,2,FALSE)</f>
        <v>Grease Blockage</v>
      </c>
      <c r="O2109" s="29">
        <v>44926.0</v>
      </c>
      <c r="P2109" s="30">
        <v>0.4736111111111111</v>
      </c>
      <c r="Q2109" s="29">
        <v>44928.0</v>
      </c>
      <c r="R2109" s="30">
        <v>0.4597222222222222</v>
      </c>
      <c r="S2109" s="28">
        <v>1.0</v>
      </c>
      <c r="T2109" s="23" t="s">
        <v>1439</v>
      </c>
      <c r="U2109" s="6"/>
      <c r="V2109" s="6"/>
      <c r="W2109" s="23">
        <v>29.7691503</v>
      </c>
      <c r="X2109" s="23">
        <v>-95.6157544</v>
      </c>
    </row>
    <row r="2110" ht="15.75" customHeight="1">
      <c r="A2110" s="23">
        <v>50547.0</v>
      </c>
      <c r="B2110" s="6">
        <v>2022.0</v>
      </c>
      <c r="C2110" s="6" t="str">
        <f t="shared" si="7"/>
        <v>15115 WELLMAN LN,Houston,TX</v>
      </c>
      <c r="D2110" s="23" t="s">
        <v>3476</v>
      </c>
      <c r="E2110" s="6" t="s">
        <v>25</v>
      </c>
      <c r="F2110" s="6" t="s">
        <v>1388</v>
      </c>
      <c r="G2110" s="6" t="s">
        <v>570</v>
      </c>
      <c r="H2110" s="23" t="s">
        <v>28</v>
      </c>
      <c r="I2110" s="6" t="str">
        <f>VLOOKUP(H2110,'Flow Location'!$A$1:$B$21,2,FALSE)</f>
        <v>Storm Sewer (not contained)</v>
      </c>
      <c r="J2110" s="28">
        <v>0.0</v>
      </c>
      <c r="K2110" s="23" t="s">
        <v>29</v>
      </c>
      <c r="L2110" s="6" t="str">
        <f>VLOOKUP(K2110,'Structure type'!$A$1:$B$15,2,FALSE)</f>
        <v>Manhole</v>
      </c>
      <c r="M2110" s="23" t="s">
        <v>30</v>
      </c>
      <c r="N2110" s="6" t="str">
        <f>VLOOKUP(M2110,'Excursion Cause'!$A$1:$B$34,2,FALSE)</f>
        <v>Grease Blockage</v>
      </c>
      <c r="O2110" s="29">
        <v>44926.0</v>
      </c>
      <c r="P2110" s="30">
        <v>0.6486111111111111</v>
      </c>
      <c r="Q2110" s="29">
        <v>44926.0</v>
      </c>
      <c r="R2110" s="30">
        <v>0.6493055555555556</v>
      </c>
      <c r="S2110" s="28">
        <v>0.0</v>
      </c>
      <c r="T2110" s="23" t="s">
        <v>59</v>
      </c>
      <c r="U2110" s="6"/>
      <c r="V2110" s="6"/>
      <c r="W2110" s="23">
        <v>29.9186843</v>
      </c>
      <c r="X2110" s="23">
        <v>-95.4046518</v>
      </c>
    </row>
    <row r="2111" ht="15.75" customHeight="1">
      <c r="A2111" s="23">
        <v>50548.0</v>
      </c>
      <c r="B2111" s="6">
        <v>2022.0</v>
      </c>
      <c r="C2111" s="6" t="str">
        <f t="shared" si="7"/>
        <v>6003 QUIET VILLAGE CT,Houston,TX</v>
      </c>
      <c r="D2111" s="23" t="s">
        <v>1022</v>
      </c>
      <c r="E2111" s="6" t="s">
        <v>25</v>
      </c>
      <c r="F2111" s="6" t="s">
        <v>1388</v>
      </c>
      <c r="G2111" s="6" t="s">
        <v>517</v>
      </c>
      <c r="H2111" s="23" t="s">
        <v>50</v>
      </c>
      <c r="I2111" s="6" t="str">
        <f>VLOOKUP(H2111,'Flow Location'!$A$1:$B$21,2,FALSE)</f>
        <v>Contained On Site, not within 5 ft. of Bayou/Surface Water/Drainage Ditch</v>
      </c>
      <c r="J2111" s="28">
        <v>1439.0</v>
      </c>
      <c r="K2111" s="23" t="s">
        <v>29</v>
      </c>
      <c r="L2111" s="6" t="str">
        <f>VLOOKUP(K2111,'Structure type'!$A$1:$B$15,2,FALSE)</f>
        <v>Manhole</v>
      </c>
      <c r="M2111" s="23" t="s">
        <v>30</v>
      </c>
      <c r="N2111" s="6" t="str">
        <f>VLOOKUP(M2111,'Excursion Cause'!$A$1:$B$34,2,FALSE)</f>
        <v>Grease Blockage</v>
      </c>
      <c r="O2111" s="29">
        <v>44926.0</v>
      </c>
      <c r="P2111" s="30">
        <v>0.5354166666666667</v>
      </c>
      <c r="Q2111" s="29">
        <v>44927.0</v>
      </c>
      <c r="R2111" s="30">
        <v>0.5347222222222222</v>
      </c>
      <c r="S2111" s="28">
        <v>1.0</v>
      </c>
      <c r="T2111" s="23" t="s">
        <v>89</v>
      </c>
      <c r="U2111" s="6"/>
      <c r="V2111" s="6"/>
      <c r="W2111" s="23">
        <v>29.583781</v>
      </c>
      <c r="X2111" s="23">
        <v>-95.4791123</v>
      </c>
    </row>
    <row r="2112" ht="15.75" customHeight="1">
      <c r="A2112" s="23">
        <v>50555.0</v>
      </c>
      <c r="B2112" s="23">
        <v>2023.0</v>
      </c>
      <c r="C2112" s="6" t="str">
        <f t="shared" si="7"/>
        <v>2305  CENTER ST,Houston,TX</v>
      </c>
      <c r="D2112" s="23" t="s">
        <v>3477</v>
      </c>
      <c r="E2112" s="6" t="s">
        <v>25</v>
      </c>
      <c r="F2112" s="6" t="s">
        <v>1388</v>
      </c>
      <c r="G2112" s="31" t="s">
        <v>158</v>
      </c>
      <c r="H2112" s="23" t="s">
        <v>50</v>
      </c>
      <c r="I2112" s="6" t="str">
        <f>VLOOKUP(H2112,'Flow Location'!$A$1:$B$21,2,FALSE)</f>
        <v>Contained On Site, not within 5 ft. of Bayou/Surface Water/Drainage Ditch</v>
      </c>
      <c r="J2112" s="23">
        <v>137.0</v>
      </c>
      <c r="K2112" s="23" t="s">
        <v>29</v>
      </c>
      <c r="L2112" s="6" t="str">
        <f>VLOOKUP(K2112,'Structure type'!$A$1:$B$15,2,FALSE)</f>
        <v>Manhole</v>
      </c>
      <c r="M2112" s="23" t="s">
        <v>30</v>
      </c>
      <c r="N2112" s="6" t="str">
        <f>VLOOKUP(M2112,'Excursion Cause'!$A$1:$B$34,2,FALSE)</f>
        <v>Grease Blockage</v>
      </c>
      <c r="O2112" s="32">
        <v>44927.0</v>
      </c>
      <c r="P2112" s="30">
        <v>0.44305555555555554</v>
      </c>
      <c r="Q2112" s="32">
        <v>44927.0</v>
      </c>
      <c r="R2112" s="30">
        <v>0.5381944444444444</v>
      </c>
      <c r="S2112" s="23">
        <v>1.0</v>
      </c>
      <c r="T2112" s="23" t="s">
        <v>59</v>
      </c>
      <c r="U2112" s="31"/>
      <c r="V2112" s="31"/>
      <c r="W2112" s="23">
        <v>29.768782</v>
      </c>
      <c r="X2112" s="23">
        <v>-95.38196</v>
      </c>
    </row>
    <row r="2113" ht="15.75" customHeight="1">
      <c r="A2113" s="23">
        <v>50556.0</v>
      </c>
      <c r="B2113" s="23">
        <v>2023.0</v>
      </c>
      <c r="C2113" s="6" t="str">
        <f t="shared" si="7"/>
        <v>7521  PAGEWOOD LN,Houston,TX</v>
      </c>
      <c r="D2113" s="23" t="s">
        <v>3478</v>
      </c>
      <c r="E2113" s="6" t="s">
        <v>25</v>
      </c>
      <c r="F2113" s="6" t="s">
        <v>1388</v>
      </c>
      <c r="G2113" s="31" t="s">
        <v>482</v>
      </c>
      <c r="H2113" s="23" t="s">
        <v>28</v>
      </c>
      <c r="I2113" s="6" t="str">
        <f>VLOOKUP(H2113,'Flow Location'!$A$1:$B$21,2,FALSE)</f>
        <v>Storm Sewer (not contained)</v>
      </c>
      <c r="J2113" s="23">
        <v>2250.0</v>
      </c>
      <c r="K2113" s="23" t="s">
        <v>29</v>
      </c>
      <c r="L2113" s="6" t="str">
        <f>VLOOKUP(K2113,'Structure type'!$A$1:$B$15,2,FALSE)</f>
        <v>Manhole</v>
      </c>
      <c r="M2113" s="23" t="s">
        <v>30</v>
      </c>
      <c r="N2113" s="6" t="str">
        <f>VLOOKUP(M2113,'Excursion Cause'!$A$1:$B$34,2,FALSE)</f>
        <v>Grease Blockage</v>
      </c>
      <c r="O2113" s="32">
        <v>44927.0</v>
      </c>
      <c r="P2113" s="30">
        <v>0.65625</v>
      </c>
      <c r="Q2113" s="32">
        <v>44928.0</v>
      </c>
      <c r="R2113" s="30">
        <v>0.4375</v>
      </c>
      <c r="S2113" s="23">
        <v>2.0</v>
      </c>
      <c r="T2113" s="23" t="s">
        <v>1439</v>
      </c>
      <c r="U2113" s="31"/>
      <c r="V2113" s="31"/>
      <c r="W2113" s="23">
        <v>29.7264696</v>
      </c>
      <c r="X2113" s="23">
        <v>-95.5019011</v>
      </c>
    </row>
    <row r="2114" ht="15.75" customHeight="1">
      <c r="A2114" s="23">
        <v>50558.0</v>
      </c>
      <c r="B2114" s="23">
        <v>2023.0</v>
      </c>
      <c r="C2114" s="6" t="str">
        <f t="shared" si="7"/>
        <v>5504  SHADOW CREST ST,Houston,TX</v>
      </c>
      <c r="D2114" s="23" t="s">
        <v>3479</v>
      </c>
      <c r="E2114" s="6" t="s">
        <v>25</v>
      </c>
      <c r="F2114" s="6" t="s">
        <v>1388</v>
      </c>
      <c r="G2114" s="31" t="s">
        <v>69</v>
      </c>
      <c r="H2114" s="23" t="s">
        <v>50</v>
      </c>
      <c r="I2114" s="6" t="str">
        <f>VLOOKUP(H2114,'Flow Location'!$A$1:$B$21,2,FALSE)</f>
        <v>Contained On Site, not within 5 ft. of Bayou/Surface Water/Drainage Ditch</v>
      </c>
      <c r="J2114" s="23">
        <v>0.0</v>
      </c>
      <c r="K2114" s="23" t="s">
        <v>45</v>
      </c>
      <c r="L2114" s="6" t="str">
        <f>VLOOKUP(K2114,'Structure type'!$A$1:$B$15,2,FALSE)</f>
        <v>City Cleanout</v>
      </c>
      <c r="M2114" s="23" t="s">
        <v>56</v>
      </c>
      <c r="N2114" s="6" t="str">
        <f>VLOOKUP(M2114,'Excursion Cause'!$A$1:$B$34,2,FALSE)</f>
        <v>Rags/Wipes</v>
      </c>
      <c r="O2114" s="32">
        <v>44928.0</v>
      </c>
      <c r="P2114" s="30">
        <v>0.37916666666666665</v>
      </c>
      <c r="Q2114" s="32">
        <v>44928.0</v>
      </c>
      <c r="R2114" s="30">
        <v>0.3798611111111111</v>
      </c>
      <c r="S2114" s="23">
        <v>0.0</v>
      </c>
      <c r="T2114" s="23" t="s">
        <v>89</v>
      </c>
      <c r="U2114" s="31"/>
      <c r="V2114" s="31"/>
      <c r="W2114" s="23">
        <v>29.6778152</v>
      </c>
      <c r="X2114" s="23">
        <v>-95.4847857</v>
      </c>
    </row>
    <row r="2115" ht="15.75" customHeight="1">
      <c r="A2115" s="23">
        <v>50562.0</v>
      </c>
      <c r="B2115" s="23">
        <v>2023.0</v>
      </c>
      <c r="C2115" s="6" t="str">
        <f t="shared" si="7"/>
        <v>4219  EDISON ST,Houston,TX</v>
      </c>
      <c r="D2115" s="23" t="s">
        <v>3480</v>
      </c>
      <c r="E2115" s="6" t="s">
        <v>25</v>
      </c>
      <c r="F2115" s="6" t="s">
        <v>1388</v>
      </c>
      <c r="G2115" s="31" t="s">
        <v>161</v>
      </c>
      <c r="H2115" s="23" t="s">
        <v>50</v>
      </c>
      <c r="I2115" s="6" t="str">
        <f>VLOOKUP(H2115,'Flow Location'!$A$1:$B$21,2,FALSE)</f>
        <v>Contained On Site, not within 5 ft. of Bayou/Surface Water/Drainage Ditch</v>
      </c>
      <c r="J2115" s="23">
        <v>0.0</v>
      </c>
      <c r="K2115" s="23" t="s">
        <v>198</v>
      </c>
      <c r="L2115" s="6" t="str">
        <f>VLOOKUP(K2115,'Structure type'!$A$1:$B$15,2,FALSE)</f>
        <v>Service Lateral</v>
      </c>
      <c r="M2115" s="23" t="s">
        <v>81</v>
      </c>
      <c r="N2115" s="6" t="str">
        <f>VLOOKUP(M2115,'Excursion Cause'!$A$1:$B$34,2,FALSE)</f>
        <v>Collection system structural failure</v>
      </c>
      <c r="O2115" s="32">
        <v>44928.0</v>
      </c>
      <c r="P2115" s="30">
        <v>0.3958333333333333</v>
      </c>
      <c r="Q2115" s="32">
        <v>44928.0</v>
      </c>
      <c r="R2115" s="30">
        <v>0.39652777777777776</v>
      </c>
      <c r="S2115" s="23">
        <v>0.0</v>
      </c>
      <c r="T2115" s="23" t="s">
        <v>1233</v>
      </c>
      <c r="U2115" s="31"/>
      <c r="V2115" s="31"/>
      <c r="W2115" s="23">
        <v>29.7989491</v>
      </c>
      <c r="X2115" s="23">
        <v>-95.3632024</v>
      </c>
    </row>
    <row r="2116" ht="15.75" customHeight="1">
      <c r="A2116" s="23">
        <v>50563.0</v>
      </c>
      <c r="B2116" s="23">
        <v>2023.0</v>
      </c>
      <c r="C2116" s="6" t="str">
        <f t="shared" si="7"/>
        <v>2074  ANTOINE DR,Houston,TX</v>
      </c>
      <c r="D2116" s="23" t="s">
        <v>3481</v>
      </c>
      <c r="E2116" s="6" t="s">
        <v>25</v>
      </c>
      <c r="F2116" s="6" t="s">
        <v>1388</v>
      </c>
      <c r="G2116" s="31" t="s">
        <v>27</v>
      </c>
      <c r="H2116" s="23" t="s">
        <v>50</v>
      </c>
      <c r="I2116" s="6" t="str">
        <f>VLOOKUP(H2116,'Flow Location'!$A$1:$B$21,2,FALSE)</f>
        <v>Contained On Site, not within 5 ft. of Bayou/Surface Water/Drainage Ditch</v>
      </c>
      <c r="J2116" s="23">
        <v>0.0</v>
      </c>
      <c r="K2116" s="23" t="s">
        <v>45</v>
      </c>
      <c r="L2116" s="6" t="str">
        <f>VLOOKUP(K2116,'Structure type'!$A$1:$B$15,2,FALSE)</f>
        <v>City Cleanout</v>
      </c>
      <c r="M2116" s="23" t="s">
        <v>81</v>
      </c>
      <c r="N2116" s="6" t="str">
        <f>VLOOKUP(M2116,'Excursion Cause'!$A$1:$B$34,2,FALSE)</f>
        <v>Collection system structural failure</v>
      </c>
      <c r="O2116" s="32">
        <v>44928.0</v>
      </c>
      <c r="P2116" s="30">
        <v>0.41041666666666665</v>
      </c>
      <c r="Q2116" s="32">
        <v>44928.0</v>
      </c>
      <c r="R2116" s="30">
        <v>0.4111111111111111</v>
      </c>
      <c r="S2116" s="23">
        <v>0.0</v>
      </c>
      <c r="T2116" s="23" t="s">
        <v>3482</v>
      </c>
      <c r="U2116" s="31"/>
      <c r="V2116" s="31"/>
      <c r="W2116" s="23">
        <v>29.8092179</v>
      </c>
      <c r="X2116" s="23">
        <v>-95.4749344</v>
      </c>
    </row>
    <row r="2117" ht="15.75" customHeight="1">
      <c r="A2117" s="23">
        <v>50564.0</v>
      </c>
      <c r="B2117" s="23">
        <v>2023.0</v>
      </c>
      <c r="C2117" s="6" t="str">
        <f t="shared" si="7"/>
        <v>410  LONGWOODS LN,Houston,TX</v>
      </c>
      <c r="D2117" s="23" t="s">
        <v>3483</v>
      </c>
      <c r="E2117" s="6" t="s">
        <v>25</v>
      </c>
      <c r="F2117" s="6" t="s">
        <v>1388</v>
      </c>
      <c r="G2117" s="31" t="s">
        <v>123</v>
      </c>
      <c r="H2117" s="23" t="s">
        <v>50</v>
      </c>
      <c r="I2117" s="6" t="str">
        <f>VLOOKUP(H2117,'Flow Location'!$A$1:$B$21,2,FALSE)</f>
        <v>Contained On Site, not within 5 ft. of Bayou/Surface Water/Drainage Ditch</v>
      </c>
      <c r="J2117" s="23">
        <v>0.0</v>
      </c>
      <c r="K2117" s="23" t="s">
        <v>190</v>
      </c>
      <c r="L2117" s="6" t="str">
        <f>VLOOKUP(K2117,'Structure type'!$A$1:$B$15,2,FALSE)</f>
        <v>Force Main</v>
      </c>
      <c r="M2117" s="23" t="s">
        <v>81</v>
      </c>
      <c r="N2117" s="6" t="str">
        <f>VLOOKUP(M2117,'Excursion Cause'!$A$1:$B$34,2,FALSE)</f>
        <v>Collection system structural failure</v>
      </c>
      <c r="O2117" s="32">
        <v>44928.0</v>
      </c>
      <c r="P2117" s="30">
        <v>0.46111111111111114</v>
      </c>
      <c r="Q2117" s="32">
        <v>44928.0</v>
      </c>
      <c r="R2117" s="30">
        <v>0.4618055555555556</v>
      </c>
      <c r="S2117" s="23">
        <v>0.0</v>
      </c>
      <c r="T2117" s="23" t="s">
        <v>1439</v>
      </c>
      <c r="U2117" s="31"/>
      <c r="V2117" s="31"/>
      <c r="W2117" s="23">
        <v>29.7743585</v>
      </c>
      <c r="X2117" s="23">
        <v>-95.4860352</v>
      </c>
    </row>
    <row r="2118" ht="15.75" customHeight="1">
      <c r="A2118" s="23">
        <v>50571.0</v>
      </c>
      <c r="B2118" s="23">
        <v>2023.0</v>
      </c>
      <c r="C2118" s="6" t="str">
        <f t="shared" si="7"/>
        <v>9716  EDGEWORTH ST,Houston,TX</v>
      </c>
      <c r="D2118" s="23" t="s">
        <v>3484</v>
      </c>
      <c r="E2118" s="6" t="s">
        <v>25</v>
      </c>
      <c r="F2118" s="6" t="s">
        <v>1388</v>
      </c>
      <c r="G2118" s="31" t="s">
        <v>109</v>
      </c>
      <c r="H2118" s="23" t="s">
        <v>28</v>
      </c>
      <c r="I2118" s="6" t="str">
        <f>VLOOKUP(H2118,'Flow Location'!$A$1:$B$21,2,FALSE)</f>
        <v>Storm Sewer (not contained)</v>
      </c>
      <c r="J2118" s="23">
        <v>0.0</v>
      </c>
      <c r="K2118" s="23" t="s">
        <v>45</v>
      </c>
      <c r="L2118" s="6" t="str">
        <f>VLOOKUP(K2118,'Structure type'!$A$1:$B$15,2,FALSE)</f>
        <v>City Cleanout</v>
      </c>
      <c r="M2118" s="23" t="s">
        <v>30</v>
      </c>
      <c r="N2118" s="6" t="str">
        <f>VLOOKUP(M2118,'Excursion Cause'!$A$1:$B$34,2,FALSE)</f>
        <v>Grease Blockage</v>
      </c>
      <c r="O2118" s="32">
        <v>44928.0</v>
      </c>
      <c r="P2118" s="30">
        <v>0.6527777777777778</v>
      </c>
      <c r="Q2118" s="32">
        <v>44928.0</v>
      </c>
      <c r="R2118" s="30">
        <v>0.6534722222222222</v>
      </c>
      <c r="S2118" s="23">
        <v>0.0</v>
      </c>
      <c r="T2118" s="23" t="s">
        <v>170</v>
      </c>
      <c r="U2118" s="31"/>
      <c r="V2118" s="31"/>
      <c r="W2118" s="23">
        <v>29.8525816</v>
      </c>
      <c r="X2118" s="23">
        <v>-95.3463041</v>
      </c>
    </row>
    <row r="2119" ht="15.75" customHeight="1">
      <c r="A2119" s="23">
        <v>50579.0</v>
      </c>
      <c r="B2119" s="23">
        <v>2023.0</v>
      </c>
      <c r="C2119" s="6" t="str">
        <f t="shared" si="7"/>
        <v>10627  ALBURY DR,Houston,TX</v>
      </c>
      <c r="D2119" s="23" t="s">
        <v>3485</v>
      </c>
      <c r="E2119" s="6" t="s">
        <v>25</v>
      </c>
      <c r="F2119" s="6" t="s">
        <v>1388</v>
      </c>
      <c r="G2119" s="31" t="s">
        <v>69</v>
      </c>
      <c r="H2119" s="23" t="s">
        <v>28</v>
      </c>
      <c r="I2119" s="6" t="str">
        <f>VLOOKUP(H2119,'Flow Location'!$A$1:$B$21,2,FALSE)</f>
        <v>Storm Sewer (not contained)</v>
      </c>
      <c r="J2119" s="23">
        <v>251.0</v>
      </c>
      <c r="K2119" s="23" t="s">
        <v>29</v>
      </c>
      <c r="L2119" s="6" t="str">
        <f>VLOOKUP(K2119,'Structure type'!$A$1:$B$15,2,FALSE)</f>
        <v>Manhole</v>
      </c>
      <c r="M2119" s="23" t="s">
        <v>30</v>
      </c>
      <c r="N2119" s="6" t="str">
        <f>VLOOKUP(M2119,'Excursion Cause'!$A$1:$B$34,2,FALSE)</f>
        <v>Grease Blockage</v>
      </c>
      <c r="O2119" s="32">
        <v>44929.0</v>
      </c>
      <c r="P2119" s="30">
        <v>0.3993055555555556</v>
      </c>
      <c r="Q2119" s="32">
        <v>44929.0</v>
      </c>
      <c r="R2119" s="30">
        <v>0.5736111111111111</v>
      </c>
      <c r="S2119" s="23">
        <v>1.0</v>
      </c>
      <c r="T2119" s="23" t="s">
        <v>1439</v>
      </c>
      <c r="U2119" s="31"/>
      <c r="V2119" s="31"/>
      <c r="W2119" s="23">
        <v>29.6653752</v>
      </c>
      <c r="X2119" s="23">
        <v>-95.4978899</v>
      </c>
    </row>
    <row r="2120" ht="15.75" customHeight="1">
      <c r="A2120" s="23">
        <v>50582.0</v>
      </c>
      <c r="B2120" s="23">
        <v>2023.0</v>
      </c>
      <c r="C2120" s="6" t="str">
        <f t="shared" si="7"/>
        <v>330  HARBOR ST,Houston,TX</v>
      </c>
      <c r="D2120" s="23" t="s">
        <v>3486</v>
      </c>
      <c r="E2120" s="6" t="s">
        <v>25</v>
      </c>
      <c r="F2120" s="6" t="s">
        <v>1388</v>
      </c>
      <c r="G2120" s="31" t="s">
        <v>86</v>
      </c>
      <c r="H2120" s="23" t="s">
        <v>50</v>
      </c>
      <c r="I2120" s="6" t="str">
        <f>VLOOKUP(H2120,'Flow Location'!$A$1:$B$21,2,FALSE)</f>
        <v>Contained On Site, not within 5 ft. of Bayou/Surface Water/Drainage Ditch</v>
      </c>
      <c r="J2120" s="23">
        <v>0.0</v>
      </c>
      <c r="K2120" s="23" t="s">
        <v>45</v>
      </c>
      <c r="L2120" s="6" t="str">
        <f>VLOOKUP(K2120,'Structure type'!$A$1:$B$15,2,FALSE)</f>
        <v>City Cleanout</v>
      </c>
      <c r="M2120" s="23" t="s">
        <v>30</v>
      </c>
      <c r="N2120" s="6" t="str">
        <f>VLOOKUP(M2120,'Excursion Cause'!$A$1:$B$34,2,FALSE)</f>
        <v>Grease Blockage</v>
      </c>
      <c r="O2120" s="32">
        <v>44929.0</v>
      </c>
      <c r="P2120" s="30">
        <v>0.45625</v>
      </c>
      <c r="Q2120" s="32">
        <v>44929.0</v>
      </c>
      <c r="R2120" s="30">
        <v>0.45694444444444443</v>
      </c>
      <c r="S2120" s="23">
        <v>0.0</v>
      </c>
      <c r="T2120" s="23" t="s">
        <v>1439</v>
      </c>
      <c r="U2120" s="31"/>
      <c r="V2120" s="31"/>
      <c r="W2120" s="23">
        <v>29.7827217</v>
      </c>
      <c r="X2120" s="23">
        <v>-95.2950608</v>
      </c>
    </row>
    <row r="2121" ht="15.75" customHeight="1">
      <c r="A2121" s="23">
        <v>50585.0</v>
      </c>
      <c r="B2121" s="23">
        <v>2023.0</v>
      </c>
      <c r="C2121" s="6" t="str">
        <f t="shared" si="7"/>
        <v>7324  EAGLE PASS ST,Houston,TX</v>
      </c>
      <c r="D2121" s="23" t="s">
        <v>3487</v>
      </c>
      <c r="E2121" s="6" t="s">
        <v>25</v>
      </c>
      <c r="F2121" s="6" t="s">
        <v>1388</v>
      </c>
      <c r="G2121" s="31" t="s">
        <v>86</v>
      </c>
      <c r="H2121" s="23" t="s">
        <v>28</v>
      </c>
      <c r="I2121" s="6" t="str">
        <f>VLOOKUP(H2121,'Flow Location'!$A$1:$B$21,2,FALSE)</f>
        <v>Storm Sewer (not contained)</v>
      </c>
      <c r="J2121" s="28">
        <v>0.0</v>
      </c>
      <c r="K2121" s="23" t="s">
        <v>45</v>
      </c>
      <c r="L2121" s="6" t="str">
        <f>VLOOKUP(K2121,'Structure type'!$A$1:$B$15,2,FALSE)</f>
        <v>City Cleanout</v>
      </c>
      <c r="M2121" s="23" t="s">
        <v>56</v>
      </c>
      <c r="N2121" s="6" t="str">
        <f>VLOOKUP(M2121,'Excursion Cause'!$A$1:$B$34,2,FALSE)</f>
        <v>Rags/Wipes</v>
      </c>
      <c r="O2121" s="29">
        <v>44929.0</v>
      </c>
      <c r="P2121" s="30">
        <v>0.47291666666666665</v>
      </c>
      <c r="Q2121" s="29">
        <v>44929.0</v>
      </c>
      <c r="R2121" s="30">
        <v>0.4736111111111111</v>
      </c>
      <c r="S2121" s="28">
        <v>0.0</v>
      </c>
      <c r="T2121" s="23" t="s">
        <v>74</v>
      </c>
      <c r="U2121" s="6"/>
      <c r="V2121" s="6"/>
      <c r="W2121" s="23">
        <v>29.7833682</v>
      </c>
      <c r="X2121" s="23">
        <v>-95.2957392</v>
      </c>
    </row>
    <row r="2122" ht="15.75" customHeight="1">
      <c r="A2122" s="23">
        <v>50586.0</v>
      </c>
      <c r="B2122" s="23">
        <v>2023.0</v>
      </c>
      <c r="C2122" s="6" t="str">
        <f t="shared" si="7"/>
        <v>5512  BUNTE ST,Houston,TX</v>
      </c>
      <c r="D2122" s="23" t="s">
        <v>3488</v>
      </c>
      <c r="E2122" s="6" t="s">
        <v>25</v>
      </c>
      <c r="F2122" s="6" t="s">
        <v>1388</v>
      </c>
      <c r="G2122" s="31" t="s">
        <v>43</v>
      </c>
      <c r="H2122" s="23" t="s">
        <v>28</v>
      </c>
      <c r="I2122" s="6" t="str">
        <f>VLOOKUP(H2122,'Flow Location'!$A$1:$B$21,2,FALSE)</f>
        <v>Storm Sewer (not contained)</v>
      </c>
      <c r="J2122" s="28">
        <v>0.0</v>
      </c>
      <c r="K2122" s="23" t="s">
        <v>45</v>
      </c>
      <c r="L2122" s="6" t="str">
        <f>VLOOKUP(K2122,'Structure type'!$A$1:$B$15,2,FALSE)</f>
        <v>City Cleanout</v>
      </c>
      <c r="M2122" s="23" t="s">
        <v>56</v>
      </c>
      <c r="N2122" s="6" t="str">
        <f>VLOOKUP(M2122,'Excursion Cause'!$A$1:$B$34,2,FALSE)</f>
        <v>Rags/Wipes</v>
      </c>
      <c r="O2122" s="29">
        <v>44929.0</v>
      </c>
      <c r="P2122" s="30">
        <v>0.4791666666666667</v>
      </c>
      <c r="Q2122" s="29">
        <v>44929.0</v>
      </c>
      <c r="R2122" s="30">
        <v>0.4798611111111111</v>
      </c>
      <c r="S2122" s="28">
        <v>0.0</v>
      </c>
      <c r="T2122" s="23" t="s">
        <v>1439</v>
      </c>
      <c r="U2122" s="6"/>
      <c r="V2122" s="6"/>
      <c r="W2122" s="23">
        <v>29.8016854</v>
      </c>
      <c r="X2122" s="23">
        <v>-95.3146858</v>
      </c>
    </row>
    <row r="2123" ht="15.75" customHeight="1">
      <c r="A2123" s="23">
        <v>50588.0</v>
      </c>
      <c r="B2123" s="23">
        <v>2023.0</v>
      </c>
      <c r="C2123" s="6" t="str">
        <f t="shared" si="7"/>
        <v>5202 A  FLOYD ST,Houston,TX</v>
      </c>
      <c r="D2123" s="23" t="s">
        <v>3489</v>
      </c>
      <c r="E2123" s="6" t="s">
        <v>25</v>
      </c>
      <c r="F2123" s="6" t="s">
        <v>1388</v>
      </c>
      <c r="G2123" s="31" t="s">
        <v>158</v>
      </c>
      <c r="H2123" s="23" t="s">
        <v>44</v>
      </c>
      <c r="I2123" s="6" t="str">
        <f>VLOOKUP(H2123,'Flow Location'!$A$1:$B$21,2,FALSE)</f>
        <v>Bayou/surface water/drainage ditch</v>
      </c>
      <c r="J2123" s="28">
        <v>0.0</v>
      </c>
      <c r="K2123" s="23" t="s">
        <v>29</v>
      </c>
      <c r="L2123" s="6" t="str">
        <f>VLOOKUP(K2123,'Structure type'!$A$1:$B$15,2,FALSE)</f>
        <v>Manhole</v>
      </c>
      <c r="M2123" s="23" t="s">
        <v>30</v>
      </c>
      <c r="N2123" s="6" t="str">
        <f>VLOOKUP(M2123,'Excursion Cause'!$A$1:$B$34,2,FALSE)</f>
        <v>Grease Blockage</v>
      </c>
      <c r="O2123" s="29">
        <v>44929.0</v>
      </c>
      <c r="P2123" s="30">
        <v>0.5055555555555555</v>
      </c>
      <c r="Q2123" s="29">
        <v>44929.0</v>
      </c>
      <c r="R2123" s="30">
        <v>0.50625</v>
      </c>
      <c r="S2123" s="28">
        <v>0.0</v>
      </c>
      <c r="T2123" s="23" t="s">
        <v>89</v>
      </c>
      <c r="U2123" s="6"/>
      <c r="V2123" s="6"/>
      <c r="W2123" s="23">
        <v>29.7681859</v>
      </c>
      <c r="X2123" s="23">
        <v>-95.4136202</v>
      </c>
    </row>
    <row r="2124" ht="15.75" customHeight="1">
      <c r="A2124" s="23">
        <v>50591.0</v>
      </c>
      <c r="B2124" s="23">
        <v>2023.0</v>
      </c>
      <c r="C2124" s="6" t="str">
        <f t="shared" si="7"/>
        <v>10275  GREENFORK DR,Houston,TX</v>
      </c>
      <c r="D2124" s="23" t="s">
        <v>3490</v>
      </c>
      <c r="E2124" s="6" t="s">
        <v>25</v>
      </c>
      <c r="F2124" s="6" t="s">
        <v>1388</v>
      </c>
      <c r="G2124" s="31" t="s">
        <v>100</v>
      </c>
      <c r="H2124" s="23" t="s">
        <v>28</v>
      </c>
      <c r="I2124" s="6" t="str">
        <f>VLOOKUP(H2124,'Flow Location'!$A$1:$B$21,2,FALSE)</f>
        <v>Storm Sewer (not contained)</v>
      </c>
      <c r="J2124" s="28">
        <v>333.0</v>
      </c>
      <c r="K2124" s="23" t="s">
        <v>29</v>
      </c>
      <c r="L2124" s="6" t="str">
        <f>VLOOKUP(K2124,'Structure type'!$A$1:$B$15,2,FALSE)</f>
        <v>Manhole</v>
      </c>
      <c r="M2124" s="23" t="s">
        <v>30</v>
      </c>
      <c r="N2124" s="6" t="str">
        <f>VLOOKUP(M2124,'Excursion Cause'!$A$1:$B$34,2,FALSE)</f>
        <v>Grease Blockage</v>
      </c>
      <c r="O2124" s="29">
        <v>44929.0</v>
      </c>
      <c r="P2124" s="30">
        <v>0.5583333333333333</v>
      </c>
      <c r="Q2124" s="29">
        <v>44929.0</v>
      </c>
      <c r="R2124" s="30">
        <v>0.6354166666666666</v>
      </c>
      <c r="S2124" s="28">
        <v>3.0</v>
      </c>
      <c r="T2124" s="23" t="s">
        <v>906</v>
      </c>
      <c r="U2124" s="6"/>
      <c r="V2124" s="6"/>
      <c r="W2124" s="23">
        <v>29.6829674</v>
      </c>
      <c r="X2124" s="23">
        <v>-95.557363</v>
      </c>
    </row>
    <row r="2125" ht="15.75" customHeight="1">
      <c r="A2125" s="23">
        <v>50594.0</v>
      </c>
      <c r="B2125" s="23">
        <v>2023.0</v>
      </c>
      <c r="C2125" s="6" t="str">
        <f t="shared" si="7"/>
        <v>723  SHOTWELL ST,Houston,TX</v>
      </c>
      <c r="D2125" s="23" t="s">
        <v>3491</v>
      </c>
      <c r="E2125" s="6" t="s">
        <v>25</v>
      </c>
      <c r="F2125" s="6" t="s">
        <v>1388</v>
      </c>
      <c r="G2125" s="31" t="s">
        <v>86</v>
      </c>
      <c r="H2125" s="23" t="s">
        <v>28</v>
      </c>
      <c r="I2125" s="6" t="str">
        <f>VLOOKUP(H2125,'Flow Location'!$A$1:$B$21,2,FALSE)</f>
        <v>Storm Sewer (not contained)</v>
      </c>
      <c r="J2125" s="28">
        <v>228.0</v>
      </c>
      <c r="K2125" s="23" t="s">
        <v>29</v>
      </c>
      <c r="L2125" s="6" t="str">
        <f>VLOOKUP(K2125,'Structure type'!$A$1:$B$15,2,FALSE)</f>
        <v>Manhole</v>
      </c>
      <c r="M2125" s="23" t="s">
        <v>30</v>
      </c>
      <c r="N2125" s="6" t="str">
        <f>VLOOKUP(M2125,'Excursion Cause'!$A$1:$B$34,2,FALSE)</f>
        <v>Grease Blockage</v>
      </c>
      <c r="O2125" s="29">
        <v>44929.0</v>
      </c>
      <c r="P2125" s="30">
        <v>0.65</v>
      </c>
      <c r="Q2125" s="29">
        <v>44929.0</v>
      </c>
      <c r="R2125" s="30">
        <v>0.7291666666666666</v>
      </c>
      <c r="S2125" s="28">
        <v>2.0</v>
      </c>
      <c r="T2125" s="23" t="s">
        <v>59</v>
      </c>
      <c r="U2125" s="6"/>
      <c r="V2125" s="6"/>
      <c r="W2125" s="23">
        <v>29.7756994</v>
      </c>
      <c r="X2125" s="23">
        <v>-95.3111388</v>
      </c>
    </row>
    <row r="2126" ht="15.75" customHeight="1">
      <c r="A2126" s="23">
        <v>50595.0</v>
      </c>
      <c r="B2126" s="23">
        <v>2023.0</v>
      </c>
      <c r="C2126" s="6" t="str">
        <f t="shared" si="7"/>
        <v>5219  PENFIELD LN,Houston,TX</v>
      </c>
      <c r="D2126" s="23" t="s">
        <v>3492</v>
      </c>
      <c r="E2126" s="6" t="s">
        <v>25</v>
      </c>
      <c r="F2126" s="6" t="s">
        <v>1388</v>
      </c>
      <c r="G2126" s="31" t="s">
        <v>238</v>
      </c>
      <c r="H2126" s="23" t="s">
        <v>50</v>
      </c>
      <c r="I2126" s="6" t="str">
        <f>VLOOKUP(H2126,'Flow Location'!$A$1:$B$21,2,FALSE)</f>
        <v>Contained On Site, not within 5 ft. of Bayou/Surface Water/Drainage Ditch</v>
      </c>
      <c r="J2126" s="28">
        <v>0.0</v>
      </c>
      <c r="K2126" s="23" t="s">
        <v>29</v>
      </c>
      <c r="L2126" s="6" t="str">
        <f>VLOOKUP(K2126,'Structure type'!$A$1:$B$15,2,FALSE)</f>
        <v>Manhole</v>
      </c>
      <c r="M2126" s="23" t="s">
        <v>30</v>
      </c>
      <c r="N2126" s="6" t="str">
        <f>VLOOKUP(M2126,'Excursion Cause'!$A$1:$B$34,2,FALSE)</f>
        <v>Grease Blockage</v>
      </c>
      <c r="O2126" s="29">
        <v>44929.0</v>
      </c>
      <c r="P2126" s="30">
        <v>0.6833333333333333</v>
      </c>
      <c r="Q2126" s="29">
        <v>44929.0</v>
      </c>
      <c r="R2126" s="30">
        <v>0.6840277777777778</v>
      </c>
      <c r="S2126" s="28">
        <v>0.0</v>
      </c>
      <c r="T2126" s="23" t="s">
        <v>59</v>
      </c>
      <c r="U2126" s="6"/>
      <c r="V2126" s="6"/>
      <c r="W2126" s="23">
        <v>29.7018204</v>
      </c>
      <c r="X2126" s="23">
        <v>-95.3314257</v>
      </c>
    </row>
    <row r="2127" ht="15.75" customHeight="1">
      <c r="A2127" s="23">
        <v>50601.0</v>
      </c>
      <c r="B2127" s="23">
        <v>2023.0</v>
      </c>
      <c r="C2127" s="6" t="str">
        <f t="shared" si="7"/>
        <v>7550  EL RANCHO ST,Houston,TX</v>
      </c>
      <c r="D2127" s="23" t="s">
        <v>3493</v>
      </c>
      <c r="E2127" s="6" t="s">
        <v>25</v>
      </c>
      <c r="F2127" s="6" t="s">
        <v>1388</v>
      </c>
      <c r="G2127" s="31" t="s">
        <v>35</v>
      </c>
      <c r="H2127" s="23" t="s">
        <v>1493</v>
      </c>
      <c r="I2127" s="6" t="str">
        <f>VLOOKUP(H2127,'Flow Location'!$A$1:$B$21,2,FALSE)</f>
        <v>Contained On Site, not within 5 ft. of Bayou/Surface Water/Drainage Ditch</v>
      </c>
      <c r="J2127" s="28">
        <v>0.0</v>
      </c>
      <c r="K2127" s="23" t="s">
        <v>29</v>
      </c>
      <c r="L2127" s="6" t="str">
        <f>VLOOKUP(K2127,'Structure type'!$A$1:$B$15,2,FALSE)</f>
        <v>Manhole</v>
      </c>
      <c r="M2127" s="23" t="s">
        <v>30</v>
      </c>
      <c r="N2127" s="6" t="str">
        <f>VLOOKUP(M2127,'Excursion Cause'!$A$1:$B$34,2,FALSE)</f>
        <v>Grease Blockage</v>
      </c>
      <c r="O2127" s="29">
        <v>44930.0</v>
      </c>
      <c r="P2127" s="30">
        <v>0.3798611111111111</v>
      </c>
      <c r="Q2127" s="29">
        <v>44930.0</v>
      </c>
      <c r="R2127" s="30">
        <v>0.38055555555555554</v>
      </c>
      <c r="S2127" s="28">
        <v>0.0</v>
      </c>
      <c r="T2127" s="23" t="s">
        <v>33</v>
      </c>
      <c r="U2127" s="6"/>
      <c r="V2127" s="6"/>
      <c r="W2127" s="23">
        <v>29.680806</v>
      </c>
      <c r="X2127" s="23">
        <v>-95.2909451</v>
      </c>
    </row>
    <row r="2128" ht="15.75" customHeight="1">
      <c r="A2128" s="23">
        <v>50605.0</v>
      </c>
      <c r="B2128" s="23">
        <v>2023.0</v>
      </c>
      <c r="C2128" s="6" t="str">
        <f t="shared" si="7"/>
        <v>1556  PRAIRIE GROVE DR,Houston,TX</v>
      </c>
      <c r="D2128" s="23" t="s">
        <v>3494</v>
      </c>
      <c r="E2128" s="6" t="s">
        <v>25</v>
      </c>
      <c r="F2128" s="6" t="s">
        <v>1388</v>
      </c>
      <c r="G2128" s="31" t="s">
        <v>347</v>
      </c>
      <c r="H2128" s="23" t="s">
        <v>50</v>
      </c>
      <c r="I2128" s="6" t="str">
        <f>VLOOKUP(H2128,'Flow Location'!$A$1:$B$21,2,FALSE)</f>
        <v>Contained On Site, not within 5 ft. of Bayou/Surface Water/Drainage Ditch</v>
      </c>
      <c r="J2128" s="28">
        <v>0.0</v>
      </c>
      <c r="K2128" s="23" t="s">
        <v>29</v>
      </c>
      <c r="L2128" s="6" t="str">
        <f>VLOOKUP(K2128,'Structure type'!$A$1:$B$15,2,FALSE)</f>
        <v>Manhole</v>
      </c>
      <c r="M2128" s="23" t="s">
        <v>30</v>
      </c>
      <c r="N2128" s="6" t="str">
        <f>VLOOKUP(M2128,'Excursion Cause'!$A$1:$B$34,2,FALSE)</f>
        <v>Grease Blockage</v>
      </c>
      <c r="O2128" s="29">
        <v>44930.0</v>
      </c>
      <c r="P2128" s="30">
        <v>0.4444444444444444</v>
      </c>
      <c r="Q2128" s="29">
        <v>44930.0</v>
      </c>
      <c r="R2128" s="30">
        <v>0.44513888888888886</v>
      </c>
      <c r="S2128" s="28">
        <v>0.0</v>
      </c>
      <c r="T2128" s="23" t="s">
        <v>59</v>
      </c>
      <c r="U2128" s="6"/>
      <c r="V2128" s="6"/>
      <c r="W2128" s="23">
        <v>29.7534559</v>
      </c>
      <c r="X2128" s="23">
        <v>-95.5838208</v>
      </c>
    </row>
    <row r="2129" ht="15.75" customHeight="1">
      <c r="A2129" s="23">
        <v>50619.0</v>
      </c>
      <c r="B2129" s="23">
        <v>2023.0</v>
      </c>
      <c r="C2129" s="6" t="str">
        <f t="shared" si="7"/>
        <v>8915  COMPTON ST,Houston,TX</v>
      </c>
      <c r="D2129" s="23" t="s">
        <v>3495</v>
      </c>
      <c r="E2129" s="6" t="s">
        <v>25</v>
      </c>
      <c r="F2129" s="6" t="s">
        <v>1388</v>
      </c>
      <c r="G2129" s="31" t="s">
        <v>326</v>
      </c>
      <c r="H2129" s="23" t="s">
        <v>50</v>
      </c>
      <c r="I2129" s="6" t="str">
        <f>VLOOKUP(H2129,'Flow Location'!$A$1:$B$21,2,FALSE)</f>
        <v>Contained On Site, not within 5 ft. of Bayou/Surface Water/Drainage Ditch</v>
      </c>
      <c r="J2129" s="28">
        <v>0.0</v>
      </c>
      <c r="K2129" s="23" t="s">
        <v>29</v>
      </c>
      <c r="L2129" s="6" t="str">
        <f>VLOOKUP(K2129,'Structure type'!$A$1:$B$15,2,FALSE)</f>
        <v>Manhole</v>
      </c>
      <c r="M2129" s="23" t="s">
        <v>30</v>
      </c>
      <c r="N2129" s="6" t="str">
        <f>VLOOKUP(M2129,'Excursion Cause'!$A$1:$B$34,2,FALSE)</f>
        <v>Grease Blockage</v>
      </c>
      <c r="O2129" s="29">
        <v>44930.0</v>
      </c>
      <c r="P2129" s="30">
        <v>0.6097222222222223</v>
      </c>
      <c r="Q2129" s="29">
        <v>44930.0</v>
      </c>
      <c r="R2129" s="30">
        <v>0.6104166666666667</v>
      </c>
      <c r="S2129" s="28">
        <v>0.0</v>
      </c>
      <c r="T2129" s="23" t="s">
        <v>170</v>
      </c>
      <c r="U2129" s="6"/>
      <c r="V2129" s="6"/>
      <c r="W2129" s="23">
        <v>29.8425081</v>
      </c>
      <c r="X2129" s="23">
        <v>-95.3061052</v>
      </c>
    </row>
    <row r="2130" ht="15.75" customHeight="1">
      <c r="A2130" s="23">
        <v>50622.0</v>
      </c>
      <c r="B2130" s="23">
        <v>2023.0</v>
      </c>
      <c r="C2130" s="6" t="str">
        <f t="shared" si="7"/>
        <v>15107  WELLMAN LN,Houston,TX</v>
      </c>
      <c r="D2130" s="23" t="s">
        <v>3496</v>
      </c>
      <c r="E2130" s="6" t="s">
        <v>25</v>
      </c>
      <c r="F2130" s="6" t="s">
        <v>1388</v>
      </c>
      <c r="G2130" s="31" t="s">
        <v>570</v>
      </c>
      <c r="H2130" s="23" t="s">
        <v>50</v>
      </c>
      <c r="I2130" s="6" t="str">
        <f>VLOOKUP(H2130,'Flow Location'!$A$1:$B$21,2,FALSE)</f>
        <v>Contained On Site, not within 5 ft. of Bayou/Surface Water/Drainage Ditch</v>
      </c>
      <c r="J2130" s="28">
        <v>1163.0</v>
      </c>
      <c r="K2130" s="23" t="s">
        <v>51</v>
      </c>
      <c r="L2130" s="6" t="str">
        <f>VLOOKUP(K2130,'Structure type'!$A$1:$B$15,2,FALSE)</f>
        <v>Private Cleanout</v>
      </c>
      <c r="M2130" s="23" t="s">
        <v>30</v>
      </c>
      <c r="N2130" s="6" t="str">
        <f>VLOOKUP(M2130,'Excursion Cause'!$A$1:$B$34,2,FALSE)</f>
        <v>Grease Blockage</v>
      </c>
      <c r="O2130" s="29">
        <v>44930.0</v>
      </c>
      <c r="P2130" s="30">
        <v>0.7055555555555556</v>
      </c>
      <c r="Q2130" s="29">
        <v>44931.0</v>
      </c>
      <c r="R2130" s="30">
        <v>0.5131944444444444</v>
      </c>
      <c r="S2130" s="28">
        <v>1.0</v>
      </c>
      <c r="T2130" s="23" t="s">
        <v>59</v>
      </c>
      <c r="U2130" s="6"/>
      <c r="V2130" s="6"/>
      <c r="W2130" s="23">
        <v>29.918374</v>
      </c>
      <c r="X2130" s="23">
        <v>-95.404529</v>
      </c>
    </row>
    <row r="2131" ht="15.75" customHeight="1">
      <c r="A2131" s="23">
        <v>50625.0</v>
      </c>
      <c r="B2131" s="23">
        <v>2023.0</v>
      </c>
      <c r="C2131" s="6" t="str">
        <f t="shared" si="7"/>
        <v>3410  OAK FOREST DR,Houston,TX</v>
      </c>
      <c r="D2131" s="23" t="s">
        <v>3497</v>
      </c>
      <c r="E2131" s="6" t="s">
        <v>25</v>
      </c>
      <c r="F2131" s="6" t="s">
        <v>1388</v>
      </c>
      <c r="G2131" s="31" t="s">
        <v>218</v>
      </c>
      <c r="H2131" s="23" t="s">
        <v>44</v>
      </c>
      <c r="I2131" s="6" t="str">
        <f>VLOOKUP(H2131,'Flow Location'!$A$1:$B$21,2,FALSE)</f>
        <v>Bayou/surface water/drainage ditch</v>
      </c>
      <c r="J2131" s="28">
        <v>0.0</v>
      </c>
      <c r="K2131" s="23" t="s">
        <v>198</v>
      </c>
      <c r="L2131" s="6" t="str">
        <f>VLOOKUP(K2131,'Structure type'!$A$1:$B$15,2,FALSE)</f>
        <v>Service Lateral</v>
      </c>
      <c r="M2131" s="23" t="s">
        <v>30</v>
      </c>
      <c r="N2131" s="6" t="str">
        <f>VLOOKUP(M2131,'Excursion Cause'!$A$1:$B$34,2,FALSE)</f>
        <v>Grease Blockage</v>
      </c>
      <c r="O2131" s="29">
        <v>44931.0</v>
      </c>
      <c r="P2131" s="30">
        <v>0.40694444444444444</v>
      </c>
      <c r="Q2131" s="29">
        <v>44931.0</v>
      </c>
      <c r="R2131" s="30">
        <v>0.4076388888888889</v>
      </c>
      <c r="S2131" s="28">
        <v>0.0</v>
      </c>
      <c r="T2131" s="23" t="s">
        <v>906</v>
      </c>
      <c r="U2131" s="6"/>
      <c r="V2131" s="6"/>
      <c r="W2131" s="23">
        <v>29.8180098</v>
      </c>
      <c r="X2131" s="23">
        <v>-95.4360576</v>
      </c>
    </row>
    <row r="2132" ht="15.75" customHeight="1">
      <c r="A2132" s="23">
        <v>50629.0</v>
      </c>
      <c r="B2132" s="23">
        <v>2023.0</v>
      </c>
      <c r="C2132" s="6" t="str">
        <f t="shared" si="7"/>
        <v>1216  NORTHWOOD ST,Houston,TX</v>
      </c>
      <c r="D2132" s="23" t="s">
        <v>3498</v>
      </c>
      <c r="E2132" s="6" t="s">
        <v>25</v>
      </c>
      <c r="F2132" s="6" t="s">
        <v>1388</v>
      </c>
      <c r="G2132" s="31" t="s">
        <v>161</v>
      </c>
      <c r="H2132" s="23" t="s">
        <v>50</v>
      </c>
      <c r="I2132" s="6" t="str">
        <f>VLOOKUP(H2132,'Flow Location'!$A$1:$B$21,2,FALSE)</f>
        <v>Contained On Site, not within 5 ft. of Bayou/Surface Water/Drainage Ditch</v>
      </c>
      <c r="J2132" s="28">
        <v>0.0</v>
      </c>
      <c r="K2132" s="23" t="s">
        <v>29</v>
      </c>
      <c r="L2132" s="6" t="str">
        <f>VLOOKUP(K2132,'Structure type'!$A$1:$B$15,2,FALSE)</f>
        <v>Manhole</v>
      </c>
      <c r="M2132" s="23" t="s">
        <v>52</v>
      </c>
      <c r="N2132" s="6" t="str">
        <f>VLOOKUP(M2132,'Excursion Cause'!$A$1:$B$34,2,FALSE)</f>
        <v>Collection system structural blockage</v>
      </c>
      <c r="O2132" s="29">
        <v>44931.0</v>
      </c>
      <c r="P2132" s="30">
        <v>0.4875</v>
      </c>
      <c r="Q2132" s="29">
        <v>44931.0</v>
      </c>
      <c r="R2132" s="30">
        <v>0.48819444444444443</v>
      </c>
      <c r="S2132" s="28">
        <v>0.0</v>
      </c>
      <c r="T2132" s="23" t="s">
        <v>59</v>
      </c>
      <c r="U2132" s="6"/>
      <c r="V2132" s="6"/>
      <c r="W2132" s="23">
        <v>29.803011</v>
      </c>
      <c r="X2132" s="23">
        <v>-95.377854</v>
      </c>
    </row>
    <row r="2133" ht="15.75" customHeight="1">
      <c r="A2133" s="23">
        <v>50631.0</v>
      </c>
      <c r="B2133" s="23">
        <v>2023.0</v>
      </c>
      <c r="C2133" s="6" t="str">
        <f t="shared" si="7"/>
        <v>11607  NORTHWEST FWY,Houston,TX</v>
      </c>
      <c r="D2133" s="23" t="s">
        <v>3499</v>
      </c>
      <c r="E2133" s="6" t="s">
        <v>25</v>
      </c>
      <c r="F2133" s="6" t="s">
        <v>1388</v>
      </c>
      <c r="G2133" s="31" t="s">
        <v>76</v>
      </c>
      <c r="H2133" s="23" t="s">
        <v>28</v>
      </c>
      <c r="I2133" s="6" t="str">
        <f>VLOOKUP(H2133,'Flow Location'!$A$1:$B$21,2,FALSE)</f>
        <v>Storm Sewer (not contained)</v>
      </c>
      <c r="J2133" s="28">
        <v>1425.0</v>
      </c>
      <c r="K2133" s="23" t="s">
        <v>29</v>
      </c>
      <c r="L2133" s="6" t="str">
        <f>VLOOKUP(K2133,'Structure type'!$A$1:$B$15,2,FALSE)</f>
        <v>Manhole</v>
      </c>
      <c r="M2133" s="23" t="s">
        <v>30</v>
      </c>
      <c r="N2133" s="6" t="str">
        <f>VLOOKUP(M2133,'Excursion Cause'!$A$1:$B$34,2,FALSE)</f>
        <v>Grease Blockage</v>
      </c>
      <c r="O2133" s="29">
        <v>44931.0</v>
      </c>
      <c r="P2133" s="30">
        <v>0.5618055555555556</v>
      </c>
      <c r="Q2133" s="29">
        <v>44932.0</v>
      </c>
      <c r="R2133" s="30">
        <v>0.5513888888888889</v>
      </c>
      <c r="S2133" s="28">
        <v>1.0</v>
      </c>
      <c r="T2133" s="23" t="s">
        <v>59</v>
      </c>
      <c r="U2133" s="6"/>
      <c r="V2133" s="6"/>
      <c r="W2133" s="23">
        <v>29.822745</v>
      </c>
      <c r="X2133" s="23">
        <v>-95.4742996</v>
      </c>
    </row>
    <row r="2134" ht="15.75" customHeight="1">
      <c r="A2134" s="23">
        <v>50632.0</v>
      </c>
      <c r="B2134" s="23">
        <v>2023.0</v>
      </c>
      <c r="C2134" s="6" t="str">
        <f t="shared" si="7"/>
        <v>8600  JAMEEL RD,Houston,TX</v>
      </c>
      <c r="D2134" s="23" t="s">
        <v>3500</v>
      </c>
      <c r="E2134" s="6" t="s">
        <v>25</v>
      </c>
      <c r="F2134" s="6" t="s">
        <v>1388</v>
      </c>
      <c r="G2134" s="31" t="s">
        <v>253</v>
      </c>
      <c r="H2134" s="23" t="s">
        <v>28</v>
      </c>
      <c r="I2134" s="6" t="str">
        <f>VLOOKUP(H2134,'Flow Location'!$A$1:$B$21,2,FALSE)</f>
        <v>Storm Sewer (not contained)</v>
      </c>
      <c r="J2134" s="28">
        <v>4083.0</v>
      </c>
      <c r="K2134" s="23" t="s">
        <v>29</v>
      </c>
      <c r="L2134" s="6" t="str">
        <f>VLOOKUP(K2134,'Structure type'!$A$1:$B$15,2,FALSE)</f>
        <v>Manhole</v>
      </c>
      <c r="M2134" s="23" t="s">
        <v>30</v>
      </c>
      <c r="N2134" s="6" t="str">
        <f>VLOOKUP(M2134,'Excursion Cause'!$A$1:$B$34,2,FALSE)</f>
        <v>Grease Blockage</v>
      </c>
      <c r="O2134" s="29">
        <v>44931.0</v>
      </c>
      <c r="P2134" s="30">
        <v>0.5548611111111111</v>
      </c>
      <c r="Q2134" s="29">
        <v>44932.0</v>
      </c>
      <c r="R2134" s="30">
        <v>0.5</v>
      </c>
      <c r="S2134" s="28">
        <v>3.0</v>
      </c>
      <c r="T2134" s="23" t="s">
        <v>906</v>
      </c>
      <c r="U2134" s="6"/>
      <c r="V2134" s="6"/>
      <c r="W2134" s="23">
        <v>29.8581373</v>
      </c>
      <c r="X2134" s="23">
        <v>-95.5249454</v>
      </c>
    </row>
    <row r="2135" ht="15.75" customHeight="1">
      <c r="A2135" s="23">
        <v>50637.0</v>
      </c>
      <c r="B2135" s="23">
        <v>2023.0</v>
      </c>
      <c r="C2135" s="6" t="str">
        <f t="shared" si="7"/>
        <v>7521  PAGEWOOD LN,Houston,TX</v>
      </c>
      <c r="D2135" s="23" t="s">
        <v>3478</v>
      </c>
      <c r="E2135" s="6" t="s">
        <v>25</v>
      </c>
      <c r="F2135" s="6" t="s">
        <v>1388</v>
      </c>
      <c r="G2135" s="31" t="s">
        <v>482</v>
      </c>
      <c r="H2135" s="23" t="s">
        <v>28</v>
      </c>
      <c r="I2135" s="6" t="str">
        <f>VLOOKUP(H2135,'Flow Location'!$A$1:$B$21,2,FALSE)</f>
        <v>Storm Sewer (not contained)</v>
      </c>
      <c r="J2135" s="28">
        <v>5490.0</v>
      </c>
      <c r="K2135" s="23" t="s">
        <v>29</v>
      </c>
      <c r="L2135" s="6" t="str">
        <f>VLOOKUP(K2135,'Structure type'!$A$1:$B$15,2,FALSE)</f>
        <v>Manhole</v>
      </c>
      <c r="M2135" s="23" t="s">
        <v>30</v>
      </c>
      <c r="N2135" s="6" t="str">
        <f>VLOOKUP(M2135,'Excursion Cause'!$A$1:$B$34,2,FALSE)</f>
        <v>Grease Blockage</v>
      </c>
      <c r="O2135" s="29">
        <v>44931.0</v>
      </c>
      <c r="P2135" s="30">
        <v>0.6645833333333333</v>
      </c>
      <c r="Q2135" s="29">
        <v>44932.0</v>
      </c>
      <c r="R2135" s="30">
        <v>0.4270833333333333</v>
      </c>
      <c r="S2135" s="28">
        <v>5.0</v>
      </c>
      <c r="T2135" s="23" t="s">
        <v>59</v>
      </c>
      <c r="U2135" s="6"/>
      <c r="V2135" s="6"/>
      <c r="W2135" s="23">
        <v>29.7264696</v>
      </c>
      <c r="X2135" s="23">
        <v>-95.5019011</v>
      </c>
    </row>
    <row r="2136" ht="15.75" customHeight="1">
      <c r="A2136" s="23">
        <v>50638.0</v>
      </c>
      <c r="B2136" s="23">
        <v>2023.0</v>
      </c>
      <c r="C2136" s="6" t="str">
        <f t="shared" si="7"/>
        <v>9555  CROFTON ST,Houston,TX</v>
      </c>
      <c r="D2136" s="23" t="s">
        <v>3501</v>
      </c>
      <c r="E2136" s="6" t="s">
        <v>25</v>
      </c>
      <c r="F2136" s="6" t="s">
        <v>1388</v>
      </c>
      <c r="G2136" s="31" t="s">
        <v>326</v>
      </c>
      <c r="H2136" s="23" t="s">
        <v>28</v>
      </c>
      <c r="I2136" s="6" t="str">
        <f>VLOOKUP(H2136,'Flow Location'!$A$1:$B$21,2,FALSE)</f>
        <v>Storm Sewer (not contained)</v>
      </c>
      <c r="J2136" s="28">
        <v>5468.0</v>
      </c>
      <c r="K2136" s="23" t="s">
        <v>29</v>
      </c>
      <c r="L2136" s="6" t="str">
        <f>VLOOKUP(K2136,'Structure type'!$A$1:$B$15,2,FALSE)</f>
        <v>Manhole</v>
      </c>
      <c r="M2136" s="23" t="s">
        <v>30</v>
      </c>
      <c r="N2136" s="6" t="str">
        <f>VLOOKUP(M2136,'Excursion Cause'!$A$1:$B$34,2,FALSE)</f>
        <v>Grease Blockage</v>
      </c>
      <c r="O2136" s="29">
        <v>44931.0</v>
      </c>
      <c r="P2136" s="30">
        <v>0.6986111111111111</v>
      </c>
      <c r="Q2136" s="29">
        <v>44933.0</v>
      </c>
      <c r="R2136" s="30">
        <v>0.5972222222222222</v>
      </c>
      <c r="S2136" s="28">
        <v>2.0</v>
      </c>
      <c r="T2136" s="23" t="s">
        <v>59</v>
      </c>
      <c r="U2136" s="6"/>
      <c r="V2136" s="6"/>
      <c r="W2136" s="23">
        <v>29.8504768</v>
      </c>
      <c r="X2136" s="23">
        <v>-95.3001634</v>
      </c>
    </row>
    <row r="2137" ht="15.75" customHeight="1">
      <c r="A2137" s="23">
        <v>50640.0</v>
      </c>
      <c r="B2137" s="6">
        <v>2022.0</v>
      </c>
      <c r="C2137" s="6" t="str">
        <f t="shared" si="7"/>
        <v>5138 CHEENA DR,Houston,TX</v>
      </c>
      <c r="D2137" s="23" t="s">
        <v>3502</v>
      </c>
      <c r="E2137" s="6" t="s">
        <v>25</v>
      </c>
      <c r="F2137" s="6" t="s">
        <v>1388</v>
      </c>
      <c r="G2137" s="6" t="s">
        <v>69</v>
      </c>
      <c r="H2137" s="23" t="s">
        <v>50</v>
      </c>
      <c r="I2137" s="6" t="str">
        <f>VLOOKUP(H2137,'Flow Location'!$A$1:$B$21,2,FALSE)</f>
        <v>Contained On Site, not within 5 ft. of Bayou/Surface Water/Drainage Ditch</v>
      </c>
      <c r="J2137" s="28">
        <v>0.0</v>
      </c>
      <c r="K2137" s="23" t="s">
        <v>29</v>
      </c>
      <c r="L2137" s="6" t="str">
        <f>VLOOKUP(K2137,'Structure type'!$A$1:$B$15,2,FALSE)</f>
        <v>Manhole</v>
      </c>
      <c r="M2137" s="23" t="s">
        <v>96</v>
      </c>
      <c r="N2137" s="6" t="str">
        <f>VLOOKUP(M2137,'Excursion Cause'!$A$1:$B$34,2,FALSE)</f>
        <v>Collection system temporary blockage</v>
      </c>
      <c r="O2137" s="29">
        <v>44896.0</v>
      </c>
      <c r="P2137" s="30">
        <v>0.3784722222222222</v>
      </c>
      <c r="Q2137" s="29">
        <v>44896.0</v>
      </c>
      <c r="R2137" s="30">
        <v>0.37916666666666665</v>
      </c>
      <c r="S2137" s="28">
        <v>0.0</v>
      </c>
      <c r="T2137" s="23" t="s">
        <v>118</v>
      </c>
      <c r="U2137" s="6"/>
      <c r="V2137" s="6"/>
      <c r="W2137" s="23">
        <v>29.6690731</v>
      </c>
      <c r="X2137" s="23">
        <v>-95.4697715</v>
      </c>
    </row>
    <row r="2138" ht="15.75" customHeight="1">
      <c r="A2138" s="23">
        <v>50644.0</v>
      </c>
      <c r="B2138" s="23">
        <v>2023.0</v>
      </c>
      <c r="C2138" s="6" t="str">
        <f t="shared" si="7"/>
        <v>8563  MONTRIDGE DR,Houston,TX</v>
      </c>
      <c r="D2138" s="23" t="s">
        <v>3503</v>
      </c>
      <c r="E2138" s="6" t="s">
        <v>25</v>
      </c>
      <c r="F2138" s="6" t="s">
        <v>1388</v>
      </c>
      <c r="G2138" s="31" t="s">
        <v>27</v>
      </c>
      <c r="H2138" s="23" t="s">
        <v>50</v>
      </c>
      <c r="I2138" s="6" t="str">
        <f>VLOOKUP(H2138,'Flow Location'!$A$1:$B$21,2,FALSE)</f>
        <v>Contained On Site, not within 5 ft. of Bayou/Surface Water/Drainage Ditch</v>
      </c>
      <c r="J2138" s="28">
        <v>0.0</v>
      </c>
      <c r="K2138" s="23" t="s">
        <v>45</v>
      </c>
      <c r="L2138" s="6" t="str">
        <f>VLOOKUP(K2138,'Structure type'!$A$1:$B$15,2,FALSE)</f>
        <v>City Cleanout</v>
      </c>
      <c r="M2138" s="23" t="s">
        <v>56</v>
      </c>
      <c r="N2138" s="6" t="str">
        <f>VLOOKUP(M2138,'Excursion Cause'!$A$1:$B$34,2,FALSE)</f>
        <v>Rags/Wipes</v>
      </c>
      <c r="O2138" s="29">
        <v>44932.0</v>
      </c>
      <c r="P2138" s="30">
        <v>0.4465277777777778</v>
      </c>
      <c r="Q2138" s="29">
        <v>44932.0</v>
      </c>
      <c r="R2138" s="30">
        <v>0.44722222222222224</v>
      </c>
      <c r="S2138" s="28">
        <v>0.0</v>
      </c>
      <c r="T2138" s="23" t="s">
        <v>74</v>
      </c>
      <c r="U2138" s="6"/>
      <c r="V2138" s="6"/>
      <c r="W2138" s="23">
        <v>29.8079617</v>
      </c>
      <c r="X2138" s="23">
        <v>-95.5003545</v>
      </c>
    </row>
    <row r="2139" ht="15.75" customHeight="1">
      <c r="A2139" s="23">
        <v>50646.0</v>
      </c>
      <c r="B2139" s="23">
        <v>2023.0</v>
      </c>
      <c r="C2139" s="6" t="str">
        <f t="shared" si="7"/>
        <v>609  SCHWEIKHARDT ST,Houston,TX</v>
      </c>
      <c r="D2139" s="23" t="s">
        <v>3504</v>
      </c>
      <c r="E2139" s="6" t="s">
        <v>25</v>
      </c>
      <c r="F2139" s="6" t="s">
        <v>1388</v>
      </c>
      <c r="G2139" s="31" t="s">
        <v>86</v>
      </c>
      <c r="H2139" s="23" t="s">
        <v>50</v>
      </c>
      <c r="I2139" s="6" t="str">
        <f>VLOOKUP(H2139,'Flow Location'!$A$1:$B$21,2,FALSE)</f>
        <v>Contained On Site, not within 5 ft. of Bayou/Surface Water/Drainage Ditch</v>
      </c>
      <c r="J2139" s="28">
        <v>0.0</v>
      </c>
      <c r="K2139" s="23" t="s">
        <v>51</v>
      </c>
      <c r="L2139" s="6" t="str">
        <f>VLOOKUP(K2139,'Structure type'!$A$1:$B$15,2,FALSE)</f>
        <v>Private Cleanout</v>
      </c>
      <c r="M2139" s="23" t="s">
        <v>30</v>
      </c>
      <c r="N2139" s="6" t="str">
        <f>VLOOKUP(M2139,'Excursion Cause'!$A$1:$B$34,2,FALSE)</f>
        <v>Grease Blockage</v>
      </c>
      <c r="O2139" s="29">
        <v>44932.0</v>
      </c>
      <c r="P2139" s="30">
        <v>0.4340277777777778</v>
      </c>
      <c r="Q2139" s="29">
        <v>44932.0</v>
      </c>
      <c r="R2139" s="30">
        <v>0.43472222222222223</v>
      </c>
      <c r="S2139" s="28">
        <v>0.0</v>
      </c>
      <c r="T2139" s="23" t="s">
        <v>59</v>
      </c>
      <c r="U2139" s="6"/>
      <c r="V2139" s="6"/>
      <c r="W2139" s="23">
        <v>29.7684569</v>
      </c>
      <c r="X2139" s="23">
        <v>-95.3234567</v>
      </c>
    </row>
    <row r="2140" ht="15.75" customHeight="1">
      <c r="A2140" s="23">
        <v>50648.0</v>
      </c>
      <c r="B2140" s="23">
        <v>2023.0</v>
      </c>
      <c r="C2140" s="6" t="str">
        <f t="shared" si="7"/>
        <v>5213  LYONS AVE,Houston,TX</v>
      </c>
      <c r="D2140" s="23" t="s">
        <v>3505</v>
      </c>
      <c r="E2140" s="6" t="s">
        <v>25</v>
      </c>
      <c r="F2140" s="6" t="s">
        <v>1388</v>
      </c>
      <c r="G2140" s="31" t="s">
        <v>86</v>
      </c>
      <c r="H2140" s="23" t="s">
        <v>50</v>
      </c>
      <c r="I2140" s="6" t="str">
        <f>VLOOKUP(H2140,'Flow Location'!$A$1:$B$21,2,FALSE)</f>
        <v>Contained On Site, not within 5 ft. of Bayou/Surface Water/Drainage Ditch</v>
      </c>
      <c r="J2140" s="28">
        <v>0.0</v>
      </c>
      <c r="K2140" s="23" t="s">
        <v>45</v>
      </c>
      <c r="L2140" s="6" t="str">
        <f>VLOOKUP(K2140,'Structure type'!$A$1:$B$15,2,FALSE)</f>
        <v>City Cleanout</v>
      </c>
      <c r="M2140" s="23" t="s">
        <v>30</v>
      </c>
      <c r="N2140" s="6" t="str">
        <f>VLOOKUP(M2140,'Excursion Cause'!$A$1:$B$34,2,FALSE)</f>
        <v>Grease Blockage</v>
      </c>
      <c r="O2140" s="29">
        <v>44932.0</v>
      </c>
      <c r="P2140" s="30">
        <v>0.4736111111111111</v>
      </c>
      <c r="Q2140" s="29">
        <v>44932.0</v>
      </c>
      <c r="R2140" s="30">
        <v>0.47430555555555554</v>
      </c>
      <c r="S2140" s="28">
        <v>0.0</v>
      </c>
      <c r="T2140" s="23" t="s">
        <v>74</v>
      </c>
      <c r="U2140" s="6"/>
      <c r="V2140" s="6"/>
      <c r="W2140" s="23">
        <v>29.7765736</v>
      </c>
      <c r="X2140" s="23">
        <v>-95.317966</v>
      </c>
    </row>
    <row r="2141" ht="15.75" customHeight="1">
      <c r="A2141" s="23">
        <v>50649.0</v>
      </c>
      <c r="B2141" s="23">
        <v>2023.0</v>
      </c>
      <c r="C2141" s="6" t="str">
        <f t="shared" si="7"/>
        <v>7725  AVENUE F,Houston,TX</v>
      </c>
      <c r="D2141" s="23" t="s">
        <v>3506</v>
      </c>
      <c r="E2141" s="6" t="s">
        <v>25</v>
      </c>
      <c r="F2141" s="6" t="s">
        <v>1388</v>
      </c>
      <c r="G2141" s="31" t="s">
        <v>365</v>
      </c>
      <c r="H2141" s="23" t="s">
        <v>50</v>
      </c>
      <c r="I2141" s="6" t="str">
        <f>VLOOKUP(H2141,'Flow Location'!$A$1:$B$21,2,FALSE)</f>
        <v>Contained On Site, not within 5 ft. of Bayou/Surface Water/Drainage Ditch</v>
      </c>
      <c r="J2141" s="28">
        <v>0.0</v>
      </c>
      <c r="K2141" s="23" t="s">
        <v>45</v>
      </c>
      <c r="L2141" s="6" t="str">
        <f>VLOOKUP(K2141,'Structure type'!$A$1:$B$15,2,FALSE)</f>
        <v>City Cleanout</v>
      </c>
      <c r="M2141" s="23" t="s">
        <v>52</v>
      </c>
      <c r="N2141" s="6" t="str">
        <f>VLOOKUP(M2141,'Excursion Cause'!$A$1:$B$34,2,FALSE)</f>
        <v>Collection system structural blockage</v>
      </c>
      <c r="O2141" s="29">
        <v>44932.0</v>
      </c>
      <c r="P2141" s="30">
        <v>0.5006944444444444</v>
      </c>
      <c r="Q2141" s="29">
        <v>44932.0</v>
      </c>
      <c r="R2141" s="30">
        <v>0.5013888888888889</v>
      </c>
      <c r="S2141" s="28">
        <v>0.0</v>
      </c>
      <c r="T2141" s="23" t="s">
        <v>270</v>
      </c>
      <c r="U2141" s="6"/>
      <c r="V2141" s="6"/>
      <c r="W2141" s="23">
        <v>29.7343748</v>
      </c>
      <c r="X2141" s="23">
        <v>-95.2857592</v>
      </c>
      <c r="AA2141" s="33"/>
      <c r="AB2141" s="33"/>
      <c r="AC2141" s="33"/>
      <c r="AD2141" s="33"/>
      <c r="AE2141" s="33"/>
      <c r="AF2141" s="33"/>
      <c r="AG2141" s="33"/>
      <c r="AH2141" s="33"/>
      <c r="AI2141" s="33"/>
      <c r="AJ2141" s="33"/>
      <c r="AK2141" s="33"/>
      <c r="AL2141" s="33"/>
      <c r="AM2141" s="33"/>
      <c r="AN2141" s="33"/>
      <c r="AO2141" s="33"/>
    </row>
    <row r="2142" ht="15.75" customHeight="1">
      <c r="A2142" s="23">
        <v>50653.0</v>
      </c>
      <c r="B2142" s="23">
        <v>2023.0</v>
      </c>
      <c r="C2142" s="6" t="str">
        <f t="shared" si="7"/>
        <v>1031  VOIGHT ST,Houston,TX</v>
      </c>
      <c r="D2142" s="23" t="s">
        <v>3507</v>
      </c>
      <c r="E2142" s="6" t="s">
        <v>25</v>
      </c>
      <c r="F2142" s="6" t="s">
        <v>1388</v>
      </c>
      <c r="G2142" s="31" t="s">
        <v>161</v>
      </c>
      <c r="H2142" s="23" t="s">
        <v>28</v>
      </c>
      <c r="I2142" s="6" t="str">
        <f>VLOOKUP(H2142,'Flow Location'!$A$1:$B$21,2,FALSE)</f>
        <v>Storm Sewer (not contained)</v>
      </c>
      <c r="J2142" s="28">
        <v>153.0</v>
      </c>
      <c r="K2142" s="23" t="s">
        <v>29</v>
      </c>
      <c r="L2142" s="6" t="str">
        <f>VLOOKUP(K2142,'Structure type'!$A$1:$B$15,2,FALSE)</f>
        <v>Manhole</v>
      </c>
      <c r="M2142" s="23" t="s">
        <v>30</v>
      </c>
      <c r="N2142" s="6" t="str">
        <f>VLOOKUP(M2142,'Excursion Cause'!$A$1:$B$34,2,FALSE)</f>
        <v>Grease Blockage</v>
      </c>
      <c r="O2142" s="29">
        <v>44932.0</v>
      </c>
      <c r="P2142" s="30">
        <v>0.6368055555555555</v>
      </c>
      <c r="Q2142" s="29">
        <v>44932.0</v>
      </c>
      <c r="R2142" s="30">
        <v>0.7430555555555556</v>
      </c>
      <c r="S2142" s="28">
        <v>1.0</v>
      </c>
      <c r="T2142" s="23" t="s">
        <v>59</v>
      </c>
      <c r="U2142" s="6"/>
      <c r="V2142" s="6"/>
      <c r="W2142" s="23">
        <v>29.7798565</v>
      </c>
      <c r="X2142" s="23">
        <v>-95.3856783</v>
      </c>
      <c r="AA2142" s="33"/>
      <c r="AB2142" s="33"/>
      <c r="AC2142" s="33"/>
      <c r="AD2142" s="33"/>
      <c r="AE2142" s="33"/>
      <c r="AF2142" s="33"/>
      <c r="AG2142" s="33"/>
      <c r="AH2142" s="33"/>
      <c r="AI2142" s="33"/>
      <c r="AJ2142" s="33"/>
      <c r="AK2142" s="33"/>
      <c r="AL2142" s="33"/>
      <c r="AM2142" s="33"/>
      <c r="AN2142" s="33"/>
      <c r="AO2142" s="33"/>
    </row>
    <row r="2143" ht="15.75" customHeight="1">
      <c r="A2143" s="23">
        <v>50659.0</v>
      </c>
      <c r="B2143" s="23">
        <v>2023.0</v>
      </c>
      <c r="C2143" s="6" t="str">
        <f t="shared" si="7"/>
        <v>10903  RADFORD LN,Houston,TX</v>
      </c>
      <c r="D2143" s="23" t="s">
        <v>3508</v>
      </c>
      <c r="E2143" s="6" t="s">
        <v>25</v>
      </c>
      <c r="F2143" s="6" t="s">
        <v>1388</v>
      </c>
      <c r="G2143" s="31" t="s">
        <v>154</v>
      </c>
      <c r="H2143" s="23" t="s">
        <v>50</v>
      </c>
      <c r="I2143" s="6" t="str">
        <f>VLOOKUP(H2143,'Flow Location'!$A$1:$B$21,2,FALSE)</f>
        <v>Contained On Site, not within 5 ft. of Bayou/Surface Water/Drainage Ditch</v>
      </c>
      <c r="J2143" s="28">
        <v>0.0</v>
      </c>
      <c r="K2143" s="23" t="s">
        <v>29</v>
      </c>
      <c r="L2143" s="6" t="str">
        <f>VLOOKUP(K2143,'Structure type'!$A$1:$B$15,2,FALSE)</f>
        <v>Manhole</v>
      </c>
      <c r="M2143" s="23" t="s">
        <v>30</v>
      </c>
      <c r="N2143" s="6" t="str">
        <f>VLOOKUP(M2143,'Excursion Cause'!$A$1:$B$34,2,FALSE)</f>
        <v>Grease Blockage</v>
      </c>
      <c r="O2143" s="29">
        <v>44932.0</v>
      </c>
      <c r="P2143" s="30">
        <v>0.6902777777777778</v>
      </c>
      <c r="Q2143" s="29">
        <v>44932.0</v>
      </c>
      <c r="R2143" s="30">
        <v>0.6909722222222222</v>
      </c>
      <c r="S2143" s="28">
        <v>0.0</v>
      </c>
      <c r="T2143" s="23" t="s">
        <v>3509</v>
      </c>
      <c r="U2143" s="6"/>
      <c r="V2143" s="6"/>
      <c r="W2143" s="23">
        <v>29.6512839</v>
      </c>
      <c r="X2143" s="23">
        <v>-95.5752453</v>
      </c>
      <c r="AA2143" s="33"/>
      <c r="AB2143" s="33"/>
      <c r="AC2143" s="33"/>
      <c r="AD2143" s="33"/>
      <c r="AE2143" s="33"/>
      <c r="AF2143" s="33"/>
      <c r="AG2143" s="33"/>
      <c r="AH2143" s="33"/>
      <c r="AI2143" s="33"/>
      <c r="AJ2143" s="33"/>
      <c r="AK2143" s="33"/>
      <c r="AL2143" s="33"/>
      <c r="AM2143" s="33"/>
      <c r="AN2143" s="33"/>
      <c r="AO2143" s="33"/>
    </row>
    <row r="2144" ht="15.75" customHeight="1">
      <c r="A2144" s="23">
        <v>50665.0</v>
      </c>
      <c r="B2144" s="23">
        <v>2023.0</v>
      </c>
      <c r="C2144" s="6" t="str">
        <f t="shared" si="7"/>
        <v>8602  VALLEY SONG DR,Houston,TX</v>
      </c>
      <c r="D2144" s="23" t="s">
        <v>3510</v>
      </c>
      <c r="E2144" s="6" t="s">
        <v>25</v>
      </c>
      <c r="F2144" s="6" t="s">
        <v>1388</v>
      </c>
      <c r="G2144" s="31" t="s">
        <v>387</v>
      </c>
      <c r="H2144" s="23" t="s">
        <v>50</v>
      </c>
      <c r="I2144" s="6" t="str">
        <f>VLOOKUP(H2144,'Flow Location'!$A$1:$B$21,2,FALSE)</f>
        <v>Contained On Site, not within 5 ft. of Bayou/Surface Water/Drainage Ditch</v>
      </c>
      <c r="J2144" s="28">
        <v>0.0</v>
      </c>
      <c r="K2144" s="23" t="s">
        <v>51</v>
      </c>
      <c r="L2144" s="6" t="str">
        <f>VLOOKUP(K2144,'Structure type'!$A$1:$B$15,2,FALSE)</f>
        <v>Private Cleanout</v>
      </c>
      <c r="M2144" s="23" t="s">
        <v>96</v>
      </c>
      <c r="N2144" s="6" t="str">
        <f>VLOOKUP(M2144,'Excursion Cause'!$A$1:$B$34,2,FALSE)</f>
        <v>Collection system temporary blockage</v>
      </c>
      <c r="O2144" s="29">
        <v>44933.0</v>
      </c>
      <c r="P2144" s="30">
        <v>0.6569444444444444</v>
      </c>
      <c r="Q2144" s="29">
        <v>44933.0</v>
      </c>
      <c r="R2144" s="30">
        <v>0.6576388888888889</v>
      </c>
      <c r="S2144" s="28">
        <v>0.0</v>
      </c>
      <c r="T2144" s="23" t="s">
        <v>59</v>
      </c>
      <c r="U2144" s="6"/>
      <c r="V2144" s="6"/>
      <c r="W2144" s="23">
        <v>29.847896</v>
      </c>
      <c r="X2144" s="23">
        <v>-95.2307663</v>
      </c>
      <c r="AA2144" s="33"/>
      <c r="AB2144" s="33"/>
      <c r="AC2144" s="33"/>
      <c r="AD2144" s="33"/>
      <c r="AE2144" s="33"/>
      <c r="AF2144" s="33"/>
      <c r="AG2144" s="33"/>
      <c r="AH2144" s="33"/>
      <c r="AI2144" s="33"/>
      <c r="AJ2144" s="33"/>
      <c r="AK2144" s="33"/>
      <c r="AL2144" s="33"/>
      <c r="AM2144" s="33"/>
      <c r="AN2144" s="33"/>
      <c r="AO2144" s="33"/>
    </row>
    <row r="2145" ht="15.75" customHeight="1">
      <c r="A2145" s="23">
        <v>50666.0</v>
      </c>
      <c r="B2145" s="23">
        <v>2023.0</v>
      </c>
      <c r="C2145" s="6" t="str">
        <f t="shared" si="7"/>
        <v>7718  GRAHAMCREST DR,Houston,TX</v>
      </c>
      <c r="D2145" s="23" t="s">
        <v>3511</v>
      </c>
      <c r="E2145" s="6" t="s">
        <v>25</v>
      </c>
      <c r="F2145" s="6" t="s">
        <v>1388</v>
      </c>
      <c r="G2145" s="31" t="s">
        <v>398</v>
      </c>
      <c r="H2145" s="23" t="s">
        <v>50</v>
      </c>
      <c r="I2145" s="6" t="str">
        <f>VLOOKUP(H2145,'Flow Location'!$A$1:$B$21,2,FALSE)</f>
        <v>Contained On Site, not within 5 ft. of Bayou/Surface Water/Drainage Ditch</v>
      </c>
      <c r="J2145" s="28">
        <v>526.0</v>
      </c>
      <c r="K2145" s="23" t="s">
        <v>29</v>
      </c>
      <c r="L2145" s="6" t="str">
        <f>VLOOKUP(K2145,'Structure type'!$A$1:$B$15,2,FALSE)</f>
        <v>Manhole</v>
      </c>
      <c r="M2145" s="23" t="s">
        <v>30</v>
      </c>
      <c r="N2145" s="6" t="str">
        <f>VLOOKUP(M2145,'Excursion Cause'!$A$1:$B$34,2,FALSE)</f>
        <v>Grease Blockage</v>
      </c>
      <c r="O2145" s="29">
        <v>44934.0</v>
      </c>
      <c r="P2145" s="30">
        <v>0.3388888888888889</v>
      </c>
      <c r="Q2145" s="29">
        <v>44934.0</v>
      </c>
      <c r="R2145" s="30">
        <v>0.5215277777777778</v>
      </c>
      <c r="S2145" s="28">
        <v>2.0</v>
      </c>
      <c r="T2145" s="23" t="s">
        <v>59</v>
      </c>
      <c r="U2145" s="6"/>
      <c r="V2145" s="6"/>
      <c r="W2145" s="23">
        <v>29.6687699</v>
      </c>
      <c r="X2145" s="23">
        <v>-95.286655</v>
      </c>
      <c r="AA2145" s="33"/>
      <c r="AB2145" s="33"/>
      <c r="AC2145" s="33"/>
      <c r="AD2145" s="33"/>
      <c r="AE2145" s="33"/>
      <c r="AF2145" s="33"/>
      <c r="AG2145" s="33"/>
      <c r="AH2145" s="33"/>
      <c r="AI2145" s="33"/>
      <c r="AJ2145" s="33"/>
      <c r="AK2145" s="33"/>
      <c r="AL2145" s="33"/>
      <c r="AM2145" s="33"/>
      <c r="AN2145" s="33"/>
      <c r="AO2145" s="33"/>
    </row>
    <row r="2146" ht="15.75" customHeight="1">
      <c r="A2146" s="23">
        <v>50668.0</v>
      </c>
      <c r="B2146" s="23">
        <v>2023.0</v>
      </c>
      <c r="C2146" s="6" t="str">
        <f t="shared" si="7"/>
        <v>711  SCHWEIKART ST,Houston,TX</v>
      </c>
      <c r="D2146" s="23" t="s">
        <v>3512</v>
      </c>
      <c r="E2146" s="6" t="s">
        <v>25</v>
      </c>
      <c r="F2146" s="6" t="s">
        <v>1388</v>
      </c>
      <c r="G2146" s="31" t="s">
        <v>86</v>
      </c>
      <c r="H2146" s="23" t="s">
        <v>28</v>
      </c>
      <c r="I2146" s="6" t="str">
        <f>VLOOKUP(H2146,'Flow Location'!$A$1:$B$21,2,FALSE)</f>
        <v>Storm Sewer (not contained)</v>
      </c>
      <c r="J2146" s="28">
        <v>145.0</v>
      </c>
      <c r="K2146" s="23" t="s">
        <v>29</v>
      </c>
      <c r="L2146" s="6" t="str">
        <f>VLOOKUP(K2146,'Structure type'!$A$1:$B$15,2,FALSE)</f>
        <v>Manhole</v>
      </c>
      <c r="M2146" s="23" t="s">
        <v>96</v>
      </c>
      <c r="N2146" s="6" t="str">
        <f>VLOOKUP(M2146,'Excursion Cause'!$A$1:$B$34,2,FALSE)</f>
        <v>Collection system temporary blockage</v>
      </c>
      <c r="O2146" s="29">
        <v>44934.0</v>
      </c>
      <c r="P2146" s="30">
        <v>0.39652777777777776</v>
      </c>
      <c r="Q2146" s="29">
        <v>44934.0</v>
      </c>
      <c r="R2146" s="30">
        <v>0.4166666666666667</v>
      </c>
      <c r="S2146" s="28">
        <v>5.0</v>
      </c>
      <c r="T2146" s="23" t="s">
        <v>118</v>
      </c>
      <c r="U2146" s="6"/>
      <c r="V2146" s="6"/>
      <c r="W2146" s="23">
        <v>29.7691231</v>
      </c>
      <c r="X2146" s="23">
        <v>-95.323426</v>
      </c>
      <c r="AA2146" s="33"/>
      <c r="AB2146" s="33"/>
      <c r="AC2146" s="33"/>
      <c r="AD2146" s="33"/>
      <c r="AE2146" s="33"/>
      <c r="AF2146" s="33"/>
      <c r="AG2146" s="33"/>
      <c r="AH2146" s="33"/>
      <c r="AI2146" s="33"/>
      <c r="AJ2146" s="33"/>
      <c r="AK2146" s="33"/>
      <c r="AL2146" s="33"/>
      <c r="AM2146" s="33"/>
      <c r="AN2146" s="33"/>
      <c r="AO2146" s="33"/>
    </row>
    <row r="2147" ht="15.75" customHeight="1">
      <c r="A2147" s="23">
        <v>50670.0</v>
      </c>
      <c r="B2147" s="23">
        <v>2023.0</v>
      </c>
      <c r="C2147" s="6" t="str">
        <f t="shared" si="7"/>
        <v>307  FAIRVIEW AVE,Houston,TX</v>
      </c>
      <c r="D2147" s="23" t="s">
        <v>3513</v>
      </c>
      <c r="E2147" s="6" t="s">
        <v>25</v>
      </c>
      <c r="F2147" s="6" t="s">
        <v>1388</v>
      </c>
      <c r="G2147" s="31" t="s">
        <v>761</v>
      </c>
      <c r="H2147" s="23" t="s">
        <v>50</v>
      </c>
      <c r="I2147" s="6" t="str">
        <f>VLOOKUP(H2147,'Flow Location'!$A$1:$B$21,2,FALSE)</f>
        <v>Contained On Site, not within 5 ft. of Bayou/Surface Water/Drainage Ditch</v>
      </c>
      <c r="J2147" s="28">
        <v>0.0</v>
      </c>
      <c r="K2147" s="23" t="s">
        <v>45</v>
      </c>
      <c r="L2147" s="6" t="str">
        <f>VLOOKUP(K2147,'Structure type'!$A$1:$B$15,2,FALSE)</f>
        <v>City Cleanout</v>
      </c>
      <c r="M2147" s="23" t="s">
        <v>30</v>
      </c>
      <c r="N2147" s="6" t="str">
        <f>VLOOKUP(M2147,'Excursion Cause'!$A$1:$B$34,2,FALSE)</f>
        <v>Grease Blockage</v>
      </c>
      <c r="O2147" s="29">
        <v>44934.0</v>
      </c>
      <c r="P2147" s="30">
        <v>0.4361111111111111</v>
      </c>
      <c r="Q2147" s="29">
        <v>44934.0</v>
      </c>
      <c r="R2147" s="30">
        <v>0.43680555555555556</v>
      </c>
      <c r="S2147" s="28">
        <v>0.0</v>
      </c>
      <c r="T2147" s="23" t="s">
        <v>74</v>
      </c>
      <c r="U2147" s="6"/>
      <c r="V2147" s="6"/>
      <c r="W2147" s="23">
        <v>29.7479949</v>
      </c>
      <c r="X2147" s="23">
        <v>-95.3860599</v>
      </c>
      <c r="AA2147" s="33"/>
      <c r="AB2147" s="33"/>
      <c r="AC2147" s="33"/>
      <c r="AD2147" s="33"/>
      <c r="AE2147" s="33"/>
      <c r="AF2147" s="33"/>
      <c r="AG2147" s="33"/>
      <c r="AH2147" s="33"/>
      <c r="AI2147" s="33"/>
      <c r="AJ2147" s="33"/>
      <c r="AK2147" s="33"/>
      <c r="AL2147" s="33"/>
      <c r="AM2147" s="33"/>
      <c r="AN2147" s="33"/>
      <c r="AO2147" s="33"/>
    </row>
    <row r="2148" ht="15.75" customHeight="1">
      <c r="A2148" s="23">
        <v>50676.0</v>
      </c>
      <c r="B2148" s="23">
        <v>2023.0</v>
      </c>
      <c r="C2148" s="6" t="str">
        <f t="shared" si="7"/>
        <v>12614  SKYVIEW CREEK CT,Houston,TX</v>
      </c>
      <c r="D2148" s="23" t="s">
        <v>3514</v>
      </c>
      <c r="E2148" s="6" t="s">
        <v>25</v>
      </c>
      <c r="F2148" s="6" t="s">
        <v>1388</v>
      </c>
      <c r="G2148" s="31" t="s">
        <v>419</v>
      </c>
      <c r="H2148" s="23" t="s">
        <v>50</v>
      </c>
      <c r="I2148" s="6" t="str">
        <f>VLOOKUP(H2148,'Flow Location'!$A$1:$B$21,2,FALSE)</f>
        <v>Contained On Site, not within 5 ft. of Bayou/Surface Water/Drainage Ditch</v>
      </c>
      <c r="J2148" s="28">
        <v>466.0</v>
      </c>
      <c r="K2148" s="23" t="s">
        <v>29</v>
      </c>
      <c r="L2148" s="6" t="str">
        <f>VLOOKUP(K2148,'Structure type'!$A$1:$B$15,2,FALSE)</f>
        <v>Manhole</v>
      </c>
      <c r="M2148" s="23" t="s">
        <v>30</v>
      </c>
      <c r="N2148" s="6" t="str">
        <f>VLOOKUP(M2148,'Excursion Cause'!$A$1:$B$34,2,FALSE)</f>
        <v>Grease Blockage</v>
      </c>
      <c r="O2148" s="29">
        <v>44934.0</v>
      </c>
      <c r="P2148" s="30">
        <v>0.3798611111111111</v>
      </c>
      <c r="Q2148" s="29">
        <v>44934.0</v>
      </c>
      <c r="R2148" s="30">
        <v>0.5416666666666666</v>
      </c>
      <c r="S2148" s="28">
        <v>2.0</v>
      </c>
      <c r="T2148" s="23" t="s">
        <v>59</v>
      </c>
      <c r="U2148" s="6"/>
      <c r="V2148" s="6"/>
      <c r="W2148" s="23">
        <v>29.6225749</v>
      </c>
      <c r="X2148" s="23">
        <v>-95.3837512</v>
      </c>
      <c r="AA2148" s="33"/>
      <c r="AB2148" s="33"/>
      <c r="AC2148" s="33"/>
      <c r="AD2148" s="33"/>
      <c r="AE2148" s="33"/>
      <c r="AF2148" s="33"/>
      <c r="AG2148" s="33"/>
      <c r="AH2148" s="33"/>
      <c r="AI2148" s="33"/>
      <c r="AJ2148" s="33"/>
      <c r="AK2148" s="33"/>
      <c r="AL2148" s="33"/>
      <c r="AM2148" s="33"/>
      <c r="AN2148" s="33"/>
      <c r="AO2148" s="33"/>
    </row>
    <row r="2149" ht="15.75" customHeight="1">
      <c r="A2149" s="23">
        <v>50686.0</v>
      </c>
      <c r="B2149" s="23">
        <v>2023.0</v>
      </c>
      <c r="C2149" s="6" t="str">
        <f t="shared" si="7"/>
        <v>730  AUTUMNWOOD DR,Houston,TX</v>
      </c>
      <c r="D2149" s="23" t="s">
        <v>3515</v>
      </c>
      <c r="E2149" s="6" t="s">
        <v>25</v>
      </c>
      <c r="F2149" s="6" t="s">
        <v>1388</v>
      </c>
      <c r="G2149" s="31" t="s">
        <v>656</v>
      </c>
      <c r="H2149" s="23" t="s">
        <v>50</v>
      </c>
      <c r="I2149" s="6" t="str">
        <f>VLOOKUP(H2149,'Flow Location'!$A$1:$B$21,2,FALSE)</f>
        <v>Contained On Site, not within 5 ft. of Bayou/Surface Water/Drainage Ditch</v>
      </c>
      <c r="J2149" s="28">
        <v>0.0</v>
      </c>
      <c r="K2149" s="23" t="s">
        <v>29</v>
      </c>
      <c r="L2149" s="6" t="str">
        <f>VLOOKUP(K2149,'Structure type'!$A$1:$B$15,2,FALSE)</f>
        <v>Manhole</v>
      </c>
      <c r="M2149" s="23" t="s">
        <v>30</v>
      </c>
      <c r="N2149" s="6" t="str">
        <f>VLOOKUP(M2149,'Excursion Cause'!$A$1:$B$34,2,FALSE)</f>
        <v>Grease Blockage</v>
      </c>
      <c r="O2149" s="29">
        <v>44935.0</v>
      </c>
      <c r="P2149" s="30">
        <v>0.5375</v>
      </c>
      <c r="Q2149" s="29">
        <v>44935.0</v>
      </c>
      <c r="R2149" s="30">
        <v>0.5381944444444444</v>
      </c>
      <c r="S2149" s="28">
        <v>0.0</v>
      </c>
      <c r="T2149" s="23" t="s">
        <v>33</v>
      </c>
      <c r="U2149" s="6"/>
      <c r="V2149" s="6"/>
      <c r="W2149" s="23">
        <v>29.7754794</v>
      </c>
      <c r="X2149" s="23">
        <v>-95.2284898</v>
      </c>
      <c r="AA2149" s="33"/>
      <c r="AB2149" s="33"/>
      <c r="AC2149" s="33"/>
      <c r="AD2149" s="33"/>
      <c r="AE2149" s="33"/>
      <c r="AF2149" s="33"/>
      <c r="AG2149" s="33"/>
      <c r="AH2149" s="33"/>
      <c r="AI2149" s="33"/>
      <c r="AJ2149" s="33"/>
      <c r="AK2149" s="33"/>
      <c r="AL2149" s="33"/>
      <c r="AM2149" s="33"/>
      <c r="AN2149" s="33"/>
      <c r="AO2149" s="33"/>
    </row>
    <row r="2150" ht="15.75" customHeight="1">
      <c r="A2150" s="23">
        <v>50689.0</v>
      </c>
      <c r="B2150" s="23">
        <v>2023.0</v>
      </c>
      <c r="C2150" s="6" t="str">
        <f t="shared" si="7"/>
        <v>9009  RICHMOND AVE,Houston,TX</v>
      </c>
      <c r="D2150" s="23" t="s">
        <v>3516</v>
      </c>
      <c r="E2150" s="6" t="s">
        <v>25</v>
      </c>
      <c r="F2150" s="6" t="s">
        <v>1388</v>
      </c>
      <c r="G2150" s="31" t="s">
        <v>482</v>
      </c>
      <c r="H2150" s="23" t="s">
        <v>50</v>
      </c>
      <c r="I2150" s="6" t="str">
        <f>VLOOKUP(H2150,'Flow Location'!$A$1:$B$21,2,FALSE)</f>
        <v>Contained On Site, not within 5 ft. of Bayou/Surface Water/Drainage Ditch</v>
      </c>
      <c r="J2150" s="28">
        <v>107.0</v>
      </c>
      <c r="K2150" s="23" t="s">
        <v>29</v>
      </c>
      <c r="L2150" s="6" t="str">
        <f>VLOOKUP(K2150,'Structure type'!$A$1:$B$15,2,FALSE)</f>
        <v>Manhole</v>
      </c>
      <c r="M2150" s="23" t="s">
        <v>30</v>
      </c>
      <c r="N2150" s="6" t="str">
        <f>VLOOKUP(M2150,'Excursion Cause'!$A$1:$B$34,2,FALSE)</f>
        <v>Grease Blockage</v>
      </c>
      <c r="O2150" s="29">
        <v>44935.0</v>
      </c>
      <c r="P2150" s="30">
        <v>0.5798611111111112</v>
      </c>
      <c r="Q2150" s="29">
        <v>44935.0</v>
      </c>
      <c r="R2150" s="30">
        <v>0.7291666666666666</v>
      </c>
      <c r="S2150" s="28">
        <v>0.0</v>
      </c>
      <c r="T2150" s="23" t="s">
        <v>59</v>
      </c>
      <c r="U2150" s="6"/>
      <c r="V2150" s="6"/>
      <c r="W2150" s="23">
        <v>29.7286214</v>
      </c>
      <c r="X2150" s="23">
        <v>-95.5237156</v>
      </c>
      <c r="AA2150" s="33"/>
      <c r="AB2150" s="33"/>
      <c r="AC2150" s="33"/>
      <c r="AD2150" s="33"/>
      <c r="AE2150" s="33"/>
      <c r="AF2150" s="33"/>
      <c r="AG2150" s="33"/>
      <c r="AH2150" s="33"/>
      <c r="AI2150" s="33"/>
      <c r="AJ2150" s="33"/>
      <c r="AK2150" s="33"/>
      <c r="AL2150" s="33"/>
      <c r="AM2150" s="33"/>
      <c r="AN2150" s="33"/>
      <c r="AO2150" s="33"/>
    </row>
    <row r="2151" ht="15.75" customHeight="1">
      <c r="A2151" s="23">
        <v>50690.0</v>
      </c>
      <c r="B2151" s="23">
        <v>2023.0</v>
      </c>
      <c r="C2151" s="6" t="str">
        <f t="shared" si="7"/>
        <v>1214  NORTHWOOD ST,Houston,TX</v>
      </c>
      <c r="D2151" s="23" t="s">
        <v>3517</v>
      </c>
      <c r="E2151" s="6" t="s">
        <v>25</v>
      </c>
      <c r="F2151" s="6" t="s">
        <v>1388</v>
      </c>
      <c r="G2151" s="31" t="s">
        <v>161</v>
      </c>
      <c r="H2151" s="23" t="s">
        <v>28</v>
      </c>
      <c r="I2151" s="6" t="str">
        <f>VLOOKUP(H2151,'Flow Location'!$A$1:$B$21,2,FALSE)</f>
        <v>Storm Sewer (not contained)</v>
      </c>
      <c r="J2151" s="28">
        <v>886.0</v>
      </c>
      <c r="K2151" s="23" t="s">
        <v>29</v>
      </c>
      <c r="L2151" s="6" t="str">
        <f>VLOOKUP(K2151,'Structure type'!$A$1:$B$15,2,FALSE)</f>
        <v>Manhole</v>
      </c>
      <c r="M2151" s="23" t="s">
        <v>52</v>
      </c>
      <c r="N2151" s="6" t="str">
        <f>VLOOKUP(M2151,'Excursion Cause'!$A$1:$B$34,2,FALSE)</f>
        <v>Collection system structural blockage</v>
      </c>
      <c r="O2151" s="29">
        <v>44935.0</v>
      </c>
      <c r="P2151" s="30">
        <v>0.3798611111111111</v>
      </c>
      <c r="Q2151" s="29">
        <v>44935.0</v>
      </c>
      <c r="R2151" s="30">
        <v>0.6875</v>
      </c>
      <c r="S2151" s="28">
        <v>2.0</v>
      </c>
      <c r="T2151" s="23" t="s">
        <v>59</v>
      </c>
      <c r="U2151" s="6"/>
      <c r="V2151" s="6"/>
      <c r="W2151" s="23">
        <v>29.8028785</v>
      </c>
      <c r="X2151" s="23">
        <v>-95.3778347</v>
      </c>
      <c r="AA2151" s="33"/>
      <c r="AB2151" s="33"/>
      <c r="AC2151" s="33"/>
      <c r="AD2151" s="33"/>
      <c r="AE2151" s="33"/>
      <c r="AF2151" s="33"/>
      <c r="AG2151" s="33"/>
      <c r="AH2151" s="33"/>
      <c r="AI2151" s="33"/>
      <c r="AJ2151" s="33"/>
      <c r="AK2151" s="33"/>
      <c r="AL2151" s="33"/>
      <c r="AM2151" s="33"/>
      <c r="AN2151" s="33"/>
      <c r="AO2151" s="33"/>
    </row>
    <row r="2152" ht="15.75" customHeight="1">
      <c r="A2152" s="23">
        <v>50694.0</v>
      </c>
      <c r="B2152" s="23">
        <v>2023.0</v>
      </c>
      <c r="C2152" s="6" t="str">
        <f t="shared" si="7"/>
        <v>1201  SPRING ST,Houston,TX</v>
      </c>
      <c r="D2152" s="23" t="s">
        <v>3518</v>
      </c>
      <c r="E2152" s="6" t="s">
        <v>25</v>
      </c>
      <c r="F2152" s="6" t="s">
        <v>1388</v>
      </c>
      <c r="G2152" s="31" t="s">
        <v>158</v>
      </c>
      <c r="H2152" s="23" t="s">
        <v>50</v>
      </c>
      <c r="I2152" s="6" t="str">
        <f>VLOOKUP(H2152,'Flow Location'!$A$1:$B$21,2,FALSE)</f>
        <v>Contained On Site, not within 5 ft. of Bayou/Surface Water/Drainage Ditch</v>
      </c>
      <c r="J2152" s="28">
        <v>0.0</v>
      </c>
      <c r="K2152" s="23" t="s">
        <v>29</v>
      </c>
      <c r="L2152" s="6" t="str">
        <f>VLOOKUP(K2152,'Structure type'!$A$1:$B$15,2,FALSE)</f>
        <v>Manhole</v>
      </c>
      <c r="M2152" s="23" t="s">
        <v>1174</v>
      </c>
      <c r="N2152" s="6" t="str">
        <f>VLOOKUP(M2152,'Excursion Cause'!$A$1:$B$34,2,FALSE)</f>
        <v>Collection system wet weather</v>
      </c>
      <c r="O2152" s="29">
        <v>44935.0</v>
      </c>
      <c r="P2152" s="30">
        <v>0.5951388888888889</v>
      </c>
      <c r="Q2152" s="29">
        <v>44935.0</v>
      </c>
      <c r="R2152" s="30">
        <v>0.5958333333333333</v>
      </c>
      <c r="S2152" s="28">
        <v>0.0</v>
      </c>
      <c r="T2152" s="23" t="s">
        <v>118</v>
      </c>
      <c r="U2152" s="6"/>
      <c r="V2152" s="6"/>
      <c r="W2152" s="23">
        <v>29.7750218</v>
      </c>
      <c r="X2152" s="23">
        <v>-95.3692033</v>
      </c>
      <c r="AA2152" s="33"/>
      <c r="AB2152" s="33"/>
      <c r="AC2152" s="33"/>
      <c r="AD2152" s="33"/>
      <c r="AE2152" s="33"/>
      <c r="AF2152" s="33"/>
      <c r="AG2152" s="33"/>
      <c r="AH2152" s="33"/>
      <c r="AI2152" s="33"/>
      <c r="AJ2152" s="33"/>
      <c r="AK2152" s="33"/>
      <c r="AL2152" s="33"/>
      <c r="AM2152" s="33"/>
      <c r="AN2152" s="33"/>
      <c r="AO2152" s="33"/>
    </row>
    <row r="2153" ht="15.75" customHeight="1">
      <c r="A2153" s="23">
        <v>50697.0</v>
      </c>
      <c r="B2153" s="23">
        <v>2023.0</v>
      </c>
      <c r="C2153" s="6" t="str">
        <f t="shared" si="7"/>
        <v>2419  PANNELL ST,Houston,TX</v>
      </c>
      <c r="D2153" s="23" t="s">
        <v>3519</v>
      </c>
      <c r="E2153" s="6" t="s">
        <v>25</v>
      </c>
      <c r="F2153" s="6" t="s">
        <v>1388</v>
      </c>
      <c r="G2153" s="31" t="s">
        <v>43</v>
      </c>
      <c r="H2153" s="23" t="s">
        <v>50</v>
      </c>
      <c r="I2153" s="6" t="str">
        <f>VLOOKUP(H2153,'Flow Location'!$A$1:$B$21,2,FALSE)</f>
        <v>Contained On Site, not within 5 ft. of Bayou/Surface Water/Drainage Ditch</v>
      </c>
      <c r="J2153" s="28">
        <v>0.0</v>
      </c>
      <c r="K2153" s="23" t="s">
        <v>45</v>
      </c>
      <c r="L2153" s="6" t="str">
        <f>VLOOKUP(K2153,'Structure type'!$A$1:$B$15,2,FALSE)</f>
        <v>City Cleanout</v>
      </c>
      <c r="M2153" s="23" t="s">
        <v>30</v>
      </c>
      <c r="N2153" s="6" t="str">
        <f>VLOOKUP(M2153,'Excursion Cause'!$A$1:$B$34,2,FALSE)</f>
        <v>Grease Blockage</v>
      </c>
      <c r="O2153" s="29">
        <v>44935.0</v>
      </c>
      <c r="P2153" s="30">
        <v>0.6590277777777778</v>
      </c>
      <c r="Q2153" s="29">
        <v>44935.0</v>
      </c>
      <c r="R2153" s="30">
        <v>0.6597222222222222</v>
      </c>
      <c r="S2153" s="28">
        <v>0.0</v>
      </c>
      <c r="T2153" s="23" t="s">
        <v>270</v>
      </c>
      <c r="U2153" s="6"/>
      <c r="V2153" s="6"/>
      <c r="W2153" s="23">
        <v>29.7847099</v>
      </c>
      <c r="X2153" s="23">
        <v>-95.3328888</v>
      </c>
      <c r="AA2153" s="33"/>
      <c r="AB2153" s="33"/>
      <c r="AC2153" s="33"/>
      <c r="AD2153" s="33"/>
      <c r="AE2153" s="33"/>
      <c r="AF2153" s="33"/>
      <c r="AG2153" s="33"/>
      <c r="AH2153" s="33"/>
      <c r="AI2153" s="33"/>
      <c r="AJ2153" s="33"/>
      <c r="AK2153" s="33"/>
      <c r="AL2153" s="33"/>
      <c r="AM2153" s="33"/>
      <c r="AN2153" s="33"/>
      <c r="AO2153" s="33"/>
    </row>
    <row r="2154" ht="15.75" customHeight="1">
      <c r="A2154" s="23">
        <v>50700.0</v>
      </c>
      <c r="B2154" s="23">
        <v>2023.0</v>
      </c>
      <c r="C2154" s="6" t="str">
        <f t="shared" si="7"/>
        <v>4113  PARKER RD,Houston,TX</v>
      </c>
      <c r="D2154" s="23" t="s">
        <v>3520</v>
      </c>
      <c r="E2154" s="6" t="s">
        <v>25</v>
      </c>
      <c r="F2154" s="6" t="s">
        <v>1388</v>
      </c>
      <c r="G2154" s="31" t="s">
        <v>109</v>
      </c>
      <c r="H2154" s="23" t="s">
        <v>50</v>
      </c>
      <c r="I2154" s="6" t="str">
        <f>VLOOKUP(H2154,'Flow Location'!$A$1:$B$21,2,FALSE)</f>
        <v>Contained On Site, not within 5 ft. of Bayou/Surface Water/Drainage Ditch</v>
      </c>
      <c r="J2154" s="28">
        <v>1287.0</v>
      </c>
      <c r="K2154" s="23" t="s">
        <v>29</v>
      </c>
      <c r="L2154" s="6" t="str">
        <f>VLOOKUP(K2154,'Structure type'!$A$1:$B$15,2,FALSE)</f>
        <v>Manhole</v>
      </c>
      <c r="M2154" s="23" t="s">
        <v>30</v>
      </c>
      <c r="N2154" s="6" t="str">
        <f>VLOOKUP(M2154,'Excursion Cause'!$A$1:$B$34,2,FALSE)</f>
        <v>Grease Blockage</v>
      </c>
      <c r="O2154" s="29">
        <v>44935.0</v>
      </c>
      <c r="P2154" s="30">
        <v>0.6736111111111112</v>
      </c>
      <c r="Q2154" s="29">
        <v>44937.0</v>
      </c>
      <c r="R2154" s="30">
        <v>0.4618055555555556</v>
      </c>
      <c r="S2154" s="28">
        <v>0.0</v>
      </c>
      <c r="T2154" s="23" t="s">
        <v>59</v>
      </c>
      <c r="U2154" s="6"/>
      <c r="V2154" s="6"/>
      <c r="W2154" s="23">
        <v>29.8594756</v>
      </c>
      <c r="X2154" s="23">
        <v>-95.3269367</v>
      </c>
      <c r="AA2154" s="33"/>
      <c r="AB2154" s="33"/>
      <c r="AC2154" s="33"/>
      <c r="AD2154" s="33"/>
      <c r="AE2154" s="33"/>
      <c r="AF2154" s="33"/>
      <c r="AG2154" s="33"/>
      <c r="AH2154" s="33"/>
      <c r="AI2154" s="33"/>
      <c r="AJ2154" s="33"/>
      <c r="AK2154" s="33"/>
      <c r="AL2154" s="33"/>
      <c r="AM2154" s="33"/>
      <c r="AN2154" s="33"/>
      <c r="AO2154" s="33"/>
    </row>
    <row r="2155" ht="15.75" customHeight="1">
      <c r="A2155" s="23">
        <v>50701.0</v>
      </c>
      <c r="B2155" s="23">
        <v>2023.0</v>
      </c>
      <c r="C2155" s="6" t="str">
        <f t="shared" si="7"/>
        <v>5202  DARLING ST,Houston,TX</v>
      </c>
      <c r="D2155" s="23" t="s">
        <v>3521</v>
      </c>
      <c r="E2155" s="6" t="s">
        <v>25</v>
      </c>
      <c r="F2155" s="6" t="s">
        <v>1388</v>
      </c>
      <c r="G2155" s="31" t="s">
        <v>158</v>
      </c>
      <c r="H2155" s="23" t="s">
        <v>50</v>
      </c>
      <c r="I2155" s="6" t="str">
        <f>VLOOKUP(H2155,'Flow Location'!$A$1:$B$21,2,FALSE)</f>
        <v>Contained On Site, not within 5 ft. of Bayou/Surface Water/Drainage Ditch</v>
      </c>
      <c r="J2155" s="28">
        <v>1105.0</v>
      </c>
      <c r="K2155" s="23" t="s">
        <v>29</v>
      </c>
      <c r="L2155" s="6" t="str">
        <f>VLOOKUP(K2155,'Structure type'!$A$1:$B$15,2,FALSE)</f>
        <v>Manhole</v>
      </c>
      <c r="M2155" s="23" t="s">
        <v>30</v>
      </c>
      <c r="N2155" s="6" t="str">
        <f>VLOOKUP(M2155,'Excursion Cause'!$A$1:$B$34,2,FALSE)</f>
        <v>Grease Blockage</v>
      </c>
      <c r="O2155" s="29">
        <v>44935.0</v>
      </c>
      <c r="P2155" s="30">
        <v>0.6993055555555555</v>
      </c>
      <c r="Q2155" s="29">
        <v>44936.0</v>
      </c>
      <c r="R2155" s="30">
        <v>0.4666666666666667</v>
      </c>
      <c r="S2155" s="28">
        <v>1.0</v>
      </c>
      <c r="T2155" s="23" t="s">
        <v>59</v>
      </c>
      <c r="U2155" s="6"/>
      <c r="V2155" s="6"/>
      <c r="W2155" s="23">
        <v>29.7800889</v>
      </c>
      <c r="X2155" s="23">
        <v>-95.4137955</v>
      </c>
      <c r="AA2155" s="33"/>
      <c r="AB2155" s="33"/>
      <c r="AC2155" s="33"/>
      <c r="AD2155" s="33"/>
      <c r="AE2155" s="33"/>
      <c r="AF2155" s="33"/>
      <c r="AG2155" s="33"/>
      <c r="AH2155" s="33"/>
      <c r="AI2155" s="33"/>
      <c r="AJ2155" s="33"/>
      <c r="AK2155" s="33"/>
      <c r="AL2155" s="33"/>
      <c r="AM2155" s="33"/>
      <c r="AN2155" s="33"/>
      <c r="AO2155" s="33"/>
    </row>
    <row r="2156" ht="15.75" customHeight="1">
      <c r="A2156" s="23">
        <v>50705.0</v>
      </c>
      <c r="B2156" s="23">
        <v>2023.0</v>
      </c>
      <c r="C2156" s="6" t="str">
        <f t="shared" si="7"/>
        <v>1015  VILLA DE MATEL RD,Houston,TX</v>
      </c>
      <c r="D2156" s="23" t="s">
        <v>3522</v>
      </c>
      <c r="E2156" s="6" t="s">
        <v>25</v>
      </c>
      <c r="F2156" s="6" t="s">
        <v>1388</v>
      </c>
      <c r="G2156" s="31" t="s">
        <v>141</v>
      </c>
      <c r="H2156" s="23" t="s">
        <v>28</v>
      </c>
      <c r="I2156" s="6" t="str">
        <f>VLOOKUP(H2156,'Flow Location'!$A$1:$B$21,2,FALSE)</f>
        <v>Storm Sewer (not contained)</v>
      </c>
      <c r="J2156" s="28">
        <v>0.0</v>
      </c>
      <c r="K2156" s="23" t="s">
        <v>29</v>
      </c>
      <c r="L2156" s="6" t="str">
        <f>VLOOKUP(K2156,'Structure type'!$A$1:$B$15,2,FALSE)</f>
        <v>Manhole</v>
      </c>
      <c r="M2156" s="23" t="s">
        <v>56</v>
      </c>
      <c r="N2156" s="6" t="str">
        <f>VLOOKUP(M2156,'Excursion Cause'!$A$1:$B$34,2,FALSE)</f>
        <v>Rags/Wipes</v>
      </c>
      <c r="O2156" s="29">
        <v>44937.0</v>
      </c>
      <c r="P2156" s="30">
        <v>0.5833333333333334</v>
      </c>
      <c r="Q2156" s="29">
        <v>44937.0</v>
      </c>
      <c r="R2156" s="30">
        <v>0.6180555555555556</v>
      </c>
      <c r="S2156" s="28">
        <v>0.0</v>
      </c>
      <c r="T2156" s="23" t="s">
        <v>59</v>
      </c>
      <c r="U2156" s="6"/>
      <c r="V2156" s="6"/>
      <c r="W2156" s="23">
        <v>29.7279044</v>
      </c>
      <c r="X2156" s="23">
        <v>-95.3122003</v>
      </c>
      <c r="AA2156" s="33"/>
      <c r="AB2156" s="33"/>
      <c r="AC2156" s="33"/>
      <c r="AD2156" s="33"/>
      <c r="AE2156" s="33"/>
      <c r="AF2156" s="33"/>
      <c r="AG2156" s="33"/>
      <c r="AH2156" s="33"/>
      <c r="AI2156" s="33"/>
      <c r="AJ2156" s="33"/>
      <c r="AK2156" s="33"/>
      <c r="AL2156" s="33"/>
      <c r="AM2156" s="33"/>
      <c r="AN2156" s="33"/>
      <c r="AO2156" s="33"/>
    </row>
    <row r="2157" ht="15.75" customHeight="1">
      <c r="A2157" s="23">
        <v>50706.0</v>
      </c>
      <c r="B2157" s="23">
        <v>2023.0</v>
      </c>
      <c r="C2157" s="6" t="str">
        <f t="shared" si="7"/>
        <v>9106 E HARDY RD,Houston,TX</v>
      </c>
      <c r="D2157" s="23" t="s">
        <v>3523</v>
      </c>
      <c r="E2157" s="6" t="s">
        <v>25</v>
      </c>
      <c r="F2157" s="6" t="s">
        <v>1388</v>
      </c>
      <c r="G2157" s="31" t="s">
        <v>109</v>
      </c>
      <c r="H2157" s="23" t="s">
        <v>50</v>
      </c>
      <c r="I2157" s="6" t="str">
        <f>VLOOKUP(H2157,'Flow Location'!$A$1:$B$21,2,FALSE)</f>
        <v>Contained On Site, not within 5 ft. of Bayou/Surface Water/Drainage Ditch</v>
      </c>
      <c r="J2157" s="28">
        <v>0.0</v>
      </c>
      <c r="K2157" s="23" t="s">
        <v>45</v>
      </c>
      <c r="L2157" s="6" t="str">
        <f>VLOOKUP(K2157,'Structure type'!$A$1:$B$15,2,FALSE)</f>
        <v>City Cleanout</v>
      </c>
      <c r="M2157" s="23" t="s">
        <v>56</v>
      </c>
      <c r="N2157" s="6" t="str">
        <f>VLOOKUP(M2157,'Excursion Cause'!$A$1:$B$34,2,FALSE)</f>
        <v>Rags/Wipes</v>
      </c>
      <c r="O2157" s="29">
        <v>44936.0</v>
      </c>
      <c r="P2157" s="30">
        <v>0.3597222222222222</v>
      </c>
      <c r="Q2157" s="29">
        <v>44936.0</v>
      </c>
      <c r="R2157" s="30">
        <v>0.36041666666666666</v>
      </c>
      <c r="S2157" s="28">
        <v>0.0</v>
      </c>
      <c r="T2157" s="23" t="s">
        <v>170</v>
      </c>
      <c r="U2157" s="6"/>
      <c r="V2157" s="6"/>
      <c r="W2157" s="23">
        <v>29.8433725</v>
      </c>
      <c r="X2157" s="23">
        <v>-95.3573807</v>
      </c>
      <c r="AA2157" s="33"/>
      <c r="AB2157" s="33"/>
      <c r="AC2157" s="33"/>
      <c r="AD2157" s="33"/>
      <c r="AE2157" s="33"/>
      <c r="AF2157" s="33"/>
      <c r="AG2157" s="33"/>
      <c r="AH2157" s="33"/>
      <c r="AI2157" s="33"/>
      <c r="AJ2157" s="33"/>
      <c r="AK2157" s="33"/>
      <c r="AL2157" s="33"/>
      <c r="AM2157" s="33"/>
      <c r="AN2157" s="33"/>
      <c r="AO2157" s="33"/>
    </row>
    <row r="2158" ht="15.75" customHeight="1">
      <c r="A2158" s="23">
        <v>50708.0</v>
      </c>
      <c r="B2158" s="23">
        <v>2023.0</v>
      </c>
      <c r="C2158" s="6" t="str">
        <f t="shared" si="7"/>
        <v>11403  TRIOLA LN,Houston,TX</v>
      </c>
      <c r="D2158" s="23" t="s">
        <v>3524</v>
      </c>
      <c r="E2158" s="6" t="s">
        <v>25</v>
      </c>
      <c r="F2158" s="6" t="s">
        <v>1388</v>
      </c>
      <c r="G2158" s="31" t="s">
        <v>91</v>
      </c>
      <c r="H2158" s="23" t="s">
        <v>2190</v>
      </c>
      <c r="I2158" s="6" t="str">
        <f>VLOOKUP(H2158,'Flow Location'!$A$1:$B$21,2,FALSE)</f>
        <v>Contained On Site</v>
      </c>
      <c r="J2158" s="28">
        <v>0.0</v>
      </c>
      <c r="K2158" s="23" t="s">
        <v>198</v>
      </c>
      <c r="L2158" s="6" t="str">
        <f>VLOOKUP(K2158,'Structure type'!$A$1:$B$15,2,FALSE)</f>
        <v>Service Lateral</v>
      </c>
      <c r="M2158" s="23" t="s">
        <v>81</v>
      </c>
      <c r="N2158" s="6" t="str">
        <f>VLOOKUP(M2158,'Excursion Cause'!$A$1:$B$34,2,FALSE)</f>
        <v>Collection system structural failure</v>
      </c>
      <c r="O2158" s="29">
        <v>44936.0</v>
      </c>
      <c r="P2158" s="30">
        <v>0.3840277777777778</v>
      </c>
      <c r="Q2158" s="29">
        <v>44936.0</v>
      </c>
      <c r="R2158" s="30">
        <v>0.38472222222222224</v>
      </c>
      <c r="S2158" s="28">
        <v>0.0</v>
      </c>
      <c r="T2158" s="23" t="s">
        <v>54</v>
      </c>
      <c r="U2158" s="6"/>
      <c r="V2158" s="6"/>
      <c r="W2158" s="23">
        <v>29.697234</v>
      </c>
      <c r="X2158" s="23">
        <v>-95.5795646</v>
      </c>
      <c r="AA2158" s="33"/>
      <c r="AB2158" s="33"/>
      <c r="AC2158" s="33"/>
      <c r="AD2158" s="33"/>
      <c r="AE2158" s="33"/>
      <c r="AF2158" s="33"/>
      <c r="AG2158" s="33"/>
      <c r="AH2158" s="33"/>
      <c r="AI2158" s="33"/>
      <c r="AJ2158" s="33"/>
      <c r="AK2158" s="33"/>
      <c r="AL2158" s="33"/>
      <c r="AM2158" s="33"/>
      <c r="AN2158" s="33"/>
      <c r="AO2158" s="33"/>
    </row>
    <row r="2159" ht="15.75" customHeight="1">
      <c r="A2159" s="23">
        <v>50709.0</v>
      </c>
      <c r="B2159" s="23">
        <v>2023.0</v>
      </c>
      <c r="C2159" s="6" t="str">
        <f t="shared" si="7"/>
        <v>2120  WALKER ST,Houston,TX</v>
      </c>
      <c r="D2159" s="23" t="s">
        <v>3525</v>
      </c>
      <c r="E2159" s="6" t="s">
        <v>25</v>
      </c>
      <c r="F2159" s="6" t="s">
        <v>1388</v>
      </c>
      <c r="G2159" s="31" t="s">
        <v>172</v>
      </c>
      <c r="H2159" s="23" t="s">
        <v>28</v>
      </c>
      <c r="I2159" s="6" t="str">
        <f>VLOOKUP(H2159,'Flow Location'!$A$1:$B$21,2,FALSE)</f>
        <v>Storm Sewer (not contained)</v>
      </c>
      <c r="J2159" s="28">
        <v>0.0</v>
      </c>
      <c r="K2159" s="23" t="s">
        <v>29</v>
      </c>
      <c r="L2159" s="6" t="str">
        <f>VLOOKUP(K2159,'Structure type'!$A$1:$B$15,2,FALSE)</f>
        <v>Manhole</v>
      </c>
      <c r="M2159" s="23" t="s">
        <v>30</v>
      </c>
      <c r="N2159" s="6" t="str">
        <f>VLOOKUP(M2159,'Excursion Cause'!$A$1:$B$34,2,FALSE)</f>
        <v>Grease Blockage</v>
      </c>
      <c r="O2159" s="29">
        <v>44936.0</v>
      </c>
      <c r="P2159" s="30">
        <v>0.39375</v>
      </c>
      <c r="Q2159" s="29">
        <v>44936.0</v>
      </c>
      <c r="R2159" s="30">
        <v>0.39444444444444443</v>
      </c>
      <c r="S2159" s="28">
        <v>0.0</v>
      </c>
      <c r="T2159" s="23" t="s">
        <v>33</v>
      </c>
      <c r="U2159" s="6"/>
      <c r="V2159" s="6"/>
      <c r="W2159" s="23">
        <v>29.7516517</v>
      </c>
      <c r="X2159" s="23">
        <v>-95.3548006</v>
      </c>
      <c r="AA2159" s="33"/>
      <c r="AB2159" s="33"/>
      <c r="AC2159" s="33"/>
      <c r="AD2159" s="33"/>
      <c r="AE2159" s="33"/>
      <c r="AF2159" s="33"/>
      <c r="AG2159" s="33"/>
      <c r="AH2159" s="33"/>
      <c r="AI2159" s="33"/>
      <c r="AJ2159" s="33"/>
      <c r="AK2159" s="33"/>
      <c r="AL2159" s="33"/>
      <c r="AM2159" s="33"/>
      <c r="AN2159" s="33"/>
      <c r="AO2159" s="33"/>
    </row>
    <row r="2160" ht="15.75" customHeight="1">
      <c r="A2160" s="23">
        <v>50714.0</v>
      </c>
      <c r="B2160" s="23">
        <v>2023.0</v>
      </c>
      <c r="C2160" s="6" t="str">
        <f t="shared" si="7"/>
        <v>705  EVANSTON ST,Houston,TX</v>
      </c>
      <c r="D2160" s="23" t="s">
        <v>3526</v>
      </c>
      <c r="E2160" s="6" t="s">
        <v>25</v>
      </c>
      <c r="F2160" s="6" t="s">
        <v>1388</v>
      </c>
      <c r="G2160" s="31" t="s">
        <v>623</v>
      </c>
      <c r="H2160" s="23" t="s">
        <v>1493</v>
      </c>
      <c r="I2160" s="6" t="str">
        <f>VLOOKUP(H2160,'Flow Location'!$A$1:$B$21,2,FALSE)</f>
        <v>Contained On Site, not within 5 ft. of Bayou/Surface Water/Drainage Ditch</v>
      </c>
      <c r="J2160" s="28">
        <v>0.0</v>
      </c>
      <c r="K2160" s="23" t="s">
        <v>45</v>
      </c>
      <c r="L2160" s="6" t="str">
        <f>VLOOKUP(K2160,'Structure type'!$A$1:$B$15,2,FALSE)</f>
        <v>City Cleanout</v>
      </c>
      <c r="M2160" s="23" t="s">
        <v>56</v>
      </c>
      <c r="N2160" s="6" t="str">
        <f>VLOOKUP(M2160,'Excursion Cause'!$A$1:$B$34,2,FALSE)</f>
        <v>Rags/Wipes</v>
      </c>
      <c r="O2160" s="29">
        <v>44936.0</v>
      </c>
      <c r="P2160" s="30">
        <v>0.5034722222222222</v>
      </c>
      <c r="Q2160" s="29">
        <v>44936.0</v>
      </c>
      <c r="R2160" s="30">
        <v>0.5041666666666667</v>
      </c>
      <c r="S2160" s="28">
        <v>0.0</v>
      </c>
      <c r="T2160" s="23" t="s">
        <v>270</v>
      </c>
      <c r="U2160" s="6"/>
      <c r="V2160" s="6"/>
      <c r="W2160" s="23">
        <v>29.7842219</v>
      </c>
      <c r="X2160" s="23">
        <v>-95.1828916</v>
      </c>
      <c r="AA2160" s="33"/>
      <c r="AB2160" s="33"/>
      <c r="AC2160" s="33"/>
      <c r="AD2160" s="33"/>
      <c r="AE2160" s="33"/>
      <c r="AF2160" s="33"/>
      <c r="AG2160" s="33"/>
      <c r="AH2160" s="33"/>
      <c r="AI2160" s="33"/>
      <c r="AJ2160" s="33"/>
      <c r="AK2160" s="33"/>
      <c r="AL2160" s="33"/>
      <c r="AM2160" s="33"/>
      <c r="AN2160" s="33"/>
      <c r="AO2160" s="33"/>
    </row>
    <row r="2161" ht="15.75" customHeight="1">
      <c r="A2161" s="23">
        <v>50726.0</v>
      </c>
      <c r="B2161" s="23">
        <v>2023.0</v>
      </c>
      <c r="C2161" s="6" t="str">
        <f t="shared" si="7"/>
        <v>4023  ANTOINETTE ST,Houston,TX</v>
      </c>
      <c r="D2161" s="23" t="s">
        <v>3527</v>
      </c>
      <c r="E2161" s="6" t="s">
        <v>25</v>
      </c>
      <c r="F2161" s="6" t="s">
        <v>1388</v>
      </c>
      <c r="G2161" s="31" t="s">
        <v>35</v>
      </c>
      <c r="H2161" s="23" t="s">
        <v>50</v>
      </c>
      <c r="I2161" s="6" t="str">
        <f>VLOOKUP(H2161,'Flow Location'!$A$1:$B$21,2,FALSE)</f>
        <v>Contained On Site, not within 5 ft. of Bayou/Surface Water/Drainage Ditch</v>
      </c>
      <c r="J2161" s="28">
        <v>0.0</v>
      </c>
      <c r="K2161" s="23" t="s">
        <v>51</v>
      </c>
      <c r="L2161" s="6" t="str">
        <f>VLOOKUP(K2161,'Structure type'!$A$1:$B$15,2,FALSE)</f>
        <v>Private Cleanout</v>
      </c>
      <c r="M2161" s="23" t="s">
        <v>759</v>
      </c>
      <c r="N2161" s="6" t="str">
        <f>VLOOKUP(M2161,'Excursion Cause'!$A$1:$B$34,2,FALSE)</f>
        <v>Roots</v>
      </c>
      <c r="O2161" s="29">
        <v>44936.0</v>
      </c>
      <c r="P2161" s="30">
        <v>0.73125</v>
      </c>
      <c r="Q2161" s="29">
        <v>44936.0</v>
      </c>
      <c r="R2161" s="30">
        <v>0.7319444444444444</v>
      </c>
      <c r="S2161" s="28">
        <v>0.0</v>
      </c>
      <c r="T2161" s="23" t="s">
        <v>54</v>
      </c>
      <c r="U2161" s="6"/>
      <c r="V2161" s="6"/>
      <c r="W2161" s="23">
        <v>29.6994949</v>
      </c>
      <c r="X2161" s="23">
        <v>-95.3118272</v>
      </c>
      <c r="AA2161" s="33"/>
      <c r="AB2161" s="33"/>
      <c r="AC2161" s="33"/>
      <c r="AD2161" s="33"/>
      <c r="AE2161" s="33"/>
      <c r="AF2161" s="33"/>
      <c r="AG2161" s="33"/>
      <c r="AH2161" s="33"/>
      <c r="AI2161" s="33"/>
      <c r="AJ2161" s="33"/>
      <c r="AK2161" s="33"/>
      <c r="AL2161" s="33"/>
      <c r="AM2161" s="33"/>
      <c r="AN2161" s="33"/>
      <c r="AO2161" s="33"/>
    </row>
    <row r="2162" ht="15.75" customHeight="1">
      <c r="A2162" s="23">
        <v>50729.0</v>
      </c>
      <c r="B2162" s="23">
        <v>2023.0</v>
      </c>
      <c r="C2162" s="6" t="str">
        <f t="shared" si="7"/>
        <v>6606  KELLER ST,Houston,TX</v>
      </c>
      <c r="D2162" s="23" t="s">
        <v>3528</v>
      </c>
      <c r="E2162" s="6" t="s">
        <v>25</v>
      </c>
      <c r="F2162" s="6" t="s">
        <v>1388</v>
      </c>
      <c r="G2162" s="31" t="s">
        <v>35</v>
      </c>
      <c r="H2162" s="23" t="s">
        <v>28</v>
      </c>
      <c r="I2162" s="6" t="str">
        <f>VLOOKUP(H2162,'Flow Location'!$A$1:$B$21,2,FALSE)</f>
        <v>Storm Sewer (not contained)</v>
      </c>
      <c r="J2162" s="28">
        <v>2235.0</v>
      </c>
      <c r="K2162" s="23" t="s">
        <v>29</v>
      </c>
      <c r="L2162" s="6" t="str">
        <f>VLOOKUP(K2162,'Structure type'!$A$1:$B$15,2,FALSE)</f>
        <v>Manhole</v>
      </c>
      <c r="M2162" s="23" t="s">
        <v>30</v>
      </c>
      <c r="N2162" s="6" t="str">
        <f>VLOOKUP(M2162,'Excursion Cause'!$A$1:$B$34,2,FALSE)</f>
        <v>Grease Blockage</v>
      </c>
      <c r="O2162" s="29">
        <v>44937.0</v>
      </c>
      <c r="P2162" s="30">
        <v>0.325</v>
      </c>
      <c r="Q2162" s="29">
        <v>44937.0</v>
      </c>
      <c r="R2162" s="30">
        <v>0.6354166666666666</v>
      </c>
      <c r="S2162" s="28">
        <v>5.0</v>
      </c>
      <c r="T2162" s="23" t="s">
        <v>59</v>
      </c>
      <c r="U2162" s="6"/>
      <c r="V2162" s="6"/>
      <c r="W2162" s="23">
        <v>29.7057697</v>
      </c>
      <c r="X2162" s="23">
        <v>-95.3003472</v>
      </c>
      <c r="AA2162" s="33"/>
      <c r="AB2162" s="33"/>
      <c r="AC2162" s="33"/>
      <c r="AD2162" s="33"/>
      <c r="AE2162" s="33"/>
      <c r="AF2162" s="33"/>
      <c r="AG2162" s="33"/>
      <c r="AH2162" s="33"/>
      <c r="AI2162" s="33"/>
      <c r="AJ2162" s="33"/>
      <c r="AK2162" s="33"/>
      <c r="AL2162" s="33"/>
      <c r="AM2162" s="33"/>
      <c r="AN2162" s="33"/>
      <c r="AO2162" s="33"/>
    </row>
    <row r="2163" ht="15.75" customHeight="1">
      <c r="A2163" s="23">
        <v>50731.0</v>
      </c>
      <c r="B2163" s="23">
        <v>2023.0</v>
      </c>
      <c r="C2163" s="6" t="str">
        <f t="shared" si="7"/>
        <v>5946  VAN FLEET ST,Houston,TX</v>
      </c>
      <c r="D2163" s="23" t="s">
        <v>3529</v>
      </c>
      <c r="E2163" s="6" t="s">
        <v>25</v>
      </c>
      <c r="F2163" s="6" t="s">
        <v>1388</v>
      </c>
      <c r="G2163" s="31" t="s">
        <v>120</v>
      </c>
      <c r="H2163" s="23" t="s">
        <v>50</v>
      </c>
      <c r="I2163" s="6" t="str">
        <f>VLOOKUP(H2163,'Flow Location'!$A$1:$B$21,2,FALSE)</f>
        <v>Contained On Site, not within 5 ft. of Bayou/Surface Water/Drainage Ditch</v>
      </c>
      <c r="J2163" s="28">
        <v>59.0</v>
      </c>
      <c r="K2163" s="23" t="s">
        <v>29</v>
      </c>
      <c r="L2163" s="6" t="str">
        <f>VLOOKUP(K2163,'Structure type'!$A$1:$B$15,2,FALSE)</f>
        <v>Manhole</v>
      </c>
      <c r="M2163" s="23" t="s">
        <v>30</v>
      </c>
      <c r="N2163" s="6" t="str">
        <f>VLOOKUP(M2163,'Excursion Cause'!$A$1:$B$34,2,FALSE)</f>
        <v>Grease Blockage</v>
      </c>
      <c r="O2163" s="29">
        <v>44936.0</v>
      </c>
      <c r="P2163" s="30">
        <v>0.4375</v>
      </c>
      <c r="Q2163" s="29">
        <v>44936.0</v>
      </c>
      <c r="R2163" s="30">
        <v>0.47847222222222224</v>
      </c>
      <c r="S2163" s="28">
        <v>1.0</v>
      </c>
      <c r="T2163" s="23" t="s">
        <v>59</v>
      </c>
      <c r="U2163" s="6"/>
      <c r="V2163" s="6"/>
      <c r="W2163" s="23">
        <v>29.6738164</v>
      </c>
      <c r="X2163" s="23">
        <v>-95.3298913</v>
      </c>
      <c r="AA2163" s="33"/>
      <c r="AB2163" s="33"/>
      <c r="AC2163" s="33"/>
      <c r="AD2163" s="33"/>
      <c r="AE2163" s="33"/>
      <c r="AF2163" s="33"/>
      <c r="AG2163" s="33"/>
      <c r="AH2163" s="33"/>
      <c r="AI2163" s="33"/>
      <c r="AJ2163" s="33"/>
      <c r="AK2163" s="33"/>
      <c r="AL2163" s="33"/>
      <c r="AM2163" s="33"/>
      <c r="AN2163" s="33"/>
      <c r="AO2163" s="33"/>
    </row>
    <row r="2164" ht="15.75" customHeight="1">
      <c r="A2164" s="23">
        <v>50735.0</v>
      </c>
      <c r="B2164" s="23">
        <v>2023.0</v>
      </c>
      <c r="C2164" s="6" t="str">
        <f t="shared" si="7"/>
        <v>6823  MORROW ST,Houston,TX</v>
      </c>
      <c r="D2164" s="23" t="s">
        <v>3530</v>
      </c>
      <c r="E2164" s="6" t="s">
        <v>25</v>
      </c>
      <c r="F2164" s="6" t="s">
        <v>1388</v>
      </c>
      <c r="G2164" s="31" t="s">
        <v>222</v>
      </c>
      <c r="H2164" s="23" t="s">
        <v>28</v>
      </c>
      <c r="I2164" s="6" t="str">
        <f>VLOOKUP(H2164,'Flow Location'!$A$1:$B$21,2,FALSE)</f>
        <v>Storm Sewer (not contained)</v>
      </c>
      <c r="J2164" s="28">
        <v>0.0</v>
      </c>
      <c r="K2164" s="23" t="s">
        <v>45</v>
      </c>
      <c r="L2164" s="6" t="str">
        <f>VLOOKUP(K2164,'Structure type'!$A$1:$B$15,2,FALSE)</f>
        <v>City Cleanout</v>
      </c>
      <c r="M2164" s="23" t="s">
        <v>30</v>
      </c>
      <c r="N2164" s="6" t="str">
        <f>VLOOKUP(M2164,'Excursion Cause'!$A$1:$B$34,2,FALSE)</f>
        <v>Grease Blockage</v>
      </c>
      <c r="O2164" s="29">
        <v>44937.0</v>
      </c>
      <c r="P2164" s="30">
        <v>0.4465277777777778</v>
      </c>
      <c r="Q2164" s="29">
        <v>44937.0</v>
      </c>
      <c r="R2164" s="30">
        <v>0.44722222222222224</v>
      </c>
      <c r="S2164" s="28">
        <v>0.0</v>
      </c>
      <c r="T2164" s="23" t="s">
        <v>270</v>
      </c>
      <c r="U2164" s="6"/>
      <c r="V2164" s="6"/>
      <c r="W2164" s="23">
        <v>29.8591179</v>
      </c>
      <c r="X2164" s="23">
        <v>-95.4211812</v>
      </c>
      <c r="AA2164" s="33"/>
      <c r="AB2164" s="33"/>
      <c r="AC2164" s="33"/>
      <c r="AD2164" s="33"/>
      <c r="AE2164" s="33"/>
      <c r="AF2164" s="33"/>
      <c r="AG2164" s="33"/>
      <c r="AH2164" s="33"/>
      <c r="AI2164" s="33"/>
      <c r="AJ2164" s="33"/>
      <c r="AK2164" s="33"/>
      <c r="AL2164" s="33"/>
      <c r="AM2164" s="33"/>
      <c r="AN2164" s="33"/>
      <c r="AO2164" s="33"/>
    </row>
    <row r="2165" ht="15.75" customHeight="1">
      <c r="A2165" s="23">
        <v>50736.0</v>
      </c>
      <c r="B2165" s="23">
        <v>2023.0</v>
      </c>
      <c r="C2165" s="6" t="str">
        <f t="shared" si="7"/>
        <v>1556  PRAIRIE GROVE DR,Houston,TX</v>
      </c>
      <c r="D2165" s="23" t="s">
        <v>3494</v>
      </c>
      <c r="E2165" s="6" t="s">
        <v>25</v>
      </c>
      <c r="F2165" s="6" t="s">
        <v>1388</v>
      </c>
      <c r="G2165" s="31" t="s">
        <v>347</v>
      </c>
      <c r="H2165" s="23" t="s">
        <v>50</v>
      </c>
      <c r="I2165" s="6" t="str">
        <f>VLOOKUP(H2165,'Flow Location'!$A$1:$B$21,2,FALSE)</f>
        <v>Contained On Site, not within 5 ft. of Bayou/Surface Water/Drainage Ditch</v>
      </c>
      <c r="J2165" s="28">
        <v>0.0</v>
      </c>
      <c r="K2165" s="23" t="s">
        <v>51</v>
      </c>
      <c r="L2165" s="6" t="str">
        <f>VLOOKUP(K2165,'Structure type'!$A$1:$B$15,2,FALSE)</f>
        <v>Private Cleanout</v>
      </c>
      <c r="M2165" s="23" t="s">
        <v>56</v>
      </c>
      <c r="N2165" s="6" t="str">
        <f>VLOOKUP(M2165,'Excursion Cause'!$A$1:$B$34,2,FALSE)</f>
        <v>Rags/Wipes</v>
      </c>
      <c r="O2165" s="29">
        <v>44937.0</v>
      </c>
      <c r="P2165" s="30">
        <v>0.44305555555555554</v>
      </c>
      <c r="Q2165" s="29">
        <v>44937.0</v>
      </c>
      <c r="R2165" s="30">
        <v>0.44375</v>
      </c>
      <c r="S2165" s="28">
        <v>0.0</v>
      </c>
      <c r="T2165" s="23" t="s">
        <v>170</v>
      </c>
      <c r="U2165" s="6"/>
      <c r="V2165" s="6"/>
      <c r="W2165" s="23">
        <v>29.7534559</v>
      </c>
      <c r="X2165" s="23">
        <v>-95.5838208</v>
      </c>
      <c r="AA2165" s="33"/>
      <c r="AB2165" s="33"/>
      <c r="AC2165" s="33"/>
      <c r="AD2165" s="33"/>
      <c r="AE2165" s="33"/>
      <c r="AF2165" s="33"/>
      <c r="AG2165" s="33"/>
      <c r="AH2165" s="33"/>
      <c r="AI2165" s="33"/>
      <c r="AJ2165" s="33"/>
      <c r="AK2165" s="33"/>
      <c r="AL2165" s="33"/>
      <c r="AM2165" s="33"/>
      <c r="AN2165" s="33"/>
      <c r="AO2165" s="33"/>
    </row>
    <row r="2166" ht="15.75" customHeight="1">
      <c r="A2166" s="23">
        <v>50741.0</v>
      </c>
      <c r="B2166" s="23">
        <v>2023.0</v>
      </c>
      <c r="C2166" s="6" t="str">
        <f t="shared" si="7"/>
        <v>4703  BRYANT RIDGE RD,Houston,TX</v>
      </c>
      <c r="D2166" s="23" t="s">
        <v>3531</v>
      </c>
      <c r="E2166" s="6" t="s">
        <v>25</v>
      </c>
      <c r="F2166" s="6" t="s">
        <v>1388</v>
      </c>
      <c r="G2166" s="31" t="s">
        <v>517</v>
      </c>
      <c r="H2166" s="23" t="s">
        <v>50</v>
      </c>
      <c r="I2166" s="6" t="str">
        <f>VLOOKUP(H2166,'Flow Location'!$A$1:$B$21,2,FALSE)</f>
        <v>Contained On Site, not within 5 ft. of Bayou/Surface Water/Drainage Ditch</v>
      </c>
      <c r="J2166" s="28">
        <v>0.0</v>
      </c>
      <c r="K2166" s="23" t="s">
        <v>29</v>
      </c>
      <c r="L2166" s="6" t="str">
        <f>VLOOKUP(K2166,'Structure type'!$A$1:$B$15,2,FALSE)</f>
        <v>Manhole</v>
      </c>
      <c r="M2166" s="23" t="s">
        <v>30</v>
      </c>
      <c r="N2166" s="6" t="str">
        <f>VLOOKUP(M2166,'Excursion Cause'!$A$1:$B$34,2,FALSE)</f>
        <v>Grease Blockage</v>
      </c>
      <c r="O2166" s="29">
        <v>44936.0</v>
      </c>
      <c r="P2166" s="30">
        <v>0.5395833333333333</v>
      </c>
      <c r="Q2166" s="29">
        <v>44936.0</v>
      </c>
      <c r="R2166" s="30">
        <v>0.5402777777777777</v>
      </c>
      <c r="S2166" s="28">
        <v>0.0</v>
      </c>
      <c r="T2166" s="23" t="s">
        <v>33</v>
      </c>
      <c r="U2166" s="6"/>
      <c r="V2166" s="6"/>
      <c r="W2166" s="23">
        <v>29.5946194</v>
      </c>
      <c r="X2166" s="23">
        <v>-95.4507848</v>
      </c>
      <c r="AA2166" s="33"/>
      <c r="AB2166" s="33"/>
      <c r="AC2166" s="33"/>
      <c r="AD2166" s="33"/>
      <c r="AE2166" s="33"/>
      <c r="AF2166" s="33"/>
      <c r="AG2166" s="33"/>
      <c r="AH2166" s="33"/>
      <c r="AI2166" s="33"/>
      <c r="AJ2166" s="33"/>
      <c r="AK2166" s="33"/>
      <c r="AL2166" s="33"/>
      <c r="AM2166" s="33"/>
      <c r="AN2166" s="33"/>
      <c r="AO2166" s="33"/>
    </row>
    <row r="2167" ht="15.75" customHeight="1">
      <c r="A2167" s="23">
        <v>50742.0</v>
      </c>
      <c r="B2167" s="23">
        <v>2023.0</v>
      </c>
      <c r="C2167" s="6" t="str">
        <f t="shared" si="7"/>
        <v>8007  CAPITOL ST,Houston,TX</v>
      </c>
      <c r="D2167" s="23" t="s">
        <v>3532</v>
      </c>
      <c r="E2167" s="6" t="s">
        <v>25</v>
      </c>
      <c r="F2167" s="6" t="s">
        <v>1388</v>
      </c>
      <c r="G2167" s="31" t="s">
        <v>365</v>
      </c>
      <c r="H2167" s="23" t="s">
        <v>28</v>
      </c>
      <c r="I2167" s="6" t="str">
        <f>VLOOKUP(H2167,'Flow Location'!$A$1:$B$21,2,FALSE)</f>
        <v>Storm Sewer (not contained)</v>
      </c>
      <c r="J2167" s="28">
        <v>2260.0</v>
      </c>
      <c r="K2167" s="23" t="s">
        <v>29</v>
      </c>
      <c r="L2167" s="6" t="str">
        <f>VLOOKUP(K2167,'Structure type'!$A$1:$B$15,2,FALSE)</f>
        <v>Manhole</v>
      </c>
      <c r="M2167" s="23" t="s">
        <v>977</v>
      </c>
      <c r="N2167" s="6" t="str">
        <f>VLOOKUP(M2167,'Excursion Cause'!$A$1:$B$34,2,FALSE)</f>
        <v>Pump/Lift Station Electrical Failure</v>
      </c>
      <c r="O2167" s="29">
        <v>44937.0</v>
      </c>
      <c r="P2167" s="30">
        <v>0.4909722222222222</v>
      </c>
      <c r="Q2167" s="29">
        <v>44937.0</v>
      </c>
      <c r="R2167" s="30">
        <v>0.5694444444444444</v>
      </c>
      <c r="S2167" s="28">
        <v>20.0</v>
      </c>
      <c r="T2167" s="23" t="s">
        <v>118</v>
      </c>
      <c r="U2167" s="6"/>
      <c r="V2167" s="6"/>
      <c r="W2167" s="23">
        <v>29.7281795</v>
      </c>
      <c r="X2167" s="23">
        <v>-95.2822579</v>
      </c>
      <c r="AA2167" s="33"/>
      <c r="AB2167" s="33"/>
      <c r="AC2167" s="33"/>
      <c r="AD2167" s="33"/>
      <c r="AE2167" s="33"/>
      <c r="AF2167" s="33"/>
      <c r="AG2167" s="33"/>
      <c r="AH2167" s="33"/>
      <c r="AI2167" s="33"/>
      <c r="AJ2167" s="33"/>
      <c r="AK2167" s="33"/>
      <c r="AL2167" s="33"/>
      <c r="AM2167" s="33"/>
      <c r="AN2167" s="33"/>
      <c r="AO2167" s="33"/>
    </row>
    <row r="2168" ht="15.75" customHeight="1">
      <c r="A2168" s="23">
        <v>50744.0</v>
      </c>
      <c r="B2168" s="23">
        <v>2023.0</v>
      </c>
      <c r="C2168" s="6" t="str">
        <f t="shared" si="7"/>
        <v>14031  NORTHWEST FWY,Houston,TX</v>
      </c>
      <c r="D2168" s="23" t="s">
        <v>3533</v>
      </c>
      <c r="E2168" s="6" t="s">
        <v>25</v>
      </c>
      <c r="F2168" s="6" t="s">
        <v>1388</v>
      </c>
      <c r="G2168" s="31" t="s">
        <v>253</v>
      </c>
      <c r="H2168" s="23" t="s">
        <v>28</v>
      </c>
      <c r="I2168" s="6" t="str">
        <f>VLOOKUP(H2168,'Flow Location'!$A$1:$B$21,2,FALSE)</f>
        <v>Storm Sewer (not contained)</v>
      </c>
      <c r="J2168" s="28">
        <v>1107.0</v>
      </c>
      <c r="K2168" s="23" t="s">
        <v>29</v>
      </c>
      <c r="L2168" s="6" t="str">
        <f>VLOOKUP(K2168,'Structure type'!$A$1:$B$15,2,FALSE)</f>
        <v>Manhole</v>
      </c>
      <c r="M2168" s="23" t="s">
        <v>30</v>
      </c>
      <c r="N2168" s="6" t="str">
        <f>VLOOKUP(M2168,'Excursion Cause'!$A$1:$B$34,2,FALSE)</f>
        <v>Grease Blockage</v>
      </c>
      <c r="O2168" s="29">
        <v>44937.0</v>
      </c>
      <c r="P2168" s="30">
        <v>0.6013888888888889</v>
      </c>
      <c r="Q2168" s="29">
        <v>44939.0</v>
      </c>
      <c r="R2168" s="30">
        <v>0.1388888888888889</v>
      </c>
      <c r="S2168" s="28">
        <v>1.0</v>
      </c>
      <c r="T2168" s="23" t="s">
        <v>118</v>
      </c>
      <c r="U2168" s="6"/>
      <c r="V2168" s="6"/>
      <c r="W2168" s="23">
        <v>29.8566877</v>
      </c>
      <c r="X2168" s="23">
        <v>-95.520853</v>
      </c>
      <c r="AA2168" s="33"/>
      <c r="AB2168" s="33"/>
      <c r="AC2168" s="33"/>
      <c r="AD2168" s="33"/>
      <c r="AE2168" s="33"/>
      <c r="AF2168" s="33"/>
      <c r="AG2168" s="33"/>
      <c r="AH2168" s="33"/>
      <c r="AI2168" s="33"/>
      <c r="AJ2168" s="33"/>
      <c r="AK2168" s="33"/>
      <c r="AL2168" s="33"/>
      <c r="AM2168" s="33"/>
      <c r="AN2168" s="33"/>
      <c r="AO2168" s="33"/>
    </row>
    <row r="2169" ht="15.75" customHeight="1">
      <c r="A2169" s="23">
        <v>50747.0</v>
      </c>
      <c r="B2169" s="23">
        <v>2023.0</v>
      </c>
      <c r="C2169" s="6" t="str">
        <f t="shared" si="7"/>
        <v>7947  CAPITOL ST,Houston,TX</v>
      </c>
      <c r="D2169" s="23" t="s">
        <v>3534</v>
      </c>
      <c r="E2169" s="6" t="s">
        <v>25</v>
      </c>
      <c r="F2169" s="6" t="s">
        <v>1388</v>
      </c>
      <c r="G2169" s="31" t="s">
        <v>365</v>
      </c>
      <c r="H2169" s="23" t="s">
        <v>44</v>
      </c>
      <c r="I2169" s="6" t="str">
        <f>VLOOKUP(H2169,'Flow Location'!$A$1:$B$21,2,FALSE)</f>
        <v>Bayou/surface water/drainage ditch</v>
      </c>
      <c r="J2169" s="28">
        <v>462.0</v>
      </c>
      <c r="K2169" s="23" t="s">
        <v>29</v>
      </c>
      <c r="L2169" s="6" t="str">
        <f>VLOOKUP(K2169,'Structure type'!$A$1:$B$15,2,FALSE)</f>
        <v>Manhole</v>
      </c>
      <c r="M2169" s="23" t="s">
        <v>977</v>
      </c>
      <c r="N2169" s="6" t="str">
        <f>VLOOKUP(M2169,'Excursion Cause'!$A$1:$B$34,2,FALSE)</f>
        <v>Pump/Lift Station Electrical Failure</v>
      </c>
      <c r="O2169" s="29">
        <v>44937.0</v>
      </c>
      <c r="P2169" s="30">
        <v>0.4909722222222222</v>
      </c>
      <c r="Q2169" s="29">
        <v>44937.0</v>
      </c>
      <c r="R2169" s="30">
        <v>0.5444444444444444</v>
      </c>
      <c r="S2169" s="28">
        <v>6.0</v>
      </c>
      <c r="T2169" s="23" t="s">
        <v>118</v>
      </c>
      <c r="U2169" s="6"/>
      <c r="V2169" s="6"/>
      <c r="W2169" s="23">
        <v>29.7282855</v>
      </c>
      <c r="X2169" s="23">
        <v>-95.2828793</v>
      </c>
      <c r="AA2169" s="33"/>
      <c r="AB2169" s="33"/>
      <c r="AC2169" s="33"/>
      <c r="AD2169" s="33"/>
      <c r="AE2169" s="33"/>
      <c r="AF2169" s="33"/>
      <c r="AG2169" s="33"/>
      <c r="AH2169" s="33"/>
      <c r="AI2169" s="33"/>
      <c r="AJ2169" s="33"/>
      <c r="AK2169" s="33"/>
      <c r="AL2169" s="33"/>
      <c r="AM2169" s="33"/>
      <c r="AN2169" s="33"/>
      <c r="AO2169" s="33"/>
    </row>
    <row r="2170" ht="15.75" customHeight="1">
      <c r="A2170" s="23">
        <v>50748.0</v>
      </c>
      <c r="B2170" s="23">
        <v>2023.0</v>
      </c>
      <c r="C2170" s="6" t="str">
        <f t="shared" si="7"/>
        <v>7947  CAPITOL ST,Houston,TX</v>
      </c>
      <c r="D2170" s="23" t="s">
        <v>3534</v>
      </c>
      <c r="E2170" s="6" t="s">
        <v>25</v>
      </c>
      <c r="F2170" s="6" t="s">
        <v>1388</v>
      </c>
      <c r="G2170" s="31" t="s">
        <v>365</v>
      </c>
      <c r="H2170" s="23" t="s">
        <v>28</v>
      </c>
      <c r="I2170" s="6" t="str">
        <f>VLOOKUP(H2170,'Flow Location'!$A$1:$B$21,2,FALSE)</f>
        <v>Storm Sewer (not contained)</v>
      </c>
      <c r="J2170" s="28">
        <v>616.0</v>
      </c>
      <c r="K2170" s="23" t="s">
        <v>29</v>
      </c>
      <c r="L2170" s="6" t="str">
        <f>VLOOKUP(K2170,'Structure type'!$A$1:$B$15,2,FALSE)</f>
        <v>Manhole</v>
      </c>
      <c r="M2170" s="23" t="s">
        <v>977</v>
      </c>
      <c r="N2170" s="6" t="str">
        <f>VLOOKUP(M2170,'Excursion Cause'!$A$1:$B$34,2,FALSE)</f>
        <v>Pump/Lift Station Electrical Failure</v>
      </c>
      <c r="O2170" s="29">
        <v>44937.0</v>
      </c>
      <c r="P2170" s="30">
        <v>0.4909722222222222</v>
      </c>
      <c r="Q2170" s="29">
        <v>44937.0</v>
      </c>
      <c r="R2170" s="30">
        <v>0.5444444444444444</v>
      </c>
      <c r="S2170" s="28">
        <v>8.0</v>
      </c>
      <c r="T2170" s="23" t="s">
        <v>118</v>
      </c>
      <c r="U2170" s="6"/>
      <c r="V2170" s="6"/>
      <c r="W2170" s="23">
        <v>29.7282855</v>
      </c>
      <c r="X2170" s="23">
        <v>-95.2828793</v>
      </c>
      <c r="AA2170" s="33"/>
      <c r="AB2170" s="33"/>
      <c r="AC2170" s="33"/>
      <c r="AD2170" s="33"/>
      <c r="AE2170" s="33"/>
      <c r="AF2170" s="33"/>
      <c r="AG2170" s="33"/>
      <c r="AH2170" s="33"/>
      <c r="AI2170" s="33"/>
      <c r="AJ2170" s="33"/>
      <c r="AK2170" s="33"/>
      <c r="AL2170" s="33"/>
      <c r="AM2170" s="33"/>
      <c r="AN2170" s="33"/>
      <c r="AO2170" s="33"/>
    </row>
    <row r="2171" ht="15.75" customHeight="1">
      <c r="A2171" s="23">
        <v>50749.0</v>
      </c>
      <c r="B2171" s="23">
        <v>2023.0</v>
      </c>
      <c r="C2171" s="6" t="str">
        <f t="shared" si="7"/>
        <v>7947  CAPITOL ST,Houston,TX</v>
      </c>
      <c r="D2171" s="23" t="s">
        <v>3534</v>
      </c>
      <c r="E2171" s="6" t="s">
        <v>25</v>
      </c>
      <c r="F2171" s="6" t="s">
        <v>1388</v>
      </c>
      <c r="G2171" s="31" t="s">
        <v>365</v>
      </c>
      <c r="H2171" s="23" t="s">
        <v>28</v>
      </c>
      <c r="I2171" s="6" t="str">
        <f>VLOOKUP(H2171,'Flow Location'!$A$1:$B$21,2,FALSE)</f>
        <v>Storm Sewer (not contained)</v>
      </c>
      <c r="J2171" s="28">
        <v>77.0</v>
      </c>
      <c r="K2171" s="23" t="s">
        <v>29</v>
      </c>
      <c r="L2171" s="6" t="str">
        <f>VLOOKUP(K2171,'Structure type'!$A$1:$B$15,2,FALSE)</f>
        <v>Manhole</v>
      </c>
      <c r="M2171" s="23" t="s">
        <v>977</v>
      </c>
      <c r="N2171" s="6" t="str">
        <f>VLOOKUP(M2171,'Excursion Cause'!$A$1:$B$34,2,FALSE)</f>
        <v>Pump/Lift Station Electrical Failure</v>
      </c>
      <c r="O2171" s="29">
        <v>44937.0</v>
      </c>
      <c r="P2171" s="30">
        <v>0.4909722222222222</v>
      </c>
      <c r="Q2171" s="29">
        <v>44937.0</v>
      </c>
      <c r="R2171" s="30">
        <v>0.5444444444444444</v>
      </c>
      <c r="S2171" s="28">
        <v>1.0</v>
      </c>
      <c r="T2171" s="23" t="s">
        <v>118</v>
      </c>
      <c r="U2171" s="6"/>
      <c r="V2171" s="6"/>
      <c r="W2171" s="23">
        <v>29.7282855</v>
      </c>
      <c r="X2171" s="23">
        <v>-95.2828793</v>
      </c>
      <c r="AA2171" s="33"/>
      <c r="AB2171" s="33"/>
      <c r="AC2171" s="33"/>
      <c r="AD2171" s="33"/>
      <c r="AE2171" s="33"/>
      <c r="AF2171" s="33"/>
      <c r="AG2171" s="33"/>
      <c r="AH2171" s="33"/>
      <c r="AI2171" s="33"/>
      <c r="AJ2171" s="33"/>
      <c r="AK2171" s="33"/>
      <c r="AL2171" s="33"/>
      <c r="AM2171" s="33"/>
      <c r="AN2171" s="33"/>
      <c r="AO2171" s="33"/>
    </row>
    <row r="2172" ht="15.75" customHeight="1">
      <c r="A2172" s="23">
        <v>50752.0</v>
      </c>
      <c r="B2172" s="23">
        <v>2023.0</v>
      </c>
      <c r="C2172" s="6" t="str">
        <f t="shared" si="7"/>
        <v>4923  CRANSWICK RD,Houston,TX</v>
      </c>
      <c r="D2172" s="23" t="s">
        <v>3535</v>
      </c>
      <c r="E2172" s="6" t="s">
        <v>25</v>
      </c>
      <c r="F2172" s="6" t="s">
        <v>1388</v>
      </c>
      <c r="G2172" s="31" t="s">
        <v>344</v>
      </c>
      <c r="H2172" s="23" t="s">
        <v>28</v>
      </c>
      <c r="I2172" s="6" t="str">
        <f>VLOOKUP(H2172,'Flow Location'!$A$1:$B$21,2,FALSE)</f>
        <v>Storm Sewer (not contained)</v>
      </c>
      <c r="J2172" s="28">
        <v>1027.0</v>
      </c>
      <c r="K2172" s="23" t="s">
        <v>29</v>
      </c>
      <c r="L2172" s="6" t="str">
        <f>VLOOKUP(K2172,'Structure type'!$A$1:$B$15,2,FALSE)</f>
        <v>Manhole</v>
      </c>
      <c r="M2172" s="23" t="s">
        <v>52</v>
      </c>
      <c r="N2172" s="6" t="str">
        <f>VLOOKUP(M2172,'Excursion Cause'!$A$1:$B$34,2,FALSE)</f>
        <v>Collection system structural blockage</v>
      </c>
      <c r="O2172" s="29">
        <v>44937.0</v>
      </c>
      <c r="P2172" s="30">
        <v>0.7305555555555555</v>
      </c>
      <c r="Q2172" s="29">
        <v>44939.0</v>
      </c>
      <c r="R2172" s="30">
        <v>0.16597222222222222</v>
      </c>
      <c r="S2172" s="28">
        <v>0.0</v>
      </c>
      <c r="T2172" s="23" t="s">
        <v>54</v>
      </c>
      <c r="U2172" s="6"/>
      <c r="V2172" s="6"/>
      <c r="W2172" s="23">
        <v>29.8453336</v>
      </c>
      <c r="X2172" s="23">
        <v>-95.5273075</v>
      </c>
      <c r="AA2172" s="33"/>
      <c r="AB2172" s="33"/>
      <c r="AC2172" s="33"/>
      <c r="AD2172" s="33"/>
      <c r="AE2172" s="33"/>
      <c r="AF2172" s="33"/>
      <c r="AG2172" s="33"/>
      <c r="AH2172" s="33"/>
      <c r="AI2172" s="33"/>
      <c r="AJ2172" s="33"/>
      <c r="AK2172" s="33"/>
      <c r="AL2172" s="33"/>
      <c r="AM2172" s="33"/>
      <c r="AN2172" s="33"/>
      <c r="AO2172" s="33"/>
    </row>
    <row r="2173" ht="15.75" customHeight="1">
      <c r="A2173" s="23">
        <v>50753.0</v>
      </c>
      <c r="B2173" s="23">
        <v>2023.0</v>
      </c>
      <c r="C2173" s="6" t="str">
        <f t="shared" si="7"/>
        <v>12058  WHITE CAP LN,Houston,TX</v>
      </c>
      <c r="D2173" s="23" t="s">
        <v>3536</v>
      </c>
      <c r="E2173" s="6" t="s">
        <v>25</v>
      </c>
      <c r="F2173" s="6" t="s">
        <v>1388</v>
      </c>
      <c r="G2173" s="31" t="s">
        <v>91</v>
      </c>
      <c r="H2173" s="23" t="s">
        <v>28</v>
      </c>
      <c r="I2173" s="6" t="str">
        <f>VLOOKUP(H2173,'Flow Location'!$A$1:$B$21,2,FALSE)</f>
        <v>Storm Sewer (not contained)</v>
      </c>
      <c r="J2173" s="28">
        <v>993.0</v>
      </c>
      <c r="K2173" s="23" t="s">
        <v>29</v>
      </c>
      <c r="L2173" s="6" t="str">
        <f>VLOOKUP(K2173,'Structure type'!$A$1:$B$15,2,FALSE)</f>
        <v>Manhole</v>
      </c>
      <c r="M2173" s="23" t="s">
        <v>30</v>
      </c>
      <c r="N2173" s="6" t="str">
        <f>VLOOKUP(M2173,'Excursion Cause'!$A$1:$B$34,2,FALSE)</f>
        <v>Grease Blockage</v>
      </c>
      <c r="O2173" s="29">
        <v>44937.0</v>
      </c>
      <c r="P2173" s="30">
        <v>0.7263888888888889</v>
      </c>
      <c r="Q2173" s="29">
        <v>44938.0</v>
      </c>
      <c r="R2173" s="30">
        <v>0.41597222222222224</v>
      </c>
      <c r="S2173" s="28">
        <v>1.0</v>
      </c>
      <c r="T2173" s="23" t="s">
        <v>33</v>
      </c>
      <c r="U2173" s="6"/>
      <c r="V2173" s="6"/>
      <c r="W2173" s="23">
        <v>29.6905733</v>
      </c>
      <c r="X2173" s="23">
        <v>-95.5907859</v>
      </c>
      <c r="AA2173" s="33"/>
      <c r="AB2173" s="33"/>
      <c r="AC2173" s="33"/>
      <c r="AD2173" s="33"/>
      <c r="AE2173" s="33"/>
      <c r="AF2173" s="33"/>
      <c r="AG2173" s="33"/>
      <c r="AH2173" s="33"/>
      <c r="AI2173" s="33"/>
      <c r="AJ2173" s="33"/>
      <c r="AK2173" s="33"/>
      <c r="AL2173" s="33"/>
      <c r="AM2173" s="33"/>
      <c r="AN2173" s="33"/>
      <c r="AO2173" s="33"/>
    </row>
    <row r="2174" ht="15.75" customHeight="1">
      <c r="A2174" s="23">
        <v>50758.0</v>
      </c>
      <c r="B2174" s="23">
        <v>2023.0</v>
      </c>
      <c r="C2174" s="6" t="str">
        <f t="shared" si="7"/>
        <v>439 W GAYWOOD DR,Houston,TX</v>
      </c>
      <c r="D2174" s="23" t="s">
        <v>2634</v>
      </c>
      <c r="E2174" s="6" t="s">
        <v>25</v>
      </c>
      <c r="F2174" s="6" t="s">
        <v>1388</v>
      </c>
      <c r="G2174" s="31" t="s">
        <v>520</v>
      </c>
      <c r="H2174" s="23" t="s">
        <v>44</v>
      </c>
      <c r="I2174" s="6" t="str">
        <f>VLOOKUP(H2174,'Flow Location'!$A$1:$B$21,2,FALSE)</f>
        <v>Bayou/surface water/drainage ditch</v>
      </c>
      <c r="J2174" s="28">
        <v>0.0</v>
      </c>
      <c r="K2174" s="23" t="s">
        <v>45</v>
      </c>
      <c r="L2174" s="6" t="str">
        <f>VLOOKUP(K2174,'Structure type'!$A$1:$B$15,2,FALSE)</f>
        <v>City Cleanout</v>
      </c>
      <c r="M2174" s="23" t="s">
        <v>81</v>
      </c>
      <c r="N2174" s="6" t="str">
        <f>VLOOKUP(M2174,'Excursion Cause'!$A$1:$B$34,2,FALSE)</f>
        <v>Collection system structural failure</v>
      </c>
      <c r="O2174" s="29">
        <v>44938.0</v>
      </c>
      <c r="P2174" s="30">
        <v>0.4263888888888889</v>
      </c>
      <c r="Q2174" s="29">
        <v>44938.0</v>
      </c>
      <c r="R2174" s="30">
        <v>0.4270833333333333</v>
      </c>
      <c r="S2174" s="28">
        <v>0.0</v>
      </c>
      <c r="T2174" s="23" t="s">
        <v>170</v>
      </c>
      <c r="U2174" s="6"/>
      <c r="V2174" s="6"/>
      <c r="W2174" s="23">
        <v>29.7720668</v>
      </c>
      <c r="X2174" s="23">
        <v>-95.5732118</v>
      </c>
      <c r="AA2174" s="33"/>
      <c r="AB2174" s="33"/>
      <c r="AC2174" s="33"/>
      <c r="AD2174" s="33"/>
      <c r="AE2174" s="33"/>
      <c r="AF2174" s="33"/>
      <c r="AG2174" s="33"/>
      <c r="AH2174" s="33"/>
      <c r="AI2174" s="33"/>
      <c r="AJ2174" s="33"/>
      <c r="AK2174" s="33"/>
      <c r="AL2174" s="33"/>
      <c r="AM2174" s="33"/>
      <c r="AN2174" s="33"/>
      <c r="AO2174" s="33"/>
    </row>
    <row r="2175" ht="15.75" customHeight="1">
      <c r="A2175" s="23">
        <v>50762.0</v>
      </c>
      <c r="B2175" s="23">
        <v>2023.0</v>
      </c>
      <c r="C2175" s="6" t="str">
        <f t="shared" si="7"/>
        <v>7931 CLAIRBORNE ST,Houston,TX</v>
      </c>
      <c r="D2175" s="23" t="s">
        <v>3537</v>
      </c>
      <c r="E2175" s="6" t="s">
        <v>25</v>
      </c>
      <c r="F2175" s="6" t="s">
        <v>1388</v>
      </c>
      <c r="G2175" s="31" t="s">
        <v>387</v>
      </c>
      <c r="H2175" s="23" t="s">
        <v>50</v>
      </c>
      <c r="I2175" s="6" t="str">
        <f>VLOOKUP(H2175,'Flow Location'!$A$1:$B$21,2,FALSE)</f>
        <v>Contained On Site, not within 5 ft. of Bayou/Surface Water/Drainage Ditch</v>
      </c>
      <c r="J2175" s="28">
        <v>0.0</v>
      </c>
      <c r="K2175" s="23" t="s">
        <v>198</v>
      </c>
      <c r="L2175" s="6" t="str">
        <f>VLOOKUP(K2175,'Structure type'!$A$1:$B$15,2,FALSE)</f>
        <v>Service Lateral</v>
      </c>
      <c r="M2175" s="23" t="s">
        <v>81</v>
      </c>
      <c r="N2175" s="6" t="str">
        <f>VLOOKUP(M2175,'Excursion Cause'!$A$1:$B$34,2,FALSE)</f>
        <v>Collection system structural failure</v>
      </c>
      <c r="O2175" s="29">
        <v>44938.0</v>
      </c>
      <c r="P2175" s="30">
        <v>0.5013888888888889</v>
      </c>
      <c r="Q2175" s="29">
        <v>44938.0</v>
      </c>
      <c r="R2175" s="30">
        <v>0.5020833333333333</v>
      </c>
      <c r="S2175" s="28">
        <v>0.0</v>
      </c>
      <c r="T2175" s="23" t="s">
        <v>118</v>
      </c>
      <c r="U2175" s="6"/>
      <c r="V2175" s="6"/>
      <c r="W2175" s="23">
        <v>29.8537478</v>
      </c>
      <c r="X2175" s="23">
        <v>-95.2807619</v>
      </c>
      <c r="AA2175" s="33"/>
      <c r="AB2175" s="33"/>
      <c r="AC2175" s="33"/>
      <c r="AD2175" s="33"/>
      <c r="AE2175" s="33"/>
      <c r="AF2175" s="33"/>
      <c r="AG2175" s="33"/>
      <c r="AH2175" s="33"/>
      <c r="AI2175" s="33"/>
      <c r="AJ2175" s="33"/>
      <c r="AK2175" s="33"/>
      <c r="AL2175" s="33"/>
      <c r="AM2175" s="33"/>
      <c r="AN2175" s="33"/>
      <c r="AO2175" s="33"/>
    </row>
    <row r="2176" ht="15.75" customHeight="1">
      <c r="A2176" s="23">
        <v>50764.0</v>
      </c>
      <c r="B2176" s="23">
        <v>2023.0</v>
      </c>
      <c r="C2176" s="6" t="str">
        <f t="shared" si="7"/>
        <v>2407 PANNELL ST,Houston,TX</v>
      </c>
      <c r="D2176" s="23" t="s">
        <v>3538</v>
      </c>
      <c r="E2176" s="6" t="s">
        <v>25</v>
      </c>
      <c r="F2176" s="6" t="s">
        <v>1388</v>
      </c>
      <c r="G2176" s="31" t="s">
        <v>43</v>
      </c>
      <c r="H2176" s="23" t="s">
        <v>50</v>
      </c>
      <c r="I2176" s="6" t="str">
        <f>VLOOKUP(H2176,'Flow Location'!$A$1:$B$21,2,FALSE)</f>
        <v>Contained On Site, not within 5 ft. of Bayou/Surface Water/Drainage Ditch</v>
      </c>
      <c r="J2176" s="28">
        <v>0.0</v>
      </c>
      <c r="K2176" s="23" t="s">
        <v>51</v>
      </c>
      <c r="L2176" s="6" t="str">
        <f>VLOOKUP(K2176,'Structure type'!$A$1:$B$15,2,FALSE)</f>
        <v>Private Cleanout</v>
      </c>
      <c r="M2176" s="23" t="s">
        <v>30</v>
      </c>
      <c r="N2176" s="6" t="str">
        <f>VLOOKUP(M2176,'Excursion Cause'!$A$1:$B$34,2,FALSE)</f>
        <v>Grease Blockage</v>
      </c>
      <c r="O2176" s="29">
        <v>44938.0</v>
      </c>
      <c r="P2176" s="30">
        <v>0.5673611111111111</v>
      </c>
      <c r="Q2176" s="29">
        <v>44938.0</v>
      </c>
      <c r="R2176" s="30">
        <v>0.5680555555555555</v>
      </c>
      <c r="S2176" s="28">
        <v>0.0</v>
      </c>
      <c r="T2176" s="23" t="s">
        <v>33</v>
      </c>
      <c r="U2176" s="6"/>
      <c r="V2176" s="6"/>
      <c r="W2176" s="23">
        <v>29.7841821</v>
      </c>
      <c r="X2176" s="23">
        <v>-95.3328779</v>
      </c>
      <c r="AA2176" s="33"/>
      <c r="AB2176" s="33"/>
      <c r="AC2176" s="33"/>
      <c r="AD2176" s="33"/>
      <c r="AE2176" s="33"/>
      <c r="AF2176" s="33"/>
      <c r="AG2176" s="33"/>
      <c r="AH2176" s="33"/>
      <c r="AI2176" s="33"/>
      <c r="AJ2176" s="33"/>
      <c r="AK2176" s="33"/>
      <c r="AL2176" s="33"/>
      <c r="AM2176" s="33"/>
      <c r="AN2176" s="33"/>
      <c r="AO2176" s="33"/>
    </row>
    <row r="2177" ht="15.75" customHeight="1">
      <c r="A2177" s="23">
        <v>50766.0</v>
      </c>
      <c r="B2177" s="23">
        <v>2023.0</v>
      </c>
      <c r="C2177" s="6" t="str">
        <f t="shared" si="7"/>
        <v>3230  GESSNER RD,Houston,TX</v>
      </c>
      <c r="D2177" s="23" t="s">
        <v>3539</v>
      </c>
      <c r="E2177" s="6" t="s">
        <v>25</v>
      </c>
      <c r="F2177" s="6" t="s">
        <v>1388</v>
      </c>
      <c r="G2177" s="31" t="s">
        <v>294</v>
      </c>
      <c r="H2177" s="23" t="s">
        <v>28</v>
      </c>
      <c r="I2177" s="6" t="str">
        <f>VLOOKUP(H2177,'Flow Location'!$A$1:$B$21,2,FALSE)</f>
        <v>Storm Sewer (not contained)</v>
      </c>
      <c r="J2177" s="28">
        <v>303.0</v>
      </c>
      <c r="K2177" s="23" t="s">
        <v>29</v>
      </c>
      <c r="L2177" s="6" t="str">
        <f>VLOOKUP(K2177,'Structure type'!$A$1:$B$15,2,FALSE)</f>
        <v>Manhole</v>
      </c>
      <c r="M2177" s="23" t="s">
        <v>30</v>
      </c>
      <c r="N2177" s="6" t="str">
        <f>VLOOKUP(M2177,'Excursion Cause'!$A$1:$B$34,2,FALSE)</f>
        <v>Grease Blockage</v>
      </c>
      <c r="O2177" s="29">
        <v>44938.0</v>
      </c>
      <c r="P2177" s="30">
        <v>0.6729166666666667</v>
      </c>
      <c r="Q2177" s="29">
        <v>44938.0</v>
      </c>
      <c r="R2177" s="30">
        <v>0.7430555555555556</v>
      </c>
      <c r="S2177" s="28">
        <v>3.0</v>
      </c>
      <c r="T2177" s="23" t="s">
        <v>33</v>
      </c>
      <c r="U2177" s="6"/>
      <c r="V2177" s="6"/>
      <c r="W2177" s="23">
        <v>29.8268835</v>
      </c>
      <c r="X2177" s="23">
        <v>-95.5452153</v>
      </c>
      <c r="AA2177" s="33"/>
      <c r="AB2177" s="33"/>
      <c r="AC2177" s="33"/>
      <c r="AD2177" s="33"/>
      <c r="AE2177" s="33"/>
      <c r="AF2177" s="33"/>
      <c r="AG2177" s="33"/>
      <c r="AH2177" s="33"/>
      <c r="AI2177" s="33"/>
      <c r="AJ2177" s="33"/>
      <c r="AK2177" s="33"/>
      <c r="AL2177" s="33"/>
      <c r="AM2177" s="33"/>
      <c r="AN2177" s="33"/>
      <c r="AO2177" s="33"/>
    </row>
    <row r="2178" ht="15.75" customHeight="1">
      <c r="A2178" s="23">
        <v>50767.0</v>
      </c>
      <c r="B2178" s="23">
        <v>2023.0</v>
      </c>
      <c r="C2178" s="6" t="str">
        <f t="shared" si="7"/>
        <v>12477  STRICK LN,Houston,TX</v>
      </c>
      <c r="D2178" s="23" t="s">
        <v>3540</v>
      </c>
      <c r="E2178" s="6" t="s">
        <v>25</v>
      </c>
      <c r="F2178" s="6" t="s">
        <v>1388</v>
      </c>
      <c r="G2178" s="31" t="s">
        <v>623</v>
      </c>
      <c r="H2178" s="23" t="s">
        <v>50</v>
      </c>
      <c r="I2178" s="6" t="str">
        <f>VLOOKUP(H2178,'Flow Location'!$A$1:$B$21,2,FALSE)</f>
        <v>Contained On Site, not within 5 ft. of Bayou/Surface Water/Drainage Ditch</v>
      </c>
      <c r="J2178" s="28">
        <v>0.0</v>
      </c>
      <c r="K2178" s="23" t="s">
        <v>29</v>
      </c>
      <c r="L2178" s="6" t="str">
        <f>VLOOKUP(K2178,'Structure type'!$A$1:$B$15,2,FALSE)</f>
        <v>Manhole</v>
      </c>
      <c r="M2178" s="23" t="s">
        <v>30</v>
      </c>
      <c r="N2178" s="6" t="str">
        <f>VLOOKUP(M2178,'Excursion Cause'!$A$1:$B$34,2,FALSE)</f>
        <v>Grease Blockage</v>
      </c>
      <c r="O2178" s="29">
        <v>44938.0</v>
      </c>
      <c r="P2178" s="30">
        <v>0.6861111111111111</v>
      </c>
      <c r="Q2178" s="29">
        <v>44938.0</v>
      </c>
      <c r="R2178" s="30">
        <v>0.6868055555555556</v>
      </c>
      <c r="S2178" s="28">
        <v>0.0</v>
      </c>
      <c r="T2178" s="23" t="s">
        <v>33</v>
      </c>
      <c r="U2178" s="6"/>
      <c r="V2178" s="6"/>
      <c r="W2178" s="23">
        <v>29.7605149</v>
      </c>
      <c r="X2178" s="23">
        <v>-95.2144908</v>
      </c>
      <c r="AA2178" s="33"/>
      <c r="AB2178" s="33"/>
      <c r="AC2178" s="33"/>
      <c r="AD2178" s="33"/>
      <c r="AE2178" s="33"/>
      <c r="AF2178" s="33"/>
      <c r="AG2178" s="33"/>
      <c r="AH2178" s="33"/>
      <c r="AI2178" s="33"/>
      <c r="AJ2178" s="33"/>
      <c r="AK2178" s="33"/>
      <c r="AL2178" s="33"/>
      <c r="AM2178" s="33"/>
      <c r="AN2178" s="33"/>
      <c r="AO2178" s="33"/>
    </row>
    <row r="2179" ht="15.75" customHeight="1">
      <c r="A2179" s="23">
        <v>50769.0</v>
      </c>
      <c r="B2179" s="23">
        <v>2023.0</v>
      </c>
      <c r="C2179" s="6" t="str">
        <f t="shared" si="7"/>
        <v>13139  NORTH FWY,Houston,TX</v>
      </c>
      <c r="D2179" s="23" t="s">
        <v>3541</v>
      </c>
      <c r="E2179" s="6" t="s">
        <v>25</v>
      </c>
      <c r="F2179" s="6" t="s">
        <v>1388</v>
      </c>
      <c r="G2179" s="31" t="s">
        <v>393</v>
      </c>
      <c r="H2179" s="23" t="s">
        <v>50</v>
      </c>
      <c r="I2179" s="6" t="str">
        <f>VLOOKUP(H2179,'Flow Location'!$A$1:$B$21,2,FALSE)</f>
        <v>Contained On Site, not within 5 ft. of Bayou/Surface Water/Drainage Ditch</v>
      </c>
      <c r="J2179" s="28">
        <v>7500.0</v>
      </c>
      <c r="K2179" s="23" t="s">
        <v>29</v>
      </c>
      <c r="L2179" s="6" t="str">
        <f>VLOOKUP(K2179,'Structure type'!$A$1:$B$15,2,FALSE)</f>
        <v>Manhole</v>
      </c>
      <c r="M2179" s="23" t="s">
        <v>3542</v>
      </c>
      <c r="N2179" s="6" t="str">
        <f>VLOOKUP(M2179,'Excursion Cause'!$A$1:$B$34,2,FALSE)</f>
        <v>Pump/Lift Station Instrumentation Failure</v>
      </c>
      <c r="O2179" s="29">
        <v>44936.0</v>
      </c>
      <c r="P2179" s="30">
        <v>0.7409722222222223</v>
      </c>
      <c r="Q2179" s="29">
        <v>44936.0</v>
      </c>
      <c r="R2179" s="30">
        <v>0.9916666666666667</v>
      </c>
      <c r="S2179" s="28">
        <v>21.0</v>
      </c>
      <c r="T2179" s="23" t="s">
        <v>118</v>
      </c>
      <c r="U2179" s="6"/>
      <c r="V2179" s="6"/>
      <c r="W2179" s="23">
        <v>29.9612618</v>
      </c>
      <c r="X2179" s="23">
        <v>-95.4202125</v>
      </c>
      <c r="AA2179" s="33"/>
      <c r="AB2179" s="33"/>
      <c r="AC2179" s="33"/>
      <c r="AD2179" s="33"/>
      <c r="AE2179" s="33"/>
      <c r="AF2179" s="33"/>
      <c r="AG2179" s="33"/>
      <c r="AH2179" s="33"/>
      <c r="AI2179" s="33"/>
      <c r="AJ2179" s="33"/>
      <c r="AK2179" s="33"/>
      <c r="AL2179" s="33"/>
      <c r="AM2179" s="33"/>
      <c r="AN2179" s="33"/>
      <c r="AO2179" s="33"/>
    </row>
    <row r="2180" ht="15.75" customHeight="1">
      <c r="A2180" s="23">
        <v>50774.0</v>
      </c>
      <c r="B2180" s="23">
        <v>2023.0</v>
      </c>
      <c r="C2180" s="6" t="str">
        <f t="shared" si="7"/>
        <v>4019  ANTOINETTE ST,Houston,TX</v>
      </c>
      <c r="D2180" s="23" t="s">
        <v>3543</v>
      </c>
      <c r="E2180" s="6" t="s">
        <v>25</v>
      </c>
      <c r="F2180" s="6" t="s">
        <v>1388</v>
      </c>
      <c r="G2180" s="31" t="s">
        <v>35</v>
      </c>
      <c r="H2180" s="23" t="s">
        <v>44</v>
      </c>
      <c r="I2180" s="6" t="str">
        <f>VLOOKUP(H2180,'Flow Location'!$A$1:$B$21,2,FALSE)</f>
        <v>Bayou/surface water/drainage ditch</v>
      </c>
      <c r="J2180" s="28">
        <v>0.0</v>
      </c>
      <c r="K2180" s="23" t="s">
        <v>45</v>
      </c>
      <c r="L2180" s="6" t="str">
        <f>VLOOKUP(K2180,'Structure type'!$A$1:$B$15,2,FALSE)</f>
        <v>City Cleanout</v>
      </c>
      <c r="M2180" s="23" t="s">
        <v>96</v>
      </c>
      <c r="N2180" s="6" t="str">
        <f>VLOOKUP(M2180,'Excursion Cause'!$A$1:$B$34,2,FALSE)</f>
        <v>Collection system temporary blockage</v>
      </c>
      <c r="O2180" s="29">
        <v>44939.0</v>
      </c>
      <c r="P2180" s="30">
        <v>0.44930555555555557</v>
      </c>
      <c r="Q2180" s="29">
        <v>44939.0</v>
      </c>
      <c r="R2180" s="30">
        <v>0.45</v>
      </c>
      <c r="S2180" s="28">
        <v>0.0</v>
      </c>
      <c r="T2180" s="23" t="s">
        <v>118</v>
      </c>
      <c r="U2180" s="6"/>
      <c r="V2180" s="6"/>
      <c r="W2180" s="23">
        <v>29.6995287</v>
      </c>
      <c r="X2180" s="23">
        <v>-95.3119863</v>
      </c>
      <c r="AA2180" s="33"/>
      <c r="AB2180" s="33"/>
      <c r="AC2180" s="33"/>
      <c r="AD2180" s="33"/>
      <c r="AE2180" s="33"/>
      <c r="AF2180" s="33"/>
      <c r="AG2180" s="33"/>
      <c r="AH2180" s="33"/>
      <c r="AI2180" s="33"/>
      <c r="AJ2180" s="33"/>
      <c r="AK2180" s="33"/>
      <c r="AL2180" s="33"/>
      <c r="AM2180" s="33"/>
      <c r="AN2180" s="33"/>
      <c r="AO2180" s="33"/>
    </row>
    <row r="2181" ht="15.75" customHeight="1">
      <c r="A2181" s="23">
        <v>50780.0</v>
      </c>
      <c r="B2181" s="23">
        <v>2023.0</v>
      </c>
      <c r="C2181" s="6" t="str">
        <f t="shared" si="7"/>
        <v>8951  SUMMERSET MEADOW CT,Houston,TX</v>
      </c>
      <c r="D2181" s="23" t="s">
        <v>3544</v>
      </c>
      <c r="E2181" s="6" t="s">
        <v>25</v>
      </c>
      <c r="F2181" s="6" t="s">
        <v>1388</v>
      </c>
      <c r="G2181" s="31" t="s">
        <v>95</v>
      </c>
      <c r="H2181" s="23" t="s">
        <v>50</v>
      </c>
      <c r="I2181" s="6" t="str">
        <f>VLOOKUP(H2181,'Flow Location'!$A$1:$B$21,2,FALSE)</f>
        <v>Contained On Site, not within 5 ft. of Bayou/Surface Water/Drainage Ditch</v>
      </c>
      <c r="J2181" s="28">
        <v>0.0</v>
      </c>
      <c r="K2181" s="23" t="s">
        <v>198</v>
      </c>
      <c r="L2181" s="6" t="str">
        <f>VLOOKUP(K2181,'Structure type'!$A$1:$B$15,2,FALSE)</f>
        <v>Service Lateral</v>
      </c>
      <c r="M2181" s="23" t="s">
        <v>81</v>
      </c>
      <c r="N2181" s="6" t="str">
        <f>VLOOKUP(M2181,'Excursion Cause'!$A$1:$B$34,2,FALSE)</f>
        <v>Collection system structural failure</v>
      </c>
      <c r="O2181" s="29">
        <v>44939.0</v>
      </c>
      <c r="P2181" s="30">
        <v>0.6291666666666667</v>
      </c>
      <c r="Q2181" s="29">
        <v>44939.0</v>
      </c>
      <c r="R2181" s="30">
        <v>0.6298611111111111</v>
      </c>
      <c r="S2181" s="28">
        <v>0.0</v>
      </c>
      <c r="T2181" s="23" t="s">
        <v>118</v>
      </c>
      <c r="U2181" s="6"/>
      <c r="V2181" s="6"/>
      <c r="W2181" s="23">
        <v>29.6132881</v>
      </c>
      <c r="X2181" s="23">
        <v>-95.2572476</v>
      </c>
      <c r="AA2181" s="33"/>
      <c r="AB2181" s="33"/>
      <c r="AC2181" s="33"/>
      <c r="AD2181" s="33"/>
      <c r="AE2181" s="33"/>
      <c r="AF2181" s="33"/>
      <c r="AG2181" s="33"/>
      <c r="AH2181" s="33"/>
      <c r="AI2181" s="33"/>
      <c r="AJ2181" s="33"/>
      <c r="AK2181" s="33"/>
      <c r="AL2181" s="33"/>
      <c r="AM2181" s="33"/>
      <c r="AN2181" s="33"/>
      <c r="AO2181" s="33"/>
    </row>
    <row r="2182" ht="15.75" customHeight="1">
      <c r="A2182" s="23">
        <v>50781.0</v>
      </c>
      <c r="B2182" s="23">
        <v>2023.0</v>
      </c>
      <c r="C2182" s="6" t="str">
        <f t="shared" si="7"/>
        <v>5301  COLLINGSWORTH ST,Houston,TX</v>
      </c>
      <c r="D2182" s="23" t="s">
        <v>3545</v>
      </c>
      <c r="E2182" s="6" t="s">
        <v>25</v>
      </c>
      <c r="F2182" s="6" t="s">
        <v>1388</v>
      </c>
      <c r="G2182" s="31" t="s">
        <v>43</v>
      </c>
      <c r="H2182" s="23" t="s">
        <v>50</v>
      </c>
      <c r="I2182" s="6" t="str">
        <f>VLOOKUP(H2182,'Flow Location'!$A$1:$B$21,2,FALSE)</f>
        <v>Contained On Site, not within 5 ft. of Bayou/Surface Water/Drainage Ditch</v>
      </c>
      <c r="J2182" s="28">
        <v>0.0</v>
      </c>
      <c r="K2182" s="23" t="s">
        <v>45</v>
      </c>
      <c r="L2182" s="6" t="str">
        <f>VLOOKUP(K2182,'Structure type'!$A$1:$B$15,2,FALSE)</f>
        <v>City Cleanout</v>
      </c>
      <c r="M2182" s="23" t="s">
        <v>30</v>
      </c>
      <c r="N2182" s="6" t="str">
        <f>VLOOKUP(M2182,'Excursion Cause'!$A$1:$B$34,2,FALSE)</f>
        <v>Grease Blockage</v>
      </c>
      <c r="O2182" s="29">
        <v>44939.0</v>
      </c>
      <c r="P2182" s="30">
        <v>0.7152777777777778</v>
      </c>
      <c r="Q2182" s="29">
        <v>44939.0</v>
      </c>
      <c r="R2182" s="30">
        <v>0.7159722222222222</v>
      </c>
      <c r="S2182" s="28">
        <v>0.0</v>
      </c>
      <c r="T2182" s="23" t="s">
        <v>89</v>
      </c>
      <c r="U2182" s="6"/>
      <c r="V2182" s="6"/>
      <c r="W2182" s="23">
        <v>29.7938933</v>
      </c>
      <c r="X2182" s="23">
        <v>-95.3176637</v>
      </c>
      <c r="AA2182" s="33"/>
      <c r="AB2182" s="33"/>
      <c r="AC2182" s="33"/>
      <c r="AD2182" s="33"/>
      <c r="AE2182" s="33"/>
      <c r="AF2182" s="33"/>
      <c r="AG2182" s="33"/>
      <c r="AH2182" s="33"/>
      <c r="AI2182" s="33"/>
      <c r="AJ2182" s="33"/>
      <c r="AK2182" s="33"/>
      <c r="AL2182" s="33"/>
      <c r="AM2182" s="33"/>
      <c r="AN2182" s="33"/>
      <c r="AO2182" s="33"/>
    </row>
    <row r="2183" ht="15.75" customHeight="1">
      <c r="A2183" s="23">
        <v>50786.0</v>
      </c>
      <c r="B2183" s="23">
        <v>2023.0</v>
      </c>
      <c r="C2183" s="6" t="str">
        <f t="shared" si="7"/>
        <v>5638  SOUTHBROOK DR,Houston,TX</v>
      </c>
      <c r="D2183" s="23" t="s">
        <v>3546</v>
      </c>
      <c r="E2183" s="6" t="s">
        <v>25</v>
      </c>
      <c r="F2183" s="6" t="s">
        <v>1388</v>
      </c>
      <c r="G2183" s="31" t="s">
        <v>120</v>
      </c>
      <c r="H2183" s="23" t="s">
        <v>28</v>
      </c>
      <c r="I2183" s="6" t="str">
        <f>VLOOKUP(H2183,'Flow Location'!$A$1:$B$21,2,FALSE)</f>
        <v>Storm Sewer (not contained)</v>
      </c>
      <c r="J2183" s="28">
        <v>740.0</v>
      </c>
      <c r="K2183" s="23" t="s">
        <v>29</v>
      </c>
      <c r="L2183" s="6" t="str">
        <f>VLOOKUP(K2183,'Structure type'!$A$1:$B$15,2,FALSE)</f>
        <v>Manhole</v>
      </c>
      <c r="M2183" s="23" t="s">
        <v>30</v>
      </c>
      <c r="N2183" s="6" t="str">
        <f>VLOOKUP(M2183,'Excursion Cause'!$A$1:$B$34,2,FALSE)</f>
        <v>Grease Blockage</v>
      </c>
      <c r="O2183" s="29">
        <v>44941.0</v>
      </c>
      <c r="P2183" s="30">
        <v>0.34791666666666665</v>
      </c>
      <c r="Q2183" s="29">
        <v>44941.0</v>
      </c>
      <c r="R2183" s="30">
        <v>0.5534722222222223</v>
      </c>
      <c r="S2183" s="28">
        <v>3.0</v>
      </c>
      <c r="T2183" s="23" t="s">
        <v>59</v>
      </c>
      <c r="U2183" s="6"/>
      <c r="V2183" s="6"/>
      <c r="W2183" s="23">
        <v>29.6544019</v>
      </c>
      <c r="X2183" s="23">
        <v>-95.3367713</v>
      </c>
      <c r="AA2183" s="33"/>
      <c r="AB2183" s="33"/>
      <c r="AC2183" s="33"/>
      <c r="AD2183" s="33"/>
      <c r="AE2183" s="33"/>
      <c r="AF2183" s="33"/>
      <c r="AG2183" s="33"/>
      <c r="AH2183" s="33"/>
      <c r="AI2183" s="33"/>
      <c r="AJ2183" s="33"/>
      <c r="AK2183" s="33"/>
      <c r="AL2183" s="33"/>
      <c r="AM2183" s="33"/>
      <c r="AN2183" s="33"/>
      <c r="AO2183" s="33"/>
    </row>
    <row r="2184" ht="15.75" customHeight="1">
      <c r="A2184" s="23">
        <v>50791.0</v>
      </c>
      <c r="B2184" s="23">
        <v>2023.0</v>
      </c>
      <c r="C2184" s="6" t="str">
        <f t="shared" si="7"/>
        <v>7816 E MAGNOLIA ST,Houston,TX</v>
      </c>
      <c r="D2184" s="23" t="s">
        <v>3547</v>
      </c>
      <c r="E2184" s="6" t="s">
        <v>25</v>
      </c>
      <c r="F2184" s="6" t="s">
        <v>1388</v>
      </c>
      <c r="G2184" s="31" t="s">
        <v>365</v>
      </c>
      <c r="H2184" s="23" t="s">
        <v>50</v>
      </c>
      <c r="I2184" s="6" t="str">
        <f>VLOOKUP(H2184,'Flow Location'!$A$1:$B$21,2,FALSE)</f>
        <v>Contained On Site, not within 5 ft. of Bayou/Surface Water/Drainage Ditch</v>
      </c>
      <c r="J2184" s="28">
        <v>0.0</v>
      </c>
      <c r="K2184" s="23" t="s">
        <v>198</v>
      </c>
      <c r="L2184" s="6" t="str">
        <f>VLOOKUP(K2184,'Structure type'!$A$1:$B$15,2,FALSE)</f>
        <v>Service Lateral</v>
      </c>
      <c r="M2184" s="23" t="s">
        <v>52</v>
      </c>
      <c r="N2184" s="6" t="str">
        <f>VLOOKUP(M2184,'Excursion Cause'!$A$1:$B$34,2,FALSE)</f>
        <v>Collection system structural blockage</v>
      </c>
      <c r="O2184" s="29">
        <v>44941.0</v>
      </c>
      <c r="P2184" s="30">
        <v>0.6055555555555555</v>
      </c>
      <c r="Q2184" s="29">
        <v>44941.0</v>
      </c>
      <c r="R2184" s="30">
        <v>0.60625</v>
      </c>
      <c r="S2184" s="28">
        <v>0.0</v>
      </c>
      <c r="T2184" s="23" t="s">
        <v>170</v>
      </c>
      <c r="U2184" s="6"/>
      <c r="V2184" s="6"/>
      <c r="W2184" s="23">
        <v>29.7190358</v>
      </c>
      <c r="X2184" s="23">
        <v>-95.2813575</v>
      </c>
      <c r="AA2184" s="33"/>
      <c r="AB2184" s="33"/>
      <c r="AC2184" s="33"/>
      <c r="AD2184" s="33"/>
      <c r="AE2184" s="33"/>
      <c r="AF2184" s="33"/>
      <c r="AG2184" s="33"/>
      <c r="AH2184" s="33"/>
      <c r="AI2184" s="33"/>
      <c r="AJ2184" s="33"/>
      <c r="AK2184" s="33"/>
      <c r="AL2184" s="33"/>
      <c r="AM2184" s="33"/>
      <c r="AN2184" s="33"/>
      <c r="AO2184" s="33"/>
    </row>
    <row r="2185" ht="15.75" customHeight="1">
      <c r="A2185" s="23">
        <v>50794.0</v>
      </c>
      <c r="B2185" s="23">
        <v>2023.0</v>
      </c>
      <c r="C2185" s="6" t="str">
        <f t="shared" si="7"/>
        <v>11218  SAGEWILLOW LN,Houston,TX</v>
      </c>
      <c r="D2185" s="23" t="s">
        <v>3548</v>
      </c>
      <c r="E2185" s="6" t="s">
        <v>25</v>
      </c>
      <c r="F2185" s="6" t="s">
        <v>1388</v>
      </c>
      <c r="G2185" s="31" t="s">
        <v>477</v>
      </c>
      <c r="H2185" s="23" t="s">
        <v>1493</v>
      </c>
      <c r="I2185" s="6" t="str">
        <f>VLOOKUP(H2185,'Flow Location'!$A$1:$B$21,2,FALSE)</f>
        <v>Contained On Site, not within 5 ft. of Bayou/Surface Water/Drainage Ditch</v>
      </c>
      <c r="J2185" s="28">
        <v>0.0</v>
      </c>
      <c r="K2185" s="23" t="s">
        <v>51</v>
      </c>
      <c r="L2185" s="6" t="str">
        <f>VLOOKUP(K2185,'Structure type'!$A$1:$B$15,2,FALSE)</f>
        <v>Private Cleanout</v>
      </c>
      <c r="M2185" s="23" t="s">
        <v>30</v>
      </c>
      <c r="N2185" s="6" t="str">
        <f>VLOOKUP(M2185,'Excursion Cause'!$A$1:$B$34,2,FALSE)</f>
        <v>Grease Blockage</v>
      </c>
      <c r="O2185" s="29">
        <v>44942.0</v>
      </c>
      <c r="P2185" s="30">
        <v>0.36875</v>
      </c>
      <c r="Q2185" s="29">
        <v>44942.0</v>
      </c>
      <c r="R2185" s="30">
        <v>0.36944444444444446</v>
      </c>
      <c r="S2185" s="28">
        <v>0.0</v>
      </c>
      <c r="T2185" s="23" t="s">
        <v>59</v>
      </c>
      <c r="U2185" s="6"/>
      <c r="V2185" s="6"/>
      <c r="W2185" s="23">
        <v>29.588463</v>
      </c>
      <c r="X2185" s="23">
        <v>-95.2246108</v>
      </c>
      <c r="AA2185" s="33"/>
      <c r="AB2185" s="33"/>
      <c r="AC2185" s="33"/>
      <c r="AD2185" s="33"/>
      <c r="AE2185" s="33"/>
      <c r="AF2185" s="33"/>
      <c r="AG2185" s="33"/>
      <c r="AH2185" s="33"/>
      <c r="AI2185" s="33"/>
      <c r="AJ2185" s="33"/>
      <c r="AK2185" s="33"/>
      <c r="AL2185" s="33"/>
      <c r="AM2185" s="33"/>
      <c r="AN2185" s="33"/>
      <c r="AO2185" s="33"/>
    </row>
    <row r="2186" ht="15.75" customHeight="1">
      <c r="A2186" s="23">
        <v>50796.0</v>
      </c>
      <c r="B2186" s="23">
        <v>2023.0</v>
      </c>
      <c r="C2186" s="6" t="str">
        <f t="shared" si="7"/>
        <v>6502  HAWKEYE CT,Houston,TX</v>
      </c>
      <c r="D2186" s="23" t="s">
        <v>3549</v>
      </c>
      <c r="E2186" s="6" t="s">
        <v>25</v>
      </c>
      <c r="F2186" s="6" t="s">
        <v>1388</v>
      </c>
      <c r="G2186" s="31" t="s">
        <v>840</v>
      </c>
      <c r="H2186" s="23" t="s">
        <v>50</v>
      </c>
      <c r="I2186" s="6" t="str">
        <f>VLOOKUP(H2186,'Flow Location'!$A$1:$B$21,2,FALSE)</f>
        <v>Contained On Site, not within 5 ft. of Bayou/Surface Water/Drainage Ditch</v>
      </c>
      <c r="J2186" s="28">
        <v>0.0</v>
      </c>
      <c r="K2186" s="23" t="s">
        <v>51</v>
      </c>
      <c r="L2186" s="6" t="str">
        <f>VLOOKUP(K2186,'Structure type'!$A$1:$B$15,2,FALSE)</f>
        <v>Private Cleanout</v>
      </c>
      <c r="M2186" s="23" t="s">
        <v>30</v>
      </c>
      <c r="N2186" s="6" t="str">
        <f>VLOOKUP(M2186,'Excursion Cause'!$A$1:$B$34,2,FALSE)</f>
        <v>Grease Blockage</v>
      </c>
      <c r="O2186" s="29">
        <v>44942.0</v>
      </c>
      <c r="P2186" s="30">
        <v>0.6180555555555556</v>
      </c>
      <c r="Q2186" s="29">
        <v>44942.0</v>
      </c>
      <c r="R2186" s="30">
        <v>0.61875</v>
      </c>
      <c r="S2186" s="28">
        <v>0.0</v>
      </c>
      <c r="T2186" s="23" t="s">
        <v>59</v>
      </c>
      <c r="U2186" s="6"/>
      <c r="V2186" s="6"/>
      <c r="W2186" s="23">
        <v>29.8199028</v>
      </c>
      <c r="X2186" s="23">
        <v>-95.2054851</v>
      </c>
      <c r="AA2186" s="33"/>
      <c r="AB2186" s="33"/>
      <c r="AC2186" s="33"/>
      <c r="AD2186" s="33"/>
      <c r="AE2186" s="33"/>
      <c r="AF2186" s="33"/>
      <c r="AG2186" s="33"/>
      <c r="AH2186" s="33"/>
      <c r="AI2186" s="33"/>
      <c r="AJ2186" s="33"/>
      <c r="AK2186" s="33"/>
      <c r="AL2186" s="33"/>
      <c r="AM2186" s="33"/>
      <c r="AN2186" s="33"/>
      <c r="AO2186" s="33"/>
    </row>
    <row r="2187" ht="15.75" customHeight="1">
      <c r="A2187" s="23">
        <v>50802.0</v>
      </c>
      <c r="B2187" s="23">
        <v>2023.0</v>
      </c>
      <c r="C2187" s="6" t="str">
        <f t="shared" si="7"/>
        <v>6058  CRAB ORCHARD RD,Houston,TX</v>
      </c>
      <c r="D2187" s="23" t="s">
        <v>3550</v>
      </c>
      <c r="E2187" s="6" t="s">
        <v>25</v>
      </c>
      <c r="F2187" s="6" t="s">
        <v>1388</v>
      </c>
      <c r="G2187" s="31" t="s">
        <v>689</v>
      </c>
      <c r="H2187" s="23" t="s">
        <v>50</v>
      </c>
      <c r="I2187" s="6" t="str">
        <f>VLOOKUP(H2187,'Flow Location'!$A$1:$B$21,2,FALSE)</f>
        <v>Contained On Site, not within 5 ft. of Bayou/Surface Water/Drainage Ditch</v>
      </c>
      <c r="J2187" s="28">
        <v>0.0</v>
      </c>
      <c r="K2187" s="23" t="s">
        <v>290</v>
      </c>
      <c r="L2187" s="6" t="str">
        <f>VLOOKUP(K2187,'Structure type'!$A$1:$B$15,2,FALSE)</f>
        <v>Gravity Main</v>
      </c>
      <c r="M2187" s="23" t="s">
        <v>30</v>
      </c>
      <c r="N2187" s="6" t="str">
        <f>VLOOKUP(M2187,'Excursion Cause'!$A$1:$B$34,2,FALSE)</f>
        <v>Grease Blockage</v>
      </c>
      <c r="O2187" s="29">
        <v>44942.0</v>
      </c>
      <c r="P2187" s="30">
        <v>0.6506944444444445</v>
      </c>
      <c r="Q2187" s="29">
        <v>44942.0</v>
      </c>
      <c r="R2187" s="30">
        <v>0.6513888888888889</v>
      </c>
      <c r="S2187" s="28">
        <v>0.0</v>
      </c>
      <c r="T2187" s="23" t="s">
        <v>33</v>
      </c>
      <c r="U2187" s="6"/>
      <c r="V2187" s="6"/>
      <c r="W2187" s="23">
        <v>29.7602804</v>
      </c>
      <c r="X2187" s="23">
        <v>-95.4886387</v>
      </c>
      <c r="AA2187" s="33"/>
      <c r="AB2187" s="33"/>
      <c r="AC2187" s="33"/>
      <c r="AD2187" s="33"/>
      <c r="AE2187" s="33"/>
      <c r="AF2187" s="33"/>
      <c r="AG2187" s="33"/>
      <c r="AH2187" s="33"/>
      <c r="AI2187" s="33"/>
      <c r="AJ2187" s="33"/>
      <c r="AK2187" s="33"/>
      <c r="AL2187" s="33"/>
      <c r="AM2187" s="33"/>
      <c r="AN2187" s="33"/>
      <c r="AO2187" s="33"/>
    </row>
    <row r="2188" ht="15.75" customHeight="1">
      <c r="A2188" s="23">
        <v>50803.0</v>
      </c>
      <c r="B2188" s="23">
        <v>2023.0</v>
      </c>
      <c r="C2188" s="6" t="str">
        <f t="shared" si="7"/>
        <v>242  OWENS ST,Houston,TX</v>
      </c>
      <c r="D2188" s="23" t="s">
        <v>3551</v>
      </c>
      <c r="E2188" s="6" t="s">
        <v>25</v>
      </c>
      <c r="F2188" s="6" t="s">
        <v>1388</v>
      </c>
      <c r="G2188" s="31" t="s">
        <v>247</v>
      </c>
      <c r="H2188" s="23" t="s">
        <v>50</v>
      </c>
      <c r="I2188" s="6" t="str">
        <f>VLOOKUP(H2188,'Flow Location'!$A$1:$B$21,2,FALSE)</f>
        <v>Contained On Site, not within 5 ft. of Bayou/Surface Water/Drainage Ditch</v>
      </c>
      <c r="J2188" s="28">
        <v>0.0</v>
      </c>
      <c r="K2188" s="23" t="s">
        <v>51</v>
      </c>
      <c r="L2188" s="6" t="str">
        <f>VLOOKUP(K2188,'Structure type'!$A$1:$B$15,2,FALSE)</f>
        <v>Private Cleanout</v>
      </c>
      <c r="M2188" s="23" t="s">
        <v>30</v>
      </c>
      <c r="N2188" s="6" t="str">
        <f>VLOOKUP(M2188,'Excursion Cause'!$A$1:$B$34,2,FALSE)</f>
        <v>Grease Blockage</v>
      </c>
      <c r="O2188" s="29">
        <v>44942.0</v>
      </c>
      <c r="P2188" s="30">
        <v>0.6506944444444445</v>
      </c>
      <c r="Q2188" s="29">
        <v>44942.0</v>
      </c>
      <c r="R2188" s="30">
        <v>0.6513888888888889</v>
      </c>
      <c r="S2188" s="28">
        <v>0.0</v>
      </c>
      <c r="T2188" s="23" t="s">
        <v>33</v>
      </c>
      <c r="U2188" s="6"/>
      <c r="V2188" s="6"/>
      <c r="W2188" s="23">
        <v>29.7407675</v>
      </c>
      <c r="X2188" s="23">
        <v>-95.2589964</v>
      </c>
      <c r="AA2188" s="33"/>
      <c r="AB2188" s="33"/>
      <c r="AC2188" s="33"/>
      <c r="AD2188" s="33"/>
      <c r="AE2188" s="33"/>
      <c r="AF2188" s="33"/>
      <c r="AG2188" s="33"/>
      <c r="AH2188" s="33"/>
      <c r="AI2188" s="33"/>
      <c r="AJ2188" s="33"/>
      <c r="AK2188" s="33"/>
      <c r="AL2188" s="33"/>
      <c r="AM2188" s="33"/>
      <c r="AN2188" s="33"/>
      <c r="AO2188" s="33"/>
    </row>
    <row r="2189" ht="15.75" customHeight="1">
      <c r="A2189" s="23">
        <v>50804.0</v>
      </c>
      <c r="B2189" s="23">
        <v>2023.0</v>
      </c>
      <c r="C2189" s="6" t="str">
        <f t="shared" si="7"/>
        <v>6232  AIRPORT BLVD,Houston,TX</v>
      </c>
      <c r="D2189" s="23" t="s">
        <v>3552</v>
      </c>
      <c r="E2189" s="6" t="s">
        <v>25</v>
      </c>
      <c r="F2189" s="6" t="s">
        <v>1388</v>
      </c>
      <c r="G2189" s="31" t="s">
        <v>301</v>
      </c>
      <c r="H2189" s="23" t="s">
        <v>50</v>
      </c>
      <c r="I2189" s="6" t="str">
        <f>VLOOKUP(H2189,'Flow Location'!$A$1:$B$21,2,FALSE)</f>
        <v>Contained On Site, not within 5 ft. of Bayou/Surface Water/Drainage Ditch</v>
      </c>
      <c r="J2189" s="28">
        <v>83.0</v>
      </c>
      <c r="K2189" s="23" t="s">
        <v>29</v>
      </c>
      <c r="L2189" s="6" t="str">
        <f>VLOOKUP(K2189,'Structure type'!$A$1:$B$15,2,FALSE)</f>
        <v>Manhole</v>
      </c>
      <c r="M2189" s="23" t="s">
        <v>30</v>
      </c>
      <c r="N2189" s="6" t="str">
        <f>VLOOKUP(M2189,'Excursion Cause'!$A$1:$B$34,2,FALSE)</f>
        <v>Grease Blockage</v>
      </c>
      <c r="O2189" s="29">
        <v>44943.0</v>
      </c>
      <c r="P2189" s="30">
        <v>0.3458333333333333</v>
      </c>
      <c r="Q2189" s="29">
        <v>44943.0</v>
      </c>
      <c r="R2189" s="30">
        <v>0.5763888888888888</v>
      </c>
      <c r="S2189" s="28">
        <v>0.0</v>
      </c>
      <c r="T2189" s="23" t="s">
        <v>33</v>
      </c>
      <c r="U2189" s="6"/>
      <c r="V2189" s="6"/>
      <c r="W2189" s="23">
        <v>29.6452025</v>
      </c>
      <c r="X2189" s="23">
        <v>-95.3186013</v>
      </c>
      <c r="AA2189" s="33"/>
      <c r="AB2189" s="33"/>
      <c r="AC2189" s="33"/>
      <c r="AD2189" s="33"/>
      <c r="AE2189" s="33"/>
      <c r="AF2189" s="33"/>
      <c r="AG2189" s="33"/>
      <c r="AH2189" s="33"/>
      <c r="AI2189" s="33"/>
      <c r="AJ2189" s="33"/>
      <c r="AK2189" s="33"/>
      <c r="AL2189" s="33"/>
      <c r="AM2189" s="33"/>
      <c r="AN2189" s="33"/>
      <c r="AO2189" s="33"/>
    </row>
    <row r="2190" ht="15.75" customHeight="1">
      <c r="A2190" s="23">
        <v>50806.0</v>
      </c>
      <c r="B2190" s="23">
        <v>2023.0</v>
      </c>
      <c r="C2190" s="6" t="str">
        <f t="shared" si="7"/>
        <v>614 S WAYSIDE ST,Houston,TX</v>
      </c>
      <c r="D2190" s="23" t="s">
        <v>3553</v>
      </c>
      <c r="E2190" s="6" t="s">
        <v>25</v>
      </c>
      <c r="F2190" s="6" t="s">
        <v>1388</v>
      </c>
      <c r="G2190" s="31" t="s">
        <v>227</v>
      </c>
      <c r="H2190" s="23" t="s">
        <v>28</v>
      </c>
      <c r="I2190" s="6" t="str">
        <f>VLOOKUP(H2190,'Flow Location'!$A$1:$B$21,2,FALSE)</f>
        <v>Storm Sewer (not contained)</v>
      </c>
      <c r="J2190" s="28">
        <v>6468.0</v>
      </c>
      <c r="K2190" s="23" t="s">
        <v>29</v>
      </c>
      <c r="L2190" s="6" t="str">
        <f>VLOOKUP(K2190,'Structure type'!$A$1:$B$15,2,FALSE)</f>
        <v>Manhole</v>
      </c>
      <c r="M2190" s="23" t="s">
        <v>81</v>
      </c>
      <c r="N2190" s="6" t="str">
        <f>VLOOKUP(M2190,'Excursion Cause'!$A$1:$B$34,2,FALSE)</f>
        <v>Collection system structural failure</v>
      </c>
      <c r="O2190" s="29">
        <v>44943.0</v>
      </c>
      <c r="P2190" s="30">
        <v>0.43125</v>
      </c>
      <c r="Q2190" s="29">
        <v>44945.0</v>
      </c>
      <c r="R2190" s="30">
        <v>0.6770833333333334</v>
      </c>
      <c r="S2190" s="28">
        <v>18.0</v>
      </c>
      <c r="T2190" s="23" t="s">
        <v>54</v>
      </c>
      <c r="U2190" s="6"/>
      <c r="V2190" s="6"/>
      <c r="W2190" s="23">
        <v>29.7331121</v>
      </c>
      <c r="X2190" s="23">
        <v>-95.3088633</v>
      </c>
      <c r="AA2190" s="33"/>
      <c r="AB2190" s="33"/>
      <c r="AC2190" s="33"/>
      <c r="AD2190" s="33"/>
      <c r="AE2190" s="33"/>
      <c r="AF2190" s="33"/>
      <c r="AG2190" s="33"/>
      <c r="AH2190" s="33"/>
      <c r="AI2190" s="33"/>
      <c r="AJ2190" s="33"/>
      <c r="AK2190" s="33"/>
      <c r="AL2190" s="33"/>
      <c r="AM2190" s="33"/>
      <c r="AN2190" s="33"/>
      <c r="AO2190" s="33"/>
    </row>
    <row r="2191" ht="15.75" customHeight="1">
      <c r="A2191" s="23">
        <v>50813.0</v>
      </c>
      <c r="B2191" s="23">
        <v>2023.0</v>
      </c>
      <c r="C2191" s="6" t="str">
        <f t="shared" si="7"/>
        <v>7815  SUN RISE LN,Houston,TX</v>
      </c>
      <c r="D2191" s="23" t="s">
        <v>3554</v>
      </c>
      <c r="E2191" s="6" t="s">
        <v>25</v>
      </c>
      <c r="F2191" s="6" t="s">
        <v>1388</v>
      </c>
      <c r="G2191" s="31" t="s">
        <v>91</v>
      </c>
      <c r="H2191" s="23" t="s">
        <v>28</v>
      </c>
      <c r="I2191" s="6" t="str">
        <f>VLOOKUP(H2191,'Flow Location'!$A$1:$B$21,2,FALSE)</f>
        <v>Storm Sewer (not contained)</v>
      </c>
      <c r="J2191" s="28">
        <v>1629.0</v>
      </c>
      <c r="K2191" s="23" t="s">
        <v>29</v>
      </c>
      <c r="L2191" s="6" t="str">
        <f>VLOOKUP(K2191,'Structure type'!$A$1:$B$15,2,FALSE)</f>
        <v>Manhole</v>
      </c>
      <c r="M2191" s="23" t="s">
        <v>30</v>
      </c>
      <c r="N2191" s="6" t="str">
        <f>VLOOKUP(M2191,'Excursion Cause'!$A$1:$B$34,2,FALSE)</f>
        <v>Grease Blockage</v>
      </c>
      <c r="O2191" s="29">
        <v>44943.0</v>
      </c>
      <c r="P2191" s="30">
        <v>0.50625</v>
      </c>
      <c r="Q2191" s="29">
        <v>44944.0</v>
      </c>
      <c r="R2191" s="30">
        <v>0.6375</v>
      </c>
      <c r="S2191" s="28">
        <v>1.0</v>
      </c>
      <c r="T2191" s="23" t="s">
        <v>59</v>
      </c>
      <c r="U2191" s="6"/>
      <c r="V2191" s="6"/>
      <c r="W2191" s="23">
        <v>29.6918421</v>
      </c>
      <c r="X2191" s="23">
        <v>-95.603239</v>
      </c>
      <c r="AA2191" s="33"/>
      <c r="AB2191" s="33"/>
      <c r="AC2191" s="33"/>
      <c r="AD2191" s="33"/>
      <c r="AE2191" s="33"/>
      <c r="AF2191" s="33"/>
      <c r="AG2191" s="33"/>
      <c r="AH2191" s="33"/>
      <c r="AI2191" s="33"/>
      <c r="AJ2191" s="33"/>
      <c r="AK2191" s="33"/>
      <c r="AL2191" s="33"/>
      <c r="AM2191" s="33"/>
      <c r="AN2191" s="33"/>
      <c r="AO2191" s="33"/>
    </row>
    <row r="2192" ht="15.75" customHeight="1">
      <c r="A2192" s="23">
        <v>50816.0</v>
      </c>
      <c r="B2192" s="23">
        <v>2023.0</v>
      </c>
      <c r="C2192" s="6" t="str">
        <f t="shared" si="7"/>
        <v>1655  NORFOLK ST,Houston,TX</v>
      </c>
      <c r="D2192" s="23" t="s">
        <v>3555</v>
      </c>
      <c r="E2192" s="6" t="s">
        <v>25</v>
      </c>
      <c r="F2192" s="6" t="s">
        <v>1388</v>
      </c>
      <c r="G2192" s="31" t="s">
        <v>761</v>
      </c>
      <c r="H2192" s="23" t="s">
        <v>50</v>
      </c>
      <c r="I2192" s="6" t="str">
        <f>VLOOKUP(H2192,'Flow Location'!$A$1:$B$21,2,FALSE)</f>
        <v>Contained On Site, not within 5 ft. of Bayou/Surface Water/Drainage Ditch</v>
      </c>
      <c r="J2192" s="28">
        <v>168.0</v>
      </c>
      <c r="K2192" s="23" t="s">
        <v>29</v>
      </c>
      <c r="L2192" s="6" t="str">
        <f>VLOOKUP(K2192,'Structure type'!$A$1:$B$15,2,FALSE)</f>
        <v>Manhole</v>
      </c>
      <c r="M2192" s="23" t="s">
        <v>30</v>
      </c>
      <c r="N2192" s="6" t="str">
        <f>VLOOKUP(M2192,'Excursion Cause'!$A$1:$B$34,2,FALSE)</f>
        <v>Grease Blockage</v>
      </c>
      <c r="O2192" s="29">
        <v>44943.0</v>
      </c>
      <c r="P2192" s="30">
        <v>0.4930555555555556</v>
      </c>
      <c r="Q2192" s="29">
        <v>44943.0</v>
      </c>
      <c r="R2192" s="30">
        <v>0.6097222222222223</v>
      </c>
      <c r="S2192" s="28">
        <v>1.0</v>
      </c>
      <c r="T2192" s="23" t="s">
        <v>59</v>
      </c>
      <c r="U2192" s="6"/>
      <c r="V2192" s="6"/>
      <c r="W2192" s="23">
        <v>29.732532</v>
      </c>
      <c r="X2192" s="23">
        <v>-95.4019661</v>
      </c>
      <c r="AA2192" s="33"/>
      <c r="AB2192" s="33"/>
      <c r="AC2192" s="33"/>
      <c r="AD2192" s="33"/>
      <c r="AE2192" s="33"/>
      <c r="AF2192" s="33"/>
      <c r="AG2192" s="33"/>
      <c r="AH2192" s="33"/>
      <c r="AI2192" s="33"/>
      <c r="AJ2192" s="33"/>
      <c r="AK2192" s="33"/>
      <c r="AL2192" s="33"/>
      <c r="AM2192" s="33"/>
      <c r="AN2192" s="33"/>
      <c r="AO2192" s="33"/>
    </row>
    <row r="2193" ht="15.75" customHeight="1">
      <c r="A2193" s="23">
        <v>50820.0</v>
      </c>
      <c r="B2193" s="23">
        <v>2023.0</v>
      </c>
      <c r="C2193" s="6" t="str">
        <f t="shared" si="7"/>
        <v>12207  CARRSWOLD DR,Houston,TX</v>
      </c>
      <c r="D2193" s="23" t="s">
        <v>3556</v>
      </c>
      <c r="E2193" s="6" t="s">
        <v>25</v>
      </c>
      <c r="F2193" s="6" t="s">
        <v>1388</v>
      </c>
      <c r="G2193" s="31" t="s">
        <v>148</v>
      </c>
      <c r="H2193" s="23" t="s">
        <v>50</v>
      </c>
      <c r="I2193" s="6" t="str">
        <f>VLOOKUP(H2193,'Flow Location'!$A$1:$B$21,2,FALSE)</f>
        <v>Contained On Site, not within 5 ft. of Bayou/Surface Water/Drainage Ditch</v>
      </c>
      <c r="J2193" s="28">
        <v>0.0</v>
      </c>
      <c r="K2193" s="23" t="s">
        <v>29</v>
      </c>
      <c r="L2193" s="6" t="str">
        <f>VLOOKUP(K2193,'Structure type'!$A$1:$B$15,2,FALSE)</f>
        <v>Manhole</v>
      </c>
      <c r="M2193" s="23" t="s">
        <v>30</v>
      </c>
      <c r="N2193" s="6" t="str">
        <f>VLOOKUP(M2193,'Excursion Cause'!$A$1:$B$34,2,FALSE)</f>
        <v>Grease Blockage</v>
      </c>
      <c r="O2193" s="29">
        <v>44943.0</v>
      </c>
      <c r="P2193" s="30">
        <v>0.4013888888888889</v>
      </c>
      <c r="Q2193" s="29">
        <v>44943.0</v>
      </c>
      <c r="R2193" s="30">
        <v>0.40208333333333335</v>
      </c>
      <c r="S2193" s="28">
        <v>0.0</v>
      </c>
      <c r="T2193" s="23" t="s">
        <v>59</v>
      </c>
      <c r="U2193" s="6"/>
      <c r="V2193" s="6"/>
      <c r="W2193" s="23">
        <v>29.6445021</v>
      </c>
      <c r="X2193" s="23">
        <v>-95.5249463</v>
      </c>
      <c r="AA2193" s="33"/>
      <c r="AB2193" s="33"/>
      <c r="AC2193" s="33"/>
      <c r="AD2193" s="33"/>
      <c r="AE2193" s="33"/>
      <c r="AF2193" s="33"/>
      <c r="AG2193" s="33"/>
      <c r="AH2193" s="33"/>
      <c r="AI2193" s="33"/>
      <c r="AJ2193" s="33"/>
      <c r="AK2193" s="33"/>
      <c r="AL2193" s="33"/>
      <c r="AM2193" s="33"/>
      <c r="AN2193" s="33"/>
      <c r="AO2193" s="33"/>
    </row>
    <row r="2194" ht="15.75" customHeight="1">
      <c r="A2194" s="23">
        <v>50823.0</v>
      </c>
      <c r="B2194" s="23">
        <v>2023.0</v>
      </c>
      <c r="C2194" s="6" t="str">
        <f t="shared" si="7"/>
        <v>9811  SOUTHWEST FWY,Houston,TX</v>
      </c>
      <c r="D2194" s="23" t="s">
        <v>3557</v>
      </c>
      <c r="E2194" s="6" t="s">
        <v>25</v>
      </c>
      <c r="F2194" s="6" t="s">
        <v>1388</v>
      </c>
      <c r="G2194" s="31" t="s">
        <v>471</v>
      </c>
      <c r="H2194" s="23" t="s">
        <v>50</v>
      </c>
      <c r="I2194" s="6" t="str">
        <f>VLOOKUP(H2194,'Flow Location'!$A$1:$B$21,2,FALSE)</f>
        <v>Contained On Site, not within 5 ft. of Bayou/Surface Water/Drainage Ditch</v>
      </c>
      <c r="J2194" s="28">
        <v>0.0</v>
      </c>
      <c r="K2194" s="23" t="s">
        <v>45</v>
      </c>
      <c r="L2194" s="6" t="str">
        <f>VLOOKUP(K2194,'Structure type'!$A$1:$B$15,2,FALSE)</f>
        <v>City Cleanout</v>
      </c>
      <c r="M2194" s="23" t="s">
        <v>56</v>
      </c>
      <c r="N2194" s="6" t="str">
        <f>VLOOKUP(M2194,'Excursion Cause'!$A$1:$B$34,2,FALSE)</f>
        <v>Rags/Wipes</v>
      </c>
      <c r="O2194" s="29">
        <v>44943.0</v>
      </c>
      <c r="P2194" s="30">
        <v>0.6541666666666667</v>
      </c>
      <c r="Q2194" s="29">
        <v>44943.0</v>
      </c>
      <c r="R2194" s="30">
        <v>0.6548611111111111</v>
      </c>
      <c r="S2194" s="28">
        <v>0.0</v>
      </c>
      <c r="T2194" s="23" t="s">
        <v>270</v>
      </c>
      <c r="U2194" s="6"/>
      <c r="V2194" s="6"/>
      <c r="W2194" s="23">
        <v>29.6728332</v>
      </c>
      <c r="X2194" s="23">
        <v>-95.5441054</v>
      </c>
      <c r="AA2194" s="33"/>
      <c r="AB2194" s="33"/>
      <c r="AC2194" s="33"/>
      <c r="AD2194" s="33"/>
      <c r="AE2194" s="33"/>
      <c r="AF2194" s="33"/>
      <c r="AG2194" s="33"/>
      <c r="AH2194" s="33"/>
      <c r="AI2194" s="33"/>
      <c r="AJ2194" s="33"/>
      <c r="AK2194" s="33"/>
      <c r="AL2194" s="33"/>
      <c r="AM2194" s="33"/>
      <c r="AN2194" s="33"/>
      <c r="AO2194" s="33"/>
    </row>
    <row r="2195" ht="15.75" customHeight="1">
      <c r="A2195" s="23">
        <v>50824.0</v>
      </c>
      <c r="B2195" s="23">
        <v>2023.0</v>
      </c>
      <c r="C2195" s="6" t="str">
        <f t="shared" si="7"/>
        <v>7142  YELLOW PINE DR,Houston,TX</v>
      </c>
      <c r="D2195" s="23" t="s">
        <v>3558</v>
      </c>
      <c r="E2195" s="6" t="s">
        <v>25</v>
      </c>
      <c r="F2195" s="6" t="s">
        <v>1388</v>
      </c>
      <c r="G2195" s="31" t="s">
        <v>253</v>
      </c>
      <c r="H2195" s="23" t="s">
        <v>50</v>
      </c>
      <c r="I2195" s="6" t="str">
        <f>VLOOKUP(H2195,'Flow Location'!$A$1:$B$21,2,FALSE)</f>
        <v>Contained On Site, not within 5 ft. of Bayou/Surface Water/Drainage Ditch</v>
      </c>
      <c r="J2195" s="28">
        <v>1309.0</v>
      </c>
      <c r="K2195" s="23" t="s">
        <v>198</v>
      </c>
      <c r="L2195" s="6" t="str">
        <f>VLOOKUP(K2195,'Structure type'!$A$1:$B$15,2,FALSE)</f>
        <v>Service Lateral</v>
      </c>
      <c r="M2195" s="23" t="s">
        <v>30</v>
      </c>
      <c r="N2195" s="6" t="str">
        <f>VLOOKUP(M2195,'Excursion Cause'!$A$1:$B$34,2,FALSE)</f>
        <v>Grease Blockage</v>
      </c>
      <c r="O2195" s="29">
        <v>44943.0</v>
      </c>
      <c r="P2195" s="30">
        <v>0.6444444444444445</v>
      </c>
      <c r="Q2195" s="29">
        <v>44944.0</v>
      </c>
      <c r="R2195" s="30">
        <v>0.5534722222222223</v>
      </c>
      <c r="S2195" s="28">
        <v>1.0</v>
      </c>
      <c r="T2195" s="23" t="s">
        <v>59</v>
      </c>
      <c r="U2195" s="6"/>
      <c r="V2195" s="6"/>
      <c r="W2195" s="23">
        <v>29.8877404</v>
      </c>
      <c r="X2195" s="23">
        <v>-95.4984492</v>
      </c>
      <c r="AA2195" s="33"/>
      <c r="AB2195" s="33"/>
      <c r="AC2195" s="33"/>
      <c r="AD2195" s="33"/>
      <c r="AE2195" s="33"/>
      <c r="AF2195" s="33"/>
      <c r="AG2195" s="33"/>
      <c r="AH2195" s="33"/>
      <c r="AI2195" s="33"/>
      <c r="AJ2195" s="33"/>
      <c r="AK2195" s="33"/>
      <c r="AL2195" s="33"/>
      <c r="AM2195" s="33"/>
      <c r="AN2195" s="33"/>
      <c r="AO2195" s="33"/>
    </row>
    <row r="2196" ht="15.75" customHeight="1">
      <c r="A2196" s="23">
        <v>50825.0</v>
      </c>
      <c r="B2196" s="23">
        <v>2023.0</v>
      </c>
      <c r="C2196" s="6" t="str">
        <f t="shared" si="7"/>
        <v>4509  WIPPRECHT ST,Houston,TX</v>
      </c>
      <c r="D2196" s="23" t="s">
        <v>3559</v>
      </c>
      <c r="E2196" s="6" t="s">
        <v>25</v>
      </c>
      <c r="F2196" s="6" t="s">
        <v>1388</v>
      </c>
      <c r="G2196" s="31" t="s">
        <v>43</v>
      </c>
      <c r="H2196" s="23" t="s">
        <v>50</v>
      </c>
      <c r="I2196" s="6" t="str">
        <f>VLOOKUP(H2196,'Flow Location'!$A$1:$B$21,2,FALSE)</f>
        <v>Contained On Site, not within 5 ft. of Bayou/Surface Water/Drainage Ditch</v>
      </c>
      <c r="J2196" s="28">
        <v>0.0</v>
      </c>
      <c r="K2196" s="23" t="s">
        <v>45</v>
      </c>
      <c r="L2196" s="6" t="str">
        <f>VLOOKUP(K2196,'Structure type'!$A$1:$B$15,2,FALSE)</f>
        <v>City Cleanout</v>
      </c>
      <c r="M2196" s="23" t="s">
        <v>56</v>
      </c>
      <c r="N2196" s="6" t="str">
        <f>VLOOKUP(M2196,'Excursion Cause'!$A$1:$B$34,2,FALSE)</f>
        <v>Rags/Wipes</v>
      </c>
      <c r="O2196" s="29">
        <v>44943.0</v>
      </c>
      <c r="P2196" s="30">
        <v>0.6833333333333333</v>
      </c>
      <c r="Q2196" s="29">
        <v>44943.0</v>
      </c>
      <c r="R2196" s="30">
        <v>0.6840277777777778</v>
      </c>
      <c r="S2196" s="28">
        <v>0.0</v>
      </c>
      <c r="T2196" s="23" t="s">
        <v>74</v>
      </c>
      <c r="U2196" s="6"/>
      <c r="V2196" s="6"/>
      <c r="W2196" s="23">
        <v>29.8015918</v>
      </c>
      <c r="X2196" s="23">
        <v>-95.3226001</v>
      </c>
      <c r="AA2196" s="33"/>
      <c r="AB2196" s="33"/>
      <c r="AC2196" s="33"/>
      <c r="AD2196" s="33"/>
      <c r="AE2196" s="33"/>
      <c r="AF2196" s="33"/>
      <c r="AG2196" s="33"/>
      <c r="AH2196" s="33"/>
      <c r="AI2196" s="33"/>
      <c r="AJ2196" s="33"/>
      <c r="AK2196" s="33"/>
      <c r="AL2196" s="33"/>
      <c r="AM2196" s="33"/>
      <c r="AN2196" s="33"/>
      <c r="AO2196" s="33"/>
    </row>
    <row r="2197" ht="15.75" customHeight="1">
      <c r="A2197" s="23">
        <v>50828.0</v>
      </c>
      <c r="B2197" s="23">
        <v>2023.0</v>
      </c>
      <c r="C2197" s="6" t="str">
        <f t="shared" si="7"/>
        <v>5815 W LITTLE YORK RD,Houston,TX</v>
      </c>
      <c r="D2197" s="23" t="s">
        <v>3560</v>
      </c>
      <c r="E2197" s="6" t="s">
        <v>25</v>
      </c>
      <c r="F2197" s="6" t="s">
        <v>1388</v>
      </c>
      <c r="G2197" s="31" t="s">
        <v>222</v>
      </c>
      <c r="H2197" s="23" t="s">
        <v>1493</v>
      </c>
      <c r="I2197" s="6" t="str">
        <f>VLOOKUP(H2197,'Flow Location'!$A$1:$B$21,2,FALSE)</f>
        <v>Contained On Site, not within 5 ft. of Bayou/Surface Water/Drainage Ditch</v>
      </c>
      <c r="J2197" s="28">
        <v>0.0</v>
      </c>
      <c r="K2197" s="23" t="s">
        <v>29</v>
      </c>
      <c r="L2197" s="6" t="str">
        <f>VLOOKUP(K2197,'Structure type'!$A$1:$B$15,2,FALSE)</f>
        <v>Manhole</v>
      </c>
      <c r="M2197" s="23" t="s">
        <v>56</v>
      </c>
      <c r="N2197" s="6" t="str">
        <f>VLOOKUP(M2197,'Excursion Cause'!$A$1:$B$34,2,FALSE)</f>
        <v>Rags/Wipes</v>
      </c>
      <c r="O2197" s="29">
        <v>44943.0</v>
      </c>
      <c r="P2197" s="30">
        <v>0.7048611111111112</v>
      </c>
      <c r="Q2197" s="29">
        <v>44943.0</v>
      </c>
      <c r="R2197" s="30">
        <v>0.7055555555555556</v>
      </c>
      <c r="S2197" s="28">
        <v>0.0</v>
      </c>
      <c r="T2197" s="23" t="s">
        <v>59</v>
      </c>
      <c r="U2197" s="6"/>
      <c r="V2197" s="6"/>
      <c r="W2197" s="23">
        <v>29.8622547</v>
      </c>
      <c r="X2197" s="23">
        <v>-95.4757741</v>
      </c>
      <c r="AA2197" s="33"/>
      <c r="AB2197" s="33"/>
      <c r="AC2197" s="33"/>
      <c r="AD2197" s="33"/>
      <c r="AE2197" s="33"/>
      <c r="AF2197" s="33"/>
      <c r="AG2197" s="33"/>
      <c r="AH2197" s="33"/>
      <c r="AI2197" s="33"/>
      <c r="AJ2197" s="33"/>
      <c r="AK2197" s="33"/>
      <c r="AL2197" s="33"/>
      <c r="AM2197" s="33"/>
      <c r="AN2197" s="33"/>
      <c r="AO2197" s="33"/>
    </row>
    <row r="2198" ht="15.75" customHeight="1">
      <c r="A2198" s="23">
        <v>50829.0</v>
      </c>
      <c r="B2198" s="23">
        <v>2023.0</v>
      </c>
      <c r="C2198" s="6" t="str">
        <f t="shared" si="7"/>
        <v>155  COOPER RD,Houston,TX</v>
      </c>
      <c r="D2198" s="23" t="s">
        <v>3561</v>
      </c>
      <c r="E2198" s="6" t="s">
        <v>25</v>
      </c>
      <c r="F2198" s="6" t="s">
        <v>1388</v>
      </c>
      <c r="G2198" s="31" t="s">
        <v>275</v>
      </c>
      <c r="H2198" s="23" t="s">
        <v>50</v>
      </c>
      <c r="I2198" s="6" t="str">
        <f>VLOOKUP(H2198,'Flow Location'!$A$1:$B$21,2,FALSE)</f>
        <v>Contained On Site, not within 5 ft. of Bayou/Surface Water/Drainage Ditch</v>
      </c>
      <c r="J2198" s="28">
        <v>0.0</v>
      </c>
      <c r="K2198" s="23" t="s">
        <v>45</v>
      </c>
      <c r="L2198" s="6" t="str">
        <f>VLOOKUP(K2198,'Structure type'!$A$1:$B$15,2,FALSE)</f>
        <v>City Cleanout</v>
      </c>
      <c r="M2198" s="23" t="s">
        <v>81</v>
      </c>
      <c r="N2198" s="6" t="str">
        <f>VLOOKUP(M2198,'Excursion Cause'!$A$1:$B$34,2,FALSE)</f>
        <v>Collection system structural failure</v>
      </c>
      <c r="O2198" s="29">
        <v>44943.0</v>
      </c>
      <c r="P2198" s="30">
        <v>0.7034722222222223</v>
      </c>
      <c r="Q2198" s="29">
        <v>44943.0</v>
      </c>
      <c r="R2198" s="30">
        <v>0.7041666666666667</v>
      </c>
      <c r="S2198" s="28">
        <v>0.0</v>
      </c>
      <c r="T2198" s="23" t="s">
        <v>118</v>
      </c>
      <c r="U2198" s="6"/>
      <c r="V2198" s="6"/>
      <c r="W2198" s="23">
        <v>29.8606855</v>
      </c>
      <c r="X2198" s="23">
        <v>-95.3778015</v>
      </c>
      <c r="AA2198" s="33"/>
      <c r="AB2198" s="33"/>
      <c r="AC2198" s="33"/>
      <c r="AD2198" s="33"/>
      <c r="AE2198" s="33"/>
      <c r="AF2198" s="33"/>
      <c r="AG2198" s="33"/>
      <c r="AH2198" s="33"/>
      <c r="AI2198" s="33"/>
      <c r="AJ2198" s="33"/>
      <c r="AK2198" s="33"/>
      <c r="AL2198" s="33"/>
      <c r="AM2198" s="33"/>
      <c r="AN2198" s="33"/>
      <c r="AO2198" s="33"/>
    </row>
    <row r="2199" ht="15.75" customHeight="1">
      <c r="A2199" s="23">
        <v>50831.0</v>
      </c>
      <c r="B2199" s="23">
        <v>2023.0</v>
      </c>
      <c r="C2199" s="6" t="str">
        <f t="shared" si="7"/>
        <v>5800  SOUTHMUND ST,Houston,TX</v>
      </c>
      <c r="D2199" s="23" t="s">
        <v>3562</v>
      </c>
      <c r="E2199" s="6" t="s">
        <v>25</v>
      </c>
      <c r="F2199" s="6" t="s">
        <v>1388</v>
      </c>
      <c r="G2199" s="31" t="s">
        <v>120</v>
      </c>
      <c r="H2199" s="23" t="s">
        <v>28</v>
      </c>
      <c r="I2199" s="6" t="str">
        <f>VLOOKUP(H2199,'Flow Location'!$A$1:$B$21,2,FALSE)</f>
        <v>Storm Sewer (not contained)</v>
      </c>
      <c r="J2199" s="28">
        <v>214.0</v>
      </c>
      <c r="K2199" s="23" t="s">
        <v>29</v>
      </c>
      <c r="L2199" s="6" t="str">
        <f>VLOOKUP(K2199,'Structure type'!$A$1:$B$15,2,FALSE)</f>
        <v>Manhole</v>
      </c>
      <c r="M2199" s="23" t="s">
        <v>30</v>
      </c>
      <c r="N2199" s="6" t="str">
        <f>VLOOKUP(M2199,'Excursion Cause'!$A$1:$B$34,2,FALSE)</f>
        <v>Grease Blockage</v>
      </c>
      <c r="O2199" s="29">
        <v>44944.0</v>
      </c>
      <c r="P2199" s="30">
        <v>0.34652777777777777</v>
      </c>
      <c r="Q2199" s="29">
        <v>44944.0</v>
      </c>
      <c r="R2199" s="30">
        <v>0.42083333333333334</v>
      </c>
      <c r="S2199" s="28">
        <v>2.0</v>
      </c>
      <c r="T2199" s="23" t="s">
        <v>59</v>
      </c>
      <c r="U2199" s="6"/>
      <c r="V2199" s="6"/>
      <c r="W2199" s="23">
        <v>29.6826165</v>
      </c>
      <c r="X2199" s="23">
        <v>-95.33425</v>
      </c>
      <c r="AA2199" s="33"/>
      <c r="AB2199" s="33"/>
      <c r="AC2199" s="33"/>
      <c r="AD2199" s="33"/>
      <c r="AE2199" s="33"/>
      <c r="AF2199" s="33"/>
      <c r="AG2199" s="33"/>
      <c r="AH2199" s="33"/>
      <c r="AI2199" s="33"/>
      <c r="AJ2199" s="33"/>
      <c r="AK2199" s="33"/>
      <c r="AL2199" s="33"/>
      <c r="AM2199" s="33"/>
      <c r="AN2199" s="33"/>
      <c r="AO2199" s="33"/>
    </row>
    <row r="2200" ht="15.75" customHeight="1">
      <c r="A2200" s="23">
        <v>50833.0</v>
      </c>
      <c r="B2200" s="23">
        <v>2023.0</v>
      </c>
      <c r="C2200" s="6" t="str">
        <f t="shared" si="7"/>
        <v>10575  WESTPARK DR,Houston,TX</v>
      </c>
      <c r="D2200" s="23" t="s">
        <v>3563</v>
      </c>
      <c r="E2200" s="6" t="s">
        <v>25</v>
      </c>
      <c r="F2200" s="6" t="s">
        <v>1388</v>
      </c>
      <c r="G2200" s="31" t="s">
        <v>401</v>
      </c>
      <c r="H2200" s="23" t="s">
        <v>28</v>
      </c>
      <c r="I2200" s="6" t="str">
        <f>VLOOKUP(H2200,'Flow Location'!$A$1:$B$21,2,FALSE)</f>
        <v>Storm Sewer (not contained)</v>
      </c>
      <c r="J2200" s="28">
        <v>340.0</v>
      </c>
      <c r="K2200" s="23" t="s">
        <v>29</v>
      </c>
      <c r="L2200" s="6" t="str">
        <f>VLOOKUP(K2200,'Structure type'!$A$1:$B$15,2,FALSE)</f>
        <v>Manhole</v>
      </c>
      <c r="M2200" s="23" t="s">
        <v>30</v>
      </c>
      <c r="N2200" s="6" t="str">
        <f>VLOOKUP(M2200,'Excursion Cause'!$A$1:$B$34,2,FALSE)</f>
        <v>Grease Blockage</v>
      </c>
      <c r="O2200" s="29">
        <v>44944.0</v>
      </c>
      <c r="P2200" s="30">
        <v>0.36527777777777776</v>
      </c>
      <c r="Q2200" s="29">
        <v>44944.0</v>
      </c>
      <c r="R2200" s="30">
        <v>0.48333333333333334</v>
      </c>
      <c r="S2200" s="28">
        <v>2.0</v>
      </c>
      <c r="T2200" s="23" t="s">
        <v>33</v>
      </c>
      <c r="U2200" s="6"/>
      <c r="V2200" s="6"/>
      <c r="W2200" s="23">
        <v>29.7215604</v>
      </c>
      <c r="X2200" s="23">
        <v>-95.5561701</v>
      </c>
      <c r="AA2200" s="33"/>
      <c r="AB2200" s="33"/>
      <c r="AC2200" s="33"/>
      <c r="AD2200" s="33"/>
      <c r="AE2200" s="33"/>
      <c r="AF2200" s="33"/>
      <c r="AG2200" s="33"/>
      <c r="AH2200" s="33"/>
      <c r="AI2200" s="33"/>
      <c r="AJ2200" s="33"/>
      <c r="AK2200" s="33"/>
      <c r="AL2200" s="33"/>
      <c r="AM2200" s="33"/>
      <c r="AN2200" s="33"/>
      <c r="AO2200" s="33"/>
    </row>
    <row r="2201" ht="15.75" customHeight="1">
      <c r="A2201" s="23">
        <v>50836.0</v>
      </c>
      <c r="B2201" s="23">
        <v>2023.0</v>
      </c>
      <c r="C2201" s="6" t="str">
        <f t="shared" si="7"/>
        <v>20  WICKERBAY ST,Houston,TX</v>
      </c>
      <c r="D2201" s="23" t="s">
        <v>3564</v>
      </c>
      <c r="E2201" s="6" t="s">
        <v>25</v>
      </c>
      <c r="F2201" s="6" t="s">
        <v>1388</v>
      </c>
      <c r="G2201" s="31" t="s">
        <v>294</v>
      </c>
      <c r="H2201" s="23" t="s">
        <v>44</v>
      </c>
      <c r="I2201" s="6" t="str">
        <f>VLOOKUP(H2201,'Flow Location'!$A$1:$B$21,2,FALSE)</f>
        <v>Bayou/surface water/drainage ditch</v>
      </c>
      <c r="J2201" s="28">
        <v>0.0</v>
      </c>
      <c r="K2201" s="23" t="s">
        <v>290</v>
      </c>
      <c r="L2201" s="6" t="str">
        <f>VLOOKUP(K2201,'Structure type'!$A$1:$B$15,2,FALSE)</f>
        <v>Gravity Main</v>
      </c>
      <c r="M2201" s="23" t="s">
        <v>52</v>
      </c>
      <c r="N2201" s="6" t="str">
        <f>VLOOKUP(M2201,'Excursion Cause'!$A$1:$B$34,2,FALSE)</f>
        <v>Collection system structural blockage</v>
      </c>
      <c r="O2201" s="29">
        <v>44944.0</v>
      </c>
      <c r="P2201" s="30">
        <v>0.38472222222222224</v>
      </c>
      <c r="Q2201" s="29">
        <v>44944.0</v>
      </c>
      <c r="R2201" s="30">
        <v>0.3854166666666667</v>
      </c>
      <c r="S2201" s="28">
        <v>0.0</v>
      </c>
      <c r="T2201" s="23" t="s">
        <v>107</v>
      </c>
      <c r="U2201" s="6"/>
      <c r="V2201" s="6"/>
      <c r="W2201" s="23">
        <v>29.7959623</v>
      </c>
      <c r="X2201" s="23">
        <v>-95.5368706</v>
      </c>
      <c r="AA2201" s="33"/>
      <c r="AB2201" s="33"/>
      <c r="AC2201" s="33"/>
      <c r="AD2201" s="33"/>
      <c r="AE2201" s="33"/>
      <c r="AF2201" s="33"/>
      <c r="AG2201" s="33"/>
      <c r="AH2201" s="33"/>
      <c r="AI2201" s="33"/>
      <c r="AJ2201" s="33"/>
      <c r="AK2201" s="33"/>
      <c r="AL2201" s="33"/>
      <c r="AM2201" s="33"/>
      <c r="AN2201" s="33"/>
      <c r="AO2201" s="33"/>
    </row>
    <row r="2202" ht="15.75" customHeight="1">
      <c r="A2202" s="23">
        <v>50838.0</v>
      </c>
      <c r="B2202" s="23">
        <v>2023.0</v>
      </c>
      <c r="C2202" s="6" t="str">
        <f t="shared" si="7"/>
        <v>13139  NORTH FWY,Houston,TX</v>
      </c>
      <c r="D2202" s="23" t="s">
        <v>3541</v>
      </c>
      <c r="E2202" s="6" t="s">
        <v>25</v>
      </c>
      <c r="F2202" s="6" t="s">
        <v>1388</v>
      </c>
      <c r="G2202" s="31" t="s">
        <v>393</v>
      </c>
      <c r="H2202" s="23" t="s">
        <v>28</v>
      </c>
      <c r="I2202" s="6" t="str">
        <f>VLOOKUP(H2202,'Flow Location'!$A$1:$B$21,2,FALSE)</f>
        <v>Storm Sewer (not contained)</v>
      </c>
      <c r="J2202" s="28">
        <v>5450.0</v>
      </c>
      <c r="K2202" s="23" t="s">
        <v>29</v>
      </c>
      <c r="L2202" s="6" t="str">
        <f>VLOOKUP(K2202,'Structure type'!$A$1:$B$15,2,FALSE)</f>
        <v>Manhole</v>
      </c>
      <c r="M2202" s="23" t="s">
        <v>3542</v>
      </c>
      <c r="N2202" s="6" t="str">
        <f>VLOOKUP(M2202,'Excursion Cause'!$A$1:$B$34,2,FALSE)</f>
        <v>Pump/Lift Station Instrumentation Failure</v>
      </c>
      <c r="O2202" s="29">
        <v>44941.0</v>
      </c>
      <c r="P2202" s="30">
        <v>0.7618055555555555</v>
      </c>
      <c r="Q2202" s="29">
        <v>44941.0</v>
      </c>
      <c r="R2202" s="30">
        <v>0.9131944444444444</v>
      </c>
      <c r="S2202" s="28">
        <v>25.0</v>
      </c>
      <c r="T2202" s="23" t="s">
        <v>118</v>
      </c>
      <c r="U2202" s="6"/>
      <c r="V2202" s="6"/>
      <c r="W2202" s="23">
        <v>29.9612618</v>
      </c>
      <c r="X2202" s="23">
        <v>-95.4202125</v>
      </c>
      <c r="AA2202" s="33"/>
      <c r="AB2202" s="33"/>
      <c r="AC2202" s="33"/>
      <c r="AD2202" s="33"/>
      <c r="AE2202" s="33"/>
      <c r="AF2202" s="33"/>
      <c r="AG2202" s="33"/>
      <c r="AH2202" s="33"/>
      <c r="AI2202" s="33"/>
      <c r="AJ2202" s="33"/>
      <c r="AK2202" s="33"/>
      <c r="AL2202" s="33"/>
      <c r="AM2202" s="33"/>
      <c r="AN2202" s="33"/>
      <c r="AO2202" s="33"/>
    </row>
    <row r="2203" ht="15.75" customHeight="1">
      <c r="A2203" s="23">
        <v>50845.0</v>
      </c>
      <c r="B2203" s="23">
        <v>2023.0</v>
      </c>
      <c r="C2203" s="6" t="str">
        <f t="shared" si="7"/>
        <v>8914  TRIOLA LN,Houston,TX</v>
      </c>
      <c r="D2203" s="23" t="s">
        <v>3565</v>
      </c>
      <c r="E2203" s="6" t="s">
        <v>25</v>
      </c>
      <c r="F2203" s="6" t="s">
        <v>1388</v>
      </c>
      <c r="G2203" s="31" t="s">
        <v>100</v>
      </c>
      <c r="H2203" s="23" t="s">
        <v>50</v>
      </c>
      <c r="I2203" s="6" t="str">
        <f>VLOOKUP(H2203,'Flow Location'!$A$1:$B$21,2,FALSE)</f>
        <v>Contained On Site, not within 5 ft. of Bayou/Surface Water/Drainage Ditch</v>
      </c>
      <c r="J2203" s="28">
        <v>0.0</v>
      </c>
      <c r="K2203" s="23" t="s">
        <v>45</v>
      </c>
      <c r="L2203" s="6" t="str">
        <f>VLOOKUP(K2203,'Structure type'!$A$1:$B$15,2,FALSE)</f>
        <v>City Cleanout</v>
      </c>
      <c r="M2203" s="23" t="s">
        <v>81</v>
      </c>
      <c r="N2203" s="6" t="str">
        <f>VLOOKUP(M2203,'Excursion Cause'!$A$1:$B$34,2,FALSE)</f>
        <v>Collection system structural failure</v>
      </c>
      <c r="O2203" s="29">
        <v>44943.0</v>
      </c>
      <c r="P2203" s="30">
        <v>0.6881944444444444</v>
      </c>
      <c r="Q2203" s="29">
        <v>44943.0</v>
      </c>
      <c r="R2203" s="30">
        <v>0.6888888888888889</v>
      </c>
      <c r="S2203" s="28">
        <v>0.0</v>
      </c>
      <c r="T2203" s="23" t="s">
        <v>54</v>
      </c>
      <c r="U2203" s="6"/>
      <c r="V2203" s="6"/>
      <c r="W2203" s="23">
        <v>29.6967919</v>
      </c>
      <c r="X2203" s="23">
        <v>-95.5416148</v>
      </c>
      <c r="AA2203" s="33"/>
      <c r="AB2203" s="33"/>
      <c r="AC2203" s="33"/>
      <c r="AD2203" s="33"/>
      <c r="AE2203" s="33"/>
      <c r="AF2203" s="33"/>
      <c r="AG2203" s="33"/>
      <c r="AH2203" s="33"/>
      <c r="AI2203" s="33"/>
      <c r="AJ2203" s="33"/>
      <c r="AK2203" s="33"/>
      <c r="AL2203" s="33"/>
      <c r="AM2203" s="33"/>
      <c r="AN2203" s="33"/>
      <c r="AO2203" s="33"/>
    </row>
    <row r="2204" ht="15.75" customHeight="1">
      <c r="A2204" s="23">
        <v>50848.0</v>
      </c>
      <c r="B2204" s="23">
        <v>2023.0</v>
      </c>
      <c r="C2204" s="6" t="str">
        <f t="shared" si="7"/>
        <v>5353  DEEP FOREST DR,Houston,TX</v>
      </c>
      <c r="D2204" s="23" t="s">
        <v>3566</v>
      </c>
      <c r="E2204" s="6" t="s">
        <v>25</v>
      </c>
      <c r="F2204" s="6" t="s">
        <v>1388</v>
      </c>
      <c r="G2204" s="31" t="s">
        <v>76</v>
      </c>
      <c r="H2204" s="23" t="s">
        <v>28</v>
      </c>
      <c r="I2204" s="6" t="str">
        <f>VLOOKUP(H2204,'Flow Location'!$A$1:$B$21,2,FALSE)</f>
        <v>Storm Sewer (not contained)</v>
      </c>
      <c r="J2204" s="28">
        <v>0.0</v>
      </c>
      <c r="K2204" s="23" t="s">
        <v>198</v>
      </c>
      <c r="L2204" s="6" t="str">
        <f>VLOOKUP(K2204,'Structure type'!$A$1:$B$15,2,FALSE)</f>
        <v>Service Lateral</v>
      </c>
      <c r="M2204" s="23" t="s">
        <v>30</v>
      </c>
      <c r="N2204" s="6" t="str">
        <f>VLOOKUP(M2204,'Excursion Cause'!$A$1:$B$34,2,FALSE)</f>
        <v>Grease Blockage</v>
      </c>
      <c r="O2204" s="29">
        <v>44944.0</v>
      </c>
      <c r="P2204" s="30">
        <v>0.5631944444444444</v>
      </c>
      <c r="Q2204" s="29">
        <v>44944.0</v>
      </c>
      <c r="R2204" s="30">
        <v>0.5638888888888889</v>
      </c>
      <c r="S2204" s="28">
        <v>0.0</v>
      </c>
      <c r="T2204" s="23" t="s">
        <v>33</v>
      </c>
      <c r="U2204" s="6"/>
      <c r="V2204" s="6"/>
      <c r="W2204" s="23">
        <v>29.8423254</v>
      </c>
      <c r="X2204" s="23">
        <v>-95.4760198</v>
      </c>
      <c r="AA2204" s="33"/>
      <c r="AB2204" s="33"/>
      <c r="AC2204" s="33"/>
      <c r="AD2204" s="33"/>
      <c r="AE2204" s="33"/>
      <c r="AF2204" s="33"/>
      <c r="AG2204" s="33"/>
      <c r="AH2204" s="33"/>
      <c r="AI2204" s="33"/>
      <c r="AJ2204" s="33"/>
      <c r="AK2204" s="33"/>
      <c r="AL2204" s="33"/>
      <c r="AM2204" s="33"/>
      <c r="AN2204" s="33"/>
      <c r="AO2204" s="33"/>
    </row>
    <row r="2205" ht="15.75" customHeight="1">
      <c r="A2205" s="23">
        <v>50857.0</v>
      </c>
      <c r="B2205" s="23">
        <v>2023.0</v>
      </c>
      <c r="C2205" s="6" t="str">
        <f t="shared" si="7"/>
        <v>1842 W ALABAMA ST,Houston,TX</v>
      </c>
      <c r="D2205" s="23" t="s">
        <v>3567</v>
      </c>
      <c r="E2205" s="6" t="s">
        <v>25</v>
      </c>
      <c r="F2205" s="6" t="s">
        <v>1388</v>
      </c>
      <c r="G2205" s="31" t="s">
        <v>112</v>
      </c>
      <c r="H2205" s="23" t="s">
        <v>50</v>
      </c>
      <c r="I2205" s="6" t="str">
        <f>VLOOKUP(H2205,'Flow Location'!$A$1:$B$21,2,FALSE)</f>
        <v>Contained On Site, not within 5 ft. of Bayou/Surface Water/Drainage Ditch</v>
      </c>
      <c r="J2205" s="28">
        <v>518.0</v>
      </c>
      <c r="K2205" s="23" t="s">
        <v>290</v>
      </c>
      <c r="L2205" s="6" t="str">
        <f>VLOOKUP(K2205,'Structure type'!$A$1:$B$15,2,FALSE)</f>
        <v>Gravity Main</v>
      </c>
      <c r="M2205" s="23" t="s">
        <v>81</v>
      </c>
      <c r="N2205" s="6" t="str">
        <f>VLOOKUP(M2205,'Excursion Cause'!$A$1:$B$34,2,FALSE)</f>
        <v>Collection system structural failure</v>
      </c>
      <c r="O2205" s="29">
        <v>44944.0</v>
      </c>
      <c r="P2205" s="30">
        <v>0.6263888888888889</v>
      </c>
      <c r="Q2205" s="29">
        <v>44946.0</v>
      </c>
      <c r="R2205" s="30">
        <v>0.06388888888888888</v>
      </c>
      <c r="S2205" s="28">
        <v>0.0</v>
      </c>
      <c r="T2205" s="23" t="s">
        <v>54</v>
      </c>
      <c r="U2205" s="6"/>
      <c r="V2205" s="6"/>
      <c r="W2205" s="23">
        <v>29.73861</v>
      </c>
      <c r="X2205" s="23">
        <v>-95.4063007</v>
      </c>
      <c r="AA2205" s="33"/>
      <c r="AB2205" s="33"/>
      <c r="AC2205" s="33"/>
      <c r="AD2205" s="33"/>
      <c r="AE2205" s="33"/>
      <c r="AF2205" s="33"/>
      <c r="AG2205" s="33"/>
      <c r="AH2205" s="33"/>
      <c r="AI2205" s="33"/>
      <c r="AJ2205" s="33"/>
      <c r="AK2205" s="33"/>
      <c r="AL2205" s="33"/>
      <c r="AM2205" s="33"/>
      <c r="AN2205" s="33"/>
      <c r="AO2205" s="33"/>
    </row>
    <row r="2206" ht="15.75" customHeight="1">
      <c r="A2206" s="23">
        <v>50860.0</v>
      </c>
      <c r="B2206" s="23">
        <v>2023.0</v>
      </c>
      <c r="C2206" s="6" t="str">
        <f t="shared" si="7"/>
        <v>3333  KATY FWY,Houston,TX</v>
      </c>
      <c r="D2206" s="23" t="s">
        <v>3568</v>
      </c>
      <c r="E2206" s="6" t="s">
        <v>25</v>
      </c>
      <c r="F2206" s="6" t="s">
        <v>1388</v>
      </c>
      <c r="G2206" s="31" t="s">
        <v>158</v>
      </c>
      <c r="H2206" s="23" t="s">
        <v>50</v>
      </c>
      <c r="I2206" s="6" t="str">
        <f>VLOOKUP(H2206,'Flow Location'!$A$1:$B$21,2,FALSE)</f>
        <v>Contained On Site, not within 5 ft. of Bayou/Surface Water/Drainage Ditch</v>
      </c>
      <c r="J2206" s="28">
        <v>103.0</v>
      </c>
      <c r="K2206" s="23" t="s">
        <v>29</v>
      </c>
      <c r="L2206" s="6" t="str">
        <f>VLOOKUP(K2206,'Structure type'!$A$1:$B$15,2,FALSE)</f>
        <v>Manhole</v>
      </c>
      <c r="M2206" s="23" t="s">
        <v>56</v>
      </c>
      <c r="N2206" s="6" t="str">
        <f>VLOOKUP(M2206,'Excursion Cause'!$A$1:$B$34,2,FALSE)</f>
        <v>Rags/Wipes</v>
      </c>
      <c r="O2206" s="29">
        <v>44944.0</v>
      </c>
      <c r="P2206" s="30">
        <v>0.6854166666666667</v>
      </c>
      <c r="Q2206" s="29">
        <v>44944.0</v>
      </c>
      <c r="R2206" s="30">
        <v>0.7569444444444444</v>
      </c>
      <c r="S2206" s="28">
        <v>1.0</v>
      </c>
      <c r="T2206" s="23" t="s">
        <v>59</v>
      </c>
      <c r="U2206" s="6"/>
      <c r="V2206" s="6"/>
      <c r="W2206" s="23">
        <v>29.7759889</v>
      </c>
      <c r="X2206" s="23">
        <v>-95.3937021</v>
      </c>
      <c r="AA2206" s="33"/>
      <c r="AB2206" s="33"/>
      <c r="AC2206" s="33"/>
      <c r="AD2206" s="33"/>
      <c r="AE2206" s="33"/>
      <c r="AF2206" s="33"/>
      <c r="AG2206" s="33"/>
      <c r="AH2206" s="33"/>
      <c r="AI2206" s="33"/>
      <c r="AJ2206" s="33"/>
      <c r="AK2206" s="33"/>
      <c r="AL2206" s="33"/>
      <c r="AM2206" s="33"/>
      <c r="AN2206" s="33"/>
      <c r="AO2206" s="33"/>
    </row>
    <row r="2207" ht="15.75" customHeight="1">
      <c r="A2207" s="23">
        <v>50862.0</v>
      </c>
      <c r="B2207" s="23">
        <v>2023.0</v>
      </c>
      <c r="C2207" s="6" t="str">
        <f t="shared" si="7"/>
        <v>7003  AVENUE H,Houston,TX</v>
      </c>
      <c r="D2207" s="23" t="s">
        <v>3569</v>
      </c>
      <c r="E2207" s="6" t="s">
        <v>25</v>
      </c>
      <c r="F2207" s="6" t="s">
        <v>1388</v>
      </c>
      <c r="G2207" s="31" t="s">
        <v>227</v>
      </c>
      <c r="H2207" s="23" t="s">
        <v>50</v>
      </c>
      <c r="I2207" s="6" t="str">
        <f>VLOOKUP(H2207,'Flow Location'!$A$1:$B$21,2,FALSE)</f>
        <v>Contained On Site, not within 5 ft. of Bayou/Surface Water/Drainage Ditch</v>
      </c>
      <c r="J2207" s="28">
        <v>0.0</v>
      </c>
      <c r="K2207" s="23" t="s">
        <v>45</v>
      </c>
      <c r="L2207" s="6" t="str">
        <f>VLOOKUP(K2207,'Structure type'!$A$1:$B$15,2,FALSE)</f>
        <v>City Cleanout</v>
      </c>
      <c r="M2207" s="23" t="s">
        <v>52</v>
      </c>
      <c r="N2207" s="6" t="str">
        <f>VLOOKUP(M2207,'Excursion Cause'!$A$1:$B$34,2,FALSE)</f>
        <v>Collection system structural blockage</v>
      </c>
      <c r="O2207" s="29">
        <v>44945.0</v>
      </c>
      <c r="P2207" s="30">
        <v>0.39652777777777776</v>
      </c>
      <c r="Q2207" s="29">
        <v>44945.0</v>
      </c>
      <c r="R2207" s="30">
        <v>0.3972222222222222</v>
      </c>
      <c r="S2207" s="28">
        <v>0.0</v>
      </c>
      <c r="T2207" s="23" t="s">
        <v>270</v>
      </c>
      <c r="U2207" s="6"/>
      <c r="V2207" s="6"/>
      <c r="W2207" s="23">
        <v>29.740535</v>
      </c>
      <c r="X2207" s="23">
        <v>-95.2999899</v>
      </c>
      <c r="AA2207" s="33"/>
      <c r="AB2207" s="33"/>
      <c r="AC2207" s="33"/>
      <c r="AD2207" s="33"/>
      <c r="AE2207" s="33"/>
      <c r="AF2207" s="33"/>
      <c r="AG2207" s="33"/>
      <c r="AH2207" s="33"/>
      <c r="AI2207" s="33"/>
      <c r="AJ2207" s="33"/>
      <c r="AK2207" s="33"/>
      <c r="AL2207" s="33"/>
      <c r="AM2207" s="33"/>
      <c r="AN2207" s="33"/>
      <c r="AO2207" s="33"/>
    </row>
    <row r="2208" ht="15.75" customHeight="1">
      <c r="A2208" s="23">
        <v>50864.0</v>
      </c>
      <c r="B2208" s="23">
        <v>2023.0</v>
      </c>
      <c r="C2208" s="6" t="str">
        <f t="shared" si="7"/>
        <v>7518  GRAPE ST,Houston,TX</v>
      </c>
      <c r="D2208" s="23" t="s">
        <v>3570</v>
      </c>
      <c r="E2208" s="6" t="s">
        <v>25</v>
      </c>
      <c r="F2208" s="6" t="s">
        <v>1388</v>
      </c>
      <c r="G2208" s="31" t="s">
        <v>471</v>
      </c>
      <c r="H2208" s="23" t="s">
        <v>50</v>
      </c>
      <c r="I2208" s="6" t="str">
        <f>VLOOKUP(H2208,'Flow Location'!$A$1:$B$21,2,FALSE)</f>
        <v>Contained On Site, not within 5 ft. of Bayou/Surface Water/Drainage Ditch</v>
      </c>
      <c r="J2208" s="28">
        <v>520.0</v>
      </c>
      <c r="K2208" s="23" t="s">
        <v>29</v>
      </c>
      <c r="L2208" s="6" t="str">
        <f>VLOOKUP(K2208,'Structure type'!$A$1:$B$15,2,FALSE)</f>
        <v>Manhole</v>
      </c>
      <c r="M2208" s="23" t="s">
        <v>30</v>
      </c>
      <c r="N2208" s="6" t="str">
        <f>VLOOKUP(M2208,'Excursion Cause'!$A$1:$B$34,2,FALSE)</f>
        <v>Grease Blockage</v>
      </c>
      <c r="O2208" s="29">
        <v>44945.0</v>
      </c>
      <c r="P2208" s="30">
        <v>0.3854166666666667</v>
      </c>
      <c r="Q2208" s="29">
        <v>44945.0</v>
      </c>
      <c r="R2208" s="30">
        <v>0.5659722222222222</v>
      </c>
      <c r="S2208" s="28">
        <v>2.0</v>
      </c>
      <c r="T2208" s="23" t="s">
        <v>33</v>
      </c>
      <c r="U2208" s="6"/>
      <c r="V2208" s="6"/>
      <c r="W2208" s="23">
        <v>29.6864456</v>
      </c>
      <c r="X2208" s="23">
        <v>-95.5188528</v>
      </c>
      <c r="AA2208" s="33"/>
      <c r="AB2208" s="33"/>
      <c r="AC2208" s="33"/>
      <c r="AD2208" s="33"/>
      <c r="AE2208" s="33"/>
      <c r="AF2208" s="33"/>
      <c r="AG2208" s="33"/>
      <c r="AH2208" s="33"/>
      <c r="AI2208" s="33"/>
      <c r="AJ2208" s="33"/>
      <c r="AK2208" s="33"/>
      <c r="AL2208" s="33"/>
      <c r="AM2208" s="33"/>
      <c r="AN2208" s="33"/>
      <c r="AO2208" s="33"/>
    </row>
    <row r="2209" ht="15.75" customHeight="1">
      <c r="A2209" s="23">
        <v>50872.0</v>
      </c>
      <c r="B2209" s="23">
        <v>2023.0</v>
      </c>
      <c r="C2209" s="6" t="str">
        <f t="shared" si="7"/>
        <v>12235  WHITE CAP LN,Houston,TX</v>
      </c>
      <c r="D2209" s="23" t="s">
        <v>3571</v>
      </c>
      <c r="E2209" s="6" t="s">
        <v>25</v>
      </c>
      <c r="F2209" s="6" t="s">
        <v>1388</v>
      </c>
      <c r="G2209" s="31" t="s">
        <v>91</v>
      </c>
      <c r="H2209" s="23" t="s">
        <v>50</v>
      </c>
      <c r="I2209" s="6" t="str">
        <f>VLOOKUP(H2209,'Flow Location'!$A$1:$B$21,2,FALSE)</f>
        <v>Contained On Site, not within 5 ft. of Bayou/Surface Water/Drainage Ditch</v>
      </c>
      <c r="J2209" s="28">
        <v>2776.0</v>
      </c>
      <c r="K2209" s="23" t="s">
        <v>45</v>
      </c>
      <c r="L2209" s="6" t="str">
        <f>VLOOKUP(K2209,'Structure type'!$A$1:$B$15,2,FALSE)</f>
        <v>City Cleanout</v>
      </c>
      <c r="M2209" s="23" t="s">
        <v>81</v>
      </c>
      <c r="N2209" s="6" t="str">
        <f>VLOOKUP(M2209,'Excursion Cause'!$A$1:$B$34,2,FALSE)</f>
        <v>Collection system structural failure</v>
      </c>
      <c r="O2209" s="29">
        <v>44945.0</v>
      </c>
      <c r="P2209" s="30">
        <v>0.4979166666666667</v>
      </c>
      <c r="Q2209" s="29">
        <v>44946.0</v>
      </c>
      <c r="R2209" s="30">
        <v>0.4618055555555556</v>
      </c>
      <c r="S2209" s="28">
        <v>2.0</v>
      </c>
      <c r="T2209" s="23" t="s">
        <v>170</v>
      </c>
      <c r="U2209" s="6"/>
      <c r="V2209" s="6"/>
      <c r="W2209" s="23">
        <v>29.690307</v>
      </c>
      <c r="X2209" s="23">
        <v>-95.5956676</v>
      </c>
      <c r="AA2209" s="33"/>
      <c r="AB2209" s="33"/>
      <c r="AC2209" s="33"/>
      <c r="AD2209" s="33"/>
      <c r="AE2209" s="33"/>
      <c r="AF2209" s="33"/>
      <c r="AG2209" s="33"/>
      <c r="AH2209" s="33"/>
      <c r="AI2209" s="33"/>
      <c r="AJ2209" s="33"/>
      <c r="AK2209" s="33"/>
      <c r="AL2209" s="33"/>
      <c r="AM2209" s="33"/>
      <c r="AN2209" s="33"/>
      <c r="AO2209" s="33"/>
    </row>
    <row r="2210" ht="15.75" customHeight="1">
      <c r="A2210" s="23">
        <v>50874.0</v>
      </c>
      <c r="B2210" s="23">
        <v>2023.0</v>
      </c>
      <c r="C2210" s="6" t="str">
        <f t="shared" si="7"/>
        <v>2134  BINGLE RD,Houston,TX</v>
      </c>
      <c r="D2210" s="23" t="s">
        <v>3572</v>
      </c>
      <c r="E2210" s="6" t="s">
        <v>25</v>
      </c>
      <c r="F2210" s="6" t="s">
        <v>1388</v>
      </c>
      <c r="G2210" s="31" t="s">
        <v>27</v>
      </c>
      <c r="H2210" s="23" t="s">
        <v>28</v>
      </c>
      <c r="I2210" s="6" t="str">
        <f>VLOOKUP(H2210,'Flow Location'!$A$1:$B$21,2,FALSE)</f>
        <v>Storm Sewer (not contained)</v>
      </c>
      <c r="J2210" s="28">
        <v>672.0</v>
      </c>
      <c r="K2210" s="23" t="s">
        <v>29</v>
      </c>
      <c r="L2210" s="6" t="str">
        <f>VLOOKUP(K2210,'Structure type'!$A$1:$B$15,2,FALSE)</f>
        <v>Manhole</v>
      </c>
      <c r="M2210" s="23" t="s">
        <v>30</v>
      </c>
      <c r="N2210" s="6" t="str">
        <f>VLOOKUP(M2210,'Excursion Cause'!$A$1:$B$34,2,FALSE)</f>
        <v>Grease Blockage</v>
      </c>
      <c r="O2210" s="29">
        <v>44945.0</v>
      </c>
      <c r="P2210" s="30">
        <v>0.5340277777777778</v>
      </c>
      <c r="Q2210" s="29">
        <v>44945.0</v>
      </c>
      <c r="R2210" s="30">
        <v>0.7673611111111112</v>
      </c>
      <c r="S2210" s="28">
        <v>2.0</v>
      </c>
      <c r="T2210" s="23" t="s">
        <v>59</v>
      </c>
      <c r="U2210" s="6"/>
      <c r="V2210" s="6"/>
      <c r="W2210" s="23">
        <v>29.8127965</v>
      </c>
      <c r="X2210" s="23">
        <v>-95.5006209</v>
      </c>
      <c r="AA2210" s="33"/>
      <c r="AB2210" s="33"/>
      <c r="AC2210" s="33"/>
      <c r="AD2210" s="33"/>
      <c r="AE2210" s="33"/>
      <c r="AF2210" s="33"/>
      <c r="AG2210" s="33"/>
      <c r="AH2210" s="33"/>
      <c r="AI2210" s="33"/>
      <c r="AJ2210" s="33"/>
      <c r="AK2210" s="33"/>
      <c r="AL2210" s="33"/>
      <c r="AM2210" s="33"/>
      <c r="AN2210" s="33"/>
      <c r="AO2210" s="33"/>
    </row>
    <row r="2211" ht="15.75" customHeight="1">
      <c r="A2211" s="23">
        <v>50882.0</v>
      </c>
      <c r="B2211" s="23">
        <v>2023.0</v>
      </c>
      <c r="C2211" s="6" t="str">
        <f t="shared" si="7"/>
        <v>5203 E PAGEWICK DR,Houston,TX</v>
      </c>
      <c r="D2211" s="23" t="s">
        <v>3573</v>
      </c>
      <c r="E2211" s="6" t="s">
        <v>25</v>
      </c>
      <c r="F2211" s="6" t="s">
        <v>1388</v>
      </c>
      <c r="G2211" s="31" t="s">
        <v>344</v>
      </c>
      <c r="H2211" s="23" t="s">
        <v>50</v>
      </c>
      <c r="I2211" s="6" t="str">
        <f>VLOOKUP(H2211,'Flow Location'!$A$1:$B$21,2,FALSE)</f>
        <v>Contained On Site, not within 5 ft. of Bayou/Surface Water/Drainage Ditch</v>
      </c>
      <c r="J2211" s="28">
        <v>0.0</v>
      </c>
      <c r="K2211" s="23" t="s">
        <v>29</v>
      </c>
      <c r="L2211" s="6" t="str">
        <f>VLOOKUP(K2211,'Structure type'!$A$1:$B$15,2,FALSE)</f>
        <v>Manhole</v>
      </c>
      <c r="M2211" s="23" t="s">
        <v>30</v>
      </c>
      <c r="N2211" s="6" t="str">
        <f>VLOOKUP(M2211,'Excursion Cause'!$A$1:$B$34,2,FALSE)</f>
        <v>Grease Blockage</v>
      </c>
      <c r="O2211" s="29">
        <v>44946.0</v>
      </c>
      <c r="P2211" s="30">
        <v>0.4513888888888889</v>
      </c>
      <c r="Q2211" s="29">
        <v>44946.0</v>
      </c>
      <c r="R2211" s="30">
        <v>0.45208333333333334</v>
      </c>
      <c r="S2211" s="28">
        <v>0.0</v>
      </c>
      <c r="T2211" s="23" t="s">
        <v>59</v>
      </c>
      <c r="U2211" s="6"/>
      <c r="V2211" s="6"/>
      <c r="W2211" s="23">
        <v>29.8440402</v>
      </c>
      <c r="X2211" s="23">
        <v>-95.5498557</v>
      </c>
      <c r="AA2211" s="33"/>
      <c r="AB2211" s="33"/>
      <c r="AC2211" s="33"/>
      <c r="AD2211" s="33"/>
      <c r="AE2211" s="33"/>
      <c r="AF2211" s="33"/>
      <c r="AG2211" s="33"/>
      <c r="AH2211" s="33"/>
      <c r="AI2211" s="33"/>
      <c r="AJ2211" s="33"/>
      <c r="AK2211" s="33"/>
      <c r="AL2211" s="33"/>
      <c r="AM2211" s="33"/>
      <c r="AN2211" s="33"/>
      <c r="AO2211" s="33"/>
    </row>
    <row r="2212" ht="15.75" customHeight="1">
      <c r="A2212" s="23">
        <v>50885.0</v>
      </c>
      <c r="B2212" s="23">
        <v>2023.0</v>
      </c>
      <c r="C2212" s="6" t="str">
        <f t="shared" si="7"/>
        <v>6522  GAINESVILLE ST,Houston,TX</v>
      </c>
      <c r="D2212" s="23" t="s">
        <v>3574</v>
      </c>
      <c r="E2212" s="6" t="s">
        <v>25</v>
      </c>
      <c r="F2212" s="6" t="s">
        <v>1388</v>
      </c>
      <c r="G2212" s="31" t="s">
        <v>86</v>
      </c>
      <c r="H2212" s="23" t="s">
        <v>28</v>
      </c>
      <c r="I2212" s="6" t="str">
        <f>VLOOKUP(H2212,'Flow Location'!$A$1:$B$21,2,FALSE)</f>
        <v>Storm Sewer (not contained)</v>
      </c>
      <c r="J2212" s="28">
        <v>0.0</v>
      </c>
      <c r="K2212" s="23" t="s">
        <v>45</v>
      </c>
      <c r="L2212" s="6" t="str">
        <f>VLOOKUP(K2212,'Structure type'!$A$1:$B$15,2,FALSE)</f>
        <v>City Cleanout</v>
      </c>
      <c r="M2212" s="23" t="s">
        <v>30</v>
      </c>
      <c r="N2212" s="6" t="str">
        <f>VLOOKUP(M2212,'Excursion Cause'!$A$1:$B$34,2,FALSE)</f>
        <v>Grease Blockage</v>
      </c>
      <c r="O2212" s="29">
        <v>44947.0</v>
      </c>
      <c r="P2212" s="30">
        <v>0.5763888888888888</v>
      </c>
      <c r="Q2212" s="29">
        <v>44947.0</v>
      </c>
      <c r="R2212" s="30">
        <v>0.5770833333333333</v>
      </c>
      <c r="S2212" s="28">
        <v>0.0</v>
      </c>
      <c r="T2212" s="23" t="s">
        <v>74</v>
      </c>
      <c r="U2212" s="6"/>
      <c r="V2212" s="6"/>
      <c r="W2212" s="23">
        <v>29.7854146</v>
      </c>
      <c r="X2212" s="23">
        <v>-95.3043082</v>
      </c>
      <c r="AA2212" s="33"/>
      <c r="AB2212" s="33"/>
      <c r="AC2212" s="33"/>
      <c r="AD2212" s="33"/>
      <c r="AE2212" s="33"/>
      <c r="AF2212" s="33"/>
      <c r="AG2212" s="33"/>
      <c r="AH2212" s="33"/>
      <c r="AI2212" s="33"/>
      <c r="AJ2212" s="33"/>
      <c r="AK2212" s="33"/>
      <c r="AL2212" s="33"/>
      <c r="AM2212" s="33"/>
      <c r="AN2212" s="33"/>
      <c r="AO2212" s="33"/>
    </row>
    <row r="2213" ht="15.75" customHeight="1">
      <c r="A2213" s="23">
        <v>50889.0</v>
      </c>
      <c r="B2213" s="23">
        <v>2023.0</v>
      </c>
      <c r="C2213" s="6" t="str">
        <f t="shared" si="7"/>
        <v>1439  PRINCE ST,Houston,TX</v>
      </c>
      <c r="D2213" s="23" t="s">
        <v>3575</v>
      </c>
      <c r="E2213" s="6" t="s">
        <v>25</v>
      </c>
      <c r="F2213" s="6" t="s">
        <v>1388</v>
      </c>
      <c r="G2213" s="31" t="s">
        <v>232</v>
      </c>
      <c r="H2213" s="23" t="s">
        <v>28</v>
      </c>
      <c r="I2213" s="6" t="str">
        <f>VLOOKUP(H2213,'Flow Location'!$A$1:$B$21,2,FALSE)</f>
        <v>Storm Sewer (not contained)</v>
      </c>
      <c r="J2213" s="28">
        <v>0.0</v>
      </c>
      <c r="K2213" s="23" t="s">
        <v>29</v>
      </c>
      <c r="L2213" s="6" t="str">
        <f>VLOOKUP(K2213,'Structure type'!$A$1:$B$15,2,FALSE)</f>
        <v>Manhole</v>
      </c>
      <c r="M2213" s="23" t="s">
        <v>30</v>
      </c>
      <c r="N2213" s="6" t="str">
        <f>VLOOKUP(M2213,'Excursion Cause'!$A$1:$B$34,2,FALSE)</f>
        <v>Grease Blockage</v>
      </c>
      <c r="O2213" s="29">
        <v>44947.0</v>
      </c>
      <c r="P2213" s="30">
        <v>0.6097222222222223</v>
      </c>
      <c r="Q2213" s="29">
        <v>44947.0</v>
      </c>
      <c r="R2213" s="30">
        <v>0.6104166666666667</v>
      </c>
      <c r="S2213" s="28">
        <v>0.0</v>
      </c>
      <c r="T2213" s="23" t="s">
        <v>59</v>
      </c>
      <c r="U2213" s="6"/>
      <c r="V2213" s="6"/>
      <c r="W2213" s="23">
        <v>29.7975984</v>
      </c>
      <c r="X2213" s="23">
        <v>-95.4134841</v>
      </c>
      <c r="AA2213" s="33"/>
      <c r="AB2213" s="33"/>
      <c r="AC2213" s="33"/>
      <c r="AD2213" s="33"/>
      <c r="AE2213" s="33"/>
      <c r="AF2213" s="33"/>
      <c r="AG2213" s="33"/>
      <c r="AH2213" s="33"/>
      <c r="AI2213" s="33"/>
      <c r="AJ2213" s="33"/>
      <c r="AK2213" s="33"/>
      <c r="AL2213" s="33"/>
      <c r="AM2213" s="33"/>
      <c r="AN2213" s="33"/>
      <c r="AO2213" s="33"/>
    </row>
    <row r="2214" ht="15.75" customHeight="1">
      <c r="A2214" s="23">
        <v>50893.0</v>
      </c>
      <c r="B2214" s="23">
        <v>2023.0</v>
      </c>
      <c r="C2214" s="6" t="str">
        <f t="shared" si="7"/>
        <v>2126  BAUER DR,Houston,TX</v>
      </c>
      <c r="D2214" s="23" t="s">
        <v>3576</v>
      </c>
      <c r="E2214" s="6" t="s">
        <v>25</v>
      </c>
      <c r="F2214" s="6" t="s">
        <v>1388</v>
      </c>
      <c r="G2214" s="31" t="s">
        <v>294</v>
      </c>
      <c r="H2214" s="23" t="s">
        <v>50</v>
      </c>
      <c r="I2214" s="6" t="str">
        <f>VLOOKUP(H2214,'Flow Location'!$A$1:$B$21,2,FALSE)</f>
        <v>Contained On Site, not within 5 ft. of Bayou/Surface Water/Drainage Ditch</v>
      </c>
      <c r="J2214" s="28">
        <v>0.0</v>
      </c>
      <c r="K2214" s="23" t="s">
        <v>45</v>
      </c>
      <c r="L2214" s="6" t="str">
        <f>VLOOKUP(K2214,'Structure type'!$A$1:$B$15,2,FALSE)</f>
        <v>City Cleanout</v>
      </c>
      <c r="M2214" s="23" t="s">
        <v>56</v>
      </c>
      <c r="N2214" s="6" t="str">
        <f>VLOOKUP(M2214,'Excursion Cause'!$A$1:$B$34,2,FALSE)</f>
        <v>Rags/Wipes</v>
      </c>
      <c r="O2214" s="29">
        <v>44948.0</v>
      </c>
      <c r="P2214" s="30">
        <v>0.6520833333333333</v>
      </c>
      <c r="Q2214" s="29">
        <v>44948.0</v>
      </c>
      <c r="R2214" s="30">
        <v>0.6527777777777778</v>
      </c>
      <c r="S2214" s="28">
        <v>0.0</v>
      </c>
      <c r="T2214" s="23" t="s">
        <v>270</v>
      </c>
      <c r="U2214" s="6"/>
      <c r="V2214" s="6"/>
      <c r="W2214" s="23">
        <v>29.8108001</v>
      </c>
      <c r="X2214" s="23">
        <v>-95.51935</v>
      </c>
      <c r="AA2214" s="33"/>
      <c r="AB2214" s="33"/>
      <c r="AC2214" s="33"/>
      <c r="AD2214" s="33"/>
      <c r="AE2214" s="33"/>
      <c r="AF2214" s="33"/>
      <c r="AG2214" s="33"/>
      <c r="AH2214" s="33"/>
      <c r="AI2214" s="33"/>
      <c r="AJ2214" s="33"/>
      <c r="AK2214" s="33"/>
      <c r="AL2214" s="33"/>
      <c r="AM2214" s="33"/>
      <c r="AN2214" s="33"/>
      <c r="AO2214" s="33"/>
    </row>
    <row r="2215" ht="15.75" customHeight="1">
      <c r="A2215" s="23">
        <v>50895.0</v>
      </c>
      <c r="B2215" s="23">
        <v>2023.0</v>
      </c>
      <c r="C2215" s="6" t="str">
        <f t="shared" si="7"/>
        <v>5416  DICKSON ST,Houston,TX</v>
      </c>
      <c r="D2215" s="23" t="s">
        <v>3577</v>
      </c>
      <c r="E2215" s="6" t="s">
        <v>25</v>
      </c>
      <c r="F2215" s="6" t="s">
        <v>1388</v>
      </c>
      <c r="G2215" s="31" t="s">
        <v>158</v>
      </c>
      <c r="H2215" s="23" t="s">
        <v>28</v>
      </c>
      <c r="I2215" s="6" t="str">
        <f>VLOOKUP(H2215,'Flow Location'!$A$1:$B$21,2,FALSE)</f>
        <v>Storm Sewer (not contained)</v>
      </c>
      <c r="J2215" s="28">
        <v>0.0</v>
      </c>
      <c r="K2215" s="23" t="s">
        <v>45</v>
      </c>
      <c r="L2215" s="6" t="str">
        <f>VLOOKUP(K2215,'Structure type'!$A$1:$B$15,2,FALSE)</f>
        <v>City Cleanout</v>
      </c>
      <c r="M2215" s="23" t="s">
        <v>56</v>
      </c>
      <c r="N2215" s="6" t="str">
        <f>VLOOKUP(M2215,'Excursion Cause'!$A$1:$B$34,2,FALSE)</f>
        <v>Rags/Wipes</v>
      </c>
      <c r="O2215" s="29">
        <v>44949.0</v>
      </c>
      <c r="P2215" s="30">
        <v>0.38333333333333336</v>
      </c>
      <c r="Q2215" s="29">
        <v>44949.0</v>
      </c>
      <c r="R2215" s="30">
        <v>0.3840277777777778</v>
      </c>
      <c r="S2215" s="28">
        <v>0.0</v>
      </c>
      <c r="T2215" s="23" t="s">
        <v>170</v>
      </c>
      <c r="U2215" s="6"/>
      <c r="V2215" s="6"/>
      <c r="W2215" s="23">
        <v>29.7653566</v>
      </c>
      <c r="X2215" s="23">
        <v>-95.4168295</v>
      </c>
      <c r="AA2215" s="33"/>
      <c r="AB2215" s="33"/>
      <c r="AC2215" s="33"/>
      <c r="AD2215" s="33"/>
      <c r="AE2215" s="33"/>
      <c r="AF2215" s="33"/>
      <c r="AG2215" s="33"/>
      <c r="AH2215" s="33"/>
      <c r="AI2215" s="33"/>
      <c r="AJ2215" s="33"/>
      <c r="AK2215" s="33"/>
      <c r="AL2215" s="33"/>
      <c r="AM2215" s="33"/>
      <c r="AN2215" s="33"/>
      <c r="AO2215" s="33"/>
    </row>
    <row r="2216" ht="15.75" customHeight="1">
      <c r="A2216" s="23">
        <v>50896.0</v>
      </c>
      <c r="B2216" s="23">
        <v>2023.0</v>
      </c>
      <c r="C2216" s="6" t="str">
        <f t="shared" si="7"/>
        <v>851  FEDERAL RD,Houston,TX</v>
      </c>
      <c r="D2216" s="23" t="s">
        <v>3578</v>
      </c>
      <c r="E2216" s="6" t="s">
        <v>25</v>
      </c>
      <c r="F2216" s="6" t="s">
        <v>1388</v>
      </c>
      <c r="G2216" s="31" t="s">
        <v>623</v>
      </c>
      <c r="H2216" s="23" t="s">
        <v>50</v>
      </c>
      <c r="I2216" s="6" t="str">
        <f>VLOOKUP(H2216,'Flow Location'!$A$1:$B$21,2,FALSE)</f>
        <v>Contained On Site, not within 5 ft. of Bayou/Surface Water/Drainage Ditch</v>
      </c>
      <c r="J2216" s="28">
        <v>0.0</v>
      </c>
      <c r="K2216" s="23" t="s">
        <v>45</v>
      </c>
      <c r="L2216" s="6" t="str">
        <f>VLOOKUP(K2216,'Structure type'!$A$1:$B$15,2,FALSE)</f>
        <v>City Cleanout</v>
      </c>
      <c r="M2216" s="23" t="s">
        <v>30</v>
      </c>
      <c r="N2216" s="6" t="str">
        <f>VLOOKUP(M2216,'Excursion Cause'!$A$1:$B$34,2,FALSE)</f>
        <v>Grease Blockage</v>
      </c>
      <c r="O2216" s="29">
        <v>44949.0</v>
      </c>
      <c r="P2216" s="30">
        <v>0.38958333333333334</v>
      </c>
      <c r="Q2216" s="29">
        <v>44949.0</v>
      </c>
      <c r="R2216" s="30">
        <v>0.3902777777777778</v>
      </c>
      <c r="S2216" s="28">
        <v>0.0</v>
      </c>
      <c r="T2216" s="23" t="s">
        <v>33</v>
      </c>
      <c r="U2216" s="6"/>
      <c r="V2216" s="6"/>
      <c r="W2216" s="23">
        <v>29.7759248</v>
      </c>
      <c r="X2216" s="23">
        <v>-95.2178103</v>
      </c>
      <c r="AA2216" s="33"/>
      <c r="AB2216" s="33"/>
      <c r="AC2216" s="33"/>
      <c r="AD2216" s="33"/>
      <c r="AE2216" s="33"/>
      <c r="AF2216" s="33"/>
      <c r="AG2216" s="33"/>
      <c r="AH2216" s="33"/>
      <c r="AI2216" s="33"/>
      <c r="AJ2216" s="33"/>
      <c r="AK2216" s="33"/>
      <c r="AL2216" s="33"/>
      <c r="AM2216" s="33"/>
      <c r="AN2216" s="33"/>
      <c r="AO2216" s="33"/>
    </row>
    <row r="2217" ht="15.75" customHeight="1">
      <c r="A2217" s="23">
        <v>50902.0</v>
      </c>
      <c r="B2217" s="23">
        <v>2023.0</v>
      </c>
      <c r="C2217" s="6" t="str">
        <f t="shared" si="7"/>
        <v>4720  MONTROSE BLVD,Houston,TX</v>
      </c>
      <c r="D2217" s="23" t="s">
        <v>3579</v>
      </c>
      <c r="E2217" s="6" t="s">
        <v>25</v>
      </c>
      <c r="F2217" s="6" t="s">
        <v>1388</v>
      </c>
      <c r="G2217" s="31" t="s">
        <v>761</v>
      </c>
      <c r="H2217" s="23" t="s">
        <v>1493</v>
      </c>
      <c r="I2217" s="6" t="str">
        <f>VLOOKUP(H2217,'Flow Location'!$A$1:$B$21,2,FALSE)</f>
        <v>Contained On Site, not within 5 ft. of Bayou/Surface Water/Drainage Ditch</v>
      </c>
      <c r="J2217" s="28">
        <v>184.0</v>
      </c>
      <c r="K2217" s="23" t="s">
        <v>45</v>
      </c>
      <c r="L2217" s="6" t="str">
        <f>VLOOKUP(K2217,'Structure type'!$A$1:$B$15,2,FALSE)</f>
        <v>City Cleanout</v>
      </c>
      <c r="M2217" s="23" t="s">
        <v>30</v>
      </c>
      <c r="N2217" s="6" t="str">
        <f>VLOOKUP(M2217,'Excursion Cause'!$A$1:$B$34,2,FALSE)</f>
        <v>Grease Blockage</v>
      </c>
      <c r="O2217" s="29">
        <v>44949.0</v>
      </c>
      <c r="P2217" s="30">
        <v>0.47152777777777777</v>
      </c>
      <c r="Q2217" s="29">
        <v>44949.0</v>
      </c>
      <c r="R2217" s="30">
        <v>0.5354166666666667</v>
      </c>
      <c r="S2217" s="28">
        <v>2.0</v>
      </c>
      <c r="T2217" s="23" t="s">
        <v>89</v>
      </c>
      <c r="U2217" s="6"/>
      <c r="V2217" s="6"/>
      <c r="W2217" s="23">
        <v>29.7304536</v>
      </c>
      <c r="X2217" s="23">
        <v>-95.3914671</v>
      </c>
      <c r="AA2217" s="33"/>
      <c r="AB2217" s="33"/>
      <c r="AC2217" s="33"/>
      <c r="AD2217" s="33"/>
      <c r="AE2217" s="33"/>
      <c r="AF2217" s="33"/>
      <c r="AG2217" s="33"/>
      <c r="AH2217" s="33"/>
      <c r="AI2217" s="33"/>
      <c r="AJ2217" s="33"/>
      <c r="AK2217" s="33"/>
      <c r="AL2217" s="33"/>
      <c r="AM2217" s="33"/>
      <c r="AN2217" s="33"/>
      <c r="AO2217" s="33"/>
    </row>
    <row r="2218" ht="15.75" customHeight="1">
      <c r="A2218" s="23">
        <v>50904.0</v>
      </c>
      <c r="B2218" s="23">
        <v>2023.0</v>
      </c>
      <c r="C2218" s="6" t="str">
        <f t="shared" si="7"/>
        <v>12326  BARRYKNOLL LN,Houston,TX</v>
      </c>
      <c r="D2218" s="23" t="s">
        <v>3580</v>
      </c>
      <c r="E2218" s="6" t="s">
        <v>25</v>
      </c>
      <c r="F2218" s="6" t="s">
        <v>1388</v>
      </c>
      <c r="G2218" s="31" t="s">
        <v>123</v>
      </c>
      <c r="H2218" s="23" t="s">
        <v>50</v>
      </c>
      <c r="I2218" s="6" t="str">
        <f>VLOOKUP(H2218,'Flow Location'!$A$1:$B$21,2,FALSE)</f>
        <v>Contained On Site, not within 5 ft. of Bayou/Surface Water/Drainage Ditch</v>
      </c>
      <c r="J2218" s="28">
        <v>1409.0</v>
      </c>
      <c r="K2218" s="23" t="s">
        <v>29</v>
      </c>
      <c r="L2218" s="6" t="str">
        <f>VLOOKUP(K2218,'Structure type'!$A$1:$B$15,2,FALSE)</f>
        <v>Manhole</v>
      </c>
      <c r="M2218" s="23" t="s">
        <v>30</v>
      </c>
      <c r="N2218" s="6" t="str">
        <f>VLOOKUP(M2218,'Excursion Cause'!$A$1:$B$34,2,FALSE)</f>
        <v>Grease Blockage</v>
      </c>
      <c r="O2218" s="29">
        <v>44949.0</v>
      </c>
      <c r="P2218" s="30">
        <v>0.5340277777777778</v>
      </c>
      <c r="Q2218" s="29">
        <v>44951.0</v>
      </c>
      <c r="R2218" s="30">
        <v>0.49166666666666664</v>
      </c>
      <c r="S2218" s="28">
        <v>0.0</v>
      </c>
      <c r="T2218" s="23" t="s">
        <v>59</v>
      </c>
      <c r="U2218" s="6"/>
      <c r="V2218" s="6"/>
      <c r="W2218" s="23">
        <v>29.7783951</v>
      </c>
      <c r="X2218" s="23">
        <v>-95.5461222</v>
      </c>
      <c r="AA2218" s="33"/>
      <c r="AB2218" s="33"/>
      <c r="AC2218" s="33"/>
      <c r="AD2218" s="33"/>
      <c r="AE2218" s="33"/>
      <c r="AF2218" s="33"/>
      <c r="AG2218" s="33"/>
      <c r="AH2218" s="33"/>
      <c r="AI2218" s="33"/>
      <c r="AJ2218" s="33"/>
      <c r="AK2218" s="33"/>
      <c r="AL2218" s="33"/>
      <c r="AM2218" s="33"/>
      <c r="AN2218" s="33"/>
      <c r="AO2218" s="33"/>
    </row>
    <row r="2219" ht="15.75" customHeight="1">
      <c r="A2219" s="23">
        <v>50907.0</v>
      </c>
      <c r="B2219" s="23">
        <v>2023.0</v>
      </c>
      <c r="C2219" s="6" t="str">
        <f t="shared" si="7"/>
        <v>2312  TERRY ST,Houston,TX</v>
      </c>
      <c r="D2219" s="23" t="s">
        <v>3581</v>
      </c>
      <c r="E2219" s="6" t="s">
        <v>25</v>
      </c>
      <c r="F2219" s="6" t="s">
        <v>1388</v>
      </c>
      <c r="G2219" s="31" t="s">
        <v>161</v>
      </c>
      <c r="H2219" s="23" t="s">
        <v>44</v>
      </c>
      <c r="I2219" s="6" t="str">
        <f>VLOOKUP(H2219,'Flow Location'!$A$1:$B$21,2,FALSE)</f>
        <v>Bayou/surface water/drainage ditch</v>
      </c>
      <c r="J2219" s="28">
        <v>0.0</v>
      </c>
      <c r="K2219" s="23" t="s">
        <v>45</v>
      </c>
      <c r="L2219" s="6" t="str">
        <f>VLOOKUP(K2219,'Structure type'!$A$1:$B$15,2,FALSE)</f>
        <v>City Cleanout</v>
      </c>
      <c r="M2219" s="23" t="s">
        <v>81</v>
      </c>
      <c r="N2219" s="6" t="str">
        <f>VLOOKUP(M2219,'Excursion Cause'!$A$1:$B$34,2,FALSE)</f>
        <v>Collection system structural failure</v>
      </c>
      <c r="O2219" s="29">
        <v>44949.0</v>
      </c>
      <c r="P2219" s="30">
        <v>0.6125</v>
      </c>
      <c r="Q2219" s="29">
        <v>44949.0</v>
      </c>
      <c r="R2219" s="30">
        <v>0.6131944444444445</v>
      </c>
      <c r="S2219" s="28">
        <v>0.0</v>
      </c>
      <c r="T2219" s="23" t="s">
        <v>107</v>
      </c>
      <c r="U2219" s="6"/>
      <c r="V2219" s="6"/>
      <c r="W2219" s="23">
        <v>29.7829218</v>
      </c>
      <c r="X2219" s="23">
        <v>-95.35285</v>
      </c>
      <c r="AA2219" s="33"/>
      <c r="AB2219" s="33"/>
      <c r="AC2219" s="33"/>
      <c r="AD2219" s="33"/>
      <c r="AE2219" s="33"/>
      <c r="AF2219" s="33"/>
      <c r="AG2219" s="33"/>
      <c r="AH2219" s="33"/>
      <c r="AI2219" s="33"/>
      <c r="AJ2219" s="33"/>
      <c r="AK2219" s="33"/>
      <c r="AL2219" s="33"/>
      <c r="AM2219" s="33"/>
      <c r="AN2219" s="33"/>
      <c r="AO2219" s="33"/>
    </row>
    <row r="2220" ht="15.75" customHeight="1">
      <c r="A2220" s="23">
        <v>50909.0</v>
      </c>
      <c r="B2220" s="23">
        <v>2023.0</v>
      </c>
      <c r="C2220" s="6" t="str">
        <f t="shared" si="7"/>
        <v>602 E 42ND ST,Houston,TX</v>
      </c>
      <c r="D2220" s="23" t="s">
        <v>3582</v>
      </c>
      <c r="E2220" s="6" t="s">
        <v>25</v>
      </c>
      <c r="F2220" s="6" t="s">
        <v>1388</v>
      </c>
      <c r="G2220" s="31" t="s">
        <v>653</v>
      </c>
      <c r="H2220" s="23" t="s">
        <v>50</v>
      </c>
      <c r="I2220" s="6" t="str">
        <f>VLOOKUP(H2220,'Flow Location'!$A$1:$B$21,2,FALSE)</f>
        <v>Contained On Site, not within 5 ft. of Bayou/Surface Water/Drainage Ditch</v>
      </c>
      <c r="J2220" s="28">
        <v>0.0</v>
      </c>
      <c r="K2220" s="23" t="s">
        <v>198</v>
      </c>
      <c r="L2220" s="6" t="str">
        <f>VLOOKUP(K2220,'Structure type'!$A$1:$B$15,2,FALSE)</f>
        <v>Service Lateral</v>
      </c>
      <c r="M2220" s="23" t="s">
        <v>81</v>
      </c>
      <c r="N2220" s="6" t="str">
        <f>VLOOKUP(M2220,'Excursion Cause'!$A$1:$B$34,2,FALSE)</f>
        <v>Collection system structural failure</v>
      </c>
      <c r="O2220" s="29">
        <v>44949.0</v>
      </c>
      <c r="P2220" s="30">
        <v>0.6659722222222222</v>
      </c>
      <c r="Q2220" s="29">
        <v>44949.0</v>
      </c>
      <c r="R2220" s="30">
        <v>0.6666666666666666</v>
      </c>
      <c r="S2220" s="28">
        <v>0.0</v>
      </c>
      <c r="T2220" s="23" t="s">
        <v>107</v>
      </c>
      <c r="U2220" s="6"/>
      <c r="V2220" s="6"/>
      <c r="W2220" s="23">
        <v>29.8240754</v>
      </c>
      <c r="X2220" s="23">
        <v>-95.3918037</v>
      </c>
      <c r="AA2220" s="33"/>
      <c r="AB2220" s="33"/>
      <c r="AC2220" s="33"/>
      <c r="AD2220" s="33"/>
      <c r="AE2220" s="33"/>
      <c r="AF2220" s="33"/>
      <c r="AG2220" s="33"/>
      <c r="AH2220" s="33"/>
      <c r="AI2220" s="33"/>
      <c r="AJ2220" s="33"/>
      <c r="AK2220" s="33"/>
      <c r="AL2220" s="33"/>
      <c r="AM2220" s="33"/>
      <c r="AN2220" s="33"/>
      <c r="AO2220" s="33"/>
    </row>
    <row r="2221" ht="15.75" customHeight="1">
      <c r="A2221" s="23">
        <v>50914.0</v>
      </c>
      <c r="B2221" s="23">
        <v>2023.0</v>
      </c>
      <c r="C2221" s="6" t="str">
        <f t="shared" si="7"/>
        <v>7822  SUN RISE LN,Houston,TX</v>
      </c>
      <c r="D2221" s="23" t="s">
        <v>3583</v>
      </c>
      <c r="E2221" s="6" t="s">
        <v>25</v>
      </c>
      <c r="F2221" s="6" t="s">
        <v>1388</v>
      </c>
      <c r="G2221" s="31" t="s">
        <v>91</v>
      </c>
      <c r="H2221" s="23" t="s">
        <v>28</v>
      </c>
      <c r="I2221" s="6" t="str">
        <f>VLOOKUP(H2221,'Flow Location'!$A$1:$B$21,2,FALSE)</f>
        <v>Storm Sewer (not contained)</v>
      </c>
      <c r="J2221" s="28">
        <v>68.0</v>
      </c>
      <c r="K2221" s="23" t="s">
        <v>29</v>
      </c>
      <c r="L2221" s="6" t="str">
        <f>VLOOKUP(K2221,'Structure type'!$A$1:$B$15,2,FALSE)</f>
        <v>Manhole</v>
      </c>
      <c r="M2221" s="23" t="s">
        <v>30</v>
      </c>
      <c r="N2221" s="6" t="str">
        <f>VLOOKUP(M2221,'Excursion Cause'!$A$1:$B$34,2,FALSE)</f>
        <v>Grease Blockage</v>
      </c>
      <c r="O2221" s="29">
        <v>44950.0</v>
      </c>
      <c r="P2221" s="30">
        <v>0.41805555555555557</v>
      </c>
      <c r="Q2221" s="29">
        <v>44950.0</v>
      </c>
      <c r="R2221" s="30">
        <v>0.4652777777777778</v>
      </c>
      <c r="S2221" s="28">
        <v>1.0</v>
      </c>
      <c r="T2221" s="23" t="s">
        <v>59</v>
      </c>
      <c r="U2221" s="6"/>
      <c r="V2221" s="6"/>
      <c r="W2221" s="23">
        <v>29.6916515</v>
      </c>
      <c r="X2221" s="23">
        <v>-95.6036952</v>
      </c>
      <c r="AA2221" s="33"/>
      <c r="AB2221" s="33"/>
      <c r="AC2221" s="33"/>
      <c r="AD2221" s="33"/>
      <c r="AE2221" s="33"/>
      <c r="AF2221" s="33"/>
      <c r="AG2221" s="33"/>
      <c r="AH2221" s="33"/>
      <c r="AI2221" s="33"/>
      <c r="AJ2221" s="33"/>
      <c r="AK2221" s="33"/>
      <c r="AL2221" s="33"/>
      <c r="AM2221" s="33"/>
      <c r="AN2221" s="33"/>
      <c r="AO2221" s="33"/>
    </row>
    <row r="2222" ht="15.75" customHeight="1">
      <c r="A2222" s="23">
        <v>50916.0</v>
      </c>
      <c r="B2222" s="23">
        <v>2023.0</v>
      </c>
      <c r="C2222" s="6" t="str">
        <f t="shared" si="7"/>
        <v>3422  VINTAGE ST,Houston,TX</v>
      </c>
      <c r="D2222" s="23" t="s">
        <v>3584</v>
      </c>
      <c r="E2222" s="6" t="s">
        <v>25</v>
      </c>
      <c r="F2222" s="6" t="s">
        <v>1388</v>
      </c>
      <c r="G2222" s="31" t="s">
        <v>43</v>
      </c>
      <c r="H2222" s="23" t="s">
        <v>28</v>
      </c>
      <c r="I2222" s="6" t="str">
        <f>VLOOKUP(H2222,'Flow Location'!$A$1:$B$21,2,FALSE)</f>
        <v>Storm Sewer (not contained)</v>
      </c>
      <c r="J2222" s="28">
        <v>0.0</v>
      </c>
      <c r="K2222" s="23" t="s">
        <v>198</v>
      </c>
      <c r="L2222" s="6" t="str">
        <f>VLOOKUP(K2222,'Structure type'!$A$1:$B$15,2,FALSE)</f>
        <v>Service Lateral</v>
      </c>
      <c r="M2222" s="23" t="s">
        <v>81</v>
      </c>
      <c r="N2222" s="6" t="str">
        <f>VLOOKUP(M2222,'Excursion Cause'!$A$1:$B$34,2,FALSE)</f>
        <v>Collection system structural failure</v>
      </c>
      <c r="O2222" s="29">
        <v>44950.0</v>
      </c>
      <c r="P2222" s="30">
        <v>0.47430555555555554</v>
      </c>
      <c r="Q2222" s="29">
        <v>44950.0</v>
      </c>
      <c r="R2222" s="30">
        <v>0.475</v>
      </c>
      <c r="S2222" s="28">
        <v>0.0</v>
      </c>
      <c r="T2222" s="23" t="s">
        <v>118</v>
      </c>
      <c r="U2222" s="6"/>
      <c r="V2222" s="6"/>
      <c r="W2222" s="23">
        <v>29.8030112</v>
      </c>
      <c r="X2222" s="23">
        <v>-95.33425</v>
      </c>
      <c r="AA2222" s="33"/>
      <c r="AB2222" s="33"/>
      <c r="AC2222" s="33"/>
      <c r="AD2222" s="33"/>
      <c r="AE2222" s="33"/>
      <c r="AF2222" s="33"/>
      <c r="AG2222" s="33"/>
      <c r="AH2222" s="33"/>
      <c r="AI2222" s="33"/>
      <c r="AJ2222" s="33"/>
      <c r="AK2222" s="33"/>
      <c r="AL2222" s="33"/>
      <c r="AM2222" s="33"/>
      <c r="AN2222" s="33"/>
      <c r="AO2222" s="33"/>
    </row>
    <row r="2223" ht="15.75" customHeight="1">
      <c r="A2223" s="23">
        <v>50917.0</v>
      </c>
      <c r="B2223" s="23">
        <v>2023.0</v>
      </c>
      <c r="C2223" s="6" t="str">
        <f t="shared" si="7"/>
        <v>8435  WESTGLEN DR,Houston,TX</v>
      </c>
      <c r="D2223" s="23" t="s">
        <v>3585</v>
      </c>
      <c r="E2223" s="6" t="s">
        <v>25</v>
      </c>
      <c r="F2223" s="6" t="s">
        <v>1388</v>
      </c>
      <c r="G2223" s="31" t="s">
        <v>482</v>
      </c>
      <c r="H2223" s="23" t="s">
        <v>28</v>
      </c>
      <c r="I2223" s="6" t="str">
        <f>VLOOKUP(H2223,'Flow Location'!$A$1:$B$21,2,FALSE)</f>
        <v>Storm Sewer (not contained)</v>
      </c>
      <c r="J2223" s="28">
        <v>0.0</v>
      </c>
      <c r="K2223" s="23" t="s">
        <v>29</v>
      </c>
      <c r="L2223" s="6" t="str">
        <f>VLOOKUP(K2223,'Structure type'!$A$1:$B$15,2,FALSE)</f>
        <v>Manhole</v>
      </c>
      <c r="M2223" s="23" t="s">
        <v>30</v>
      </c>
      <c r="N2223" s="6" t="str">
        <f>VLOOKUP(M2223,'Excursion Cause'!$A$1:$B$34,2,FALSE)</f>
        <v>Grease Blockage</v>
      </c>
      <c r="O2223" s="29">
        <v>44950.0</v>
      </c>
      <c r="P2223" s="30">
        <v>0.5451388888888888</v>
      </c>
      <c r="Q2223" s="29">
        <v>44951.0</v>
      </c>
      <c r="R2223" s="30">
        <v>0.5243055555555556</v>
      </c>
      <c r="S2223" s="28">
        <v>0.0</v>
      </c>
      <c r="T2223" s="23" t="s">
        <v>59</v>
      </c>
      <c r="U2223" s="6"/>
      <c r="V2223" s="6"/>
      <c r="W2223" s="23">
        <v>29.724191</v>
      </c>
      <c r="X2223" s="23">
        <v>-95.5120339</v>
      </c>
      <c r="AA2223" s="33"/>
      <c r="AB2223" s="33"/>
      <c r="AC2223" s="33"/>
      <c r="AD2223" s="33"/>
      <c r="AE2223" s="33"/>
      <c r="AF2223" s="33"/>
      <c r="AG2223" s="33"/>
      <c r="AH2223" s="33"/>
      <c r="AI2223" s="33"/>
      <c r="AJ2223" s="33"/>
      <c r="AK2223" s="33"/>
      <c r="AL2223" s="33"/>
      <c r="AM2223" s="33"/>
      <c r="AN2223" s="33"/>
      <c r="AO2223" s="33"/>
    </row>
    <row r="2224" ht="15.75" customHeight="1">
      <c r="A2224" s="23">
        <v>50918.0</v>
      </c>
      <c r="B2224" s="23">
        <v>2023.0</v>
      </c>
      <c r="C2224" s="6" t="str">
        <f t="shared" si="7"/>
        <v>1301  WAYSIDE DR,Houston,TX</v>
      </c>
      <c r="D2224" s="23" t="s">
        <v>3586</v>
      </c>
      <c r="E2224" s="6" t="s">
        <v>25</v>
      </c>
      <c r="F2224" s="6" t="s">
        <v>1388</v>
      </c>
      <c r="G2224" s="31" t="s">
        <v>227</v>
      </c>
      <c r="H2224" s="23" t="s">
        <v>28</v>
      </c>
      <c r="I2224" s="6" t="str">
        <f>VLOOKUP(H2224,'Flow Location'!$A$1:$B$21,2,FALSE)</f>
        <v>Storm Sewer (not contained)</v>
      </c>
      <c r="J2224" s="28">
        <v>8640.0</v>
      </c>
      <c r="K2224" s="23" t="s">
        <v>29</v>
      </c>
      <c r="L2224" s="6" t="str">
        <f>VLOOKUP(K2224,'Structure type'!$A$1:$B$15,2,FALSE)</f>
        <v>Manhole</v>
      </c>
      <c r="M2224" s="34" t="s">
        <v>1174</v>
      </c>
      <c r="N2224" s="6" t="str">
        <f>VLOOKUP(M2224,'Excursion Cause'!$A$1:$B$34,2,FALSE)</f>
        <v>Collection system wet weather</v>
      </c>
      <c r="O2224" s="29">
        <v>44950.0</v>
      </c>
      <c r="P2224" s="30">
        <v>0.6430555555555556</v>
      </c>
      <c r="Q2224" s="29">
        <v>44950.0</v>
      </c>
      <c r="R2224" s="30">
        <v>0.8694444444444445</v>
      </c>
      <c r="S2224" s="28">
        <v>27.0</v>
      </c>
      <c r="T2224" s="23" t="s">
        <v>443</v>
      </c>
      <c r="U2224" s="6"/>
      <c r="V2224" s="6"/>
      <c r="W2224" s="23">
        <v>29.7730511</v>
      </c>
      <c r="X2224" s="23">
        <v>-95.2917465</v>
      </c>
      <c r="AA2224" s="33"/>
      <c r="AB2224" s="33"/>
      <c r="AC2224" s="33"/>
      <c r="AD2224" s="33"/>
      <c r="AE2224" s="33"/>
      <c r="AF2224" s="33"/>
      <c r="AG2224" s="33"/>
      <c r="AH2224" s="33"/>
      <c r="AI2224" s="33"/>
      <c r="AJ2224" s="33"/>
      <c r="AK2224" s="33"/>
      <c r="AL2224" s="33"/>
      <c r="AM2224" s="33"/>
      <c r="AN2224" s="33"/>
      <c r="AO2224" s="33"/>
    </row>
    <row r="2225" ht="15.75" customHeight="1">
      <c r="A2225" s="23">
        <v>50919.0</v>
      </c>
      <c r="B2225" s="23">
        <v>2023.0</v>
      </c>
      <c r="C2225" s="6" t="str">
        <f t="shared" si="7"/>
        <v>6800  LYONS AVE,Houston,TX</v>
      </c>
      <c r="D2225" s="23" t="s">
        <v>3587</v>
      </c>
      <c r="E2225" s="6" t="s">
        <v>25</v>
      </c>
      <c r="F2225" s="6" t="s">
        <v>1388</v>
      </c>
      <c r="G2225" s="31" t="s">
        <v>86</v>
      </c>
      <c r="H2225" s="23" t="s">
        <v>28</v>
      </c>
      <c r="I2225" s="6" t="str">
        <f>VLOOKUP(H2225,'Flow Location'!$A$1:$B$21,2,FALSE)</f>
        <v>Storm Sewer (not contained)</v>
      </c>
      <c r="J2225" s="28">
        <v>4314.0</v>
      </c>
      <c r="K2225" s="23" t="s">
        <v>29</v>
      </c>
      <c r="L2225" s="6" t="str">
        <f>VLOOKUP(K2225,'Structure type'!$A$1:$B$15,2,FALSE)</f>
        <v>Manhole</v>
      </c>
      <c r="M2225" s="34" t="s">
        <v>1174</v>
      </c>
      <c r="N2225" s="6" t="str">
        <f>VLOOKUP(M2225,'Excursion Cause'!$A$1:$B$34,2,FALSE)</f>
        <v>Collection system wet weather</v>
      </c>
      <c r="O2225" s="29">
        <v>44950.0</v>
      </c>
      <c r="P2225" s="30">
        <v>0.65625</v>
      </c>
      <c r="Q2225" s="29">
        <v>44950.0</v>
      </c>
      <c r="R2225" s="30">
        <v>0.8694444444444445</v>
      </c>
      <c r="S2225" s="28">
        <v>14.0</v>
      </c>
      <c r="T2225" s="23" t="s">
        <v>439</v>
      </c>
      <c r="U2225" s="6"/>
      <c r="V2225" s="6"/>
      <c r="W2225" s="23">
        <v>29.7763142</v>
      </c>
      <c r="X2225" s="23">
        <v>-95.3018279</v>
      </c>
      <c r="AA2225" s="33"/>
      <c r="AB2225" s="33"/>
      <c r="AC2225" s="33"/>
      <c r="AD2225" s="33"/>
      <c r="AE2225" s="33"/>
      <c r="AF2225" s="33"/>
      <c r="AG2225" s="33"/>
      <c r="AH2225" s="33"/>
      <c r="AI2225" s="33"/>
      <c r="AJ2225" s="33"/>
      <c r="AK2225" s="33"/>
      <c r="AL2225" s="33"/>
      <c r="AM2225" s="33"/>
      <c r="AN2225" s="33"/>
      <c r="AO2225" s="33"/>
    </row>
    <row r="2226" ht="15.75" customHeight="1">
      <c r="A2226" s="23">
        <v>50920.0</v>
      </c>
      <c r="B2226" s="23">
        <v>2023.0</v>
      </c>
      <c r="C2226" s="6" t="str">
        <f t="shared" si="7"/>
        <v>1006  HACKNEY ST,Houston,TX</v>
      </c>
      <c r="D2226" s="23" t="s">
        <v>3588</v>
      </c>
      <c r="E2226" s="6" t="s">
        <v>25</v>
      </c>
      <c r="F2226" s="6" t="s">
        <v>1388</v>
      </c>
      <c r="G2226" s="31" t="s">
        <v>141</v>
      </c>
      <c r="H2226" s="23" t="s">
        <v>28</v>
      </c>
      <c r="I2226" s="6" t="str">
        <f>VLOOKUP(H2226,'Flow Location'!$A$1:$B$21,2,FALSE)</f>
        <v>Storm Sewer (not contained)</v>
      </c>
      <c r="J2226" s="28">
        <v>2100.0</v>
      </c>
      <c r="K2226" s="23" t="s">
        <v>29</v>
      </c>
      <c r="L2226" s="6" t="str">
        <f>VLOOKUP(K2226,'Structure type'!$A$1:$B$15,2,FALSE)</f>
        <v>Manhole</v>
      </c>
      <c r="M2226" s="34" t="s">
        <v>1174</v>
      </c>
      <c r="N2226" s="6" t="str">
        <f>VLOOKUP(M2226,'Excursion Cause'!$A$1:$B$34,2,FALSE)</f>
        <v>Collection system wet weather</v>
      </c>
      <c r="O2226" s="29">
        <v>44950.0</v>
      </c>
      <c r="P2226" s="30">
        <v>0.6868055555555556</v>
      </c>
      <c r="Q2226" s="29">
        <v>44950.0</v>
      </c>
      <c r="R2226" s="30">
        <v>0.7354166666666667</v>
      </c>
      <c r="S2226" s="28">
        <v>30.0</v>
      </c>
      <c r="T2226" s="23" t="s">
        <v>439</v>
      </c>
      <c r="U2226" s="6"/>
      <c r="V2226" s="6"/>
      <c r="W2226" s="23">
        <v>29.7300828</v>
      </c>
      <c r="X2226" s="23">
        <v>-95.3176786</v>
      </c>
      <c r="AA2226" s="33"/>
      <c r="AB2226" s="33"/>
      <c r="AC2226" s="33"/>
      <c r="AD2226" s="33"/>
      <c r="AE2226" s="33"/>
      <c r="AF2226" s="33"/>
      <c r="AG2226" s="33"/>
      <c r="AH2226" s="33"/>
      <c r="AI2226" s="33"/>
      <c r="AJ2226" s="33"/>
      <c r="AK2226" s="33"/>
      <c r="AL2226" s="33"/>
      <c r="AM2226" s="33"/>
      <c r="AN2226" s="33"/>
      <c r="AO2226" s="33"/>
    </row>
    <row r="2227" ht="15.75" customHeight="1">
      <c r="A2227" s="23">
        <v>50922.0</v>
      </c>
      <c r="B2227" s="23">
        <v>2023.0</v>
      </c>
      <c r="C2227" s="6" t="str">
        <f t="shared" si="7"/>
        <v>6335  BROOKSIDE DR,Houston,TX</v>
      </c>
      <c r="D2227" s="23" t="s">
        <v>3589</v>
      </c>
      <c r="E2227" s="6" t="s">
        <v>25</v>
      </c>
      <c r="F2227" s="6" t="s">
        <v>1388</v>
      </c>
      <c r="G2227" s="31" t="s">
        <v>141</v>
      </c>
      <c r="H2227" s="23" t="s">
        <v>28</v>
      </c>
      <c r="I2227" s="6" t="str">
        <f>VLOOKUP(H2227,'Flow Location'!$A$1:$B$21,2,FALSE)</f>
        <v>Storm Sewer (not contained)</v>
      </c>
      <c r="J2227" s="28">
        <v>810.0</v>
      </c>
      <c r="K2227" s="23" t="s">
        <v>29</v>
      </c>
      <c r="L2227" s="6" t="str">
        <f>VLOOKUP(K2227,'Structure type'!$A$1:$B$15,2,FALSE)</f>
        <v>Manhole</v>
      </c>
      <c r="M2227" s="34" t="s">
        <v>1174</v>
      </c>
      <c r="N2227" s="6" t="str">
        <f>VLOOKUP(M2227,'Excursion Cause'!$A$1:$B$34,2,FALSE)</f>
        <v>Collection system wet weather</v>
      </c>
      <c r="O2227" s="29">
        <v>44950.0</v>
      </c>
      <c r="P2227" s="30">
        <v>0.6979166666666666</v>
      </c>
      <c r="Q2227" s="29">
        <v>44950.0</v>
      </c>
      <c r="R2227" s="30">
        <v>0.7347222222222223</v>
      </c>
      <c r="S2227" s="28">
        <v>15.0</v>
      </c>
      <c r="T2227" s="23" t="s">
        <v>439</v>
      </c>
      <c r="U2227" s="6"/>
      <c r="V2227" s="6"/>
      <c r="W2227" s="23">
        <v>29.7297344</v>
      </c>
      <c r="X2227" s="23">
        <v>-95.3153629</v>
      </c>
      <c r="AA2227" s="33"/>
      <c r="AB2227" s="33"/>
      <c r="AC2227" s="33"/>
      <c r="AD2227" s="33"/>
      <c r="AE2227" s="33"/>
      <c r="AF2227" s="33"/>
      <c r="AG2227" s="33"/>
      <c r="AH2227" s="33"/>
      <c r="AI2227" s="33"/>
      <c r="AJ2227" s="33"/>
      <c r="AK2227" s="33"/>
      <c r="AL2227" s="33"/>
      <c r="AM2227" s="33"/>
      <c r="AN2227" s="33"/>
      <c r="AO2227" s="33"/>
    </row>
    <row r="2228" ht="15.75" customHeight="1">
      <c r="A2228" s="23">
        <v>50923.0</v>
      </c>
      <c r="B2228" s="23">
        <v>2023.0</v>
      </c>
      <c r="C2228" s="6" t="str">
        <f t="shared" si="7"/>
        <v>22  DEER RIDGE ESTATES BLVD,Houston,TX</v>
      </c>
      <c r="D2228" s="23" t="s">
        <v>3590</v>
      </c>
      <c r="E2228" s="6" t="s">
        <v>25</v>
      </c>
      <c r="F2228" s="6" t="s">
        <v>1388</v>
      </c>
      <c r="G2228" s="31" t="s">
        <v>1078</v>
      </c>
      <c r="H2228" s="23" t="s">
        <v>50</v>
      </c>
      <c r="I2228" s="6" t="str">
        <f>VLOOKUP(H2228,'Flow Location'!$A$1:$B$21,2,FALSE)</f>
        <v>Contained On Site, not within 5 ft. of Bayou/Surface Water/Drainage Ditch</v>
      </c>
      <c r="J2228" s="28">
        <v>20.0</v>
      </c>
      <c r="K2228" s="23" t="s">
        <v>3591</v>
      </c>
      <c r="L2228" s="6" t="str">
        <f>VLOOKUP(K2228,'Structure type'!$A$1:$B$15,2,FALSE)</f>
        <v>Lift Station</v>
      </c>
      <c r="M2228" s="23" t="s">
        <v>764</v>
      </c>
      <c r="N2228" s="6" t="str">
        <f>VLOOKUP(M2228,'Excursion Cause'!$A$1:$B$34,2,FALSE)</f>
        <v>Power Outage</v>
      </c>
      <c r="O2228" s="29">
        <v>44950.0</v>
      </c>
      <c r="P2228" s="30">
        <v>0.7166666666666667</v>
      </c>
      <c r="Q2228" s="29">
        <v>44950.0</v>
      </c>
      <c r="R2228" s="30">
        <v>0.7236111111111111</v>
      </c>
      <c r="S2228" s="28">
        <v>2.0</v>
      </c>
      <c r="T2228" s="23" t="s">
        <v>118</v>
      </c>
      <c r="U2228" s="6"/>
      <c r="V2228" s="6"/>
      <c r="W2228" s="23">
        <v>30.0317814</v>
      </c>
      <c r="X2228" s="23">
        <v>-95.2238321</v>
      </c>
      <c r="AA2228" s="33"/>
      <c r="AB2228" s="33"/>
      <c r="AC2228" s="33"/>
      <c r="AD2228" s="33"/>
      <c r="AE2228" s="33"/>
      <c r="AF2228" s="33"/>
      <c r="AG2228" s="33"/>
      <c r="AH2228" s="33"/>
      <c r="AI2228" s="33"/>
      <c r="AJ2228" s="33"/>
      <c r="AK2228" s="33"/>
      <c r="AL2228" s="33"/>
      <c r="AM2228" s="33"/>
      <c r="AN2228" s="33"/>
      <c r="AO2228" s="33"/>
    </row>
    <row r="2229" ht="15.75" customHeight="1">
      <c r="A2229" s="23">
        <v>50924.0</v>
      </c>
      <c r="B2229" s="23">
        <v>2023.0</v>
      </c>
      <c r="C2229" s="6" t="str">
        <f t="shared" si="7"/>
        <v>8007  CAPITOL ST,Houston,TX</v>
      </c>
      <c r="D2229" s="23" t="s">
        <v>3532</v>
      </c>
      <c r="E2229" s="6" t="s">
        <v>25</v>
      </c>
      <c r="F2229" s="6" t="s">
        <v>1388</v>
      </c>
      <c r="G2229" s="31" t="s">
        <v>365</v>
      </c>
      <c r="H2229" s="23" t="s">
        <v>28</v>
      </c>
      <c r="I2229" s="6" t="str">
        <f>VLOOKUP(H2229,'Flow Location'!$A$1:$B$21,2,FALSE)</f>
        <v>Storm Sewer (not contained)</v>
      </c>
      <c r="J2229" s="28">
        <v>1320.0</v>
      </c>
      <c r="K2229" s="23" t="s">
        <v>29</v>
      </c>
      <c r="L2229" s="6" t="str">
        <f>VLOOKUP(K2229,'Structure type'!$A$1:$B$15,2,FALSE)</f>
        <v>Manhole</v>
      </c>
      <c r="M2229" s="23" t="s">
        <v>764</v>
      </c>
      <c r="N2229" s="6" t="str">
        <f>VLOOKUP(M2229,'Excursion Cause'!$A$1:$B$34,2,FALSE)</f>
        <v>Power Outage</v>
      </c>
      <c r="O2229" s="29">
        <v>44950.0</v>
      </c>
      <c r="P2229" s="30">
        <v>0.8180555555555555</v>
      </c>
      <c r="Q2229" s="29">
        <v>44950.0</v>
      </c>
      <c r="R2229" s="30">
        <v>0.8486111111111111</v>
      </c>
      <c r="S2229" s="28">
        <v>30.0</v>
      </c>
      <c r="T2229" s="23" t="s">
        <v>118</v>
      </c>
      <c r="U2229" s="6"/>
      <c r="V2229" s="6"/>
      <c r="W2229" s="23">
        <v>29.7281795</v>
      </c>
      <c r="X2229" s="23">
        <v>-95.2822579</v>
      </c>
      <c r="AA2229" s="33"/>
      <c r="AB2229" s="33"/>
      <c r="AC2229" s="33"/>
      <c r="AD2229" s="33"/>
      <c r="AE2229" s="33"/>
      <c r="AF2229" s="33"/>
      <c r="AG2229" s="33"/>
      <c r="AH2229" s="33"/>
      <c r="AI2229" s="33"/>
      <c r="AJ2229" s="33"/>
      <c r="AK2229" s="33"/>
      <c r="AL2229" s="33"/>
      <c r="AM2229" s="33"/>
      <c r="AN2229" s="33"/>
      <c r="AO2229" s="33"/>
    </row>
    <row r="2230" ht="15.75" customHeight="1">
      <c r="A2230" s="23">
        <v>50925.0</v>
      </c>
      <c r="B2230" s="23">
        <v>2023.0</v>
      </c>
      <c r="C2230" s="6" t="str">
        <f t="shared" si="7"/>
        <v>7947  CAPITOL ST,Houston,TX</v>
      </c>
      <c r="D2230" s="23" t="s">
        <v>3534</v>
      </c>
      <c r="E2230" s="6" t="s">
        <v>25</v>
      </c>
      <c r="F2230" s="6" t="s">
        <v>1388</v>
      </c>
      <c r="G2230" s="31" t="s">
        <v>365</v>
      </c>
      <c r="H2230" s="23" t="s">
        <v>28</v>
      </c>
      <c r="I2230" s="6" t="str">
        <f>VLOOKUP(H2230,'Flow Location'!$A$1:$B$21,2,FALSE)</f>
        <v>Storm Sewer (not contained)</v>
      </c>
      <c r="J2230" s="28">
        <v>440.0</v>
      </c>
      <c r="K2230" s="23" t="s">
        <v>29</v>
      </c>
      <c r="L2230" s="6" t="str">
        <f>VLOOKUP(K2230,'Structure type'!$A$1:$B$15,2,FALSE)</f>
        <v>Manhole</v>
      </c>
      <c r="M2230" s="23" t="s">
        <v>764</v>
      </c>
      <c r="N2230" s="6" t="str">
        <f>VLOOKUP(M2230,'Excursion Cause'!$A$1:$B$34,2,FALSE)</f>
        <v>Power Outage</v>
      </c>
      <c r="O2230" s="29">
        <v>44950.0</v>
      </c>
      <c r="P2230" s="30">
        <v>0.8180555555555555</v>
      </c>
      <c r="Q2230" s="29">
        <v>44950.0</v>
      </c>
      <c r="R2230" s="30">
        <v>0.8486111111111111</v>
      </c>
      <c r="S2230" s="28">
        <v>10.0</v>
      </c>
      <c r="T2230" s="23" t="s">
        <v>118</v>
      </c>
      <c r="U2230" s="6"/>
      <c r="V2230" s="6"/>
      <c r="W2230" s="23">
        <v>29.7282855</v>
      </c>
      <c r="X2230" s="23">
        <v>-95.2828793</v>
      </c>
      <c r="AA2230" s="33"/>
      <c r="AB2230" s="33"/>
      <c r="AC2230" s="33"/>
      <c r="AD2230" s="33"/>
      <c r="AE2230" s="33"/>
      <c r="AF2230" s="33"/>
      <c r="AG2230" s="33"/>
      <c r="AH2230" s="33"/>
      <c r="AI2230" s="33"/>
      <c r="AJ2230" s="33"/>
      <c r="AK2230" s="33"/>
      <c r="AL2230" s="33"/>
      <c r="AM2230" s="33"/>
      <c r="AN2230" s="33"/>
      <c r="AO2230" s="33"/>
    </row>
    <row r="2231" ht="15.75" customHeight="1">
      <c r="A2231" s="23">
        <v>50926.0</v>
      </c>
      <c r="B2231" s="23">
        <v>2023.0</v>
      </c>
      <c r="C2231" s="6" t="str">
        <f t="shared" si="7"/>
        <v>7947  CAPITOL ST,Houston,TX</v>
      </c>
      <c r="D2231" s="23" t="s">
        <v>3534</v>
      </c>
      <c r="E2231" s="6" t="s">
        <v>25</v>
      </c>
      <c r="F2231" s="6" t="s">
        <v>1388</v>
      </c>
      <c r="G2231" s="31" t="s">
        <v>365</v>
      </c>
      <c r="H2231" s="23" t="s">
        <v>28</v>
      </c>
      <c r="I2231" s="6" t="str">
        <f>VLOOKUP(H2231,'Flow Location'!$A$1:$B$21,2,FALSE)</f>
        <v>Storm Sewer (not contained)</v>
      </c>
      <c r="J2231" s="28">
        <v>220.0</v>
      </c>
      <c r="K2231" s="23" t="s">
        <v>29</v>
      </c>
      <c r="L2231" s="6" t="str">
        <f>VLOOKUP(K2231,'Structure type'!$A$1:$B$15,2,FALSE)</f>
        <v>Manhole</v>
      </c>
      <c r="M2231" s="23" t="s">
        <v>764</v>
      </c>
      <c r="N2231" s="6" t="str">
        <f>VLOOKUP(M2231,'Excursion Cause'!$A$1:$B$34,2,FALSE)</f>
        <v>Power Outage</v>
      </c>
      <c r="O2231" s="29">
        <v>44950.0</v>
      </c>
      <c r="P2231" s="30">
        <v>0.8180555555555555</v>
      </c>
      <c r="Q2231" s="29">
        <v>44950.0</v>
      </c>
      <c r="R2231" s="30">
        <v>0.8486111111111111</v>
      </c>
      <c r="S2231" s="28">
        <v>5.0</v>
      </c>
      <c r="T2231" s="23" t="s">
        <v>118</v>
      </c>
      <c r="U2231" s="6"/>
      <c r="V2231" s="6"/>
      <c r="W2231" s="23">
        <v>29.7282855</v>
      </c>
      <c r="X2231" s="23">
        <v>-95.2828793</v>
      </c>
      <c r="AA2231" s="33"/>
      <c r="AB2231" s="33"/>
      <c r="AC2231" s="33"/>
      <c r="AD2231" s="33"/>
      <c r="AE2231" s="33"/>
      <c r="AF2231" s="33"/>
      <c r="AG2231" s="33"/>
      <c r="AH2231" s="33"/>
      <c r="AI2231" s="33"/>
      <c r="AJ2231" s="33"/>
      <c r="AK2231" s="33"/>
      <c r="AL2231" s="33"/>
      <c r="AM2231" s="33"/>
      <c r="AN2231" s="33"/>
      <c r="AO2231" s="33"/>
    </row>
    <row r="2232" ht="15.75" customHeight="1">
      <c r="A2232" s="23">
        <v>50927.0</v>
      </c>
      <c r="B2232" s="23">
        <v>2023.0</v>
      </c>
      <c r="C2232" s="6" t="str">
        <f t="shared" si="7"/>
        <v>1443  BLAIR ST,Houston,TX</v>
      </c>
      <c r="D2232" s="23" t="s">
        <v>3592</v>
      </c>
      <c r="E2232" s="6" t="s">
        <v>25</v>
      </c>
      <c r="F2232" s="6" t="s">
        <v>1388</v>
      </c>
      <c r="G2232" s="31" t="s">
        <v>232</v>
      </c>
      <c r="H2232" s="23" t="s">
        <v>50</v>
      </c>
      <c r="I2232" s="6" t="str">
        <f>VLOOKUP(H2232,'Flow Location'!$A$1:$B$21,2,FALSE)</f>
        <v>Contained On Site, not within 5 ft. of Bayou/Surface Water/Drainage Ditch</v>
      </c>
      <c r="J2232" s="28">
        <v>0.0</v>
      </c>
      <c r="K2232" s="23" t="s">
        <v>45</v>
      </c>
      <c r="L2232" s="6" t="str">
        <f>VLOOKUP(K2232,'Structure type'!$A$1:$B$15,2,FALSE)</f>
        <v>City Cleanout</v>
      </c>
      <c r="M2232" s="23" t="s">
        <v>30</v>
      </c>
      <c r="N2232" s="6" t="str">
        <f>VLOOKUP(M2232,'Excursion Cause'!$A$1:$B$34,2,FALSE)</f>
        <v>Grease Blockage</v>
      </c>
      <c r="O2232" s="29">
        <v>44951.0</v>
      </c>
      <c r="P2232" s="30">
        <v>0.36944444444444446</v>
      </c>
      <c r="Q2232" s="29">
        <v>44951.0</v>
      </c>
      <c r="R2232" s="30">
        <v>0.3701388888888889</v>
      </c>
      <c r="S2232" s="28">
        <v>0.0</v>
      </c>
      <c r="T2232" s="23" t="s">
        <v>270</v>
      </c>
      <c r="U2232" s="6"/>
      <c r="V2232" s="6"/>
      <c r="W2232" s="23">
        <v>29.7977349</v>
      </c>
      <c r="X2232" s="23">
        <v>-95.4071685</v>
      </c>
      <c r="AA2232" s="33"/>
      <c r="AB2232" s="33"/>
      <c r="AC2232" s="33"/>
      <c r="AD2232" s="33"/>
      <c r="AE2232" s="33"/>
      <c r="AF2232" s="33"/>
      <c r="AG2232" s="33"/>
      <c r="AH2232" s="33"/>
      <c r="AI2232" s="33"/>
      <c r="AJ2232" s="33"/>
      <c r="AK2232" s="33"/>
      <c r="AL2232" s="33"/>
      <c r="AM2232" s="33"/>
      <c r="AN2232" s="33"/>
      <c r="AO2232" s="33"/>
    </row>
    <row r="2233" ht="15.75" customHeight="1">
      <c r="A2233" s="23">
        <v>50931.0</v>
      </c>
      <c r="B2233" s="23">
        <v>2023.0</v>
      </c>
      <c r="C2233" s="6" t="str">
        <f t="shared" si="7"/>
        <v>8302  GULF TREE LN,Houston,TX</v>
      </c>
      <c r="D2233" s="23" t="s">
        <v>3593</v>
      </c>
      <c r="E2233" s="6" t="s">
        <v>25</v>
      </c>
      <c r="F2233" s="6" t="s">
        <v>1388</v>
      </c>
      <c r="G2233" s="31" t="s">
        <v>95</v>
      </c>
      <c r="H2233" s="23" t="s">
        <v>28</v>
      </c>
      <c r="I2233" s="6" t="str">
        <f>VLOOKUP(H2233,'Flow Location'!$A$1:$B$21,2,FALSE)</f>
        <v>Storm Sewer (not contained)</v>
      </c>
      <c r="J2233" s="28">
        <v>514.0</v>
      </c>
      <c r="K2233" s="23" t="s">
        <v>29</v>
      </c>
      <c r="L2233" s="6" t="str">
        <f>VLOOKUP(K2233,'Structure type'!$A$1:$B$15,2,FALSE)</f>
        <v>Manhole</v>
      </c>
      <c r="M2233" s="23" t="s">
        <v>30</v>
      </c>
      <c r="N2233" s="6" t="str">
        <f>VLOOKUP(M2233,'Excursion Cause'!$A$1:$B$34,2,FALSE)</f>
        <v>Grease Blockage</v>
      </c>
      <c r="O2233" s="29">
        <v>44951.0</v>
      </c>
      <c r="P2233" s="30">
        <v>0.39444444444444443</v>
      </c>
      <c r="Q2233" s="29">
        <v>44951.0</v>
      </c>
      <c r="R2233" s="30">
        <v>0.5729166666666666</v>
      </c>
      <c r="S2233" s="28">
        <v>2.0</v>
      </c>
      <c r="T2233" s="23" t="s">
        <v>59</v>
      </c>
      <c r="U2233" s="6"/>
      <c r="V2233" s="6"/>
      <c r="W2233" s="23">
        <v>29.6058837</v>
      </c>
      <c r="X2233" s="23">
        <v>-95.2714336</v>
      </c>
      <c r="AA2233" s="33"/>
      <c r="AB2233" s="33"/>
      <c r="AC2233" s="33"/>
      <c r="AD2233" s="33"/>
      <c r="AE2233" s="33"/>
      <c r="AF2233" s="33"/>
      <c r="AG2233" s="33"/>
      <c r="AH2233" s="33"/>
      <c r="AI2233" s="33"/>
      <c r="AJ2233" s="33"/>
      <c r="AK2233" s="33"/>
      <c r="AL2233" s="33"/>
      <c r="AM2233" s="33"/>
      <c r="AN2233" s="33"/>
      <c r="AO2233" s="33"/>
    </row>
    <row r="2234" ht="15.75" customHeight="1">
      <c r="A2234" s="23">
        <v>50935.0</v>
      </c>
      <c r="B2234" s="23">
        <v>2023.0</v>
      </c>
      <c r="C2234" s="6" t="str">
        <f t="shared" si="7"/>
        <v>2302  STATELY OAK ST,Houston,TX</v>
      </c>
      <c r="D2234" s="23" t="s">
        <v>3594</v>
      </c>
      <c r="E2234" s="6" t="s">
        <v>25</v>
      </c>
      <c r="F2234" s="6" t="s">
        <v>1388</v>
      </c>
      <c r="G2234" s="31" t="s">
        <v>555</v>
      </c>
      <c r="H2234" s="23" t="s">
        <v>50</v>
      </c>
      <c r="I2234" s="6" t="str">
        <f>VLOOKUP(H2234,'Flow Location'!$A$1:$B$21,2,FALSE)</f>
        <v>Contained On Site, not within 5 ft. of Bayou/Surface Water/Drainage Ditch</v>
      </c>
      <c r="J2234" s="28">
        <v>0.0</v>
      </c>
      <c r="K2234" s="23" t="s">
        <v>29</v>
      </c>
      <c r="L2234" s="6" t="str">
        <f>VLOOKUP(K2234,'Structure type'!$A$1:$B$15,2,FALSE)</f>
        <v>Manhole</v>
      </c>
      <c r="M2234" s="23" t="s">
        <v>764</v>
      </c>
      <c r="N2234" s="6" t="str">
        <f>VLOOKUP(M2234,'Excursion Cause'!$A$1:$B$34,2,FALSE)</f>
        <v>Power Outage</v>
      </c>
      <c r="O2234" s="29">
        <v>44951.0</v>
      </c>
      <c r="P2234" s="30">
        <v>0.44722222222222224</v>
      </c>
      <c r="Q2234" s="29">
        <v>44951.0</v>
      </c>
      <c r="R2234" s="30">
        <v>0.4479166666666667</v>
      </c>
      <c r="S2234" s="28">
        <v>0.0</v>
      </c>
      <c r="T2234" s="23" t="s">
        <v>193</v>
      </c>
      <c r="U2234" s="6"/>
      <c r="V2234" s="6"/>
      <c r="W2234" s="23">
        <v>30.0553164</v>
      </c>
      <c r="X2234" s="23">
        <v>-95.1465258</v>
      </c>
      <c r="AA2234" s="33"/>
      <c r="AB2234" s="33"/>
      <c r="AC2234" s="33"/>
      <c r="AD2234" s="33"/>
      <c r="AE2234" s="33"/>
      <c r="AF2234" s="33"/>
      <c r="AG2234" s="33"/>
      <c r="AH2234" s="33"/>
      <c r="AI2234" s="33"/>
      <c r="AJ2234" s="33"/>
      <c r="AK2234" s="33"/>
      <c r="AL2234" s="33"/>
      <c r="AM2234" s="33"/>
      <c r="AN2234" s="33"/>
      <c r="AO2234" s="33"/>
    </row>
    <row r="2235" ht="15.75" customHeight="1">
      <c r="A2235" s="23">
        <v>50937.0</v>
      </c>
      <c r="B2235" s="23">
        <v>2023.0</v>
      </c>
      <c r="C2235" s="6" t="str">
        <f t="shared" si="7"/>
        <v>1201  SPRING ST,Houston,TX</v>
      </c>
      <c r="D2235" s="23" t="s">
        <v>3518</v>
      </c>
      <c r="E2235" s="6" t="s">
        <v>25</v>
      </c>
      <c r="F2235" s="6" t="s">
        <v>1388</v>
      </c>
      <c r="G2235" s="31" t="s">
        <v>158</v>
      </c>
      <c r="H2235" s="23" t="s">
        <v>28</v>
      </c>
      <c r="I2235" s="6" t="str">
        <f>VLOOKUP(H2235,'Flow Location'!$A$1:$B$21,2,FALSE)</f>
        <v>Storm Sewer (not contained)</v>
      </c>
      <c r="J2235" s="28">
        <v>0.0</v>
      </c>
      <c r="K2235" s="23" t="s">
        <v>29</v>
      </c>
      <c r="L2235" s="6" t="str">
        <f>VLOOKUP(K2235,'Structure type'!$A$1:$B$15,2,FALSE)</f>
        <v>Manhole</v>
      </c>
      <c r="M2235" s="34" t="s">
        <v>1174</v>
      </c>
      <c r="N2235" s="6" t="str">
        <f>VLOOKUP(M2235,'Excursion Cause'!$A$1:$B$34,2,FALSE)</f>
        <v>Collection system wet weather</v>
      </c>
      <c r="O2235" s="29">
        <v>44951.0</v>
      </c>
      <c r="P2235" s="30">
        <v>0.49375</v>
      </c>
      <c r="Q2235" s="29">
        <v>44951.0</v>
      </c>
      <c r="R2235" s="30">
        <v>0.49444444444444446</v>
      </c>
      <c r="S2235" s="28">
        <v>0.0</v>
      </c>
      <c r="T2235" s="23" t="s">
        <v>118</v>
      </c>
      <c r="U2235" s="6"/>
      <c r="V2235" s="6"/>
      <c r="W2235" s="23">
        <v>29.7750218</v>
      </c>
      <c r="X2235" s="23">
        <v>-95.3692033</v>
      </c>
      <c r="AA2235" s="33"/>
      <c r="AB2235" s="33"/>
      <c r="AC2235" s="33"/>
      <c r="AD2235" s="33"/>
      <c r="AE2235" s="33"/>
      <c r="AF2235" s="33"/>
      <c r="AG2235" s="33"/>
      <c r="AH2235" s="33"/>
      <c r="AI2235" s="33"/>
      <c r="AJ2235" s="33"/>
      <c r="AK2235" s="33"/>
      <c r="AL2235" s="33"/>
      <c r="AM2235" s="33"/>
      <c r="AN2235" s="33"/>
      <c r="AO2235" s="33"/>
    </row>
    <row r="2236" ht="15.75" customHeight="1">
      <c r="A2236" s="23">
        <v>50949.0</v>
      </c>
      <c r="B2236" s="23">
        <v>2023.0</v>
      </c>
      <c r="C2236" s="6" t="str">
        <f t="shared" si="7"/>
        <v>7901  LEONORA ST,Houston,TX</v>
      </c>
      <c r="D2236" s="23" t="s">
        <v>3595</v>
      </c>
      <c r="E2236" s="6" t="s">
        <v>25</v>
      </c>
      <c r="F2236" s="6" t="s">
        <v>1388</v>
      </c>
      <c r="G2236" s="31" t="s">
        <v>398</v>
      </c>
      <c r="H2236" s="23" t="s">
        <v>28</v>
      </c>
      <c r="I2236" s="6" t="str">
        <f>VLOOKUP(H2236,'Flow Location'!$A$1:$B$21,2,FALSE)</f>
        <v>Storm Sewer (not contained)</v>
      </c>
      <c r="J2236" s="28">
        <v>576.0</v>
      </c>
      <c r="K2236" s="23" t="s">
        <v>51</v>
      </c>
      <c r="L2236" s="6" t="str">
        <f>VLOOKUP(K2236,'Structure type'!$A$1:$B$15,2,FALSE)</f>
        <v>Private Cleanout</v>
      </c>
      <c r="M2236" s="23" t="s">
        <v>366</v>
      </c>
      <c r="N2236" s="6" t="str">
        <f>VLOOKUP(M2236,'Excursion Cause'!$A$1:$B$34,2,FALSE)</f>
        <v>Collection system structural blockage</v>
      </c>
      <c r="O2236" s="29">
        <v>44952.0</v>
      </c>
      <c r="P2236" s="30">
        <v>0.3541666666666667</v>
      </c>
      <c r="Q2236" s="29">
        <v>44952.0</v>
      </c>
      <c r="R2236" s="30">
        <v>0.5541666666666667</v>
      </c>
      <c r="S2236" s="28">
        <v>2.0</v>
      </c>
      <c r="T2236" s="23" t="s">
        <v>107</v>
      </c>
      <c r="U2236" s="6"/>
      <c r="V2236" s="6"/>
      <c r="W2236" s="23">
        <v>29.676102</v>
      </c>
      <c r="X2236" s="23">
        <v>-95.286231</v>
      </c>
      <c r="AA2236" s="33"/>
      <c r="AB2236" s="33"/>
      <c r="AC2236" s="33"/>
      <c r="AD2236" s="33"/>
      <c r="AE2236" s="33"/>
      <c r="AF2236" s="33"/>
      <c r="AG2236" s="33"/>
      <c r="AH2236" s="33"/>
      <c r="AI2236" s="33"/>
      <c r="AJ2236" s="33"/>
      <c r="AK2236" s="33"/>
      <c r="AL2236" s="33"/>
      <c r="AM2236" s="33"/>
      <c r="AN2236" s="33"/>
      <c r="AO2236" s="33"/>
    </row>
    <row r="2237" ht="15.75" customHeight="1">
      <c r="A2237" s="23">
        <v>50950.0</v>
      </c>
      <c r="B2237" s="23">
        <v>2023.0</v>
      </c>
      <c r="C2237" s="6" t="str">
        <f t="shared" si="7"/>
        <v>1325  MUNGER ST,Houston,TX</v>
      </c>
      <c r="D2237" s="23" t="s">
        <v>3596</v>
      </c>
      <c r="E2237" s="6" t="s">
        <v>25</v>
      </c>
      <c r="F2237" s="6" t="s">
        <v>1388</v>
      </c>
      <c r="G2237" s="31" t="s">
        <v>141</v>
      </c>
      <c r="H2237" s="23" t="s">
        <v>50</v>
      </c>
      <c r="I2237" s="6" t="str">
        <f>VLOOKUP(H2237,'Flow Location'!$A$1:$B$21,2,FALSE)</f>
        <v>Contained On Site, not within 5 ft. of Bayou/Surface Water/Drainage Ditch</v>
      </c>
      <c r="J2237" s="28">
        <v>0.0</v>
      </c>
      <c r="K2237" s="23" t="s">
        <v>45</v>
      </c>
      <c r="L2237" s="6" t="str">
        <f>VLOOKUP(K2237,'Structure type'!$A$1:$B$15,2,FALSE)</f>
        <v>City Cleanout</v>
      </c>
      <c r="M2237" s="23" t="s">
        <v>30</v>
      </c>
      <c r="N2237" s="6" t="str">
        <f>VLOOKUP(M2237,'Excursion Cause'!$A$1:$B$34,2,FALSE)</f>
        <v>Grease Blockage</v>
      </c>
      <c r="O2237" s="29">
        <v>44952.0</v>
      </c>
      <c r="P2237" s="30">
        <v>0.5819444444444445</v>
      </c>
      <c r="Q2237" s="29">
        <v>44952.0</v>
      </c>
      <c r="R2237" s="30">
        <v>0.5826388888888889</v>
      </c>
      <c r="S2237" s="28">
        <v>0.0</v>
      </c>
      <c r="T2237" s="23" t="s">
        <v>270</v>
      </c>
      <c r="U2237" s="6"/>
      <c r="V2237" s="6"/>
      <c r="W2237" s="23">
        <v>29.7284967</v>
      </c>
      <c r="X2237" s="23">
        <v>-95.3333102</v>
      </c>
      <c r="AA2237" s="33"/>
      <c r="AB2237" s="33"/>
      <c r="AC2237" s="33"/>
      <c r="AD2237" s="33"/>
      <c r="AE2237" s="33"/>
      <c r="AF2237" s="33"/>
      <c r="AG2237" s="33"/>
      <c r="AH2237" s="33"/>
      <c r="AI2237" s="33"/>
      <c r="AJ2237" s="33"/>
      <c r="AK2237" s="33"/>
      <c r="AL2237" s="33"/>
      <c r="AM2237" s="33"/>
      <c r="AN2237" s="33"/>
      <c r="AO2237" s="33"/>
    </row>
    <row r="2238" ht="15.75" customHeight="1">
      <c r="A2238" s="23">
        <v>50956.0</v>
      </c>
      <c r="B2238" s="23">
        <v>2023.0</v>
      </c>
      <c r="C2238" s="6" t="str">
        <f t="shared" si="7"/>
        <v>7509 1/2  PAGEWOOD LN,Houston,TX</v>
      </c>
      <c r="D2238" s="23" t="s">
        <v>3597</v>
      </c>
      <c r="E2238" s="6" t="s">
        <v>25</v>
      </c>
      <c r="F2238" s="6" t="s">
        <v>1388</v>
      </c>
      <c r="G2238" s="31" t="s">
        <v>482</v>
      </c>
      <c r="H2238" s="23" t="s">
        <v>50</v>
      </c>
      <c r="I2238" s="6" t="str">
        <f>VLOOKUP(H2238,'Flow Location'!$A$1:$B$21,2,FALSE)</f>
        <v>Contained On Site, not within 5 ft. of Bayou/Surface Water/Drainage Ditch</v>
      </c>
      <c r="J2238" s="28">
        <v>430.0</v>
      </c>
      <c r="K2238" s="23" t="s">
        <v>29</v>
      </c>
      <c r="L2238" s="6" t="str">
        <f>VLOOKUP(K2238,'Structure type'!$A$1:$B$15,2,FALSE)</f>
        <v>Manhole</v>
      </c>
      <c r="M2238" s="23" t="s">
        <v>30</v>
      </c>
      <c r="N2238" s="6" t="str">
        <f>VLOOKUP(M2238,'Excursion Cause'!$A$1:$B$34,2,FALSE)</f>
        <v>Grease Blockage</v>
      </c>
      <c r="O2238" s="29">
        <v>44952.0</v>
      </c>
      <c r="P2238" s="30">
        <v>0.7048611111111112</v>
      </c>
      <c r="Q2238" s="29">
        <v>44952.0</v>
      </c>
      <c r="R2238" s="30">
        <v>0.8541666666666666</v>
      </c>
      <c r="S2238" s="28">
        <v>2.0</v>
      </c>
      <c r="T2238" s="23" t="s">
        <v>33</v>
      </c>
      <c r="U2238" s="6"/>
      <c r="V2238" s="6"/>
      <c r="W2238" s="23">
        <v>29.7265029</v>
      </c>
      <c r="X2238" s="23">
        <v>-95.5014241</v>
      </c>
      <c r="AA2238" s="33"/>
      <c r="AB2238" s="33"/>
      <c r="AC2238" s="33"/>
      <c r="AD2238" s="33"/>
      <c r="AE2238" s="33"/>
      <c r="AF2238" s="33"/>
      <c r="AG2238" s="33"/>
      <c r="AH2238" s="33"/>
      <c r="AI2238" s="33"/>
      <c r="AJ2238" s="33"/>
      <c r="AK2238" s="33"/>
      <c r="AL2238" s="33"/>
      <c r="AM2238" s="33"/>
      <c r="AN2238" s="33"/>
      <c r="AO2238" s="33"/>
    </row>
    <row r="2239" ht="15.75" customHeight="1">
      <c r="A2239" s="23">
        <v>50957.0</v>
      </c>
      <c r="B2239" s="23">
        <v>2023.0</v>
      </c>
      <c r="C2239" s="6" t="str">
        <f t="shared" si="7"/>
        <v>6747  LAWNDALE ST,Houston,TX</v>
      </c>
      <c r="D2239" s="23" t="s">
        <v>3598</v>
      </c>
      <c r="E2239" s="6" t="s">
        <v>25</v>
      </c>
      <c r="F2239" s="6" t="s">
        <v>1388</v>
      </c>
      <c r="G2239" s="31" t="s">
        <v>227</v>
      </c>
      <c r="H2239" s="23" t="s">
        <v>44</v>
      </c>
      <c r="I2239" s="6" t="str">
        <f>VLOOKUP(H2239,'Flow Location'!$A$1:$B$21,2,FALSE)</f>
        <v>Bayou/surface water/drainage ditch</v>
      </c>
      <c r="J2239" s="28">
        <v>0.0</v>
      </c>
      <c r="K2239" s="23" t="s">
        <v>290</v>
      </c>
      <c r="L2239" s="6" t="str">
        <f>VLOOKUP(K2239,'Structure type'!$A$1:$B$15,2,FALSE)</f>
        <v>Gravity Main</v>
      </c>
      <c r="M2239" s="23" t="s">
        <v>96</v>
      </c>
      <c r="N2239" s="6" t="str">
        <f>VLOOKUP(M2239,'Excursion Cause'!$A$1:$B$34,2,FALSE)</f>
        <v>Collection system temporary blockage</v>
      </c>
      <c r="O2239" s="29">
        <v>44950.0</v>
      </c>
      <c r="P2239" s="30">
        <v>0.7916666666666666</v>
      </c>
      <c r="Q2239" s="29">
        <v>44950.0</v>
      </c>
      <c r="R2239" s="30">
        <v>0.7923611111111111</v>
      </c>
      <c r="S2239" s="28">
        <v>0.0</v>
      </c>
      <c r="T2239" s="23" t="s">
        <v>443</v>
      </c>
      <c r="U2239" s="6"/>
      <c r="V2239" s="6"/>
      <c r="W2239" s="23">
        <v>29.7230744</v>
      </c>
      <c r="X2239" s="23">
        <v>-95.3060569</v>
      </c>
      <c r="AA2239" s="33"/>
      <c r="AB2239" s="33"/>
      <c r="AC2239" s="33"/>
      <c r="AD2239" s="33"/>
      <c r="AE2239" s="33"/>
      <c r="AF2239" s="33"/>
      <c r="AG2239" s="33"/>
      <c r="AH2239" s="33"/>
      <c r="AI2239" s="33"/>
      <c r="AJ2239" s="33"/>
      <c r="AK2239" s="33"/>
      <c r="AL2239" s="33"/>
      <c r="AM2239" s="33"/>
      <c r="AN2239" s="33"/>
      <c r="AO2239" s="33"/>
    </row>
    <row r="2240" ht="15.75" customHeight="1">
      <c r="A2240" s="23">
        <v>50959.0</v>
      </c>
      <c r="B2240" s="23">
        <v>2023.0</v>
      </c>
      <c r="C2240" s="6" t="str">
        <f t="shared" si="7"/>
        <v>8550  GUINEVERE ST,Houston,TX</v>
      </c>
      <c r="D2240" s="23" t="s">
        <v>3599</v>
      </c>
      <c r="E2240" s="6" t="s">
        <v>25</v>
      </c>
      <c r="F2240" s="6" t="s">
        <v>1388</v>
      </c>
      <c r="G2240" s="31" t="s">
        <v>247</v>
      </c>
      <c r="H2240" s="23" t="s">
        <v>50</v>
      </c>
      <c r="I2240" s="6" t="str">
        <f>VLOOKUP(H2240,'Flow Location'!$A$1:$B$21,2,FALSE)</f>
        <v>Contained On Site, not within 5 ft. of Bayou/Surface Water/Drainage Ditch</v>
      </c>
      <c r="J2240" s="28">
        <v>608.0</v>
      </c>
      <c r="K2240" s="23" t="s">
        <v>29</v>
      </c>
      <c r="L2240" s="6" t="str">
        <f>VLOOKUP(K2240,'Structure type'!$A$1:$B$15,2,FALSE)</f>
        <v>Manhole</v>
      </c>
      <c r="M2240" s="23" t="s">
        <v>30</v>
      </c>
      <c r="N2240" s="6" t="str">
        <f>VLOOKUP(M2240,'Excursion Cause'!$A$1:$B$34,2,FALSE)</f>
        <v>Grease Blockage</v>
      </c>
      <c r="O2240" s="29">
        <v>44953.0</v>
      </c>
      <c r="P2240" s="30">
        <v>0.42083333333333334</v>
      </c>
      <c r="Q2240" s="29">
        <v>44953.0</v>
      </c>
      <c r="R2240" s="30">
        <v>0.6319444444444444</v>
      </c>
      <c r="S2240" s="28">
        <v>2.0</v>
      </c>
      <c r="T2240" s="23" t="s">
        <v>59</v>
      </c>
      <c r="U2240" s="6"/>
      <c r="V2240" s="6"/>
      <c r="W2240" s="23">
        <v>29.7600312</v>
      </c>
      <c r="X2240" s="23">
        <v>-95.2730468</v>
      </c>
      <c r="AA2240" s="33"/>
      <c r="AB2240" s="33"/>
      <c r="AC2240" s="33"/>
      <c r="AD2240" s="33"/>
      <c r="AE2240" s="33"/>
      <c r="AF2240" s="33"/>
      <c r="AG2240" s="33"/>
      <c r="AH2240" s="33"/>
      <c r="AI2240" s="33"/>
      <c r="AJ2240" s="33"/>
      <c r="AK2240" s="33"/>
      <c r="AL2240" s="33"/>
      <c r="AM2240" s="33"/>
      <c r="AN2240" s="33"/>
      <c r="AO2240" s="33"/>
    </row>
    <row r="2241" ht="15.75" customHeight="1">
      <c r="A2241" s="23">
        <v>50960.0</v>
      </c>
      <c r="B2241" s="23">
        <v>2023.0</v>
      </c>
      <c r="C2241" s="6" t="str">
        <f t="shared" si="7"/>
        <v>2914  STAPLES ST,Houston,TX</v>
      </c>
      <c r="D2241" s="23" t="s">
        <v>3600</v>
      </c>
      <c r="E2241" s="6" t="s">
        <v>25</v>
      </c>
      <c r="F2241" s="6" t="s">
        <v>1388</v>
      </c>
      <c r="G2241" s="31" t="s">
        <v>43</v>
      </c>
      <c r="H2241" s="23" t="s">
        <v>28</v>
      </c>
      <c r="I2241" s="6" t="str">
        <f>VLOOKUP(H2241,'Flow Location'!$A$1:$B$21,2,FALSE)</f>
        <v>Storm Sewer (not contained)</v>
      </c>
      <c r="J2241" s="28">
        <v>730.0</v>
      </c>
      <c r="K2241" s="23" t="s">
        <v>45</v>
      </c>
      <c r="L2241" s="6" t="str">
        <f>VLOOKUP(K2241,'Structure type'!$A$1:$B$15,2,FALSE)</f>
        <v>City Cleanout</v>
      </c>
      <c r="M2241" s="23" t="s">
        <v>81</v>
      </c>
      <c r="N2241" s="6" t="str">
        <f>VLOOKUP(M2241,'Excursion Cause'!$A$1:$B$34,2,FALSE)</f>
        <v>Collection system structural failure</v>
      </c>
      <c r="O2241" s="29">
        <v>44953.0</v>
      </c>
      <c r="P2241" s="30">
        <v>0.4479166666666667</v>
      </c>
      <c r="Q2241" s="29">
        <v>44953.0</v>
      </c>
      <c r="R2241" s="30">
        <v>0.7013888888888888</v>
      </c>
      <c r="S2241" s="28">
        <v>2.0</v>
      </c>
      <c r="T2241" s="23" t="s">
        <v>74</v>
      </c>
      <c r="U2241" s="6"/>
      <c r="V2241" s="6"/>
      <c r="W2241" s="23">
        <v>29.789277</v>
      </c>
      <c r="X2241" s="23">
        <v>-95.3349368</v>
      </c>
      <c r="AA2241" s="33"/>
      <c r="AB2241" s="33"/>
      <c r="AC2241" s="33"/>
      <c r="AD2241" s="33"/>
      <c r="AE2241" s="33"/>
      <c r="AF2241" s="33"/>
      <c r="AG2241" s="33"/>
      <c r="AH2241" s="33"/>
      <c r="AI2241" s="33"/>
      <c r="AJ2241" s="33"/>
      <c r="AK2241" s="33"/>
      <c r="AL2241" s="33"/>
      <c r="AM2241" s="33"/>
      <c r="AN2241" s="33"/>
      <c r="AO2241" s="33"/>
    </row>
    <row r="2242" ht="15.75" customHeight="1">
      <c r="A2242" s="23">
        <v>50963.0</v>
      </c>
      <c r="B2242" s="23">
        <v>2023.0</v>
      </c>
      <c r="C2242" s="6" t="str">
        <f t="shared" si="7"/>
        <v>7835  GROW LN,Houston,TX</v>
      </c>
      <c r="D2242" s="23" t="s">
        <v>3601</v>
      </c>
      <c r="E2242" s="6" t="s">
        <v>25</v>
      </c>
      <c r="F2242" s="6" t="s">
        <v>1388</v>
      </c>
      <c r="G2242" s="31" t="s">
        <v>253</v>
      </c>
      <c r="H2242" s="23" t="s">
        <v>28</v>
      </c>
      <c r="I2242" s="6" t="str">
        <f>VLOOKUP(H2242,'Flow Location'!$A$1:$B$21,2,FALSE)</f>
        <v>Storm Sewer (not contained)</v>
      </c>
      <c r="J2242" s="28">
        <v>1294.0</v>
      </c>
      <c r="K2242" s="23" t="s">
        <v>29</v>
      </c>
      <c r="L2242" s="6" t="str">
        <f>VLOOKUP(K2242,'Structure type'!$A$1:$B$15,2,FALSE)</f>
        <v>Manhole</v>
      </c>
      <c r="M2242" s="23" t="s">
        <v>96</v>
      </c>
      <c r="N2242" s="6" t="str">
        <f>VLOOKUP(M2242,'Excursion Cause'!$A$1:$B$34,2,FALSE)</f>
        <v>Collection system temporary blockage</v>
      </c>
      <c r="O2242" s="29">
        <v>44953.0</v>
      </c>
      <c r="P2242" s="30">
        <v>0.47638888888888886</v>
      </c>
      <c r="Q2242" s="29">
        <v>44954.0</v>
      </c>
      <c r="R2242" s="30">
        <v>0.375</v>
      </c>
      <c r="S2242" s="28">
        <v>1.0</v>
      </c>
      <c r="T2242" s="23" t="s">
        <v>118</v>
      </c>
      <c r="U2242" s="6"/>
      <c r="V2242" s="6"/>
      <c r="W2242" s="23">
        <v>29.8480134</v>
      </c>
      <c r="X2242" s="23">
        <v>-95.5090446</v>
      </c>
      <c r="AA2242" s="33"/>
      <c r="AB2242" s="33"/>
      <c r="AC2242" s="33"/>
      <c r="AD2242" s="33"/>
      <c r="AE2242" s="33"/>
      <c r="AF2242" s="33"/>
      <c r="AG2242" s="33"/>
      <c r="AH2242" s="33"/>
      <c r="AI2242" s="33"/>
      <c r="AJ2242" s="33"/>
      <c r="AK2242" s="33"/>
      <c r="AL2242" s="33"/>
      <c r="AM2242" s="33"/>
      <c r="AN2242" s="33"/>
      <c r="AO2242" s="33"/>
    </row>
    <row r="2243" ht="15.75" customHeight="1">
      <c r="A2243" s="23">
        <v>50966.0</v>
      </c>
      <c r="B2243" s="23">
        <v>2023.0</v>
      </c>
      <c r="C2243" s="6" t="str">
        <f t="shared" si="7"/>
        <v>4902 PERSHING ST,Houston,TX</v>
      </c>
      <c r="D2243" s="23" t="s">
        <v>3602</v>
      </c>
      <c r="E2243" s="6" t="s">
        <v>25</v>
      </c>
      <c r="F2243" s="6" t="s">
        <v>1388</v>
      </c>
      <c r="G2243" s="31" t="s">
        <v>120</v>
      </c>
      <c r="H2243" s="23" t="s">
        <v>50</v>
      </c>
      <c r="I2243" s="6" t="str">
        <f>VLOOKUP(H2243,'Flow Location'!$A$1:$B$21,2,FALSE)</f>
        <v>Contained On Site, not within 5 ft. of Bayou/Surface Water/Drainage Ditch</v>
      </c>
      <c r="J2243" s="28">
        <v>0.0</v>
      </c>
      <c r="K2243" s="23" t="s">
        <v>51</v>
      </c>
      <c r="L2243" s="6" t="str">
        <f>VLOOKUP(K2243,'Structure type'!$A$1:$B$15,2,FALSE)</f>
        <v>Private Cleanout</v>
      </c>
      <c r="M2243" s="23" t="s">
        <v>52</v>
      </c>
      <c r="N2243" s="6" t="str">
        <f>VLOOKUP(M2243,'Excursion Cause'!$A$1:$B$34,2,FALSE)</f>
        <v>Collection system structural blockage</v>
      </c>
      <c r="O2243" s="29">
        <v>44953.0</v>
      </c>
      <c r="P2243" s="30">
        <v>0.5777777777777777</v>
      </c>
      <c r="Q2243" s="29">
        <v>44953.0</v>
      </c>
      <c r="R2243" s="30">
        <v>0.5784722222222223</v>
      </c>
      <c r="S2243" s="28">
        <v>0.0</v>
      </c>
      <c r="T2243" s="23" t="s">
        <v>170</v>
      </c>
      <c r="U2243" s="6"/>
      <c r="V2243" s="6"/>
      <c r="W2243" s="23">
        <v>29.6784853</v>
      </c>
      <c r="X2243" s="23">
        <v>-95.3494028</v>
      </c>
      <c r="AA2243" s="33"/>
      <c r="AB2243" s="33"/>
      <c r="AC2243" s="33"/>
      <c r="AD2243" s="33"/>
      <c r="AE2243" s="33"/>
      <c r="AF2243" s="33"/>
      <c r="AG2243" s="33"/>
      <c r="AH2243" s="33"/>
      <c r="AI2243" s="33"/>
      <c r="AJ2243" s="33"/>
      <c r="AK2243" s="33"/>
      <c r="AL2243" s="33"/>
      <c r="AM2243" s="33"/>
      <c r="AN2243" s="33"/>
      <c r="AO2243" s="33"/>
    </row>
    <row r="2244" ht="15.75" customHeight="1">
      <c r="A2244" s="23">
        <v>50967.0</v>
      </c>
      <c r="B2244" s="23">
        <v>2023.0</v>
      </c>
      <c r="C2244" s="6" t="str">
        <f t="shared" si="7"/>
        <v>10906  SAGETRAIL DR,Houston,TX</v>
      </c>
      <c r="D2244" s="23" t="s">
        <v>3603</v>
      </c>
      <c r="E2244" s="6" t="s">
        <v>25</v>
      </c>
      <c r="F2244" s="6" t="s">
        <v>1388</v>
      </c>
      <c r="G2244" s="31" t="s">
        <v>477</v>
      </c>
      <c r="H2244" s="23" t="s">
        <v>50</v>
      </c>
      <c r="I2244" s="6" t="str">
        <f>VLOOKUP(H2244,'Flow Location'!$A$1:$B$21,2,FALSE)</f>
        <v>Contained On Site, not within 5 ft. of Bayou/Surface Water/Drainage Ditch</v>
      </c>
      <c r="J2244" s="28">
        <v>0.0</v>
      </c>
      <c r="K2244" s="23" t="s">
        <v>29</v>
      </c>
      <c r="L2244" s="6" t="str">
        <f>VLOOKUP(K2244,'Structure type'!$A$1:$B$15,2,FALSE)</f>
        <v>Manhole</v>
      </c>
      <c r="M2244" s="23" t="s">
        <v>30</v>
      </c>
      <c r="N2244" s="6" t="str">
        <f>VLOOKUP(M2244,'Excursion Cause'!$A$1:$B$34,2,FALSE)</f>
        <v>Grease Blockage</v>
      </c>
      <c r="O2244" s="29">
        <v>44953.0</v>
      </c>
      <c r="P2244" s="30">
        <v>0.5444444444444444</v>
      </c>
      <c r="Q2244" s="29">
        <v>44953.0</v>
      </c>
      <c r="R2244" s="30">
        <v>0.5451388888888888</v>
      </c>
      <c r="S2244" s="28">
        <v>0.0</v>
      </c>
      <c r="T2244" s="23" t="s">
        <v>59</v>
      </c>
      <c r="U2244" s="6"/>
      <c r="V2244" s="6"/>
      <c r="W2244" s="23">
        <v>29.589915</v>
      </c>
      <c r="X2244" s="23">
        <v>-95.2320265</v>
      </c>
      <c r="AA2244" s="33"/>
      <c r="AB2244" s="33"/>
      <c r="AC2244" s="33"/>
      <c r="AD2244" s="33"/>
      <c r="AE2244" s="33"/>
      <c r="AF2244" s="33"/>
      <c r="AG2244" s="33"/>
      <c r="AH2244" s="33"/>
      <c r="AI2244" s="33"/>
      <c r="AJ2244" s="33"/>
      <c r="AK2244" s="33"/>
      <c r="AL2244" s="33"/>
      <c r="AM2244" s="33"/>
      <c r="AN2244" s="33"/>
      <c r="AO2244" s="33"/>
    </row>
    <row r="2245" ht="15.75" customHeight="1">
      <c r="A2245" s="23">
        <v>50971.0</v>
      </c>
      <c r="B2245" s="23">
        <v>2023.0</v>
      </c>
      <c r="C2245" s="6" t="str">
        <f t="shared" si="7"/>
        <v>2101  POLK ST,Houston,TX</v>
      </c>
      <c r="D2245" s="23" t="s">
        <v>3604</v>
      </c>
      <c r="E2245" s="6" t="s">
        <v>25</v>
      </c>
      <c r="F2245" s="6" t="s">
        <v>1388</v>
      </c>
      <c r="G2245" s="31" t="s">
        <v>172</v>
      </c>
      <c r="H2245" s="23" t="s">
        <v>50</v>
      </c>
      <c r="I2245" s="6" t="str">
        <f>VLOOKUP(H2245,'Flow Location'!$A$1:$B$21,2,FALSE)</f>
        <v>Contained On Site, not within 5 ft. of Bayou/Surface Water/Drainage Ditch</v>
      </c>
      <c r="J2245" s="28">
        <v>0.0</v>
      </c>
      <c r="K2245" s="23" t="s">
        <v>51</v>
      </c>
      <c r="L2245" s="6" t="str">
        <f>VLOOKUP(K2245,'Structure type'!$A$1:$B$15,2,FALSE)</f>
        <v>Private Cleanout</v>
      </c>
      <c r="M2245" s="23" t="s">
        <v>56</v>
      </c>
      <c r="N2245" s="6" t="str">
        <f>VLOOKUP(M2245,'Excursion Cause'!$A$1:$B$34,2,FALSE)</f>
        <v>Rags/Wipes</v>
      </c>
      <c r="O2245" s="29">
        <v>44954.0</v>
      </c>
      <c r="P2245" s="30">
        <v>0.35833333333333334</v>
      </c>
      <c r="Q2245" s="29">
        <v>44954.0</v>
      </c>
      <c r="R2245" s="30">
        <v>0.3590277777777778</v>
      </c>
      <c r="S2245" s="28">
        <v>0.0</v>
      </c>
      <c r="T2245" s="23" t="s">
        <v>33</v>
      </c>
      <c r="U2245" s="6"/>
      <c r="V2245" s="6"/>
      <c r="W2245" s="23">
        <v>29.7489221</v>
      </c>
      <c r="X2245" s="23">
        <v>-95.3566897</v>
      </c>
      <c r="AA2245" s="33"/>
      <c r="AB2245" s="33"/>
      <c r="AC2245" s="33"/>
      <c r="AD2245" s="33"/>
      <c r="AE2245" s="33"/>
      <c r="AF2245" s="33"/>
      <c r="AG2245" s="33"/>
      <c r="AH2245" s="33"/>
      <c r="AI2245" s="33"/>
      <c r="AJ2245" s="33"/>
      <c r="AK2245" s="33"/>
      <c r="AL2245" s="33"/>
      <c r="AM2245" s="33"/>
      <c r="AN2245" s="33"/>
      <c r="AO2245" s="33"/>
    </row>
    <row r="2246" ht="15.75" customHeight="1">
      <c r="A2246" s="23">
        <v>50973.0</v>
      </c>
      <c r="B2246" s="23">
        <v>2023.0</v>
      </c>
      <c r="C2246" s="6" t="str">
        <f t="shared" si="7"/>
        <v>6343  FRENCH CHATEAU DR,Houston,TX</v>
      </c>
      <c r="D2246" s="23" t="s">
        <v>3605</v>
      </c>
      <c r="E2246" s="6" t="s">
        <v>25</v>
      </c>
      <c r="F2246" s="6" t="s">
        <v>1388</v>
      </c>
      <c r="G2246" s="31" t="s">
        <v>502</v>
      </c>
      <c r="H2246" s="23" t="s">
        <v>28</v>
      </c>
      <c r="I2246" s="6" t="str">
        <f>VLOOKUP(H2246,'Flow Location'!$A$1:$B$21,2,FALSE)</f>
        <v>Storm Sewer (not contained)</v>
      </c>
      <c r="J2246" s="28">
        <v>1572.0</v>
      </c>
      <c r="K2246" s="23" t="s">
        <v>29</v>
      </c>
      <c r="L2246" s="6" t="str">
        <f>VLOOKUP(K2246,'Structure type'!$A$1:$B$15,2,FALSE)</f>
        <v>Manhole</v>
      </c>
      <c r="M2246" s="23" t="s">
        <v>30</v>
      </c>
      <c r="N2246" s="6" t="str">
        <f>VLOOKUP(M2246,'Excursion Cause'!$A$1:$B$34,2,FALSE)</f>
        <v>Grease Blockage</v>
      </c>
      <c r="O2246" s="29">
        <v>44954.0</v>
      </c>
      <c r="P2246" s="30">
        <v>0.4527777777777778</v>
      </c>
      <c r="Q2246" s="29">
        <v>44955.0</v>
      </c>
      <c r="R2246" s="30">
        <v>0.5444444444444444</v>
      </c>
      <c r="S2246" s="28">
        <v>1.0</v>
      </c>
      <c r="T2246" s="23" t="s">
        <v>59</v>
      </c>
      <c r="U2246" s="6"/>
      <c r="V2246" s="6"/>
      <c r="W2246" s="23">
        <v>29.8729211</v>
      </c>
      <c r="X2246" s="23">
        <v>-95.4872655</v>
      </c>
      <c r="AA2246" s="33"/>
      <c r="AB2246" s="33"/>
      <c r="AC2246" s="33"/>
      <c r="AD2246" s="33"/>
      <c r="AE2246" s="33"/>
      <c r="AF2246" s="33"/>
      <c r="AG2246" s="33"/>
      <c r="AH2246" s="33"/>
      <c r="AI2246" s="33"/>
      <c r="AJ2246" s="33"/>
      <c r="AK2246" s="33"/>
      <c r="AL2246" s="33"/>
      <c r="AM2246" s="33"/>
      <c r="AN2246" s="33"/>
      <c r="AO2246" s="33"/>
    </row>
    <row r="2247" ht="15.75" customHeight="1">
      <c r="A2247" s="23">
        <v>50974.0</v>
      </c>
      <c r="B2247" s="23">
        <v>2023.0</v>
      </c>
      <c r="C2247" s="6" t="str">
        <f t="shared" si="7"/>
        <v>14875  WATERLOO DR,Houston,TX</v>
      </c>
      <c r="D2247" s="23" t="s">
        <v>3606</v>
      </c>
      <c r="E2247" s="6" t="s">
        <v>25</v>
      </c>
      <c r="F2247" s="6" t="s">
        <v>1388</v>
      </c>
      <c r="G2247" s="31" t="s">
        <v>517</v>
      </c>
      <c r="H2247" s="23" t="s">
        <v>50</v>
      </c>
      <c r="I2247" s="6" t="str">
        <f>VLOOKUP(H2247,'Flow Location'!$A$1:$B$21,2,FALSE)</f>
        <v>Contained On Site, not within 5 ft. of Bayou/Surface Water/Drainage Ditch</v>
      </c>
      <c r="J2247" s="28">
        <v>0.0</v>
      </c>
      <c r="K2247" s="23" t="s">
        <v>45</v>
      </c>
      <c r="L2247" s="6" t="str">
        <f>VLOOKUP(K2247,'Structure type'!$A$1:$B$15,2,FALSE)</f>
        <v>City Cleanout</v>
      </c>
      <c r="M2247" s="23" t="s">
        <v>759</v>
      </c>
      <c r="N2247" s="6" t="str">
        <f>VLOOKUP(M2247,'Excursion Cause'!$A$1:$B$34,2,FALSE)</f>
        <v>Roots</v>
      </c>
      <c r="O2247" s="29">
        <v>44954.0</v>
      </c>
      <c r="P2247" s="30">
        <v>0.5076388888888889</v>
      </c>
      <c r="Q2247" s="29">
        <v>44954.0</v>
      </c>
      <c r="R2247" s="30">
        <v>0.5083333333333333</v>
      </c>
      <c r="S2247" s="28">
        <v>0.0</v>
      </c>
      <c r="T2247" s="23" t="s">
        <v>59</v>
      </c>
      <c r="U2247" s="6"/>
      <c r="V2247" s="6"/>
      <c r="W2247" s="23">
        <v>29.611401</v>
      </c>
      <c r="X2247" s="23">
        <v>-95.4229971</v>
      </c>
      <c r="AA2247" s="33"/>
      <c r="AB2247" s="33"/>
      <c r="AC2247" s="33"/>
      <c r="AD2247" s="33"/>
      <c r="AE2247" s="33"/>
      <c r="AF2247" s="33"/>
      <c r="AG2247" s="33"/>
      <c r="AH2247" s="33"/>
      <c r="AI2247" s="33"/>
      <c r="AJ2247" s="33"/>
      <c r="AK2247" s="33"/>
      <c r="AL2247" s="33"/>
      <c r="AM2247" s="33"/>
      <c r="AN2247" s="33"/>
      <c r="AO2247" s="33"/>
    </row>
    <row r="2248" ht="15.75" customHeight="1">
      <c r="A2248" s="23">
        <v>50976.0</v>
      </c>
      <c r="B2248" s="23">
        <v>2023.0</v>
      </c>
      <c r="C2248" s="6" t="str">
        <f t="shared" si="7"/>
        <v>5810  VAN ZANDT ST,Houston,TX</v>
      </c>
      <c r="D2248" s="23" t="s">
        <v>3607</v>
      </c>
      <c r="E2248" s="6" t="s">
        <v>25</v>
      </c>
      <c r="F2248" s="6" t="s">
        <v>1388</v>
      </c>
      <c r="G2248" s="31" t="s">
        <v>326</v>
      </c>
      <c r="H2248" s="23" t="s">
        <v>50</v>
      </c>
      <c r="I2248" s="6" t="str">
        <f>VLOOKUP(H2248,'Flow Location'!$A$1:$B$21,2,FALSE)</f>
        <v>Contained On Site, not within 5 ft. of Bayou/Surface Water/Drainage Ditch</v>
      </c>
      <c r="J2248" s="28">
        <v>6320.0</v>
      </c>
      <c r="K2248" s="23" t="s">
        <v>29</v>
      </c>
      <c r="L2248" s="6" t="str">
        <f>VLOOKUP(K2248,'Structure type'!$A$1:$B$15,2,FALSE)</f>
        <v>Manhole</v>
      </c>
      <c r="M2248" s="23" t="s">
        <v>30</v>
      </c>
      <c r="N2248" s="6" t="str">
        <f>VLOOKUP(M2248,'Excursion Cause'!$A$1:$B$34,2,FALSE)</f>
        <v>Grease Blockage</v>
      </c>
      <c r="O2248" s="29">
        <v>44954.0</v>
      </c>
      <c r="P2248" s="30">
        <v>0.5416666666666666</v>
      </c>
      <c r="Q2248" s="29">
        <v>44956.0</v>
      </c>
      <c r="R2248" s="30">
        <v>0.7361111111111112</v>
      </c>
      <c r="S2248" s="28">
        <v>2.0</v>
      </c>
      <c r="T2248" s="23" t="s">
        <v>33</v>
      </c>
      <c r="U2248" s="6"/>
      <c r="V2248" s="6"/>
      <c r="W2248" s="23">
        <v>29.8814984</v>
      </c>
      <c r="X2248" s="23">
        <v>-95.3028034</v>
      </c>
      <c r="AA2248" s="33"/>
      <c r="AB2248" s="33"/>
      <c r="AC2248" s="33"/>
      <c r="AD2248" s="33"/>
      <c r="AE2248" s="33"/>
      <c r="AF2248" s="33"/>
      <c r="AG2248" s="33"/>
      <c r="AH2248" s="33"/>
      <c r="AI2248" s="33"/>
      <c r="AJ2248" s="33"/>
      <c r="AK2248" s="33"/>
      <c r="AL2248" s="33"/>
      <c r="AM2248" s="33"/>
      <c r="AN2248" s="33"/>
      <c r="AO2248" s="33"/>
    </row>
    <row r="2249" ht="15.75" customHeight="1">
      <c r="A2249" s="23">
        <v>50979.0</v>
      </c>
      <c r="B2249" s="23">
        <v>2023.0</v>
      </c>
      <c r="C2249" s="6" t="str">
        <f t="shared" si="7"/>
        <v>2600  TRAVIS ST,Houston,TX</v>
      </c>
      <c r="D2249" s="23" t="s">
        <v>3608</v>
      </c>
      <c r="E2249" s="6" t="s">
        <v>25</v>
      </c>
      <c r="F2249" s="6" t="s">
        <v>1388</v>
      </c>
      <c r="G2249" s="31" t="s">
        <v>761</v>
      </c>
      <c r="H2249" s="23" t="s">
        <v>1493</v>
      </c>
      <c r="I2249" s="6" t="str">
        <f>VLOOKUP(H2249,'Flow Location'!$A$1:$B$21,2,FALSE)</f>
        <v>Contained On Site, not within 5 ft. of Bayou/Surface Water/Drainage Ditch</v>
      </c>
      <c r="J2249" s="28">
        <v>20.0</v>
      </c>
      <c r="K2249" s="23" t="s">
        <v>45</v>
      </c>
      <c r="L2249" s="6" t="str">
        <f>VLOOKUP(K2249,'Structure type'!$A$1:$B$15,2,FALSE)</f>
        <v>City Cleanout</v>
      </c>
      <c r="M2249" s="23" t="s">
        <v>30</v>
      </c>
      <c r="N2249" s="6" t="str">
        <f>VLOOKUP(M2249,'Excursion Cause'!$A$1:$B$34,2,FALSE)</f>
        <v>Grease Blockage</v>
      </c>
      <c r="O2249" s="29">
        <v>44955.0</v>
      </c>
      <c r="P2249" s="30">
        <v>0.40347222222222223</v>
      </c>
      <c r="Q2249" s="29">
        <v>44955.0</v>
      </c>
      <c r="R2249" s="30">
        <v>0.41041666666666665</v>
      </c>
      <c r="S2249" s="28">
        <v>2.0</v>
      </c>
      <c r="T2249" s="23" t="s">
        <v>89</v>
      </c>
      <c r="U2249" s="6"/>
      <c r="V2249" s="6"/>
      <c r="W2249" s="23">
        <v>29.7458262</v>
      </c>
      <c r="X2249" s="23">
        <v>-95.3753559</v>
      </c>
      <c r="AA2249" s="33"/>
      <c r="AB2249" s="33"/>
      <c r="AC2249" s="33"/>
      <c r="AD2249" s="33"/>
      <c r="AE2249" s="33"/>
      <c r="AF2249" s="33"/>
      <c r="AG2249" s="33"/>
      <c r="AH2249" s="33"/>
      <c r="AI2249" s="33"/>
      <c r="AJ2249" s="33"/>
      <c r="AK2249" s="33"/>
      <c r="AL2249" s="33"/>
      <c r="AM2249" s="33"/>
      <c r="AN2249" s="33"/>
      <c r="AO2249" s="33"/>
    </row>
    <row r="2250" ht="15.75" customHeight="1">
      <c r="A2250" s="23">
        <v>50982.0</v>
      </c>
      <c r="B2250" s="23">
        <v>2023.0</v>
      </c>
      <c r="C2250" s="6" t="str">
        <f t="shared" si="7"/>
        <v>7703  TRAVIS PARK LN,Houston,TX</v>
      </c>
      <c r="D2250" s="23" t="s">
        <v>3609</v>
      </c>
      <c r="E2250" s="6" t="s">
        <v>25</v>
      </c>
      <c r="F2250" s="6" t="s">
        <v>1388</v>
      </c>
      <c r="G2250" s="31" t="s">
        <v>326</v>
      </c>
      <c r="H2250" s="23" t="s">
        <v>50</v>
      </c>
      <c r="I2250" s="6" t="str">
        <f>VLOOKUP(H2250,'Flow Location'!$A$1:$B$21,2,FALSE)</f>
        <v>Contained On Site, not within 5 ft. of Bayou/Surface Water/Drainage Ditch</v>
      </c>
      <c r="J2250" s="28">
        <v>0.0</v>
      </c>
      <c r="K2250" s="23" t="s">
        <v>29</v>
      </c>
      <c r="L2250" s="6" t="str">
        <f>VLOOKUP(K2250,'Structure type'!$A$1:$B$15,2,FALSE)</f>
        <v>Manhole</v>
      </c>
      <c r="M2250" s="23" t="s">
        <v>30</v>
      </c>
      <c r="N2250" s="6" t="str">
        <f>VLOOKUP(M2250,'Excursion Cause'!$A$1:$B$34,2,FALSE)</f>
        <v>Grease Blockage</v>
      </c>
      <c r="O2250" s="29">
        <v>44955.0</v>
      </c>
      <c r="P2250" s="30">
        <v>0.4756944444444444</v>
      </c>
      <c r="Q2250" s="29">
        <v>44955.0</v>
      </c>
      <c r="R2250" s="30">
        <v>0.47638888888888886</v>
      </c>
      <c r="S2250" s="28">
        <v>0.0</v>
      </c>
      <c r="T2250" s="23" t="s">
        <v>170</v>
      </c>
      <c r="U2250" s="6"/>
      <c r="V2250" s="6"/>
      <c r="W2250" s="23">
        <v>29.8699586</v>
      </c>
      <c r="X2250" s="23">
        <v>-95.2892004</v>
      </c>
      <c r="AA2250" s="33"/>
      <c r="AB2250" s="33"/>
      <c r="AC2250" s="33"/>
      <c r="AD2250" s="33"/>
      <c r="AE2250" s="33"/>
      <c r="AF2250" s="33"/>
      <c r="AG2250" s="33"/>
      <c r="AH2250" s="33"/>
      <c r="AI2250" s="33"/>
      <c r="AJ2250" s="33"/>
      <c r="AK2250" s="33"/>
      <c r="AL2250" s="33"/>
      <c r="AM2250" s="33"/>
      <c r="AN2250" s="33"/>
      <c r="AO2250" s="33"/>
    </row>
    <row r="2251" ht="15.75" customHeight="1">
      <c r="A2251" s="23">
        <v>50987.0</v>
      </c>
      <c r="B2251" s="23">
        <v>2023.0</v>
      </c>
      <c r="C2251" s="6" t="str">
        <f t="shared" si="7"/>
        <v>1200  DAIRY ASHFORD RD,Houston,TX</v>
      </c>
      <c r="D2251" s="23" t="s">
        <v>3610</v>
      </c>
      <c r="E2251" s="6" t="s">
        <v>25</v>
      </c>
      <c r="F2251" s="6" t="s">
        <v>1388</v>
      </c>
      <c r="G2251" s="31" t="s">
        <v>520</v>
      </c>
      <c r="H2251" s="23" t="s">
        <v>28</v>
      </c>
      <c r="I2251" s="6" t="str">
        <f>VLOOKUP(H2251,'Flow Location'!$A$1:$B$21,2,FALSE)</f>
        <v>Storm Sewer (not contained)</v>
      </c>
      <c r="J2251" s="28">
        <v>208.0</v>
      </c>
      <c r="K2251" s="23" t="s">
        <v>29</v>
      </c>
      <c r="L2251" s="6" t="str">
        <f>VLOOKUP(K2251,'Structure type'!$A$1:$B$15,2,FALSE)</f>
        <v>Manhole</v>
      </c>
      <c r="M2251" s="23" t="s">
        <v>30</v>
      </c>
      <c r="N2251" s="6" t="str">
        <f>VLOOKUP(M2251,'Excursion Cause'!$A$1:$B$34,2,FALSE)</f>
        <v>Grease Blockage</v>
      </c>
      <c r="O2251" s="29">
        <v>44956.0</v>
      </c>
      <c r="P2251" s="30">
        <v>0.41388888888888886</v>
      </c>
      <c r="Q2251" s="29">
        <v>44956.0</v>
      </c>
      <c r="R2251" s="30">
        <v>0.5583333333333333</v>
      </c>
      <c r="S2251" s="28">
        <v>1.0</v>
      </c>
      <c r="T2251" s="23" t="s">
        <v>59</v>
      </c>
      <c r="U2251" s="6"/>
      <c r="V2251" s="6"/>
      <c r="W2251" s="23">
        <v>29.782426</v>
      </c>
      <c r="X2251" s="23">
        <v>-95.6051421</v>
      </c>
      <c r="AA2251" s="33"/>
      <c r="AB2251" s="33"/>
      <c r="AC2251" s="33"/>
      <c r="AD2251" s="33"/>
      <c r="AE2251" s="33"/>
      <c r="AF2251" s="33"/>
      <c r="AG2251" s="33"/>
      <c r="AH2251" s="33"/>
      <c r="AI2251" s="33"/>
      <c r="AJ2251" s="33"/>
      <c r="AK2251" s="33"/>
      <c r="AL2251" s="33"/>
      <c r="AM2251" s="33"/>
      <c r="AN2251" s="33"/>
      <c r="AO2251" s="33"/>
    </row>
    <row r="2252" ht="15.75" customHeight="1">
      <c r="A2252" s="23">
        <v>50991.0</v>
      </c>
      <c r="B2252" s="23">
        <v>2023.0</v>
      </c>
      <c r="C2252" s="6" t="str">
        <f t="shared" si="7"/>
        <v>11502  VANDERFORD DR,Houston,TX</v>
      </c>
      <c r="D2252" s="23" t="s">
        <v>3611</v>
      </c>
      <c r="E2252" s="6" t="s">
        <v>25</v>
      </c>
      <c r="F2252" s="6" t="s">
        <v>1388</v>
      </c>
      <c r="G2252" s="31" t="s">
        <v>154</v>
      </c>
      <c r="H2252" s="23" t="s">
        <v>50</v>
      </c>
      <c r="I2252" s="6" t="str">
        <f>VLOOKUP(H2252,'Flow Location'!$A$1:$B$21,2,FALSE)</f>
        <v>Contained On Site, not within 5 ft. of Bayou/Surface Water/Drainage Ditch</v>
      </c>
      <c r="J2252" s="28">
        <v>670.0</v>
      </c>
      <c r="K2252" s="23" t="s">
        <v>29</v>
      </c>
      <c r="L2252" s="6" t="str">
        <f>VLOOKUP(K2252,'Structure type'!$A$1:$B$15,2,FALSE)</f>
        <v>Manhole</v>
      </c>
      <c r="M2252" s="23" t="s">
        <v>30</v>
      </c>
      <c r="N2252" s="6" t="str">
        <f>VLOOKUP(M2252,'Excursion Cause'!$A$1:$B$34,2,FALSE)</f>
        <v>Grease Blockage</v>
      </c>
      <c r="O2252" s="29">
        <v>44956.0</v>
      </c>
      <c r="P2252" s="30">
        <v>0.46944444444444444</v>
      </c>
      <c r="Q2252" s="29">
        <v>44956.0</v>
      </c>
      <c r="R2252" s="30">
        <v>0.7020833333333333</v>
      </c>
      <c r="S2252" s="28">
        <v>2.0</v>
      </c>
      <c r="T2252" s="23" t="s">
        <v>59</v>
      </c>
      <c r="U2252" s="6"/>
      <c r="V2252" s="6"/>
      <c r="W2252" s="23">
        <v>29.6559374</v>
      </c>
      <c r="X2252" s="23">
        <v>-95.5797156</v>
      </c>
      <c r="AA2252" s="33"/>
      <c r="AB2252" s="33"/>
      <c r="AC2252" s="33"/>
      <c r="AD2252" s="33"/>
      <c r="AE2252" s="33"/>
      <c r="AF2252" s="33"/>
      <c r="AG2252" s="33"/>
      <c r="AH2252" s="33"/>
      <c r="AI2252" s="33"/>
      <c r="AJ2252" s="33"/>
      <c r="AK2252" s="33"/>
      <c r="AL2252" s="33"/>
      <c r="AM2252" s="33"/>
      <c r="AN2252" s="33"/>
      <c r="AO2252" s="33"/>
    </row>
    <row r="2253" ht="15.75" customHeight="1">
      <c r="A2253" s="23">
        <v>50996.0</v>
      </c>
      <c r="B2253" s="23">
        <v>2023.0</v>
      </c>
      <c r="C2253" s="6" t="str">
        <f t="shared" si="7"/>
        <v>5810  VAN ZANDT ST,Houston,TX</v>
      </c>
      <c r="D2253" s="23" t="s">
        <v>3607</v>
      </c>
      <c r="E2253" s="6" t="s">
        <v>25</v>
      </c>
      <c r="F2253" s="6" t="s">
        <v>1388</v>
      </c>
      <c r="G2253" s="31" t="s">
        <v>326</v>
      </c>
      <c r="H2253" s="23" t="s">
        <v>28</v>
      </c>
      <c r="I2253" s="6" t="str">
        <f>VLOOKUP(H2253,'Flow Location'!$A$1:$B$21,2,FALSE)</f>
        <v>Storm Sewer (not contained)</v>
      </c>
      <c r="J2253" s="28">
        <v>352.0</v>
      </c>
      <c r="K2253" s="23" t="s">
        <v>45</v>
      </c>
      <c r="L2253" s="6" t="str">
        <f>VLOOKUP(K2253,'Structure type'!$A$1:$B$15,2,FALSE)</f>
        <v>City Cleanout</v>
      </c>
      <c r="M2253" s="23" t="s">
        <v>30</v>
      </c>
      <c r="N2253" s="6" t="str">
        <f>VLOOKUP(M2253,'Excursion Cause'!$A$1:$B$34,2,FALSE)</f>
        <v>Grease Blockage</v>
      </c>
      <c r="O2253" s="29">
        <v>44956.0</v>
      </c>
      <c r="P2253" s="30">
        <v>0.6555555555555556</v>
      </c>
      <c r="Q2253" s="29">
        <v>44956.0</v>
      </c>
      <c r="R2253" s="30">
        <v>0.7777777777777778</v>
      </c>
      <c r="S2253" s="28">
        <v>2.0</v>
      </c>
      <c r="T2253" s="23" t="s">
        <v>33</v>
      </c>
      <c r="U2253" s="6"/>
      <c r="V2253" s="6"/>
      <c r="W2253" s="23">
        <v>29.8814984</v>
      </c>
      <c r="X2253" s="23">
        <v>-95.3028034</v>
      </c>
      <c r="AA2253" s="33"/>
      <c r="AB2253" s="33"/>
      <c r="AC2253" s="33"/>
      <c r="AD2253" s="33"/>
      <c r="AE2253" s="33"/>
      <c r="AF2253" s="33"/>
      <c r="AG2253" s="33"/>
      <c r="AH2253" s="33"/>
      <c r="AI2253" s="33"/>
      <c r="AJ2253" s="33"/>
      <c r="AK2253" s="33"/>
      <c r="AL2253" s="33"/>
      <c r="AM2253" s="33"/>
      <c r="AN2253" s="33"/>
      <c r="AO2253" s="33"/>
    </row>
    <row r="2254" ht="15.75" customHeight="1">
      <c r="A2254" s="23">
        <v>51000.0</v>
      </c>
      <c r="B2254" s="23">
        <v>2023.0</v>
      </c>
      <c r="C2254" s="6" t="str">
        <f t="shared" si="7"/>
        <v>13313  VICKSBURG ST,Houston,TX</v>
      </c>
      <c r="D2254" s="23" t="s">
        <v>3612</v>
      </c>
      <c r="E2254" s="6" t="s">
        <v>25</v>
      </c>
      <c r="F2254" s="6" t="s">
        <v>1388</v>
      </c>
      <c r="G2254" s="31" t="s">
        <v>623</v>
      </c>
      <c r="H2254" s="23" t="s">
        <v>44</v>
      </c>
      <c r="I2254" s="6" t="str">
        <f>VLOOKUP(H2254,'Flow Location'!$A$1:$B$21,2,FALSE)</f>
        <v>Bayou/surface water/drainage ditch</v>
      </c>
      <c r="J2254" s="28">
        <v>27795.0</v>
      </c>
      <c r="K2254" s="23" t="s">
        <v>29</v>
      </c>
      <c r="L2254" s="6" t="str">
        <f>VLOOKUP(K2254,'Structure type'!$A$1:$B$15,2,FALSE)</f>
        <v>Manhole</v>
      </c>
      <c r="M2254" s="23" t="s">
        <v>81</v>
      </c>
      <c r="N2254" s="6" t="str">
        <f>VLOOKUP(M2254,'Excursion Cause'!$A$1:$B$34,2,FALSE)</f>
        <v>Collection system structural failure</v>
      </c>
      <c r="O2254" s="29">
        <v>44957.0</v>
      </c>
      <c r="P2254" s="30">
        <v>0.35</v>
      </c>
      <c r="Q2254" s="29">
        <v>44959.0</v>
      </c>
      <c r="R2254" s="30">
        <v>0.9236111111111112</v>
      </c>
      <c r="S2254" s="28">
        <v>8.0</v>
      </c>
      <c r="T2254" s="23" t="s">
        <v>107</v>
      </c>
      <c r="U2254" s="6"/>
      <c r="V2254" s="6"/>
      <c r="W2254" s="23">
        <v>29.776039</v>
      </c>
      <c r="X2254" s="23">
        <v>-95.1889769</v>
      </c>
      <c r="AA2254" s="33"/>
      <c r="AB2254" s="33"/>
      <c r="AC2254" s="33"/>
      <c r="AD2254" s="33"/>
      <c r="AE2254" s="33"/>
      <c r="AF2254" s="33"/>
      <c r="AG2254" s="33"/>
      <c r="AH2254" s="33"/>
      <c r="AI2254" s="33"/>
      <c r="AJ2254" s="33"/>
      <c r="AK2254" s="33"/>
      <c r="AL2254" s="33"/>
      <c r="AM2254" s="33"/>
      <c r="AN2254" s="33"/>
      <c r="AO2254" s="33"/>
    </row>
    <row r="2255" ht="15.75" customHeight="1">
      <c r="A2255" s="23">
        <v>51008.0</v>
      </c>
      <c r="B2255" s="23">
        <v>2023.0</v>
      </c>
      <c r="C2255" s="6" t="str">
        <f t="shared" si="7"/>
        <v>2401  MILWAUKEE ST,Houston,TX</v>
      </c>
      <c r="D2255" s="23" t="s">
        <v>3613</v>
      </c>
      <c r="E2255" s="6" t="s">
        <v>25</v>
      </c>
      <c r="F2255" s="6" t="s">
        <v>1388</v>
      </c>
      <c r="G2255" s="31" t="s">
        <v>43</v>
      </c>
      <c r="H2255" s="23" t="s">
        <v>28</v>
      </c>
      <c r="I2255" s="6" t="str">
        <f>VLOOKUP(H2255,'Flow Location'!$A$1:$B$21,2,FALSE)</f>
        <v>Storm Sewer (not contained)</v>
      </c>
      <c r="J2255" s="28">
        <v>0.0</v>
      </c>
      <c r="K2255" s="23" t="s">
        <v>45</v>
      </c>
      <c r="L2255" s="6" t="str">
        <f>VLOOKUP(K2255,'Structure type'!$A$1:$B$15,2,FALSE)</f>
        <v>City Cleanout</v>
      </c>
      <c r="M2255" s="23" t="s">
        <v>30</v>
      </c>
      <c r="N2255" s="6" t="str">
        <f>VLOOKUP(M2255,'Excursion Cause'!$A$1:$B$34,2,FALSE)</f>
        <v>Grease Blockage</v>
      </c>
      <c r="O2255" s="29">
        <v>44957.0</v>
      </c>
      <c r="P2255" s="30">
        <v>0.6333333333333333</v>
      </c>
      <c r="Q2255" s="29">
        <v>44957.0</v>
      </c>
      <c r="R2255" s="30">
        <v>0.6340277777777777</v>
      </c>
      <c r="S2255" s="28">
        <v>0.0</v>
      </c>
      <c r="T2255" s="23" t="s">
        <v>270</v>
      </c>
      <c r="U2255" s="6"/>
      <c r="V2255" s="6"/>
      <c r="W2255" s="23">
        <v>29.8096845</v>
      </c>
      <c r="X2255" s="23">
        <v>-95.3479973</v>
      </c>
      <c r="AA2255" s="33"/>
      <c r="AB2255" s="33"/>
      <c r="AC2255" s="33"/>
      <c r="AD2255" s="33"/>
      <c r="AE2255" s="33"/>
      <c r="AF2255" s="33"/>
      <c r="AG2255" s="33"/>
      <c r="AH2255" s="33"/>
      <c r="AI2255" s="33"/>
      <c r="AJ2255" s="33"/>
      <c r="AK2255" s="33"/>
      <c r="AL2255" s="33"/>
      <c r="AM2255" s="33"/>
      <c r="AN2255" s="33"/>
      <c r="AO2255" s="33"/>
    </row>
    <row r="2256" ht="15.75" customHeight="1">
      <c r="A2256" s="23">
        <v>51017.0</v>
      </c>
      <c r="B2256" s="23">
        <v>2023.0</v>
      </c>
      <c r="C2256" s="6" t="str">
        <f t="shared" si="7"/>
        <v>13118  APPLE GLEN LN,Houston,TX</v>
      </c>
      <c r="D2256" s="23" t="s">
        <v>3614</v>
      </c>
      <c r="E2256" s="6" t="s">
        <v>25</v>
      </c>
      <c r="F2256" s="6" t="s">
        <v>1388</v>
      </c>
      <c r="G2256" s="31" t="s">
        <v>91</v>
      </c>
      <c r="H2256" s="23" t="s">
        <v>28</v>
      </c>
      <c r="I2256" s="6" t="str">
        <f>VLOOKUP(H2256,'Flow Location'!$A$1:$B$21,2,FALSE)</f>
        <v>Storm Sewer (not contained)</v>
      </c>
      <c r="J2256" s="28">
        <v>60.0</v>
      </c>
      <c r="K2256" s="23" t="s">
        <v>29</v>
      </c>
      <c r="L2256" s="6" t="str">
        <f>VLOOKUP(K2256,'Structure type'!$A$1:$B$15,2,FALSE)</f>
        <v>Manhole</v>
      </c>
      <c r="M2256" s="23" t="s">
        <v>30</v>
      </c>
      <c r="N2256" s="6" t="str">
        <f>VLOOKUP(M2256,'Excursion Cause'!$A$1:$B$34,2,FALSE)</f>
        <v>Grease Blockage</v>
      </c>
      <c r="O2256" s="29">
        <v>44958.0</v>
      </c>
      <c r="P2256" s="30">
        <v>0.7083333333333334</v>
      </c>
      <c r="Q2256" s="29">
        <v>44958.0</v>
      </c>
      <c r="R2256" s="30">
        <v>0.75</v>
      </c>
      <c r="S2256" s="28">
        <v>1.0</v>
      </c>
      <c r="T2256" s="23" t="s">
        <v>59</v>
      </c>
      <c r="U2256" s="6"/>
      <c r="V2256" s="6"/>
      <c r="W2256" s="35">
        <v>29.6956164</v>
      </c>
      <c r="X2256" s="35">
        <v>-95.6137301999999</v>
      </c>
      <c r="AA2256" s="33"/>
      <c r="AB2256" s="33"/>
      <c r="AC2256" s="33"/>
      <c r="AD2256" s="33"/>
      <c r="AE2256" s="33"/>
      <c r="AF2256" s="33"/>
      <c r="AG2256" s="33"/>
      <c r="AH2256" s="33"/>
      <c r="AI2256" s="33"/>
      <c r="AJ2256" s="33"/>
      <c r="AK2256" s="33"/>
      <c r="AL2256" s="33"/>
      <c r="AM2256" s="33"/>
      <c r="AN2256" s="33"/>
      <c r="AO2256" s="33"/>
    </row>
    <row r="2257" ht="15.75" customHeight="1">
      <c r="A2257" s="23">
        <v>51021.0</v>
      </c>
      <c r="B2257" s="23">
        <v>2023.0</v>
      </c>
      <c r="C2257" s="6" t="str">
        <f t="shared" si="7"/>
        <v>3822  OLD SPANISH TRL,Houston,TX</v>
      </c>
      <c r="D2257" s="23" t="s">
        <v>3615</v>
      </c>
      <c r="E2257" s="6" t="s">
        <v>25</v>
      </c>
      <c r="F2257" s="6" t="s">
        <v>1388</v>
      </c>
      <c r="G2257" s="31" t="s">
        <v>238</v>
      </c>
      <c r="H2257" s="23" t="s">
        <v>50</v>
      </c>
      <c r="I2257" s="6" t="str">
        <f>VLOOKUP(H2257,'Flow Location'!$A$1:$B$21,2,FALSE)</f>
        <v>Contained On Site, not within 5 ft. of Bayou/Surface Water/Drainage Ditch</v>
      </c>
      <c r="J2257" s="28">
        <v>0.0</v>
      </c>
      <c r="K2257" s="23" t="s">
        <v>45</v>
      </c>
      <c r="L2257" s="6" t="str">
        <f>VLOOKUP(K2257,'Structure type'!$A$1:$B$15,2,FALSE)</f>
        <v>City Cleanout</v>
      </c>
      <c r="M2257" s="23" t="s">
        <v>30</v>
      </c>
      <c r="N2257" s="6" t="str">
        <f>VLOOKUP(M2257,'Excursion Cause'!$A$1:$B$34,2,FALSE)</f>
        <v>Grease Blockage</v>
      </c>
      <c r="O2257" s="29">
        <v>44959.0</v>
      </c>
      <c r="P2257" s="30">
        <v>0.41458333333333336</v>
      </c>
      <c r="Q2257" s="29">
        <v>44959.0</v>
      </c>
      <c r="R2257" s="30">
        <v>0.4152777777777778</v>
      </c>
      <c r="S2257" s="28">
        <v>0.0</v>
      </c>
      <c r="T2257" s="23" t="s">
        <v>270</v>
      </c>
      <c r="U2257" s="6"/>
      <c r="V2257" s="6"/>
      <c r="W2257" s="35">
        <v>29.7018631</v>
      </c>
      <c r="X2257" s="35">
        <v>-95.3588727</v>
      </c>
      <c r="AA2257" s="33"/>
      <c r="AB2257" s="33"/>
      <c r="AC2257" s="33"/>
      <c r="AD2257" s="33"/>
      <c r="AE2257" s="33"/>
      <c r="AF2257" s="33"/>
      <c r="AG2257" s="33"/>
      <c r="AH2257" s="33"/>
      <c r="AI2257" s="33"/>
      <c r="AJ2257" s="33"/>
      <c r="AK2257" s="33"/>
      <c r="AL2257" s="33"/>
      <c r="AM2257" s="33"/>
      <c r="AN2257" s="33"/>
      <c r="AO2257" s="33"/>
    </row>
    <row r="2258" ht="15.75" customHeight="1">
      <c r="A2258" s="23">
        <v>51024.0</v>
      </c>
      <c r="B2258" s="23">
        <v>2023.0</v>
      </c>
      <c r="C2258" s="6" t="str">
        <f t="shared" si="7"/>
        <v>15171  CHIPMAN LN,Houston,TX</v>
      </c>
      <c r="D2258" s="23" t="s">
        <v>3616</v>
      </c>
      <c r="E2258" s="6" t="s">
        <v>25</v>
      </c>
      <c r="F2258" s="6" t="s">
        <v>1388</v>
      </c>
      <c r="G2258" s="31" t="s">
        <v>393</v>
      </c>
      <c r="H2258" s="23" t="s">
        <v>50</v>
      </c>
      <c r="I2258" s="6" t="str">
        <f>VLOOKUP(H2258,'Flow Location'!$A$1:$B$21,2,FALSE)</f>
        <v>Contained On Site, not within 5 ft. of Bayou/Surface Water/Drainage Ditch</v>
      </c>
      <c r="J2258" s="28">
        <v>0.0</v>
      </c>
      <c r="K2258" s="23" t="s">
        <v>45</v>
      </c>
      <c r="L2258" s="6" t="str">
        <f>VLOOKUP(K2258,'Structure type'!$A$1:$B$15,2,FALSE)</f>
        <v>City Cleanout</v>
      </c>
      <c r="M2258" s="23" t="s">
        <v>30</v>
      </c>
      <c r="N2258" s="6" t="str">
        <f>VLOOKUP(M2258,'Excursion Cause'!$A$1:$B$34,2,FALSE)</f>
        <v>Grease Blockage</v>
      </c>
      <c r="O2258" s="29">
        <v>44959.0</v>
      </c>
      <c r="P2258" s="30">
        <v>0.4444444444444444</v>
      </c>
      <c r="Q2258" s="29">
        <v>44959.0</v>
      </c>
      <c r="R2258" s="30">
        <v>0.44513888888888886</v>
      </c>
      <c r="S2258" s="28">
        <v>0.0</v>
      </c>
      <c r="T2258" s="23" t="s">
        <v>33</v>
      </c>
      <c r="U2258" s="6"/>
      <c r="V2258" s="6"/>
      <c r="W2258" s="35">
        <v>29.9202909</v>
      </c>
      <c r="X2258" s="35">
        <v>-95.4052275999999</v>
      </c>
      <c r="AA2258" s="33"/>
      <c r="AB2258" s="33"/>
      <c r="AC2258" s="33"/>
      <c r="AD2258" s="33"/>
      <c r="AE2258" s="33"/>
      <c r="AF2258" s="33"/>
      <c r="AG2258" s="33"/>
      <c r="AH2258" s="33"/>
      <c r="AI2258" s="33"/>
      <c r="AJ2258" s="33"/>
      <c r="AK2258" s="33"/>
      <c r="AL2258" s="33"/>
      <c r="AM2258" s="33"/>
      <c r="AN2258" s="33"/>
      <c r="AO2258" s="33"/>
    </row>
    <row r="2259" ht="15.75" customHeight="1">
      <c r="A2259" s="23">
        <v>51030.0</v>
      </c>
      <c r="B2259" s="23">
        <v>2023.0</v>
      </c>
      <c r="C2259" s="6" t="str">
        <f t="shared" si="7"/>
        <v>2727  BAY AREA BLVD,Houston,TX</v>
      </c>
      <c r="D2259" s="23" t="s">
        <v>3617</v>
      </c>
      <c r="E2259" s="6" t="s">
        <v>25</v>
      </c>
      <c r="F2259" s="6" t="s">
        <v>1388</v>
      </c>
      <c r="G2259" s="31" t="s">
        <v>3618</v>
      </c>
      <c r="H2259" s="23" t="s">
        <v>28</v>
      </c>
      <c r="I2259" s="6" t="str">
        <f>VLOOKUP(H2259,'Flow Location'!$A$1:$B$21,2,FALSE)</f>
        <v>Storm Sewer (not contained)</v>
      </c>
      <c r="J2259" s="28">
        <v>3750.0</v>
      </c>
      <c r="K2259" s="23" t="s">
        <v>190</v>
      </c>
      <c r="L2259" s="6" t="str">
        <f>VLOOKUP(K2259,'Structure type'!$A$1:$B$15,2,FALSE)</f>
        <v>Force Main</v>
      </c>
      <c r="M2259" s="23" t="s">
        <v>81</v>
      </c>
      <c r="N2259" s="6" t="str">
        <f>VLOOKUP(M2259,'Excursion Cause'!$A$1:$B$34,2,FALSE)</f>
        <v>Collection system structural failure</v>
      </c>
      <c r="O2259" s="29">
        <v>44959.0</v>
      </c>
      <c r="P2259" s="30">
        <v>0.5833333333333334</v>
      </c>
      <c r="Q2259" s="29">
        <v>44959.0</v>
      </c>
      <c r="R2259" s="30">
        <v>0.825</v>
      </c>
      <c r="S2259" s="28">
        <v>11.0</v>
      </c>
      <c r="T2259" s="23" t="s">
        <v>107</v>
      </c>
      <c r="U2259" s="6"/>
      <c r="V2259" s="6"/>
      <c r="W2259" s="35">
        <v>29.5776119999999</v>
      </c>
      <c r="X2259" s="35">
        <v>-95.1073620999999</v>
      </c>
      <c r="AA2259" s="33"/>
      <c r="AB2259" s="33"/>
      <c r="AC2259" s="33"/>
      <c r="AD2259" s="33"/>
      <c r="AE2259" s="33"/>
      <c r="AF2259" s="33"/>
      <c r="AG2259" s="33"/>
      <c r="AH2259" s="33"/>
      <c r="AI2259" s="33"/>
      <c r="AJ2259" s="33"/>
      <c r="AK2259" s="33"/>
      <c r="AL2259" s="33"/>
      <c r="AM2259" s="33"/>
      <c r="AN2259" s="33"/>
      <c r="AO2259" s="33"/>
    </row>
    <row r="2260" ht="15.75" customHeight="1">
      <c r="A2260" s="23">
        <v>51031.0</v>
      </c>
      <c r="B2260" s="23">
        <v>2023.0</v>
      </c>
      <c r="C2260" s="6" t="str">
        <f t="shared" si="7"/>
        <v>3766  GRENNOCH LN,Houston,TX</v>
      </c>
      <c r="D2260" s="23" t="s">
        <v>3619</v>
      </c>
      <c r="E2260" s="6" t="s">
        <v>25</v>
      </c>
      <c r="F2260" s="6" t="s">
        <v>1388</v>
      </c>
      <c r="G2260" s="31" t="s">
        <v>65</v>
      </c>
      <c r="H2260" s="23" t="s">
        <v>50</v>
      </c>
      <c r="I2260" s="6" t="str">
        <f>VLOOKUP(H2260,'Flow Location'!$A$1:$B$21,2,FALSE)</f>
        <v>Contained On Site, not within 5 ft. of Bayou/Surface Water/Drainage Ditch</v>
      </c>
      <c r="J2260" s="28">
        <v>225.0</v>
      </c>
      <c r="K2260" s="23" t="s">
        <v>29</v>
      </c>
      <c r="L2260" s="6" t="str">
        <f>VLOOKUP(K2260,'Structure type'!$A$1:$B$15,2,FALSE)</f>
        <v>Manhole</v>
      </c>
      <c r="M2260" s="23" t="s">
        <v>30</v>
      </c>
      <c r="N2260" s="6" t="str">
        <f>VLOOKUP(M2260,'Excursion Cause'!$A$1:$B$34,2,FALSE)</f>
        <v>Grease Blockage</v>
      </c>
      <c r="O2260" s="29">
        <v>44960.0</v>
      </c>
      <c r="P2260" s="30">
        <v>0.4131944444444444</v>
      </c>
      <c r="Q2260" s="29">
        <v>44960.0</v>
      </c>
      <c r="R2260" s="30">
        <v>0.5694444444444444</v>
      </c>
      <c r="S2260" s="28">
        <v>1.0</v>
      </c>
      <c r="T2260" s="23" t="s">
        <v>59</v>
      </c>
      <c r="U2260" s="6"/>
      <c r="V2260" s="6"/>
      <c r="W2260" s="35">
        <v>29.6953909</v>
      </c>
      <c r="X2260" s="35">
        <v>-95.4370337</v>
      </c>
      <c r="AA2260" s="33"/>
      <c r="AB2260" s="33"/>
      <c r="AC2260" s="33"/>
      <c r="AD2260" s="33"/>
      <c r="AE2260" s="33"/>
      <c r="AF2260" s="33"/>
      <c r="AG2260" s="33"/>
      <c r="AH2260" s="33"/>
      <c r="AI2260" s="33"/>
      <c r="AJ2260" s="33"/>
      <c r="AK2260" s="33"/>
      <c r="AL2260" s="33"/>
      <c r="AM2260" s="33"/>
      <c r="AN2260" s="33"/>
      <c r="AO2260" s="33"/>
    </row>
    <row r="2261" ht="15.75" customHeight="1">
      <c r="A2261" s="23">
        <v>51033.0</v>
      </c>
      <c r="B2261" s="23">
        <v>2023.0</v>
      </c>
      <c r="C2261" s="6" t="str">
        <f t="shared" si="7"/>
        <v>11201  LYNBROOK DR,Houston,TX</v>
      </c>
      <c r="D2261" s="23" t="s">
        <v>3620</v>
      </c>
      <c r="E2261" s="6" t="s">
        <v>25</v>
      </c>
      <c r="F2261" s="6" t="s">
        <v>1388</v>
      </c>
      <c r="G2261" s="31" t="s">
        <v>401</v>
      </c>
      <c r="H2261" s="23" t="s">
        <v>28</v>
      </c>
      <c r="I2261" s="6" t="str">
        <f>VLOOKUP(H2261,'Flow Location'!$A$1:$B$21,2,FALSE)</f>
        <v>Storm Sewer (not contained)</v>
      </c>
      <c r="J2261" s="28">
        <v>0.0</v>
      </c>
      <c r="K2261" s="23" t="s">
        <v>29</v>
      </c>
      <c r="L2261" s="6" t="str">
        <f>VLOOKUP(K2261,'Structure type'!$A$1:$B$15,2,FALSE)</f>
        <v>Manhole</v>
      </c>
      <c r="M2261" s="23" t="s">
        <v>30</v>
      </c>
      <c r="N2261" s="6" t="str">
        <f>VLOOKUP(M2261,'Excursion Cause'!$A$1:$B$34,2,FALSE)</f>
        <v>Grease Blockage</v>
      </c>
      <c r="O2261" s="29">
        <v>44960.0</v>
      </c>
      <c r="P2261" s="30">
        <v>0.48125</v>
      </c>
      <c r="Q2261" s="29">
        <v>44960.0</v>
      </c>
      <c r="R2261" s="30">
        <v>0.48194444444444445</v>
      </c>
      <c r="S2261" s="28">
        <v>0.0</v>
      </c>
      <c r="T2261" s="23" t="s">
        <v>59</v>
      </c>
      <c r="U2261" s="6"/>
      <c r="V2261" s="6"/>
      <c r="W2261" s="35">
        <v>29.7519537</v>
      </c>
      <c r="X2261" s="35">
        <v>-95.5761108</v>
      </c>
      <c r="AA2261" s="33"/>
      <c r="AB2261" s="33"/>
      <c r="AC2261" s="33"/>
      <c r="AD2261" s="33"/>
      <c r="AE2261" s="33"/>
      <c r="AF2261" s="33"/>
      <c r="AG2261" s="33"/>
      <c r="AH2261" s="33"/>
      <c r="AI2261" s="33"/>
      <c r="AJ2261" s="33"/>
      <c r="AK2261" s="33"/>
      <c r="AL2261" s="33"/>
      <c r="AM2261" s="33"/>
      <c r="AN2261" s="33"/>
      <c r="AO2261" s="33"/>
    </row>
    <row r="2262" ht="15.75" customHeight="1">
      <c r="A2262" s="23">
        <v>51035.0</v>
      </c>
      <c r="B2262" s="23">
        <v>2023.0</v>
      </c>
      <c r="C2262" s="6" t="str">
        <f t="shared" si="7"/>
        <v>7818  GLOVER ST,Houston,TX</v>
      </c>
      <c r="D2262" s="23" t="s">
        <v>3621</v>
      </c>
      <c r="E2262" s="6" t="s">
        <v>25</v>
      </c>
      <c r="F2262" s="6" t="s">
        <v>1388</v>
      </c>
      <c r="G2262" s="31" t="s">
        <v>365</v>
      </c>
      <c r="H2262" s="23" t="s">
        <v>28</v>
      </c>
      <c r="I2262" s="6" t="str">
        <f>VLOOKUP(H2262,'Flow Location'!$A$1:$B$21,2,FALSE)</f>
        <v>Storm Sewer (not contained)</v>
      </c>
      <c r="J2262" s="28">
        <v>5756.0</v>
      </c>
      <c r="K2262" s="23" t="s">
        <v>290</v>
      </c>
      <c r="L2262" s="6" t="str">
        <f>VLOOKUP(K2262,'Structure type'!$A$1:$B$15,2,FALSE)</f>
        <v>Gravity Main</v>
      </c>
      <c r="M2262" s="23" t="s">
        <v>52</v>
      </c>
      <c r="N2262" s="6" t="str">
        <f>VLOOKUP(M2262,'Excursion Cause'!$A$1:$B$34,2,FALSE)</f>
        <v>Collection system structural blockage</v>
      </c>
      <c r="O2262" s="29">
        <v>44960.0</v>
      </c>
      <c r="P2262" s="30">
        <v>0.5125</v>
      </c>
      <c r="Q2262" s="29">
        <v>44964.0</v>
      </c>
      <c r="R2262" s="30">
        <v>0.5097222222222222</v>
      </c>
      <c r="S2262" s="28">
        <v>1.0</v>
      </c>
      <c r="T2262" s="23" t="s">
        <v>107</v>
      </c>
      <c r="U2262" s="6"/>
      <c r="V2262" s="6"/>
      <c r="W2262" s="35">
        <v>29.7035539</v>
      </c>
      <c r="X2262" s="35">
        <v>-95.2813539</v>
      </c>
      <c r="AA2262" s="33"/>
      <c r="AB2262" s="33"/>
      <c r="AC2262" s="33"/>
      <c r="AD2262" s="33"/>
      <c r="AE2262" s="33"/>
      <c r="AF2262" s="33"/>
      <c r="AG2262" s="33"/>
      <c r="AH2262" s="33"/>
      <c r="AI2262" s="33"/>
      <c r="AJ2262" s="33"/>
      <c r="AK2262" s="33"/>
      <c r="AL2262" s="33"/>
      <c r="AM2262" s="33"/>
      <c r="AN2262" s="33"/>
      <c r="AO2262" s="33"/>
    </row>
    <row r="2263" ht="15.75" customHeight="1">
      <c r="A2263" s="23">
        <v>51040.0</v>
      </c>
      <c r="B2263" s="23">
        <v>2023.0</v>
      </c>
      <c r="C2263" s="6" t="str">
        <f t="shared" si="7"/>
        <v>5  ADAMS ST,Houston,TX</v>
      </c>
      <c r="D2263" s="23" t="s">
        <v>3622</v>
      </c>
      <c r="E2263" s="6" t="s">
        <v>25</v>
      </c>
      <c r="F2263" s="6" t="s">
        <v>1388</v>
      </c>
      <c r="G2263" s="31" t="s">
        <v>227</v>
      </c>
      <c r="H2263" s="23" t="s">
        <v>87</v>
      </c>
      <c r="I2263" s="6" t="str">
        <f>VLOOKUP(H2263,'Flow Location'!$A$1:$B$21,2,FALSE)</f>
        <v>Within 5 ft. of Bayou/Surface Water/Drainage Ditch</v>
      </c>
      <c r="J2263" s="28">
        <v>0.0</v>
      </c>
      <c r="K2263" s="23" t="s">
        <v>198</v>
      </c>
      <c r="L2263" s="6" t="str">
        <f>VLOOKUP(K2263,'Structure type'!$A$1:$B$15,2,FALSE)</f>
        <v>Service Lateral</v>
      </c>
      <c r="M2263" s="23" t="s">
        <v>56</v>
      </c>
      <c r="N2263" s="6" t="str">
        <f>VLOOKUP(M2263,'Excursion Cause'!$A$1:$B$34,2,FALSE)</f>
        <v>Rags/Wipes</v>
      </c>
      <c r="O2263" s="29">
        <v>44961.0</v>
      </c>
      <c r="P2263" s="30">
        <v>0.4166666666666667</v>
      </c>
      <c r="Q2263" s="29">
        <v>44961.0</v>
      </c>
      <c r="R2263" s="30">
        <v>0.4444444444444444</v>
      </c>
      <c r="S2263" s="28">
        <v>0.0</v>
      </c>
      <c r="T2263" s="23" t="s">
        <v>118</v>
      </c>
      <c r="U2263" s="6"/>
      <c r="V2263" s="6"/>
      <c r="W2263" s="35">
        <v>29.7462981</v>
      </c>
      <c r="X2263" s="35">
        <v>-95.3228338</v>
      </c>
      <c r="AA2263" s="33"/>
      <c r="AB2263" s="33"/>
      <c r="AC2263" s="33"/>
      <c r="AD2263" s="33"/>
      <c r="AE2263" s="33"/>
      <c r="AF2263" s="33"/>
      <c r="AG2263" s="33"/>
      <c r="AH2263" s="33"/>
      <c r="AI2263" s="33"/>
      <c r="AJ2263" s="33"/>
      <c r="AK2263" s="33"/>
      <c r="AL2263" s="33"/>
      <c r="AM2263" s="33"/>
      <c r="AN2263" s="33"/>
      <c r="AO2263" s="33"/>
    </row>
    <row r="2264" ht="15.75" customHeight="1">
      <c r="A2264" s="23">
        <v>51046.0</v>
      </c>
      <c r="B2264" s="23">
        <v>2023.0</v>
      </c>
      <c r="C2264" s="6" t="str">
        <f t="shared" si="7"/>
        <v>8778  AIRPORT BLVD,Houston,TX</v>
      </c>
      <c r="D2264" s="23" t="s">
        <v>3623</v>
      </c>
      <c r="E2264" s="6" t="s">
        <v>25</v>
      </c>
      <c r="F2264" s="6" t="s">
        <v>1388</v>
      </c>
      <c r="G2264" s="31" t="s">
        <v>398</v>
      </c>
      <c r="H2264" s="23" t="s">
        <v>28</v>
      </c>
      <c r="I2264" s="6" t="str">
        <f>VLOOKUP(H2264,'Flow Location'!$A$1:$B$21,2,FALSE)</f>
        <v>Storm Sewer (not contained)</v>
      </c>
      <c r="J2264" s="28">
        <v>822.0</v>
      </c>
      <c r="K2264" s="23" t="s">
        <v>29</v>
      </c>
      <c r="L2264" s="6" t="str">
        <f>VLOOKUP(K2264,'Structure type'!$A$1:$B$15,2,FALSE)</f>
        <v>Manhole</v>
      </c>
      <c r="M2264" s="23" t="s">
        <v>96</v>
      </c>
      <c r="N2264" s="6" t="str">
        <f>VLOOKUP(M2264,'Excursion Cause'!$A$1:$B$34,2,FALSE)</f>
        <v>Collection system temporary blockage</v>
      </c>
      <c r="O2264" s="29">
        <v>44961.0</v>
      </c>
      <c r="P2264" s="30">
        <v>0.37222222222222223</v>
      </c>
      <c r="Q2264" s="29">
        <v>44961.0</v>
      </c>
      <c r="R2264" s="30">
        <v>0.5625</v>
      </c>
      <c r="S2264" s="28">
        <v>3.0</v>
      </c>
      <c r="T2264" s="23" t="s">
        <v>59</v>
      </c>
      <c r="U2264" s="6"/>
      <c r="V2264" s="6"/>
      <c r="W2264" s="35">
        <v>29.6530805</v>
      </c>
      <c r="X2264" s="35">
        <v>-95.2617102</v>
      </c>
      <c r="AA2264" s="33"/>
      <c r="AB2264" s="33"/>
      <c r="AC2264" s="33"/>
      <c r="AD2264" s="33"/>
      <c r="AE2264" s="33"/>
      <c r="AF2264" s="33"/>
      <c r="AG2264" s="33"/>
      <c r="AH2264" s="33"/>
      <c r="AI2264" s="33"/>
      <c r="AJ2264" s="33"/>
      <c r="AK2264" s="33"/>
      <c r="AL2264" s="33"/>
      <c r="AM2264" s="33"/>
      <c r="AN2264" s="33"/>
      <c r="AO2264" s="33"/>
    </row>
    <row r="2265" ht="15.75" customHeight="1">
      <c r="A2265" s="23">
        <v>51053.0</v>
      </c>
      <c r="B2265" s="23">
        <v>2023.0</v>
      </c>
      <c r="C2265" s="6" t="str">
        <f t="shared" si="7"/>
        <v>12826  SHANNON HILLS DR,Houston,TX</v>
      </c>
      <c r="D2265" s="23" t="s">
        <v>3624</v>
      </c>
      <c r="E2265" s="6" t="s">
        <v>25</v>
      </c>
      <c r="F2265" s="6" t="s">
        <v>1388</v>
      </c>
      <c r="G2265" s="31" t="s">
        <v>154</v>
      </c>
      <c r="H2265" s="23" t="s">
        <v>28</v>
      </c>
      <c r="I2265" s="6" t="str">
        <f>VLOOKUP(H2265,'Flow Location'!$A$1:$B$21,2,FALSE)</f>
        <v>Storm Sewer (not contained)</v>
      </c>
      <c r="J2265" s="28">
        <v>701.0</v>
      </c>
      <c r="K2265" s="23" t="s">
        <v>29</v>
      </c>
      <c r="L2265" s="6" t="str">
        <f>VLOOKUP(K2265,'Structure type'!$A$1:$B$15,2,FALSE)</f>
        <v>Manhole</v>
      </c>
      <c r="M2265" s="23" t="s">
        <v>30</v>
      </c>
      <c r="N2265" s="6" t="str">
        <f>VLOOKUP(M2265,'Excursion Cause'!$A$1:$B$34,2,FALSE)</f>
        <v>Grease Blockage</v>
      </c>
      <c r="O2265" s="29">
        <v>44961.0</v>
      </c>
      <c r="P2265" s="30">
        <v>0.6236111111111111</v>
      </c>
      <c r="Q2265" s="29">
        <v>44962.0</v>
      </c>
      <c r="R2265" s="30">
        <v>0.5972222222222222</v>
      </c>
      <c r="S2265" s="28">
        <v>1.0</v>
      </c>
      <c r="T2265" s="23" t="s">
        <v>33</v>
      </c>
      <c r="U2265" s="6"/>
      <c r="V2265" s="6"/>
      <c r="W2265" s="35">
        <v>29.6811793</v>
      </c>
      <c r="X2265" s="35">
        <v>-95.6073562</v>
      </c>
      <c r="AA2265" s="33"/>
      <c r="AB2265" s="33"/>
      <c r="AC2265" s="33"/>
      <c r="AD2265" s="33"/>
      <c r="AE2265" s="33"/>
      <c r="AF2265" s="33"/>
      <c r="AG2265" s="33"/>
      <c r="AH2265" s="33"/>
      <c r="AI2265" s="33"/>
      <c r="AJ2265" s="33"/>
      <c r="AK2265" s="33"/>
      <c r="AL2265" s="33"/>
      <c r="AM2265" s="33"/>
      <c r="AN2265" s="33"/>
      <c r="AO2265" s="33"/>
    </row>
    <row r="2266" ht="15.75" customHeight="1">
      <c r="A2266" s="23">
        <v>51056.0</v>
      </c>
      <c r="B2266" s="23">
        <v>2023.0</v>
      </c>
      <c r="C2266" s="6" t="str">
        <f t="shared" si="7"/>
        <v>5820 W GULF BANK RD,Houston,TX</v>
      </c>
      <c r="D2266" s="23" t="s">
        <v>1355</v>
      </c>
      <c r="E2266" s="6" t="s">
        <v>25</v>
      </c>
      <c r="F2266" s="6" t="s">
        <v>1388</v>
      </c>
      <c r="G2266" s="31" t="s">
        <v>502</v>
      </c>
      <c r="H2266" s="23" t="s">
        <v>28</v>
      </c>
      <c r="I2266" s="6" t="str">
        <f>VLOOKUP(H2266,'Flow Location'!$A$1:$B$21,2,FALSE)</f>
        <v>Storm Sewer (not contained)</v>
      </c>
      <c r="J2266" s="28">
        <v>2244.0</v>
      </c>
      <c r="K2266" s="23" t="s">
        <v>29</v>
      </c>
      <c r="L2266" s="6" t="str">
        <f>VLOOKUP(K2266,'Structure type'!$A$1:$B$15,2,FALSE)</f>
        <v>Manhole</v>
      </c>
      <c r="M2266" s="23" t="s">
        <v>30</v>
      </c>
      <c r="N2266" s="6" t="str">
        <f>VLOOKUP(M2266,'Excursion Cause'!$A$1:$B$34,2,FALSE)</f>
        <v>Grease Blockage</v>
      </c>
      <c r="O2266" s="29">
        <v>44961.0</v>
      </c>
      <c r="P2266" s="30">
        <v>0.7</v>
      </c>
      <c r="Q2266" s="29">
        <v>44962.0</v>
      </c>
      <c r="R2266" s="30">
        <v>0.4791666666666667</v>
      </c>
      <c r="S2266" s="28">
        <v>2.0</v>
      </c>
      <c r="T2266" s="23" t="s">
        <v>33</v>
      </c>
      <c r="U2266" s="6"/>
      <c r="V2266" s="6"/>
      <c r="W2266" s="35">
        <v>29.8847753</v>
      </c>
      <c r="X2266" s="35">
        <v>-95.4751796</v>
      </c>
      <c r="AA2266" s="33"/>
      <c r="AB2266" s="33"/>
      <c r="AC2266" s="33"/>
      <c r="AD2266" s="33"/>
      <c r="AE2266" s="33"/>
      <c r="AF2266" s="33"/>
      <c r="AG2266" s="33"/>
      <c r="AH2266" s="33"/>
      <c r="AI2266" s="33"/>
      <c r="AJ2266" s="33"/>
      <c r="AK2266" s="33"/>
      <c r="AL2266" s="33"/>
      <c r="AM2266" s="33"/>
      <c r="AN2266" s="33"/>
      <c r="AO2266" s="33"/>
    </row>
    <row r="2267" ht="15.75" customHeight="1">
      <c r="A2267" s="23">
        <v>51059.0</v>
      </c>
      <c r="B2267" s="23">
        <v>2023.0</v>
      </c>
      <c r="C2267" s="6" t="str">
        <f t="shared" si="7"/>
        <v>6441  OLD CHATHAM LN,Houston,TX</v>
      </c>
      <c r="D2267" s="23" t="s">
        <v>3625</v>
      </c>
      <c r="E2267" s="6" t="s">
        <v>25</v>
      </c>
      <c r="F2267" s="6" t="s">
        <v>1388</v>
      </c>
      <c r="G2267" s="31" t="s">
        <v>127</v>
      </c>
      <c r="H2267" s="23" t="s">
        <v>50</v>
      </c>
      <c r="I2267" s="6" t="str">
        <f>VLOOKUP(H2267,'Flow Location'!$A$1:$B$21,2,FALSE)</f>
        <v>Contained On Site, not within 5 ft. of Bayou/Surface Water/Drainage Ditch</v>
      </c>
      <c r="J2267" s="28">
        <v>0.0</v>
      </c>
      <c r="K2267" s="23" t="s">
        <v>29</v>
      </c>
      <c r="L2267" s="6" t="str">
        <f>VLOOKUP(K2267,'Structure type'!$A$1:$B$15,2,FALSE)</f>
        <v>Manhole</v>
      </c>
      <c r="M2267" s="23" t="s">
        <v>30</v>
      </c>
      <c r="N2267" s="6" t="str">
        <f>VLOOKUP(M2267,'Excursion Cause'!$A$1:$B$34,2,FALSE)</f>
        <v>Grease Blockage</v>
      </c>
      <c r="O2267" s="29">
        <v>44962.0</v>
      </c>
      <c r="P2267" s="30">
        <v>0.41458333333333336</v>
      </c>
      <c r="Q2267" s="29">
        <v>44962.0</v>
      </c>
      <c r="R2267" s="30">
        <v>0.4152777777777778</v>
      </c>
      <c r="S2267" s="28">
        <v>0.0</v>
      </c>
      <c r="T2267" s="23" t="s">
        <v>59</v>
      </c>
      <c r="U2267" s="6"/>
      <c r="V2267" s="6"/>
      <c r="W2267" s="35">
        <v>29.6472802</v>
      </c>
      <c r="X2267" s="35">
        <v>-95.5045957</v>
      </c>
      <c r="AA2267" s="33"/>
      <c r="AB2267" s="33"/>
      <c r="AC2267" s="33"/>
      <c r="AD2267" s="33"/>
      <c r="AE2267" s="33"/>
      <c r="AF2267" s="33"/>
      <c r="AG2267" s="33"/>
      <c r="AH2267" s="33"/>
      <c r="AI2267" s="33"/>
      <c r="AJ2267" s="33"/>
      <c r="AK2267" s="33"/>
      <c r="AL2267" s="33"/>
      <c r="AM2267" s="33"/>
      <c r="AN2267" s="33"/>
      <c r="AO2267" s="33"/>
    </row>
    <row r="2268" ht="15.75" customHeight="1">
      <c r="A2268" s="23">
        <v>51060.0</v>
      </c>
      <c r="B2268" s="23">
        <v>2023.0</v>
      </c>
      <c r="C2268" s="6" t="str">
        <f t="shared" si="7"/>
        <v>1430 W 19TH ST,Houston,TX</v>
      </c>
      <c r="D2268" s="23" t="s">
        <v>3626</v>
      </c>
      <c r="E2268" s="6" t="s">
        <v>25</v>
      </c>
      <c r="F2268" s="6" t="s">
        <v>1388</v>
      </c>
      <c r="G2268" s="31" t="s">
        <v>232</v>
      </c>
      <c r="H2268" s="23" t="s">
        <v>50</v>
      </c>
      <c r="I2268" s="6" t="str">
        <f>VLOOKUP(H2268,'Flow Location'!$A$1:$B$21,2,FALSE)</f>
        <v>Contained On Site, not within 5 ft. of Bayou/Surface Water/Drainage Ditch</v>
      </c>
      <c r="J2268" s="28">
        <v>0.0</v>
      </c>
      <c r="K2268" s="23" t="s">
        <v>45</v>
      </c>
      <c r="L2268" s="6" t="str">
        <f>VLOOKUP(K2268,'Structure type'!$A$1:$B$15,2,FALSE)</f>
        <v>City Cleanout</v>
      </c>
      <c r="M2268" s="23" t="s">
        <v>56</v>
      </c>
      <c r="N2268" s="6" t="str">
        <f>VLOOKUP(M2268,'Excursion Cause'!$A$1:$B$34,2,FALSE)</f>
        <v>Rags/Wipes</v>
      </c>
      <c r="O2268" s="29">
        <v>44962.0</v>
      </c>
      <c r="P2268" s="30">
        <v>0.47708333333333336</v>
      </c>
      <c r="Q2268" s="29">
        <v>44962.0</v>
      </c>
      <c r="R2268" s="30">
        <v>0.4777777777777778</v>
      </c>
      <c r="S2268" s="28">
        <v>0.0</v>
      </c>
      <c r="T2268" s="23" t="s">
        <v>89</v>
      </c>
      <c r="U2268" s="6"/>
      <c r="V2268" s="6"/>
      <c r="W2268" s="35">
        <v>29.8022714</v>
      </c>
      <c r="X2268" s="35">
        <v>-95.4241914999999</v>
      </c>
      <c r="AA2268" s="33"/>
      <c r="AB2268" s="33"/>
      <c r="AC2268" s="33"/>
      <c r="AD2268" s="33"/>
      <c r="AE2268" s="33"/>
      <c r="AF2268" s="33"/>
      <c r="AG2268" s="33"/>
      <c r="AH2268" s="33"/>
      <c r="AI2268" s="33"/>
      <c r="AJ2268" s="33"/>
      <c r="AK2268" s="33"/>
      <c r="AL2268" s="33"/>
      <c r="AM2268" s="33"/>
      <c r="AN2268" s="33"/>
      <c r="AO2268" s="33"/>
    </row>
    <row r="2269" ht="15.75" customHeight="1">
      <c r="A2269" s="23">
        <v>51062.0</v>
      </c>
      <c r="B2269" s="23">
        <v>2023.0</v>
      </c>
      <c r="C2269" s="6" t="str">
        <f t="shared" si="7"/>
        <v>11911  CHIMNEY ROCK DR,Houston,TX</v>
      </c>
      <c r="D2269" s="23" t="s">
        <v>3627</v>
      </c>
      <c r="E2269" s="6" t="s">
        <v>25</v>
      </c>
      <c r="F2269" s="6" t="s">
        <v>1388</v>
      </c>
      <c r="G2269" s="31" t="s">
        <v>127</v>
      </c>
      <c r="H2269" s="23" t="s">
        <v>28</v>
      </c>
      <c r="I2269" s="6" t="str">
        <f>VLOOKUP(H2269,'Flow Location'!$A$1:$B$21,2,FALSE)</f>
        <v>Storm Sewer (not contained)</v>
      </c>
      <c r="J2269" s="28">
        <v>100.0</v>
      </c>
      <c r="K2269" s="23" t="s">
        <v>29</v>
      </c>
      <c r="L2269" s="6" t="str">
        <f>VLOOKUP(K2269,'Structure type'!$A$1:$B$15,2,FALSE)</f>
        <v>Manhole</v>
      </c>
      <c r="M2269" s="23" t="s">
        <v>30</v>
      </c>
      <c r="N2269" s="6" t="str">
        <f>VLOOKUP(M2269,'Excursion Cause'!$A$1:$B$34,2,FALSE)</f>
        <v>Grease Blockage</v>
      </c>
      <c r="O2269" s="29">
        <v>44962.0</v>
      </c>
      <c r="P2269" s="30">
        <v>0.4722222222222222</v>
      </c>
      <c r="Q2269" s="29">
        <v>44962.0</v>
      </c>
      <c r="R2269" s="30">
        <v>0.4861111111111111</v>
      </c>
      <c r="S2269" s="28">
        <v>5.0</v>
      </c>
      <c r="T2269" s="23" t="s">
        <v>59</v>
      </c>
      <c r="U2269" s="6"/>
      <c r="V2269" s="6"/>
      <c r="W2269" s="35">
        <v>29.649588</v>
      </c>
      <c r="X2269" s="35">
        <v>-95.4809760999999</v>
      </c>
      <c r="AA2269" s="33"/>
      <c r="AB2269" s="33"/>
      <c r="AC2269" s="33"/>
      <c r="AD2269" s="33"/>
      <c r="AE2269" s="33"/>
      <c r="AF2269" s="33"/>
      <c r="AG2269" s="33"/>
      <c r="AH2269" s="33"/>
      <c r="AI2269" s="33"/>
      <c r="AJ2269" s="33"/>
      <c r="AK2269" s="33"/>
      <c r="AL2269" s="33"/>
      <c r="AM2269" s="33"/>
      <c r="AN2269" s="33"/>
      <c r="AO2269" s="33"/>
    </row>
    <row r="2270" ht="15.75" customHeight="1">
      <c r="A2270" s="23">
        <v>51067.0</v>
      </c>
      <c r="B2270" s="23">
        <v>2023.0</v>
      </c>
      <c r="C2270" s="6" t="str">
        <f t="shared" si="7"/>
        <v>5315  LEELAND ST,Houston,TX</v>
      </c>
      <c r="D2270" s="23" t="s">
        <v>3628</v>
      </c>
      <c r="E2270" s="6" t="s">
        <v>25</v>
      </c>
      <c r="F2270" s="6" t="s">
        <v>1388</v>
      </c>
      <c r="G2270" s="31" t="s">
        <v>141</v>
      </c>
      <c r="H2270" s="23" t="s">
        <v>50</v>
      </c>
      <c r="I2270" s="6" t="str">
        <f>VLOOKUP(H2270,'Flow Location'!$A$1:$B$21,2,FALSE)</f>
        <v>Contained On Site, not within 5 ft. of Bayou/Surface Water/Drainage Ditch</v>
      </c>
      <c r="J2270" s="28">
        <v>0.0</v>
      </c>
      <c r="K2270" s="23" t="s">
        <v>45</v>
      </c>
      <c r="L2270" s="6" t="str">
        <f>VLOOKUP(K2270,'Structure type'!$A$1:$B$15,2,FALSE)</f>
        <v>City Cleanout</v>
      </c>
      <c r="M2270" s="23" t="s">
        <v>81</v>
      </c>
      <c r="N2270" s="6" t="str">
        <f>VLOOKUP(M2270,'Excursion Cause'!$A$1:$B$34,2,FALSE)</f>
        <v>Collection system structural failure</v>
      </c>
      <c r="O2270" s="29">
        <v>44962.0</v>
      </c>
      <c r="P2270" s="30">
        <v>0.6118055555555556</v>
      </c>
      <c r="Q2270" s="29">
        <v>44962.0</v>
      </c>
      <c r="R2270" s="30">
        <v>0.6125</v>
      </c>
      <c r="S2270" s="28">
        <v>0.0</v>
      </c>
      <c r="T2270" s="23" t="s">
        <v>54</v>
      </c>
      <c r="U2270" s="6"/>
      <c r="V2270" s="6"/>
      <c r="W2270" s="35">
        <v>29.7324257</v>
      </c>
      <c r="X2270" s="35">
        <v>-95.3208499</v>
      </c>
      <c r="AA2270" s="33"/>
      <c r="AB2270" s="33"/>
      <c r="AC2270" s="33"/>
      <c r="AD2270" s="33"/>
      <c r="AE2270" s="33"/>
      <c r="AF2270" s="33"/>
      <c r="AG2270" s="33"/>
      <c r="AH2270" s="33"/>
      <c r="AI2270" s="33"/>
      <c r="AJ2270" s="33"/>
      <c r="AK2270" s="33"/>
      <c r="AL2270" s="33"/>
      <c r="AM2270" s="33"/>
      <c r="AN2270" s="33"/>
      <c r="AO2270" s="33"/>
    </row>
    <row r="2271" ht="15.75" customHeight="1">
      <c r="A2271" s="23">
        <v>51068.0</v>
      </c>
      <c r="B2271" s="23">
        <v>2023.0</v>
      </c>
      <c r="C2271" s="6" t="str">
        <f t="shared" si="7"/>
        <v>6301  FORCE ST,Houston,TX</v>
      </c>
      <c r="D2271" s="23" t="s">
        <v>3629</v>
      </c>
      <c r="E2271" s="6" t="s">
        <v>25</v>
      </c>
      <c r="F2271" s="6" t="s">
        <v>1388</v>
      </c>
      <c r="G2271" s="31" t="s">
        <v>86</v>
      </c>
      <c r="H2271" s="23" t="s">
        <v>28</v>
      </c>
      <c r="I2271" s="6" t="str">
        <f>VLOOKUP(H2271,'Flow Location'!$A$1:$B$21,2,FALSE)</f>
        <v>Storm Sewer (not contained)</v>
      </c>
      <c r="J2271" s="28">
        <v>0.0</v>
      </c>
      <c r="K2271" s="23" t="s">
        <v>29</v>
      </c>
      <c r="L2271" s="6" t="str">
        <f>VLOOKUP(K2271,'Structure type'!$A$1:$B$15,2,FALSE)</f>
        <v>Manhole</v>
      </c>
      <c r="M2271" s="23" t="s">
        <v>30</v>
      </c>
      <c r="N2271" s="6" t="str">
        <f>VLOOKUP(M2271,'Excursion Cause'!$A$1:$B$34,2,FALSE)</f>
        <v>Grease Blockage</v>
      </c>
      <c r="O2271" s="29">
        <v>44962.0</v>
      </c>
      <c r="P2271" s="30">
        <v>0.6402777777777777</v>
      </c>
      <c r="Q2271" s="29">
        <v>44962.0</v>
      </c>
      <c r="R2271" s="30">
        <v>0.6409722222222223</v>
      </c>
      <c r="S2271" s="28">
        <v>0.0</v>
      </c>
      <c r="T2271" s="23" t="s">
        <v>33</v>
      </c>
      <c r="U2271" s="6"/>
      <c r="V2271" s="6"/>
      <c r="W2271" s="35">
        <v>29.7865128</v>
      </c>
      <c r="X2271" s="35">
        <v>-95.3071669999999</v>
      </c>
      <c r="AA2271" s="33"/>
      <c r="AB2271" s="33"/>
      <c r="AC2271" s="33"/>
      <c r="AD2271" s="33"/>
      <c r="AE2271" s="33"/>
      <c r="AF2271" s="33"/>
      <c r="AG2271" s="33"/>
      <c r="AH2271" s="33"/>
      <c r="AI2271" s="33"/>
      <c r="AJ2271" s="33"/>
      <c r="AK2271" s="33"/>
      <c r="AL2271" s="33"/>
      <c r="AM2271" s="33"/>
      <c r="AN2271" s="33"/>
      <c r="AO2271" s="33"/>
    </row>
    <row r="2272" ht="15.75" customHeight="1">
      <c r="A2272" s="23">
        <v>51076.0</v>
      </c>
      <c r="B2272" s="23">
        <v>2023.0</v>
      </c>
      <c r="C2272" s="6" t="str">
        <f t="shared" si="7"/>
        <v>5410  HIRSCH RD,Houston,TX</v>
      </c>
      <c r="D2272" s="23" t="s">
        <v>3630</v>
      </c>
      <c r="E2272" s="6" t="s">
        <v>25</v>
      </c>
      <c r="F2272" s="6" t="s">
        <v>1388</v>
      </c>
      <c r="G2272" s="31" t="s">
        <v>43</v>
      </c>
      <c r="H2272" s="23" t="s">
        <v>50</v>
      </c>
      <c r="I2272" s="6" t="str">
        <f>VLOOKUP(H2272,'Flow Location'!$A$1:$B$21,2,FALSE)</f>
        <v>Contained On Site, not within 5 ft. of Bayou/Surface Water/Drainage Ditch</v>
      </c>
      <c r="J2272" s="28">
        <v>0.0</v>
      </c>
      <c r="K2272" s="23" t="s">
        <v>51</v>
      </c>
      <c r="L2272" s="6" t="str">
        <f>VLOOKUP(K2272,'Structure type'!$A$1:$B$15,2,FALSE)</f>
        <v>Private Cleanout</v>
      </c>
      <c r="M2272" s="23" t="s">
        <v>52</v>
      </c>
      <c r="N2272" s="6" t="str">
        <f>VLOOKUP(M2272,'Excursion Cause'!$A$1:$B$34,2,FALSE)</f>
        <v>Collection system structural blockage</v>
      </c>
      <c r="O2272" s="29">
        <v>44964.0</v>
      </c>
      <c r="P2272" s="30">
        <v>0.6319444444444444</v>
      </c>
      <c r="Q2272" s="29">
        <v>44964.0</v>
      </c>
      <c r="R2272" s="30">
        <v>0.6527777777777778</v>
      </c>
      <c r="S2272" s="28">
        <v>0.0</v>
      </c>
      <c r="T2272" s="23" t="s">
        <v>107</v>
      </c>
      <c r="U2272" s="6"/>
      <c r="V2272" s="6"/>
      <c r="W2272" s="35">
        <v>29.8092122</v>
      </c>
      <c r="X2272" s="35">
        <v>-95.328336</v>
      </c>
      <c r="AA2272" s="33"/>
      <c r="AB2272" s="33"/>
      <c r="AC2272" s="33"/>
      <c r="AD2272" s="33"/>
      <c r="AE2272" s="33"/>
      <c r="AF2272" s="33"/>
      <c r="AG2272" s="33"/>
      <c r="AH2272" s="33"/>
      <c r="AI2272" s="33"/>
      <c r="AJ2272" s="33"/>
      <c r="AK2272" s="33"/>
      <c r="AL2272" s="33"/>
      <c r="AM2272" s="33"/>
      <c r="AN2272" s="33"/>
      <c r="AO2272" s="33"/>
    </row>
    <row r="2273" ht="15.75" customHeight="1">
      <c r="A2273" s="23">
        <v>51080.0</v>
      </c>
      <c r="B2273" s="23">
        <v>2023.0</v>
      </c>
      <c r="C2273" s="6" t="str">
        <f t="shared" si="7"/>
        <v>8056  WIER DR,Houston,TX</v>
      </c>
      <c r="D2273" s="23" t="s">
        <v>3631</v>
      </c>
      <c r="E2273" s="6" t="s">
        <v>25</v>
      </c>
      <c r="F2273" s="6" t="s">
        <v>1388</v>
      </c>
      <c r="G2273" s="31" t="s">
        <v>135</v>
      </c>
      <c r="H2273" s="23" t="s">
        <v>28</v>
      </c>
      <c r="I2273" s="6" t="str">
        <f>VLOOKUP(H2273,'Flow Location'!$A$1:$B$21,2,FALSE)</f>
        <v>Storm Sewer (not contained)</v>
      </c>
      <c r="J2273" s="28">
        <v>322.0</v>
      </c>
      <c r="K2273" s="23" t="s">
        <v>29</v>
      </c>
      <c r="L2273" s="6" t="str">
        <f>VLOOKUP(K2273,'Structure type'!$A$1:$B$15,2,FALSE)</f>
        <v>Manhole</v>
      </c>
      <c r="M2273" s="23" t="s">
        <v>30</v>
      </c>
      <c r="N2273" s="6" t="str">
        <f>VLOOKUP(M2273,'Excursion Cause'!$A$1:$B$34,2,FALSE)</f>
        <v>Grease Blockage</v>
      </c>
      <c r="O2273" s="29">
        <v>44963.0</v>
      </c>
      <c r="P2273" s="30">
        <v>0.5479166666666667</v>
      </c>
      <c r="Q2273" s="29">
        <v>44963.0</v>
      </c>
      <c r="R2273" s="30">
        <v>0.6597222222222222</v>
      </c>
      <c r="S2273" s="28">
        <v>2.0</v>
      </c>
      <c r="T2273" s="23" t="s">
        <v>59</v>
      </c>
      <c r="U2273" s="6"/>
      <c r="V2273" s="6"/>
      <c r="W2273" s="35">
        <v>29.6787031</v>
      </c>
      <c r="X2273" s="35">
        <v>-95.2649677</v>
      </c>
      <c r="AA2273" s="33"/>
      <c r="AB2273" s="33"/>
      <c r="AC2273" s="33"/>
      <c r="AD2273" s="33"/>
      <c r="AE2273" s="33"/>
      <c r="AF2273" s="33"/>
      <c r="AG2273" s="33"/>
      <c r="AH2273" s="33"/>
      <c r="AI2273" s="33"/>
      <c r="AJ2273" s="33"/>
      <c r="AK2273" s="33"/>
      <c r="AL2273" s="33"/>
      <c r="AM2273" s="33"/>
      <c r="AN2273" s="33"/>
      <c r="AO2273" s="33"/>
    </row>
    <row r="2274" ht="15.75" customHeight="1">
      <c r="A2274" s="23">
        <v>51081.0</v>
      </c>
      <c r="B2274" s="23">
        <v>2023.0</v>
      </c>
      <c r="C2274" s="6" t="str">
        <f t="shared" si="7"/>
        <v>16314  BERETTA CT,Houston,TX</v>
      </c>
      <c r="D2274" s="23" t="s">
        <v>3632</v>
      </c>
      <c r="E2274" s="6" t="s">
        <v>25</v>
      </c>
      <c r="F2274" s="6" t="s">
        <v>1388</v>
      </c>
      <c r="G2274" s="31" t="s">
        <v>166</v>
      </c>
      <c r="H2274" s="23" t="s">
        <v>28</v>
      </c>
      <c r="I2274" s="6" t="str">
        <f>VLOOKUP(H2274,'Flow Location'!$A$1:$B$21,2,FALSE)</f>
        <v>Storm Sewer (not contained)</v>
      </c>
      <c r="J2274" s="28">
        <v>384.0</v>
      </c>
      <c r="K2274" s="23" t="s">
        <v>29</v>
      </c>
      <c r="L2274" s="6" t="str">
        <f>VLOOKUP(K2274,'Structure type'!$A$1:$B$15,2,FALSE)</f>
        <v>Manhole</v>
      </c>
      <c r="M2274" s="23" t="s">
        <v>30</v>
      </c>
      <c r="N2274" s="6" t="str">
        <f>VLOOKUP(M2274,'Excursion Cause'!$A$1:$B$34,2,FALSE)</f>
        <v>Grease Blockage</v>
      </c>
      <c r="O2274" s="29">
        <v>44963.0</v>
      </c>
      <c r="P2274" s="30">
        <v>0.5368055555555555</v>
      </c>
      <c r="Q2274" s="29">
        <v>44963.0</v>
      </c>
      <c r="R2274" s="30">
        <v>0.6701388888888888</v>
      </c>
      <c r="S2274" s="28">
        <v>2.0</v>
      </c>
      <c r="T2274" s="23" t="s">
        <v>59</v>
      </c>
      <c r="U2274" s="6"/>
      <c r="V2274" s="6"/>
      <c r="W2274" s="35">
        <v>29.5907331</v>
      </c>
      <c r="X2274" s="35">
        <v>-95.5149438</v>
      </c>
      <c r="AA2274" s="33"/>
      <c r="AB2274" s="33"/>
      <c r="AC2274" s="33"/>
      <c r="AD2274" s="33"/>
      <c r="AE2274" s="33"/>
      <c r="AF2274" s="33"/>
      <c r="AG2274" s="33"/>
      <c r="AH2274" s="33"/>
      <c r="AI2274" s="33"/>
      <c r="AJ2274" s="33"/>
      <c r="AK2274" s="33"/>
      <c r="AL2274" s="33"/>
      <c r="AM2274" s="33"/>
      <c r="AN2274" s="33"/>
      <c r="AO2274" s="33"/>
    </row>
    <row r="2275" ht="15.75" customHeight="1">
      <c r="A2275" s="23">
        <v>51082.0</v>
      </c>
      <c r="B2275" s="23">
        <v>2023.0</v>
      </c>
      <c r="C2275" s="6" t="str">
        <f t="shared" si="7"/>
        <v>10707 S GESSNER RD,Houston,TX</v>
      </c>
      <c r="D2275" s="23" t="s">
        <v>3633</v>
      </c>
      <c r="E2275" s="6" t="s">
        <v>25</v>
      </c>
      <c r="F2275" s="6" t="s">
        <v>1388</v>
      </c>
      <c r="G2275" s="31" t="s">
        <v>148</v>
      </c>
      <c r="H2275" s="23" t="s">
        <v>28</v>
      </c>
      <c r="I2275" s="6" t="str">
        <f>VLOOKUP(H2275,'Flow Location'!$A$1:$B$21,2,FALSE)</f>
        <v>Storm Sewer (not contained)</v>
      </c>
      <c r="J2275" s="28">
        <v>140.0</v>
      </c>
      <c r="K2275" s="23" t="s">
        <v>29</v>
      </c>
      <c r="L2275" s="6" t="str">
        <f>VLOOKUP(K2275,'Structure type'!$A$1:$B$15,2,FALSE)</f>
        <v>Manhole</v>
      </c>
      <c r="M2275" s="23" t="s">
        <v>30</v>
      </c>
      <c r="N2275" s="6" t="str">
        <f>VLOOKUP(M2275,'Excursion Cause'!$A$1:$B$34,2,FALSE)</f>
        <v>Grease Blockage</v>
      </c>
      <c r="O2275" s="29">
        <v>44963.0</v>
      </c>
      <c r="P2275" s="30">
        <v>0.56875</v>
      </c>
      <c r="Q2275" s="29">
        <v>44963.0</v>
      </c>
      <c r="R2275" s="30">
        <v>0.6666666666666666</v>
      </c>
      <c r="S2275" s="28">
        <v>1.0</v>
      </c>
      <c r="T2275" s="23" t="s">
        <v>59</v>
      </c>
      <c r="U2275" s="6"/>
      <c r="V2275" s="6"/>
      <c r="W2275" s="35">
        <v>29.6626183</v>
      </c>
      <c r="X2275" s="35">
        <v>-95.5253757999999</v>
      </c>
      <c r="AA2275" s="33"/>
      <c r="AB2275" s="33"/>
      <c r="AC2275" s="33"/>
      <c r="AD2275" s="33"/>
      <c r="AE2275" s="33"/>
      <c r="AF2275" s="33"/>
      <c r="AG2275" s="33"/>
      <c r="AH2275" s="33"/>
      <c r="AI2275" s="33"/>
      <c r="AJ2275" s="33"/>
      <c r="AK2275" s="33"/>
      <c r="AL2275" s="33"/>
      <c r="AM2275" s="33"/>
      <c r="AN2275" s="33"/>
      <c r="AO2275" s="33"/>
    </row>
    <row r="2276" ht="15.75" customHeight="1">
      <c r="A2276" s="23">
        <v>51085.0</v>
      </c>
      <c r="B2276" s="23">
        <v>2023.0</v>
      </c>
      <c r="C2276" s="6" t="str">
        <f t="shared" si="7"/>
        <v>3719 W OREM DR,Houston,TX</v>
      </c>
      <c r="D2276" s="23" t="s">
        <v>3634</v>
      </c>
      <c r="E2276" s="6" t="s">
        <v>25</v>
      </c>
      <c r="F2276" s="6" t="s">
        <v>1388</v>
      </c>
      <c r="G2276" s="31" t="s">
        <v>39</v>
      </c>
      <c r="H2276" s="23" t="s">
        <v>1493</v>
      </c>
      <c r="I2276" s="6" t="str">
        <f>VLOOKUP(H2276,'Flow Location'!$A$1:$B$21,2,FALSE)</f>
        <v>Contained On Site, not within 5 ft. of Bayou/Surface Water/Drainage Ditch</v>
      </c>
      <c r="J2276" s="28">
        <v>1261.0</v>
      </c>
      <c r="K2276" s="23" t="s">
        <v>45</v>
      </c>
      <c r="L2276" s="6" t="str">
        <f>VLOOKUP(K2276,'Structure type'!$A$1:$B$15,2,FALSE)</f>
        <v>City Cleanout</v>
      </c>
      <c r="M2276" s="23" t="s">
        <v>30</v>
      </c>
      <c r="N2276" s="6" t="str">
        <f>VLOOKUP(M2276,'Excursion Cause'!$A$1:$B$34,2,FALSE)</f>
        <v>Grease Blockage</v>
      </c>
      <c r="O2276" s="29">
        <v>44963.0</v>
      </c>
      <c r="P2276" s="30">
        <v>0.5895833333333333</v>
      </c>
      <c r="Q2276" s="29">
        <v>44964.0</v>
      </c>
      <c r="R2276" s="30">
        <v>0.4652777777777778</v>
      </c>
      <c r="S2276" s="28">
        <v>1.0</v>
      </c>
      <c r="T2276" s="23" t="s">
        <v>59</v>
      </c>
      <c r="U2276" s="6"/>
      <c r="V2276" s="6"/>
      <c r="W2276" s="35">
        <v>29.6275486</v>
      </c>
      <c r="X2276" s="35">
        <v>-95.432878</v>
      </c>
      <c r="AA2276" s="33"/>
      <c r="AB2276" s="33"/>
      <c r="AC2276" s="33"/>
      <c r="AD2276" s="33"/>
      <c r="AE2276" s="33"/>
      <c r="AF2276" s="33"/>
      <c r="AG2276" s="33"/>
      <c r="AH2276" s="33"/>
      <c r="AI2276" s="33"/>
      <c r="AJ2276" s="33"/>
      <c r="AK2276" s="33"/>
      <c r="AL2276" s="33"/>
      <c r="AM2276" s="33"/>
      <c r="AN2276" s="33"/>
      <c r="AO2276" s="33"/>
    </row>
    <row r="2277" ht="15.75" customHeight="1">
      <c r="A2277" s="23">
        <v>51087.0</v>
      </c>
      <c r="B2277" s="23">
        <v>2023.0</v>
      </c>
      <c r="C2277" s="6" t="str">
        <f t="shared" si="7"/>
        <v>4614  CHISUM ST,Houston,TX</v>
      </c>
      <c r="D2277" s="23" t="s">
        <v>3635</v>
      </c>
      <c r="E2277" s="6" t="s">
        <v>25</v>
      </c>
      <c r="F2277" s="6" t="s">
        <v>1388</v>
      </c>
      <c r="G2277" s="31" t="s">
        <v>86</v>
      </c>
      <c r="H2277" s="23" t="s">
        <v>50</v>
      </c>
      <c r="I2277" s="6" t="str">
        <f>VLOOKUP(H2277,'Flow Location'!$A$1:$B$21,2,FALSE)</f>
        <v>Contained On Site, not within 5 ft. of Bayou/Surface Water/Drainage Ditch</v>
      </c>
      <c r="J2277" s="28">
        <v>0.0</v>
      </c>
      <c r="K2277" s="23" t="s">
        <v>45</v>
      </c>
      <c r="L2277" s="6" t="str">
        <f>VLOOKUP(K2277,'Structure type'!$A$1:$B$15,2,FALSE)</f>
        <v>City Cleanout</v>
      </c>
      <c r="M2277" s="23" t="s">
        <v>56</v>
      </c>
      <c r="N2277" s="6" t="str">
        <f>VLOOKUP(M2277,'Excursion Cause'!$A$1:$B$34,2,FALSE)</f>
        <v>Rags/Wipes</v>
      </c>
      <c r="O2277" s="29">
        <v>44963.0</v>
      </c>
      <c r="P2277" s="30">
        <v>0.6333333333333333</v>
      </c>
      <c r="Q2277" s="29">
        <v>44963.0</v>
      </c>
      <c r="R2277" s="30">
        <v>0.6340277777777777</v>
      </c>
      <c r="S2277" s="28">
        <v>0.0</v>
      </c>
      <c r="T2277" s="23" t="s">
        <v>89</v>
      </c>
      <c r="U2277" s="6"/>
      <c r="V2277" s="6"/>
      <c r="W2277" s="35">
        <v>29.7746381</v>
      </c>
      <c r="X2277" s="35">
        <v>-95.3232599999999</v>
      </c>
      <c r="AA2277" s="33"/>
      <c r="AB2277" s="33"/>
      <c r="AC2277" s="33"/>
      <c r="AD2277" s="33"/>
      <c r="AE2277" s="33"/>
      <c r="AF2277" s="33"/>
      <c r="AG2277" s="33"/>
      <c r="AH2277" s="33"/>
      <c r="AI2277" s="33"/>
      <c r="AJ2277" s="33"/>
      <c r="AK2277" s="33"/>
      <c r="AL2277" s="33"/>
      <c r="AM2277" s="33"/>
      <c r="AN2277" s="33"/>
      <c r="AO2277" s="33"/>
    </row>
    <row r="2278" ht="15.75" customHeight="1">
      <c r="A2278" s="23">
        <v>51088.0</v>
      </c>
      <c r="B2278" s="23">
        <v>2023.0</v>
      </c>
      <c r="C2278" s="6" t="str">
        <f t="shared" si="7"/>
        <v>7324  EAGLE PASS ST,Houston,TX</v>
      </c>
      <c r="D2278" s="23" t="s">
        <v>3487</v>
      </c>
      <c r="E2278" s="6" t="s">
        <v>25</v>
      </c>
      <c r="F2278" s="6" t="s">
        <v>1388</v>
      </c>
      <c r="G2278" s="31" t="s">
        <v>86</v>
      </c>
      <c r="H2278" s="23" t="s">
        <v>28</v>
      </c>
      <c r="I2278" s="6" t="str">
        <f>VLOOKUP(H2278,'Flow Location'!$A$1:$B$21,2,FALSE)</f>
        <v>Storm Sewer (not contained)</v>
      </c>
      <c r="J2278" s="28">
        <v>0.0</v>
      </c>
      <c r="K2278" s="23" t="s">
        <v>45</v>
      </c>
      <c r="L2278" s="6" t="str">
        <f>VLOOKUP(K2278,'Structure type'!$A$1:$B$15,2,FALSE)</f>
        <v>City Cleanout</v>
      </c>
      <c r="M2278" s="23" t="s">
        <v>81</v>
      </c>
      <c r="N2278" s="6" t="str">
        <f>VLOOKUP(M2278,'Excursion Cause'!$A$1:$B$34,2,FALSE)</f>
        <v>Collection system structural failure</v>
      </c>
      <c r="O2278" s="29">
        <v>44963.0</v>
      </c>
      <c r="P2278" s="30">
        <v>0.6659722222222222</v>
      </c>
      <c r="Q2278" s="29">
        <v>44963.0</v>
      </c>
      <c r="R2278" s="30">
        <v>0.6666666666666666</v>
      </c>
      <c r="S2278" s="28">
        <v>0.0</v>
      </c>
      <c r="T2278" s="23" t="s">
        <v>74</v>
      </c>
      <c r="U2278" s="6"/>
      <c r="V2278" s="6"/>
      <c r="W2278" s="35">
        <v>29.7833682</v>
      </c>
      <c r="X2278" s="35">
        <v>-95.2957392</v>
      </c>
      <c r="AA2278" s="33"/>
      <c r="AB2278" s="33"/>
      <c r="AC2278" s="33"/>
      <c r="AD2278" s="33"/>
      <c r="AE2278" s="33"/>
      <c r="AF2278" s="33"/>
      <c r="AG2278" s="33"/>
      <c r="AH2278" s="33"/>
      <c r="AI2278" s="33"/>
      <c r="AJ2278" s="33"/>
      <c r="AK2278" s="33"/>
      <c r="AL2278" s="33"/>
      <c r="AM2278" s="33"/>
      <c r="AN2278" s="33"/>
      <c r="AO2278" s="33"/>
    </row>
    <row r="2279" ht="15.75" customHeight="1">
      <c r="A2279" s="23">
        <v>51093.0</v>
      </c>
      <c r="B2279" s="23">
        <v>2023.0</v>
      </c>
      <c r="C2279" s="6" t="str">
        <f t="shared" si="7"/>
        <v>6363  SAN FELIPE ST,Houston,TX</v>
      </c>
      <c r="D2279" s="23" t="s">
        <v>3636</v>
      </c>
      <c r="E2279" s="6" t="s">
        <v>25</v>
      </c>
      <c r="F2279" s="6" t="s">
        <v>1388</v>
      </c>
      <c r="G2279" s="31" t="s">
        <v>689</v>
      </c>
      <c r="H2279" s="23" t="s">
        <v>50</v>
      </c>
      <c r="I2279" s="6" t="str">
        <f>VLOOKUP(H2279,'Flow Location'!$A$1:$B$21,2,FALSE)</f>
        <v>Contained On Site, not within 5 ft. of Bayou/Surface Water/Drainage Ditch</v>
      </c>
      <c r="J2279" s="28">
        <v>952.0</v>
      </c>
      <c r="K2279" s="23" t="s">
        <v>29</v>
      </c>
      <c r="L2279" s="6" t="str">
        <f>VLOOKUP(K2279,'Structure type'!$A$1:$B$15,2,FALSE)</f>
        <v>Manhole</v>
      </c>
      <c r="M2279" s="23" t="s">
        <v>30</v>
      </c>
      <c r="N2279" s="6" t="str">
        <f>VLOOKUP(M2279,'Excursion Cause'!$A$1:$B$34,2,FALSE)</f>
        <v>Grease Blockage</v>
      </c>
      <c r="O2279" s="29">
        <v>44964.0</v>
      </c>
      <c r="P2279" s="30">
        <v>0.3416666666666667</v>
      </c>
      <c r="Q2279" s="29">
        <v>44964.0</v>
      </c>
      <c r="R2279" s="30">
        <v>0.6722222222222223</v>
      </c>
      <c r="S2279" s="28">
        <v>2.0</v>
      </c>
      <c r="T2279" s="23" t="s">
        <v>59</v>
      </c>
      <c r="U2279" s="6"/>
      <c r="V2279" s="6"/>
      <c r="W2279" s="35">
        <v>29.7486443</v>
      </c>
      <c r="X2279" s="35">
        <v>-95.4966258</v>
      </c>
      <c r="AA2279" s="33"/>
      <c r="AB2279" s="33"/>
      <c r="AC2279" s="33"/>
      <c r="AD2279" s="33"/>
      <c r="AE2279" s="33"/>
      <c r="AF2279" s="33"/>
      <c r="AG2279" s="33"/>
      <c r="AH2279" s="33"/>
      <c r="AI2279" s="33"/>
      <c r="AJ2279" s="33"/>
      <c r="AK2279" s="33"/>
      <c r="AL2279" s="33"/>
      <c r="AM2279" s="33"/>
      <c r="AN2279" s="33"/>
      <c r="AO2279" s="33"/>
    </row>
    <row r="2280" ht="15.75" customHeight="1">
      <c r="A2280" s="23">
        <v>51099.0</v>
      </c>
      <c r="B2280" s="23">
        <v>2023.0</v>
      </c>
      <c r="C2280" s="6" t="str">
        <f t="shared" si="7"/>
        <v>1420 W LITTLE YORK RD,Houston,TX</v>
      </c>
      <c r="D2280" s="23" t="s">
        <v>3637</v>
      </c>
      <c r="E2280" s="6" t="s">
        <v>25</v>
      </c>
      <c r="F2280" s="6" t="s">
        <v>1388</v>
      </c>
      <c r="G2280" s="31" t="s">
        <v>222</v>
      </c>
      <c r="H2280" s="23" t="s">
        <v>28</v>
      </c>
      <c r="I2280" s="6" t="str">
        <f>VLOOKUP(H2280,'Flow Location'!$A$1:$B$21,2,FALSE)</f>
        <v>Storm Sewer (not contained)</v>
      </c>
      <c r="J2280" s="28">
        <v>292.0</v>
      </c>
      <c r="K2280" s="23" t="s">
        <v>29</v>
      </c>
      <c r="L2280" s="6" t="str">
        <f>VLOOKUP(K2280,'Structure type'!$A$1:$B$15,2,FALSE)</f>
        <v>Manhole</v>
      </c>
      <c r="M2280" s="23" t="s">
        <v>30</v>
      </c>
      <c r="N2280" s="6" t="str">
        <f>VLOOKUP(M2280,'Excursion Cause'!$A$1:$B$34,2,FALSE)</f>
        <v>Grease Blockage</v>
      </c>
      <c r="O2280" s="29">
        <v>44964.0</v>
      </c>
      <c r="P2280" s="30">
        <v>0.5131944444444444</v>
      </c>
      <c r="Q2280" s="29">
        <v>44964.0</v>
      </c>
      <c r="R2280" s="30">
        <v>0.6145833333333334</v>
      </c>
      <c r="S2280" s="28">
        <v>2.0</v>
      </c>
      <c r="T2280" s="23" t="s">
        <v>33</v>
      </c>
      <c r="U2280" s="6"/>
      <c r="V2280" s="6"/>
      <c r="W2280" s="35">
        <v>29.8637158</v>
      </c>
      <c r="X2280" s="35">
        <v>-95.4335187</v>
      </c>
      <c r="AA2280" s="33"/>
      <c r="AB2280" s="33"/>
      <c r="AC2280" s="33"/>
      <c r="AD2280" s="33"/>
      <c r="AE2280" s="33"/>
      <c r="AF2280" s="33"/>
      <c r="AG2280" s="33"/>
      <c r="AH2280" s="33"/>
      <c r="AI2280" s="33"/>
      <c r="AJ2280" s="33"/>
      <c r="AK2280" s="33"/>
      <c r="AL2280" s="33"/>
      <c r="AM2280" s="33"/>
      <c r="AN2280" s="33"/>
      <c r="AO2280" s="33"/>
    </row>
    <row r="2281" ht="15.75" customHeight="1">
      <c r="A2281" s="23">
        <v>51102.0</v>
      </c>
      <c r="B2281" s="23">
        <v>2023.0</v>
      </c>
      <c r="C2281" s="6" t="str">
        <f t="shared" si="7"/>
        <v>12130  DICKINSON RD,Houston,TX</v>
      </c>
      <c r="D2281" s="23" t="s">
        <v>3638</v>
      </c>
      <c r="E2281" s="6" t="s">
        <v>25</v>
      </c>
      <c r="F2281" s="6" t="s">
        <v>1388</v>
      </c>
      <c r="G2281" s="31" t="s">
        <v>477</v>
      </c>
      <c r="H2281" s="23" t="s">
        <v>28</v>
      </c>
      <c r="I2281" s="6" t="str">
        <f>VLOOKUP(H2281,'Flow Location'!$A$1:$B$21,2,FALSE)</f>
        <v>Storm Sewer (not contained)</v>
      </c>
      <c r="J2281" s="28">
        <v>0.0</v>
      </c>
      <c r="K2281" s="23" t="s">
        <v>29</v>
      </c>
      <c r="L2281" s="6" t="str">
        <f>VLOOKUP(K2281,'Structure type'!$A$1:$B$15,2,FALSE)</f>
        <v>Manhole</v>
      </c>
      <c r="M2281" s="23" t="s">
        <v>30</v>
      </c>
      <c r="N2281" s="6" t="str">
        <f>VLOOKUP(M2281,'Excursion Cause'!$A$1:$B$34,2,FALSE)</f>
        <v>Grease Blockage</v>
      </c>
      <c r="O2281" s="29">
        <v>44964.0</v>
      </c>
      <c r="P2281" s="30">
        <v>0.5819444444444445</v>
      </c>
      <c r="Q2281" s="29">
        <v>44964.0</v>
      </c>
      <c r="R2281" s="30">
        <v>0.5826388888888889</v>
      </c>
      <c r="S2281" s="28">
        <v>0.0</v>
      </c>
      <c r="T2281" s="23" t="s">
        <v>59</v>
      </c>
      <c r="U2281" s="6"/>
      <c r="V2281" s="6"/>
      <c r="W2281" s="35">
        <v>29.6043181</v>
      </c>
      <c r="X2281" s="35">
        <v>-95.2102914</v>
      </c>
      <c r="AA2281" s="33"/>
      <c r="AB2281" s="33"/>
      <c r="AC2281" s="33"/>
      <c r="AD2281" s="33"/>
      <c r="AE2281" s="33"/>
      <c r="AF2281" s="33"/>
      <c r="AG2281" s="33"/>
      <c r="AH2281" s="33"/>
      <c r="AI2281" s="33"/>
      <c r="AJ2281" s="33"/>
      <c r="AK2281" s="33"/>
      <c r="AL2281" s="33"/>
      <c r="AM2281" s="33"/>
      <c r="AN2281" s="33"/>
      <c r="AO2281" s="33"/>
    </row>
    <row r="2282" ht="15.75" customHeight="1">
      <c r="A2282" s="23">
        <v>51104.0</v>
      </c>
      <c r="B2282" s="23">
        <v>2023.0</v>
      </c>
      <c r="C2282" s="6" t="str">
        <f t="shared" si="7"/>
        <v>3010  NORHILL BLVD,Houston,TX</v>
      </c>
      <c r="D2282" s="23" t="s">
        <v>3639</v>
      </c>
      <c r="E2282" s="6" t="s">
        <v>25</v>
      </c>
      <c r="F2282" s="6" t="s">
        <v>1388</v>
      </c>
      <c r="G2282" s="31" t="s">
        <v>161</v>
      </c>
      <c r="H2282" s="23" t="s">
        <v>1493</v>
      </c>
      <c r="I2282" s="6" t="str">
        <f>VLOOKUP(H2282,'Flow Location'!$A$1:$B$21,2,FALSE)</f>
        <v>Contained On Site, not within 5 ft. of Bayou/Surface Water/Drainage Ditch</v>
      </c>
      <c r="J2282" s="28">
        <v>1583.0</v>
      </c>
      <c r="K2282" s="23" t="s">
        <v>45</v>
      </c>
      <c r="L2282" s="6" t="str">
        <f>VLOOKUP(K2282,'Structure type'!$A$1:$B$15,2,FALSE)</f>
        <v>City Cleanout</v>
      </c>
      <c r="M2282" s="23" t="s">
        <v>3250</v>
      </c>
      <c r="N2282" s="6" t="str">
        <f>VLOOKUP(M2282,'Excursion Cause'!$A$1:$B$34,2,FALSE)</f>
        <v>Collection system structural blockage</v>
      </c>
      <c r="O2282" s="29">
        <v>44964.0</v>
      </c>
      <c r="P2282" s="30">
        <v>0.6090277777777777</v>
      </c>
      <c r="Q2282" s="29">
        <v>44965.0</v>
      </c>
      <c r="R2282" s="30">
        <v>0.7083333333333334</v>
      </c>
      <c r="S2282" s="28">
        <v>1.0</v>
      </c>
      <c r="T2282" s="23" t="s">
        <v>54</v>
      </c>
      <c r="U2282" s="6"/>
      <c r="V2282" s="6"/>
      <c r="W2282" s="35">
        <v>29.7856467</v>
      </c>
      <c r="X2282" s="35">
        <v>-95.3856323999999</v>
      </c>
      <c r="AA2282" s="33"/>
      <c r="AB2282" s="33"/>
      <c r="AC2282" s="33"/>
      <c r="AD2282" s="33"/>
      <c r="AE2282" s="33"/>
      <c r="AF2282" s="33"/>
      <c r="AG2282" s="33"/>
      <c r="AH2282" s="33"/>
      <c r="AI2282" s="33"/>
      <c r="AJ2282" s="33"/>
      <c r="AK2282" s="33"/>
      <c r="AL2282" s="33"/>
      <c r="AM2282" s="33"/>
      <c r="AN2282" s="33"/>
      <c r="AO2282" s="33"/>
    </row>
    <row r="2283" ht="15.75" customHeight="1">
      <c r="A2283" s="23">
        <v>51107.0</v>
      </c>
      <c r="B2283" s="23">
        <v>2023.0</v>
      </c>
      <c r="C2283" s="6" t="str">
        <f t="shared" si="7"/>
        <v>5403  JEFFERSON ST,Houston,TX</v>
      </c>
      <c r="D2283" s="23" t="s">
        <v>3640</v>
      </c>
      <c r="E2283" s="6" t="s">
        <v>25</v>
      </c>
      <c r="F2283" s="6" t="s">
        <v>1388</v>
      </c>
      <c r="G2283" s="31" t="s">
        <v>141</v>
      </c>
      <c r="H2283" s="23" t="s">
        <v>50</v>
      </c>
      <c r="I2283" s="6" t="str">
        <f>VLOOKUP(H2283,'Flow Location'!$A$1:$B$21,2,FALSE)</f>
        <v>Contained On Site, not within 5 ft. of Bayou/Surface Water/Drainage Ditch</v>
      </c>
      <c r="J2283" s="28">
        <v>0.0</v>
      </c>
      <c r="K2283" s="23" t="s">
        <v>198</v>
      </c>
      <c r="L2283" s="6" t="str">
        <f>VLOOKUP(K2283,'Structure type'!$A$1:$B$15,2,FALSE)</f>
        <v>Service Lateral</v>
      </c>
      <c r="M2283" s="23" t="s">
        <v>81</v>
      </c>
      <c r="N2283" s="6" t="str">
        <f>VLOOKUP(M2283,'Excursion Cause'!$A$1:$B$34,2,FALSE)</f>
        <v>Collection system structural failure</v>
      </c>
      <c r="O2283" s="29">
        <v>44964.0</v>
      </c>
      <c r="P2283" s="30">
        <v>0.5986111111111111</v>
      </c>
      <c r="Q2283" s="29">
        <v>44964.0</v>
      </c>
      <c r="R2283" s="30">
        <v>0.5993055555555555</v>
      </c>
      <c r="S2283" s="28">
        <v>0.0</v>
      </c>
      <c r="T2283" s="23" t="s">
        <v>54</v>
      </c>
      <c r="U2283" s="6"/>
      <c r="V2283" s="6"/>
      <c r="W2283" s="35">
        <v>29.7306623</v>
      </c>
      <c r="X2283" s="35">
        <v>-95.3200415</v>
      </c>
      <c r="AA2283" s="33"/>
      <c r="AB2283" s="33"/>
      <c r="AC2283" s="33"/>
      <c r="AD2283" s="33"/>
      <c r="AE2283" s="33"/>
      <c r="AF2283" s="33"/>
      <c r="AG2283" s="33"/>
      <c r="AH2283" s="33"/>
      <c r="AI2283" s="33"/>
      <c r="AJ2283" s="33"/>
      <c r="AK2283" s="33"/>
      <c r="AL2283" s="33"/>
      <c r="AM2283" s="33"/>
      <c r="AN2283" s="33"/>
      <c r="AO2283" s="33"/>
    </row>
    <row r="2284" ht="15.75" customHeight="1">
      <c r="A2284" s="23">
        <v>51116.0</v>
      </c>
      <c r="B2284" s="23">
        <v>2023.0</v>
      </c>
      <c r="C2284" s="6" t="str">
        <f t="shared" si="7"/>
        <v>9708 W BELLFORT AVE,Houston,TX</v>
      </c>
      <c r="D2284" s="23" t="s">
        <v>3641</v>
      </c>
      <c r="E2284" s="6" t="s">
        <v>25</v>
      </c>
      <c r="F2284" s="6" t="s">
        <v>1388</v>
      </c>
      <c r="G2284" s="31" t="s">
        <v>214</v>
      </c>
      <c r="H2284" s="23" t="s">
        <v>50</v>
      </c>
      <c r="I2284" s="6" t="str">
        <f>VLOOKUP(H2284,'Flow Location'!$A$1:$B$21,2,FALSE)</f>
        <v>Contained On Site, not within 5 ft. of Bayou/Surface Water/Drainage Ditch</v>
      </c>
      <c r="J2284" s="28">
        <v>0.0</v>
      </c>
      <c r="K2284" s="23" t="s">
        <v>782</v>
      </c>
      <c r="L2284" s="6" t="str">
        <f>VLOOKUP(K2284,'Structure type'!$A$1:$B$15,2,FALSE)</f>
        <v>Private Sample Well</v>
      </c>
      <c r="M2284" s="23" t="s">
        <v>81</v>
      </c>
      <c r="N2284" s="6" t="str">
        <f>VLOOKUP(M2284,'Excursion Cause'!$A$1:$B$34,2,FALSE)</f>
        <v>Collection system structural failure</v>
      </c>
      <c r="O2284" s="29">
        <v>44964.0</v>
      </c>
      <c r="P2284" s="30">
        <v>0.7638888888888888</v>
      </c>
      <c r="Q2284" s="29">
        <v>44964.0</v>
      </c>
      <c r="R2284" s="30">
        <v>0.7645833333333333</v>
      </c>
      <c r="S2284" s="28">
        <v>0.0</v>
      </c>
      <c r="T2284" s="23" t="s">
        <v>54</v>
      </c>
      <c r="U2284" s="6"/>
      <c r="V2284" s="6"/>
      <c r="W2284" s="35">
        <v>29.6535204</v>
      </c>
      <c r="X2284" s="35">
        <v>-95.551474</v>
      </c>
      <c r="AA2284" s="33"/>
      <c r="AB2284" s="33"/>
      <c r="AC2284" s="33"/>
      <c r="AD2284" s="33"/>
      <c r="AE2284" s="33"/>
      <c r="AF2284" s="33"/>
      <c r="AG2284" s="33"/>
      <c r="AH2284" s="33"/>
      <c r="AI2284" s="33"/>
      <c r="AJ2284" s="33"/>
      <c r="AK2284" s="33"/>
      <c r="AL2284" s="33"/>
      <c r="AM2284" s="33"/>
      <c r="AN2284" s="33"/>
      <c r="AO2284" s="33"/>
    </row>
    <row r="2285" ht="15.75" customHeight="1">
      <c r="A2285" s="23">
        <v>51124.0</v>
      </c>
      <c r="B2285" s="23">
        <v>2023.0</v>
      </c>
      <c r="C2285" s="6" t="str">
        <f t="shared" si="7"/>
        <v>501  GREENS RD,Houston,TX</v>
      </c>
      <c r="D2285" s="23" t="s">
        <v>3642</v>
      </c>
      <c r="E2285" s="6" t="s">
        <v>25</v>
      </c>
      <c r="F2285" s="6" t="s">
        <v>1388</v>
      </c>
      <c r="G2285" s="31" t="s">
        <v>393</v>
      </c>
      <c r="H2285" s="23" t="s">
        <v>28</v>
      </c>
      <c r="I2285" s="6" t="str">
        <f>VLOOKUP(H2285,'Flow Location'!$A$1:$B$21,2,FALSE)</f>
        <v>Storm Sewer (not contained)</v>
      </c>
      <c r="J2285" s="28">
        <v>668.0</v>
      </c>
      <c r="K2285" s="23" t="s">
        <v>290</v>
      </c>
      <c r="L2285" s="6" t="str">
        <f>VLOOKUP(K2285,'Structure type'!$A$1:$B$15,2,FALSE)</f>
        <v>Gravity Main</v>
      </c>
      <c r="M2285" s="23" t="s">
        <v>30</v>
      </c>
      <c r="N2285" s="6" t="str">
        <f>VLOOKUP(M2285,'Excursion Cause'!$A$1:$B$34,2,FALSE)</f>
        <v>Grease Blockage</v>
      </c>
      <c r="O2285" s="29">
        <v>44965.0</v>
      </c>
      <c r="P2285" s="30">
        <v>0.45416666666666666</v>
      </c>
      <c r="Q2285" s="29">
        <v>44965.0</v>
      </c>
      <c r="R2285" s="30">
        <v>0.6395833333333333</v>
      </c>
      <c r="S2285" s="28">
        <v>3.0</v>
      </c>
      <c r="T2285" s="23" t="s">
        <v>59</v>
      </c>
      <c r="U2285" s="6"/>
      <c r="V2285" s="6"/>
      <c r="W2285" s="35">
        <v>29.9507668</v>
      </c>
      <c r="X2285" s="35">
        <v>-95.4026818999999</v>
      </c>
      <c r="AA2285" s="33"/>
      <c r="AB2285" s="33"/>
      <c r="AC2285" s="33"/>
      <c r="AD2285" s="33"/>
      <c r="AE2285" s="33"/>
      <c r="AF2285" s="33"/>
      <c r="AG2285" s="33"/>
      <c r="AH2285" s="33"/>
      <c r="AI2285" s="33"/>
      <c r="AJ2285" s="33"/>
      <c r="AK2285" s="33"/>
      <c r="AL2285" s="33"/>
      <c r="AM2285" s="33"/>
      <c r="AN2285" s="33"/>
      <c r="AO2285" s="33"/>
    </row>
    <row r="2286" ht="15.75" customHeight="1">
      <c r="A2286" s="23">
        <v>51126.0</v>
      </c>
      <c r="B2286" s="23">
        <v>2023.0</v>
      </c>
      <c r="C2286" s="6" t="str">
        <f t="shared" si="7"/>
        <v>3819  BOTANY LN,Houston,TX</v>
      </c>
      <c r="D2286" s="23" t="s">
        <v>3643</v>
      </c>
      <c r="E2286" s="6" t="s">
        <v>25</v>
      </c>
      <c r="F2286" s="6" t="s">
        <v>1388</v>
      </c>
      <c r="G2286" s="31" t="s">
        <v>419</v>
      </c>
      <c r="H2286" s="23" t="s">
        <v>50</v>
      </c>
      <c r="I2286" s="6" t="str">
        <f>VLOOKUP(H2286,'Flow Location'!$A$1:$B$21,2,FALSE)</f>
        <v>Contained On Site, not within 5 ft. of Bayou/Surface Water/Drainage Ditch</v>
      </c>
      <c r="J2286" s="28">
        <v>0.0</v>
      </c>
      <c r="K2286" s="23" t="s">
        <v>51</v>
      </c>
      <c r="L2286" s="6" t="str">
        <f>VLOOKUP(K2286,'Structure type'!$A$1:$B$15,2,FALSE)</f>
        <v>Private Cleanout</v>
      </c>
      <c r="M2286" s="23" t="s">
        <v>52</v>
      </c>
      <c r="N2286" s="6" t="str">
        <f>VLOOKUP(M2286,'Excursion Cause'!$A$1:$B$34,2,FALSE)</f>
        <v>Collection system structural blockage</v>
      </c>
      <c r="O2286" s="29">
        <v>44965.0</v>
      </c>
      <c r="P2286" s="30">
        <v>0.5486111111111112</v>
      </c>
      <c r="Q2286" s="29">
        <v>44965.0</v>
      </c>
      <c r="R2286" s="30">
        <v>0.5493055555555556</v>
      </c>
      <c r="S2286" s="28">
        <v>0.0</v>
      </c>
      <c r="T2286" s="23" t="s">
        <v>292</v>
      </c>
      <c r="U2286" s="6"/>
      <c r="V2286" s="6"/>
      <c r="W2286" s="35">
        <v>29.6344427</v>
      </c>
      <c r="X2286" s="35">
        <v>-95.366006</v>
      </c>
      <c r="AA2286" s="33"/>
      <c r="AB2286" s="33"/>
      <c r="AC2286" s="33"/>
      <c r="AD2286" s="33"/>
      <c r="AE2286" s="33"/>
      <c r="AF2286" s="33"/>
      <c r="AG2286" s="33"/>
      <c r="AH2286" s="33"/>
      <c r="AI2286" s="33"/>
      <c r="AJ2286" s="33"/>
      <c r="AK2286" s="33"/>
      <c r="AL2286" s="33"/>
      <c r="AM2286" s="33"/>
      <c r="AN2286" s="33"/>
      <c r="AO2286" s="33"/>
    </row>
    <row r="2287" ht="15.75" customHeight="1">
      <c r="A2287" s="23">
        <v>51131.0</v>
      </c>
      <c r="B2287" s="23">
        <v>2023.0</v>
      </c>
      <c r="C2287" s="6" t="str">
        <f t="shared" si="7"/>
        <v>9708  LOCKWOOD DR,Houston,TX</v>
      </c>
      <c r="D2287" s="23" t="s">
        <v>3644</v>
      </c>
      <c r="E2287" s="6" t="s">
        <v>25</v>
      </c>
      <c r="F2287" s="6" t="s">
        <v>1388</v>
      </c>
      <c r="G2287" s="31" t="s">
        <v>326</v>
      </c>
      <c r="H2287" s="23" t="s">
        <v>28</v>
      </c>
      <c r="I2287" s="6" t="str">
        <f>VLOOKUP(H2287,'Flow Location'!$A$1:$B$21,2,FALSE)</f>
        <v>Storm Sewer (not contained)</v>
      </c>
      <c r="J2287" s="28">
        <v>0.0</v>
      </c>
      <c r="K2287" s="23" t="s">
        <v>51</v>
      </c>
      <c r="L2287" s="6" t="str">
        <f>VLOOKUP(K2287,'Structure type'!$A$1:$B$15,2,FALSE)</f>
        <v>Private Cleanout</v>
      </c>
      <c r="M2287" s="23" t="s">
        <v>30</v>
      </c>
      <c r="N2287" s="6" t="str">
        <f>VLOOKUP(M2287,'Excursion Cause'!$A$1:$B$34,2,FALSE)</f>
        <v>Grease Blockage</v>
      </c>
      <c r="O2287" s="29">
        <v>44965.0</v>
      </c>
      <c r="P2287" s="30">
        <v>0.5972222222222222</v>
      </c>
      <c r="Q2287" s="29">
        <v>44965.0</v>
      </c>
      <c r="R2287" s="30">
        <v>0.5979166666666667</v>
      </c>
      <c r="S2287" s="28">
        <v>0.0</v>
      </c>
      <c r="T2287" s="23" t="s">
        <v>33</v>
      </c>
      <c r="U2287" s="6"/>
      <c r="V2287" s="6"/>
      <c r="W2287" s="35">
        <v>29.850025</v>
      </c>
      <c r="X2287" s="35">
        <v>-95.3187257</v>
      </c>
      <c r="AA2287" s="33"/>
      <c r="AB2287" s="33"/>
      <c r="AC2287" s="33"/>
      <c r="AD2287" s="33"/>
      <c r="AE2287" s="33"/>
      <c r="AF2287" s="33"/>
      <c r="AG2287" s="33"/>
      <c r="AH2287" s="33"/>
      <c r="AI2287" s="33"/>
      <c r="AJ2287" s="33"/>
      <c r="AK2287" s="33"/>
      <c r="AL2287" s="33"/>
      <c r="AM2287" s="33"/>
      <c r="AN2287" s="33"/>
      <c r="AO2287" s="33"/>
    </row>
    <row r="2288" ht="15.75" customHeight="1">
      <c r="A2288" s="23">
        <v>51137.0</v>
      </c>
      <c r="B2288" s="23">
        <v>2023.0</v>
      </c>
      <c r="C2288" s="6" t="str">
        <f t="shared" si="7"/>
        <v>1850  COLQUITT ST,Houston,TX</v>
      </c>
      <c r="D2288" s="23" t="s">
        <v>3645</v>
      </c>
      <c r="E2288" s="6" t="s">
        <v>25</v>
      </c>
      <c r="F2288" s="6" t="s">
        <v>1388</v>
      </c>
      <c r="G2288" s="31" t="s">
        <v>112</v>
      </c>
      <c r="H2288" s="23" t="s">
        <v>50</v>
      </c>
      <c r="I2288" s="6" t="str">
        <f>VLOOKUP(H2288,'Flow Location'!$A$1:$B$21,2,FALSE)</f>
        <v>Contained On Site, not within 5 ft. of Bayou/Surface Water/Drainage Ditch</v>
      </c>
      <c r="J2288" s="28">
        <v>0.0</v>
      </c>
      <c r="K2288" s="23" t="s">
        <v>45</v>
      </c>
      <c r="L2288" s="6" t="str">
        <f>VLOOKUP(K2288,'Structure type'!$A$1:$B$15,2,FALSE)</f>
        <v>City Cleanout</v>
      </c>
      <c r="M2288" s="23" t="s">
        <v>30</v>
      </c>
      <c r="N2288" s="6" t="str">
        <f>VLOOKUP(M2288,'Excursion Cause'!$A$1:$B$34,2,FALSE)</f>
        <v>Grease Blockage</v>
      </c>
      <c r="O2288" s="29">
        <v>44966.0</v>
      </c>
      <c r="P2288" s="30">
        <v>0.37777777777777777</v>
      </c>
      <c r="Q2288" s="29">
        <v>44966.0</v>
      </c>
      <c r="R2288" s="30">
        <v>0.5590277777777778</v>
      </c>
      <c r="S2288" s="28">
        <v>0.0</v>
      </c>
      <c r="T2288" s="23" t="s">
        <v>59</v>
      </c>
      <c r="U2288" s="6"/>
      <c r="V2288" s="6"/>
      <c r="W2288" s="35">
        <v>29.7354841</v>
      </c>
      <c r="X2288" s="35">
        <v>-95.4069179999999</v>
      </c>
      <c r="AA2288" s="33"/>
      <c r="AB2288" s="33"/>
      <c r="AC2288" s="33"/>
      <c r="AD2288" s="33"/>
      <c r="AE2288" s="33"/>
      <c r="AF2288" s="33"/>
      <c r="AG2288" s="33"/>
      <c r="AH2288" s="33"/>
      <c r="AI2288" s="33"/>
      <c r="AJ2288" s="33"/>
      <c r="AK2288" s="33"/>
      <c r="AL2288" s="33"/>
      <c r="AM2288" s="33"/>
      <c r="AN2288" s="33"/>
      <c r="AO2288" s="33"/>
    </row>
    <row r="2289" ht="15.75" customHeight="1">
      <c r="A2289" s="23">
        <v>51139.0</v>
      </c>
      <c r="B2289" s="23">
        <v>2023.0</v>
      </c>
      <c r="C2289" s="6" t="str">
        <f t="shared" si="7"/>
        <v>6060  SOUTHWEST FWY,Houston,TX</v>
      </c>
      <c r="D2289" s="23" t="s">
        <v>3646</v>
      </c>
      <c r="E2289" s="6" t="s">
        <v>25</v>
      </c>
      <c r="F2289" s="6" t="s">
        <v>1388</v>
      </c>
      <c r="G2289" s="31" t="s">
        <v>689</v>
      </c>
      <c r="H2289" s="23" t="s">
        <v>28</v>
      </c>
      <c r="I2289" s="6" t="str">
        <f>VLOOKUP(H2289,'Flow Location'!$A$1:$B$21,2,FALSE)</f>
        <v>Storm Sewer (not contained)</v>
      </c>
      <c r="J2289" s="28">
        <v>3800.0</v>
      </c>
      <c r="K2289" s="23" t="s">
        <v>29</v>
      </c>
      <c r="L2289" s="6" t="str">
        <f>VLOOKUP(K2289,'Structure type'!$A$1:$B$15,2,FALSE)</f>
        <v>Manhole</v>
      </c>
      <c r="M2289" s="23" t="s">
        <v>30</v>
      </c>
      <c r="N2289" s="6" t="str">
        <f>VLOOKUP(M2289,'Excursion Cause'!$A$1:$B$34,2,FALSE)</f>
        <v>Grease Blockage</v>
      </c>
      <c r="O2289" s="29">
        <v>44966.0</v>
      </c>
      <c r="P2289" s="30">
        <v>0.4083333333333333</v>
      </c>
      <c r="Q2289" s="29">
        <v>44966.0</v>
      </c>
      <c r="R2289" s="30">
        <v>0.6722222222222223</v>
      </c>
      <c r="S2289" s="28">
        <v>10.0</v>
      </c>
      <c r="T2289" s="23" t="s">
        <v>59</v>
      </c>
      <c r="U2289" s="6"/>
      <c r="V2289" s="6"/>
      <c r="W2289" s="35">
        <v>29.726634</v>
      </c>
      <c r="X2289" s="35">
        <v>-95.486834</v>
      </c>
      <c r="AA2289" s="33"/>
      <c r="AB2289" s="33"/>
      <c r="AC2289" s="33"/>
      <c r="AD2289" s="33"/>
      <c r="AE2289" s="33"/>
      <c r="AF2289" s="33"/>
      <c r="AG2289" s="33"/>
      <c r="AH2289" s="33"/>
      <c r="AI2289" s="33"/>
      <c r="AJ2289" s="33"/>
      <c r="AK2289" s="33"/>
      <c r="AL2289" s="33"/>
      <c r="AM2289" s="33"/>
      <c r="AN2289" s="33"/>
      <c r="AO2289" s="33"/>
    </row>
    <row r="2290" ht="15.75" customHeight="1">
      <c r="A2290" s="23">
        <v>51142.0</v>
      </c>
      <c r="B2290" s="23">
        <v>2023.0</v>
      </c>
      <c r="C2290" s="6" t="str">
        <f t="shared" si="7"/>
        <v>9872  LEDGE ST,Houston,TX</v>
      </c>
      <c r="D2290" s="23" t="s">
        <v>3647</v>
      </c>
      <c r="E2290" s="6" t="s">
        <v>25</v>
      </c>
      <c r="F2290" s="6" t="s">
        <v>1388</v>
      </c>
      <c r="G2290" s="31" t="s">
        <v>49</v>
      </c>
      <c r="H2290" s="23" t="s">
        <v>50</v>
      </c>
      <c r="I2290" s="6" t="str">
        <f>VLOOKUP(H2290,'Flow Location'!$A$1:$B$21,2,FALSE)</f>
        <v>Contained On Site, not within 5 ft. of Bayou/Surface Water/Drainage Ditch</v>
      </c>
      <c r="J2290" s="28">
        <v>200.0</v>
      </c>
      <c r="K2290" s="23" t="s">
        <v>29</v>
      </c>
      <c r="L2290" s="6" t="str">
        <f>VLOOKUP(K2290,'Structure type'!$A$1:$B$15,2,FALSE)</f>
        <v>Manhole</v>
      </c>
      <c r="M2290" s="23" t="s">
        <v>30</v>
      </c>
      <c r="N2290" s="6" t="str">
        <f>VLOOKUP(M2290,'Excursion Cause'!$A$1:$B$34,2,FALSE)</f>
        <v>Grease Blockage</v>
      </c>
      <c r="O2290" s="29">
        <v>44966.0</v>
      </c>
      <c r="P2290" s="30">
        <v>0.4444444444444444</v>
      </c>
      <c r="Q2290" s="29">
        <v>44966.0</v>
      </c>
      <c r="R2290" s="30">
        <v>0.4791666666666667</v>
      </c>
      <c r="S2290" s="28">
        <v>4.0</v>
      </c>
      <c r="T2290" s="23" t="s">
        <v>59</v>
      </c>
      <c r="U2290" s="6"/>
      <c r="V2290" s="6"/>
      <c r="W2290" s="35">
        <v>29.636221</v>
      </c>
      <c r="X2290" s="35">
        <v>-95.2394322</v>
      </c>
      <c r="AA2290" s="33"/>
      <c r="AB2290" s="33"/>
      <c r="AC2290" s="33"/>
      <c r="AD2290" s="33"/>
      <c r="AE2290" s="33"/>
      <c r="AF2290" s="33"/>
      <c r="AG2290" s="33"/>
      <c r="AH2290" s="33"/>
      <c r="AI2290" s="33"/>
      <c r="AJ2290" s="33"/>
      <c r="AK2290" s="33"/>
      <c r="AL2290" s="33"/>
      <c r="AM2290" s="33"/>
      <c r="AN2290" s="33"/>
      <c r="AO2290" s="33"/>
    </row>
    <row r="2291" ht="15.75" customHeight="1">
      <c r="A2291" s="23">
        <v>51144.0</v>
      </c>
      <c r="B2291" s="23">
        <v>2023.0</v>
      </c>
      <c r="C2291" s="6" t="str">
        <f t="shared" si="7"/>
        <v>4676  BELLFORT ST,Houston,TX</v>
      </c>
      <c r="D2291" s="23" t="s">
        <v>3648</v>
      </c>
      <c r="E2291" s="6" t="s">
        <v>25</v>
      </c>
      <c r="F2291" s="6" t="s">
        <v>1388</v>
      </c>
      <c r="G2291" s="31" t="s">
        <v>127</v>
      </c>
      <c r="H2291" s="23" t="s">
        <v>28</v>
      </c>
      <c r="I2291" s="6" t="str">
        <f>VLOOKUP(H2291,'Flow Location'!$A$1:$B$21,2,FALSE)</f>
        <v>Storm Sewer (not contained)</v>
      </c>
      <c r="J2291" s="28">
        <v>468.0</v>
      </c>
      <c r="K2291" s="23" t="s">
        <v>45</v>
      </c>
      <c r="L2291" s="6" t="str">
        <f>VLOOKUP(K2291,'Structure type'!$A$1:$B$15,2,FALSE)</f>
        <v>City Cleanout</v>
      </c>
      <c r="M2291" s="23" t="s">
        <v>56</v>
      </c>
      <c r="N2291" s="6" t="str">
        <f>VLOOKUP(M2291,'Excursion Cause'!$A$1:$B$34,2,FALSE)</f>
        <v>Rags/Wipes</v>
      </c>
      <c r="O2291" s="29">
        <v>44966.0</v>
      </c>
      <c r="P2291" s="30">
        <v>0.5069444444444444</v>
      </c>
      <c r="Q2291" s="29">
        <v>44966.0</v>
      </c>
      <c r="R2291" s="30">
        <v>0.6694444444444444</v>
      </c>
      <c r="S2291" s="28">
        <v>2.0</v>
      </c>
      <c r="T2291" s="23" t="s">
        <v>74</v>
      </c>
      <c r="U2291" s="6"/>
      <c r="V2291" s="6"/>
      <c r="W2291" s="35">
        <v>29.6727311</v>
      </c>
      <c r="X2291" s="35">
        <v>-95.4562931</v>
      </c>
      <c r="AA2291" s="33"/>
      <c r="AB2291" s="33"/>
      <c r="AC2291" s="33"/>
      <c r="AD2291" s="33"/>
      <c r="AE2291" s="33"/>
      <c r="AF2291" s="33"/>
      <c r="AG2291" s="33"/>
      <c r="AH2291" s="33"/>
      <c r="AI2291" s="33"/>
      <c r="AJ2291" s="33"/>
      <c r="AK2291" s="33"/>
      <c r="AL2291" s="33"/>
      <c r="AM2291" s="33"/>
      <c r="AN2291" s="33"/>
      <c r="AO2291" s="33"/>
    </row>
    <row r="2292" ht="15.75" customHeight="1">
      <c r="A2292" s="23">
        <v>51146.0</v>
      </c>
      <c r="B2292" s="23">
        <v>2023.0</v>
      </c>
      <c r="C2292" s="6" t="str">
        <f t="shared" si="7"/>
        <v>4508 A OLD YALE ST,Houston,TX</v>
      </c>
      <c r="D2292" s="23" t="s">
        <v>3649</v>
      </c>
      <c r="E2292" s="6" t="s">
        <v>25</v>
      </c>
      <c r="F2292" s="6" t="s">
        <v>1388</v>
      </c>
      <c r="G2292" s="31" t="s">
        <v>218</v>
      </c>
      <c r="H2292" s="23" t="s">
        <v>28</v>
      </c>
      <c r="I2292" s="6" t="str">
        <f>VLOOKUP(H2292,'Flow Location'!$A$1:$B$21,2,FALSE)</f>
        <v>Storm Sewer (not contained)</v>
      </c>
      <c r="J2292" s="28">
        <v>0.0</v>
      </c>
      <c r="K2292" s="23" t="s">
        <v>29</v>
      </c>
      <c r="L2292" s="6" t="str">
        <f>VLOOKUP(K2292,'Structure type'!$A$1:$B$15,2,FALSE)</f>
        <v>Manhole</v>
      </c>
      <c r="M2292" s="23" t="s">
        <v>366</v>
      </c>
      <c r="N2292" s="6" t="str">
        <f>VLOOKUP(M2292,'Excursion Cause'!$A$1:$B$34,2,FALSE)</f>
        <v>Collection system structural blockage</v>
      </c>
      <c r="O2292" s="29">
        <v>44966.0</v>
      </c>
      <c r="P2292" s="30">
        <v>0.5118055555555555</v>
      </c>
      <c r="Q2292" s="29">
        <v>44966.0</v>
      </c>
      <c r="R2292" s="30">
        <v>0.5125</v>
      </c>
      <c r="S2292" s="28">
        <v>0.0</v>
      </c>
      <c r="T2292" s="23" t="s">
        <v>33</v>
      </c>
      <c r="U2292" s="6"/>
      <c r="V2292" s="6"/>
      <c r="W2292" s="35">
        <v>29.8312136</v>
      </c>
      <c r="X2292" s="35">
        <v>-95.4025655</v>
      </c>
      <c r="AA2292" s="33"/>
      <c r="AB2292" s="33"/>
      <c r="AC2292" s="33"/>
      <c r="AD2292" s="33"/>
      <c r="AE2292" s="33"/>
      <c r="AF2292" s="33"/>
      <c r="AG2292" s="33"/>
      <c r="AH2292" s="33"/>
      <c r="AI2292" s="33"/>
      <c r="AJ2292" s="33"/>
      <c r="AK2292" s="33"/>
      <c r="AL2292" s="33"/>
      <c r="AM2292" s="33"/>
      <c r="AN2292" s="33"/>
      <c r="AO2292" s="33"/>
    </row>
    <row r="2293" ht="15.75" customHeight="1">
      <c r="A2293" s="23">
        <v>51150.0</v>
      </c>
      <c r="B2293" s="23">
        <v>2023.0</v>
      </c>
      <c r="C2293" s="6" t="str">
        <f t="shared" si="7"/>
        <v>12720  FEATHERWOOD DR,Houston,TX</v>
      </c>
      <c r="D2293" s="23" t="s">
        <v>3650</v>
      </c>
      <c r="E2293" s="6" t="s">
        <v>25</v>
      </c>
      <c r="F2293" s="6" t="s">
        <v>1388</v>
      </c>
      <c r="G2293" s="31" t="s">
        <v>49</v>
      </c>
      <c r="H2293" s="23" t="s">
        <v>50</v>
      </c>
      <c r="I2293" s="6" t="str">
        <f>VLOOKUP(H2293,'Flow Location'!$A$1:$B$21,2,FALSE)</f>
        <v>Contained On Site, not within 5 ft. of Bayou/Surface Water/Drainage Ditch</v>
      </c>
      <c r="J2293" s="28">
        <v>63.0</v>
      </c>
      <c r="K2293" s="23" t="s">
        <v>198</v>
      </c>
      <c r="L2293" s="6" t="str">
        <f>VLOOKUP(K2293,'Structure type'!$A$1:$B$15,2,FALSE)</f>
        <v>Service Lateral</v>
      </c>
      <c r="M2293" s="23" t="s">
        <v>30</v>
      </c>
      <c r="N2293" s="6" t="str">
        <f>VLOOKUP(M2293,'Excursion Cause'!$A$1:$B$34,2,FALSE)</f>
        <v>Grease Blockage</v>
      </c>
      <c r="O2293" s="29">
        <v>44966.0</v>
      </c>
      <c r="P2293" s="30">
        <v>0.5729166666666666</v>
      </c>
      <c r="Q2293" s="29">
        <v>44966.0</v>
      </c>
      <c r="R2293" s="30">
        <v>0.6166666666666667</v>
      </c>
      <c r="S2293" s="28">
        <v>1.0</v>
      </c>
      <c r="T2293" s="23" t="s">
        <v>89</v>
      </c>
      <c r="U2293" s="6"/>
      <c r="V2293" s="6"/>
      <c r="W2293" s="35">
        <v>29.6159392</v>
      </c>
      <c r="X2293" s="35">
        <v>-95.2137614</v>
      </c>
      <c r="AA2293" s="33"/>
      <c r="AB2293" s="33"/>
      <c r="AC2293" s="33"/>
      <c r="AD2293" s="33"/>
      <c r="AE2293" s="33"/>
      <c r="AF2293" s="33"/>
      <c r="AG2293" s="33"/>
      <c r="AH2293" s="33"/>
      <c r="AI2293" s="33"/>
      <c r="AJ2293" s="33"/>
      <c r="AK2293" s="33"/>
      <c r="AL2293" s="33"/>
      <c r="AM2293" s="33"/>
      <c r="AN2293" s="33"/>
      <c r="AO2293" s="33"/>
    </row>
    <row r="2294" ht="15.75" customHeight="1">
      <c r="A2294" s="23">
        <v>51151.0</v>
      </c>
      <c r="B2294" s="23">
        <v>2023.0</v>
      </c>
      <c r="C2294" s="6" t="str">
        <f t="shared" si="7"/>
        <v>3354  ROGERDALE RD,Houston,TX</v>
      </c>
      <c r="D2294" s="23" t="s">
        <v>3651</v>
      </c>
      <c r="E2294" s="6" t="s">
        <v>25</v>
      </c>
      <c r="F2294" s="6" t="s">
        <v>1388</v>
      </c>
      <c r="G2294" s="31" t="s">
        <v>401</v>
      </c>
      <c r="H2294" s="23" t="s">
        <v>28</v>
      </c>
      <c r="I2294" s="6" t="str">
        <f>VLOOKUP(H2294,'Flow Location'!$A$1:$B$21,2,FALSE)</f>
        <v>Storm Sewer (not contained)</v>
      </c>
      <c r="J2294" s="28">
        <v>1305.0</v>
      </c>
      <c r="K2294" s="23" t="s">
        <v>29</v>
      </c>
      <c r="L2294" s="6" t="str">
        <f>VLOOKUP(K2294,'Structure type'!$A$1:$B$15,2,FALSE)</f>
        <v>Manhole</v>
      </c>
      <c r="M2294" s="23" t="s">
        <v>30</v>
      </c>
      <c r="N2294" s="6" t="str">
        <f>VLOOKUP(M2294,'Excursion Cause'!$A$1:$B$34,2,FALSE)</f>
        <v>Grease Blockage</v>
      </c>
      <c r="O2294" s="29">
        <v>44966.0</v>
      </c>
      <c r="P2294" s="30">
        <v>0.5826388888888889</v>
      </c>
      <c r="Q2294" s="29">
        <v>44966.0</v>
      </c>
      <c r="R2294" s="30">
        <v>0.7638888888888888</v>
      </c>
      <c r="S2294" s="28">
        <v>5.0</v>
      </c>
      <c r="T2294" s="23" t="s">
        <v>33</v>
      </c>
      <c r="U2294" s="6"/>
      <c r="V2294" s="6"/>
      <c r="W2294" s="35">
        <v>29.7249786999999</v>
      </c>
      <c r="X2294" s="35">
        <v>-95.5614152</v>
      </c>
      <c r="AA2294" s="33"/>
      <c r="AB2294" s="33"/>
      <c r="AC2294" s="33"/>
      <c r="AD2294" s="33"/>
      <c r="AE2294" s="33"/>
      <c r="AF2294" s="33"/>
      <c r="AG2294" s="33"/>
      <c r="AH2294" s="33"/>
      <c r="AI2294" s="33"/>
      <c r="AJ2294" s="33"/>
      <c r="AK2294" s="33"/>
      <c r="AL2294" s="33"/>
      <c r="AM2294" s="33"/>
      <c r="AN2294" s="33"/>
      <c r="AO2294" s="33"/>
    </row>
    <row r="2295" ht="15.75" customHeight="1">
      <c r="A2295" s="23">
        <v>51155.0</v>
      </c>
      <c r="B2295" s="23">
        <v>2023.0</v>
      </c>
      <c r="C2295" s="6" t="str">
        <f t="shared" si="7"/>
        <v>201  HUTCHINS ST,Houston,TX</v>
      </c>
      <c r="D2295" s="23" t="s">
        <v>3652</v>
      </c>
      <c r="E2295" s="6" t="s">
        <v>25</v>
      </c>
      <c r="F2295" s="6" t="s">
        <v>1388</v>
      </c>
      <c r="G2295" s="31" t="s">
        <v>463</v>
      </c>
      <c r="H2295" s="23" t="s">
        <v>44</v>
      </c>
      <c r="I2295" s="6" t="str">
        <f>VLOOKUP(H2295,'Flow Location'!$A$1:$B$21,2,FALSE)</f>
        <v>Bayou/surface water/drainage ditch</v>
      </c>
      <c r="J2295" s="28">
        <v>210.0</v>
      </c>
      <c r="K2295" s="23" t="s">
        <v>290</v>
      </c>
      <c r="L2295" s="6" t="str">
        <f>VLOOKUP(K2295,'Structure type'!$A$1:$B$15,2,FALSE)</f>
        <v>Gravity Main</v>
      </c>
      <c r="M2295" s="23" t="s">
        <v>2550</v>
      </c>
      <c r="N2295" s="6" t="str">
        <f>VLOOKUP(M2295,'Excursion Cause'!$A$1:$B$34,2,FALSE)</f>
        <v>Cross-connection to Storm Sewer</v>
      </c>
      <c r="O2295" s="29">
        <v>44966.0</v>
      </c>
      <c r="P2295" s="30">
        <v>0.4583333333333333</v>
      </c>
      <c r="Q2295" s="29">
        <v>44966.0</v>
      </c>
      <c r="R2295" s="30">
        <v>0.6041666666666666</v>
      </c>
      <c r="S2295" s="28">
        <v>1.0</v>
      </c>
      <c r="T2295" s="23" t="s">
        <v>292</v>
      </c>
      <c r="U2295" s="6"/>
      <c r="V2295" s="6"/>
      <c r="W2295" s="35">
        <v>29.7569958</v>
      </c>
      <c r="X2295" s="35">
        <v>-95.3495025</v>
      </c>
      <c r="AA2295" s="33"/>
      <c r="AB2295" s="33"/>
      <c r="AC2295" s="33"/>
      <c r="AD2295" s="33"/>
      <c r="AE2295" s="33"/>
      <c r="AF2295" s="33"/>
      <c r="AG2295" s="33"/>
      <c r="AH2295" s="33"/>
      <c r="AI2295" s="33"/>
      <c r="AJ2295" s="33"/>
      <c r="AK2295" s="33"/>
      <c r="AL2295" s="33"/>
      <c r="AM2295" s="33"/>
      <c r="AN2295" s="33"/>
      <c r="AO2295" s="33"/>
    </row>
    <row r="2296" ht="15.75" customHeight="1">
      <c r="A2296" s="23">
        <v>51157.0</v>
      </c>
      <c r="B2296" s="23">
        <v>2023.0</v>
      </c>
      <c r="C2296" s="6" t="str">
        <f t="shared" si="7"/>
        <v>5111  FRISCH ST,Houston,TX</v>
      </c>
      <c r="D2296" s="23" t="s">
        <v>3653</v>
      </c>
      <c r="E2296" s="6" t="s">
        <v>25</v>
      </c>
      <c r="F2296" s="6" t="s">
        <v>1388</v>
      </c>
      <c r="G2296" s="31" t="s">
        <v>301</v>
      </c>
      <c r="H2296" s="23" t="s">
        <v>28</v>
      </c>
      <c r="I2296" s="6" t="str">
        <f>VLOOKUP(H2296,'Flow Location'!$A$1:$B$21,2,FALSE)</f>
        <v>Storm Sewer (not contained)</v>
      </c>
      <c r="J2296" s="28">
        <v>226.0</v>
      </c>
      <c r="K2296" s="23" t="s">
        <v>29</v>
      </c>
      <c r="L2296" s="6" t="str">
        <f>VLOOKUP(K2296,'Structure type'!$A$1:$B$15,2,FALSE)</f>
        <v>Manhole</v>
      </c>
      <c r="M2296" s="23" t="s">
        <v>30</v>
      </c>
      <c r="N2296" s="6" t="str">
        <f>VLOOKUP(M2296,'Excursion Cause'!$A$1:$B$34,2,FALSE)</f>
        <v>Grease Blockage</v>
      </c>
      <c r="O2296" s="29">
        <v>44967.0</v>
      </c>
      <c r="P2296" s="30">
        <v>0.3472222222222222</v>
      </c>
      <c r="Q2296" s="29">
        <v>44967.0</v>
      </c>
      <c r="R2296" s="30">
        <v>0.42569444444444443</v>
      </c>
      <c r="S2296" s="28">
        <v>2.0</v>
      </c>
      <c r="T2296" s="23" t="s">
        <v>59</v>
      </c>
      <c r="U2296" s="6"/>
      <c r="V2296" s="6"/>
      <c r="W2296" s="35">
        <v>29.6232493</v>
      </c>
      <c r="X2296" s="35">
        <v>-95.3322888</v>
      </c>
      <c r="AA2296" s="33"/>
      <c r="AB2296" s="33"/>
      <c r="AC2296" s="33"/>
      <c r="AD2296" s="33"/>
      <c r="AE2296" s="33"/>
      <c r="AF2296" s="33"/>
      <c r="AG2296" s="33"/>
      <c r="AH2296" s="33"/>
      <c r="AI2296" s="33"/>
      <c r="AJ2296" s="33"/>
      <c r="AK2296" s="33"/>
      <c r="AL2296" s="33"/>
      <c r="AM2296" s="33"/>
      <c r="AN2296" s="33"/>
      <c r="AO2296" s="33"/>
    </row>
    <row r="2297" ht="15.75" customHeight="1">
      <c r="A2297" s="23">
        <v>51159.0</v>
      </c>
      <c r="B2297" s="23">
        <v>2023.0</v>
      </c>
      <c r="C2297" s="6" t="str">
        <f t="shared" si="7"/>
        <v>11914  MEADOWFAIR ST,Houston,TX</v>
      </c>
      <c r="D2297" s="23" t="s">
        <v>3654</v>
      </c>
      <c r="E2297" s="6" t="s">
        <v>25</v>
      </c>
      <c r="F2297" s="6" t="s">
        <v>1388</v>
      </c>
      <c r="G2297" s="31" t="s">
        <v>275</v>
      </c>
      <c r="H2297" s="23" t="s">
        <v>50</v>
      </c>
      <c r="I2297" s="6" t="str">
        <f>VLOOKUP(H2297,'Flow Location'!$A$1:$B$21,2,FALSE)</f>
        <v>Contained On Site, not within 5 ft. of Bayou/Surface Water/Drainage Ditch</v>
      </c>
      <c r="J2297" s="28">
        <v>0.0</v>
      </c>
      <c r="K2297" s="23" t="s">
        <v>51</v>
      </c>
      <c r="L2297" s="6" t="str">
        <f>VLOOKUP(K2297,'Structure type'!$A$1:$B$15,2,FALSE)</f>
        <v>Private Cleanout</v>
      </c>
      <c r="M2297" s="23" t="s">
        <v>30</v>
      </c>
      <c r="N2297" s="6" t="str">
        <f>VLOOKUP(M2297,'Excursion Cause'!$A$1:$B$34,2,FALSE)</f>
        <v>Grease Blockage</v>
      </c>
      <c r="O2297" s="29">
        <v>44967.0</v>
      </c>
      <c r="P2297" s="30">
        <v>0.5763888888888888</v>
      </c>
      <c r="Q2297" s="29">
        <v>44967.0</v>
      </c>
      <c r="R2297" s="30">
        <v>0.5770833333333333</v>
      </c>
      <c r="S2297" s="28">
        <v>0.0</v>
      </c>
      <c r="T2297" s="23" t="s">
        <v>59</v>
      </c>
      <c r="U2297" s="6"/>
      <c r="V2297" s="6"/>
      <c r="W2297" s="35">
        <v>29.8735185</v>
      </c>
      <c r="X2297" s="35">
        <v>-95.3841602</v>
      </c>
      <c r="AA2297" s="33"/>
      <c r="AB2297" s="33"/>
      <c r="AC2297" s="33"/>
      <c r="AD2297" s="33"/>
      <c r="AE2297" s="33"/>
      <c r="AF2297" s="33"/>
      <c r="AG2297" s="33"/>
      <c r="AH2297" s="33"/>
      <c r="AI2297" s="33"/>
      <c r="AJ2297" s="33"/>
      <c r="AK2297" s="33"/>
      <c r="AL2297" s="33"/>
      <c r="AM2297" s="33"/>
      <c r="AN2297" s="33"/>
      <c r="AO2297" s="33"/>
    </row>
    <row r="2298" ht="15.75" customHeight="1">
      <c r="A2298" s="23">
        <v>51163.0</v>
      </c>
      <c r="B2298" s="23">
        <v>2023.0</v>
      </c>
      <c r="C2298" s="6" t="str">
        <f t="shared" si="7"/>
        <v>8637  WOODLYN RD,Houston,TX</v>
      </c>
      <c r="D2298" s="23" t="s">
        <v>3655</v>
      </c>
      <c r="E2298" s="6" t="s">
        <v>25</v>
      </c>
      <c r="F2298" s="6" t="s">
        <v>1388</v>
      </c>
      <c r="G2298" s="31" t="s">
        <v>177</v>
      </c>
      <c r="H2298" s="23" t="s">
        <v>28</v>
      </c>
      <c r="I2298" s="6" t="str">
        <f>VLOOKUP(H2298,'Flow Location'!$A$1:$B$21,2,FALSE)</f>
        <v>Storm Sewer (not contained)</v>
      </c>
      <c r="J2298" s="28">
        <v>0.0</v>
      </c>
      <c r="K2298" s="23" t="s">
        <v>45</v>
      </c>
      <c r="L2298" s="6" t="str">
        <f>VLOOKUP(K2298,'Structure type'!$A$1:$B$15,2,FALSE)</f>
        <v>City Cleanout</v>
      </c>
      <c r="M2298" s="23" t="s">
        <v>56</v>
      </c>
      <c r="N2298" s="6" t="str">
        <f>VLOOKUP(M2298,'Excursion Cause'!$A$1:$B$34,2,FALSE)</f>
        <v>Rags/Wipes</v>
      </c>
      <c r="O2298" s="29">
        <v>44967.0</v>
      </c>
      <c r="P2298" s="30">
        <v>0.4583333333333333</v>
      </c>
      <c r="Q2298" s="29">
        <v>44967.0</v>
      </c>
      <c r="R2298" s="30">
        <v>0.45902777777777776</v>
      </c>
      <c r="S2298" s="28">
        <v>0.0</v>
      </c>
      <c r="T2298" s="23" t="s">
        <v>74</v>
      </c>
      <c r="U2298" s="6"/>
      <c r="V2298" s="6"/>
      <c r="W2298" s="35">
        <v>29.8421639</v>
      </c>
      <c r="X2298" s="35">
        <v>-95.2644851</v>
      </c>
      <c r="AA2298" s="33"/>
      <c r="AB2298" s="33"/>
      <c r="AC2298" s="33"/>
      <c r="AD2298" s="33"/>
      <c r="AE2298" s="33"/>
      <c r="AF2298" s="33"/>
      <c r="AG2298" s="33"/>
      <c r="AH2298" s="33"/>
      <c r="AI2298" s="33"/>
      <c r="AJ2298" s="33"/>
      <c r="AK2298" s="33"/>
      <c r="AL2298" s="33"/>
      <c r="AM2298" s="33"/>
      <c r="AN2298" s="33"/>
      <c r="AO2298" s="33"/>
    </row>
    <row r="2299" ht="15.75" customHeight="1">
      <c r="A2299" s="23">
        <v>51164.0</v>
      </c>
      <c r="B2299" s="23">
        <v>2023.0</v>
      </c>
      <c r="C2299" s="6" t="str">
        <f t="shared" si="7"/>
        <v>1410  DEL NORTE ST,Houston,TX</v>
      </c>
      <c r="D2299" s="23" t="s">
        <v>3656</v>
      </c>
      <c r="E2299" s="6" t="s">
        <v>25</v>
      </c>
      <c r="F2299" s="6" t="s">
        <v>1388</v>
      </c>
      <c r="G2299" s="31" t="s">
        <v>218</v>
      </c>
      <c r="H2299" s="23" t="s">
        <v>28</v>
      </c>
      <c r="I2299" s="6" t="str">
        <f>VLOOKUP(H2299,'Flow Location'!$A$1:$B$21,2,FALSE)</f>
        <v>Storm Sewer (not contained)</v>
      </c>
      <c r="J2299" s="28">
        <v>0.0</v>
      </c>
      <c r="K2299" s="23" t="s">
        <v>29</v>
      </c>
      <c r="L2299" s="6" t="str">
        <f>VLOOKUP(K2299,'Structure type'!$A$1:$B$15,2,FALSE)</f>
        <v>Manhole</v>
      </c>
      <c r="M2299" s="23" t="s">
        <v>30</v>
      </c>
      <c r="N2299" s="6" t="str">
        <f>VLOOKUP(M2299,'Excursion Cause'!$A$1:$B$34,2,FALSE)</f>
        <v>Grease Blockage</v>
      </c>
      <c r="O2299" s="29">
        <v>44967.0</v>
      </c>
      <c r="P2299" s="30">
        <v>0.4840277777777778</v>
      </c>
      <c r="Q2299" s="29">
        <v>44967.0</v>
      </c>
      <c r="R2299" s="30">
        <v>0.4847222222222222</v>
      </c>
      <c r="S2299" s="28">
        <v>0.0</v>
      </c>
      <c r="T2299" s="23" t="s">
        <v>33</v>
      </c>
      <c r="U2299" s="6"/>
      <c r="V2299" s="6"/>
      <c r="W2299" s="35">
        <v>29.8399644999999</v>
      </c>
      <c r="X2299" s="35">
        <v>-95.4368143</v>
      </c>
      <c r="AA2299" s="33"/>
      <c r="AB2299" s="33"/>
      <c r="AC2299" s="33"/>
      <c r="AD2299" s="33"/>
      <c r="AE2299" s="33"/>
      <c r="AF2299" s="33"/>
      <c r="AG2299" s="33"/>
      <c r="AH2299" s="33"/>
      <c r="AI2299" s="33"/>
      <c r="AJ2299" s="33"/>
      <c r="AK2299" s="33"/>
      <c r="AL2299" s="33"/>
      <c r="AM2299" s="33"/>
      <c r="AN2299" s="33"/>
      <c r="AO2299" s="33"/>
    </row>
    <row r="2300" ht="15.75" customHeight="1">
      <c r="A2300" s="23">
        <v>51170.0</v>
      </c>
      <c r="B2300" s="23">
        <v>2023.0</v>
      </c>
      <c r="C2300" s="6" t="str">
        <f t="shared" si="7"/>
        <v>5620  TIDWELL RD,Houston,TX</v>
      </c>
      <c r="D2300" s="23" t="s">
        <v>3657</v>
      </c>
      <c r="E2300" s="6" t="s">
        <v>25</v>
      </c>
      <c r="F2300" s="6" t="s">
        <v>1388</v>
      </c>
      <c r="G2300" s="31" t="s">
        <v>326</v>
      </c>
      <c r="H2300" s="23" t="s">
        <v>50</v>
      </c>
      <c r="I2300" s="6" t="str">
        <f>VLOOKUP(H2300,'Flow Location'!$A$1:$B$21,2,FALSE)</f>
        <v>Contained On Site, not within 5 ft. of Bayou/Surface Water/Drainage Ditch</v>
      </c>
      <c r="J2300" s="28">
        <v>0.0</v>
      </c>
      <c r="K2300" s="23" t="s">
        <v>45</v>
      </c>
      <c r="L2300" s="6" t="str">
        <f>VLOOKUP(K2300,'Structure type'!$A$1:$B$15,2,FALSE)</f>
        <v>City Cleanout</v>
      </c>
      <c r="M2300" s="23" t="s">
        <v>30</v>
      </c>
      <c r="N2300" s="6" t="str">
        <f>VLOOKUP(M2300,'Excursion Cause'!$A$1:$B$34,2,FALSE)</f>
        <v>Grease Blockage</v>
      </c>
      <c r="O2300" s="29">
        <v>44967.0</v>
      </c>
      <c r="P2300" s="30">
        <v>0.6111111111111112</v>
      </c>
      <c r="Q2300" s="29">
        <v>44967.0</v>
      </c>
      <c r="R2300" s="30">
        <v>0.6118055555555556</v>
      </c>
      <c r="S2300" s="28">
        <v>0.0</v>
      </c>
      <c r="T2300" s="23" t="s">
        <v>59</v>
      </c>
      <c r="U2300" s="6"/>
      <c r="V2300" s="6"/>
      <c r="W2300" s="35">
        <v>29.8479602</v>
      </c>
      <c r="X2300" s="35">
        <v>-95.3141069</v>
      </c>
      <c r="AA2300" s="33"/>
      <c r="AB2300" s="33"/>
      <c r="AC2300" s="33"/>
      <c r="AD2300" s="33"/>
      <c r="AE2300" s="33"/>
      <c r="AF2300" s="33"/>
      <c r="AG2300" s="33"/>
      <c r="AH2300" s="33"/>
      <c r="AI2300" s="33"/>
      <c r="AJ2300" s="33"/>
      <c r="AK2300" s="33"/>
      <c r="AL2300" s="33"/>
      <c r="AM2300" s="33"/>
      <c r="AN2300" s="33"/>
      <c r="AO2300" s="33"/>
    </row>
    <row r="2301" ht="15.75" customHeight="1">
      <c r="A2301" s="23">
        <v>51174.0</v>
      </c>
      <c r="B2301" s="23">
        <v>2023.0</v>
      </c>
      <c r="C2301" s="6" t="str">
        <f t="shared" si="7"/>
        <v>11210  SCARSDALE BLVD,Houston,TX</v>
      </c>
      <c r="D2301" s="23" t="s">
        <v>3658</v>
      </c>
      <c r="E2301" s="6" t="s">
        <v>25</v>
      </c>
      <c r="F2301" s="6" t="s">
        <v>1388</v>
      </c>
      <c r="G2301" s="31" t="s">
        <v>477</v>
      </c>
      <c r="H2301" s="23" t="s">
        <v>28</v>
      </c>
      <c r="I2301" s="6" t="str">
        <f>VLOOKUP(H2301,'Flow Location'!$A$1:$B$21,2,FALSE)</f>
        <v>Storm Sewer (not contained)</v>
      </c>
      <c r="J2301" s="28">
        <v>2010.0</v>
      </c>
      <c r="K2301" s="23" t="s">
        <v>190</v>
      </c>
      <c r="L2301" s="6" t="str">
        <f>VLOOKUP(K2301,'Structure type'!$A$1:$B$15,2,FALSE)</f>
        <v>Force Main</v>
      </c>
      <c r="M2301" s="23" t="s">
        <v>81</v>
      </c>
      <c r="N2301" s="6" t="str">
        <f>VLOOKUP(M2301,'Excursion Cause'!$A$1:$B$34,2,FALSE)</f>
        <v>Collection system structural failure</v>
      </c>
      <c r="O2301" s="29">
        <v>44967.0</v>
      </c>
      <c r="P2301" s="30">
        <v>0.4722222222222222</v>
      </c>
      <c r="Q2301" s="29">
        <v>44967.0</v>
      </c>
      <c r="R2301" s="30">
        <v>0.7513888888888889</v>
      </c>
      <c r="S2301" s="28">
        <v>5.0</v>
      </c>
      <c r="T2301" s="23" t="s">
        <v>3659</v>
      </c>
      <c r="U2301" s="6"/>
      <c r="V2301" s="6"/>
      <c r="W2301" s="35">
        <v>29.5885513</v>
      </c>
      <c r="X2301" s="35">
        <v>-95.2080467</v>
      </c>
      <c r="AA2301" s="33"/>
      <c r="AB2301" s="33"/>
      <c r="AC2301" s="33"/>
      <c r="AD2301" s="33"/>
      <c r="AE2301" s="33"/>
      <c r="AF2301" s="33"/>
      <c r="AG2301" s="33"/>
      <c r="AH2301" s="33"/>
      <c r="AI2301" s="33"/>
      <c r="AJ2301" s="33"/>
      <c r="AK2301" s="33"/>
      <c r="AL2301" s="33"/>
      <c r="AM2301" s="33"/>
      <c r="AN2301" s="33"/>
      <c r="AO2301" s="33"/>
    </row>
    <row r="2302" ht="15.75" customHeight="1">
      <c r="A2302" s="23">
        <v>51177.0</v>
      </c>
      <c r="B2302" s="23">
        <v>2023.0</v>
      </c>
      <c r="C2302" s="6" t="str">
        <f t="shared" si="7"/>
        <v>2233 S VOSS RD,Houston,TX</v>
      </c>
      <c r="D2302" s="23" t="s">
        <v>3660</v>
      </c>
      <c r="E2302" s="6" t="s">
        <v>25</v>
      </c>
      <c r="F2302" s="6" t="s">
        <v>1388</v>
      </c>
      <c r="G2302" s="31" t="s">
        <v>689</v>
      </c>
      <c r="H2302" s="23" t="s">
        <v>28</v>
      </c>
      <c r="I2302" s="6" t="str">
        <f>VLOOKUP(H2302,'Flow Location'!$A$1:$B$21,2,FALSE)</f>
        <v>Storm Sewer (not contained)</v>
      </c>
      <c r="J2302" s="28">
        <v>321.0</v>
      </c>
      <c r="K2302" s="23" t="s">
        <v>29</v>
      </c>
      <c r="L2302" s="6" t="str">
        <f>VLOOKUP(K2302,'Structure type'!$A$1:$B$15,2,FALSE)</f>
        <v>Manhole</v>
      </c>
      <c r="M2302" s="23" t="s">
        <v>30</v>
      </c>
      <c r="N2302" s="6" t="str">
        <f>VLOOKUP(M2302,'Excursion Cause'!$A$1:$B$34,2,FALSE)</f>
        <v>Grease Blockage</v>
      </c>
      <c r="O2302" s="29">
        <v>44968.0</v>
      </c>
      <c r="P2302" s="30">
        <v>0.4083333333333333</v>
      </c>
      <c r="Q2302" s="29">
        <v>44968.0</v>
      </c>
      <c r="R2302" s="30">
        <v>0.4826388888888889</v>
      </c>
      <c r="S2302" s="28">
        <v>3.0</v>
      </c>
      <c r="T2302" s="23" t="s">
        <v>59</v>
      </c>
      <c r="U2302" s="6"/>
      <c r="V2302" s="6"/>
      <c r="W2302" s="35">
        <v>29.7440717</v>
      </c>
      <c r="X2302" s="35">
        <v>-95.5003136</v>
      </c>
      <c r="AA2302" s="33"/>
      <c r="AB2302" s="33"/>
      <c r="AC2302" s="33"/>
      <c r="AD2302" s="33"/>
      <c r="AE2302" s="33"/>
      <c r="AF2302" s="33"/>
      <c r="AG2302" s="33"/>
      <c r="AH2302" s="33"/>
      <c r="AI2302" s="33"/>
      <c r="AJ2302" s="33"/>
      <c r="AK2302" s="33"/>
      <c r="AL2302" s="33"/>
      <c r="AM2302" s="33"/>
      <c r="AN2302" s="33"/>
      <c r="AO2302" s="33"/>
    </row>
    <row r="2303" ht="15.75" customHeight="1">
      <c r="A2303" s="23">
        <v>51178.0</v>
      </c>
      <c r="B2303" s="23">
        <v>2023.0</v>
      </c>
      <c r="C2303" s="6" t="str">
        <f t="shared" si="7"/>
        <v>6748  PEERLESS ST,Houston,TX</v>
      </c>
      <c r="D2303" s="23" t="s">
        <v>3661</v>
      </c>
      <c r="E2303" s="6" t="s">
        <v>25</v>
      </c>
      <c r="F2303" s="6" t="s">
        <v>1388</v>
      </c>
      <c r="G2303" s="31" t="s">
        <v>238</v>
      </c>
      <c r="H2303" s="23" t="s">
        <v>50</v>
      </c>
      <c r="I2303" s="6" t="str">
        <f>VLOOKUP(H2303,'Flow Location'!$A$1:$B$21,2,FALSE)</f>
        <v>Contained On Site, not within 5 ft. of Bayou/Surface Water/Drainage Ditch</v>
      </c>
      <c r="J2303" s="28">
        <v>0.0</v>
      </c>
      <c r="K2303" s="23" t="s">
        <v>45</v>
      </c>
      <c r="L2303" s="6" t="str">
        <f>VLOOKUP(K2303,'Structure type'!$A$1:$B$15,2,FALSE)</f>
        <v>City Cleanout</v>
      </c>
      <c r="M2303" s="23" t="s">
        <v>56</v>
      </c>
      <c r="N2303" s="6" t="str">
        <f>VLOOKUP(M2303,'Excursion Cause'!$A$1:$B$34,2,FALSE)</f>
        <v>Rags/Wipes</v>
      </c>
      <c r="O2303" s="29">
        <v>44968.0</v>
      </c>
      <c r="P2303" s="30">
        <v>0.41458333333333336</v>
      </c>
      <c r="Q2303" s="29">
        <v>44968.0</v>
      </c>
      <c r="R2303" s="30">
        <v>0.4152777777777778</v>
      </c>
      <c r="S2303" s="28">
        <v>0.0</v>
      </c>
      <c r="T2303" s="23" t="s">
        <v>270</v>
      </c>
      <c r="U2303" s="6"/>
      <c r="V2303" s="6"/>
      <c r="W2303" s="35">
        <v>29.6990101</v>
      </c>
      <c r="X2303" s="35">
        <v>-95.3720688</v>
      </c>
      <c r="AA2303" s="33"/>
      <c r="AB2303" s="33"/>
      <c r="AC2303" s="33"/>
      <c r="AD2303" s="33"/>
      <c r="AE2303" s="33"/>
      <c r="AF2303" s="33"/>
      <c r="AG2303" s="33"/>
      <c r="AH2303" s="33"/>
      <c r="AI2303" s="33"/>
      <c r="AJ2303" s="33"/>
      <c r="AK2303" s="33"/>
      <c r="AL2303" s="33"/>
      <c r="AM2303" s="33"/>
      <c r="AN2303" s="33"/>
      <c r="AO2303" s="33"/>
    </row>
    <row r="2304" ht="15.75" customHeight="1">
      <c r="A2304" s="23">
        <v>51179.0</v>
      </c>
      <c r="B2304" s="23">
        <v>2023.0</v>
      </c>
      <c r="C2304" s="6" t="str">
        <f t="shared" si="7"/>
        <v>5  KILLARNEY CT,Houston,TX</v>
      </c>
      <c r="D2304" s="23" t="s">
        <v>3662</v>
      </c>
      <c r="E2304" s="6" t="s">
        <v>25</v>
      </c>
      <c r="F2304" s="6" t="s">
        <v>1388</v>
      </c>
      <c r="G2304" s="31" t="s">
        <v>471</v>
      </c>
      <c r="H2304" s="23" t="s">
        <v>1493</v>
      </c>
      <c r="I2304" s="6" t="str">
        <f>VLOOKUP(H2304,'Flow Location'!$A$1:$B$21,2,FALSE)</f>
        <v>Contained On Site, not within 5 ft. of Bayou/Surface Water/Drainage Ditch</v>
      </c>
      <c r="J2304" s="28">
        <v>161.0</v>
      </c>
      <c r="K2304" s="23" t="s">
        <v>29</v>
      </c>
      <c r="L2304" s="6" t="str">
        <f>VLOOKUP(K2304,'Structure type'!$A$1:$B$15,2,FALSE)</f>
        <v>Manhole</v>
      </c>
      <c r="M2304" s="23" t="s">
        <v>30</v>
      </c>
      <c r="N2304" s="6" t="str">
        <f>VLOOKUP(M2304,'Excursion Cause'!$A$1:$B$34,2,FALSE)</f>
        <v>Grease Blockage</v>
      </c>
      <c r="O2304" s="29">
        <v>44968.0</v>
      </c>
      <c r="P2304" s="30">
        <v>0.44722222222222224</v>
      </c>
      <c r="Q2304" s="29">
        <v>44968.0</v>
      </c>
      <c r="R2304" s="30">
        <v>0.5590277777777778</v>
      </c>
      <c r="S2304" s="28">
        <v>1.0</v>
      </c>
      <c r="T2304" s="23" t="s">
        <v>59</v>
      </c>
      <c r="U2304" s="6"/>
      <c r="V2304" s="6"/>
      <c r="W2304" s="35">
        <v>29.6887367999999</v>
      </c>
      <c r="X2304" s="35">
        <v>-95.4974773</v>
      </c>
      <c r="AA2304" s="33"/>
      <c r="AB2304" s="33"/>
      <c r="AC2304" s="33"/>
      <c r="AD2304" s="33"/>
      <c r="AE2304" s="33"/>
      <c r="AF2304" s="33"/>
      <c r="AG2304" s="33"/>
      <c r="AH2304" s="33"/>
      <c r="AI2304" s="33"/>
      <c r="AJ2304" s="33"/>
      <c r="AK2304" s="33"/>
      <c r="AL2304" s="33"/>
      <c r="AM2304" s="33"/>
      <c r="AN2304" s="33"/>
      <c r="AO2304" s="33"/>
    </row>
    <row r="2305" ht="15.75" customHeight="1">
      <c r="A2305" s="23">
        <v>51180.0</v>
      </c>
      <c r="B2305" s="23">
        <v>2023.0</v>
      </c>
      <c r="C2305" s="6" t="str">
        <f t="shared" si="7"/>
        <v>2950  BROADWAY ST,Houston,TX</v>
      </c>
      <c r="D2305" s="23" t="s">
        <v>3663</v>
      </c>
      <c r="E2305" s="6" t="s">
        <v>25</v>
      </c>
      <c r="F2305" s="6" t="s">
        <v>1388</v>
      </c>
      <c r="G2305" s="31" t="s">
        <v>135</v>
      </c>
      <c r="H2305" s="23" t="s">
        <v>50</v>
      </c>
      <c r="I2305" s="6" t="str">
        <f>VLOOKUP(H2305,'Flow Location'!$A$1:$B$21,2,FALSE)</f>
        <v>Contained On Site, not within 5 ft. of Bayou/Surface Water/Drainage Ditch</v>
      </c>
      <c r="J2305" s="28">
        <v>0.0</v>
      </c>
      <c r="K2305" s="23" t="s">
        <v>29</v>
      </c>
      <c r="L2305" s="6" t="str">
        <f>VLOOKUP(K2305,'Structure type'!$A$1:$B$15,2,FALSE)</f>
        <v>Manhole</v>
      </c>
      <c r="M2305" s="23" t="s">
        <v>56</v>
      </c>
      <c r="N2305" s="6" t="str">
        <f>VLOOKUP(M2305,'Excursion Cause'!$A$1:$B$34,2,FALSE)</f>
        <v>Rags/Wipes</v>
      </c>
      <c r="O2305" s="29">
        <v>44968.0</v>
      </c>
      <c r="P2305" s="30">
        <v>0.45069444444444445</v>
      </c>
      <c r="Q2305" s="29">
        <v>44968.0</v>
      </c>
      <c r="R2305" s="30">
        <v>0.4513888888888889</v>
      </c>
      <c r="S2305" s="28">
        <v>0.0</v>
      </c>
      <c r="T2305" s="23" t="s">
        <v>59</v>
      </c>
      <c r="U2305" s="6"/>
      <c r="V2305" s="6"/>
      <c r="W2305" s="35">
        <v>29.697376</v>
      </c>
      <c r="X2305" s="35">
        <v>-95.2782802999999</v>
      </c>
      <c r="AA2305" s="33"/>
      <c r="AB2305" s="33"/>
      <c r="AC2305" s="33"/>
      <c r="AD2305" s="33"/>
      <c r="AE2305" s="33"/>
      <c r="AF2305" s="33"/>
      <c r="AG2305" s="33"/>
      <c r="AH2305" s="33"/>
      <c r="AI2305" s="33"/>
      <c r="AJ2305" s="33"/>
      <c r="AK2305" s="33"/>
      <c r="AL2305" s="33"/>
      <c r="AM2305" s="33"/>
      <c r="AN2305" s="33"/>
      <c r="AO2305" s="33"/>
    </row>
    <row r="2306" ht="15.75" customHeight="1">
      <c r="A2306" s="23">
        <v>51184.0</v>
      </c>
      <c r="B2306" s="23">
        <v>2023.0</v>
      </c>
      <c r="C2306" s="6" t="str">
        <f t="shared" si="7"/>
        <v>12023  BISSONNET ST,Houston,TX</v>
      </c>
      <c r="D2306" s="23" t="s">
        <v>3664</v>
      </c>
      <c r="E2306" s="6" t="s">
        <v>25</v>
      </c>
      <c r="F2306" s="6" t="s">
        <v>1388</v>
      </c>
      <c r="G2306" s="31" t="s">
        <v>154</v>
      </c>
      <c r="H2306" s="23" t="s">
        <v>50</v>
      </c>
      <c r="I2306" s="6" t="str">
        <f>VLOOKUP(H2306,'Flow Location'!$A$1:$B$21,2,FALSE)</f>
        <v>Contained On Site, not within 5 ft. of Bayou/Surface Water/Drainage Ditch</v>
      </c>
      <c r="J2306" s="28">
        <v>0.0</v>
      </c>
      <c r="K2306" s="23" t="s">
        <v>29</v>
      </c>
      <c r="L2306" s="6" t="str">
        <f>VLOOKUP(K2306,'Structure type'!$A$1:$B$15,2,FALSE)</f>
        <v>Manhole</v>
      </c>
      <c r="M2306" s="23" t="s">
        <v>52</v>
      </c>
      <c r="N2306" s="6" t="str">
        <f>VLOOKUP(M2306,'Excursion Cause'!$A$1:$B$34,2,FALSE)</f>
        <v>Collection system structural blockage</v>
      </c>
      <c r="O2306" s="29">
        <v>44967.0</v>
      </c>
      <c r="P2306" s="30">
        <v>0.5236111111111111</v>
      </c>
      <c r="Q2306" s="29">
        <v>44967.0</v>
      </c>
      <c r="R2306" s="30">
        <v>0.5243055555555556</v>
      </c>
      <c r="S2306" s="28">
        <v>0.0</v>
      </c>
      <c r="T2306" s="23" t="s">
        <v>59</v>
      </c>
      <c r="U2306" s="6"/>
      <c r="V2306" s="6"/>
      <c r="W2306" s="35">
        <v>29.674508</v>
      </c>
      <c r="X2306" s="35">
        <v>-95.5905918999999</v>
      </c>
      <c r="AA2306" s="33"/>
      <c r="AB2306" s="33"/>
      <c r="AC2306" s="33"/>
      <c r="AD2306" s="33"/>
      <c r="AE2306" s="33"/>
      <c r="AF2306" s="33"/>
      <c r="AG2306" s="33"/>
      <c r="AH2306" s="33"/>
      <c r="AI2306" s="33"/>
      <c r="AJ2306" s="33"/>
      <c r="AK2306" s="33"/>
      <c r="AL2306" s="33"/>
      <c r="AM2306" s="33"/>
      <c r="AN2306" s="33"/>
      <c r="AO2306" s="33"/>
    </row>
    <row r="2307" ht="15.75" customHeight="1">
      <c r="A2307" s="23">
        <v>51189.0</v>
      </c>
      <c r="B2307" s="23">
        <v>2023.0</v>
      </c>
      <c r="C2307" s="6" t="str">
        <f t="shared" si="7"/>
        <v>10000  HAMMERLY BLVD,Houston,TX</v>
      </c>
      <c r="D2307" s="23" t="s">
        <v>3665</v>
      </c>
      <c r="E2307" s="6" t="s">
        <v>25</v>
      </c>
      <c r="F2307" s="6" t="s">
        <v>1388</v>
      </c>
      <c r="G2307" s="31" t="s">
        <v>294</v>
      </c>
      <c r="H2307" s="23" t="s">
        <v>28</v>
      </c>
      <c r="I2307" s="6" t="str">
        <f>VLOOKUP(H2307,'Flow Location'!$A$1:$B$21,2,FALSE)</f>
        <v>Storm Sewer (not contained)</v>
      </c>
      <c r="J2307" s="28">
        <v>243.0</v>
      </c>
      <c r="K2307" s="23" t="s">
        <v>29</v>
      </c>
      <c r="L2307" s="6" t="str">
        <f>VLOOKUP(K2307,'Structure type'!$A$1:$B$15,2,FALSE)</f>
        <v>Manhole</v>
      </c>
      <c r="M2307" s="23" t="s">
        <v>30</v>
      </c>
      <c r="N2307" s="6" t="str">
        <f>VLOOKUP(M2307,'Excursion Cause'!$A$1:$B$34,2,FALSE)</f>
        <v>Grease Blockage</v>
      </c>
      <c r="O2307" s="29">
        <v>44969.0</v>
      </c>
      <c r="P2307" s="30">
        <v>0.3770833333333333</v>
      </c>
      <c r="Q2307" s="29">
        <v>44969.0</v>
      </c>
      <c r="R2307" s="30">
        <v>0.4895833333333333</v>
      </c>
      <c r="S2307" s="28">
        <v>2.0</v>
      </c>
      <c r="T2307" s="23" t="s">
        <v>59</v>
      </c>
      <c r="U2307" s="6"/>
      <c r="V2307" s="6"/>
      <c r="W2307" s="35">
        <v>29.8146668</v>
      </c>
      <c r="X2307" s="35">
        <v>-95.5403785</v>
      </c>
      <c r="AA2307" s="33"/>
      <c r="AB2307" s="33"/>
      <c r="AC2307" s="33"/>
      <c r="AD2307" s="33"/>
      <c r="AE2307" s="33"/>
      <c r="AF2307" s="33"/>
      <c r="AG2307" s="33"/>
      <c r="AH2307" s="33"/>
      <c r="AI2307" s="33"/>
      <c r="AJ2307" s="33"/>
      <c r="AK2307" s="33"/>
      <c r="AL2307" s="33"/>
      <c r="AM2307" s="33"/>
      <c r="AN2307" s="33"/>
      <c r="AO2307" s="33"/>
    </row>
    <row r="2308" ht="15.75" customHeight="1">
      <c r="A2308" s="23">
        <v>51192.0</v>
      </c>
      <c r="B2308" s="23">
        <v>2023.0</v>
      </c>
      <c r="C2308" s="6" t="str">
        <f t="shared" si="7"/>
        <v>15910  RIDGEROCK RD,Houston,TX</v>
      </c>
      <c r="D2308" s="23" t="s">
        <v>3666</v>
      </c>
      <c r="E2308" s="6" t="s">
        <v>25</v>
      </c>
      <c r="F2308" s="6" t="s">
        <v>1388</v>
      </c>
      <c r="G2308" s="31" t="s">
        <v>166</v>
      </c>
      <c r="H2308" s="23" t="s">
        <v>28</v>
      </c>
      <c r="I2308" s="6" t="str">
        <f>VLOOKUP(H2308,'Flow Location'!$A$1:$B$21,2,FALSE)</f>
        <v>Storm Sewer (not contained)</v>
      </c>
      <c r="J2308" s="28">
        <v>273.0</v>
      </c>
      <c r="K2308" s="23" t="s">
        <v>29</v>
      </c>
      <c r="L2308" s="6" t="str">
        <f>VLOOKUP(K2308,'Structure type'!$A$1:$B$15,2,FALSE)</f>
        <v>Manhole</v>
      </c>
      <c r="M2308" s="23" t="s">
        <v>30</v>
      </c>
      <c r="N2308" s="6" t="str">
        <f>VLOOKUP(M2308,'Excursion Cause'!$A$1:$B$34,2,FALSE)</f>
        <v>Grease Blockage</v>
      </c>
      <c r="O2308" s="29">
        <v>44969.0</v>
      </c>
      <c r="P2308" s="30">
        <v>0.4388888888888889</v>
      </c>
      <c r="Q2308" s="29">
        <v>44969.0</v>
      </c>
      <c r="R2308" s="30">
        <v>0.4930555555555556</v>
      </c>
      <c r="S2308" s="28">
        <v>4.0</v>
      </c>
      <c r="T2308" s="23" t="s">
        <v>59</v>
      </c>
      <c r="U2308" s="6"/>
      <c r="V2308" s="6"/>
      <c r="W2308" s="35">
        <v>29.5950842</v>
      </c>
      <c r="X2308" s="35">
        <v>-95.4858508</v>
      </c>
      <c r="AA2308" s="33"/>
      <c r="AB2308" s="33"/>
      <c r="AC2308" s="33"/>
      <c r="AD2308" s="33"/>
      <c r="AE2308" s="33"/>
      <c r="AF2308" s="33"/>
      <c r="AG2308" s="33"/>
      <c r="AH2308" s="33"/>
      <c r="AI2308" s="33"/>
      <c r="AJ2308" s="33"/>
      <c r="AK2308" s="33"/>
      <c r="AL2308" s="33"/>
      <c r="AM2308" s="33"/>
      <c r="AN2308" s="33"/>
      <c r="AO2308" s="33"/>
    </row>
    <row r="2309" ht="15.75" customHeight="1">
      <c r="A2309" s="23">
        <v>51197.0</v>
      </c>
      <c r="B2309" s="23">
        <v>2023.0</v>
      </c>
      <c r="C2309" s="6" t="str">
        <f t="shared" si="7"/>
        <v>9313  INTERVALE ST,Houston,TX</v>
      </c>
      <c r="D2309" s="23" t="s">
        <v>3667</v>
      </c>
      <c r="E2309" s="6" t="s">
        <v>25</v>
      </c>
      <c r="F2309" s="6" t="s">
        <v>1388</v>
      </c>
      <c r="G2309" s="31" t="s">
        <v>95</v>
      </c>
      <c r="H2309" s="23" t="s">
        <v>50</v>
      </c>
      <c r="I2309" s="6" t="str">
        <f>VLOOKUP(H2309,'Flow Location'!$A$1:$B$21,2,FALSE)</f>
        <v>Contained On Site, not within 5 ft. of Bayou/Surface Water/Drainage Ditch</v>
      </c>
      <c r="J2309" s="28">
        <v>163.0</v>
      </c>
      <c r="K2309" s="23" t="s">
        <v>51</v>
      </c>
      <c r="L2309" s="6" t="str">
        <f>VLOOKUP(K2309,'Structure type'!$A$1:$B$15,2,FALSE)</f>
        <v>Private Cleanout</v>
      </c>
      <c r="M2309" s="23" t="s">
        <v>52</v>
      </c>
      <c r="N2309" s="6" t="str">
        <f>VLOOKUP(M2309,'Excursion Cause'!$A$1:$B$34,2,FALSE)</f>
        <v>Collection system structural blockage</v>
      </c>
      <c r="O2309" s="29">
        <v>44967.0</v>
      </c>
      <c r="P2309" s="30">
        <v>0.43125</v>
      </c>
      <c r="Q2309" s="29">
        <v>44967.0</v>
      </c>
      <c r="R2309" s="30">
        <v>0.6569444444444444</v>
      </c>
      <c r="S2309" s="28">
        <v>1.0</v>
      </c>
      <c r="T2309" s="23" t="s">
        <v>107</v>
      </c>
      <c r="U2309" s="6"/>
      <c r="V2309" s="6"/>
      <c r="W2309" s="35">
        <v>29.6374794</v>
      </c>
      <c r="X2309" s="35">
        <v>-95.2501975999999</v>
      </c>
      <c r="AA2309" s="33"/>
      <c r="AB2309" s="33"/>
      <c r="AC2309" s="33"/>
      <c r="AD2309" s="33"/>
      <c r="AE2309" s="33"/>
      <c r="AF2309" s="33"/>
      <c r="AG2309" s="33"/>
      <c r="AH2309" s="33"/>
      <c r="AI2309" s="33"/>
      <c r="AJ2309" s="33"/>
      <c r="AK2309" s="33"/>
      <c r="AL2309" s="33"/>
      <c r="AM2309" s="33"/>
      <c r="AN2309" s="33"/>
      <c r="AO2309" s="33"/>
    </row>
    <row r="2310" ht="15.75" customHeight="1">
      <c r="A2310" s="23">
        <v>51204.0</v>
      </c>
      <c r="B2310" s="23">
        <v>2023.0</v>
      </c>
      <c r="C2310" s="6" t="str">
        <f t="shared" si="7"/>
        <v>7118  TUCK ST,Houston,TX</v>
      </c>
      <c r="D2310" s="23" t="s">
        <v>3668</v>
      </c>
      <c r="E2310" s="6" t="s">
        <v>25</v>
      </c>
      <c r="F2310" s="6" t="s">
        <v>1388</v>
      </c>
      <c r="G2310" s="31" t="s">
        <v>86</v>
      </c>
      <c r="H2310" s="23" t="s">
        <v>50</v>
      </c>
      <c r="I2310" s="6" t="str">
        <f>VLOOKUP(H2310,'Flow Location'!$A$1:$B$21,2,FALSE)</f>
        <v>Contained On Site, not within 5 ft. of Bayou/Surface Water/Drainage Ditch</v>
      </c>
      <c r="J2310" s="28">
        <v>0.0</v>
      </c>
      <c r="K2310" s="23" t="s">
        <v>29</v>
      </c>
      <c r="L2310" s="6" t="str">
        <f>VLOOKUP(K2310,'Structure type'!$A$1:$B$15,2,FALSE)</f>
        <v>Manhole</v>
      </c>
      <c r="M2310" s="23" t="s">
        <v>30</v>
      </c>
      <c r="N2310" s="6" t="str">
        <f>VLOOKUP(M2310,'Excursion Cause'!$A$1:$B$34,2,FALSE)</f>
        <v>Grease Blockage</v>
      </c>
      <c r="O2310" s="29">
        <v>44967.0</v>
      </c>
      <c r="P2310" s="30">
        <v>0.5694444444444444</v>
      </c>
      <c r="Q2310" s="29">
        <v>44967.0</v>
      </c>
      <c r="R2310" s="30">
        <v>0.5701388888888889</v>
      </c>
      <c r="S2310" s="28">
        <v>0.0</v>
      </c>
      <c r="T2310" s="23" t="s">
        <v>33</v>
      </c>
      <c r="U2310" s="6"/>
      <c r="V2310" s="6"/>
      <c r="W2310" s="35">
        <v>29.7692535</v>
      </c>
      <c r="X2310" s="35">
        <v>-95.2978677999999</v>
      </c>
      <c r="AA2310" s="33"/>
      <c r="AB2310" s="33"/>
      <c r="AC2310" s="33"/>
      <c r="AD2310" s="33"/>
      <c r="AE2310" s="33"/>
      <c r="AF2310" s="33"/>
      <c r="AG2310" s="33"/>
      <c r="AH2310" s="33"/>
      <c r="AI2310" s="33"/>
      <c r="AJ2310" s="33"/>
      <c r="AK2310" s="33"/>
      <c r="AL2310" s="33"/>
      <c r="AM2310" s="33"/>
      <c r="AN2310" s="33"/>
      <c r="AO2310" s="33"/>
    </row>
    <row r="2311" ht="15.75" customHeight="1">
      <c r="A2311" s="23">
        <v>51209.0</v>
      </c>
      <c r="B2311" s="23">
        <v>2023.0</v>
      </c>
      <c r="C2311" s="6" t="str">
        <f t="shared" si="7"/>
        <v>4902  LYONS AVE,Houston,TX</v>
      </c>
      <c r="D2311" s="23" t="s">
        <v>3669</v>
      </c>
      <c r="E2311" s="6" t="s">
        <v>25</v>
      </c>
      <c r="F2311" s="6" t="s">
        <v>1388</v>
      </c>
      <c r="G2311" s="31" t="s">
        <v>86</v>
      </c>
      <c r="H2311" s="23" t="s">
        <v>87</v>
      </c>
      <c r="I2311" s="6" t="str">
        <f>VLOOKUP(H2311,'Flow Location'!$A$1:$B$21,2,FALSE)</f>
        <v>Within 5 ft. of Bayou/Surface Water/Drainage Ditch</v>
      </c>
      <c r="J2311" s="28">
        <v>0.0</v>
      </c>
      <c r="K2311" s="23" t="s">
        <v>45</v>
      </c>
      <c r="L2311" s="6" t="str">
        <f>VLOOKUP(K2311,'Structure type'!$A$1:$B$15,2,FALSE)</f>
        <v>City Cleanout</v>
      </c>
      <c r="M2311" s="23" t="s">
        <v>81</v>
      </c>
      <c r="N2311" s="6" t="str">
        <f>VLOOKUP(M2311,'Excursion Cause'!$A$1:$B$34,2,FALSE)</f>
        <v>Collection system structural failure</v>
      </c>
      <c r="O2311" s="29">
        <v>44969.0</v>
      </c>
      <c r="P2311" s="30">
        <v>0.61875</v>
      </c>
      <c r="Q2311" s="29">
        <v>44969.0</v>
      </c>
      <c r="R2311" s="30">
        <v>0.6194444444444445</v>
      </c>
      <c r="S2311" s="28">
        <v>0.0</v>
      </c>
      <c r="T2311" s="23" t="s">
        <v>89</v>
      </c>
      <c r="U2311" s="6"/>
      <c r="V2311" s="6"/>
      <c r="W2311" s="35">
        <v>29.7760334</v>
      </c>
      <c r="X2311" s="35">
        <v>-95.320926</v>
      </c>
      <c r="AA2311" s="33"/>
      <c r="AB2311" s="33"/>
      <c r="AC2311" s="33"/>
      <c r="AD2311" s="33"/>
      <c r="AE2311" s="33"/>
      <c r="AF2311" s="33"/>
      <c r="AG2311" s="33"/>
      <c r="AH2311" s="33"/>
      <c r="AI2311" s="33"/>
      <c r="AJ2311" s="33"/>
      <c r="AK2311" s="33"/>
      <c r="AL2311" s="33"/>
      <c r="AM2311" s="33"/>
      <c r="AN2311" s="33"/>
      <c r="AO2311" s="33"/>
    </row>
    <row r="2312" ht="15.75" customHeight="1">
      <c r="A2312" s="23">
        <v>51210.0</v>
      </c>
      <c r="B2312" s="23">
        <v>2023.0</v>
      </c>
      <c r="C2312" s="6" t="str">
        <f t="shared" si="7"/>
        <v>4819  IRVINGTON BLVD,Houston,TX</v>
      </c>
      <c r="D2312" s="23" t="s">
        <v>3670</v>
      </c>
      <c r="E2312" s="6" t="s">
        <v>25</v>
      </c>
      <c r="F2312" s="6" t="s">
        <v>1388</v>
      </c>
      <c r="G2312" s="31" t="s">
        <v>161</v>
      </c>
      <c r="H2312" s="23" t="s">
        <v>28</v>
      </c>
      <c r="I2312" s="6" t="str">
        <f>VLOOKUP(H2312,'Flow Location'!$A$1:$B$21,2,FALSE)</f>
        <v>Storm Sewer (not contained)</v>
      </c>
      <c r="J2312" s="28">
        <v>258.0</v>
      </c>
      <c r="K2312" s="23" t="s">
        <v>29</v>
      </c>
      <c r="L2312" s="6" t="str">
        <f>VLOOKUP(K2312,'Structure type'!$A$1:$B$15,2,FALSE)</f>
        <v>Manhole</v>
      </c>
      <c r="M2312" s="23" t="s">
        <v>30</v>
      </c>
      <c r="N2312" s="6" t="str">
        <f>VLOOKUP(M2312,'Excursion Cause'!$A$1:$B$34,2,FALSE)</f>
        <v>Grease Blockage</v>
      </c>
      <c r="O2312" s="29">
        <v>44969.0</v>
      </c>
      <c r="P2312" s="30">
        <v>0.6555555555555556</v>
      </c>
      <c r="Q2312" s="29">
        <v>44969.0</v>
      </c>
      <c r="R2312" s="30">
        <v>0.7451388888888889</v>
      </c>
      <c r="S2312" s="28">
        <v>2.0</v>
      </c>
      <c r="T2312" s="23" t="s">
        <v>59</v>
      </c>
      <c r="U2312" s="6"/>
      <c r="V2312" s="6"/>
      <c r="W2312" s="35">
        <v>29.8047513</v>
      </c>
      <c r="X2312" s="35">
        <v>-95.3614401</v>
      </c>
      <c r="AA2312" s="33"/>
      <c r="AB2312" s="33"/>
      <c r="AC2312" s="33"/>
      <c r="AD2312" s="33"/>
      <c r="AE2312" s="33"/>
      <c r="AF2312" s="33"/>
      <c r="AG2312" s="33"/>
      <c r="AH2312" s="33"/>
      <c r="AI2312" s="33"/>
      <c r="AJ2312" s="33"/>
      <c r="AK2312" s="33"/>
      <c r="AL2312" s="33"/>
      <c r="AM2312" s="33"/>
      <c r="AN2312" s="33"/>
      <c r="AO2312" s="33"/>
    </row>
    <row r="2313" ht="15.75" customHeight="1">
      <c r="A2313" s="23">
        <v>51212.0</v>
      </c>
      <c r="B2313" s="23">
        <v>2023.0</v>
      </c>
      <c r="C2313" s="6" t="str">
        <f t="shared" si="7"/>
        <v>9708  LOCKWOOD DR,Houston,TX</v>
      </c>
      <c r="D2313" s="23" t="s">
        <v>3644</v>
      </c>
      <c r="E2313" s="6" t="s">
        <v>25</v>
      </c>
      <c r="F2313" s="6" t="s">
        <v>1388</v>
      </c>
      <c r="G2313" s="31" t="s">
        <v>326</v>
      </c>
      <c r="H2313" s="23" t="s">
        <v>50</v>
      </c>
      <c r="I2313" s="6" t="str">
        <f>VLOOKUP(H2313,'Flow Location'!$A$1:$B$21,2,FALSE)</f>
        <v>Contained On Site, not within 5 ft. of Bayou/Surface Water/Drainage Ditch</v>
      </c>
      <c r="J2313" s="28">
        <v>0.0</v>
      </c>
      <c r="K2313" s="23" t="s">
        <v>45</v>
      </c>
      <c r="L2313" s="6" t="str">
        <f>VLOOKUP(K2313,'Structure type'!$A$1:$B$15,2,FALSE)</f>
        <v>City Cleanout</v>
      </c>
      <c r="M2313" s="23" t="s">
        <v>30</v>
      </c>
      <c r="N2313" s="6" t="str">
        <f>VLOOKUP(M2313,'Excursion Cause'!$A$1:$B$34,2,FALSE)</f>
        <v>Grease Blockage</v>
      </c>
      <c r="O2313" s="29">
        <v>44969.0</v>
      </c>
      <c r="P2313" s="30">
        <v>0.5972222222222222</v>
      </c>
      <c r="Q2313" s="29">
        <v>44969.0</v>
      </c>
      <c r="R2313" s="30">
        <v>0.5979166666666667</v>
      </c>
      <c r="S2313" s="28">
        <v>0.0</v>
      </c>
      <c r="T2313" s="23" t="s">
        <v>33</v>
      </c>
      <c r="U2313" s="6"/>
      <c r="V2313" s="6"/>
      <c r="W2313" s="35">
        <v>29.850025</v>
      </c>
      <c r="X2313" s="35">
        <v>-95.3187257</v>
      </c>
      <c r="AA2313" s="33"/>
      <c r="AB2313" s="33"/>
      <c r="AC2313" s="33"/>
      <c r="AD2313" s="33"/>
      <c r="AE2313" s="33"/>
      <c r="AF2313" s="33"/>
      <c r="AG2313" s="33"/>
      <c r="AH2313" s="33"/>
      <c r="AI2313" s="33"/>
      <c r="AJ2313" s="33"/>
      <c r="AK2313" s="33"/>
      <c r="AL2313" s="33"/>
      <c r="AM2313" s="33"/>
      <c r="AN2313" s="33"/>
      <c r="AO2313" s="33"/>
    </row>
    <row r="2314" ht="15.75" customHeight="1">
      <c r="A2314" s="23">
        <v>51215.0</v>
      </c>
      <c r="B2314" s="23">
        <v>2023.0</v>
      </c>
      <c r="C2314" s="6" t="str">
        <f t="shared" si="7"/>
        <v>5255  PEASE ST,Houston,TX</v>
      </c>
      <c r="D2314" s="23" t="s">
        <v>3671</v>
      </c>
      <c r="E2314" s="6" t="s">
        <v>25</v>
      </c>
      <c r="F2314" s="6" t="s">
        <v>1388</v>
      </c>
      <c r="G2314" s="31" t="s">
        <v>141</v>
      </c>
      <c r="H2314" s="23" t="s">
        <v>50</v>
      </c>
      <c r="I2314" s="6" t="str">
        <f>VLOOKUP(H2314,'Flow Location'!$A$1:$B$21,2,FALSE)</f>
        <v>Contained On Site, not within 5 ft. of Bayou/Surface Water/Drainage Ditch</v>
      </c>
      <c r="J2314" s="28">
        <v>0.0</v>
      </c>
      <c r="K2314" s="23" t="s">
        <v>45</v>
      </c>
      <c r="L2314" s="6" t="str">
        <f>VLOOKUP(K2314,'Structure type'!$A$1:$B$15,2,FALSE)</f>
        <v>City Cleanout</v>
      </c>
      <c r="M2314" s="23" t="s">
        <v>56</v>
      </c>
      <c r="N2314" s="6" t="str">
        <f>VLOOKUP(M2314,'Excursion Cause'!$A$1:$B$34,2,FALSE)</f>
        <v>Rags/Wipes</v>
      </c>
      <c r="O2314" s="29">
        <v>44970.0</v>
      </c>
      <c r="P2314" s="30">
        <v>0.46944444444444444</v>
      </c>
      <c r="Q2314" s="29">
        <v>44970.0</v>
      </c>
      <c r="R2314" s="30">
        <v>0.4701388888888889</v>
      </c>
      <c r="S2314" s="28">
        <v>0.0</v>
      </c>
      <c r="T2314" s="23" t="s">
        <v>270</v>
      </c>
      <c r="U2314" s="6"/>
      <c r="V2314" s="6"/>
      <c r="W2314" s="35">
        <v>29.7319461</v>
      </c>
      <c r="X2314" s="35">
        <v>-95.3218943999999</v>
      </c>
      <c r="AA2314" s="33"/>
      <c r="AB2314" s="33"/>
      <c r="AC2314" s="33"/>
      <c r="AD2314" s="33"/>
      <c r="AE2314" s="33"/>
      <c r="AF2314" s="33"/>
      <c r="AG2314" s="33"/>
      <c r="AH2314" s="33"/>
      <c r="AI2314" s="33"/>
      <c r="AJ2314" s="33"/>
      <c r="AK2314" s="33"/>
      <c r="AL2314" s="33"/>
      <c r="AM2314" s="33"/>
      <c r="AN2314" s="33"/>
      <c r="AO2314" s="33"/>
    </row>
    <row r="2315" ht="15.75" customHeight="1">
      <c r="A2315" s="23">
        <v>51217.0</v>
      </c>
      <c r="B2315" s="23">
        <v>2023.0</v>
      </c>
      <c r="C2315" s="6" t="str">
        <f t="shared" si="7"/>
        <v>141 E SUNNYSIDE ST,Houston,TX</v>
      </c>
      <c r="D2315" s="23" t="s">
        <v>3473</v>
      </c>
      <c r="E2315" s="6" t="s">
        <v>25</v>
      </c>
      <c r="F2315" s="6" t="s">
        <v>1388</v>
      </c>
      <c r="G2315" s="31" t="s">
        <v>275</v>
      </c>
      <c r="H2315" s="23" t="s">
        <v>50</v>
      </c>
      <c r="I2315" s="6" t="str">
        <f>VLOOKUP(H2315,'Flow Location'!$A$1:$B$21,2,FALSE)</f>
        <v>Contained On Site, not within 5 ft. of Bayou/Surface Water/Drainage Ditch</v>
      </c>
      <c r="J2315" s="28">
        <v>0.0</v>
      </c>
      <c r="K2315" s="23" t="s">
        <v>45</v>
      </c>
      <c r="L2315" s="6" t="str">
        <f>VLOOKUP(K2315,'Structure type'!$A$1:$B$15,2,FALSE)</f>
        <v>City Cleanout</v>
      </c>
      <c r="M2315" s="23" t="s">
        <v>30</v>
      </c>
      <c r="N2315" s="6" t="str">
        <f>VLOOKUP(M2315,'Excursion Cause'!$A$1:$B$34,2,FALSE)</f>
        <v>Grease Blockage</v>
      </c>
      <c r="O2315" s="29">
        <v>44970.0</v>
      </c>
      <c r="P2315" s="30">
        <v>0.5076388888888889</v>
      </c>
      <c r="Q2315" s="29">
        <v>44970.0</v>
      </c>
      <c r="R2315" s="30">
        <v>0.5083333333333333</v>
      </c>
      <c r="S2315" s="28">
        <v>0.0</v>
      </c>
      <c r="T2315" s="23" t="s">
        <v>74</v>
      </c>
      <c r="U2315" s="6"/>
      <c r="V2315" s="6"/>
      <c r="W2315" s="35">
        <v>29.8571958</v>
      </c>
      <c r="X2315" s="35">
        <v>-95.3772195</v>
      </c>
      <c r="AA2315" s="33"/>
      <c r="AB2315" s="33"/>
      <c r="AC2315" s="33"/>
      <c r="AD2315" s="33"/>
      <c r="AE2315" s="33"/>
      <c r="AF2315" s="33"/>
      <c r="AG2315" s="33"/>
      <c r="AH2315" s="33"/>
      <c r="AI2315" s="33"/>
      <c r="AJ2315" s="33"/>
      <c r="AK2315" s="33"/>
      <c r="AL2315" s="33"/>
      <c r="AM2315" s="33"/>
      <c r="AN2315" s="33"/>
      <c r="AO2315" s="33"/>
    </row>
    <row r="2316" ht="15.75" customHeight="1">
      <c r="A2316" s="23">
        <v>51218.0</v>
      </c>
      <c r="B2316" s="23">
        <v>2023.0</v>
      </c>
      <c r="C2316" s="6" t="str">
        <f t="shared" si="7"/>
        <v>8017  NORVIC ST,Houston,TX</v>
      </c>
      <c r="D2316" s="23" t="s">
        <v>3672</v>
      </c>
      <c r="E2316" s="6" t="s">
        <v>25</v>
      </c>
      <c r="F2316" s="6" t="s">
        <v>1388</v>
      </c>
      <c r="G2316" s="31" t="s">
        <v>247</v>
      </c>
      <c r="H2316" s="23" t="s">
        <v>28</v>
      </c>
      <c r="I2316" s="6" t="str">
        <f>VLOOKUP(H2316,'Flow Location'!$A$1:$B$21,2,FALSE)</f>
        <v>Storm Sewer (not contained)</v>
      </c>
      <c r="J2316" s="28">
        <v>0.0</v>
      </c>
      <c r="K2316" s="23" t="s">
        <v>29</v>
      </c>
      <c r="L2316" s="6" t="str">
        <f>VLOOKUP(K2316,'Structure type'!$A$1:$B$15,2,FALSE)</f>
        <v>Manhole</v>
      </c>
      <c r="M2316" s="23" t="s">
        <v>30</v>
      </c>
      <c r="N2316" s="6" t="str">
        <f>VLOOKUP(M2316,'Excursion Cause'!$A$1:$B$34,2,FALSE)</f>
        <v>Grease Blockage</v>
      </c>
      <c r="O2316" s="29">
        <v>44970.0</v>
      </c>
      <c r="P2316" s="30">
        <v>0.5034722222222222</v>
      </c>
      <c r="Q2316" s="29">
        <v>44970.0</v>
      </c>
      <c r="R2316" s="30">
        <v>0.5041666666666667</v>
      </c>
      <c r="S2316" s="28">
        <v>0.0</v>
      </c>
      <c r="T2316" s="23" t="s">
        <v>33</v>
      </c>
      <c r="U2316" s="6"/>
      <c r="V2316" s="6"/>
      <c r="W2316" s="35">
        <v>29.7627078</v>
      </c>
      <c r="X2316" s="35">
        <v>-95.2843694</v>
      </c>
      <c r="AA2316" s="33"/>
      <c r="AB2316" s="33"/>
      <c r="AC2316" s="33"/>
      <c r="AD2316" s="33"/>
      <c r="AE2316" s="33"/>
      <c r="AF2316" s="33"/>
      <c r="AG2316" s="33"/>
      <c r="AH2316" s="33"/>
      <c r="AI2316" s="33"/>
      <c r="AJ2316" s="33"/>
      <c r="AK2316" s="33"/>
      <c r="AL2316" s="33"/>
      <c r="AM2316" s="33"/>
      <c r="AN2316" s="33"/>
      <c r="AO2316" s="33"/>
    </row>
    <row r="2317" ht="15.75" customHeight="1">
      <c r="A2317" s="23">
        <v>51222.0</v>
      </c>
      <c r="B2317" s="23">
        <v>2023.0</v>
      </c>
      <c r="C2317" s="6" t="str">
        <f t="shared" si="7"/>
        <v>1253  BLALOCK RD,Houston,TX</v>
      </c>
      <c r="D2317" s="23" t="s">
        <v>3673</v>
      </c>
      <c r="E2317" s="6" t="s">
        <v>25</v>
      </c>
      <c r="F2317" s="6" t="s">
        <v>1388</v>
      </c>
      <c r="G2317" s="31" t="s">
        <v>27</v>
      </c>
      <c r="H2317" s="23" t="s">
        <v>50</v>
      </c>
      <c r="I2317" s="6" t="str">
        <f>VLOOKUP(H2317,'Flow Location'!$A$1:$B$21,2,FALSE)</f>
        <v>Contained On Site, not within 5 ft. of Bayou/Surface Water/Drainage Ditch</v>
      </c>
      <c r="J2317" s="28">
        <v>158.0</v>
      </c>
      <c r="K2317" s="23" t="s">
        <v>29</v>
      </c>
      <c r="L2317" s="6" t="str">
        <f>VLOOKUP(K2317,'Structure type'!$A$1:$B$15,2,FALSE)</f>
        <v>Manhole</v>
      </c>
      <c r="M2317" s="23" t="s">
        <v>30</v>
      </c>
      <c r="N2317" s="6" t="str">
        <f>VLOOKUP(M2317,'Excursion Cause'!$A$1:$B$34,2,FALSE)</f>
        <v>Grease Blockage</v>
      </c>
      <c r="O2317" s="29">
        <v>44970.0</v>
      </c>
      <c r="P2317" s="30">
        <v>0.5756944444444444</v>
      </c>
      <c r="Q2317" s="29">
        <v>44970.0</v>
      </c>
      <c r="R2317" s="30">
        <v>0.6305555555555555</v>
      </c>
      <c r="S2317" s="28">
        <v>2.0</v>
      </c>
      <c r="T2317" s="23" t="s">
        <v>33</v>
      </c>
      <c r="U2317" s="6"/>
      <c r="V2317" s="6"/>
      <c r="W2317" s="35">
        <v>29.7920141</v>
      </c>
      <c r="X2317" s="35">
        <v>-95.5220246999999</v>
      </c>
      <c r="AA2317" s="33"/>
      <c r="AB2317" s="33"/>
      <c r="AC2317" s="33"/>
      <c r="AD2317" s="33"/>
      <c r="AE2317" s="33"/>
      <c r="AF2317" s="33"/>
      <c r="AG2317" s="33"/>
      <c r="AH2317" s="33"/>
      <c r="AI2317" s="33"/>
      <c r="AJ2317" s="33"/>
      <c r="AK2317" s="33"/>
      <c r="AL2317" s="33"/>
      <c r="AM2317" s="33"/>
      <c r="AN2317" s="33"/>
      <c r="AO2317" s="33"/>
    </row>
    <row r="2318" ht="15.75" customHeight="1">
      <c r="A2318" s="23">
        <v>51231.0</v>
      </c>
      <c r="B2318" s="23">
        <v>2023.0</v>
      </c>
      <c r="C2318" s="6" t="str">
        <f t="shared" si="7"/>
        <v>2306  BRAZOS ST,Houston,TX</v>
      </c>
      <c r="D2318" s="23" t="s">
        <v>3674</v>
      </c>
      <c r="E2318" s="6" t="s">
        <v>25</v>
      </c>
      <c r="F2318" s="6" t="s">
        <v>1388</v>
      </c>
      <c r="G2318" s="31" t="s">
        <v>761</v>
      </c>
      <c r="H2318" s="23" t="s">
        <v>50</v>
      </c>
      <c r="I2318" s="6" t="str">
        <f>VLOOKUP(H2318,'Flow Location'!$A$1:$B$21,2,FALSE)</f>
        <v>Contained On Site, not within 5 ft. of Bayou/Surface Water/Drainage Ditch</v>
      </c>
      <c r="J2318" s="28">
        <v>577.0</v>
      </c>
      <c r="K2318" s="23" t="s">
        <v>29</v>
      </c>
      <c r="L2318" s="6" t="str">
        <f>VLOOKUP(K2318,'Structure type'!$A$1:$B$15,2,FALSE)</f>
        <v>Manhole</v>
      </c>
      <c r="M2318" s="23" t="s">
        <v>56</v>
      </c>
      <c r="N2318" s="6" t="str">
        <f>VLOOKUP(M2318,'Excursion Cause'!$A$1:$B$34,2,FALSE)</f>
        <v>Rags/Wipes</v>
      </c>
      <c r="O2318" s="29">
        <v>44970.0</v>
      </c>
      <c r="P2318" s="30">
        <v>0.6722222222222223</v>
      </c>
      <c r="Q2318" s="29">
        <v>44971.0</v>
      </c>
      <c r="R2318" s="30">
        <v>0.47291666666666665</v>
      </c>
      <c r="S2318" s="28">
        <v>1.0</v>
      </c>
      <c r="T2318" s="23" t="s">
        <v>59</v>
      </c>
      <c r="U2318" s="6"/>
      <c r="V2318" s="6"/>
      <c r="W2318" s="35">
        <v>29.7497264</v>
      </c>
      <c r="X2318" s="35">
        <v>-95.3772903</v>
      </c>
      <c r="AA2318" s="33"/>
      <c r="AB2318" s="33"/>
      <c r="AC2318" s="33"/>
      <c r="AD2318" s="33"/>
      <c r="AE2318" s="33"/>
      <c r="AF2318" s="33"/>
      <c r="AG2318" s="33"/>
      <c r="AH2318" s="33"/>
      <c r="AI2318" s="33"/>
      <c r="AJ2318" s="33"/>
      <c r="AK2318" s="33"/>
      <c r="AL2318" s="33"/>
      <c r="AM2318" s="33"/>
      <c r="AN2318" s="33"/>
      <c r="AO2318" s="33"/>
    </row>
    <row r="2319" ht="15.75" customHeight="1">
      <c r="A2319" s="23">
        <v>51236.0</v>
      </c>
      <c r="B2319" s="23">
        <v>2023.0</v>
      </c>
      <c r="C2319" s="6" t="str">
        <f t="shared" si="7"/>
        <v>6319  MARDALE DR,Houston,TX</v>
      </c>
      <c r="D2319" s="23" t="s">
        <v>3675</v>
      </c>
      <c r="E2319" s="6" t="s">
        <v>25</v>
      </c>
      <c r="F2319" s="6" t="s">
        <v>1388</v>
      </c>
      <c r="G2319" s="31" t="s">
        <v>326</v>
      </c>
      <c r="H2319" s="23" t="s">
        <v>50</v>
      </c>
      <c r="I2319" s="6" t="str">
        <f>VLOOKUP(H2319,'Flow Location'!$A$1:$B$21,2,FALSE)</f>
        <v>Contained On Site, not within 5 ft. of Bayou/Surface Water/Drainage Ditch</v>
      </c>
      <c r="J2319" s="28">
        <v>0.0</v>
      </c>
      <c r="K2319" s="23" t="s">
        <v>29</v>
      </c>
      <c r="L2319" s="6" t="str">
        <f>VLOOKUP(K2319,'Structure type'!$A$1:$B$15,2,FALSE)</f>
        <v>Manhole</v>
      </c>
      <c r="M2319" s="23" t="s">
        <v>30</v>
      </c>
      <c r="N2319" s="6" t="str">
        <f>VLOOKUP(M2319,'Excursion Cause'!$A$1:$B$34,2,FALSE)</f>
        <v>Grease Blockage</v>
      </c>
      <c r="O2319" s="29">
        <v>44971.0</v>
      </c>
      <c r="P2319" s="30">
        <v>0.4284722222222222</v>
      </c>
      <c r="Q2319" s="29">
        <v>44971.0</v>
      </c>
      <c r="R2319" s="30">
        <v>0.42916666666666664</v>
      </c>
      <c r="S2319" s="28">
        <v>0.0</v>
      </c>
      <c r="T2319" s="23" t="s">
        <v>59</v>
      </c>
      <c r="U2319" s="6"/>
      <c r="V2319" s="6"/>
      <c r="W2319" s="35">
        <v>29.8764912</v>
      </c>
      <c r="X2319" s="35">
        <v>-95.2949978</v>
      </c>
      <c r="AA2319" s="33"/>
      <c r="AB2319" s="33"/>
      <c r="AC2319" s="33"/>
      <c r="AD2319" s="33"/>
      <c r="AE2319" s="33"/>
      <c r="AF2319" s="33"/>
      <c r="AG2319" s="33"/>
      <c r="AH2319" s="33"/>
      <c r="AI2319" s="33"/>
      <c r="AJ2319" s="33"/>
      <c r="AK2319" s="33"/>
      <c r="AL2319" s="33"/>
      <c r="AM2319" s="33"/>
      <c r="AN2319" s="33"/>
      <c r="AO2319" s="33"/>
    </row>
    <row r="2320" ht="15.75" customHeight="1">
      <c r="A2320" s="23">
        <v>51240.0</v>
      </c>
      <c r="B2320" s="23">
        <v>2023.0</v>
      </c>
      <c r="C2320" s="6" t="str">
        <f t="shared" si="7"/>
        <v>4101  GANO ST,Houston,TX</v>
      </c>
      <c r="D2320" s="23" t="s">
        <v>3676</v>
      </c>
      <c r="E2320" s="6" t="s">
        <v>25</v>
      </c>
      <c r="F2320" s="6" t="s">
        <v>1388</v>
      </c>
      <c r="G2320" s="31" t="s">
        <v>161</v>
      </c>
      <c r="H2320" s="23" t="s">
        <v>50</v>
      </c>
      <c r="I2320" s="6" t="str">
        <f>VLOOKUP(H2320,'Flow Location'!$A$1:$B$21,2,FALSE)</f>
        <v>Contained On Site, not within 5 ft. of Bayou/Surface Water/Drainage Ditch</v>
      </c>
      <c r="J2320" s="28">
        <v>0.0</v>
      </c>
      <c r="K2320" s="23" t="s">
        <v>45</v>
      </c>
      <c r="L2320" s="6" t="str">
        <f>VLOOKUP(K2320,'Structure type'!$A$1:$B$15,2,FALSE)</f>
        <v>City Cleanout</v>
      </c>
      <c r="M2320" s="23" t="s">
        <v>30</v>
      </c>
      <c r="N2320" s="6" t="str">
        <f>VLOOKUP(M2320,'Excursion Cause'!$A$1:$B$34,2,FALSE)</f>
        <v>Grease Blockage</v>
      </c>
      <c r="O2320" s="29">
        <v>44971.0</v>
      </c>
      <c r="P2320" s="30">
        <v>0.5638888888888889</v>
      </c>
      <c r="Q2320" s="29">
        <v>44971.0</v>
      </c>
      <c r="R2320" s="30">
        <v>0.5645833333333333</v>
      </c>
      <c r="S2320" s="28">
        <v>0.0</v>
      </c>
      <c r="T2320" s="23" t="s">
        <v>74</v>
      </c>
      <c r="U2320" s="6"/>
      <c r="V2320" s="6"/>
      <c r="W2320" s="35">
        <v>29.7975563</v>
      </c>
      <c r="X2320" s="35">
        <v>-95.3554595999999</v>
      </c>
      <c r="AA2320" s="33"/>
      <c r="AB2320" s="33"/>
      <c r="AC2320" s="33"/>
      <c r="AD2320" s="33"/>
      <c r="AE2320" s="33"/>
      <c r="AF2320" s="33"/>
      <c r="AG2320" s="33"/>
      <c r="AH2320" s="33"/>
      <c r="AI2320" s="33"/>
      <c r="AJ2320" s="33"/>
      <c r="AK2320" s="33"/>
      <c r="AL2320" s="33"/>
      <c r="AM2320" s="33"/>
      <c r="AN2320" s="33"/>
      <c r="AO2320" s="33"/>
    </row>
    <row r="2321" ht="15.75" customHeight="1">
      <c r="A2321" s="23">
        <v>51243.0</v>
      </c>
      <c r="B2321" s="23">
        <v>2023.0</v>
      </c>
      <c r="C2321" s="6" t="str">
        <f t="shared" si="7"/>
        <v>1920  WIRT RD,Houston,TX</v>
      </c>
      <c r="D2321" s="23" t="s">
        <v>3677</v>
      </c>
      <c r="E2321" s="6" t="s">
        <v>25</v>
      </c>
      <c r="F2321" s="6" t="s">
        <v>1388</v>
      </c>
      <c r="G2321" s="31" t="s">
        <v>27</v>
      </c>
      <c r="H2321" s="23" t="s">
        <v>28</v>
      </c>
      <c r="I2321" s="6" t="str">
        <f>VLOOKUP(H2321,'Flow Location'!$A$1:$B$21,2,FALSE)</f>
        <v>Storm Sewer (not contained)</v>
      </c>
      <c r="J2321" s="28">
        <v>0.0</v>
      </c>
      <c r="K2321" s="23" t="s">
        <v>29</v>
      </c>
      <c r="L2321" s="6" t="str">
        <f>VLOOKUP(K2321,'Structure type'!$A$1:$B$15,2,FALSE)</f>
        <v>Manhole</v>
      </c>
      <c r="M2321" s="23" t="s">
        <v>30</v>
      </c>
      <c r="N2321" s="6" t="str">
        <f>VLOOKUP(M2321,'Excursion Cause'!$A$1:$B$34,2,FALSE)</f>
        <v>Grease Blockage</v>
      </c>
      <c r="O2321" s="29">
        <v>44971.0</v>
      </c>
      <c r="P2321" s="30">
        <v>0.6284722222222222</v>
      </c>
      <c r="Q2321" s="29">
        <v>44971.0</v>
      </c>
      <c r="R2321" s="30">
        <v>0.6291666666666667</v>
      </c>
      <c r="S2321" s="28">
        <v>0.0</v>
      </c>
      <c r="T2321" s="23" t="s">
        <v>59</v>
      </c>
      <c r="U2321" s="6"/>
      <c r="V2321" s="6"/>
      <c r="W2321" s="35">
        <v>29.8062725</v>
      </c>
      <c r="X2321" s="35">
        <v>-95.4845445</v>
      </c>
      <c r="AA2321" s="33"/>
      <c r="AB2321" s="33"/>
      <c r="AC2321" s="33"/>
      <c r="AD2321" s="33"/>
      <c r="AE2321" s="33"/>
      <c r="AF2321" s="33"/>
      <c r="AG2321" s="33"/>
      <c r="AH2321" s="33"/>
      <c r="AI2321" s="33"/>
      <c r="AJ2321" s="33"/>
      <c r="AK2321" s="33"/>
      <c r="AL2321" s="33"/>
      <c r="AM2321" s="33"/>
      <c r="AN2321" s="33"/>
      <c r="AO2321" s="33"/>
    </row>
    <row r="2322" ht="15.75" customHeight="1">
      <c r="A2322" s="23">
        <v>51245.0</v>
      </c>
      <c r="B2322" s="23">
        <v>2023.0</v>
      </c>
      <c r="C2322" s="6" t="str">
        <f t="shared" si="7"/>
        <v>16485  IMPERIAL VALLEY DR,Houston,TX</v>
      </c>
      <c r="D2322" s="23" t="s">
        <v>3678</v>
      </c>
      <c r="E2322" s="6" t="s">
        <v>25</v>
      </c>
      <c r="F2322" s="6" t="s">
        <v>1388</v>
      </c>
      <c r="G2322" s="31" t="s">
        <v>393</v>
      </c>
      <c r="H2322" s="23" t="s">
        <v>28</v>
      </c>
      <c r="I2322" s="6" t="str">
        <f>VLOOKUP(H2322,'Flow Location'!$A$1:$B$21,2,FALSE)</f>
        <v>Storm Sewer (not contained)</v>
      </c>
      <c r="J2322" s="28">
        <v>378.0</v>
      </c>
      <c r="K2322" s="23" t="s">
        <v>51</v>
      </c>
      <c r="L2322" s="6" t="str">
        <f>VLOOKUP(K2322,'Structure type'!$A$1:$B$15,2,FALSE)</f>
        <v>Private Cleanout</v>
      </c>
      <c r="M2322" s="23" t="s">
        <v>30</v>
      </c>
      <c r="N2322" s="6" t="str">
        <f>VLOOKUP(M2322,'Excursion Cause'!$A$1:$B$34,2,FALSE)</f>
        <v>Grease Blockage</v>
      </c>
      <c r="O2322" s="29">
        <v>44971.0</v>
      </c>
      <c r="P2322" s="30">
        <v>0.6208333333333333</v>
      </c>
      <c r="Q2322" s="29">
        <v>44971.0</v>
      </c>
      <c r="R2322" s="30">
        <v>0.7083333333333334</v>
      </c>
      <c r="S2322" s="28">
        <v>3.0</v>
      </c>
      <c r="T2322" s="23" t="s">
        <v>33</v>
      </c>
      <c r="U2322" s="6"/>
      <c r="V2322" s="6"/>
      <c r="W2322" s="35">
        <v>29.9376938</v>
      </c>
      <c r="X2322" s="35">
        <v>-95.3980761999999</v>
      </c>
      <c r="AA2322" s="33"/>
      <c r="AB2322" s="33"/>
      <c r="AC2322" s="33"/>
      <c r="AD2322" s="33"/>
      <c r="AE2322" s="33"/>
      <c r="AF2322" s="33"/>
      <c r="AG2322" s="33"/>
      <c r="AH2322" s="33"/>
      <c r="AI2322" s="33"/>
      <c r="AJ2322" s="33"/>
      <c r="AK2322" s="33"/>
      <c r="AL2322" s="33"/>
      <c r="AM2322" s="33"/>
      <c r="AN2322" s="33"/>
      <c r="AO2322" s="33"/>
    </row>
    <row r="2323" ht="15.75" customHeight="1">
      <c r="A2323" s="23">
        <v>51249.0</v>
      </c>
      <c r="B2323" s="23">
        <v>2023.0</v>
      </c>
      <c r="C2323" s="6" t="str">
        <f t="shared" si="7"/>
        <v>1314  NORTH BLVD,Houston,TX</v>
      </c>
      <c r="D2323" s="23" t="s">
        <v>3679</v>
      </c>
      <c r="E2323" s="6" t="s">
        <v>25</v>
      </c>
      <c r="F2323" s="6" t="s">
        <v>1388</v>
      </c>
      <c r="G2323" s="31" t="s">
        <v>761</v>
      </c>
      <c r="H2323" s="23" t="s">
        <v>50</v>
      </c>
      <c r="I2323" s="6" t="str">
        <f>VLOOKUP(H2323,'Flow Location'!$A$1:$B$21,2,FALSE)</f>
        <v>Contained On Site, not within 5 ft. of Bayou/Surface Water/Drainage Ditch</v>
      </c>
      <c r="J2323" s="28">
        <v>1439.0</v>
      </c>
      <c r="K2323" s="23" t="s">
        <v>45</v>
      </c>
      <c r="L2323" s="6" t="str">
        <f>VLOOKUP(K2323,'Structure type'!$A$1:$B$15,2,FALSE)</f>
        <v>City Cleanout</v>
      </c>
      <c r="M2323" s="23" t="s">
        <v>52</v>
      </c>
      <c r="N2323" s="6" t="str">
        <f>VLOOKUP(M2323,'Excursion Cause'!$A$1:$B$34,2,FALSE)</f>
        <v>Collection system structural blockage</v>
      </c>
      <c r="O2323" s="29">
        <v>44971.0</v>
      </c>
      <c r="P2323" s="30">
        <v>0.4361111111111111</v>
      </c>
      <c r="Q2323" s="29">
        <v>44972.0</v>
      </c>
      <c r="R2323" s="30">
        <v>0.4354166666666667</v>
      </c>
      <c r="S2323" s="28">
        <v>1.0</v>
      </c>
      <c r="T2323" s="23" t="s">
        <v>54</v>
      </c>
      <c r="U2323" s="6"/>
      <c r="V2323" s="6"/>
      <c r="W2323" s="35">
        <v>29.7284586</v>
      </c>
      <c r="X2323" s="35">
        <v>-95.3956116999999</v>
      </c>
      <c r="AA2323" s="33"/>
      <c r="AB2323" s="33"/>
      <c r="AC2323" s="33"/>
      <c r="AD2323" s="33"/>
      <c r="AE2323" s="33"/>
      <c r="AF2323" s="33"/>
      <c r="AG2323" s="33"/>
      <c r="AH2323" s="33"/>
      <c r="AI2323" s="33"/>
      <c r="AJ2323" s="33"/>
      <c r="AK2323" s="33"/>
      <c r="AL2323" s="33"/>
      <c r="AM2323" s="33"/>
      <c r="AN2323" s="33"/>
      <c r="AO2323" s="33"/>
    </row>
    <row r="2324" ht="15.75" customHeight="1">
      <c r="A2324" s="23">
        <v>51251.0</v>
      </c>
      <c r="B2324" s="23">
        <v>2023.0</v>
      </c>
      <c r="C2324" s="6" t="str">
        <f t="shared" si="7"/>
        <v>1200 W TIDWELL RD,Houston,TX</v>
      </c>
      <c r="D2324" s="23" t="s">
        <v>3680</v>
      </c>
      <c r="E2324" s="6" t="s">
        <v>25</v>
      </c>
      <c r="F2324" s="6" t="s">
        <v>1388</v>
      </c>
      <c r="G2324" s="31" t="s">
        <v>222</v>
      </c>
      <c r="H2324" s="23" t="s">
        <v>28</v>
      </c>
      <c r="I2324" s="6" t="str">
        <f>VLOOKUP(H2324,'Flow Location'!$A$1:$B$21,2,FALSE)</f>
        <v>Storm Sewer (not contained)</v>
      </c>
      <c r="J2324" s="28">
        <v>0.0</v>
      </c>
      <c r="K2324" s="23" t="s">
        <v>29</v>
      </c>
      <c r="L2324" s="6" t="str">
        <f>VLOOKUP(K2324,'Structure type'!$A$1:$B$15,2,FALSE)</f>
        <v>Manhole</v>
      </c>
      <c r="M2324" s="23" t="s">
        <v>30</v>
      </c>
      <c r="N2324" s="6" t="str">
        <f>VLOOKUP(M2324,'Excursion Cause'!$A$1:$B$34,2,FALSE)</f>
        <v>Grease Blockage</v>
      </c>
      <c r="O2324" s="29">
        <v>44972.0</v>
      </c>
      <c r="P2324" s="30">
        <v>0.4076388888888889</v>
      </c>
      <c r="Q2324" s="29">
        <v>44972.0</v>
      </c>
      <c r="R2324" s="30">
        <v>0.4083333333333333</v>
      </c>
      <c r="S2324" s="28">
        <v>0.0</v>
      </c>
      <c r="T2324" s="23" t="s">
        <v>59</v>
      </c>
      <c r="U2324" s="6"/>
      <c r="V2324" s="6"/>
      <c r="W2324" s="35">
        <v>29.8474282</v>
      </c>
      <c r="X2324" s="35">
        <v>-95.4303889999999</v>
      </c>
      <c r="AA2324" s="33"/>
      <c r="AB2324" s="33"/>
      <c r="AC2324" s="33"/>
      <c r="AD2324" s="33"/>
      <c r="AE2324" s="33"/>
      <c r="AF2324" s="33"/>
      <c r="AG2324" s="33"/>
      <c r="AH2324" s="33"/>
      <c r="AI2324" s="33"/>
      <c r="AJ2324" s="33"/>
      <c r="AK2324" s="33"/>
      <c r="AL2324" s="33"/>
      <c r="AM2324" s="33"/>
      <c r="AN2324" s="33"/>
      <c r="AO2324" s="33"/>
    </row>
    <row r="2325" ht="15.75" customHeight="1">
      <c r="A2325" s="23">
        <v>51264.0</v>
      </c>
      <c r="B2325" s="23">
        <v>2023.0</v>
      </c>
      <c r="C2325" s="6" t="str">
        <f t="shared" si="7"/>
        <v>6700  CHIMNEY ROCK RD,Houston,TX</v>
      </c>
      <c r="D2325" s="23" t="s">
        <v>3681</v>
      </c>
      <c r="E2325" s="6" t="s">
        <v>25</v>
      </c>
      <c r="F2325" s="6" t="s">
        <v>1388</v>
      </c>
      <c r="G2325" s="31" t="s">
        <v>287</v>
      </c>
      <c r="H2325" s="23" t="s">
        <v>50</v>
      </c>
      <c r="I2325" s="6" t="str">
        <f>VLOOKUP(H2325,'Flow Location'!$A$1:$B$21,2,FALSE)</f>
        <v>Contained On Site, not within 5 ft. of Bayou/Surface Water/Drainage Ditch</v>
      </c>
      <c r="J2325" s="28">
        <v>642.0</v>
      </c>
      <c r="K2325" s="23" t="s">
        <v>45</v>
      </c>
      <c r="L2325" s="6" t="str">
        <f>VLOOKUP(K2325,'Structure type'!$A$1:$B$15,2,FALSE)</f>
        <v>City Cleanout</v>
      </c>
      <c r="M2325" s="23" t="s">
        <v>30</v>
      </c>
      <c r="N2325" s="6" t="str">
        <f>VLOOKUP(M2325,'Excursion Cause'!$A$1:$B$34,2,FALSE)</f>
        <v>Grease Blockage</v>
      </c>
      <c r="O2325" s="29">
        <v>44972.0</v>
      </c>
      <c r="P2325" s="30">
        <v>0.6694444444444444</v>
      </c>
      <c r="Q2325" s="29">
        <v>44973.0</v>
      </c>
      <c r="R2325" s="30">
        <v>0.5604166666666667</v>
      </c>
      <c r="S2325" s="28">
        <v>1.0</v>
      </c>
      <c r="T2325" s="23" t="s">
        <v>74</v>
      </c>
      <c r="U2325" s="6"/>
      <c r="V2325" s="6"/>
      <c r="W2325" s="35">
        <v>29.7069859</v>
      </c>
      <c r="X2325" s="35">
        <v>-95.476599</v>
      </c>
      <c r="AA2325" s="33"/>
      <c r="AB2325" s="33"/>
      <c r="AC2325" s="33"/>
      <c r="AD2325" s="33"/>
      <c r="AE2325" s="33"/>
      <c r="AF2325" s="33"/>
      <c r="AG2325" s="33"/>
      <c r="AH2325" s="33"/>
      <c r="AI2325" s="33"/>
      <c r="AJ2325" s="33"/>
      <c r="AK2325" s="33"/>
      <c r="AL2325" s="33"/>
      <c r="AM2325" s="33"/>
      <c r="AN2325" s="33"/>
      <c r="AO2325" s="33"/>
    </row>
    <row r="2326" ht="15.75" customHeight="1">
      <c r="A2326" s="23">
        <v>51265.0</v>
      </c>
      <c r="B2326" s="23">
        <v>2023.0</v>
      </c>
      <c r="C2326" s="6" t="str">
        <f t="shared" si="7"/>
        <v>2306  BRAZOS ST,Houston,TX</v>
      </c>
      <c r="D2326" s="23" t="s">
        <v>3674</v>
      </c>
      <c r="E2326" s="6" t="s">
        <v>25</v>
      </c>
      <c r="F2326" s="6" t="s">
        <v>1388</v>
      </c>
      <c r="G2326" s="31" t="s">
        <v>761</v>
      </c>
      <c r="H2326" s="23" t="s">
        <v>50</v>
      </c>
      <c r="I2326" s="6" t="str">
        <f>VLOOKUP(H2326,'Flow Location'!$A$1:$B$21,2,FALSE)</f>
        <v>Contained On Site, not within 5 ft. of Bayou/Surface Water/Drainage Ditch</v>
      </c>
      <c r="J2326" s="28">
        <v>1470.0</v>
      </c>
      <c r="K2326" s="23" t="s">
        <v>29</v>
      </c>
      <c r="L2326" s="6" t="str">
        <f>VLOOKUP(K2326,'Structure type'!$A$1:$B$15,2,FALSE)</f>
        <v>Manhole</v>
      </c>
      <c r="M2326" s="23" t="s">
        <v>56</v>
      </c>
      <c r="N2326" s="6" t="str">
        <f>VLOOKUP(M2326,'Excursion Cause'!$A$1:$B$34,2,FALSE)</f>
        <v>Rags/Wipes</v>
      </c>
      <c r="O2326" s="29">
        <v>44972.0</v>
      </c>
      <c r="P2326" s="30">
        <v>0.6763888888888889</v>
      </c>
      <c r="Q2326" s="29">
        <v>44972.0</v>
      </c>
      <c r="R2326" s="30">
        <v>0.6972222222222222</v>
      </c>
      <c r="S2326" s="28">
        <v>49.0</v>
      </c>
      <c r="T2326" s="23" t="s">
        <v>33</v>
      </c>
      <c r="U2326" s="6"/>
      <c r="V2326" s="6"/>
      <c r="W2326" s="35">
        <v>29.7497264</v>
      </c>
      <c r="X2326" s="35">
        <v>-95.3772903</v>
      </c>
      <c r="AA2326" s="33"/>
      <c r="AB2326" s="33"/>
      <c r="AC2326" s="33"/>
      <c r="AD2326" s="33"/>
      <c r="AE2326" s="33"/>
      <c r="AF2326" s="33"/>
      <c r="AG2326" s="33"/>
      <c r="AH2326" s="33"/>
      <c r="AI2326" s="33"/>
      <c r="AJ2326" s="33"/>
      <c r="AK2326" s="33"/>
      <c r="AL2326" s="33"/>
      <c r="AM2326" s="33"/>
      <c r="AN2326" s="33"/>
      <c r="AO2326" s="33"/>
    </row>
    <row r="2327" ht="15.75" customHeight="1">
      <c r="A2327" s="23">
        <v>51266.0</v>
      </c>
      <c r="B2327" s="23">
        <v>2023.0</v>
      </c>
      <c r="C2327" s="6" t="str">
        <f t="shared" si="7"/>
        <v>6246  WESTWARD ST,Houston,TX</v>
      </c>
      <c r="D2327" s="23" t="s">
        <v>3682</v>
      </c>
      <c r="E2327" s="6" t="s">
        <v>25</v>
      </c>
      <c r="F2327" s="6" t="s">
        <v>1388</v>
      </c>
      <c r="G2327" s="31" t="s">
        <v>287</v>
      </c>
      <c r="H2327" s="23" t="s">
        <v>28</v>
      </c>
      <c r="I2327" s="6" t="str">
        <f>VLOOKUP(H2327,'Flow Location'!$A$1:$B$21,2,FALSE)</f>
        <v>Storm Sewer (not contained)</v>
      </c>
      <c r="J2327" s="28">
        <v>2268.0</v>
      </c>
      <c r="K2327" s="23" t="s">
        <v>29</v>
      </c>
      <c r="L2327" s="6" t="str">
        <f>VLOOKUP(K2327,'Structure type'!$A$1:$B$15,2,FALSE)</f>
        <v>Manhole</v>
      </c>
      <c r="M2327" s="23" t="s">
        <v>30</v>
      </c>
      <c r="N2327" s="6" t="str">
        <f>VLOOKUP(M2327,'Excursion Cause'!$A$1:$B$34,2,FALSE)</f>
        <v>Grease Blockage</v>
      </c>
      <c r="O2327" s="29">
        <v>44972.0</v>
      </c>
      <c r="P2327" s="30">
        <v>0.6986111111111111</v>
      </c>
      <c r="Q2327" s="29">
        <v>44973.0</v>
      </c>
      <c r="R2327" s="30">
        <v>0.4861111111111111</v>
      </c>
      <c r="S2327" s="28">
        <v>2.0</v>
      </c>
      <c r="T2327" s="23" t="s">
        <v>59</v>
      </c>
      <c r="U2327" s="6"/>
      <c r="V2327" s="6"/>
      <c r="W2327" s="35">
        <v>29.7152692</v>
      </c>
      <c r="X2327" s="35">
        <v>-95.4934311</v>
      </c>
      <c r="AA2327" s="33"/>
      <c r="AB2327" s="33"/>
      <c r="AC2327" s="33"/>
      <c r="AD2327" s="33"/>
      <c r="AE2327" s="33"/>
      <c r="AF2327" s="33"/>
      <c r="AG2327" s="33"/>
      <c r="AH2327" s="33"/>
      <c r="AI2327" s="33"/>
      <c r="AJ2327" s="33"/>
      <c r="AK2327" s="33"/>
      <c r="AL2327" s="33"/>
      <c r="AM2327" s="33"/>
      <c r="AN2327" s="33"/>
      <c r="AO2327" s="33"/>
    </row>
    <row r="2328" ht="15.75" customHeight="1">
      <c r="A2328" s="23">
        <v>51268.0</v>
      </c>
      <c r="B2328" s="23">
        <v>2023.0</v>
      </c>
      <c r="C2328" s="6" t="str">
        <f t="shared" si="7"/>
        <v>3701  KIRBY DR,Houston,TX</v>
      </c>
      <c r="D2328" s="23" t="s">
        <v>3683</v>
      </c>
      <c r="E2328" s="6" t="s">
        <v>25</v>
      </c>
      <c r="F2328" s="6" t="s">
        <v>1388</v>
      </c>
      <c r="G2328" s="31" t="s">
        <v>112</v>
      </c>
      <c r="H2328" s="23" t="s">
        <v>28</v>
      </c>
      <c r="I2328" s="6" t="str">
        <f>VLOOKUP(H2328,'Flow Location'!$A$1:$B$21,2,FALSE)</f>
        <v>Storm Sewer (not contained)</v>
      </c>
      <c r="J2328" s="28">
        <v>190.0</v>
      </c>
      <c r="K2328" s="23" t="s">
        <v>29</v>
      </c>
      <c r="L2328" s="6" t="str">
        <f>VLOOKUP(K2328,'Structure type'!$A$1:$B$15,2,FALSE)</f>
        <v>Manhole</v>
      </c>
      <c r="M2328" s="23" t="s">
        <v>30</v>
      </c>
      <c r="N2328" s="6" t="str">
        <f>VLOOKUP(M2328,'Excursion Cause'!$A$1:$B$34,2,FALSE)</f>
        <v>Grease Blockage</v>
      </c>
      <c r="O2328" s="29">
        <v>44972.0</v>
      </c>
      <c r="P2328" s="30">
        <v>0.7305555555555555</v>
      </c>
      <c r="Q2328" s="29">
        <v>44972.0</v>
      </c>
      <c r="R2328" s="30">
        <v>0.7965277777777777</v>
      </c>
      <c r="S2328" s="28">
        <v>2.0</v>
      </c>
      <c r="T2328" s="23" t="s">
        <v>33</v>
      </c>
      <c r="U2328" s="6"/>
      <c r="V2328" s="6"/>
      <c r="W2328" s="35">
        <v>29.7331166</v>
      </c>
      <c r="X2328" s="35">
        <v>-95.41801</v>
      </c>
      <c r="AA2328" s="33"/>
      <c r="AB2328" s="33"/>
      <c r="AC2328" s="33"/>
      <c r="AD2328" s="33"/>
      <c r="AE2328" s="33"/>
      <c r="AF2328" s="33"/>
      <c r="AG2328" s="33"/>
      <c r="AH2328" s="33"/>
      <c r="AI2328" s="33"/>
      <c r="AJ2328" s="33"/>
      <c r="AK2328" s="33"/>
      <c r="AL2328" s="33"/>
      <c r="AM2328" s="33"/>
      <c r="AN2328" s="33"/>
      <c r="AO2328" s="33"/>
    </row>
    <row r="2329" ht="15.75" customHeight="1">
      <c r="A2329" s="23">
        <v>51270.0</v>
      </c>
      <c r="B2329" s="23">
        <v>2023.0</v>
      </c>
      <c r="C2329" s="6" t="str">
        <f t="shared" si="7"/>
        <v>7642  AVENUE I,Houston,TX</v>
      </c>
      <c r="D2329" s="23" t="s">
        <v>3684</v>
      </c>
      <c r="E2329" s="6" t="s">
        <v>25</v>
      </c>
      <c r="F2329" s="6" t="s">
        <v>1388</v>
      </c>
      <c r="G2329" s="31" t="s">
        <v>365</v>
      </c>
      <c r="H2329" s="23" t="s">
        <v>50</v>
      </c>
      <c r="I2329" s="6" t="str">
        <f>VLOOKUP(H2329,'Flow Location'!$A$1:$B$21,2,FALSE)</f>
        <v>Contained On Site, not within 5 ft. of Bayou/Surface Water/Drainage Ditch</v>
      </c>
      <c r="J2329" s="28">
        <v>0.0</v>
      </c>
      <c r="K2329" s="23" t="s">
        <v>198</v>
      </c>
      <c r="L2329" s="6" t="str">
        <f>VLOOKUP(K2329,'Structure type'!$A$1:$B$15,2,FALSE)</f>
        <v>Service Lateral</v>
      </c>
      <c r="M2329" s="23" t="s">
        <v>81</v>
      </c>
      <c r="N2329" s="6" t="str">
        <f>VLOOKUP(M2329,'Excursion Cause'!$A$1:$B$34,2,FALSE)</f>
        <v>Collection system structural failure</v>
      </c>
      <c r="O2329" s="29">
        <v>44972.0</v>
      </c>
      <c r="P2329" s="30">
        <v>0.7041666666666667</v>
      </c>
      <c r="Q2329" s="29">
        <v>44972.0</v>
      </c>
      <c r="R2329" s="30">
        <v>0.7048611111111112</v>
      </c>
      <c r="S2329" s="28">
        <v>0.0</v>
      </c>
      <c r="T2329" s="23" t="s">
        <v>118</v>
      </c>
      <c r="U2329" s="6"/>
      <c r="V2329" s="6"/>
      <c r="W2329" s="35">
        <v>29.7366541</v>
      </c>
      <c r="X2329" s="35">
        <v>-95.2862127</v>
      </c>
      <c r="AA2329" s="33"/>
      <c r="AB2329" s="33"/>
      <c r="AC2329" s="33"/>
      <c r="AD2329" s="33"/>
      <c r="AE2329" s="33"/>
      <c r="AF2329" s="33"/>
      <c r="AG2329" s="33"/>
      <c r="AH2329" s="33"/>
      <c r="AI2329" s="33"/>
      <c r="AJ2329" s="33"/>
      <c r="AK2329" s="33"/>
      <c r="AL2329" s="33"/>
      <c r="AM2329" s="33"/>
      <c r="AN2329" s="33"/>
      <c r="AO2329" s="33"/>
    </row>
    <row r="2330" ht="15.75" customHeight="1">
      <c r="A2330" s="23">
        <v>51275.0</v>
      </c>
      <c r="B2330" s="23">
        <v>2023.0</v>
      </c>
      <c r="C2330" s="6" t="str">
        <f t="shared" si="7"/>
        <v>5505  PINE ST,Houston,TX</v>
      </c>
      <c r="D2330" s="23" t="s">
        <v>3685</v>
      </c>
      <c r="E2330" s="6" t="s">
        <v>25</v>
      </c>
      <c r="F2330" s="6" t="s">
        <v>1388</v>
      </c>
      <c r="G2330" s="31" t="s">
        <v>287</v>
      </c>
      <c r="H2330" s="23" t="s">
        <v>28</v>
      </c>
      <c r="I2330" s="6" t="str">
        <f>VLOOKUP(H2330,'Flow Location'!$A$1:$B$21,2,FALSE)</f>
        <v>Storm Sewer (not contained)</v>
      </c>
      <c r="J2330" s="28">
        <v>123.0</v>
      </c>
      <c r="K2330" s="23" t="s">
        <v>29</v>
      </c>
      <c r="L2330" s="6" t="str">
        <f>VLOOKUP(K2330,'Structure type'!$A$1:$B$15,2,FALSE)</f>
        <v>Manhole</v>
      </c>
      <c r="M2330" s="23" t="s">
        <v>30</v>
      </c>
      <c r="N2330" s="6" t="str">
        <f>VLOOKUP(M2330,'Excursion Cause'!$A$1:$B$34,2,FALSE)</f>
        <v>Grease Blockage</v>
      </c>
      <c r="O2330" s="29">
        <v>44973.0</v>
      </c>
      <c r="P2330" s="30">
        <v>0.4423611111111111</v>
      </c>
      <c r="Q2330" s="29">
        <v>44973.0</v>
      </c>
      <c r="R2330" s="30">
        <v>0.5277777777777778</v>
      </c>
      <c r="S2330" s="28">
        <v>1.0</v>
      </c>
      <c r="T2330" s="23" t="s">
        <v>59</v>
      </c>
      <c r="U2330" s="6"/>
      <c r="V2330" s="6"/>
      <c r="W2330" s="35">
        <v>29.6942383</v>
      </c>
      <c r="X2330" s="35">
        <v>-95.484799</v>
      </c>
      <c r="AA2330" s="33"/>
      <c r="AB2330" s="33"/>
      <c r="AC2330" s="33"/>
      <c r="AD2330" s="33"/>
      <c r="AE2330" s="33"/>
      <c r="AF2330" s="33"/>
      <c r="AG2330" s="33"/>
      <c r="AH2330" s="33"/>
      <c r="AI2330" s="33"/>
      <c r="AJ2330" s="33"/>
      <c r="AK2330" s="33"/>
      <c r="AL2330" s="33"/>
      <c r="AM2330" s="33"/>
      <c r="AN2330" s="33"/>
      <c r="AO2330" s="33"/>
    </row>
    <row r="2331" ht="15.75" customHeight="1">
      <c r="A2331" s="23">
        <v>51276.0</v>
      </c>
      <c r="B2331" s="23">
        <v>2023.0</v>
      </c>
      <c r="C2331" s="6" t="str">
        <f t="shared" si="7"/>
        <v>11302  BROOK MEADOW CIR,Houston,TX</v>
      </c>
      <c r="D2331" s="23" t="s">
        <v>3686</v>
      </c>
      <c r="E2331" s="6" t="s">
        <v>25</v>
      </c>
      <c r="F2331" s="6" t="s">
        <v>1388</v>
      </c>
      <c r="G2331" s="31" t="s">
        <v>477</v>
      </c>
      <c r="H2331" s="23" t="s">
        <v>50</v>
      </c>
      <c r="I2331" s="6" t="str">
        <f>VLOOKUP(H2331,'Flow Location'!$A$1:$B$21,2,FALSE)</f>
        <v>Contained On Site, not within 5 ft. of Bayou/Surface Water/Drainage Ditch</v>
      </c>
      <c r="J2331" s="28">
        <v>1875.0</v>
      </c>
      <c r="K2331" s="23" t="s">
        <v>190</v>
      </c>
      <c r="L2331" s="6" t="str">
        <f>VLOOKUP(K2331,'Structure type'!$A$1:$B$15,2,FALSE)</f>
        <v>Force Main</v>
      </c>
      <c r="M2331" s="23" t="s">
        <v>81</v>
      </c>
      <c r="N2331" s="6" t="str">
        <f>VLOOKUP(M2331,'Excursion Cause'!$A$1:$B$34,2,FALSE)</f>
        <v>Collection system structural failure</v>
      </c>
      <c r="O2331" s="29">
        <v>44973.0</v>
      </c>
      <c r="P2331" s="30">
        <v>0.46111111111111114</v>
      </c>
      <c r="Q2331" s="29">
        <v>44974.0</v>
      </c>
      <c r="R2331" s="30">
        <v>0.65625</v>
      </c>
      <c r="S2331" s="28">
        <v>1.0</v>
      </c>
      <c r="T2331" s="23" t="s">
        <v>3687</v>
      </c>
      <c r="U2331" s="6"/>
      <c r="V2331" s="6"/>
      <c r="W2331" s="35">
        <v>29.5899054</v>
      </c>
      <c r="X2331" s="35">
        <v>-95.2078902</v>
      </c>
      <c r="AA2331" s="33"/>
      <c r="AB2331" s="33"/>
      <c r="AC2331" s="33"/>
      <c r="AD2331" s="33"/>
      <c r="AE2331" s="33"/>
      <c r="AF2331" s="33"/>
      <c r="AG2331" s="33"/>
      <c r="AH2331" s="33"/>
      <c r="AI2331" s="33"/>
      <c r="AJ2331" s="33"/>
      <c r="AK2331" s="33"/>
      <c r="AL2331" s="33"/>
      <c r="AM2331" s="33"/>
      <c r="AN2331" s="33"/>
      <c r="AO2331" s="33"/>
    </row>
    <row r="2332" ht="15.75" customHeight="1">
      <c r="A2332" s="23">
        <v>51368.0</v>
      </c>
      <c r="B2332" s="23">
        <v>2023.0</v>
      </c>
      <c r="C2332" s="6" t="str">
        <f t="shared" si="7"/>
        <v>6747 LAWNDALE ST,Houston,TX</v>
      </c>
      <c r="D2332" s="23" t="s">
        <v>3688</v>
      </c>
      <c r="E2332" s="6" t="s">
        <v>25</v>
      </c>
      <c r="F2332" s="6" t="s">
        <v>1388</v>
      </c>
      <c r="G2332" s="31" t="s">
        <v>227</v>
      </c>
      <c r="H2332" s="23" t="s">
        <v>44</v>
      </c>
      <c r="I2332" s="6" t="str">
        <f>VLOOKUP(H2332,'Flow Location'!$A$1:$B$21,2,FALSE)</f>
        <v>Bayou/surface water/drainage ditch</v>
      </c>
      <c r="J2332" s="28">
        <v>2650.0</v>
      </c>
      <c r="K2332" s="23" t="s">
        <v>290</v>
      </c>
      <c r="L2332" s="6" t="str">
        <f>VLOOKUP(K2332,'Structure type'!$A$1:$B$15,2,FALSE)</f>
        <v>Gravity Main</v>
      </c>
      <c r="M2332" s="23" t="s">
        <v>977</v>
      </c>
      <c r="N2332" s="6" t="str">
        <f>VLOOKUP(M2332,'Excursion Cause'!$A$1:$B$34,2,FALSE)</f>
        <v>Pump/Lift Station Electrical Failure</v>
      </c>
      <c r="O2332" s="29">
        <v>44971.0</v>
      </c>
      <c r="P2332" s="30">
        <v>0.04513888888888889</v>
      </c>
      <c r="Q2332" s="29">
        <v>44971.0</v>
      </c>
      <c r="R2332" s="30">
        <v>0.22916666666666666</v>
      </c>
      <c r="S2332" s="28">
        <v>10.0</v>
      </c>
      <c r="T2332" s="23" t="s">
        <v>439</v>
      </c>
      <c r="U2332" s="6"/>
      <c r="V2332" s="6"/>
      <c r="W2332" s="35">
        <v>29.7230744</v>
      </c>
      <c r="X2332" s="35">
        <v>-95.3060569</v>
      </c>
      <c r="AA2332" s="33"/>
      <c r="AB2332" s="33"/>
      <c r="AC2332" s="33"/>
      <c r="AD2332" s="33"/>
      <c r="AE2332" s="33"/>
      <c r="AF2332" s="33"/>
      <c r="AG2332" s="33"/>
      <c r="AH2332" s="33"/>
      <c r="AI2332" s="33"/>
      <c r="AJ2332" s="33"/>
      <c r="AK2332" s="33"/>
      <c r="AL2332" s="33"/>
      <c r="AM2332" s="33"/>
      <c r="AN2332" s="33"/>
      <c r="AO2332" s="33"/>
    </row>
    <row r="2333" ht="15.75" customHeight="1">
      <c r="A2333" s="23">
        <v>51297.0</v>
      </c>
      <c r="B2333" s="23">
        <v>2023.0</v>
      </c>
      <c r="C2333" s="6" t="str">
        <f t="shared" si="7"/>
        <v>4306  YOAKUM BLVD,Houston,TX</v>
      </c>
      <c r="D2333" s="23" t="s">
        <v>3689</v>
      </c>
      <c r="E2333" s="6" t="s">
        <v>25</v>
      </c>
      <c r="F2333" s="6" t="s">
        <v>1388</v>
      </c>
      <c r="G2333" s="31" t="s">
        <v>761</v>
      </c>
      <c r="H2333" s="23" t="s">
        <v>28</v>
      </c>
      <c r="I2333" s="6" t="str">
        <f>VLOOKUP(H2333,'Flow Location'!$A$1:$B$21,2,FALSE)</f>
        <v>Storm Sewer (not contained)</v>
      </c>
      <c r="J2333" s="28">
        <v>3008.0</v>
      </c>
      <c r="K2333" s="23" t="s">
        <v>29</v>
      </c>
      <c r="L2333" s="6" t="str">
        <f>VLOOKUP(K2333,'Structure type'!$A$1:$B$15,2,FALSE)</f>
        <v>Manhole</v>
      </c>
      <c r="M2333" s="23" t="s">
        <v>30</v>
      </c>
      <c r="N2333" s="6" t="str">
        <f>VLOOKUP(M2333,'Excursion Cause'!$A$1:$B$34,2,FALSE)</f>
        <v>Grease Blockage</v>
      </c>
      <c r="O2333" s="29">
        <v>44974.0</v>
      </c>
      <c r="P2333" s="30">
        <v>0.4486111111111111</v>
      </c>
      <c r="Q2333" s="29">
        <v>44975.0</v>
      </c>
      <c r="R2333" s="30">
        <v>0.4930555555555556</v>
      </c>
      <c r="S2333" s="28">
        <v>2.0</v>
      </c>
      <c r="T2333" s="23" t="s">
        <v>59</v>
      </c>
      <c r="U2333" s="6"/>
      <c r="V2333" s="6"/>
      <c r="W2333" s="35">
        <v>29.7340396</v>
      </c>
      <c r="X2333" s="35">
        <v>-95.3930602</v>
      </c>
      <c r="AA2333" s="33"/>
      <c r="AB2333" s="33"/>
      <c r="AC2333" s="33"/>
      <c r="AD2333" s="33"/>
      <c r="AE2333" s="33"/>
      <c r="AF2333" s="33"/>
      <c r="AG2333" s="33"/>
      <c r="AH2333" s="33"/>
      <c r="AI2333" s="33"/>
      <c r="AJ2333" s="33"/>
      <c r="AK2333" s="33"/>
      <c r="AL2333" s="33"/>
      <c r="AM2333" s="33"/>
      <c r="AN2333" s="33"/>
      <c r="AO2333" s="33"/>
    </row>
    <row r="2334" ht="15.75" customHeight="1">
      <c r="A2334" s="23">
        <v>51299.0</v>
      </c>
      <c r="B2334" s="23">
        <v>2023.0</v>
      </c>
      <c r="C2334" s="6" t="str">
        <f t="shared" si="7"/>
        <v>7103  LINA ST,Houston,TX</v>
      </c>
      <c r="D2334" s="23" t="s">
        <v>3690</v>
      </c>
      <c r="E2334" s="6" t="s">
        <v>25</v>
      </c>
      <c r="F2334" s="6" t="s">
        <v>1388</v>
      </c>
      <c r="G2334" s="31" t="s">
        <v>35</v>
      </c>
      <c r="H2334" s="23" t="s">
        <v>50</v>
      </c>
      <c r="I2334" s="6" t="str">
        <f>VLOOKUP(H2334,'Flow Location'!$A$1:$B$21,2,FALSE)</f>
        <v>Contained On Site, not within 5 ft. of Bayou/Surface Water/Drainage Ditch</v>
      </c>
      <c r="J2334" s="28">
        <v>0.0</v>
      </c>
      <c r="K2334" s="23" t="s">
        <v>51</v>
      </c>
      <c r="L2334" s="6" t="str">
        <f>VLOOKUP(K2334,'Structure type'!$A$1:$B$15,2,FALSE)</f>
        <v>Private Cleanout</v>
      </c>
      <c r="M2334" s="23" t="s">
        <v>30</v>
      </c>
      <c r="N2334" s="6" t="str">
        <f>VLOOKUP(M2334,'Excursion Cause'!$A$1:$B$34,2,FALSE)</f>
        <v>Grease Blockage</v>
      </c>
      <c r="O2334" s="29">
        <v>44974.0</v>
      </c>
      <c r="P2334" s="30">
        <v>0.49583333333333335</v>
      </c>
      <c r="Q2334" s="29">
        <v>44974.0</v>
      </c>
      <c r="R2334" s="30">
        <v>0.4965277777777778</v>
      </c>
      <c r="S2334" s="28">
        <v>0.0</v>
      </c>
      <c r="T2334" s="23" t="s">
        <v>59</v>
      </c>
      <c r="U2334" s="6"/>
      <c r="V2334" s="6"/>
      <c r="W2334" s="35">
        <v>29.7024389</v>
      </c>
      <c r="X2334" s="35">
        <v>-95.2922217</v>
      </c>
      <c r="AA2334" s="33"/>
      <c r="AB2334" s="33"/>
      <c r="AC2334" s="33"/>
      <c r="AD2334" s="33"/>
      <c r="AE2334" s="33"/>
      <c r="AF2334" s="33"/>
      <c r="AG2334" s="33"/>
      <c r="AH2334" s="33"/>
      <c r="AI2334" s="33"/>
      <c r="AJ2334" s="33"/>
      <c r="AK2334" s="33"/>
      <c r="AL2334" s="33"/>
      <c r="AM2334" s="33"/>
      <c r="AN2334" s="33"/>
      <c r="AO2334" s="33"/>
    </row>
    <row r="2335" ht="15.75" customHeight="1">
      <c r="A2335" s="23">
        <v>51300.0</v>
      </c>
      <c r="B2335" s="23">
        <v>2023.0</v>
      </c>
      <c r="C2335" s="6" t="str">
        <f t="shared" si="7"/>
        <v>4910  ALLENDALE RD,Houston,TX</v>
      </c>
      <c r="D2335" s="23" t="s">
        <v>3691</v>
      </c>
      <c r="E2335" s="6" t="s">
        <v>25</v>
      </c>
      <c r="F2335" s="6" t="s">
        <v>1388</v>
      </c>
      <c r="G2335" s="31" t="s">
        <v>135</v>
      </c>
      <c r="H2335" s="23" t="s">
        <v>28</v>
      </c>
      <c r="I2335" s="6" t="str">
        <f>VLOOKUP(H2335,'Flow Location'!$A$1:$B$21,2,FALSE)</f>
        <v>Storm Sewer (not contained)</v>
      </c>
      <c r="J2335" s="28">
        <v>644.0</v>
      </c>
      <c r="K2335" s="23" t="s">
        <v>29</v>
      </c>
      <c r="L2335" s="6" t="str">
        <f>VLOOKUP(K2335,'Structure type'!$A$1:$B$15,2,FALSE)</f>
        <v>Manhole</v>
      </c>
      <c r="M2335" s="23" t="s">
        <v>52</v>
      </c>
      <c r="N2335" s="6" t="str">
        <f>VLOOKUP(M2335,'Excursion Cause'!$A$1:$B$34,2,FALSE)</f>
        <v>Collection system structural blockage</v>
      </c>
      <c r="O2335" s="29">
        <v>44974.0</v>
      </c>
      <c r="P2335" s="30">
        <v>0.48680555555555555</v>
      </c>
      <c r="Q2335" s="29">
        <v>44974.0</v>
      </c>
      <c r="R2335" s="30">
        <v>0.5986111111111111</v>
      </c>
      <c r="S2335" s="28">
        <v>4.0</v>
      </c>
      <c r="T2335" s="23" t="s">
        <v>33</v>
      </c>
      <c r="U2335" s="6"/>
      <c r="V2335" s="6"/>
      <c r="W2335" s="35">
        <v>29.6805485</v>
      </c>
      <c r="X2335" s="35">
        <v>-95.248531</v>
      </c>
      <c r="AA2335" s="33"/>
      <c r="AB2335" s="33"/>
      <c r="AC2335" s="33"/>
      <c r="AD2335" s="33"/>
      <c r="AE2335" s="33"/>
      <c r="AF2335" s="33"/>
      <c r="AG2335" s="33"/>
      <c r="AH2335" s="33"/>
      <c r="AI2335" s="33"/>
      <c r="AJ2335" s="33"/>
      <c r="AK2335" s="33"/>
      <c r="AL2335" s="33"/>
      <c r="AM2335" s="33"/>
      <c r="AN2335" s="33"/>
      <c r="AO2335" s="33"/>
    </row>
    <row r="2336" ht="15.75" customHeight="1">
      <c r="A2336" s="23">
        <v>51301.0</v>
      </c>
      <c r="B2336" s="23">
        <v>2023.0</v>
      </c>
      <c r="C2336" s="6" t="str">
        <f t="shared" si="7"/>
        <v>2933  KIRK ST,Houston,TX</v>
      </c>
      <c r="D2336" s="23" t="s">
        <v>3692</v>
      </c>
      <c r="E2336" s="6" t="s">
        <v>25</v>
      </c>
      <c r="F2336" s="6" t="s">
        <v>1388</v>
      </c>
      <c r="G2336" s="31" t="s">
        <v>43</v>
      </c>
      <c r="H2336" s="23" t="s">
        <v>28</v>
      </c>
      <c r="I2336" s="6" t="str">
        <f>VLOOKUP(H2336,'Flow Location'!$A$1:$B$21,2,FALSE)</f>
        <v>Storm Sewer (not contained)</v>
      </c>
      <c r="J2336" s="28">
        <v>0.0</v>
      </c>
      <c r="K2336" s="23" t="s">
        <v>45</v>
      </c>
      <c r="L2336" s="6" t="str">
        <f>VLOOKUP(K2336,'Structure type'!$A$1:$B$15,2,FALSE)</f>
        <v>City Cleanout</v>
      </c>
      <c r="M2336" s="23" t="s">
        <v>56</v>
      </c>
      <c r="N2336" s="6" t="str">
        <f>VLOOKUP(M2336,'Excursion Cause'!$A$1:$B$34,2,FALSE)</f>
        <v>Rags/Wipes</v>
      </c>
      <c r="O2336" s="29">
        <v>44974.0</v>
      </c>
      <c r="P2336" s="30">
        <v>0.49444444444444446</v>
      </c>
      <c r="Q2336" s="29">
        <v>44974.0</v>
      </c>
      <c r="R2336" s="30">
        <v>0.4951388888888889</v>
      </c>
      <c r="S2336" s="28">
        <v>0.0</v>
      </c>
      <c r="T2336" s="23" t="s">
        <v>74</v>
      </c>
      <c r="U2336" s="6"/>
      <c r="V2336" s="6"/>
      <c r="W2336" s="35">
        <v>29.7879341</v>
      </c>
      <c r="X2336" s="35">
        <v>-95.3268142</v>
      </c>
      <c r="AA2336" s="33"/>
      <c r="AB2336" s="33"/>
      <c r="AC2336" s="33"/>
      <c r="AD2336" s="33"/>
      <c r="AE2336" s="33"/>
      <c r="AF2336" s="33"/>
      <c r="AG2336" s="33"/>
      <c r="AH2336" s="33"/>
      <c r="AI2336" s="33"/>
      <c r="AJ2336" s="33"/>
      <c r="AK2336" s="33"/>
      <c r="AL2336" s="33"/>
      <c r="AM2336" s="33"/>
      <c r="AN2336" s="33"/>
      <c r="AO2336" s="33"/>
    </row>
    <row r="2337" ht="15.75" customHeight="1">
      <c r="A2337" s="23">
        <v>51302.0</v>
      </c>
      <c r="B2337" s="23">
        <v>2023.0</v>
      </c>
      <c r="C2337" s="6" t="str">
        <f t="shared" si="7"/>
        <v>4621  ALVIN ST,Houston,TX</v>
      </c>
      <c r="D2337" s="23" t="s">
        <v>3693</v>
      </c>
      <c r="E2337" s="6" t="s">
        <v>25</v>
      </c>
      <c r="F2337" s="6" t="s">
        <v>1388</v>
      </c>
      <c r="G2337" s="31" t="s">
        <v>105</v>
      </c>
      <c r="H2337" s="23" t="s">
        <v>28</v>
      </c>
      <c r="I2337" s="6" t="str">
        <f>VLOOKUP(H2337,'Flow Location'!$A$1:$B$21,2,FALSE)</f>
        <v>Storm Sewer (not contained)</v>
      </c>
      <c r="J2337" s="28">
        <v>0.0</v>
      </c>
      <c r="K2337" s="23" t="s">
        <v>45</v>
      </c>
      <c r="L2337" s="6" t="str">
        <f>VLOOKUP(K2337,'Structure type'!$A$1:$B$15,2,FALSE)</f>
        <v>City Cleanout</v>
      </c>
      <c r="M2337" s="23" t="s">
        <v>56</v>
      </c>
      <c r="N2337" s="6" t="str">
        <f>VLOOKUP(M2337,'Excursion Cause'!$A$1:$B$34,2,FALSE)</f>
        <v>Rags/Wipes</v>
      </c>
      <c r="O2337" s="29">
        <v>44974.0</v>
      </c>
      <c r="P2337" s="30">
        <v>0.5104166666666666</v>
      </c>
      <c r="Q2337" s="29">
        <v>44974.0</v>
      </c>
      <c r="R2337" s="30">
        <v>0.5111111111111111</v>
      </c>
      <c r="S2337" s="28">
        <v>0.0</v>
      </c>
      <c r="T2337" s="23" t="s">
        <v>89</v>
      </c>
      <c r="U2337" s="6"/>
      <c r="V2337" s="6"/>
      <c r="W2337" s="35">
        <v>29.6645307</v>
      </c>
      <c r="X2337" s="35">
        <v>-95.3577526999999</v>
      </c>
      <c r="AA2337" s="33"/>
      <c r="AB2337" s="33"/>
      <c r="AC2337" s="33"/>
      <c r="AD2337" s="33"/>
      <c r="AE2337" s="33"/>
      <c r="AF2337" s="33"/>
      <c r="AG2337" s="33"/>
      <c r="AH2337" s="33"/>
      <c r="AI2337" s="33"/>
      <c r="AJ2337" s="33"/>
      <c r="AK2337" s="33"/>
      <c r="AL2337" s="33"/>
      <c r="AM2337" s="33"/>
      <c r="AN2337" s="33"/>
      <c r="AO2337" s="33"/>
    </row>
    <row r="2338" ht="15.75" customHeight="1">
      <c r="A2338" s="23">
        <v>51311.0</v>
      </c>
      <c r="B2338" s="23">
        <v>2023.0</v>
      </c>
      <c r="C2338" s="6" t="str">
        <f t="shared" si="7"/>
        <v>1842 W ALABAMA ST,Houston,TX</v>
      </c>
      <c r="D2338" s="23" t="s">
        <v>3567</v>
      </c>
      <c r="E2338" s="6" t="s">
        <v>25</v>
      </c>
      <c r="F2338" s="6" t="s">
        <v>1388</v>
      </c>
      <c r="G2338" s="31" t="s">
        <v>112</v>
      </c>
      <c r="H2338" s="23" t="s">
        <v>50</v>
      </c>
      <c r="I2338" s="6" t="str">
        <f>VLOOKUP(H2338,'Flow Location'!$A$1:$B$21,2,FALSE)</f>
        <v>Contained On Site, not within 5 ft. of Bayou/Surface Water/Drainage Ditch</v>
      </c>
      <c r="J2338" s="28">
        <v>0.0</v>
      </c>
      <c r="K2338" s="23" t="s">
        <v>51</v>
      </c>
      <c r="L2338" s="6" t="str">
        <f>VLOOKUP(K2338,'Structure type'!$A$1:$B$15,2,FALSE)</f>
        <v>Private Cleanout</v>
      </c>
      <c r="M2338" s="23" t="s">
        <v>81</v>
      </c>
      <c r="N2338" s="6" t="str">
        <f>VLOOKUP(M2338,'Excursion Cause'!$A$1:$B$34,2,FALSE)</f>
        <v>Collection system structural failure</v>
      </c>
      <c r="O2338" s="29">
        <v>44975.0</v>
      </c>
      <c r="P2338" s="30">
        <v>0.4263888888888889</v>
      </c>
      <c r="Q2338" s="29">
        <v>44975.0</v>
      </c>
      <c r="R2338" s="30">
        <v>0.4270833333333333</v>
      </c>
      <c r="S2338" s="28">
        <v>0.0</v>
      </c>
      <c r="T2338" s="23" t="s">
        <v>107</v>
      </c>
      <c r="U2338" s="6"/>
      <c r="V2338" s="6"/>
      <c r="W2338" s="35">
        <v>29.7388094</v>
      </c>
      <c r="X2338" s="35">
        <v>-95.4063303</v>
      </c>
      <c r="AA2338" s="33"/>
      <c r="AB2338" s="33"/>
      <c r="AC2338" s="33"/>
      <c r="AD2338" s="33"/>
      <c r="AE2338" s="33"/>
      <c r="AF2338" s="33"/>
      <c r="AG2338" s="33"/>
      <c r="AH2338" s="33"/>
      <c r="AI2338" s="33"/>
      <c r="AJ2338" s="33"/>
      <c r="AK2338" s="33"/>
      <c r="AL2338" s="33"/>
      <c r="AM2338" s="33"/>
      <c r="AN2338" s="33"/>
      <c r="AO2338" s="33"/>
    </row>
    <row r="2339" ht="15.75" customHeight="1">
      <c r="A2339" s="23">
        <v>51312.0</v>
      </c>
      <c r="B2339" s="23">
        <v>2023.0</v>
      </c>
      <c r="C2339" s="6" t="str">
        <f t="shared" si="7"/>
        <v>6701  LONGVIEW ST,Houston,TX</v>
      </c>
      <c r="D2339" s="23" t="s">
        <v>3694</v>
      </c>
      <c r="E2339" s="6" t="s">
        <v>25</v>
      </c>
      <c r="F2339" s="6" t="s">
        <v>1388</v>
      </c>
      <c r="G2339" s="31" t="s">
        <v>86</v>
      </c>
      <c r="H2339" s="23" t="s">
        <v>28</v>
      </c>
      <c r="I2339" s="6" t="str">
        <f>VLOOKUP(H2339,'Flow Location'!$A$1:$B$21,2,FALSE)</f>
        <v>Storm Sewer (not contained)</v>
      </c>
      <c r="J2339" s="28">
        <v>0.0</v>
      </c>
      <c r="K2339" s="23" t="s">
        <v>45</v>
      </c>
      <c r="L2339" s="6" t="str">
        <f>VLOOKUP(K2339,'Structure type'!$A$1:$B$15,2,FALSE)</f>
        <v>City Cleanout</v>
      </c>
      <c r="M2339" s="23" t="s">
        <v>56</v>
      </c>
      <c r="N2339" s="6" t="str">
        <f>VLOOKUP(M2339,'Excursion Cause'!$A$1:$B$34,2,FALSE)</f>
        <v>Rags/Wipes</v>
      </c>
      <c r="O2339" s="29">
        <v>44975.0</v>
      </c>
      <c r="P2339" s="30">
        <v>0.43819444444444444</v>
      </c>
      <c r="Q2339" s="29">
        <v>44975.0</v>
      </c>
      <c r="R2339" s="30">
        <v>0.4388888888888889</v>
      </c>
      <c r="S2339" s="28">
        <v>0.0</v>
      </c>
      <c r="T2339" s="23" t="s">
        <v>89</v>
      </c>
      <c r="U2339" s="6"/>
      <c r="V2339" s="6"/>
      <c r="W2339" s="35">
        <v>29.7851532</v>
      </c>
      <c r="X2339" s="35">
        <v>-95.3030531</v>
      </c>
      <c r="AA2339" s="33"/>
      <c r="AB2339" s="33"/>
      <c r="AC2339" s="33"/>
      <c r="AD2339" s="33"/>
      <c r="AE2339" s="33"/>
      <c r="AF2339" s="33"/>
      <c r="AG2339" s="33"/>
      <c r="AH2339" s="33"/>
      <c r="AI2339" s="33"/>
      <c r="AJ2339" s="33"/>
      <c r="AK2339" s="33"/>
      <c r="AL2339" s="33"/>
      <c r="AM2339" s="33"/>
      <c r="AN2339" s="33"/>
      <c r="AO2339" s="33"/>
    </row>
    <row r="2340" ht="15.75" customHeight="1">
      <c r="A2340" s="23">
        <v>51315.0</v>
      </c>
      <c r="B2340" s="23">
        <v>2023.0</v>
      </c>
      <c r="C2340" s="6" t="str">
        <f t="shared" si="7"/>
        <v>7904  PHIL ST,Houston,TX</v>
      </c>
      <c r="D2340" s="23" t="s">
        <v>3695</v>
      </c>
      <c r="E2340" s="6" t="s">
        <v>25</v>
      </c>
      <c r="F2340" s="6" t="s">
        <v>1388</v>
      </c>
      <c r="G2340" s="31" t="s">
        <v>365</v>
      </c>
      <c r="H2340" s="23" t="s">
        <v>50</v>
      </c>
      <c r="I2340" s="6" t="str">
        <f>VLOOKUP(H2340,'Flow Location'!$A$1:$B$21,2,FALSE)</f>
        <v>Contained On Site, not within 5 ft. of Bayou/Surface Water/Drainage Ditch</v>
      </c>
      <c r="J2340" s="28">
        <v>0.0</v>
      </c>
      <c r="K2340" s="23" t="s">
        <v>198</v>
      </c>
      <c r="L2340" s="6" t="str">
        <f>VLOOKUP(K2340,'Structure type'!$A$1:$B$15,2,FALSE)</f>
        <v>Service Lateral</v>
      </c>
      <c r="M2340" s="23" t="s">
        <v>81</v>
      </c>
      <c r="N2340" s="6" t="str">
        <f>VLOOKUP(M2340,'Excursion Cause'!$A$1:$B$34,2,FALSE)</f>
        <v>Collection system structural failure</v>
      </c>
      <c r="O2340" s="29">
        <v>44975.0</v>
      </c>
      <c r="P2340" s="30">
        <v>0.5520833333333334</v>
      </c>
      <c r="Q2340" s="29">
        <v>44975.0</v>
      </c>
      <c r="R2340" s="30">
        <v>0.5527777777777778</v>
      </c>
      <c r="S2340" s="28">
        <v>0.0</v>
      </c>
      <c r="T2340" s="23" t="s">
        <v>292</v>
      </c>
      <c r="U2340" s="6"/>
      <c r="V2340" s="6"/>
      <c r="W2340" s="35">
        <v>29.7135271</v>
      </c>
      <c r="X2340" s="35">
        <v>-95.2803687</v>
      </c>
      <c r="AA2340" s="33"/>
      <c r="AB2340" s="33"/>
      <c r="AC2340" s="33"/>
      <c r="AD2340" s="33"/>
      <c r="AE2340" s="33"/>
      <c r="AF2340" s="33"/>
      <c r="AG2340" s="33"/>
      <c r="AH2340" s="33"/>
      <c r="AI2340" s="33"/>
      <c r="AJ2340" s="33"/>
      <c r="AK2340" s="33"/>
      <c r="AL2340" s="33"/>
      <c r="AM2340" s="33"/>
      <c r="AN2340" s="33"/>
      <c r="AO2340" s="33"/>
    </row>
    <row r="2341" ht="15.75" customHeight="1">
      <c r="A2341" s="23">
        <v>51320.0</v>
      </c>
      <c r="B2341" s="23">
        <v>2023.0</v>
      </c>
      <c r="C2341" s="6" t="str">
        <f t="shared" si="7"/>
        <v>6618  INWOOD WEST DR,Houston,TX</v>
      </c>
      <c r="D2341" s="23" t="s">
        <v>3696</v>
      </c>
      <c r="E2341" s="6" t="s">
        <v>25</v>
      </c>
      <c r="F2341" s="6" t="s">
        <v>1388</v>
      </c>
      <c r="G2341" s="31" t="s">
        <v>502</v>
      </c>
      <c r="H2341" s="23" t="s">
        <v>50</v>
      </c>
      <c r="I2341" s="6" t="str">
        <f>VLOOKUP(H2341,'Flow Location'!$A$1:$B$21,2,FALSE)</f>
        <v>Contained On Site, not within 5 ft. of Bayou/Surface Water/Drainage Ditch</v>
      </c>
      <c r="J2341" s="28">
        <v>626.0</v>
      </c>
      <c r="K2341" s="23" t="s">
        <v>29</v>
      </c>
      <c r="L2341" s="6" t="str">
        <f>VLOOKUP(K2341,'Structure type'!$A$1:$B$15,2,FALSE)</f>
        <v>Manhole</v>
      </c>
      <c r="M2341" s="23" t="s">
        <v>30</v>
      </c>
      <c r="N2341" s="6" t="str">
        <f>VLOOKUP(M2341,'Excursion Cause'!$A$1:$B$34,2,FALSE)</f>
        <v>Grease Blockage</v>
      </c>
      <c r="O2341" s="29">
        <v>44975.0</v>
      </c>
      <c r="P2341" s="30">
        <v>0.6430555555555556</v>
      </c>
      <c r="Q2341" s="29">
        <v>44976.0</v>
      </c>
      <c r="R2341" s="30">
        <v>0.5125</v>
      </c>
      <c r="S2341" s="28">
        <v>1.0</v>
      </c>
      <c r="T2341" s="23" t="s">
        <v>59</v>
      </c>
      <c r="U2341" s="6"/>
      <c r="V2341" s="6"/>
      <c r="W2341" s="35">
        <v>29.8864088</v>
      </c>
      <c r="X2341" s="35">
        <v>-95.4882064</v>
      </c>
      <c r="AA2341" s="33"/>
      <c r="AB2341" s="33"/>
      <c r="AC2341" s="33"/>
      <c r="AD2341" s="33"/>
      <c r="AE2341" s="33"/>
      <c r="AF2341" s="33"/>
      <c r="AG2341" s="33"/>
      <c r="AH2341" s="33"/>
      <c r="AI2341" s="33"/>
      <c r="AJ2341" s="33"/>
      <c r="AK2341" s="33"/>
      <c r="AL2341" s="33"/>
      <c r="AM2341" s="33"/>
      <c r="AN2341" s="33"/>
      <c r="AO2341" s="33"/>
    </row>
    <row r="2342" ht="15.75" customHeight="1">
      <c r="A2342" s="23">
        <v>51322.0</v>
      </c>
      <c r="B2342" s="23">
        <v>2023.0</v>
      </c>
      <c r="C2342" s="6" t="str">
        <f t="shared" si="7"/>
        <v>4528  LEELAND ST,Houston,TX</v>
      </c>
      <c r="D2342" s="23" t="s">
        <v>3697</v>
      </c>
      <c r="E2342" s="6" t="s">
        <v>25</v>
      </c>
      <c r="F2342" s="6" t="s">
        <v>1388</v>
      </c>
      <c r="G2342" s="31" t="s">
        <v>141</v>
      </c>
      <c r="H2342" s="23" t="s">
        <v>50</v>
      </c>
      <c r="I2342" s="6" t="str">
        <f>VLOOKUP(H2342,'Flow Location'!$A$1:$B$21,2,FALSE)</f>
        <v>Contained On Site, not within 5 ft. of Bayou/Surface Water/Drainage Ditch</v>
      </c>
      <c r="J2342" s="28">
        <v>0.0</v>
      </c>
      <c r="K2342" s="23" t="s">
        <v>198</v>
      </c>
      <c r="L2342" s="6" t="str">
        <f>VLOOKUP(K2342,'Structure type'!$A$1:$B$15,2,FALSE)</f>
        <v>Service Lateral</v>
      </c>
      <c r="M2342" s="23" t="s">
        <v>30</v>
      </c>
      <c r="N2342" s="6" t="str">
        <f>VLOOKUP(M2342,'Excursion Cause'!$A$1:$B$34,2,FALSE)</f>
        <v>Grease Blockage</v>
      </c>
      <c r="O2342" s="29">
        <v>44976.0</v>
      </c>
      <c r="P2342" s="30">
        <v>0.35833333333333334</v>
      </c>
      <c r="Q2342" s="29">
        <v>44976.0</v>
      </c>
      <c r="R2342" s="30">
        <v>0.3590277777777778</v>
      </c>
      <c r="S2342" s="28">
        <v>0.0</v>
      </c>
      <c r="T2342" s="23" t="s">
        <v>59</v>
      </c>
      <c r="U2342" s="6"/>
      <c r="V2342" s="6"/>
      <c r="W2342" s="35">
        <v>29.7341977</v>
      </c>
      <c r="X2342" s="35">
        <v>-95.3334532</v>
      </c>
      <c r="AA2342" s="33"/>
      <c r="AB2342" s="33"/>
      <c r="AC2342" s="33"/>
      <c r="AD2342" s="33"/>
      <c r="AE2342" s="33"/>
      <c r="AF2342" s="33"/>
      <c r="AG2342" s="33"/>
      <c r="AH2342" s="33"/>
      <c r="AI2342" s="33"/>
      <c r="AJ2342" s="33"/>
      <c r="AK2342" s="33"/>
      <c r="AL2342" s="33"/>
      <c r="AM2342" s="33"/>
      <c r="AN2342" s="33"/>
      <c r="AO2342" s="33"/>
    </row>
    <row r="2343" ht="15.75" customHeight="1">
      <c r="A2343" s="23">
        <v>51323.0</v>
      </c>
      <c r="B2343" s="23">
        <v>2023.0</v>
      </c>
      <c r="C2343" s="6" t="str">
        <f t="shared" si="7"/>
        <v>1098  HORNE ST,Houston,TX</v>
      </c>
      <c r="D2343" s="23" t="s">
        <v>3698</v>
      </c>
      <c r="E2343" s="6" t="s">
        <v>25</v>
      </c>
      <c r="F2343" s="6" t="s">
        <v>1388</v>
      </c>
      <c r="G2343" s="31" t="s">
        <v>502</v>
      </c>
      <c r="H2343" s="23" t="s">
        <v>44</v>
      </c>
      <c r="I2343" s="6" t="str">
        <f>VLOOKUP(H2343,'Flow Location'!$A$1:$B$21,2,FALSE)</f>
        <v>Bayou/surface water/drainage ditch</v>
      </c>
      <c r="J2343" s="28">
        <v>0.0</v>
      </c>
      <c r="K2343" s="23" t="s">
        <v>29</v>
      </c>
      <c r="L2343" s="6" t="str">
        <f>VLOOKUP(K2343,'Structure type'!$A$1:$B$15,2,FALSE)</f>
        <v>Manhole</v>
      </c>
      <c r="M2343" s="23" t="s">
        <v>30</v>
      </c>
      <c r="N2343" s="6" t="str">
        <f>VLOOKUP(M2343,'Excursion Cause'!$A$1:$B$34,2,FALSE)</f>
        <v>Grease Blockage</v>
      </c>
      <c r="O2343" s="29">
        <v>44976.0</v>
      </c>
      <c r="P2343" s="30">
        <v>0.37777777777777777</v>
      </c>
      <c r="Q2343" s="29">
        <v>44976.0</v>
      </c>
      <c r="R2343" s="30">
        <v>0.3784722222222222</v>
      </c>
      <c r="S2343" s="28">
        <v>0.0</v>
      </c>
      <c r="T2343" s="23" t="s">
        <v>59</v>
      </c>
      <c r="U2343" s="6"/>
      <c r="V2343" s="6"/>
      <c r="W2343" s="35">
        <v>29.8832371</v>
      </c>
      <c r="X2343" s="35">
        <v>-95.4297639</v>
      </c>
      <c r="AA2343" s="33"/>
      <c r="AB2343" s="33"/>
      <c r="AC2343" s="33"/>
      <c r="AD2343" s="33"/>
      <c r="AE2343" s="33"/>
      <c r="AF2343" s="33"/>
      <c r="AG2343" s="33"/>
      <c r="AH2343" s="33"/>
      <c r="AI2343" s="33"/>
      <c r="AJ2343" s="33"/>
      <c r="AK2343" s="33"/>
      <c r="AL2343" s="33"/>
      <c r="AM2343" s="33"/>
      <c r="AN2343" s="33"/>
      <c r="AO2343" s="33"/>
    </row>
    <row r="2344" ht="15.75" customHeight="1">
      <c r="A2344" s="23">
        <v>51331.0</v>
      </c>
      <c r="B2344" s="23">
        <v>2023.0</v>
      </c>
      <c r="C2344" s="6" t="str">
        <f t="shared" si="7"/>
        <v>7527  LEAFTEX DR,Houston,TX</v>
      </c>
      <c r="D2344" s="23" t="s">
        <v>3699</v>
      </c>
      <c r="E2344" s="6" t="s">
        <v>25</v>
      </c>
      <c r="F2344" s="6" t="s">
        <v>1388</v>
      </c>
      <c r="G2344" s="31" t="s">
        <v>853</v>
      </c>
      <c r="H2344" s="23" t="s">
        <v>28</v>
      </c>
      <c r="I2344" s="6" t="str">
        <f>VLOOKUP(H2344,'Flow Location'!$A$1:$B$21,2,FALSE)</f>
        <v>Storm Sewer (not contained)</v>
      </c>
      <c r="J2344" s="28">
        <v>4032.0</v>
      </c>
      <c r="K2344" s="23" t="s">
        <v>29</v>
      </c>
      <c r="L2344" s="6" t="str">
        <f>VLOOKUP(K2344,'Structure type'!$A$1:$B$15,2,FALSE)</f>
        <v>Manhole</v>
      </c>
      <c r="M2344" s="23" t="s">
        <v>30</v>
      </c>
      <c r="N2344" s="6" t="str">
        <f>VLOOKUP(M2344,'Excursion Cause'!$A$1:$B$34,2,FALSE)</f>
        <v>Grease Blockage</v>
      </c>
      <c r="O2344" s="29">
        <v>44976.0</v>
      </c>
      <c r="P2344" s="30">
        <v>0.6465277777777778</v>
      </c>
      <c r="Q2344" s="29">
        <v>44977.0</v>
      </c>
      <c r="R2344" s="30">
        <v>0.5798611111111112</v>
      </c>
      <c r="S2344" s="28">
        <v>3.0</v>
      </c>
      <c r="T2344" s="23" t="s">
        <v>59</v>
      </c>
      <c r="U2344" s="6"/>
      <c r="V2344" s="6"/>
      <c r="W2344" s="35">
        <v>29.9374862</v>
      </c>
      <c r="X2344" s="35">
        <v>-95.2739673999999</v>
      </c>
      <c r="AA2344" s="33"/>
      <c r="AB2344" s="33"/>
      <c r="AC2344" s="33"/>
      <c r="AD2344" s="33"/>
      <c r="AE2344" s="33"/>
      <c r="AF2344" s="33"/>
      <c r="AG2344" s="33"/>
      <c r="AH2344" s="33"/>
      <c r="AI2344" s="33"/>
      <c r="AJ2344" s="33"/>
      <c r="AK2344" s="33"/>
      <c r="AL2344" s="33"/>
      <c r="AM2344" s="33"/>
      <c r="AN2344" s="33"/>
      <c r="AO2344" s="33"/>
    </row>
    <row r="2345" ht="15.75" customHeight="1">
      <c r="A2345" s="23">
        <v>51334.0</v>
      </c>
      <c r="B2345" s="23">
        <v>2023.0</v>
      </c>
      <c r="C2345" s="6" t="str">
        <f t="shared" si="7"/>
        <v>11210  SCARSDALE BLVD,Houston,TX</v>
      </c>
      <c r="D2345" s="23" t="s">
        <v>3658</v>
      </c>
      <c r="E2345" s="6" t="s">
        <v>25</v>
      </c>
      <c r="F2345" s="6" t="s">
        <v>1388</v>
      </c>
      <c r="G2345" s="31" t="s">
        <v>477</v>
      </c>
      <c r="H2345" s="23" t="s">
        <v>28</v>
      </c>
      <c r="I2345" s="6" t="str">
        <f>VLOOKUP(H2345,'Flow Location'!$A$1:$B$21,2,FALSE)</f>
        <v>Storm Sewer (not contained)</v>
      </c>
      <c r="J2345" s="28">
        <v>1565.0</v>
      </c>
      <c r="K2345" s="23" t="s">
        <v>190</v>
      </c>
      <c r="L2345" s="6" t="str">
        <f>VLOOKUP(K2345,'Structure type'!$A$1:$B$15,2,FALSE)</f>
        <v>Force Main</v>
      </c>
      <c r="M2345" s="23" t="s">
        <v>81</v>
      </c>
      <c r="N2345" s="6" t="str">
        <f>VLOOKUP(M2345,'Excursion Cause'!$A$1:$B$34,2,FALSE)</f>
        <v>Collection system structural failure</v>
      </c>
      <c r="O2345" s="29">
        <v>44976.0</v>
      </c>
      <c r="P2345" s="30">
        <v>0.4638888888888889</v>
      </c>
      <c r="Q2345" s="29">
        <v>44977.0</v>
      </c>
      <c r="R2345" s="30">
        <v>0.3333333333333333</v>
      </c>
      <c r="S2345" s="28">
        <v>1.0</v>
      </c>
      <c r="T2345" s="23" t="s">
        <v>354</v>
      </c>
      <c r="U2345" s="6"/>
      <c r="V2345" s="6"/>
      <c r="W2345" s="35">
        <v>29.5885513</v>
      </c>
      <c r="X2345" s="35">
        <v>-95.2080467</v>
      </c>
      <c r="AA2345" s="33"/>
      <c r="AB2345" s="33"/>
      <c r="AC2345" s="33"/>
      <c r="AD2345" s="33"/>
      <c r="AE2345" s="33"/>
      <c r="AF2345" s="33"/>
      <c r="AG2345" s="33"/>
      <c r="AH2345" s="33"/>
      <c r="AI2345" s="33"/>
      <c r="AJ2345" s="33"/>
      <c r="AK2345" s="33"/>
      <c r="AL2345" s="33"/>
      <c r="AM2345" s="33"/>
      <c r="AN2345" s="33"/>
      <c r="AO2345" s="33"/>
    </row>
    <row r="2346" ht="15.75" customHeight="1">
      <c r="A2346" s="23">
        <v>51355.0</v>
      </c>
      <c r="B2346" s="23">
        <v>2023.0</v>
      </c>
      <c r="C2346" s="6" t="str">
        <f t="shared" si="7"/>
        <v>2122  BAUER DR,Houston,TX</v>
      </c>
      <c r="D2346" s="23" t="s">
        <v>3700</v>
      </c>
      <c r="E2346" s="6" t="s">
        <v>25</v>
      </c>
      <c r="F2346" s="6" t="s">
        <v>1388</v>
      </c>
      <c r="G2346" s="31" t="s">
        <v>294</v>
      </c>
      <c r="H2346" s="23" t="s">
        <v>28</v>
      </c>
      <c r="I2346" s="6" t="str">
        <f>VLOOKUP(H2346,'Flow Location'!$A$1:$B$21,2,FALSE)</f>
        <v>Storm Sewer (not contained)</v>
      </c>
      <c r="J2346" s="28">
        <v>0.0</v>
      </c>
      <c r="K2346" s="23" t="s">
        <v>45</v>
      </c>
      <c r="L2346" s="6" t="str">
        <f>VLOOKUP(K2346,'Structure type'!$A$1:$B$15,2,FALSE)</f>
        <v>City Cleanout</v>
      </c>
      <c r="M2346" s="23" t="s">
        <v>56</v>
      </c>
      <c r="N2346" s="6" t="str">
        <f>VLOOKUP(M2346,'Excursion Cause'!$A$1:$B$34,2,FALSE)</f>
        <v>Rags/Wipes</v>
      </c>
      <c r="O2346" s="29">
        <v>44978.0</v>
      </c>
      <c r="P2346" s="30">
        <v>0.4</v>
      </c>
      <c r="Q2346" s="29">
        <v>44978.0</v>
      </c>
      <c r="R2346" s="30">
        <v>0.40069444444444446</v>
      </c>
      <c r="S2346" s="28">
        <v>0.0</v>
      </c>
      <c r="T2346" s="23" t="s">
        <v>74</v>
      </c>
      <c r="U2346" s="6"/>
      <c r="V2346" s="6"/>
      <c r="W2346" s="35">
        <v>29.8107151</v>
      </c>
      <c r="X2346" s="35">
        <v>-95.5192271</v>
      </c>
      <c r="AA2346" s="33"/>
      <c r="AB2346" s="33"/>
      <c r="AC2346" s="33"/>
      <c r="AD2346" s="33"/>
      <c r="AE2346" s="33"/>
      <c r="AF2346" s="33"/>
      <c r="AG2346" s="33"/>
      <c r="AH2346" s="33"/>
      <c r="AI2346" s="33"/>
      <c r="AJ2346" s="33"/>
      <c r="AK2346" s="33"/>
      <c r="AL2346" s="33"/>
      <c r="AM2346" s="33"/>
      <c r="AN2346" s="33"/>
      <c r="AO2346" s="33"/>
    </row>
    <row r="2347" ht="15.75" customHeight="1">
      <c r="A2347" s="23">
        <v>51356.0</v>
      </c>
      <c r="B2347" s="23">
        <v>2023.0</v>
      </c>
      <c r="C2347" s="6" t="str">
        <f t="shared" si="7"/>
        <v>3713  JENSEN DR,Houston,TX</v>
      </c>
      <c r="D2347" s="23" t="s">
        <v>3701</v>
      </c>
      <c r="E2347" s="6" t="s">
        <v>25</v>
      </c>
      <c r="F2347" s="6" t="s">
        <v>1388</v>
      </c>
      <c r="G2347" s="31" t="s">
        <v>43</v>
      </c>
      <c r="H2347" s="23" t="s">
        <v>50</v>
      </c>
      <c r="I2347" s="6" t="str">
        <f>VLOOKUP(H2347,'Flow Location'!$A$1:$B$21,2,FALSE)</f>
        <v>Contained On Site, not within 5 ft. of Bayou/Surface Water/Drainage Ditch</v>
      </c>
      <c r="J2347" s="28">
        <v>0.0</v>
      </c>
      <c r="K2347" s="23" t="s">
        <v>29</v>
      </c>
      <c r="L2347" s="6" t="str">
        <f>VLOOKUP(K2347,'Structure type'!$A$1:$B$15,2,FALSE)</f>
        <v>Manhole</v>
      </c>
      <c r="M2347" s="23" t="s">
        <v>52</v>
      </c>
      <c r="N2347" s="6" t="str">
        <f>VLOOKUP(M2347,'Excursion Cause'!$A$1:$B$34,2,FALSE)</f>
        <v>Collection system structural blockage</v>
      </c>
      <c r="O2347" s="29">
        <v>44978.0</v>
      </c>
      <c r="P2347" s="30">
        <v>0.35833333333333334</v>
      </c>
      <c r="Q2347" s="29">
        <v>44978.0</v>
      </c>
      <c r="R2347" s="30">
        <v>0.3590277777777778</v>
      </c>
      <c r="S2347" s="28">
        <v>0.0</v>
      </c>
      <c r="T2347" s="23" t="s">
        <v>59</v>
      </c>
      <c r="U2347" s="6"/>
      <c r="V2347" s="6"/>
      <c r="W2347" s="35">
        <v>29.8010345</v>
      </c>
      <c r="X2347" s="35">
        <v>-95.342694</v>
      </c>
      <c r="AA2347" s="33"/>
      <c r="AB2347" s="33"/>
      <c r="AC2347" s="33"/>
      <c r="AD2347" s="33"/>
      <c r="AE2347" s="33"/>
      <c r="AF2347" s="33"/>
      <c r="AG2347" s="33"/>
      <c r="AH2347" s="33"/>
      <c r="AI2347" s="33"/>
      <c r="AJ2347" s="33"/>
      <c r="AK2347" s="33"/>
      <c r="AL2347" s="33"/>
      <c r="AM2347" s="33"/>
      <c r="AN2347" s="33"/>
      <c r="AO2347" s="33"/>
    </row>
    <row r="2348" ht="15.75" customHeight="1">
      <c r="A2348" s="23">
        <v>51362.0</v>
      </c>
      <c r="B2348" s="23">
        <v>2023.0</v>
      </c>
      <c r="C2348" s="6" t="str">
        <f t="shared" si="7"/>
        <v>1415 W GULF BANK RD,Houston,TX</v>
      </c>
      <c r="D2348" s="23" t="s">
        <v>3702</v>
      </c>
      <c r="E2348" s="6" t="s">
        <v>25</v>
      </c>
      <c r="F2348" s="6" t="s">
        <v>1388</v>
      </c>
      <c r="G2348" s="31" t="s">
        <v>502</v>
      </c>
      <c r="H2348" s="23" t="s">
        <v>28</v>
      </c>
      <c r="I2348" s="6" t="str">
        <f>VLOOKUP(H2348,'Flow Location'!$A$1:$B$21,2,FALSE)</f>
        <v>Storm Sewer (not contained)</v>
      </c>
      <c r="J2348" s="28">
        <v>1413.0</v>
      </c>
      <c r="K2348" s="23" t="s">
        <v>290</v>
      </c>
      <c r="L2348" s="6" t="str">
        <f>VLOOKUP(K2348,'Structure type'!$A$1:$B$15,2,FALSE)</f>
        <v>Gravity Main</v>
      </c>
      <c r="M2348" s="23" t="s">
        <v>30</v>
      </c>
      <c r="N2348" s="6" t="str">
        <f>VLOOKUP(M2348,'Excursion Cause'!$A$1:$B$34,2,FALSE)</f>
        <v>Grease Blockage</v>
      </c>
      <c r="O2348" s="29">
        <v>44978.0</v>
      </c>
      <c r="P2348" s="30">
        <v>0.4875</v>
      </c>
      <c r="Q2348" s="29">
        <v>44979.0</v>
      </c>
      <c r="R2348" s="30">
        <v>0.46875</v>
      </c>
      <c r="S2348" s="28">
        <v>1.0</v>
      </c>
      <c r="T2348" s="23" t="s">
        <v>59</v>
      </c>
      <c r="U2348" s="6"/>
      <c r="V2348" s="6"/>
      <c r="W2348" s="35">
        <v>29.8861568</v>
      </c>
      <c r="X2348" s="35">
        <v>-95.4211402999999</v>
      </c>
      <c r="AA2348" s="33"/>
      <c r="AB2348" s="33"/>
      <c r="AC2348" s="33"/>
      <c r="AD2348" s="33"/>
      <c r="AE2348" s="33"/>
      <c r="AF2348" s="33"/>
      <c r="AG2348" s="33"/>
      <c r="AH2348" s="33"/>
      <c r="AI2348" s="33"/>
      <c r="AJ2348" s="33"/>
      <c r="AK2348" s="33"/>
      <c r="AL2348" s="33"/>
      <c r="AM2348" s="33"/>
      <c r="AN2348" s="33"/>
      <c r="AO2348" s="33"/>
    </row>
    <row r="2349" ht="15.75" customHeight="1">
      <c r="A2349" s="23">
        <v>51371.0</v>
      </c>
      <c r="B2349" s="23">
        <v>2023.0</v>
      </c>
      <c r="C2349" s="6" t="str">
        <f t="shared" si="7"/>
        <v>706  FAIRBANKS ST,Houston,TX</v>
      </c>
      <c r="D2349" s="23" t="s">
        <v>3703</v>
      </c>
      <c r="E2349" s="6" t="s">
        <v>25</v>
      </c>
      <c r="F2349" s="6" t="s">
        <v>1388</v>
      </c>
      <c r="G2349" s="31" t="s">
        <v>161</v>
      </c>
      <c r="H2349" s="23" t="s">
        <v>28</v>
      </c>
      <c r="I2349" s="6" t="str">
        <f>VLOOKUP(H2349,'Flow Location'!$A$1:$B$21,2,FALSE)</f>
        <v>Storm Sewer (not contained)</v>
      </c>
      <c r="J2349" s="28">
        <v>0.0</v>
      </c>
      <c r="K2349" s="23" t="s">
        <v>45</v>
      </c>
      <c r="L2349" s="6" t="str">
        <f>VLOOKUP(K2349,'Structure type'!$A$1:$B$15,2,FALSE)</f>
        <v>City Cleanout</v>
      </c>
      <c r="M2349" s="23" t="s">
        <v>30</v>
      </c>
      <c r="N2349" s="6" t="str">
        <f>VLOOKUP(M2349,'Excursion Cause'!$A$1:$B$34,2,FALSE)</f>
        <v>Grease Blockage</v>
      </c>
      <c r="O2349" s="29">
        <v>44978.0</v>
      </c>
      <c r="P2349" s="30">
        <v>0.6541666666666667</v>
      </c>
      <c r="Q2349" s="29">
        <v>44978.0</v>
      </c>
      <c r="R2349" s="30">
        <v>0.6548611111111111</v>
      </c>
      <c r="S2349" s="28">
        <v>0.0</v>
      </c>
      <c r="T2349" s="23" t="s">
        <v>89</v>
      </c>
      <c r="U2349" s="6"/>
      <c r="V2349" s="6"/>
      <c r="W2349" s="35">
        <v>29.8099281</v>
      </c>
      <c r="X2349" s="35">
        <v>-95.3622654999999</v>
      </c>
      <c r="AA2349" s="33"/>
      <c r="AB2349" s="33"/>
      <c r="AC2349" s="33"/>
      <c r="AD2349" s="33"/>
      <c r="AE2349" s="33"/>
      <c r="AF2349" s="33"/>
      <c r="AG2349" s="33"/>
      <c r="AH2349" s="33"/>
      <c r="AI2349" s="33"/>
      <c r="AJ2349" s="33"/>
      <c r="AK2349" s="33"/>
      <c r="AL2349" s="33"/>
      <c r="AM2349" s="33"/>
      <c r="AN2349" s="33"/>
      <c r="AO2349" s="33"/>
    </row>
    <row r="2350" ht="15.75" customHeight="1">
      <c r="A2350" s="23">
        <v>51375.0</v>
      </c>
      <c r="B2350" s="23">
        <v>2023.0</v>
      </c>
      <c r="C2350" s="6" t="str">
        <f t="shared" si="7"/>
        <v>8550  GUINEVERE ST,Houston,TX</v>
      </c>
      <c r="D2350" s="23" t="s">
        <v>3599</v>
      </c>
      <c r="E2350" s="6" t="s">
        <v>25</v>
      </c>
      <c r="F2350" s="6" t="s">
        <v>1388</v>
      </c>
      <c r="G2350" s="31" t="s">
        <v>247</v>
      </c>
      <c r="H2350" s="23" t="s">
        <v>28</v>
      </c>
      <c r="I2350" s="6" t="str">
        <f>VLOOKUP(H2350,'Flow Location'!$A$1:$B$21,2,FALSE)</f>
        <v>Storm Sewer (not contained)</v>
      </c>
      <c r="J2350" s="28">
        <v>0.0</v>
      </c>
      <c r="K2350" s="23" t="s">
        <v>29</v>
      </c>
      <c r="L2350" s="6" t="str">
        <f>VLOOKUP(K2350,'Structure type'!$A$1:$B$15,2,FALSE)</f>
        <v>Manhole</v>
      </c>
      <c r="M2350" s="23" t="s">
        <v>30</v>
      </c>
      <c r="N2350" s="6" t="str">
        <f>VLOOKUP(M2350,'Excursion Cause'!$A$1:$B$34,2,FALSE)</f>
        <v>Grease Blockage</v>
      </c>
      <c r="O2350" s="29">
        <v>44979.0</v>
      </c>
      <c r="P2350" s="30">
        <v>0.47847222222222224</v>
      </c>
      <c r="Q2350" s="29">
        <v>44979.0</v>
      </c>
      <c r="R2350" s="30">
        <v>0.4791666666666667</v>
      </c>
      <c r="S2350" s="28">
        <v>0.0</v>
      </c>
      <c r="T2350" s="23" t="s">
        <v>59</v>
      </c>
      <c r="U2350" s="6"/>
      <c r="V2350" s="6"/>
      <c r="W2350" s="35">
        <v>29.7600312</v>
      </c>
      <c r="X2350" s="35">
        <v>-95.2730467999999</v>
      </c>
      <c r="AA2350" s="33"/>
      <c r="AB2350" s="33"/>
      <c r="AC2350" s="33"/>
      <c r="AD2350" s="33"/>
      <c r="AE2350" s="33"/>
      <c r="AF2350" s="33"/>
      <c r="AG2350" s="33"/>
      <c r="AH2350" s="33"/>
      <c r="AI2350" s="33"/>
      <c r="AJ2350" s="33"/>
      <c r="AK2350" s="33"/>
      <c r="AL2350" s="33"/>
      <c r="AM2350" s="33"/>
      <c r="AN2350" s="33"/>
      <c r="AO2350" s="33"/>
    </row>
    <row r="2351" ht="15.75" customHeight="1">
      <c r="A2351" s="23">
        <v>51376.0</v>
      </c>
      <c r="B2351" s="23">
        <v>2023.0</v>
      </c>
      <c r="C2351" s="6" t="str">
        <f t="shared" si="7"/>
        <v>2840  CHIMNEY ROCK RD,Houston,TX</v>
      </c>
      <c r="D2351" s="23" t="s">
        <v>3704</v>
      </c>
      <c r="E2351" s="6" t="s">
        <v>25</v>
      </c>
      <c r="F2351" s="6" t="s">
        <v>1388</v>
      </c>
      <c r="G2351" s="31" t="s">
        <v>993</v>
      </c>
      <c r="H2351" s="23" t="s">
        <v>28</v>
      </c>
      <c r="I2351" s="6" t="str">
        <f>VLOOKUP(H2351,'Flow Location'!$A$1:$B$21,2,FALSE)</f>
        <v>Storm Sewer (not contained)</v>
      </c>
      <c r="J2351" s="28">
        <v>512.0</v>
      </c>
      <c r="K2351" s="23" t="s">
        <v>29</v>
      </c>
      <c r="L2351" s="6" t="str">
        <f>VLOOKUP(K2351,'Structure type'!$A$1:$B$15,2,FALSE)</f>
        <v>Manhole</v>
      </c>
      <c r="M2351" s="23" t="s">
        <v>30</v>
      </c>
      <c r="N2351" s="6" t="str">
        <f>VLOOKUP(M2351,'Excursion Cause'!$A$1:$B$34,2,FALSE)</f>
        <v>Grease Blockage</v>
      </c>
      <c r="O2351" s="29">
        <v>44979.0</v>
      </c>
      <c r="P2351" s="30">
        <v>0.5375</v>
      </c>
      <c r="Q2351" s="29">
        <v>44979.0</v>
      </c>
      <c r="R2351" s="30">
        <v>0.6263888888888889</v>
      </c>
      <c r="S2351" s="28">
        <v>4.0</v>
      </c>
      <c r="T2351" s="23" t="s">
        <v>59</v>
      </c>
      <c r="U2351" s="6"/>
      <c r="V2351" s="6"/>
      <c r="W2351" s="35">
        <v>29.735794</v>
      </c>
      <c r="X2351" s="35">
        <v>-95.4769209999999</v>
      </c>
      <c r="AA2351" s="33"/>
      <c r="AB2351" s="33"/>
      <c r="AC2351" s="33"/>
      <c r="AD2351" s="33"/>
      <c r="AE2351" s="33"/>
      <c r="AF2351" s="33"/>
      <c r="AG2351" s="33"/>
      <c r="AH2351" s="33"/>
      <c r="AI2351" s="33"/>
      <c r="AJ2351" s="33"/>
      <c r="AK2351" s="33"/>
      <c r="AL2351" s="33"/>
      <c r="AM2351" s="33"/>
      <c r="AN2351" s="33"/>
      <c r="AO2351" s="33"/>
    </row>
    <row r="2352" ht="15.75" customHeight="1">
      <c r="A2352" s="23">
        <v>51381.0</v>
      </c>
      <c r="B2352" s="23">
        <v>2023.0</v>
      </c>
      <c r="C2352" s="6" t="str">
        <f t="shared" si="7"/>
        <v>4408 A  SCHULER ST,Houston,TX</v>
      </c>
      <c r="D2352" s="23" t="s">
        <v>3705</v>
      </c>
      <c r="E2352" s="6" t="s">
        <v>25</v>
      </c>
      <c r="F2352" s="6" t="s">
        <v>1388</v>
      </c>
      <c r="G2352" s="31" t="s">
        <v>158</v>
      </c>
      <c r="H2352" s="23" t="s">
        <v>50</v>
      </c>
      <c r="I2352" s="6" t="str">
        <f>VLOOKUP(H2352,'Flow Location'!$A$1:$B$21,2,FALSE)</f>
        <v>Contained On Site, not within 5 ft. of Bayou/Surface Water/Drainage Ditch</v>
      </c>
      <c r="J2352" s="28">
        <v>0.0</v>
      </c>
      <c r="K2352" s="23" t="s">
        <v>45</v>
      </c>
      <c r="L2352" s="6" t="str">
        <f>VLOOKUP(K2352,'Structure type'!$A$1:$B$15,2,FALSE)</f>
        <v>City Cleanout</v>
      </c>
      <c r="M2352" s="23" t="s">
        <v>81</v>
      </c>
      <c r="N2352" s="6" t="str">
        <f>VLOOKUP(M2352,'Excursion Cause'!$A$1:$B$34,2,FALSE)</f>
        <v>Collection system structural failure</v>
      </c>
      <c r="O2352" s="29">
        <v>44980.0</v>
      </c>
      <c r="P2352" s="30">
        <v>0.38125</v>
      </c>
      <c r="Q2352" s="29">
        <v>44980.0</v>
      </c>
      <c r="R2352" s="30">
        <v>0.3819444444444444</v>
      </c>
      <c r="S2352" s="28">
        <v>0.0</v>
      </c>
      <c r="T2352" s="23" t="s">
        <v>107</v>
      </c>
      <c r="U2352" s="6"/>
      <c r="V2352" s="6"/>
      <c r="W2352" s="35">
        <v>29.7731698</v>
      </c>
      <c r="X2352" s="35">
        <v>-95.4052245</v>
      </c>
      <c r="AA2352" s="33"/>
      <c r="AB2352" s="33"/>
      <c r="AC2352" s="33"/>
      <c r="AD2352" s="33"/>
      <c r="AE2352" s="33"/>
      <c r="AF2352" s="33"/>
      <c r="AG2352" s="33"/>
      <c r="AH2352" s="33"/>
      <c r="AI2352" s="33"/>
      <c r="AJ2352" s="33"/>
      <c r="AK2352" s="33"/>
      <c r="AL2352" s="33"/>
      <c r="AM2352" s="33"/>
      <c r="AN2352" s="33"/>
      <c r="AO2352" s="33"/>
    </row>
    <row r="2353" ht="15.75" customHeight="1">
      <c r="A2353" s="23">
        <v>51384.0</v>
      </c>
      <c r="B2353" s="23">
        <v>2023.0</v>
      </c>
      <c r="C2353" s="6" t="str">
        <f t="shared" si="7"/>
        <v>8415  WHITECASTLE LN,Houston,TX</v>
      </c>
      <c r="D2353" s="23" t="s">
        <v>3706</v>
      </c>
      <c r="E2353" s="6" t="s">
        <v>25</v>
      </c>
      <c r="F2353" s="6" t="s">
        <v>1388</v>
      </c>
      <c r="G2353" s="31" t="s">
        <v>502</v>
      </c>
      <c r="H2353" s="23" t="s">
        <v>50</v>
      </c>
      <c r="I2353" s="6" t="str">
        <f>VLOOKUP(H2353,'Flow Location'!$A$1:$B$21,2,FALSE)</f>
        <v>Contained On Site, not within 5 ft. of Bayou/Surface Water/Drainage Ditch</v>
      </c>
      <c r="J2353" s="28">
        <v>0.0</v>
      </c>
      <c r="K2353" s="23" t="s">
        <v>29</v>
      </c>
      <c r="L2353" s="6" t="str">
        <f>VLOOKUP(K2353,'Structure type'!$A$1:$B$15,2,FALSE)</f>
        <v>Manhole</v>
      </c>
      <c r="M2353" s="23" t="s">
        <v>30</v>
      </c>
      <c r="N2353" s="6" t="str">
        <f>VLOOKUP(M2353,'Excursion Cause'!$A$1:$B$34,2,FALSE)</f>
        <v>Grease Blockage</v>
      </c>
      <c r="O2353" s="29">
        <v>44980.0</v>
      </c>
      <c r="P2353" s="30">
        <v>0.41944444444444445</v>
      </c>
      <c r="Q2353" s="29">
        <v>44980.0</v>
      </c>
      <c r="R2353" s="30">
        <v>0.4201388888888889</v>
      </c>
      <c r="S2353" s="28">
        <v>0.0</v>
      </c>
      <c r="T2353" s="23" t="s">
        <v>59</v>
      </c>
      <c r="U2353" s="6"/>
      <c r="V2353" s="6"/>
      <c r="W2353" s="35">
        <v>29.8830192</v>
      </c>
      <c r="X2353" s="35">
        <v>-95.4186515</v>
      </c>
      <c r="AA2353" s="33"/>
      <c r="AB2353" s="33"/>
      <c r="AC2353" s="33"/>
      <c r="AD2353" s="33"/>
      <c r="AE2353" s="33"/>
      <c r="AF2353" s="33"/>
      <c r="AG2353" s="33"/>
      <c r="AH2353" s="33"/>
      <c r="AI2353" s="33"/>
      <c r="AJ2353" s="33"/>
      <c r="AK2353" s="33"/>
      <c r="AL2353" s="33"/>
      <c r="AM2353" s="33"/>
      <c r="AN2353" s="33"/>
      <c r="AO2353" s="33"/>
    </row>
    <row r="2354" ht="15.75" customHeight="1">
      <c r="A2354" s="23">
        <v>51385.0</v>
      </c>
      <c r="B2354" s="23">
        <v>2023.0</v>
      </c>
      <c r="C2354" s="6" t="str">
        <f t="shared" si="7"/>
        <v>6538  SOUTH FWY,Houston,TX</v>
      </c>
      <c r="D2354" s="23" t="s">
        <v>3707</v>
      </c>
      <c r="E2354" s="6" t="s">
        <v>25</v>
      </c>
      <c r="F2354" s="6" t="s">
        <v>1388</v>
      </c>
      <c r="G2354" s="31" t="s">
        <v>238</v>
      </c>
      <c r="H2354" s="23" t="s">
        <v>28</v>
      </c>
      <c r="I2354" s="6" t="str">
        <f>VLOOKUP(H2354,'Flow Location'!$A$1:$B$21,2,FALSE)</f>
        <v>Storm Sewer (not contained)</v>
      </c>
      <c r="J2354" s="28">
        <v>0.0</v>
      </c>
      <c r="K2354" s="23" t="s">
        <v>29</v>
      </c>
      <c r="L2354" s="6" t="str">
        <f>VLOOKUP(K2354,'Structure type'!$A$1:$B$15,2,FALSE)</f>
        <v>Manhole</v>
      </c>
      <c r="M2354" s="23" t="s">
        <v>30</v>
      </c>
      <c r="N2354" s="6" t="str">
        <f>VLOOKUP(M2354,'Excursion Cause'!$A$1:$B$34,2,FALSE)</f>
        <v>Grease Blockage</v>
      </c>
      <c r="O2354" s="29">
        <v>44980.0</v>
      </c>
      <c r="P2354" s="30">
        <v>0.4076388888888889</v>
      </c>
      <c r="Q2354" s="29">
        <v>44980.0</v>
      </c>
      <c r="R2354" s="30">
        <v>0.4083333333333333</v>
      </c>
      <c r="S2354" s="28">
        <v>0.0</v>
      </c>
      <c r="T2354" s="23" t="s">
        <v>59</v>
      </c>
      <c r="U2354" s="6"/>
      <c r="V2354" s="6"/>
      <c r="W2354" s="35">
        <v>29.7028689</v>
      </c>
      <c r="X2354" s="35">
        <v>-95.3757835999999</v>
      </c>
      <c r="AA2354" s="33"/>
      <c r="AB2354" s="33"/>
      <c r="AC2354" s="33"/>
      <c r="AD2354" s="33"/>
      <c r="AE2354" s="33"/>
      <c r="AF2354" s="33"/>
      <c r="AG2354" s="33"/>
      <c r="AH2354" s="33"/>
      <c r="AI2354" s="33"/>
      <c r="AJ2354" s="33"/>
      <c r="AK2354" s="33"/>
      <c r="AL2354" s="33"/>
      <c r="AM2354" s="33"/>
      <c r="AN2354" s="33"/>
      <c r="AO2354" s="33"/>
    </row>
    <row r="2355" ht="15.75" customHeight="1">
      <c r="A2355" s="23">
        <v>51391.0</v>
      </c>
      <c r="B2355" s="23">
        <v>2023.0</v>
      </c>
      <c r="C2355" s="6" t="str">
        <f t="shared" si="7"/>
        <v>10501  MOORBERRY LN,Houston,TX</v>
      </c>
      <c r="D2355" s="23" t="s">
        <v>3708</v>
      </c>
      <c r="E2355" s="6" t="s">
        <v>25</v>
      </c>
      <c r="F2355" s="6" t="s">
        <v>1388</v>
      </c>
      <c r="G2355" s="31" t="s">
        <v>699</v>
      </c>
      <c r="H2355" s="23" t="s">
        <v>50</v>
      </c>
      <c r="I2355" s="6" t="str">
        <f>VLOOKUP(H2355,'Flow Location'!$A$1:$B$21,2,FALSE)</f>
        <v>Contained On Site, not within 5 ft. of Bayou/Surface Water/Drainage Ditch</v>
      </c>
      <c r="J2355" s="28">
        <v>250.0</v>
      </c>
      <c r="K2355" s="23" t="s">
        <v>29</v>
      </c>
      <c r="L2355" s="6" t="str">
        <f>VLOOKUP(K2355,'Structure type'!$A$1:$B$15,2,FALSE)</f>
        <v>Manhole</v>
      </c>
      <c r="M2355" s="23" t="s">
        <v>30</v>
      </c>
      <c r="N2355" s="6" t="str">
        <f>VLOOKUP(M2355,'Excursion Cause'!$A$1:$B$34,2,FALSE)</f>
        <v>Grease Blockage</v>
      </c>
      <c r="O2355" s="29">
        <v>44980.0</v>
      </c>
      <c r="P2355" s="30">
        <v>0.6013888888888889</v>
      </c>
      <c r="Q2355" s="29">
        <v>44980.0</v>
      </c>
      <c r="R2355" s="30">
        <v>0.6881944444444444</v>
      </c>
      <c r="S2355" s="28">
        <v>2.0</v>
      </c>
      <c r="T2355" s="23" t="s">
        <v>33</v>
      </c>
      <c r="U2355" s="6"/>
      <c r="V2355" s="6"/>
      <c r="W2355" s="35">
        <v>29.8084138</v>
      </c>
      <c r="X2355" s="35">
        <v>-95.5521711999999</v>
      </c>
      <c r="AA2355" s="33"/>
      <c r="AB2355" s="33"/>
      <c r="AC2355" s="33"/>
      <c r="AD2355" s="33"/>
      <c r="AE2355" s="33"/>
      <c r="AF2355" s="33"/>
      <c r="AG2355" s="33"/>
      <c r="AH2355" s="33"/>
      <c r="AI2355" s="33"/>
      <c r="AJ2355" s="33"/>
      <c r="AK2355" s="33"/>
      <c r="AL2355" s="33"/>
      <c r="AM2355" s="33"/>
      <c r="AN2355" s="33"/>
      <c r="AO2355" s="33"/>
    </row>
    <row r="2356" ht="15.75" customHeight="1">
      <c r="A2356" s="23">
        <v>51392.0</v>
      </c>
      <c r="B2356" s="23">
        <v>2023.0</v>
      </c>
      <c r="C2356" s="6" t="str">
        <f t="shared" si="7"/>
        <v>6423  TAUTENHAHN RD,Houston,TX</v>
      </c>
      <c r="D2356" s="23" t="s">
        <v>3709</v>
      </c>
      <c r="E2356" s="6" t="s">
        <v>25</v>
      </c>
      <c r="F2356" s="6" t="s">
        <v>1388</v>
      </c>
      <c r="G2356" s="31" t="s">
        <v>326</v>
      </c>
      <c r="H2356" s="23" t="s">
        <v>50</v>
      </c>
      <c r="I2356" s="6" t="str">
        <f>VLOOKUP(H2356,'Flow Location'!$A$1:$B$21,2,FALSE)</f>
        <v>Contained On Site, not within 5 ft. of Bayou/Surface Water/Drainage Ditch</v>
      </c>
      <c r="J2356" s="28">
        <v>0.0</v>
      </c>
      <c r="K2356" s="23" t="s">
        <v>51</v>
      </c>
      <c r="L2356" s="6" t="str">
        <f>VLOOKUP(K2356,'Structure type'!$A$1:$B$15,2,FALSE)</f>
        <v>Private Cleanout</v>
      </c>
      <c r="M2356" s="23" t="s">
        <v>96</v>
      </c>
      <c r="N2356" s="6" t="str">
        <f>VLOOKUP(M2356,'Excursion Cause'!$A$1:$B$34,2,FALSE)</f>
        <v>Collection system temporary blockage</v>
      </c>
      <c r="O2356" s="29">
        <v>44980.0</v>
      </c>
      <c r="P2356" s="30">
        <v>0.6326388888888889</v>
      </c>
      <c r="Q2356" s="29">
        <v>44980.0</v>
      </c>
      <c r="R2356" s="30">
        <v>0.6333333333333333</v>
      </c>
      <c r="S2356" s="28">
        <v>0.0</v>
      </c>
      <c r="T2356" s="23" t="s">
        <v>118</v>
      </c>
      <c r="U2356" s="6"/>
      <c r="V2356" s="6"/>
      <c r="W2356" s="35">
        <v>29.873465</v>
      </c>
      <c r="X2356" s="35">
        <v>-95.2934743</v>
      </c>
      <c r="AA2356" s="33"/>
      <c r="AB2356" s="33"/>
      <c r="AC2356" s="33"/>
      <c r="AD2356" s="33"/>
      <c r="AE2356" s="33"/>
      <c r="AF2356" s="33"/>
      <c r="AG2356" s="33"/>
      <c r="AH2356" s="33"/>
      <c r="AI2356" s="33"/>
      <c r="AJ2356" s="33"/>
      <c r="AK2356" s="33"/>
      <c r="AL2356" s="33"/>
      <c r="AM2356" s="33"/>
      <c r="AN2356" s="33"/>
      <c r="AO2356" s="33"/>
    </row>
    <row r="2357" ht="15.75" customHeight="1">
      <c r="A2357" s="23">
        <v>51394.0</v>
      </c>
      <c r="B2357" s="23">
        <v>2023.0</v>
      </c>
      <c r="C2357" s="6" t="str">
        <f t="shared" si="7"/>
        <v>6615  HILLSBORO ST,Houston,TX</v>
      </c>
      <c r="D2357" s="23" t="s">
        <v>3710</v>
      </c>
      <c r="E2357" s="6" t="s">
        <v>25</v>
      </c>
      <c r="F2357" s="6" t="s">
        <v>1388</v>
      </c>
      <c r="G2357" s="31" t="s">
        <v>86</v>
      </c>
      <c r="H2357" s="23" t="s">
        <v>28</v>
      </c>
      <c r="I2357" s="6" t="str">
        <f>VLOOKUP(H2357,'Flow Location'!$A$1:$B$21,2,FALSE)</f>
        <v>Storm Sewer (not contained)</v>
      </c>
      <c r="J2357" s="28">
        <v>0.0</v>
      </c>
      <c r="K2357" s="23" t="s">
        <v>198</v>
      </c>
      <c r="L2357" s="6" t="str">
        <f>VLOOKUP(K2357,'Structure type'!$A$1:$B$15,2,FALSE)</f>
        <v>Service Lateral</v>
      </c>
      <c r="M2357" s="23" t="s">
        <v>81</v>
      </c>
      <c r="N2357" s="6" t="str">
        <f>VLOOKUP(M2357,'Excursion Cause'!$A$1:$B$34,2,FALSE)</f>
        <v>Collection system structural failure</v>
      </c>
      <c r="O2357" s="29">
        <v>44980.0</v>
      </c>
      <c r="P2357" s="30">
        <v>0.7069444444444445</v>
      </c>
      <c r="Q2357" s="29">
        <v>44980.0</v>
      </c>
      <c r="R2357" s="30">
        <v>0.7076388888888889</v>
      </c>
      <c r="S2357" s="28">
        <v>0.0</v>
      </c>
      <c r="T2357" s="23" t="s">
        <v>3711</v>
      </c>
      <c r="U2357" s="6"/>
      <c r="V2357" s="6"/>
      <c r="W2357" s="35">
        <v>29.7803918</v>
      </c>
      <c r="X2357" s="35">
        <v>-95.3037021999999</v>
      </c>
      <c r="AA2357" s="33"/>
      <c r="AB2357" s="33"/>
      <c r="AC2357" s="33"/>
      <c r="AD2357" s="33"/>
      <c r="AE2357" s="33"/>
      <c r="AF2357" s="33"/>
      <c r="AG2357" s="33"/>
      <c r="AH2357" s="33"/>
      <c r="AI2357" s="33"/>
      <c r="AJ2357" s="33"/>
      <c r="AK2357" s="33"/>
      <c r="AL2357" s="33"/>
      <c r="AM2357" s="33"/>
      <c r="AN2357" s="33"/>
      <c r="AO2357" s="33"/>
    </row>
    <row r="2358" ht="15.75" customHeight="1">
      <c r="A2358" s="23">
        <v>51395.0</v>
      </c>
      <c r="B2358" s="23">
        <v>2023.0</v>
      </c>
      <c r="C2358" s="6" t="str">
        <f t="shared" si="7"/>
        <v>11010 CONCHO ST,Houston,TX</v>
      </c>
      <c r="D2358" s="23" t="s">
        <v>3712</v>
      </c>
      <c r="E2358" s="6" t="s">
        <v>25</v>
      </c>
      <c r="F2358" s="6" t="s">
        <v>1388</v>
      </c>
      <c r="G2358" s="31" t="s">
        <v>91</v>
      </c>
      <c r="H2358" s="23" t="s">
        <v>28</v>
      </c>
      <c r="I2358" s="6" t="str">
        <f>VLOOKUP(H2358,'Flow Location'!$A$1:$B$21,2,FALSE)</f>
        <v>Storm Sewer (not contained)</v>
      </c>
      <c r="J2358" s="28">
        <v>1275.0</v>
      </c>
      <c r="K2358" s="23" t="s">
        <v>29</v>
      </c>
      <c r="L2358" s="6" t="str">
        <f>VLOOKUP(K2358,'Structure type'!$A$1:$B$15,2,FALSE)</f>
        <v>Manhole</v>
      </c>
      <c r="M2358" s="23" t="s">
        <v>30</v>
      </c>
      <c r="N2358" s="6" t="str">
        <f>VLOOKUP(M2358,'Excursion Cause'!$A$1:$B$34,2,FALSE)</f>
        <v>Grease Blockage</v>
      </c>
      <c r="O2358" s="29">
        <v>44981.0</v>
      </c>
      <c r="P2358" s="30">
        <v>0.36041666666666666</v>
      </c>
      <c r="Q2358" s="29">
        <v>44981.0</v>
      </c>
      <c r="R2358" s="30">
        <v>0.41944444444444445</v>
      </c>
      <c r="S2358" s="28">
        <v>15.0</v>
      </c>
      <c r="T2358" s="23" t="s">
        <v>33</v>
      </c>
      <c r="U2358" s="6"/>
      <c r="V2358" s="6"/>
      <c r="W2358" s="35">
        <v>29.6934206999999</v>
      </c>
      <c r="X2358" s="35">
        <v>-95.5731938999999</v>
      </c>
      <c r="AA2358" s="33"/>
      <c r="AB2358" s="33"/>
      <c r="AC2358" s="33"/>
      <c r="AD2358" s="33"/>
      <c r="AE2358" s="33"/>
      <c r="AF2358" s="33"/>
      <c r="AG2358" s="33"/>
      <c r="AH2358" s="33"/>
      <c r="AI2358" s="33"/>
      <c r="AJ2358" s="33"/>
      <c r="AK2358" s="33"/>
      <c r="AL2358" s="33"/>
      <c r="AM2358" s="33"/>
      <c r="AN2358" s="33"/>
      <c r="AO2358" s="33"/>
    </row>
    <row r="2359" ht="15.75" customHeight="1">
      <c r="A2359" s="23">
        <v>51396.0</v>
      </c>
      <c r="B2359" s="23">
        <v>2023.0</v>
      </c>
      <c r="C2359" s="6" t="str">
        <f t="shared" si="7"/>
        <v>8111  GESSNER DR,Houston,TX</v>
      </c>
      <c r="D2359" s="23" t="s">
        <v>3713</v>
      </c>
      <c r="E2359" s="6" t="s">
        <v>25</v>
      </c>
      <c r="F2359" s="6" t="s">
        <v>1388</v>
      </c>
      <c r="G2359" s="31" t="s">
        <v>100</v>
      </c>
      <c r="H2359" s="23" t="s">
        <v>50</v>
      </c>
      <c r="I2359" s="6" t="str">
        <f>VLOOKUP(H2359,'Flow Location'!$A$1:$B$21,2,FALSE)</f>
        <v>Contained On Site, not within 5 ft. of Bayou/Surface Water/Drainage Ditch</v>
      </c>
      <c r="J2359" s="28">
        <v>0.0</v>
      </c>
      <c r="K2359" s="23" t="s">
        <v>45</v>
      </c>
      <c r="L2359" s="6" t="str">
        <f>VLOOKUP(K2359,'Structure type'!$A$1:$B$15,2,FALSE)</f>
        <v>City Cleanout</v>
      </c>
      <c r="M2359" s="23" t="s">
        <v>30</v>
      </c>
      <c r="N2359" s="6" t="str">
        <f>VLOOKUP(M2359,'Excursion Cause'!$A$1:$B$34,2,FALSE)</f>
        <v>Grease Blockage</v>
      </c>
      <c r="O2359" s="29">
        <v>44981.0</v>
      </c>
      <c r="P2359" s="30">
        <v>0.3784722222222222</v>
      </c>
      <c r="Q2359" s="29">
        <v>44981.0</v>
      </c>
      <c r="R2359" s="30">
        <v>0.37916666666666665</v>
      </c>
      <c r="S2359" s="28">
        <v>0.0</v>
      </c>
      <c r="T2359" s="23" t="s">
        <v>74</v>
      </c>
      <c r="U2359" s="6"/>
      <c r="V2359" s="6"/>
      <c r="W2359" s="35">
        <v>29.6898933</v>
      </c>
      <c r="X2359" s="35">
        <v>-95.5336335</v>
      </c>
      <c r="AA2359" s="33"/>
      <c r="AB2359" s="33"/>
      <c r="AC2359" s="33"/>
      <c r="AD2359" s="33"/>
      <c r="AE2359" s="33"/>
      <c r="AF2359" s="33"/>
      <c r="AG2359" s="33"/>
      <c r="AH2359" s="33"/>
      <c r="AI2359" s="33"/>
      <c r="AJ2359" s="33"/>
      <c r="AK2359" s="33"/>
      <c r="AL2359" s="33"/>
      <c r="AM2359" s="33"/>
      <c r="AN2359" s="33"/>
      <c r="AO2359" s="33"/>
    </row>
    <row r="2360" ht="15.75" customHeight="1">
      <c r="A2360" s="23">
        <v>51399.0</v>
      </c>
      <c r="B2360" s="23">
        <v>2023.0</v>
      </c>
      <c r="C2360" s="6" t="str">
        <f t="shared" si="7"/>
        <v>8235  SANDS POINT DR,Houston,TX</v>
      </c>
      <c r="D2360" s="23" t="s">
        <v>3714</v>
      </c>
      <c r="E2360" s="6" t="s">
        <v>25</v>
      </c>
      <c r="F2360" s="6" t="s">
        <v>1388</v>
      </c>
      <c r="G2360" s="31" t="s">
        <v>100</v>
      </c>
      <c r="H2360" s="23" t="s">
        <v>28</v>
      </c>
      <c r="I2360" s="6" t="str">
        <f>VLOOKUP(H2360,'Flow Location'!$A$1:$B$21,2,FALSE)</f>
        <v>Storm Sewer (not contained)</v>
      </c>
      <c r="J2360" s="28">
        <v>597.0</v>
      </c>
      <c r="K2360" s="23" t="s">
        <v>29</v>
      </c>
      <c r="L2360" s="6" t="str">
        <f>VLOOKUP(K2360,'Structure type'!$A$1:$B$15,2,FALSE)</f>
        <v>Manhole</v>
      </c>
      <c r="M2360" s="23" t="s">
        <v>30</v>
      </c>
      <c r="N2360" s="6" t="str">
        <f>VLOOKUP(M2360,'Excursion Cause'!$A$1:$B$34,2,FALSE)</f>
        <v>Grease Blockage</v>
      </c>
      <c r="O2360" s="29">
        <v>44981.0</v>
      </c>
      <c r="P2360" s="30">
        <v>0.4</v>
      </c>
      <c r="Q2360" s="29">
        <v>44981.0</v>
      </c>
      <c r="R2360" s="30">
        <v>0.5381944444444444</v>
      </c>
      <c r="S2360" s="28">
        <v>3.0</v>
      </c>
      <c r="T2360" s="23" t="s">
        <v>59</v>
      </c>
      <c r="U2360" s="6"/>
      <c r="V2360" s="6"/>
      <c r="W2360" s="35">
        <v>29.714306</v>
      </c>
      <c r="X2360" s="35">
        <v>-95.527244</v>
      </c>
      <c r="AA2360" s="33"/>
      <c r="AB2360" s="33"/>
      <c r="AC2360" s="33"/>
      <c r="AD2360" s="33"/>
      <c r="AE2360" s="33"/>
      <c r="AF2360" s="33"/>
      <c r="AG2360" s="33"/>
      <c r="AH2360" s="33"/>
      <c r="AI2360" s="33"/>
      <c r="AJ2360" s="33"/>
      <c r="AK2360" s="33"/>
      <c r="AL2360" s="33"/>
      <c r="AM2360" s="33"/>
      <c r="AN2360" s="33"/>
      <c r="AO2360" s="33"/>
    </row>
    <row r="2361" ht="15.75" customHeight="1">
      <c r="A2361" s="23">
        <v>51409.0</v>
      </c>
      <c r="B2361" s="23">
        <v>2023.0</v>
      </c>
      <c r="C2361" s="6" t="str">
        <f t="shared" si="7"/>
        <v>8798  HIRSCH RD,Houston,TX</v>
      </c>
      <c r="D2361" s="23" t="s">
        <v>3715</v>
      </c>
      <c r="E2361" s="6" t="s">
        <v>25</v>
      </c>
      <c r="F2361" s="6" t="s">
        <v>1388</v>
      </c>
      <c r="G2361" s="31" t="s">
        <v>326</v>
      </c>
      <c r="H2361" s="23" t="s">
        <v>50</v>
      </c>
      <c r="I2361" s="6" t="str">
        <f>VLOOKUP(H2361,'Flow Location'!$A$1:$B$21,2,FALSE)</f>
        <v>Contained On Site, not within 5 ft. of Bayou/Surface Water/Drainage Ditch</v>
      </c>
      <c r="J2361" s="28">
        <v>0.0</v>
      </c>
      <c r="K2361" s="23" t="s">
        <v>45</v>
      </c>
      <c r="L2361" s="6" t="str">
        <f>VLOOKUP(K2361,'Structure type'!$A$1:$B$15,2,FALSE)</f>
        <v>City Cleanout</v>
      </c>
      <c r="M2361" s="23" t="s">
        <v>56</v>
      </c>
      <c r="N2361" s="6" t="str">
        <f>VLOOKUP(M2361,'Excursion Cause'!$A$1:$B$34,2,FALSE)</f>
        <v>Rags/Wipes</v>
      </c>
      <c r="O2361" s="29">
        <v>44981.0</v>
      </c>
      <c r="P2361" s="30">
        <v>0.6944444444444444</v>
      </c>
      <c r="Q2361" s="29">
        <v>44981.0</v>
      </c>
      <c r="R2361" s="30">
        <v>0.6951388888888889</v>
      </c>
      <c r="S2361" s="28">
        <v>0.0</v>
      </c>
      <c r="T2361" s="23" t="s">
        <v>170</v>
      </c>
      <c r="U2361" s="6"/>
      <c r="V2361" s="6"/>
      <c r="W2361" s="35">
        <v>29.8402459999999</v>
      </c>
      <c r="X2361" s="35">
        <v>-95.3268465</v>
      </c>
      <c r="AA2361" s="33"/>
      <c r="AB2361" s="33"/>
      <c r="AC2361" s="33"/>
      <c r="AD2361" s="33"/>
      <c r="AE2361" s="33"/>
      <c r="AF2361" s="33"/>
      <c r="AG2361" s="33"/>
      <c r="AH2361" s="33"/>
      <c r="AI2361" s="33"/>
      <c r="AJ2361" s="33"/>
      <c r="AK2361" s="33"/>
      <c r="AL2361" s="33"/>
      <c r="AM2361" s="33"/>
      <c r="AN2361" s="33"/>
      <c r="AO2361" s="33"/>
    </row>
    <row r="2362" ht="15.75" customHeight="1">
      <c r="A2362" s="23">
        <v>51411.0</v>
      </c>
      <c r="B2362" s="23">
        <v>2023.0</v>
      </c>
      <c r="C2362" s="6" t="str">
        <f t="shared" si="7"/>
        <v>2120  WALKER ST,Houston,TX</v>
      </c>
      <c r="D2362" s="23" t="s">
        <v>3525</v>
      </c>
      <c r="E2362" s="6" t="s">
        <v>25</v>
      </c>
      <c r="F2362" s="6" t="s">
        <v>1388</v>
      </c>
      <c r="G2362" s="31" t="s">
        <v>172</v>
      </c>
      <c r="H2362" s="23" t="s">
        <v>50</v>
      </c>
      <c r="I2362" s="6" t="str">
        <f>VLOOKUP(H2362,'Flow Location'!$A$1:$B$21,2,FALSE)</f>
        <v>Contained On Site, not within 5 ft. of Bayou/Surface Water/Drainage Ditch</v>
      </c>
      <c r="J2362" s="28">
        <v>65.0</v>
      </c>
      <c r="K2362" s="23" t="s">
        <v>29</v>
      </c>
      <c r="L2362" s="6" t="str">
        <f>VLOOKUP(K2362,'Structure type'!$A$1:$B$15,2,FALSE)</f>
        <v>Manhole</v>
      </c>
      <c r="M2362" s="23" t="s">
        <v>52</v>
      </c>
      <c r="N2362" s="6" t="str">
        <f>VLOOKUP(M2362,'Excursion Cause'!$A$1:$B$34,2,FALSE)</f>
        <v>Collection system structural blockage</v>
      </c>
      <c r="O2362" s="29">
        <v>44982.0</v>
      </c>
      <c r="P2362" s="30">
        <v>0.40069444444444446</v>
      </c>
      <c r="Q2362" s="29">
        <v>44982.0</v>
      </c>
      <c r="R2362" s="30">
        <v>0.44583333333333336</v>
      </c>
      <c r="S2362" s="28">
        <v>1.0</v>
      </c>
      <c r="T2362" s="23" t="s">
        <v>33</v>
      </c>
      <c r="U2362" s="6"/>
      <c r="V2362" s="6"/>
      <c r="W2362" s="35">
        <v>29.7516517</v>
      </c>
      <c r="X2362" s="35">
        <v>-95.3548005999999</v>
      </c>
      <c r="AA2362" s="33"/>
      <c r="AB2362" s="33"/>
      <c r="AC2362" s="33"/>
      <c r="AD2362" s="33"/>
      <c r="AE2362" s="33"/>
      <c r="AF2362" s="33"/>
      <c r="AG2362" s="33"/>
      <c r="AH2362" s="33"/>
      <c r="AI2362" s="33"/>
      <c r="AJ2362" s="33"/>
      <c r="AK2362" s="33"/>
      <c r="AL2362" s="33"/>
      <c r="AM2362" s="33"/>
      <c r="AN2362" s="33"/>
      <c r="AO2362" s="33"/>
    </row>
    <row r="2363" ht="15.75" customHeight="1">
      <c r="A2363" s="23">
        <v>51412.0</v>
      </c>
      <c r="B2363" s="23">
        <v>2023.0</v>
      </c>
      <c r="C2363" s="6" t="str">
        <f t="shared" si="7"/>
        <v>169 E WITCHER LN,Houston,TX</v>
      </c>
      <c r="D2363" s="23" t="s">
        <v>3716</v>
      </c>
      <c r="E2363" s="6" t="s">
        <v>25</v>
      </c>
      <c r="F2363" s="6" t="s">
        <v>1388</v>
      </c>
      <c r="G2363" s="31" t="s">
        <v>275</v>
      </c>
      <c r="H2363" s="23" t="s">
        <v>28</v>
      </c>
      <c r="I2363" s="6" t="str">
        <f>VLOOKUP(H2363,'Flow Location'!$A$1:$B$21,2,FALSE)</f>
        <v>Storm Sewer (not contained)</v>
      </c>
      <c r="J2363" s="28">
        <v>0.0</v>
      </c>
      <c r="K2363" s="23" t="s">
        <v>45</v>
      </c>
      <c r="L2363" s="6" t="str">
        <f>VLOOKUP(K2363,'Structure type'!$A$1:$B$15,2,FALSE)</f>
        <v>City Cleanout</v>
      </c>
      <c r="M2363" s="23" t="s">
        <v>30</v>
      </c>
      <c r="N2363" s="6" t="str">
        <f>VLOOKUP(M2363,'Excursion Cause'!$A$1:$B$34,2,FALSE)</f>
        <v>Grease Blockage</v>
      </c>
      <c r="O2363" s="29">
        <v>44982.0</v>
      </c>
      <c r="P2363" s="30">
        <v>0.4673611111111111</v>
      </c>
      <c r="Q2363" s="29">
        <v>44982.0</v>
      </c>
      <c r="R2363" s="30">
        <v>0.46805555555555556</v>
      </c>
      <c r="S2363" s="28">
        <v>0.0</v>
      </c>
      <c r="T2363" s="23" t="s">
        <v>74</v>
      </c>
      <c r="U2363" s="6"/>
      <c r="V2363" s="6"/>
      <c r="W2363" s="35">
        <v>29.8500176</v>
      </c>
      <c r="X2363" s="35">
        <v>-95.3979430999999</v>
      </c>
      <c r="AA2363" s="33"/>
      <c r="AB2363" s="33"/>
      <c r="AC2363" s="33"/>
      <c r="AD2363" s="33"/>
      <c r="AE2363" s="33"/>
      <c r="AF2363" s="33"/>
      <c r="AG2363" s="33"/>
      <c r="AH2363" s="33"/>
      <c r="AI2363" s="33"/>
      <c r="AJ2363" s="33"/>
      <c r="AK2363" s="33"/>
      <c r="AL2363" s="33"/>
      <c r="AM2363" s="33"/>
      <c r="AN2363" s="33"/>
      <c r="AO2363" s="33"/>
    </row>
    <row r="2364" ht="15.75" customHeight="1">
      <c r="A2364" s="23">
        <v>51413.0</v>
      </c>
      <c r="B2364" s="23">
        <v>2023.0</v>
      </c>
      <c r="C2364" s="6" t="str">
        <f t="shared" si="7"/>
        <v>4303  BROOKFIELD DR,Houston,TX</v>
      </c>
      <c r="D2364" s="23" t="s">
        <v>3717</v>
      </c>
      <c r="E2364" s="6" t="s">
        <v>25</v>
      </c>
      <c r="F2364" s="6" t="s">
        <v>1388</v>
      </c>
      <c r="G2364" s="31" t="s">
        <v>39</v>
      </c>
      <c r="H2364" s="23" t="s">
        <v>50</v>
      </c>
      <c r="I2364" s="6" t="str">
        <f>VLOOKUP(H2364,'Flow Location'!$A$1:$B$21,2,FALSE)</f>
        <v>Contained On Site, not within 5 ft. of Bayou/Surface Water/Drainage Ditch</v>
      </c>
      <c r="J2364" s="28">
        <v>0.0</v>
      </c>
      <c r="K2364" s="23" t="s">
        <v>29</v>
      </c>
      <c r="L2364" s="6" t="str">
        <f>VLOOKUP(K2364,'Structure type'!$A$1:$B$15,2,FALSE)</f>
        <v>Manhole</v>
      </c>
      <c r="M2364" s="23" t="s">
        <v>30</v>
      </c>
      <c r="N2364" s="6" t="str">
        <f>VLOOKUP(M2364,'Excursion Cause'!$A$1:$B$34,2,FALSE)</f>
        <v>Grease Blockage</v>
      </c>
      <c r="O2364" s="29">
        <v>44982.0</v>
      </c>
      <c r="P2364" s="30">
        <v>0.48333333333333334</v>
      </c>
      <c r="Q2364" s="29">
        <v>44982.0</v>
      </c>
      <c r="R2364" s="30">
        <v>0.4840277777777778</v>
      </c>
      <c r="S2364" s="28">
        <v>0.0</v>
      </c>
      <c r="T2364" s="23" t="s">
        <v>59</v>
      </c>
      <c r="U2364" s="6"/>
      <c r="V2364" s="6"/>
      <c r="W2364" s="35">
        <v>29.6144168</v>
      </c>
      <c r="X2364" s="35">
        <v>-95.4411463</v>
      </c>
      <c r="AA2364" s="33"/>
      <c r="AB2364" s="33"/>
      <c r="AC2364" s="33"/>
      <c r="AD2364" s="33"/>
      <c r="AE2364" s="33"/>
      <c r="AF2364" s="33"/>
      <c r="AG2364" s="33"/>
      <c r="AH2364" s="33"/>
      <c r="AI2364" s="33"/>
      <c r="AJ2364" s="33"/>
      <c r="AK2364" s="33"/>
      <c r="AL2364" s="33"/>
      <c r="AM2364" s="33"/>
      <c r="AN2364" s="33"/>
      <c r="AO2364" s="33"/>
    </row>
    <row r="2365" ht="15.75" customHeight="1">
      <c r="A2365" s="23">
        <v>51420.0</v>
      </c>
      <c r="B2365" s="23">
        <v>2023.0</v>
      </c>
      <c r="C2365" s="6" t="str">
        <f t="shared" si="7"/>
        <v>11411  GREEN PLAZA DR,Houston,TX</v>
      </c>
      <c r="D2365" s="23" t="s">
        <v>3718</v>
      </c>
      <c r="E2365" s="6" t="s">
        <v>25</v>
      </c>
      <c r="F2365" s="6" t="s">
        <v>1388</v>
      </c>
      <c r="G2365" s="31" t="s">
        <v>3367</v>
      </c>
      <c r="H2365" s="23" t="s">
        <v>28</v>
      </c>
      <c r="I2365" s="6" t="str">
        <f>VLOOKUP(H2365,'Flow Location'!$A$1:$B$21,2,FALSE)</f>
        <v>Storm Sewer (not contained)</v>
      </c>
      <c r="J2365" s="28">
        <v>640.0</v>
      </c>
      <c r="K2365" s="23" t="s">
        <v>29</v>
      </c>
      <c r="L2365" s="6" t="str">
        <f>VLOOKUP(K2365,'Structure type'!$A$1:$B$15,2,FALSE)</f>
        <v>Manhole</v>
      </c>
      <c r="M2365" s="23" t="s">
        <v>30</v>
      </c>
      <c r="N2365" s="6" t="str">
        <f>VLOOKUP(M2365,'Excursion Cause'!$A$1:$B$34,2,FALSE)</f>
        <v>Grease Blockage</v>
      </c>
      <c r="O2365" s="29">
        <v>44982.0</v>
      </c>
      <c r="P2365" s="30">
        <v>0.4027777777777778</v>
      </c>
      <c r="Q2365" s="29">
        <v>44982.0</v>
      </c>
      <c r="R2365" s="30">
        <v>0.625</v>
      </c>
      <c r="S2365" s="28">
        <v>2.0</v>
      </c>
      <c r="T2365" s="23" t="s">
        <v>59</v>
      </c>
      <c r="U2365" s="6"/>
      <c r="V2365" s="6"/>
      <c r="W2365" s="35">
        <v>29.9322494</v>
      </c>
      <c r="X2365" s="35">
        <v>-95.4160459</v>
      </c>
      <c r="AA2365" s="33"/>
      <c r="AB2365" s="33"/>
      <c r="AC2365" s="33"/>
      <c r="AD2365" s="33"/>
      <c r="AE2365" s="33"/>
      <c r="AF2365" s="33"/>
      <c r="AG2365" s="33"/>
      <c r="AH2365" s="33"/>
      <c r="AI2365" s="33"/>
      <c r="AJ2365" s="33"/>
      <c r="AK2365" s="33"/>
      <c r="AL2365" s="33"/>
      <c r="AM2365" s="33"/>
      <c r="AN2365" s="33"/>
      <c r="AO2365" s="33"/>
    </row>
    <row r="2366" ht="15.75" customHeight="1">
      <c r="A2366" s="23">
        <v>51423.0</v>
      </c>
      <c r="B2366" s="23">
        <v>2023.0</v>
      </c>
      <c r="C2366" s="6" t="str">
        <f t="shared" si="7"/>
        <v>1200  WOODING ST,Houston,TX</v>
      </c>
      <c r="D2366" s="23" t="s">
        <v>3719</v>
      </c>
      <c r="E2366" s="6" t="s">
        <v>25</v>
      </c>
      <c r="F2366" s="6" t="s">
        <v>1388</v>
      </c>
      <c r="G2366" s="31" t="s">
        <v>227</v>
      </c>
      <c r="H2366" s="23" t="s">
        <v>50</v>
      </c>
      <c r="I2366" s="6" t="str">
        <f>VLOOKUP(H2366,'Flow Location'!$A$1:$B$21,2,FALSE)</f>
        <v>Contained On Site, not within 5 ft. of Bayou/Surface Water/Drainage Ditch</v>
      </c>
      <c r="J2366" s="28">
        <v>0.0</v>
      </c>
      <c r="K2366" s="23" t="s">
        <v>198</v>
      </c>
      <c r="L2366" s="6" t="str">
        <f>VLOOKUP(K2366,'Structure type'!$A$1:$B$15,2,FALSE)</f>
        <v>Service Lateral</v>
      </c>
      <c r="M2366" s="23" t="s">
        <v>81</v>
      </c>
      <c r="N2366" s="6" t="str">
        <f>VLOOKUP(M2366,'Excursion Cause'!$A$1:$B$34,2,FALSE)</f>
        <v>Collection system structural failure</v>
      </c>
      <c r="O2366" s="29">
        <v>44982.0</v>
      </c>
      <c r="P2366" s="30">
        <v>0.6590277777777778</v>
      </c>
      <c r="Q2366" s="29">
        <v>44982.0</v>
      </c>
      <c r="R2366" s="30">
        <v>0.6597222222222222</v>
      </c>
      <c r="S2366" s="28">
        <v>0.0</v>
      </c>
      <c r="T2366" s="23" t="s">
        <v>107</v>
      </c>
      <c r="U2366" s="6"/>
      <c r="V2366" s="6"/>
      <c r="W2366" s="35">
        <v>29.7429482</v>
      </c>
      <c r="X2366" s="35">
        <v>-95.2980197</v>
      </c>
      <c r="AA2366" s="33"/>
      <c r="AB2366" s="33"/>
      <c r="AC2366" s="33"/>
      <c r="AD2366" s="33"/>
      <c r="AE2366" s="33"/>
      <c r="AF2366" s="33"/>
      <c r="AG2366" s="33"/>
      <c r="AH2366" s="33"/>
      <c r="AI2366" s="33"/>
      <c r="AJ2366" s="33"/>
      <c r="AK2366" s="33"/>
      <c r="AL2366" s="33"/>
      <c r="AM2366" s="33"/>
      <c r="AN2366" s="33"/>
      <c r="AO2366" s="33"/>
    </row>
    <row r="2367" ht="15.75" customHeight="1">
      <c r="A2367" s="23">
        <v>51426.0</v>
      </c>
      <c r="B2367" s="23">
        <v>2023.0</v>
      </c>
      <c r="C2367" s="6" t="str">
        <f t="shared" si="7"/>
        <v>909  ELLISTON ST,Houston,TX</v>
      </c>
      <c r="D2367" s="23" t="s">
        <v>3720</v>
      </c>
      <c r="E2367" s="6" t="s">
        <v>25</v>
      </c>
      <c r="F2367" s="6" t="s">
        <v>1388</v>
      </c>
      <c r="G2367" s="31" t="s">
        <v>141</v>
      </c>
      <c r="H2367" s="23" t="s">
        <v>28</v>
      </c>
      <c r="I2367" s="6" t="str">
        <f>VLOOKUP(H2367,'Flow Location'!$A$1:$B$21,2,FALSE)</f>
        <v>Storm Sewer (not contained)</v>
      </c>
      <c r="J2367" s="28">
        <v>0.0</v>
      </c>
      <c r="K2367" s="23" t="s">
        <v>45</v>
      </c>
      <c r="L2367" s="6" t="str">
        <f>VLOOKUP(K2367,'Structure type'!$A$1:$B$15,2,FALSE)</f>
        <v>City Cleanout</v>
      </c>
      <c r="M2367" s="23" t="s">
        <v>81</v>
      </c>
      <c r="N2367" s="6" t="str">
        <f>VLOOKUP(M2367,'Excursion Cause'!$A$1:$B$34,2,FALSE)</f>
        <v>Collection system structural failure</v>
      </c>
      <c r="O2367" s="29">
        <v>44982.0</v>
      </c>
      <c r="P2367" s="30">
        <v>0.6895833333333333</v>
      </c>
      <c r="Q2367" s="29">
        <v>44982.0</v>
      </c>
      <c r="R2367" s="30">
        <v>0.6902777777777778</v>
      </c>
      <c r="S2367" s="28">
        <v>0.0</v>
      </c>
      <c r="T2367" s="23" t="s">
        <v>118</v>
      </c>
      <c r="U2367" s="6"/>
      <c r="V2367" s="6"/>
      <c r="W2367" s="35">
        <v>29.7329087999999</v>
      </c>
      <c r="X2367" s="35">
        <v>-95.3301137</v>
      </c>
      <c r="AA2367" s="33"/>
      <c r="AB2367" s="33"/>
      <c r="AC2367" s="33"/>
      <c r="AD2367" s="33"/>
      <c r="AE2367" s="33"/>
      <c r="AF2367" s="33"/>
      <c r="AG2367" s="33"/>
      <c r="AH2367" s="33"/>
      <c r="AI2367" s="33"/>
      <c r="AJ2367" s="33"/>
      <c r="AK2367" s="33"/>
      <c r="AL2367" s="33"/>
      <c r="AM2367" s="33"/>
      <c r="AN2367" s="33"/>
      <c r="AO2367" s="33"/>
    </row>
    <row r="2368" ht="15.75" customHeight="1">
      <c r="A2368" s="23">
        <v>51429.0</v>
      </c>
      <c r="B2368" s="23">
        <v>2023.0</v>
      </c>
      <c r="C2368" s="6" t="str">
        <f t="shared" si="7"/>
        <v>11212  WESTPARK DR,Houston,TX</v>
      </c>
      <c r="D2368" s="23" t="s">
        <v>3721</v>
      </c>
      <c r="E2368" s="6" t="s">
        <v>25</v>
      </c>
      <c r="F2368" s="6" t="s">
        <v>1388</v>
      </c>
      <c r="G2368" s="31" t="s">
        <v>401</v>
      </c>
      <c r="H2368" s="23" t="s">
        <v>28</v>
      </c>
      <c r="I2368" s="6" t="str">
        <f>VLOOKUP(H2368,'Flow Location'!$A$1:$B$21,2,FALSE)</f>
        <v>Storm Sewer (not contained)</v>
      </c>
      <c r="J2368" s="28">
        <v>440.0</v>
      </c>
      <c r="K2368" s="23" t="s">
        <v>29</v>
      </c>
      <c r="L2368" s="6" t="str">
        <f>VLOOKUP(K2368,'Structure type'!$A$1:$B$15,2,FALSE)</f>
        <v>Manhole</v>
      </c>
      <c r="M2368" s="23" t="s">
        <v>30</v>
      </c>
      <c r="N2368" s="6" t="str">
        <f>VLOOKUP(M2368,'Excursion Cause'!$A$1:$B$34,2,FALSE)</f>
        <v>Grease Blockage</v>
      </c>
      <c r="O2368" s="29">
        <v>44983.0</v>
      </c>
      <c r="P2368" s="30">
        <v>0.4527777777777778</v>
      </c>
      <c r="Q2368" s="29">
        <v>44983.0</v>
      </c>
      <c r="R2368" s="30">
        <v>0.5138888888888888</v>
      </c>
      <c r="S2368" s="28">
        <v>5.0</v>
      </c>
      <c r="T2368" s="23" t="s">
        <v>59</v>
      </c>
      <c r="U2368" s="6"/>
      <c r="V2368" s="6"/>
      <c r="W2368" s="35">
        <v>29.721762</v>
      </c>
      <c r="X2368" s="35">
        <v>-95.5699247</v>
      </c>
      <c r="AA2368" s="33"/>
      <c r="AB2368" s="33"/>
      <c r="AC2368" s="33"/>
      <c r="AD2368" s="33"/>
      <c r="AE2368" s="33"/>
      <c r="AF2368" s="33"/>
      <c r="AG2368" s="33"/>
      <c r="AH2368" s="33"/>
      <c r="AI2368" s="33"/>
      <c r="AJ2368" s="33"/>
      <c r="AK2368" s="33"/>
      <c r="AL2368" s="33"/>
      <c r="AM2368" s="33"/>
      <c r="AN2368" s="33"/>
      <c r="AO2368" s="33"/>
    </row>
    <row r="2369" ht="15.75" customHeight="1">
      <c r="A2369" s="23">
        <v>51432.0</v>
      </c>
      <c r="B2369" s="23">
        <v>2023.0</v>
      </c>
      <c r="C2369" s="6" t="str">
        <f t="shared" si="7"/>
        <v>12431 S RYLANDER CIR,Houston,TX</v>
      </c>
      <c r="D2369" s="23" t="s">
        <v>572</v>
      </c>
      <c r="E2369" s="6" t="s">
        <v>25</v>
      </c>
      <c r="F2369" s="6" t="s">
        <v>1388</v>
      </c>
      <c r="G2369" s="31" t="s">
        <v>148</v>
      </c>
      <c r="H2369" s="23" t="s">
        <v>50</v>
      </c>
      <c r="I2369" s="6" t="str">
        <f>VLOOKUP(H2369,'Flow Location'!$A$1:$B$21,2,FALSE)</f>
        <v>Contained On Site, not within 5 ft. of Bayou/Surface Water/Drainage Ditch</v>
      </c>
      <c r="J2369" s="28">
        <v>0.0</v>
      </c>
      <c r="K2369" s="23" t="s">
        <v>29</v>
      </c>
      <c r="L2369" s="6" t="str">
        <f>VLOOKUP(K2369,'Structure type'!$A$1:$B$15,2,FALSE)</f>
        <v>Manhole</v>
      </c>
      <c r="M2369" s="23" t="s">
        <v>30</v>
      </c>
      <c r="N2369" s="6" t="str">
        <f>VLOOKUP(M2369,'Excursion Cause'!$A$1:$B$34,2,FALSE)</f>
        <v>Grease Blockage</v>
      </c>
      <c r="O2369" s="29">
        <v>44983.0</v>
      </c>
      <c r="P2369" s="30">
        <v>0.375</v>
      </c>
      <c r="Q2369" s="29">
        <v>44983.0</v>
      </c>
      <c r="R2369" s="30">
        <v>0.37569444444444444</v>
      </c>
      <c r="S2369" s="28">
        <v>0.0</v>
      </c>
      <c r="T2369" s="23" t="s">
        <v>59</v>
      </c>
      <c r="U2369" s="6"/>
      <c r="V2369" s="6"/>
      <c r="W2369" s="35">
        <v>29.640453</v>
      </c>
      <c r="X2369" s="35">
        <v>-95.5311897</v>
      </c>
      <c r="AA2369" s="33"/>
      <c r="AB2369" s="33"/>
      <c r="AC2369" s="33"/>
      <c r="AD2369" s="33"/>
      <c r="AE2369" s="33"/>
      <c r="AF2369" s="33"/>
      <c r="AG2369" s="33"/>
      <c r="AH2369" s="33"/>
      <c r="AI2369" s="33"/>
      <c r="AJ2369" s="33"/>
      <c r="AK2369" s="33"/>
      <c r="AL2369" s="33"/>
      <c r="AM2369" s="33"/>
      <c r="AN2369" s="33"/>
      <c r="AO2369" s="33"/>
    </row>
    <row r="2370" ht="15.75" customHeight="1">
      <c r="A2370" s="23">
        <v>51439.0</v>
      </c>
      <c r="B2370" s="23">
        <v>2023.0</v>
      </c>
      <c r="C2370" s="6" t="str">
        <f t="shared" si="7"/>
        <v>802  CHRISTINE ST,Houston,TX</v>
      </c>
      <c r="D2370" s="23" t="s">
        <v>3722</v>
      </c>
      <c r="E2370" s="6" t="s">
        <v>25</v>
      </c>
      <c r="F2370" s="6" t="s">
        <v>1388</v>
      </c>
      <c r="G2370" s="31" t="s">
        <v>135</v>
      </c>
      <c r="H2370" s="23" t="s">
        <v>50</v>
      </c>
      <c r="I2370" s="6" t="str">
        <f>VLOOKUP(H2370,'Flow Location'!$A$1:$B$21,2,FALSE)</f>
        <v>Contained On Site, not within 5 ft. of Bayou/Surface Water/Drainage Ditch</v>
      </c>
      <c r="J2370" s="28">
        <v>0.0</v>
      </c>
      <c r="K2370" s="23" t="s">
        <v>51</v>
      </c>
      <c r="L2370" s="6" t="str">
        <f>VLOOKUP(K2370,'Structure type'!$A$1:$B$15,2,FALSE)</f>
        <v>Private Cleanout</v>
      </c>
      <c r="M2370" s="23" t="s">
        <v>30</v>
      </c>
      <c r="N2370" s="6" t="str">
        <f>VLOOKUP(M2370,'Excursion Cause'!$A$1:$B$34,2,FALSE)</f>
        <v>Grease Blockage</v>
      </c>
      <c r="O2370" s="29">
        <v>44984.0</v>
      </c>
      <c r="P2370" s="30">
        <v>0.37083333333333335</v>
      </c>
      <c r="Q2370" s="29">
        <v>44984.0</v>
      </c>
      <c r="R2370" s="30">
        <v>0.3715277777777778</v>
      </c>
      <c r="S2370" s="28">
        <v>0.0</v>
      </c>
      <c r="T2370" s="23" t="s">
        <v>33</v>
      </c>
      <c r="U2370" s="6"/>
      <c r="V2370" s="6"/>
      <c r="W2370" s="35">
        <v>29.6944968</v>
      </c>
      <c r="X2370" s="35">
        <v>-95.2434059</v>
      </c>
      <c r="AA2370" s="33"/>
      <c r="AB2370" s="33"/>
      <c r="AC2370" s="33"/>
      <c r="AD2370" s="33"/>
      <c r="AE2370" s="33"/>
      <c r="AF2370" s="33"/>
      <c r="AG2370" s="33"/>
      <c r="AH2370" s="33"/>
      <c r="AI2370" s="33"/>
      <c r="AJ2370" s="33"/>
      <c r="AK2370" s="33"/>
      <c r="AL2370" s="33"/>
      <c r="AM2370" s="33"/>
      <c r="AN2370" s="33"/>
      <c r="AO2370" s="33"/>
    </row>
    <row r="2371" ht="15.75" customHeight="1">
      <c r="A2371" s="23">
        <v>51440.0</v>
      </c>
      <c r="B2371" s="23">
        <v>2023.0</v>
      </c>
      <c r="C2371" s="6" t="str">
        <f t="shared" si="7"/>
        <v>5809  SENIOR ST,Houston,TX</v>
      </c>
      <c r="D2371" s="23" t="s">
        <v>3723</v>
      </c>
      <c r="E2371" s="6" t="s">
        <v>25</v>
      </c>
      <c r="F2371" s="6" t="s">
        <v>1388</v>
      </c>
      <c r="G2371" s="31" t="s">
        <v>326</v>
      </c>
      <c r="H2371" s="23" t="s">
        <v>44</v>
      </c>
      <c r="I2371" s="6" t="str">
        <f>VLOOKUP(H2371,'Flow Location'!$A$1:$B$21,2,FALSE)</f>
        <v>Bayou/surface water/drainage ditch</v>
      </c>
      <c r="J2371" s="28">
        <v>0.0</v>
      </c>
      <c r="K2371" s="23" t="s">
        <v>29</v>
      </c>
      <c r="L2371" s="6" t="str">
        <f>VLOOKUP(K2371,'Structure type'!$A$1:$B$15,2,FALSE)</f>
        <v>Manhole</v>
      </c>
      <c r="M2371" s="23" t="s">
        <v>52</v>
      </c>
      <c r="N2371" s="6" t="str">
        <f>VLOOKUP(M2371,'Excursion Cause'!$A$1:$B$34,2,FALSE)</f>
        <v>Collection system structural blockage</v>
      </c>
      <c r="O2371" s="29">
        <v>44984.0</v>
      </c>
      <c r="P2371" s="30">
        <v>0.36736111111111114</v>
      </c>
      <c r="Q2371" s="29">
        <v>44984.0</v>
      </c>
      <c r="R2371" s="30">
        <v>0.3680555555555556</v>
      </c>
      <c r="S2371" s="28">
        <v>0.0</v>
      </c>
      <c r="T2371" s="23" t="s">
        <v>54</v>
      </c>
      <c r="U2371" s="6"/>
      <c r="V2371" s="6"/>
      <c r="W2371" s="35">
        <v>29.8515349</v>
      </c>
      <c r="X2371" s="35">
        <v>-95.3125580999999</v>
      </c>
      <c r="AA2371" s="33"/>
      <c r="AB2371" s="33"/>
      <c r="AC2371" s="33"/>
      <c r="AD2371" s="33"/>
      <c r="AE2371" s="33"/>
      <c r="AF2371" s="33"/>
      <c r="AG2371" s="33"/>
      <c r="AH2371" s="33"/>
      <c r="AI2371" s="33"/>
      <c r="AJ2371" s="33"/>
      <c r="AK2371" s="33"/>
      <c r="AL2371" s="33"/>
      <c r="AM2371" s="33"/>
      <c r="AN2371" s="33"/>
      <c r="AO2371" s="33"/>
    </row>
    <row r="2372" ht="15.75" customHeight="1">
      <c r="A2372" s="23">
        <v>51441.0</v>
      </c>
      <c r="B2372" s="23">
        <v>2023.0</v>
      </c>
      <c r="C2372" s="6" t="str">
        <f t="shared" si="7"/>
        <v>5012  LOS ANGELES ST,Houston,TX</v>
      </c>
      <c r="D2372" s="23" t="s">
        <v>3724</v>
      </c>
      <c r="E2372" s="6" t="s">
        <v>25</v>
      </c>
      <c r="F2372" s="6" t="s">
        <v>1388</v>
      </c>
      <c r="G2372" s="31" t="s">
        <v>43</v>
      </c>
      <c r="H2372" s="23" t="s">
        <v>50</v>
      </c>
      <c r="I2372" s="6" t="str">
        <f>VLOOKUP(H2372,'Flow Location'!$A$1:$B$21,2,FALSE)</f>
        <v>Contained On Site, not within 5 ft. of Bayou/Surface Water/Drainage Ditch</v>
      </c>
      <c r="J2372" s="28">
        <v>0.0</v>
      </c>
      <c r="K2372" s="23" t="s">
        <v>45</v>
      </c>
      <c r="L2372" s="6" t="str">
        <f>VLOOKUP(K2372,'Structure type'!$A$1:$B$15,2,FALSE)</f>
        <v>City Cleanout</v>
      </c>
      <c r="M2372" s="23" t="s">
        <v>56</v>
      </c>
      <c r="N2372" s="6" t="str">
        <f>VLOOKUP(M2372,'Excursion Cause'!$A$1:$B$34,2,FALSE)</f>
        <v>Rags/Wipes</v>
      </c>
      <c r="O2372" s="29">
        <v>44984.0</v>
      </c>
      <c r="P2372" s="30">
        <v>0.42430555555555555</v>
      </c>
      <c r="Q2372" s="29">
        <v>44984.0</v>
      </c>
      <c r="R2372" s="30">
        <v>0.425</v>
      </c>
      <c r="S2372" s="28">
        <v>0.0</v>
      </c>
      <c r="T2372" s="23" t="s">
        <v>170</v>
      </c>
      <c r="U2372" s="6"/>
      <c r="V2372" s="6"/>
      <c r="W2372" s="35">
        <v>29.8066874</v>
      </c>
      <c r="X2372" s="35">
        <v>-95.3269654</v>
      </c>
      <c r="AA2372" s="33"/>
      <c r="AB2372" s="33"/>
      <c r="AC2372" s="33"/>
      <c r="AD2372" s="33"/>
      <c r="AE2372" s="33"/>
      <c r="AF2372" s="33"/>
      <c r="AG2372" s="33"/>
      <c r="AH2372" s="33"/>
      <c r="AI2372" s="33"/>
      <c r="AJ2372" s="33"/>
      <c r="AK2372" s="33"/>
      <c r="AL2372" s="33"/>
      <c r="AM2372" s="33"/>
      <c r="AN2372" s="33"/>
      <c r="AO2372" s="33"/>
    </row>
    <row r="2373" ht="15.75" customHeight="1">
      <c r="A2373" s="23">
        <v>51448.0</v>
      </c>
      <c r="B2373" s="23">
        <v>2023.0</v>
      </c>
      <c r="C2373" s="6" t="str">
        <f t="shared" si="7"/>
        <v>2408  KING ST,Houston,TX</v>
      </c>
      <c r="D2373" s="23" t="s">
        <v>3725</v>
      </c>
      <c r="E2373" s="6" t="s">
        <v>25</v>
      </c>
      <c r="F2373" s="6" t="s">
        <v>1388</v>
      </c>
      <c r="G2373" s="31" t="s">
        <v>43</v>
      </c>
      <c r="H2373" s="23" t="s">
        <v>50</v>
      </c>
      <c r="I2373" s="6" t="str">
        <f>VLOOKUP(H2373,'Flow Location'!$A$1:$B$21,2,FALSE)</f>
        <v>Contained On Site, not within 5 ft. of Bayou/Surface Water/Drainage Ditch</v>
      </c>
      <c r="J2373" s="28">
        <v>0.0</v>
      </c>
      <c r="K2373" s="23" t="s">
        <v>198</v>
      </c>
      <c r="L2373" s="6" t="str">
        <f>VLOOKUP(K2373,'Structure type'!$A$1:$B$15,2,FALSE)</f>
        <v>Service Lateral</v>
      </c>
      <c r="M2373" s="23" t="s">
        <v>52</v>
      </c>
      <c r="N2373" s="6" t="str">
        <f>VLOOKUP(M2373,'Excursion Cause'!$A$1:$B$34,2,FALSE)</f>
        <v>Collection system structural blockage</v>
      </c>
      <c r="O2373" s="29">
        <v>44984.0</v>
      </c>
      <c r="P2373" s="30">
        <v>0.5229166666666667</v>
      </c>
      <c r="Q2373" s="29">
        <v>44984.0</v>
      </c>
      <c r="R2373" s="30">
        <v>0.5236111111111111</v>
      </c>
      <c r="S2373" s="28">
        <v>0.0</v>
      </c>
      <c r="T2373" s="23" t="s">
        <v>118</v>
      </c>
      <c r="U2373" s="6"/>
      <c r="V2373" s="6"/>
      <c r="W2373" s="35">
        <v>29.8176158</v>
      </c>
      <c r="X2373" s="35">
        <v>-95.3456203</v>
      </c>
      <c r="AA2373" s="33"/>
      <c r="AB2373" s="33"/>
      <c r="AC2373" s="33"/>
      <c r="AD2373" s="33"/>
      <c r="AE2373" s="33"/>
      <c r="AF2373" s="33"/>
      <c r="AG2373" s="33"/>
      <c r="AH2373" s="33"/>
      <c r="AI2373" s="33"/>
      <c r="AJ2373" s="33"/>
      <c r="AK2373" s="33"/>
      <c r="AL2373" s="33"/>
      <c r="AM2373" s="33"/>
      <c r="AN2373" s="33"/>
      <c r="AO2373" s="33"/>
    </row>
    <row r="2374" ht="15.75" customHeight="1">
      <c r="A2374" s="23">
        <v>51449.0</v>
      </c>
      <c r="B2374" s="23">
        <v>2023.0</v>
      </c>
      <c r="C2374" s="6" t="str">
        <f t="shared" si="7"/>
        <v>37  SOREN LN,Houston,TX</v>
      </c>
      <c r="D2374" s="23" t="s">
        <v>3726</v>
      </c>
      <c r="E2374" s="6" t="s">
        <v>25</v>
      </c>
      <c r="F2374" s="6" t="s">
        <v>1388</v>
      </c>
      <c r="G2374" s="31" t="s">
        <v>275</v>
      </c>
      <c r="H2374" s="23" t="s">
        <v>1977</v>
      </c>
      <c r="I2374" s="6" t="str">
        <f>VLOOKUP(H2374,'Flow Location'!$A$1:$B$21,2,FALSE)</f>
        <v>Bayou/surface water/drainage ditch</v>
      </c>
      <c r="J2374" s="28">
        <v>0.0</v>
      </c>
      <c r="K2374" s="23" t="s">
        <v>29</v>
      </c>
      <c r="L2374" s="6" t="str">
        <f>VLOOKUP(K2374,'Structure type'!$A$1:$B$15,2,FALSE)</f>
        <v>Manhole</v>
      </c>
      <c r="M2374" s="23" t="s">
        <v>30</v>
      </c>
      <c r="N2374" s="6" t="str">
        <f>VLOOKUP(M2374,'Excursion Cause'!$A$1:$B$34,2,FALSE)</f>
        <v>Grease Blockage</v>
      </c>
      <c r="O2374" s="29">
        <v>44984.0</v>
      </c>
      <c r="P2374" s="30">
        <v>0.50625</v>
      </c>
      <c r="Q2374" s="29">
        <v>44984.0</v>
      </c>
      <c r="R2374" s="30">
        <v>0.5069444444444444</v>
      </c>
      <c r="S2374" s="28">
        <v>0.0</v>
      </c>
      <c r="T2374" s="23" t="s">
        <v>33</v>
      </c>
      <c r="U2374" s="6"/>
      <c r="V2374" s="6"/>
      <c r="W2374" s="35">
        <v>29.8557786</v>
      </c>
      <c r="X2374" s="35">
        <v>-95.381543</v>
      </c>
      <c r="AA2374" s="33"/>
      <c r="AB2374" s="33"/>
      <c r="AC2374" s="33"/>
      <c r="AD2374" s="33"/>
      <c r="AE2374" s="33"/>
      <c r="AF2374" s="33"/>
      <c r="AG2374" s="33"/>
      <c r="AH2374" s="33"/>
      <c r="AI2374" s="33"/>
      <c r="AJ2374" s="33"/>
      <c r="AK2374" s="33"/>
      <c r="AL2374" s="33"/>
      <c r="AM2374" s="33"/>
      <c r="AN2374" s="33"/>
      <c r="AO2374" s="33"/>
    </row>
    <row r="2375" ht="15.75" customHeight="1">
      <c r="A2375" s="23">
        <v>51450.0</v>
      </c>
      <c r="B2375" s="23">
        <v>2023.0</v>
      </c>
      <c r="C2375" s="6" t="str">
        <f t="shared" si="7"/>
        <v>804  HARBOR ST,Houston,TX</v>
      </c>
      <c r="D2375" s="23" t="s">
        <v>3727</v>
      </c>
      <c r="E2375" s="6" t="s">
        <v>25</v>
      </c>
      <c r="F2375" s="6" t="s">
        <v>1388</v>
      </c>
      <c r="G2375" s="31" t="s">
        <v>86</v>
      </c>
      <c r="H2375" s="23" t="s">
        <v>50</v>
      </c>
      <c r="I2375" s="6" t="str">
        <f>VLOOKUP(H2375,'Flow Location'!$A$1:$B$21,2,FALSE)</f>
        <v>Contained On Site, not within 5 ft. of Bayou/Surface Water/Drainage Ditch</v>
      </c>
      <c r="J2375" s="28">
        <v>0.0</v>
      </c>
      <c r="K2375" s="23" t="s">
        <v>198</v>
      </c>
      <c r="L2375" s="6" t="str">
        <f>VLOOKUP(K2375,'Structure type'!$A$1:$B$15,2,FALSE)</f>
        <v>Service Lateral</v>
      </c>
      <c r="M2375" s="23" t="s">
        <v>52</v>
      </c>
      <c r="N2375" s="6" t="str">
        <f>VLOOKUP(M2375,'Excursion Cause'!$A$1:$B$34,2,FALSE)</f>
        <v>Collection system structural blockage</v>
      </c>
      <c r="O2375" s="29">
        <v>44984.0</v>
      </c>
      <c r="P2375" s="30">
        <v>0.5569444444444445</v>
      </c>
      <c r="Q2375" s="29">
        <v>44984.0</v>
      </c>
      <c r="R2375" s="30">
        <v>0.5576388888888889</v>
      </c>
      <c r="S2375" s="28">
        <v>0.0</v>
      </c>
      <c r="T2375" s="23" t="s">
        <v>54</v>
      </c>
      <c r="U2375" s="6"/>
      <c r="V2375" s="6"/>
      <c r="W2375" s="35">
        <v>29.7743366</v>
      </c>
      <c r="X2375" s="35">
        <v>-95.2949192999999</v>
      </c>
      <c r="AA2375" s="33"/>
      <c r="AB2375" s="33"/>
      <c r="AC2375" s="33"/>
      <c r="AD2375" s="33"/>
      <c r="AE2375" s="33"/>
      <c r="AF2375" s="33"/>
      <c r="AG2375" s="33"/>
      <c r="AH2375" s="33"/>
      <c r="AI2375" s="33"/>
      <c r="AJ2375" s="33"/>
      <c r="AK2375" s="33"/>
      <c r="AL2375" s="33"/>
      <c r="AM2375" s="33"/>
      <c r="AN2375" s="33"/>
      <c r="AO2375" s="33"/>
    </row>
    <row r="2376" ht="15.75" customHeight="1">
      <c r="A2376" s="23">
        <v>51452.0</v>
      </c>
      <c r="B2376" s="23">
        <v>2023.0</v>
      </c>
      <c r="C2376" s="6" t="str">
        <f t="shared" si="7"/>
        <v>3502  DARLINGHURST DR,Houston,TX</v>
      </c>
      <c r="D2376" s="23" t="s">
        <v>3728</v>
      </c>
      <c r="E2376" s="6" t="s">
        <v>25</v>
      </c>
      <c r="F2376" s="6" t="s">
        <v>1388</v>
      </c>
      <c r="G2376" s="31" t="s">
        <v>39</v>
      </c>
      <c r="H2376" s="23" t="s">
        <v>50</v>
      </c>
      <c r="I2376" s="6" t="str">
        <f>VLOOKUP(H2376,'Flow Location'!$A$1:$B$21,2,FALSE)</f>
        <v>Contained On Site, not within 5 ft. of Bayou/Surface Water/Drainage Ditch</v>
      </c>
      <c r="J2376" s="28">
        <v>555.0</v>
      </c>
      <c r="K2376" s="23" t="s">
        <v>29</v>
      </c>
      <c r="L2376" s="6" t="str">
        <f>VLOOKUP(K2376,'Structure type'!$A$1:$B$15,2,FALSE)</f>
        <v>Manhole</v>
      </c>
      <c r="M2376" s="23" t="s">
        <v>30</v>
      </c>
      <c r="N2376" s="6" t="str">
        <f>VLOOKUP(M2376,'Excursion Cause'!$A$1:$B$34,2,FALSE)</f>
        <v>Grease Blockage</v>
      </c>
      <c r="O2376" s="29">
        <v>44984.0</v>
      </c>
      <c r="P2376" s="30">
        <v>0.5520833333333334</v>
      </c>
      <c r="Q2376" s="29">
        <v>44984.0</v>
      </c>
      <c r="R2376" s="30">
        <v>0.6805555555555556</v>
      </c>
      <c r="S2376" s="28">
        <v>3.0</v>
      </c>
      <c r="T2376" s="23" t="s">
        <v>33</v>
      </c>
      <c r="U2376" s="6"/>
      <c r="V2376" s="6"/>
      <c r="W2376" s="35">
        <v>29.6236652</v>
      </c>
      <c r="X2376" s="35">
        <v>-95.4269815</v>
      </c>
      <c r="AA2376" s="33"/>
      <c r="AB2376" s="33"/>
      <c r="AC2376" s="33"/>
      <c r="AD2376" s="33"/>
      <c r="AE2376" s="33"/>
      <c r="AF2376" s="33"/>
      <c r="AG2376" s="33"/>
      <c r="AH2376" s="33"/>
      <c r="AI2376" s="33"/>
      <c r="AJ2376" s="33"/>
      <c r="AK2376" s="33"/>
      <c r="AL2376" s="33"/>
      <c r="AM2376" s="33"/>
      <c r="AN2376" s="33"/>
      <c r="AO2376" s="33"/>
    </row>
    <row r="2377" ht="15.75" customHeight="1">
      <c r="A2377" s="23">
        <v>51454.0</v>
      </c>
      <c r="B2377" s="23">
        <v>2023.0</v>
      </c>
      <c r="C2377" s="6" t="str">
        <f t="shared" si="7"/>
        <v>11974  NORTH FWY,Houston,TX</v>
      </c>
      <c r="D2377" s="23" t="s">
        <v>3729</v>
      </c>
      <c r="E2377" s="6" t="s">
        <v>25</v>
      </c>
      <c r="F2377" s="6" t="s">
        <v>1388</v>
      </c>
      <c r="G2377" s="31" t="s">
        <v>393</v>
      </c>
      <c r="H2377" s="23" t="s">
        <v>87</v>
      </c>
      <c r="I2377" s="6" t="str">
        <f>VLOOKUP(H2377,'Flow Location'!$A$1:$B$21,2,FALSE)</f>
        <v>Within 5 ft. of Bayou/Surface Water/Drainage Ditch</v>
      </c>
      <c r="J2377" s="28">
        <v>1175.0</v>
      </c>
      <c r="K2377" s="23" t="s">
        <v>29</v>
      </c>
      <c r="L2377" s="6" t="str">
        <f>VLOOKUP(K2377,'Structure type'!$A$1:$B$15,2,FALSE)</f>
        <v>Manhole</v>
      </c>
      <c r="M2377" s="23" t="s">
        <v>30</v>
      </c>
      <c r="N2377" s="6" t="str">
        <f>VLOOKUP(M2377,'Excursion Cause'!$A$1:$B$34,2,FALSE)</f>
        <v>Grease Blockage</v>
      </c>
      <c r="O2377" s="29">
        <v>44984.0</v>
      </c>
      <c r="P2377" s="30">
        <v>0.5520833333333334</v>
      </c>
      <c r="Q2377" s="29">
        <v>44984.0</v>
      </c>
      <c r="R2377" s="30">
        <v>0.7152777777777778</v>
      </c>
      <c r="S2377" s="28">
        <v>5.0</v>
      </c>
      <c r="T2377" s="23" t="s">
        <v>59</v>
      </c>
      <c r="U2377" s="6"/>
      <c r="V2377" s="6"/>
      <c r="W2377" s="35">
        <v>29.9385837</v>
      </c>
      <c r="X2377" s="35">
        <v>-95.4119546</v>
      </c>
      <c r="AA2377" s="33"/>
      <c r="AB2377" s="33"/>
      <c r="AC2377" s="33"/>
      <c r="AD2377" s="33"/>
      <c r="AE2377" s="33"/>
      <c r="AF2377" s="33"/>
      <c r="AG2377" s="33"/>
      <c r="AH2377" s="33"/>
      <c r="AI2377" s="33"/>
      <c r="AJ2377" s="33"/>
      <c r="AK2377" s="33"/>
      <c r="AL2377" s="33"/>
      <c r="AM2377" s="33"/>
      <c r="AN2377" s="33"/>
      <c r="AO2377" s="33"/>
    </row>
    <row r="2378" ht="15.75" customHeight="1">
      <c r="A2378" s="23">
        <v>51456.0</v>
      </c>
      <c r="B2378" s="23">
        <v>2023.0</v>
      </c>
      <c r="C2378" s="6" t="str">
        <f t="shared" si="7"/>
        <v>5335 W GULF BANK RD,Houston,TX</v>
      </c>
      <c r="D2378" s="23" t="s">
        <v>3730</v>
      </c>
      <c r="E2378" s="6" t="s">
        <v>25</v>
      </c>
      <c r="F2378" s="6" t="s">
        <v>1388</v>
      </c>
      <c r="G2378" s="31" t="s">
        <v>502</v>
      </c>
      <c r="H2378" s="23" t="s">
        <v>28</v>
      </c>
      <c r="I2378" s="6" t="str">
        <f>VLOOKUP(H2378,'Flow Location'!$A$1:$B$21,2,FALSE)</f>
        <v>Storm Sewer (not contained)</v>
      </c>
      <c r="J2378" s="28">
        <v>530.0</v>
      </c>
      <c r="K2378" s="23" t="s">
        <v>29</v>
      </c>
      <c r="L2378" s="6" t="str">
        <f>VLOOKUP(K2378,'Structure type'!$A$1:$B$15,2,FALSE)</f>
        <v>Manhole</v>
      </c>
      <c r="M2378" s="23" t="s">
        <v>30</v>
      </c>
      <c r="N2378" s="6" t="str">
        <f>VLOOKUP(M2378,'Excursion Cause'!$A$1:$B$34,2,FALSE)</f>
        <v>Grease Blockage</v>
      </c>
      <c r="O2378" s="29">
        <v>44984.0</v>
      </c>
      <c r="P2378" s="30">
        <v>0.5854166666666667</v>
      </c>
      <c r="Q2378" s="29">
        <v>44984.0</v>
      </c>
      <c r="R2378" s="30">
        <v>0.7694444444444445</v>
      </c>
      <c r="S2378" s="28">
        <v>2.0</v>
      </c>
      <c r="T2378" s="23" t="s">
        <v>33</v>
      </c>
      <c r="U2378" s="6"/>
      <c r="V2378" s="6"/>
      <c r="W2378" s="35">
        <v>29.8819584</v>
      </c>
      <c r="X2378" s="35">
        <v>-95.4656991999999</v>
      </c>
      <c r="AA2378" s="33"/>
      <c r="AB2378" s="33"/>
      <c r="AC2378" s="33"/>
      <c r="AD2378" s="33"/>
      <c r="AE2378" s="33"/>
      <c r="AF2378" s="33"/>
      <c r="AG2378" s="33"/>
      <c r="AH2378" s="33"/>
      <c r="AI2378" s="33"/>
      <c r="AJ2378" s="33"/>
      <c r="AK2378" s="33"/>
      <c r="AL2378" s="33"/>
      <c r="AM2378" s="33"/>
      <c r="AN2378" s="33"/>
      <c r="AO2378" s="33"/>
    </row>
    <row r="2379" ht="15.75" customHeight="1">
      <c r="A2379" s="23">
        <v>51464.0</v>
      </c>
      <c r="B2379" s="23">
        <v>2023.0</v>
      </c>
      <c r="C2379" s="6" t="str">
        <f t="shared" si="7"/>
        <v>1126 W 21ST ST,Houston,TX</v>
      </c>
      <c r="D2379" s="23" t="s">
        <v>3731</v>
      </c>
      <c r="E2379" s="6" t="s">
        <v>25</v>
      </c>
      <c r="F2379" s="6" t="s">
        <v>1388</v>
      </c>
      <c r="G2379" s="31" t="s">
        <v>232</v>
      </c>
      <c r="H2379" s="23" t="s">
        <v>28</v>
      </c>
      <c r="I2379" s="6" t="str">
        <f>VLOOKUP(H2379,'Flow Location'!$A$1:$B$21,2,FALSE)</f>
        <v>Storm Sewer (not contained)</v>
      </c>
      <c r="J2379" s="28">
        <v>332.0</v>
      </c>
      <c r="K2379" s="23" t="s">
        <v>290</v>
      </c>
      <c r="L2379" s="6" t="str">
        <f>VLOOKUP(K2379,'Structure type'!$A$1:$B$15,2,FALSE)</f>
        <v>Gravity Main</v>
      </c>
      <c r="M2379" s="23" t="s">
        <v>96</v>
      </c>
      <c r="N2379" s="6" t="str">
        <f>VLOOKUP(M2379,'Excursion Cause'!$A$1:$B$34,2,FALSE)</f>
        <v>Collection system temporary blockage</v>
      </c>
      <c r="O2379" s="29">
        <v>44985.0</v>
      </c>
      <c r="P2379" s="30">
        <v>0.39861111111111114</v>
      </c>
      <c r="Q2379" s="29">
        <v>44985.0</v>
      </c>
      <c r="R2379" s="30">
        <v>0.5138888888888888</v>
      </c>
      <c r="S2379" s="28">
        <v>2.0</v>
      </c>
      <c r="T2379" s="23" t="s">
        <v>118</v>
      </c>
      <c r="U2379" s="6"/>
      <c r="V2379" s="6"/>
      <c r="W2379" s="35">
        <v>29.80447</v>
      </c>
      <c r="X2379" s="35">
        <v>-95.4193806999999</v>
      </c>
      <c r="AA2379" s="33"/>
      <c r="AB2379" s="33"/>
      <c r="AC2379" s="33"/>
      <c r="AD2379" s="33"/>
      <c r="AE2379" s="33"/>
      <c r="AF2379" s="33"/>
      <c r="AG2379" s="33"/>
      <c r="AH2379" s="33"/>
      <c r="AI2379" s="33"/>
      <c r="AJ2379" s="33"/>
      <c r="AK2379" s="33"/>
      <c r="AL2379" s="33"/>
      <c r="AM2379" s="33"/>
      <c r="AN2379" s="33"/>
      <c r="AO2379" s="33"/>
    </row>
    <row r="2380" ht="15.75" customHeight="1">
      <c r="A2380" s="23">
        <v>51466.0</v>
      </c>
      <c r="B2380" s="23">
        <v>2023.0</v>
      </c>
      <c r="C2380" s="6" t="str">
        <f t="shared" si="7"/>
        <v>8100  BELLAIRE BLVD,Houston,TX</v>
      </c>
      <c r="D2380" s="23" t="s">
        <v>3732</v>
      </c>
      <c r="E2380" s="6" t="s">
        <v>25</v>
      </c>
      <c r="F2380" s="6" t="s">
        <v>1388</v>
      </c>
      <c r="G2380" s="31" t="s">
        <v>100</v>
      </c>
      <c r="H2380" s="23" t="s">
        <v>50</v>
      </c>
      <c r="I2380" s="6" t="str">
        <f>VLOOKUP(H2380,'Flow Location'!$A$1:$B$21,2,FALSE)</f>
        <v>Contained On Site, not within 5 ft. of Bayou/Surface Water/Drainage Ditch</v>
      </c>
      <c r="J2380" s="28">
        <v>0.0</v>
      </c>
      <c r="K2380" s="23" t="s">
        <v>29</v>
      </c>
      <c r="L2380" s="6" t="str">
        <f>VLOOKUP(K2380,'Structure type'!$A$1:$B$15,2,FALSE)</f>
        <v>Manhole</v>
      </c>
      <c r="M2380" s="23" t="s">
        <v>81</v>
      </c>
      <c r="N2380" s="6" t="str">
        <f>VLOOKUP(M2380,'Excursion Cause'!$A$1:$B$34,2,FALSE)</f>
        <v>Collection system structural failure</v>
      </c>
      <c r="O2380" s="29">
        <v>44985.0</v>
      </c>
      <c r="P2380" s="30">
        <v>0.43472222222222223</v>
      </c>
      <c r="Q2380" s="29">
        <v>44985.0</v>
      </c>
      <c r="R2380" s="30">
        <v>0.4354166666666667</v>
      </c>
      <c r="S2380" s="28">
        <v>0.0</v>
      </c>
      <c r="T2380" s="23" t="s">
        <v>54</v>
      </c>
      <c r="U2380" s="6"/>
      <c r="V2380" s="6"/>
      <c r="W2380" s="35">
        <v>29.7060547</v>
      </c>
      <c r="X2380" s="35">
        <v>-95.527282</v>
      </c>
      <c r="AA2380" s="33"/>
      <c r="AB2380" s="33"/>
      <c r="AC2380" s="33"/>
      <c r="AD2380" s="33"/>
      <c r="AE2380" s="33"/>
      <c r="AF2380" s="33"/>
      <c r="AG2380" s="33"/>
      <c r="AH2380" s="33"/>
      <c r="AI2380" s="33"/>
      <c r="AJ2380" s="33"/>
      <c r="AK2380" s="33"/>
      <c r="AL2380" s="33"/>
      <c r="AM2380" s="33"/>
      <c r="AN2380" s="33"/>
      <c r="AO2380" s="33"/>
    </row>
    <row r="2381" ht="15.75" customHeight="1">
      <c r="A2381" s="23">
        <v>51467.0</v>
      </c>
      <c r="B2381" s="23">
        <v>2023.0</v>
      </c>
      <c r="C2381" s="6" t="str">
        <f t="shared" si="7"/>
        <v>5301  COLLINGSWORTH ST,Houston,TX</v>
      </c>
      <c r="D2381" s="23" t="s">
        <v>3545</v>
      </c>
      <c r="E2381" s="6" t="s">
        <v>25</v>
      </c>
      <c r="F2381" s="6" t="s">
        <v>1388</v>
      </c>
      <c r="G2381" s="31" t="s">
        <v>43</v>
      </c>
      <c r="H2381" s="23" t="s">
        <v>50</v>
      </c>
      <c r="I2381" s="6" t="str">
        <f>VLOOKUP(H2381,'Flow Location'!$A$1:$B$21,2,FALSE)</f>
        <v>Contained On Site, not within 5 ft. of Bayou/Surface Water/Drainage Ditch</v>
      </c>
      <c r="J2381" s="28">
        <v>241.0</v>
      </c>
      <c r="K2381" s="23" t="s">
        <v>45</v>
      </c>
      <c r="L2381" s="6" t="str">
        <f>VLOOKUP(K2381,'Structure type'!$A$1:$B$15,2,FALSE)</f>
        <v>City Cleanout</v>
      </c>
      <c r="M2381" s="23" t="s">
        <v>56</v>
      </c>
      <c r="N2381" s="6" t="str">
        <f>VLOOKUP(M2381,'Excursion Cause'!$A$1:$B$34,2,FALSE)</f>
        <v>Rags/Wipes</v>
      </c>
      <c r="O2381" s="29">
        <v>44985.0</v>
      </c>
      <c r="P2381" s="30">
        <v>0.44375</v>
      </c>
      <c r="Q2381" s="29">
        <v>44985.0</v>
      </c>
      <c r="R2381" s="30">
        <v>0.6111111111111112</v>
      </c>
      <c r="S2381" s="28">
        <v>1.0</v>
      </c>
      <c r="T2381" s="23" t="s">
        <v>170</v>
      </c>
      <c r="U2381" s="6"/>
      <c r="V2381" s="6"/>
      <c r="W2381" s="35">
        <v>29.7938933</v>
      </c>
      <c r="X2381" s="35">
        <v>-95.3176637</v>
      </c>
      <c r="AA2381" s="33"/>
      <c r="AB2381" s="33"/>
      <c r="AC2381" s="33"/>
      <c r="AD2381" s="33"/>
      <c r="AE2381" s="33"/>
      <c r="AF2381" s="33"/>
      <c r="AG2381" s="33"/>
      <c r="AH2381" s="33"/>
      <c r="AI2381" s="33"/>
      <c r="AJ2381" s="33"/>
      <c r="AK2381" s="33"/>
      <c r="AL2381" s="33"/>
      <c r="AM2381" s="33"/>
      <c r="AN2381" s="33"/>
      <c r="AO2381" s="33"/>
    </row>
    <row r="2382" ht="15.75" customHeight="1">
      <c r="A2382" s="23">
        <v>51468.0</v>
      </c>
      <c r="B2382" s="23">
        <v>2023.0</v>
      </c>
      <c r="C2382" s="6" t="str">
        <f t="shared" si="7"/>
        <v>6922 S LOOP FWY,Houston,TX</v>
      </c>
      <c r="D2382" s="23" t="s">
        <v>3733</v>
      </c>
      <c r="E2382" s="6" t="s">
        <v>25</v>
      </c>
      <c r="F2382" s="6" t="s">
        <v>1388</v>
      </c>
      <c r="G2382" s="31" t="s">
        <v>135</v>
      </c>
      <c r="H2382" s="23" t="s">
        <v>28</v>
      </c>
      <c r="I2382" s="6" t="str">
        <f>VLOOKUP(H2382,'Flow Location'!$A$1:$B$21,2,FALSE)</f>
        <v>Storm Sewer (not contained)</v>
      </c>
      <c r="J2382" s="28">
        <v>276.0</v>
      </c>
      <c r="K2382" s="23" t="s">
        <v>29</v>
      </c>
      <c r="L2382" s="6" t="str">
        <f>VLOOKUP(K2382,'Structure type'!$A$1:$B$15,2,FALSE)</f>
        <v>Manhole</v>
      </c>
      <c r="M2382" s="23" t="s">
        <v>30</v>
      </c>
      <c r="N2382" s="6" t="str">
        <f>VLOOKUP(M2382,'Excursion Cause'!$A$1:$B$34,2,FALSE)</f>
        <v>Grease Blockage</v>
      </c>
      <c r="O2382" s="29">
        <v>44985.0</v>
      </c>
      <c r="P2382" s="30">
        <v>0.4840277777777778</v>
      </c>
      <c r="Q2382" s="29">
        <v>44985.0</v>
      </c>
      <c r="R2382" s="30">
        <v>0.5798611111111112</v>
      </c>
      <c r="S2382" s="28">
        <v>2.0</v>
      </c>
      <c r="T2382" s="23" t="s">
        <v>33</v>
      </c>
      <c r="U2382" s="6"/>
      <c r="V2382" s="6"/>
      <c r="W2382" s="35">
        <v>29.7085112</v>
      </c>
      <c r="X2382" s="35">
        <v>-95.2709665</v>
      </c>
      <c r="AA2382" s="33"/>
      <c r="AB2382" s="33"/>
      <c r="AC2382" s="33"/>
      <c r="AD2382" s="33"/>
      <c r="AE2382" s="33"/>
      <c r="AF2382" s="33"/>
      <c r="AG2382" s="33"/>
      <c r="AH2382" s="33"/>
      <c r="AI2382" s="33"/>
      <c r="AJ2382" s="33"/>
      <c r="AK2382" s="33"/>
      <c r="AL2382" s="33"/>
      <c r="AM2382" s="33"/>
      <c r="AN2382" s="33"/>
      <c r="AO2382" s="33"/>
    </row>
    <row r="2383" ht="15.75" customHeight="1">
      <c r="A2383" s="23">
        <v>51469.0</v>
      </c>
      <c r="B2383" s="23">
        <v>2023.0</v>
      </c>
      <c r="C2383" s="6" t="str">
        <f t="shared" si="7"/>
        <v>8175  OGDEN ST,Houston,TX</v>
      </c>
      <c r="D2383" s="23" t="s">
        <v>3734</v>
      </c>
      <c r="E2383" s="6" t="s">
        <v>25</v>
      </c>
      <c r="F2383" s="6" t="s">
        <v>1388</v>
      </c>
      <c r="G2383" s="31" t="s">
        <v>135</v>
      </c>
      <c r="H2383" s="23" t="s">
        <v>28</v>
      </c>
      <c r="I2383" s="6" t="str">
        <f>VLOOKUP(H2383,'Flow Location'!$A$1:$B$21,2,FALSE)</f>
        <v>Storm Sewer (not contained)</v>
      </c>
      <c r="J2383" s="28">
        <v>239.0</v>
      </c>
      <c r="K2383" s="23" t="s">
        <v>45</v>
      </c>
      <c r="L2383" s="6" t="str">
        <f>VLOOKUP(K2383,'Structure type'!$A$1:$B$15,2,FALSE)</f>
        <v>City Cleanout</v>
      </c>
      <c r="M2383" s="23" t="s">
        <v>56</v>
      </c>
      <c r="N2383" s="6" t="str">
        <f>VLOOKUP(M2383,'Excursion Cause'!$A$1:$B$34,2,FALSE)</f>
        <v>Rags/Wipes</v>
      </c>
      <c r="O2383" s="29">
        <v>44985.0</v>
      </c>
      <c r="P2383" s="30">
        <v>0.4777777777777778</v>
      </c>
      <c r="Q2383" s="29">
        <v>44985.0</v>
      </c>
      <c r="R2383" s="30">
        <v>0.64375</v>
      </c>
      <c r="S2383" s="28">
        <v>1.0</v>
      </c>
      <c r="T2383" s="23" t="s">
        <v>270</v>
      </c>
      <c r="U2383" s="6"/>
      <c r="V2383" s="6"/>
      <c r="W2383" s="35">
        <v>29.6846621</v>
      </c>
      <c r="X2383" s="35">
        <v>-95.2705864</v>
      </c>
      <c r="AA2383" s="33"/>
      <c r="AB2383" s="33"/>
      <c r="AC2383" s="33"/>
      <c r="AD2383" s="33"/>
      <c r="AE2383" s="33"/>
      <c r="AF2383" s="33"/>
      <c r="AG2383" s="33"/>
      <c r="AH2383" s="33"/>
      <c r="AI2383" s="33"/>
      <c r="AJ2383" s="33"/>
      <c r="AK2383" s="33"/>
      <c r="AL2383" s="33"/>
      <c r="AM2383" s="33"/>
      <c r="AN2383" s="33"/>
      <c r="AO2383" s="33"/>
    </row>
    <row r="2384" ht="15.75" customHeight="1">
      <c r="A2384" s="23">
        <v>51471.0</v>
      </c>
      <c r="B2384" s="23">
        <v>2023.0</v>
      </c>
      <c r="C2384" s="6" t="str">
        <f t="shared" si="7"/>
        <v>8227  JET PILOT AVE,Houston,TX</v>
      </c>
      <c r="D2384" s="23" t="s">
        <v>3735</v>
      </c>
      <c r="E2384" s="6" t="s">
        <v>25</v>
      </c>
      <c r="F2384" s="6" t="s">
        <v>1388</v>
      </c>
      <c r="G2384" s="31" t="s">
        <v>95</v>
      </c>
      <c r="H2384" s="23" t="s">
        <v>50</v>
      </c>
      <c r="I2384" s="6" t="str">
        <f>VLOOKUP(H2384,'Flow Location'!$A$1:$B$21,2,FALSE)</f>
        <v>Contained On Site, not within 5 ft. of Bayou/Surface Water/Drainage Ditch</v>
      </c>
      <c r="J2384" s="28">
        <v>0.0</v>
      </c>
      <c r="K2384" s="23" t="s">
        <v>45</v>
      </c>
      <c r="L2384" s="6" t="str">
        <f>VLOOKUP(K2384,'Structure type'!$A$1:$B$15,2,FALSE)</f>
        <v>City Cleanout</v>
      </c>
      <c r="M2384" s="23" t="s">
        <v>30</v>
      </c>
      <c r="N2384" s="6" t="str">
        <f>VLOOKUP(M2384,'Excursion Cause'!$A$1:$B$34,2,FALSE)</f>
        <v>Grease Blockage</v>
      </c>
      <c r="O2384" s="29">
        <v>44985.0</v>
      </c>
      <c r="P2384" s="30">
        <v>0.5395833333333333</v>
      </c>
      <c r="Q2384" s="29">
        <v>44985.0</v>
      </c>
      <c r="R2384" s="30">
        <v>0.5402777777777777</v>
      </c>
      <c r="S2384" s="28">
        <v>0.0</v>
      </c>
      <c r="T2384" s="23" t="s">
        <v>89</v>
      </c>
      <c r="U2384" s="6"/>
      <c r="V2384" s="6"/>
      <c r="W2384" s="35">
        <v>29.6332635</v>
      </c>
      <c r="X2384" s="35">
        <v>-95.2725047</v>
      </c>
      <c r="AA2384" s="33"/>
      <c r="AB2384" s="33"/>
      <c r="AC2384" s="33"/>
      <c r="AD2384" s="33"/>
      <c r="AE2384" s="33"/>
      <c r="AF2384" s="33"/>
      <c r="AG2384" s="33"/>
      <c r="AH2384" s="33"/>
      <c r="AI2384" s="33"/>
      <c r="AJ2384" s="33"/>
      <c r="AK2384" s="33"/>
      <c r="AL2384" s="33"/>
      <c r="AM2384" s="33"/>
      <c r="AN2384" s="33"/>
      <c r="AO2384" s="33"/>
    </row>
    <row r="2385" ht="15.75" customHeight="1">
      <c r="A2385" s="23">
        <v>51480.0</v>
      </c>
      <c r="B2385" s="23">
        <v>2023.0</v>
      </c>
      <c r="C2385" s="6" t="str">
        <f t="shared" si="7"/>
        <v>1811  CALUMET ST,Houston,TX</v>
      </c>
      <c r="D2385" s="23" t="s">
        <v>3736</v>
      </c>
      <c r="E2385" s="6" t="s">
        <v>25</v>
      </c>
      <c r="F2385" s="6" t="s">
        <v>1388</v>
      </c>
      <c r="G2385" s="31" t="s">
        <v>308</v>
      </c>
      <c r="H2385" s="23" t="s">
        <v>28</v>
      </c>
      <c r="I2385" s="6" t="str">
        <f>VLOOKUP(H2385,'Flow Location'!$A$1:$B$21,2,FALSE)</f>
        <v>Storm Sewer (not contained)</v>
      </c>
      <c r="J2385" s="28">
        <v>206.0</v>
      </c>
      <c r="K2385" s="23" t="s">
        <v>45</v>
      </c>
      <c r="L2385" s="6" t="str">
        <f>VLOOKUP(K2385,'Structure type'!$A$1:$B$15,2,FALSE)</f>
        <v>City Cleanout</v>
      </c>
      <c r="M2385" s="23" t="s">
        <v>30</v>
      </c>
      <c r="N2385" s="6" t="str">
        <f>VLOOKUP(M2385,'Excursion Cause'!$A$1:$B$34,2,FALSE)</f>
        <v>Grease Blockage</v>
      </c>
      <c r="O2385" s="29">
        <v>44985.0</v>
      </c>
      <c r="P2385" s="30">
        <v>0.7173611111111111</v>
      </c>
      <c r="Q2385" s="29">
        <v>44985.0</v>
      </c>
      <c r="R2385" s="30">
        <v>0.8125</v>
      </c>
      <c r="S2385" s="28">
        <v>2.0</v>
      </c>
      <c r="T2385" s="23" t="s">
        <v>74</v>
      </c>
      <c r="U2385" s="6"/>
      <c r="V2385" s="6"/>
      <c r="W2385" s="35">
        <v>29.7224314</v>
      </c>
      <c r="X2385" s="35">
        <v>-95.381402</v>
      </c>
      <c r="AA2385" s="33"/>
      <c r="AB2385" s="33"/>
      <c r="AC2385" s="33"/>
      <c r="AD2385" s="33"/>
      <c r="AE2385" s="33"/>
      <c r="AF2385" s="33"/>
      <c r="AG2385" s="33"/>
      <c r="AH2385" s="33"/>
      <c r="AI2385" s="33"/>
      <c r="AJ2385" s="33"/>
      <c r="AK2385" s="33"/>
      <c r="AL2385" s="33"/>
      <c r="AM2385" s="33"/>
      <c r="AN2385" s="33"/>
      <c r="AO2385" s="33"/>
    </row>
    <row r="2386" ht="15.75" customHeight="1">
      <c r="A2386" s="23">
        <v>51490.0</v>
      </c>
      <c r="B2386" s="23">
        <v>2023.0</v>
      </c>
      <c r="C2386" s="6" t="str">
        <f t="shared" si="7"/>
        <v>6010  SUNNYCREST ST,Houston,TX</v>
      </c>
      <c r="D2386" s="23" t="s">
        <v>3737</v>
      </c>
      <c r="E2386" s="6" t="s">
        <v>25</v>
      </c>
      <c r="F2386" s="6" t="s">
        <v>1388</v>
      </c>
      <c r="G2386" s="31" t="s">
        <v>35</v>
      </c>
      <c r="H2386" s="23" t="s">
        <v>50</v>
      </c>
      <c r="I2386" s="6" t="str">
        <f>VLOOKUP(H2386,'Flow Location'!$A$1:$B$21,2,FALSE)</f>
        <v>Contained On Site, not within 5 ft. of Bayou/Surface Water/Drainage Ditch</v>
      </c>
      <c r="J2386" s="28">
        <v>0.0</v>
      </c>
      <c r="K2386" s="23" t="s">
        <v>29</v>
      </c>
      <c r="L2386" s="6" t="str">
        <f>VLOOKUP(K2386,'Structure type'!$A$1:$B$15,2,FALSE)</f>
        <v>Manhole</v>
      </c>
      <c r="M2386" s="23" t="s">
        <v>30</v>
      </c>
      <c r="N2386" s="6" t="str">
        <f>VLOOKUP(M2386,'Excursion Cause'!$A$1:$B$34,2,FALSE)</f>
        <v>Grease Blockage</v>
      </c>
      <c r="O2386" s="29">
        <v>44986.0</v>
      </c>
      <c r="P2386" s="30">
        <v>0.5520833333333334</v>
      </c>
      <c r="Q2386" s="29">
        <v>44986.0</v>
      </c>
      <c r="R2386" s="30">
        <v>0.5527777777777778</v>
      </c>
      <c r="S2386" s="28">
        <v>0.0</v>
      </c>
      <c r="T2386" s="23" t="s">
        <v>33</v>
      </c>
      <c r="U2386" s="6"/>
      <c r="V2386" s="6"/>
      <c r="W2386" s="35">
        <v>29.6900196999999</v>
      </c>
      <c r="X2386" s="35">
        <v>-95.3223817</v>
      </c>
      <c r="AA2386" s="33"/>
      <c r="AB2386" s="33"/>
      <c r="AC2386" s="33"/>
      <c r="AD2386" s="33"/>
      <c r="AE2386" s="33"/>
      <c r="AF2386" s="33"/>
      <c r="AG2386" s="33"/>
      <c r="AH2386" s="33"/>
      <c r="AI2386" s="33"/>
      <c r="AJ2386" s="33"/>
      <c r="AK2386" s="33"/>
      <c r="AL2386" s="33"/>
      <c r="AM2386" s="33"/>
      <c r="AN2386" s="33"/>
      <c r="AO2386" s="33"/>
    </row>
    <row r="2387" ht="15.75" customHeight="1">
      <c r="A2387" s="23">
        <v>51492.0</v>
      </c>
      <c r="B2387" s="23">
        <v>2023.0</v>
      </c>
      <c r="C2387" s="6" t="str">
        <f t="shared" si="7"/>
        <v>2523  MAXROY ST,Houston,TX</v>
      </c>
      <c r="D2387" s="23" t="s">
        <v>3738</v>
      </c>
      <c r="E2387" s="6" t="s">
        <v>25</v>
      </c>
      <c r="F2387" s="6" t="s">
        <v>1388</v>
      </c>
      <c r="G2387" s="31" t="s">
        <v>158</v>
      </c>
      <c r="H2387" s="23" t="s">
        <v>28</v>
      </c>
      <c r="I2387" s="6" t="str">
        <f>VLOOKUP(H2387,'Flow Location'!$A$1:$B$21,2,FALSE)</f>
        <v>Storm Sewer (not contained)</v>
      </c>
      <c r="J2387" s="28">
        <v>0.0</v>
      </c>
      <c r="K2387" s="23" t="s">
        <v>45</v>
      </c>
      <c r="L2387" s="6" t="str">
        <f>VLOOKUP(K2387,'Structure type'!$A$1:$B$15,2,FALSE)</f>
        <v>City Cleanout</v>
      </c>
      <c r="M2387" s="23" t="s">
        <v>81</v>
      </c>
      <c r="N2387" s="6" t="str">
        <f>VLOOKUP(M2387,'Excursion Cause'!$A$1:$B$34,2,FALSE)</f>
        <v>Collection system structural failure</v>
      </c>
      <c r="O2387" s="29">
        <v>44986.0</v>
      </c>
      <c r="P2387" s="30">
        <v>0.58125</v>
      </c>
      <c r="Q2387" s="29">
        <v>44986.0</v>
      </c>
      <c r="R2387" s="30">
        <v>0.5819444444444445</v>
      </c>
      <c r="S2387" s="28">
        <v>0.0</v>
      </c>
      <c r="T2387" s="23" t="s">
        <v>170</v>
      </c>
      <c r="U2387" s="6"/>
      <c r="V2387" s="6"/>
      <c r="W2387" s="35">
        <v>29.7817507</v>
      </c>
      <c r="X2387" s="35">
        <v>-95.4313713</v>
      </c>
      <c r="AA2387" s="33"/>
      <c r="AB2387" s="33"/>
      <c r="AC2387" s="33"/>
      <c r="AD2387" s="33"/>
      <c r="AE2387" s="33"/>
      <c r="AF2387" s="33"/>
      <c r="AG2387" s="33"/>
      <c r="AH2387" s="33"/>
      <c r="AI2387" s="33"/>
      <c r="AJ2387" s="33"/>
      <c r="AK2387" s="33"/>
      <c r="AL2387" s="33"/>
      <c r="AM2387" s="33"/>
      <c r="AN2387" s="33"/>
      <c r="AO2387" s="33"/>
    </row>
    <row r="2388" ht="15.75" customHeight="1">
      <c r="A2388" s="23">
        <v>51494.0</v>
      </c>
      <c r="B2388" s="23">
        <v>2023.0</v>
      </c>
      <c r="C2388" s="6" t="str">
        <f t="shared" si="7"/>
        <v>2409  ABERNATHY ST,Houston,TX</v>
      </c>
      <c r="D2388" s="23" t="s">
        <v>3739</v>
      </c>
      <c r="E2388" s="6" t="s">
        <v>25</v>
      </c>
      <c r="F2388" s="6" t="s">
        <v>1388</v>
      </c>
      <c r="G2388" s="31" t="s">
        <v>43</v>
      </c>
      <c r="H2388" s="23" t="s">
        <v>50</v>
      </c>
      <c r="I2388" s="6" t="str">
        <f>VLOOKUP(H2388,'Flow Location'!$A$1:$B$21,2,FALSE)</f>
        <v>Contained On Site, not within 5 ft. of Bayou/Surface Water/Drainage Ditch</v>
      </c>
      <c r="J2388" s="28">
        <v>0.0</v>
      </c>
      <c r="K2388" s="23" t="s">
        <v>29</v>
      </c>
      <c r="L2388" s="6" t="str">
        <f>VLOOKUP(K2388,'Structure type'!$A$1:$B$15,2,FALSE)</f>
        <v>Manhole</v>
      </c>
      <c r="M2388" s="23" t="s">
        <v>30</v>
      </c>
      <c r="N2388" s="6" t="str">
        <f>VLOOKUP(M2388,'Excursion Cause'!$A$1:$B$34,2,FALSE)</f>
        <v>Grease Blockage</v>
      </c>
      <c r="O2388" s="29">
        <v>44986.0</v>
      </c>
      <c r="P2388" s="30">
        <v>0.6888888888888889</v>
      </c>
      <c r="Q2388" s="29">
        <v>44986.0</v>
      </c>
      <c r="R2388" s="30">
        <v>0.6895833333333333</v>
      </c>
      <c r="S2388" s="28">
        <v>0.0</v>
      </c>
      <c r="T2388" s="23" t="s">
        <v>33</v>
      </c>
      <c r="U2388" s="6"/>
      <c r="V2388" s="6"/>
      <c r="W2388" s="35">
        <v>29.7844744</v>
      </c>
      <c r="X2388" s="35">
        <v>-95.3288547</v>
      </c>
      <c r="AA2388" s="33"/>
      <c r="AB2388" s="33"/>
      <c r="AC2388" s="33"/>
      <c r="AD2388" s="33"/>
      <c r="AE2388" s="33"/>
      <c r="AF2388" s="33"/>
      <c r="AG2388" s="33"/>
      <c r="AH2388" s="33"/>
      <c r="AI2388" s="33"/>
      <c r="AJ2388" s="33"/>
      <c r="AK2388" s="33"/>
      <c r="AL2388" s="33"/>
      <c r="AM2388" s="33"/>
      <c r="AN2388" s="33"/>
      <c r="AO2388" s="33"/>
    </row>
    <row r="2389" ht="15.75" customHeight="1">
      <c r="A2389" s="23">
        <v>51502.0</v>
      </c>
      <c r="B2389" s="23">
        <v>2023.0</v>
      </c>
      <c r="C2389" s="6" t="str">
        <f t="shared" si="7"/>
        <v>1414  DEL NORTE ST,Houston,TX</v>
      </c>
      <c r="D2389" s="23" t="s">
        <v>3740</v>
      </c>
      <c r="E2389" s="6" t="s">
        <v>25</v>
      </c>
      <c r="F2389" s="6" t="s">
        <v>1388</v>
      </c>
      <c r="G2389" s="31" t="s">
        <v>218</v>
      </c>
      <c r="H2389" s="23" t="s">
        <v>50</v>
      </c>
      <c r="I2389" s="6" t="str">
        <f>VLOOKUP(H2389,'Flow Location'!$A$1:$B$21,2,FALSE)</f>
        <v>Contained On Site, not within 5 ft. of Bayou/Surface Water/Drainage Ditch</v>
      </c>
      <c r="J2389" s="28">
        <v>0.0</v>
      </c>
      <c r="K2389" s="23" t="s">
        <v>45</v>
      </c>
      <c r="L2389" s="6" t="str">
        <f>VLOOKUP(K2389,'Structure type'!$A$1:$B$15,2,FALSE)</f>
        <v>City Cleanout</v>
      </c>
      <c r="M2389" s="23" t="s">
        <v>52</v>
      </c>
      <c r="N2389" s="6" t="str">
        <f>VLOOKUP(M2389,'Excursion Cause'!$A$1:$B$34,2,FALSE)</f>
        <v>Collection system structural blockage</v>
      </c>
      <c r="O2389" s="29">
        <v>44987.0</v>
      </c>
      <c r="P2389" s="30">
        <v>0.5965277777777778</v>
      </c>
      <c r="Q2389" s="29">
        <v>44987.0</v>
      </c>
      <c r="R2389" s="30">
        <v>0.5972222222222222</v>
      </c>
      <c r="S2389" s="28">
        <v>0.0</v>
      </c>
      <c r="T2389" s="23" t="s">
        <v>170</v>
      </c>
      <c r="U2389" s="6"/>
      <c r="V2389" s="6"/>
      <c r="W2389" s="35">
        <v>29.8399446</v>
      </c>
      <c r="X2389" s="35">
        <v>-95.4370194999999</v>
      </c>
      <c r="AA2389" s="33"/>
      <c r="AB2389" s="33"/>
      <c r="AC2389" s="33"/>
      <c r="AD2389" s="33"/>
      <c r="AE2389" s="33"/>
      <c r="AF2389" s="33"/>
      <c r="AG2389" s="33"/>
      <c r="AH2389" s="33"/>
      <c r="AI2389" s="33"/>
      <c r="AJ2389" s="33"/>
      <c r="AK2389" s="33"/>
      <c r="AL2389" s="33"/>
      <c r="AM2389" s="33"/>
      <c r="AN2389" s="33"/>
      <c r="AO2389" s="33"/>
    </row>
    <row r="2390" ht="15.75" customHeight="1">
      <c r="A2390" s="23">
        <v>51505.0</v>
      </c>
      <c r="B2390" s="23">
        <v>2023.0</v>
      </c>
      <c r="C2390" s="6" t="str">
        <f t="shared" si="7"/>
        <v>10610  FLEMING DR,Houston,TX</v>
      </c>
      <c r="D2390" s="23" t="s">
        <v>3741</v>
      </c>
      <c r="E2390" s="6" t="s">
        <v>25</v>
      </c>
      <c r="F2390" s="6" t="s">
        <v>1388</v>
      </c>
      <c r="G2390" s="31" t="s">
        <v>656</v>
      </c>
      <c r="H2390" s="23" t="s">
        <v>1493</v>
      </c>
      <c r="I2390" s="6" t="str">
        <f>VLOOKUP(H2390,'Flow Location'!$A$1:$B$21,2,FALSE)</f>
        <v>Contained On Site, not within 5 ft. of Bayou/Surface Water/Drainage Ditch</v>
      </c>
      <c r="J2390" s="28">
        <v>0.0</v>
      </c>
      <c r="K2390" s="23" t="s">
        <v>45</v>
      </c>
      <c r="L2390" s="6" t="str">
        <f>VLOOKUP(K2390,'Structure type'!$A$1:$B$15,2,FALSE)</f>
        <v>City Cleanout</v>
      </c>
      <c r="M2390" s="23" t="s">
        <v>56</v>
      </c>
      <c r="N2390" s="6" t="str">
        <f>VLOOKUP(M2390,'Excursion Cause'!$A$1:$B$34,2,FALSE)</f>
        <v>Rags/Wipes</v>
      </c>
      <c r="O2390" s="29">
        <v>44987.0</v>
      </c>
      <c r="P2390" s="30">
        <v>0.6208333333333333</v>
      </c>
      <c r="Q2390" s="29">
        <v>44987.0</v>
      </c>
      <c r="R2390" s="30">
        <v>0.6215277777777778</v>
      </c>
      <c r="S2390" s="28">
        <v>0.0</v>
      </c>
      <c r="T2390" s="23" t="s">
        <v>1436</v>
      </c>
      <c r="U2390" s="6"/>
      <c r="V2390" s="6"/>
      <c r="W2390" s="35">
        <v>29.7766887</v>
      </c>
      <c r="X2390" s="35">
        <v>-95.241249</v>
      </c>
      <c r="AA2390" s="33"/>
      <c r="AB2390" s="33"/>
      <c r="AC2390" s="33"/>
      <c r="AD2390" s="33"/>
      <c r="AE2390" s="33"/>
      <c r="AF2390" s="33"/>
      <c r="AG2390" s="33"/>
      <c r="AH2390" s="33"/>
      <c r="AI2390" s="33"/>
      <c r="AJ2390" s="33"/>
      <c r="AK2390" s="33"/>
      <c r="AL2390" s="33"/>
      <c r="AM2390" s="33"/>
      <c r="AN2390" s="33"/>
      <c r="AO2390" s="33"/>
    </row>
    <row r="2391" ht="15.75" customHeight="1">
      <c r="A2391" s="23">
        <v>51516.0</v>
      </c>
      <c r="B2391" s="23">
        <v>2023.0</v>
      </c>
      <c r="C2391" s="6" t="str">
        <f t="shared" si="7"/>
        <v>2617 CANAL ST,Houston,TX</v>
      </c>
      <c r="D2391" s="23" t="s">
        <v>3742</v>
      </c>
      <c r="E2391" s="6" t="s">
        <v>25</v>
      </c>
      <c r="F2391" s="6" t="s">
        <v>1388</v>
      </c>
      <c r="G2391" s="31" t="s">
        <v>172</v>
      </c>
      <c r="H2391" s="23" t="s">
        <v>50</v>
      </c>
      <c r="I2391" s="6" t="str">
        <f>VLOOKUP(H2391,'Flow Location'!$A$1:$B$21,2,FALSE)</f>
        <v>Contained On Site, not within 5 ft. of Bayou/Surface Water/Drainage Ditch</v>
      </c>
      <c r="J2391" s="28">
        <v>0.0</v>
      </c>
      <c r="K2391" s="23" t="s">
        <v>45</v>
      </c>
      <c r="L2391" s="6" t="str">
        <f>VLOOKUP(K2391,'Structure type'!$A$1:$B$15,2,FALSE)</f>
        <v>City Cleanout</v>
      </c>
      <c r="M2391" s="23" t="s">
        <v>56</v>
      </c>
      <c r="N2391" s="6" t="str">
        <f>VLOOKUP(M2391,'Excursion Cause'!$A$1:$B$34,2,FALSE)</f>
        <v>Rags/Wipes</v>
      </c>
      <c r="O2391" s="29">
        <v>44988.0</v>
      </c>
      <c r="P2391" s="30">
        <v>0.4777777777777778</v>
      </c>
      <c r="Q2391" s="29">
        <v>44988.0</v>
      </c>
      <c r="R2391" s="30">
        <v>0.47847222222222224</v>
      </c>
      <c r="S2391" s="28">
        <v>0.0</v>
      </c>
      <c r="T2391" s="23" t="s">
        <v>3743</v>
      </c>
      <c r="U2391" s="6"/>
      <c r="V2391" s="6"/>
      <c r="W2391" s="35">
        <v>29.7564126</v>
      </c>
      <c r="X2391" s="35">
        <v>-95.3437819999999</v>
      </c>
      <c r="AA2391" s="33"/>
      <c r="AB2391" s="33"/>
      <c r="AC2391" s="33"/>
      <c r="AD2391" s="33"/>
      <c r="AE2391" s="33"/>
      <c r="AF2391" s="33"/>
      <c r="AG2391" s="33"/>
      <c r="AH2391" s="33"/>
      <c r="AI2391" s="33"/>
      <c r="AJ2391" s="33"/>
      <c r="AK2391" s="33"/>
      <c r="AL2391" s="33"/>
      <c r="AM2391" s="33"/>
      <c r="AN2391" s="33"/>
      <c r="AO2391" s="33"/>
    </row>
    <row r="2392" ht="15.75" customHeight="1">
      <c r="A2392" s="23">
        <v>51518.0</v>
      </c>
      <c r="B2392" s="23">
        <v>2023.0</v>
      </c>
      <c r="C2392" s="6" t="str">
        <f t="shared" si="7"/>
        <v>9429 AVENUE L,Houston,TX</v>
      </c>
      <c r="D2392" s="23" t="s">
        <v>3744</v>
      </c>
      <c r="E2392" s="6" t="s">
        <v>25</v>
      </c>
      <c r="F2392" s="6" t="s">
        <v>1388</v>
      </c>
      <c r="G2392" s="31" t="s">
        <v>365</v>
      </c>
      <c r="H2392" s="23" t="s">
        <v>50</v>
      </c>
      <c r="I2392" s="6" t="str">
        <f>VLOOKUP(H2392,'Flow Location'!$A$1:$B$21,2,FALSE)</f>
        <v>Contained On Site, not within 5 ft. of Bayou/Surface Water/Drainage Ditch</v>
      </c>
      <c r="J2392" s="28">
        <v>0.0</v>
      </c>
      <c r="K2392" s="23" t="s">
        <v>198</v>
      </c>
      <c r="L2392" s="6" t="str">
        <f>VLOOKUP(K2392,'Structure type'!$A$1:$B$15,2,FALSE)</f>
        <v>Service Lateral</v>
      </c>
      <c r="M2392" s="23" t="s">
        <v>81</v>
      </c>
      <c r="N2392" s="6" t="str">
        <f>VLOOKUP(M2392,'Excursion Cause'!$A$1:$B$34,2,FALSE)</f>
        <v>Collection system structural failure</v>
      </c>
      <c r="O2392" s="29">
        <v>44988.0</v>
      </c>
      <c r="P2392" s="30">
        <v>0.5125</v>
      </c>
      <c r="Q2392" s="29">
        <v>44988.0</v>
      </c>
      <c r="R2392" s="30">
        <v>0.5131944444444444</v>
      </c>
      <c r="S2392" s="28">
        <v>0.0</v>
      </c>
      <c r="T2392" s="23" t="s">
        <v>3745</v>
      </c>
      <c r="U2392" s="6"/>
      <c r="V2392" s="6"/>
      <c r="W2392" s="35">
        <v>29.7180153</v>
      </c>
      <c r="X2392" s="35">
        <v>-95.2585156</v>
      </c>
      <c r="AA2392" s="33"/>
      <c r="AB2392" s="33"/>
      <c r="AC2392" s="33"/>
      <c r="AD2392" s="33"/>
      <c r="AE2392" s="33"/>
      <c r="AF2392" s="33"/>
      <c r="AG2392" s="33"/>
      <c r="AH2392" s="33"/>
      <c r="AI2392" s="33"/>
      <c r="AJ2392" s="33"/>
      <c r="AK2392" s="33"/>
      <c r="AL2392" s="33"/>
      <c r="AM2392" s="33"/>
      <c r="AN2392" s="33"/>
      <c r="AO2392" s="33"/>
    </row>
    <row r="2393" ht="15.75" customHeight="1">
      <c r="A2393" s="23">
        <v>51519.0</v>
      </c>
      <c r="B2393" s="23">
        <v>2023.0</v>
      </c>
      <c r="C2393" s="6" t="str">
        <f t="shared" si="7"/>
        <v>5 ADAMS ST,Houston,TX</v>
      </c>
      <c r="D2393" s="23" t="s">
        <v>3439</v>
      </c>
      <c r="E2393" s="6" t="s">
        <v>25</v>
      </c>
      <c r="F2393" s="6" t="s">
        <v>1388</v>
      </c>
      <c r="G2393" s="31" t="s">
        <v>227</v>
      </c>
      <c r="H2393" s="23" t="s">
        <v>50</v>
      </c>
      <c r="I2393" s="6" t="str">
        <f>VLOOKUP(H2393,'Flow Location'!$A$1:$B$21,2,FALSE)</f>
        <v>Contained On Site, not within 5 ft. of Bayou/Surface Water/Drainage Ditch</v>
      </c>
      <c r="J2393" s="28">
        <v>0.0</v>
      </c>
      <c r="K2393" s="23" t="s">
        <v>45</v>
      </c>
      <c r="L2393" s="6" t="str">
        <f>VLOOKUP(K2393,'Structure type'!$A$1:$B$15,2,FALSE)</f>
        <v>City Cleanout</v>
      </c>
      <c r="M2393" s="23" t="s">
        <v>52</v>
      </c>
      <c r="N2393" s="6" t="str">
        <f>VLOOKUP(M2393,'Excursion Cause'!$A$1:$B$34,2,FALSE)</f>
        <v>Collection system structural blockage</v>
      </c>
      <c r="O2393" s="29">
        <v>44988.0</v>
      </c>
      <c r="P2393" s="30">
        <v>0.5451388888888888</v>
      </c>
      <c r="Q2393" s="29">
        <v>44988.0</v>
      </c>
      <c r="R2393" s="30">
        <v>0.5458333333333333</v>
      </c>
      <c r="S2393" s="28">
        <v>0.0</v>
      </c>
      <c r="T2393" s="23" t="s">
        <v>3743</v>
      </c>
      <c r="U2393" s="6"/>
      <c r="V2393" s="6"/>
      <c r="W2393" s="35">
        <v>29.7462981</v>
      </c>
      <c r="X2393" s="35">
        <v>-95.3228338</v>
      </c>
      <c r="AA2393" s="33"/>
      <c r="AB2393" s="33"/>
      <c r="AC2393" s="33"/>
      <c r="AD2393" s="33"/>
      <c r="AE2393" s="33"/>
      <c r="AF2393" s="33"/>
      <c r="AG2393" s="33"/>
      <c r="AH2393" s="33"/>
      <c r="AI2393" s="33"/>
      <c r="AJ2393" s="33"/>
      <c r="AK2393" s="33"/>
      <c r="AL2393" s="33"/>
      <c r="AM2393" s="33"/>
      <c r="AN2393" s="33"/>
      <c r="AO2393" s="33"/>
    </row>
    <row r="2394" ht="15.75" customHeight="1">
      <c r="A2394" s="23">
        <v>51524.0</v>
      </c>
      <c r="B2394" s="23">
        <v>2023.0</v>
      </c>
      <c r="C2394" s="6" t="str">
        <f t="shared" si="7"/>
        <v>707 QUITMAN ST,Houston,TX</v>
      </c>
      <c r="D2394" s="23" t="s">
        <v>3746</v>
      </c>
      <c r="E2394" s="6" t="s">
        <v>25</v>
      </c>
      <c r="F2394" s="6" t="s">
        <v>1388</v>
      </c>
      <c r="G2394" s="31" t="s">
        <v>161</v>
      </c>
      <c r="H2394" s="23" t="s">
        <v>1493</v>
      </c>
      <c r="I2394" s="6" t="str">
        <f>VLOOKUP(H2394,'Flow Location'!$A$1:$B$21,2,FALSE)</f>
        <v>Contained On Site, not within 5 ft. of Bayou/Surface Water/Drainage Ditch</v>
      </c>
      <c r="J2394" s="28">
        <v>0.0</v>
      </c>
      <c r="K2394" s="23" t="s">
        <v>45</v>
      </c>
      <c r="L2394" s="6" t="str">
        <f>VLOOKUP(K2394,'Structure type'!$A$1:$B$15,2,FALSE)</f>
        <v>City Cleanout</v>
      </c>
      <c r="M2394" s="23" t="s">
        <v>56</v>
      </c>
      <c r="N2394" s="6" t="str">
        <f>VLOOKUP(M2394,'Excursion Cause'!$A$1:$B$34,2,FALSE)</f>
        <v>Rags/Wipes</v>
      </c>
      <c r="O2394" s="29">
        <v>44988.0</v>
      </c>
      <c r="P2394" s="30">
        <v>0.6791666666666667</v>
      </c>
      <c r="Q2394" s="29">
        <v>44988.0</v>
      </c>
      <c r="R2394" s="30">
        <v>0.6798611111111111</v>
      </c>
      <c r="S2394" s="28">
        <v>0.0</v>
      </c>
      <c r="T2394" s="23" t="s">
        <v>1436</v>
      </c>
      <c r="U2394" s="6"/>
      <c r="V2394" s="6"/>
      <c r="W2394" s="35">
        <v>29.7812599</v>
      </c>
      <c r="X2394" s="35">
        <v>-95.3630214</v>
      </c>
      <c r="AA2394" s="33"/>
      <c r="AB2394" s="33"/>
      <c r="AC2394" s="33"/>
      <c r="AD2394" s="33"/>
      <c r="AE2394" s="33"/>
      <c r="AF2394" s="33"/>
      <c r="AG2394" s="33"/>
      <c r="AH2394" s="33"/>
      <c r="AI2394" s="33"/>
      <c r="AJ2394" s="33"/>
      <c r="AK2394" s="33"/>
      <c r="AL2394" s="33"/>
      <c r="AM2394" s="33"/>
      <c r="AN2394" s="33"/>
      <c r="AO2394" s="33"/>
    </row>
    <row r="2395" ht="15.75" customHeight="1">
      <c r="A2395" s="23">
        <v>51533.0</v>
      </c>
      <c r="B2395" s="23">
        <v>2023.0</v>
      </c>
      <c r="C2395" s="6" t="str">
        <f t="shared" si="7"/>
        <v>12751 ZAVALLA ST,Houston,TX</v>
      </c>
      <c r="D2395" s="23" t="s">
        <v>3747</v>
      </c>
      <c r="E2395" s="6" t="s">
        <v>25</v>
      </c>
      <c r="F2395" s="6" t="s">
        <v>1388</v>
      </c>
      <c r="G2395" s="31" t="s">
        <v>384</v>
      </c>
      <c r="H2395" s="23" t="s">
        <v>50</v>
      </c>
      <c r="I2395" s="6" t="str">
        <f>VLOOKUP(H2395,'Flow Location'!$A$1:$B$21,2,FALSE)</f>
        <v>Contained On Site, not within 5 ft. of Bayou/Surface Water/Drainage Ditch</v>
      </c>
      <c r="J2395" s="28">
        <v>0.0</v>
      </c>
      <c r="K2395" s="23" t="s">
        <v>45</v>
      </c>
      <c r="L2395" s="6" t="str">
        <f>VLOOKUP(K2395,'Structure type'!$A$1:$B$15,2,FALSE)</f>
        <v>City Cleanout</v>
      </c>
      <c r="M2395" s="23" t="s">
        <v>30</v>
      </c>
      <c r="N2395" s="6" t="str">
        <f>VLOOKUP(M2395,'Excursion Cause'!$A$1:$B$34,2,FALSE)</f>
        <v>Grease Blockage</v>
      </c>
      <c r="O2395" s="29">
        <v>44988.0</v>
      </c>
      <c r="P2395" s="30">
        <v>0.7111111111111111</v>
      </c>
      <c r="Q2395" s="29">
        <v>44988.0</v>
      </c>
      <c r="R2395" s="30">
        <v>0.7118055555555556</v>
      </c>
      <c r="S2395" s="28">
        <v>0.0</v>
      </c>
      <c r="T2395" s="23" t="s">
        <v>3743</v>
      </c>
      <c r="U2395" s="6"/>
      <c r="V2395" s="6"/>
      <c r="W2395" s="35">
        <v>29.6192034999999</v>
      </c>
      <c r="X2395" s="35">
        <v>-95.5008462999999</v>
      </c>
      <c r="AA2395" s="33"/>
      <c r="AB2395" s="33"/>
      <c r="AC2395" s="33"/>
      <c r="AD2395" s="33"/>
      <c r="AE2395" s="33"/>
      <c r="AF2395" s="33"/>
      <c r="AG2395" s="33"/>
      <c r="AH2395" s="33"/>
      <c r="AI2395" s="33"/>
      <c r="AJ2395" s="33"/>
      <c r="AK2395" s="33"/>
      <c r="AL2395" s="33"/>
      <c r="AM2395" s="33"/>
      <c r="AN2395" s="33"/>
      <c r="AO2395" s="33"/>
    </row>
    <row r="2396" ht="15.75" customHeight="1">
      <c r="A2396" s="23">
        <v>51538.0</v>
      </c>
      <c r="B2396" s="23">
        <v>2023.0</v>
      </c>
      <c r="C2396" s="6" t="str">
        <f t="shared" si="7"/>
        <v>8210 DAWN QUAIL CT,Houston,TX</v>
      </c>
      <c r="D2396" s="23" t="s">
        <v>3748</v>
      </c>
      <c r="E2396" s="6" t="s">
        <v>25</v>
      </c>
      <c r="F2396" s="6" t="s">
        <v>1388</v>
      </c>
      <c r="G2396" s="31" t="s">
        <v>166</v>
      </c>
      <c r="H2396" s="23" t="s">
        <v>50</v>
      </c>
      <c r="I2396" s="6" t="str">
        <f>VLOOKUP(H2396,'Flow Location'!$A$1:$B$21,2,FALSE)</f>
        <v>Contained On Site, not within 5 ft. of Bayou/Surface Water/Drainage Ditch</v>
      </c>
      <c r="J2396" s="28">
        <v>182.0</v>
      </c>
      <c r="K2396" s="23" t="s">
        <v>29</v>
      </c>
      <c r="L2396" s="6" t="str">
        <f>VLOOKUP(K2396,'Structure type'!$A$1:$B$15,2,FALSE)</f>
        <v>Manhole</v>
      </c>
      <c r="M2396" s="23" t="s">
        <v>30</v>
      </c>
      <c r="N2396" s="6" t="str">
        <f>VLOOKUP(M2396,'Excursion Cause'!$A$1:$B$34,2,FALSE)</f>
        <v>Grease Blockage</v>
      </c>
      <c r="O2396" s="29">
        <v>44990.0</v>
      </c>
      <c r="P2396" s="30">
        <v>0.5298611111111111</v>
      </c>
      <c r="Q2396" s="29">
        <v>44990.0</v>
      </c>
      <c r="R2396" s="30">
        <v>0.65625</v>
      </c>
      <c r="S2396" s="28">
        <v>1.0</v>
      </c>
      <c r="T2396" s="23" t="s">
        <v>3749</v>
      </c>
      <c r="U2396" s="6"/>
      <c r="V2396" s="6"/>
      <c r="W2396" s="35">
        <v>29.5862421</v>
      </c>
      <c r="X2396" s="35">
        <v>-95.5124764</v>
      </c>
      <c r="AA2396" s="33"/>
      <c r="AB2396" s="33"/>
      <c r="AC2396" s="33"/>
      <c r="AD2396" s="33"/>
      <c r="AE2396" s="33"/>
      <c r="AF2396" s="33"/>
      <c r="AG2396" s="33"/>
      <c r="AH2396" s="33"/>
      <c r="AI2396" s="33"/>
      <c r="AJ2396" s="33"/>
      <c r="AK2396" s="33"/>
      <c r="AL2396" s="33"/>
      <c r="AM2396" s="33"/>
      <c r="AN2396" s="33"/>
      <c r="AO2396" s="33"/>
    </row>
    <row r="2397" ht="15.75" customHeight="1">
      <c r="A2397" s="23">
        <v>51546.0</v>
      </c>
      <c r="B2397" s="23">
        <v>2023.0</v>
      </c>
      <c r="C2397" s="6" t="str">
        <f t="shared" si="7"/>
        <v>1118 PLEASANTVILLE DR,Houston,TX</v>
      </c>
      <c r="D2397" s="23" t="s">
        <v>3750</v>
      </c>
      <c r="E2397" s="6" t="s">
        <v>25</v>
      </c>
      <c r="F2397" s="6" t="s">
        <v>1388</v>
      </c>
      <c r="G2397" s="31" t="s">
        <v>247</v>
      </c>
      <c r="H2397" s="23" t="s">
        <v>50</v>
      </c>
      <c r="I2397" s="6" t="str">
        <f>VLOOKUP(H2397,'Flow Location'!$A$1:$B$21,2,FALSE)</f>
        <v>Contained On Site, not within 5 ft. of Bayou/Surface Water/Drainage Ditch</v>
      </c>
      <c r="J2397" s="28">
        <v>0.0</v>
      </c>
      <c r="K2397" s="23" t="s">
        <v>51</v>
      </c>
      <c r="L2397" s="6" t="str">
        <f>VLOOKUP(K2397,'Structure type'!$A$1:$B$15,2,FALSE)</f>
        <v>Private Cleanout</v>
      </c>
      <c r="M2397" s="23" t="s">
        <v>30</v>
      </c>
      <c r="N2397" s="6" t="str">
        <f>VLOOKUP(M2397,'Excursion Cause'!$A$1:$B$34,2,FALSE)</f>
        <v>Grease Blockage</v>
      </c>
      <c r="O2397" s="29">
        <v>44991.0</v>
      </c>
      <c r="P2397" s="30">
        <v>0.4083333333333333</v>
      </c>
      <c r="Q2397" s="29">
        <v>44991.0</v>
      </c>
      <c r="R2397" s="30">
        <v>0.40902777777777777</v>
      </c>
      <c r="S2397" s="28">
        <v>0.0</v>
      </c>
      <c r="T2397" s="23" t="s">
        <v>3749</v>
      </c>
      <c r="U2397" s="6"/>
      <c r="V2397" s="6"/>
      <c r="W2397" s="35">
        <v>29.7666906</v>
      </c>
      <c r="X2397" s="35">
        <v>-95.2766884</v>
      </c>
      <c r="AA2397" s="33"/>
      <c r="AB2397" s="33"/>
      <c r="AC2397" s="33"/>
      <c r="AD2397" s="33"/>
      <c r="AE2397" s="33"/>
      <c r="AF2397" s="33"/>
      <c r="AG2397" s="33"/>
      <c r="AH2397" s="33"/>
      <c r="AI2397" s="33"/>
      <c r="AJ2397" s="33"/>
      <c r="AK2397" s="33"/>
      <c r="AL2397" s="33"/>
      <c r="AM2397" s="33"/>
      <c r="AN2397" s="33"/>
      <c r="AO2397" s="33"/>
    </row>
    <row r="2398" ht="15.75" customHeight="1">
      <c r="A2398" s="23">
        <v>51548.0</v>
      </c>
      <c r="B2398" s="23">
        <v>2023.0</v>
      </c>
      <c r="C2398" s="6" t="str">
        <f t="shared" si="7"/>
        <v>6414 KERNEL ST,Houston,TX</v>
      </c>
      <c r="D2398" s="23" t="s">
        <v>3751</v>
      </c>
      <c r="E2398" s="6" t="s">
        <v>25</v>
      </c>
      <c r="F2398" s="6" t="s">
        <v>1388</v>
      </c>
      <c r="G2398" s="31" t="s">
        <v>35</v>
      </c>
      <c r="H2398" s="23" t="s">
        <v>50</v>
      </c>
      <c r="I2398" s="6" t="str">
        <f>VLOOKUP(H2398,'Flow Location'!$A$1:$B$21,2,FALSE)</f>
        <v>Contained On Site, not within 5 ft. of Bayou/Surface Water/Drainage Ditch</v>
      </c>
      <c r="J2398" s="28">
        <v>0.0</v>
      </c>
      <c r="K2398" s="23" t="s">
        <v>51</v>
      </c>
      <c r="L2398" s="6" t="str">
        <f>VLOOKUP(K2398,'Structure type'!$A$1:$B$15,2,FALSE)</f>
        <v>Private Cleanout</v>
      </c>
      <c r="M2398" s="23" t="s">
        <v>30</v>
      </c>
      <c r="N2398" s="6" t="str">
        <f>VLOOKUP(M2398,'Excursion Cause'!$A$1:$B$34,2,FALSE)</f>
        <v>Grease Blockage</v>
      </c>
      <c r="O2398" s="29">
        <v>44991.0</v>
      </c>
      <c r="P2398" s="30">
        <v>0.45</v>
      </c>
      <c r="Q2398" s="29">
        <v>44991.0</v>
      </c>
      <c r="R2398" s="30">
        <v>0.45069444444444445</v>
      </c>
      <c r="S2398" s="28">
        <v>0.0</v>
      </c>
      <c r="T2398" s="23" t="s">
        <v>3749</v>
      </c>
      <c r="U2398" s="6"/>
      <c r="V2398" s="6"/>
      <c r="W2398" s="35">
        <v>29.7079225</v>
      </c>
      <c r="X2398" s="35">
        <v>-95.3030371999999</v>
      </c>
      <c r="AA2398" s="33"/>
      <c r="AB2398" s="33"/>
      <c r="AC2398" s="33"/>
      <c r="AD2398" s="33"/>
      <c r="AE2398" s="33"/>
      <c r="AF2398" s="33"/>
      <c r="AG2398" s="33"/>
      <c r="AH2398" s="33"/>
      <c r="AI2398" s="33"/>
      <c r="AJ2398" s="33"/>
      <c r="AK2398" s="33"/>
      <c r="AL2398" s="33"/>
      <c r="AM2398" s="33"/>
      <c r="AN2398" s="33"/>
      <c r="AO2398" s="33"/>
    </row>
    <row r="2399" ht="15.75" customHeight="1">
      <c r="A2399" s="23">
        <v>51552.0</v>
      </c>
      <c r="B2399" s="23">
        <v>2023.0</v>
      </c>
      <c r="C2399" s="6" t="str">
        <f t="shared" si="7"/>
        <v>3518 CORKSIE ST,Houston,TX</v>
      </c>
      <c r="D2399" s="23" t="s">
        <v>3752</v>
      </c>
      <c r="E2399" s="6" t="s">
        <v>25</v>
      </c>
      <c r="F2399" s="6" t="s">
        <v>1388</v>
      </c>
      <c r="G2399" s="31" t="s">
        <v>105</v>
      </c>
      <c r="H2399" s="23" t="s">
        <v>50</v>
      </c>
      <c r="I2399" s="6" t="str">
        <f>VLOOKUP(H2399,'Flow Location'!$A$1:$B$21,2,FALSE)</f>
        <v>Contained On Site, not within 5 ft. of Bayou/Surface Water/Drainage Ditch</v>
      </c>
      <c r="J2399" s="28">
        <v>128.0</v>
      </c>
      <c r="K2399" s="23" t="s">
        <v>29</v>
      </c>
      <c r="L2399" s="6" t="str">
        <f>VLOOKUP(K2399,'Structure type'!$A$1:$B$15,2,FALSE)</f>
        <v>Manhole</v>
      </c>
      <c r="M2399" s="23" t="s">
        <v>52</v>
      </c>
      <c r="N2399" s="6" t="str">
        <f>VLOOKUP(M2399,'Excursion Cause'!$A$1:$B$34,2,FALSE)</f>
        <v>Collection system structural blockage</v>
      </c>
      <c r="O2399" s="29">
        <v>44991.0</v>
      </c>
      <c r="P2399" s="30">
        <v>0.49930555555555556</v>
      </c>
      <c r="Q2399" s="29">
        <v>44991.0</v>
      </c>
      <c r="R2399" s="30">
        <v>0.5881944444444445</v>
      </c>
      <c r="S2399" s="28">
        <v>1.0</v>
      </c>
      <c r="T2399" s="23" t="s">
        <v>1462</v>
      </c>
      <c r="U2399" s="6"/>
      <c r="V2399" s="6"/>
      <c r="W2399" s="35">
        <v>29.648115</v>
      </c>
      <c r="X2399" s="35">
        <v>-95.371253</v>
      </c>
      <c r="AA2399" s="33"/>
      <c r="AB2399" s="33"/>
      <c r="AC2399" s="33"/>
      <c r="AD2399" s="33"/>
      <c r="AE2399" s="33"/>
      <c r="AF2399" s="33"/>
      <c r="AG2399" s="33"/>
      <c r="AH2399" s="33"/>
      <c r="AI2399" s="33"/>
      <c r="AJ2399" s="33"/>
      <c r="AK2399" s="33"/>
      <c r="AL2399" s="33"/>
      <c r="AM2399" s="33"/>
      <c r="AN2399" s="33"/>
      <c r="AO2399" s="33"/>
    </row>
    <row r="2400" ht="15.75" customHeight="1">
      <c r="A2400" s="23">
        <v>51554.0</v>
      </c>
      <c r="B2400" s="23">
        <v>2023.0</v>
      </c>
      <c r="C2400" s="6" t="str">
        <f t="shared" si="7"/>
        <v>12223 SHADY DOWNS DR,Houston,TX</v>
      </c>
      <c r="D2400" s="23" t="s">
        <v>3753</v>
      </c>
      <c r="E2400" s="6" t="s">
        <v>25</v>
      </c>
      <c r="F2400" s="6" t="s">
        <v>1388</v>
      </c>
      <c r="G2400" s="31" t="s">
        <v>313</v>
      </c>
      <c r="H2400" s="23" t="s">
        <v>28</v>
      </c>
      <c r="I2400" s="6" t="str">
        <f>VLOOKUP(H2400,'Flow Location'!$A$1:$B$21,2,FALSE)</f>
        <v>Storm Sewer (not contained)</v>
      </c>
      <c r="J2400" s="28">
        <v>290.0</v>
      </c>
      <c r="K2400" s="23" t="s">
        <v>29</v>
      </c>
      <c r="L2400" s="6" t="str">
        <f>VLOOKUP(K2400,'Structure type'!$A$1:$B$15,2,FALSE)</f>
        <v>Manhole</v>
      </c>
      <c r="M2400" s="23" t="s">
        <v>30</v>
      </c>
      <c r="N2400" s="6" t="str">
        <f>VLOOKUP(M2400,'Excursion Cause'!$A$1:$B$34,2,FALSE)</f>
        <v>Grease Blockage</v>
      </c>
      <c r="O2400" s="29">
        <v>44991.0</v>
      </c>
      <c r="P2400" s="30">
        <v>0.5534722222222223</v>
      </c>
      <c r="Q2400" s="29">
        <v>44991.0</v>
      </c>
      <c r="R2400" s="30">
        <v>0.6875</v>
      </c>
      <c r="S2400" s="28">
        <v>2.0</v>
      </c>
      <c r="T2400" s="23" t="s">
        <v>3749</v>
      </c>
      <c r="U2400" s="6"/>
      <c r="V2400" s="6"/>
      <c r="W2400" s="35">
        <v>29.7197473</v>
      </c>
      <c r="X2400" s="35">
        <v>-95.5994192</v>
      </c>
      <c r="AA2400" s="33"/>
      <c r="AB2400" s="33"/>
      <c r="AC2400" s="33"/>
      <c r="AD2400" s="33"/>
      <c r="AE2400" s="33"/>
      <c r="AF2400" s="33"/>
      <c r="AG2400" s="33"/>
      <c r="AH2400" s="33"/>
      <c r="AI2400" s="33"/>
      <c r="AJ2400" s="33"/>
      <c r="AK2400" s="33"/>
      <c r="AL2400" s="33"/>
      <c r="AM2400" s="33"/>
      <c r="AN2400" s="33"/>
      <c r="AO2400" s="33"/>
    </row>
    <row r="2401" ht="15.75" customHeight="1">
      <c r="A2401" s="23">
        <v>51568.0</v>
      </c>
      <c r="B2401" s="23">
        <v>2023.0</v>
      </c>
      <c r="C2401" s="6" t="str">
        <f t="shared" si="7"/>
        <v>6700 CHIMNEY ROCK RD,Houston,TX</v>
      </c>
      <c r="D2401" s="23" t="s">
        <v>3078</v>
      </c>
      <c r="E2401" s="6" t="s">
        <v>25</v>
      </c>
      <c r="F2401" s="6" t="s">
        <v>1388</v>
      </c>
      <c r="G2401" s="31" t="s">
        <v>287</v>
      </c>
      <c r="H2401" s="23" t="s">
        <v>28</v>
      </c>
      <c r="I2401" s="6" t="str">
        <f>VLOOKUP(H2401,'Flow Location'!$A$1:$B$21,2,FALSE)</f>
        <v>Storm Sewer (not contained)</v>
      </c>
      <c r="J2401" s="28">
        <v>119.0</v>
      </c>
      <c r="K2401" s="23" t="s">
        <v>45</v>
      </c>
      <c r="L2401" s="6" t="str">
        <f>VLOOKUP(K2401,'Structure type'!$A$1:$B$15,2,FALSE)</f>
        <v>City Cleanout</v>
      </c>
      <c r="M2401" s="23" t="s">
        <v>30</v>
      </c>
      <c r="N2401" s="6" t="str">
        <f>VLOOKUP(M2401,'Excursion Cause'!$A$1:$B$34,2,FALSE)</f>
        <v>Grease Blockage</v>
      </c>
      <c r="O2401" s="29">
        <v>44992.0</v>
      </c>
      <c r="P2401" s="30">
        <v>0.42430555555555555</v>
      </c>
      <c r="Q2401" s="29">
        <v>44992.0</v>
      </c>
      <c r="R2401" s="30">
        <v>0.5069444444444444</v>
      </c>
      <c r="S2401" s="28">
        <v>1.0</v>
      </c>
      <c r="T2401" s="23" t="s">
        <v>1436</v>
      </c>
      <c r="U2401" s="6"/>
      <c r="V2401" s="6"/>
      <c r="W2401" s="35">
        <v>29.7069859</v>
      </c>
      <c r="X2401" s="35">
        <v>-95.476599</v>
      </c>
      <c r="AA2401" s="33"/>
      <c r="AB2401" s="33"/>
      <c r="AC2401" s="33"/>
      <c r="AD2401" s="33"/>
      <c r="AE2401" s="33"/>
      <c r="AF2401" s="33"/>
      <c r="AG2401" s="33"/>
      <c r="AH2401" s="33"/>
      <c r="AI2401" s="33"/>
      <c r="AJ2401" s="33"/>
      <c r="AK2401" s="33"/>
      <c r="AL2401" s="33"/>
      <c r="AM2401" s="33"/>
      <c r="AN2401" s="33"/>
      <c r="AO2401" s="33"/>
    </row>
    <row r="2402" ht="15.75" customHeight="1">
      <c r="A2402" s="23">
        <v>51569.0</v>
      </c>
      <c r="B2402" s="23">
        <v>2023.0</v>
      </c>
      <c r="C2402" s="6" t="str">
        <f t="shared" si="7"/>
        <v>4121 WIPPRECHT ST,Houston,TX</v>
      </c>
      <c r="D2402" s="23" t="s">
        <v>1542</v>
      </c>
      <c r="E2402" s="6" t="s">
        <v>25</v>
      </c>
      <c r="F2402" s="6" t="s">
        <v>1388</v>
      </c>
      <c r="G2402" s="31" t="s">
        <v>43</v>
      </c>
      <c r="H2402" s="23" t="s">
        <v>50</v>
      </c>
      <c r="I2402" s="6" t="str">
        <f>VLOOKUP(H2402,'Flow Location'!$A$1:$B$21,2,FALSE)</f>
        <v>Contained On Site, not within 5 ft. of Bayou/Surface Water/Drainage Ditch</v>
      </c>
      <c r="J2402" s="28">
        <v>0.0</v>
      </c>
      <c r="K2402" s="23" t="s">
        <v>45</v>
      </c>
      <c r="L2402" s="6" t="str">
        <f>VLOOKUP(K2402,'Structure type'!$A$1:$B$15,2,FALSE)</f>
        <v>City Cleanout</v>
      </c>
      <c r="M2402" s="23" t="s">
        <v>30</v>
      </c>
      <c r="N2402" s="6" t="str">
        <f>VLOOKUP(M2402,'Excursion Cause'!$A$1:$B$34,2,FALSE)</f>
        <v>Grease Blockage</v>
      </c>
      <c r="O2402" s="29">
        <v>44992.0</v>
      </c>
      <c r="P2402" s="30">
        <v>0.42777777777777776</v>
      </c>
      <c r="Q2402" s="29">
        <v>44992.0</v>
      </c>
      <c r="R2402" s="30">
        <v>0.4284722222222222</v>
      </c>
      <c r="S2402" s="28">
        <v>0.0</v>
      </c>
      <c r="T2402" s="23" t="s">
        <v>1473</v>
      </c>
      <c r="U2402" s="6"/>
      <c r="V2402" s="6"/>
      <c r="W2402" s="35">
        <v>29.7986018</v>
      </c>
      <c r="X2402" s="35">
        <v>-95.3225875</v>
      </c>
      <c r="AA2402" s="33"/>
      <c r="AB2402" s="33"/>
      <c r="AC2402" s="33"/>
      <c r="AD2402" s="33"/>
      <c r="AE2402" s="33"/>
      <c r="AF2402" s="33"/>
      <c r="AG2402" s="33"/>
      <c r="AH2402" s="33"/>
      <c r="AI2402" s="33"/>
      <c r="AJ2402" s="33"/>
      <c r="AK2402" s="33"/>
      <c r="AL2402" s="33"/>
      <c r="AM2402" s="33"/>
      <c r="AN2402" s="33"/>
      <c r="AO2402" s="33"/>
    </row>
    <row r="2403" ht="15.75" customHeight="1">
      <c r="A2403" s="23">
        <v>51570.0</v>
      </c>
      <c r="B2403" s="23">
        <v>2023.0</v>
      </c>
      <c r="C2403" s="6" t="str">
        <f t="shared" si="7"/>
        <v>12510 GREEN DR,Houston,TX</v>
      </c>
      <c r="D2403" s="23" t="s">
        <v>3754</v>
      </c>
      <c r="E2403" s="6" t="s">
        <v>25</v>
      </c>
      <c r="F2403" s="6" t="s">
        <v>1388</v>
      </c>
      <c r="G2403" s="31" t="s">
        <v>49</v>
      </c>
      <c r="H2403" s="23" t="s">
        <v>28</v>
      </c>
      <c r="I2403" s="6" t="str">
        <f>VLOOKUP(H2403,'Flow Location'!$A$1:$B$21,2,FALSE)</f>
        <v>Storm Sewer (not contained)</v>
      </c>
      <c r="J2403" s="28">
        <v>3715.0</v>
      </c>
      <c r="K2403" s="23" t="s">
        <v>29</v>
      </c>
      <c r="L2403" s="6" t="str">
        <f>VLOOKUP(K2403,'Structure type'!$A$1:$B$15,2,FALSE)</f>
        <v>Manhole</v>
      </c>
      <c r="M2403" s="23" t="s">
        <v>30</v>
      </c>
      <c r="N2403" s="6" t="str">
        <f>VLOOKUP(M2403,'Excursion Cause'!$A$1:$B$34,2,FALSE)</f>
        <v>Grease Blockage</v>
      </c>
      <c r="O2403" s="29">
        <v>44992.0</v>
      </c>
      <c r="P2403" s="30">
        <v>0.48194444444444445</v>
      </c>
      <c r="Q2403" s="29">
        <v>44993.0</v>
      </c>
      <c r="R2403" s="30">
        <v>0.5138888888888888</v>
      </c>
      <c r="S2403" s="28">
        <v>2.0</v>
      </c>
      <c r="T2403" s="23" t="s">
        <v>1462</v>
      </c>
      <c r="U2403" s="6"/>
      <c r="V2403" s="6"/>
      <c r="W2403" s="35">
        <v>29.6208888</v>
      </c>
      <c r="X2403" s="35">
        <v>-95.2176320999999</v>
      </c>
      <c r="AA2403" s="33"/>
      <c r="AB2403" s="33"/>
      <c r="AC2403" s="33"/>
      <c r="AD2403" s="33"/>
      <c r="AE2403" s="33"/>
      <c r="AF2403" s="33"/>
      <c r="AG2403" s="33"/>
      <c r="AH2403" s="33"/>
      <c r="AI2403" s="33"/>
      <c r="AJ2403" s="33"/>
      <c r="AK2403" s="33"/>
      <c r="AL2403" s="33"/>
      <c r="AM2403" s="33"/>
      <c r="AN2403" s="33"/>
      <c r="AO2403" s="33"/>
    </row>
    <row r="2404" ht="15.75" customHeight="1">
      <c r="A2404" s="23">
        <v>51571.0</v>
      </c>
      <c r="B2404" s="23">
        <v>2023.0</v>
      </c>
      <c r="C2404" s="6" t="str">
        <f t="shared" si="7"/>
        <v>1812 STEVENS ST,Houston,TX</v>
      </c>
      <c r="D2404" s="23" t="s">
        <v>3755</v>
      </c>
      <c r="E2404" s="6" t="s">
        <v>25</v>
      </c>
      <c r="F2404" s="6" t="s">
        <v>1388</v>
      </c>
      <c r="G2404" s="31" t="s">
        <v>43</v>
      </c>
      <c r="H2404" s="23" t="s">
        <v>87</v>
      </c>
      <c r="I2404" s="6" t="str">
        <f>VLOOKUP(H2404,'Flow Location'!$A$1:$B$21,2,FALSE)</f>
        <v>Within 5 ft. of Bayou/Surface Water/Drainage Ditch</v>
      </c>
      <c r="J2404" s="28">
        <v>0.0</v>
      </c>
      <c r="K2404" s="23" t="s">
        <v>198</v>
      </c>
      <c r="L2404" s="6" t="str">
        <f>VLOOKUP(K2404,'Structure type'!$A$1:$B$15,2,FALSE)</f>
        <v>Service Lateral</v>
      </c>
      <c r="M2404" s="23" t="s">
        <v>52</v>
      </c>
      <c r="N2404" s="6" t="str">
        <f>VLOOKUP(M2404,'Excursion Cause'!$A$1:$B$34,2,FALSE)</f>
        <v>Collection system structural blockage</v>
      </c>
      <c r="O2404" s="29">
        <v>44992.0</v>
      </c>
      <c r="P2404" s="30">
        <v>0.46944444444444444</v>
      </c>
      <c r="Q2404" s="29">
        <v>44992.0</v>
      </c>
      <c r="R2404" s="30">
        <v>0.4701388888888889</v>
      </c>
      <c r="S2404" s="28">
        <v>0.0</v>
      </c>
      <c r="T2404" s="23" t="s">
        <v>3756</v>
      </c>
      <c r="U2404" s="6"/>
      <c r="V2404" s="6"/>
      <c r="W2404" s="35">
        <v>29.7780085</v>
      </c>
      <c r="X2404" s="35">
        <v>-95.34373</v>
      </c>
      <c r="AA2404" s="33"/>
      <c r="AB2404" s="33"/>
      <c r="AC2404" s="33"/>
      <c r="AD2404" s="33"/>
      <c r="AE2404" s="33"/>
      <c r="AF2404" s="33"/>
      <c r="AG2404" s="33"/>
      <c r="AH2404" s="33"/>
      <c r="AI2404" s="33"/>
      <c r="AJ2404" s="33"/>
      <c r="AK2404" s="33"/>
      <c r="AL2404" s="33"/>
      <c r="AM2404" s="33"/>
      <c r="AN2404" s="33"/>
      <c r="AO2404" s="33"/>
    </row>
    <row r="2405" ht="15.75" customHeight="1">
      <c r="A2405" s="23">
        <v>51574.0</v>
      </c>
      <c r="B2405" s="23">
        <v>2023.0</v>
      </c>
      <c r="C2405" s="6" t="str">
        <f t="shared" si="7"/>
        <v>10831 CHEEVES DR,Houston,TX</v>
      </c>
      <c r="D2405" s="23" t="s">
        <v>3757</v>
      </c>
      <c r="E2405" s="6" t="s">
        <v>25</v>
      </c>
      <c r="F2405" s="6" t="s">
        <v>1388</v>
      </c>
      <c r="G2405" s="31" t="s">
        <v>326</v>
      </c>
      <c r="H2405" s="23" t="s">
        <v>50</v>
      </c>
      <c r="I2405" s="6" t="str">
        <f>VLOOKUP(H2405,'Flow Location'!$A$1:$B$21,2,FALSE)</f>
        <v>Contained On Site, not within 5 ft. of Bayou/Surface Water/Drainage Ditch</v>
      </c>
      <c r="J2405" s="28">
        <v>0.0</v>
      </c>
      <c r="K2405" s="23" t="s">
        <v>29</v>
      </c>
      <c r="L2405" s="6" t="str">
        <f>VLOOKUP(K2405,'Structure type'!$A$1:$B$15,2,FALSE)</f>
        <v>Manhole</v>
      </c>
      <c r="M2405" s="23" t="s">
        <v>52</v>
      </c>
      <c r="N2405" s="6" t="str">
        <f>VLOOKUP(M2405,'Excursion Cause'!$A$1:$B$34,2,FALSE)</f>
        <v>Collection system structural blockage</v>
      </c>
      <c r="O2405" s="29">
        <v>44992.0</v>
      </c>
      <c r="P2405" s="30">
        <v>0.58125</v>
      </c>
      <c r="Q2405" s="29">
        <v>44992.0</v>
      </c>
      <c r="R2405" s="30">
        <v>0.5819444444444445</v>
      </c>
      <c r="S2405" s="28">
        <v>0.0</v>
      </c>
      <c r="T2405" s="23" t="s">
        <v>3749</v>
      </c>
      <c r="U2405" s="6"/>
      <c r="V2405" s="6"/>
      <c r="W2405" s="35">
        <v>29.872738</v>
      </c>
      <c r="X2405" s="35">
        <v>-95.2931278</v>
      </c>
      <c r="AA2405" s="33"/>
      <c r="AB2405" s="33"/>
      <c r="AC2405" s="33"/>
      <c r="AD2405" s="33"/>
      <c r="AE2405" s="33"/>
      <c r="AF2405" s="33"/>
      <c r="AG2405" s="33"/>
      <c r="AH2405" s="33"/>
      <c r="AI2405" s="33"/>
      <c r="AJ2405" s="33"/>
      <c r="AK2405" s="33"/>
      <c r="AL2405" s="33"/>
      <c r="AM2405" s="33"/>
      <c r="AN2405" s="33"/>
      <c r="AO2405" s="33"/>
    </row>
    <row r="2406" ht="15.75" customHeight="1">
      <c r="A2406" s="23">
        <v>51575.0</v>
      </c>
      <c r="B2406" s="23">
        <v>2023.0</v>
      </c>
      <c r="C2406" s="6" t="str">
        <f t="shared" si="7"/>
        <v>421 DENNIS ST,Houston,TX</v>
      </c>
      <c r="D2406" s="23" t="s">
        <v>760</v>
      </c>
      <c r="E2406" s="6" t="s">
        <v>25</v>
      </c>
      <c r="F2406" s="6" t="s">
        <v>1388</v>
      </c>
      <c r="G2406" s="31" t="s">
        <v>761</v>
      </c>
      <c r="H2406" s="23" t="s">
        <v>28</v>
      </c>
      <c r="I2406" s="6" t="str">
        <f>VLOOKUP(H2406,'Flow Location'!$A$1:$B$21,2,FALSE)</f>
        <v>Storm Sewer (not contained)</v>
      </c>
      <c r="J2406" s="28">
        <v>414.0</v>
      </c>
      <c r="K2406" s="23" t="s">
        <v>29</v>
      </c>
      <c r="L2406" s="6" t="str">
        <f>VLOOKUP(K2406,'Structure type'!$A$1:$B$15,2,FALSE)</f>
        <v>Manhole</v>
      </c>
      <c r="M2406" s="23" t="s">
        <v>30</v>
      </c>
      <c r="N2406" s="6" t="str">
        <f>VLOOKUP(M2406,'Excursion Cause'!$A$1:$B$34,2,FALSE)</f>
        <v>Grease Blockage</v>
      </c>
      <c r="O2406" s="29">
        <v>44992.0</v>
      </c>
      <c r="P2406" s="30">
        <v>0.5854166666666667</v>
      </c>
      <c r="Q2406" s="29">
        <v>44992.0</v>
      </c>
      <c r="R2406" s="30">
        <v>0.7291666666666666</v>
      </c>
      <c r="S2406" s="28">
        <v>2.0</v>
      </c>
      <c r="T2406" s="23" t="s">
        <v>3749</v>
      </c>
      <c r="U2406" s="6"/>
      <c r="V2406" s="6"/>
      <c r="W2406" s="35">
        <v>29.7475292</v>
      </c>
      <c r="X2406" s="35">
        <v>-95.3789604</v>
      </c>
      <c r="AA2406" s="33"/>
      <c r="AB2406" s="33"/>
      <c r="AC2406" s="33"/>
      <c r="AD2406" s="33"/>
      <c r="AE2406" s="33"/>
      <c r="AF2406" s="33"/>
      <c r="AG2406" s="33"/>
      <c r="AH2406" s="33"/>
      <c r="AI2406" s="33"/>
      <c r="AJ2406" s="33"/>
      <c r="AK2406" s="33"/>
      <c r="AL2406" s="33"/>
      <c r="AM2406" s="33"/>
      <c r="AN2406" s="33"/>
      <c r="AO2406" s="33"/>
    </row>
    <row r="2407" ht="15.75" customHeight="1">
      <c r="A2407" s="23">
        <v>51576.0</v>
      </c>
      <c r="B2407" s="23">
        <v>2023.0</v>
      </c>
      <c r="C2407" s="6" t="str">
        <f t="shared" si="7"/>
        <v>8007 CAPITOL ST,Houston,TX</v>
      </c>
      <c r="D2407" s="23" t="s">
        <v>1264</v>
      </c>
      <c r="E2407" s="6" t="s">
        <v>25</v>
      </c>
      <c r="F2407" s="6" t="s">
        <v>1388</v>
      </c>
      <c r="G2407" s="31" t="s">
        <v>365</v>
      </c>
      <c r="H2407" s="23" t="s">
        <v>28</v>
      </c>
      <c r="I2407" s="6" t="str">
        <f>VLOOKUP(H2407,'Flow Location'!$A$1:$B$21,2,FALSE)</f>
        <v>Storm Sewer (not contained)</v>
      </c>
      <c r="J2407" s="28">
        <v>1860.0</v>
      </c>
      <c r="K2407" s="23" t="s">
        <v>29</v>
      </c>
      <c r="L2407" s="6" t="str">
        <f>VLOOKUP(K2407,'Structure type'!$A$1:$B$15,2,FALSE)</f>
        <v>Manhole</v>
      </c>
      <c r="M2407" s="23" t="s">
        <v>96</v>
      </c>
      <c r="N2407" s="6" t="str">
        <f>VLOOKUP(M2407,'Excursion Cause'!$A$1:$B$34,2,FALSE)</f>
        <v>Collection system temporary blockage</v>
      </c>
      <c r="O2407" s="29">
        <v>44992.0</v>
      </c>
      <c r="P2407" s="30">
        <v>0.4583333333333333</v>
      </c>
      <c r="Q2407" s="29">
        <v>44992.0</v>
      </c>
      <c r="R2407" s="30">
        <v>0.5875</v>
      </c>
      <c r="S2407" s="28">
        <v>10.0</v>
      </c>
      <c r="T2407" s="23" t="s">
        <v>1391</v>
      </c>
      <c r="U2407" s="6"/>
      <c r="V2407" s="6"/>
      <c r="W2407" s="35">
        <v>29.7281795</v>
      </c>
      <c r="X2407" s="35">
        <v>-95.2822578999999</v>
      </c>
      <c r="AA2407" s="33"/>
      <c r="AB2407" s="33"/>
      <c r="AC2407" s="33"/>
      <c r="AD2407" s="33"/>
      <c r="AE2407" s="33"/>
      <c r="AF2407" s="33"/>
      <c r="AG2407" s="33"/>
      <c r="AH2407" s="33"/>
      <c r="AI2407" s="33"/>
      <c r="AJ2407" s="33"/>
      <c r="AK2407" s="33"/>
      <c r="AL2407" s="33"/>
      <c r="AM2407" s="33"/>
      <c r="AN2407" s="33"/>
      <c r="AO2407" s="33"/>
    </row>
    <row r="2408" ht="15.75" customHeight="1">
      <c r="A2408" s="23">
        <v>51582.0</v>
      </c>
      <c r="B2408" s="23">
        <v>2023.0</v>
      </c>
      <c r="C2408" s="6" t="str">
        <f t="shared" si="7"/>
        <v>2409 ABERNATHY ST,Houston,TX</v>
      </c>
      <c r="D2408" s="23" t="s">
        <v>3758</v>
      </c>
      <c r="E2408" s="6" t="s">
        <v>25</v>
      </c>
      <c r="F2408" s="6" t="s">
        <v>1388</v>
      </c>
      <c r="G2408" s="31" t="s">
        <v>43</v>
      </c>
      <c r="H2408" s="23" t="s">
        <v>50</v>
      </c>
      <c r="I2408" s="6" t="str">
        <f>VLOOKUP(H2408,'Flow Location'!$A$1:$B$21,2,FALSE)</f>
        <v>Contained On Site, not within 5 ft. of Bayou/Surface Water/Drainage Ditch</v>
      </c>
      <c r="J2408" s="28">
        <v>0.0</v>
      </c>
      <c r="K2408" s="23" t="s">
        <v>29</v>
      </c>
      <c r="L2408" s="6" t="str">
        <f>VLOOKUP(K2408,'Structure type'!$A$1:$B$15,2,FALSE)</f>
        <v>Manhole</v>
      </c>
      <c r="M2408" s="23" t="s">
        <v>56</v>
      </c>
      <c r="N2408" s="6" t="str">
        <f>VLOOKUP(M2408,'Excursion Cause'!$A$1:$B$34,2,FALSE)</f>
        <v>Rags/Wipes</v>
      </c>
      <c r="O2408" s="29">
        <v>44992.0</v>
      </c>
      <c r="P2408" s="30">
        <v>0.7138888888888889</v>
      </c>
      <c r="Q2408" s="29">
        <v>44992.0</v>
      </c>
      <c r="R2408" s="30">
        <v>0.7145833333333333</v>
      </c>
      <c r="S2408" s="28">
        <v>0.0</v>
      </c>
      <c r="T2408" s="23" t="s">
        <v>3749</v>
      </c>
      <c r="U2408" s="6"/>
      <c r="V2408" s="6"/>
      <c r="W2408" s="35">
        <v>29.7844744</v>
      </c>
      <c r="X2408" s="35">
        <v>-95.3288547</v>
      </c>
      <c r="AA2408" s="33"/>
      <c r="AB2408" s="33"/>
      <c r="AC2408" s="33"/>
      <c r="AD2408" s="33"/>
      <c r="AE2408" s="33"/>
      <c r="AF2408" s="33"/>
      <c r="AG2408" s="33"/>
      <c r="AH2408" s="33"/>
      <c r="AI2408" s="33"/>
      <c r="AJ2408" s="33"/>
      <c r="AK2408" s="33"/>
      <c r="AL2408" s="33"/>
      <c r="AM2408" s="33"/>
      <c r="AN2408" s="33"/>
      <c r="AO2408" s="33"/>
    </row>
    <row r="2409" ht="15.75" customHeight="1">
      <c r="A2409" s="23">
        <v>51583.0</v>
      </c>
      <c r="B2409" s="23">
        <v>2023.0</v>
      </c>
      <c r="C2409" s="6" t="str">
        <f t="shared" si="7"/>
        <v>6747 LAWNDALE ST,Houston,TX</v>
      </c>
      <c r="D2409" s="23" t="s">
        <v>3688</v>
      </c>
      <c r="E2409" s="6" t="s">
        <v>25</v>
      </c>
      <c r="F2409" s="6" t="s">
        <v>1388</v>
      </c>
      <c r="G2409" s="31" t="s">
        <v>227</v>
      </c>
      <c r="H2409" s="23" t="s">
        <v>44</v>
      </c>
      <c r="I2409" s="6" t="str">
        <f>VLOOKUP(H2409,'Flow Location'!$A$1:$B$21,2,FALSE)</f>
        <v>Bayou/surface water/drainage ditch</v>
      </c>
      <c r="J2409" s="28">
        <v>1860.0</v>
      </c>
      <c r="K2409" s="23" t="s">
        <v>290</v>
      </c>
      <c r="L2409" s="6" t="str">
        <f>VLOOKUP(K2409,'Structure type'!$A$1:$B$15,2,FALSE)</f>
        <v>Gravity Main</v>
      </c>
      <c r="M2409" s="23" t="s">
        <v>3542</v>
      </c>
      <c r="N2409" s="6" t="str">
        <f>VLOOKUP(M2409,'Excursion Cause'!$A$1:$B$34,2,FALSE)</f>
        <v>Pump/Lift Station Instrumentation Failure</v>
      </c>
      <c r="O2409" s="29">
        <v>44992.0</v>
      </c>
      <c r="P2409" s="30">
        <v>0.4583333333333333</v>
      </c>
      <c r="Q2409" s="29">
        <v>44992.0</v>
      </c>
      <c r="R2409" s="30">
        <v>0.5875</v>
      </c>
      <c r="S2409" s="28">
        <v>10.0</v>
      </c>
      <c r="T2409" s="23" t="s">
        <v>3759</v>
      </c>
      <c r="U2409" s="6"/>
      <c r="V2409" s="6"/>
      <c r="W2409" s="35">
        <v>29.7230744</v>
      </c>
      <c r="X2409" s="35">
        <v>-95.3060569</v>
      </c>
      <c r="AA2409" s="33"/>
      <c r="AB2409" s="33"/>
      <c r="AC2409" s="33"/>
      <c r="AD2409" s="33"/>
      <c r="AE2409" s="33"/>
      <c r="AF2409" s="33"/>
      <c r="AG2409" s="33"/>
      <c r="AH2409" s="33"/>
      <c r="AI2409" s="33"/>
      <c r="AJ2409" s="33"/>
      <c r="AK2409" s="33"/>
      <c r="AL2409" s="33"/>
      <c r="AM2409" s="33"/>
      <c r="AN2409" s="33"/>
      <c r="AO2409" s="33"/>
    </row>
    <row r="2410" ht="15.75" customHeight="1">
      <c r="A2410" s="23">
        <v>51585.0</v>
      </c>
      <c r="B2410" s="23">
        <v>2023.0</v>
      </c>
      <c r="C2410" s="6" t="str">
        <f t="shared" si="7"/>
        <v>9400 IRVINGTON BLVD,Houston,TX</v>
      </c>
      <c r="D2410" s="23" t="s">
        <v>3760</v>
      </c>
      <c r="E2410" s="6" t="s">
        <v>25</v>
      </c>
      <c r="F2410" s="6" t="s">
        <v>1388</v>
      </c>
      <c r="G2410" s="31" t="s">
        <v>275</v>
      </c>
      <c r="H2410" s="23" t="s">
        <v>50</v>
      </c>
      <c r="I2410" s="6" t="str">
        <f>VLOOKUP(H2410,'Flow Location'!$A$1:$B$21,2,FALSE)</f>
        <v>Contained On Site, not within 5 ft. of Bayou/Surface Water/Drainage Ditch</v>
      </c>
      <c r="J2410" s="28">
        <v>73.0</v>
      </c>
      <c r="K2410" s="23" t="s">
        <v>45</v>
      </c>
      <c r="L2410" s="6" t="str">
        <f>VLOOKUP(K2410,'Structure type'!$A$1:$B$15,2,FALSE)</f>
        <v>City Cleanout</v>
      </c>
      <c r="M2410" s="23" t="s">
        <v>56</v>
      </c>
      <c r="N2410" s="6" t="str">
        <f>VLOOKUP(M2410,'Excursion Cause'!$A$1:$B$34,2,FALSE)</f>
        <v>Rags/Wipes</v>
      </c>
      <c r="O2410" s="29">
        <v>44993.0</v>
      </c>
      <c r="P2410" s="30">
        <v>0.5798611111111112</v>
      </c>
      <c r="Q2410" s="29">
        <v>44993.0</v>
      </c>
      <c r="R2410" s="30">
        <v>0.6305555555555555</v>
      </c>
      <c r="S2410" s="28">
        <v>1.0</v>
      </c>
      <c r="T2410" s="23" t="s">
        <v>1462</v>
      </c>
      <c r="U2410" s="6"/>
      <c r="V2410" s="6"/>
      <c r="W2410" s="35">
        <v>29.8509663999999</v>
      </c>
      <c r="X2410" s="35">
        <v>-95.3614894</v>
      </c>
      <c r="AA2410" s="33"/>
      <c r="AB2410" s="33"/>
      <c r="AC2410" s="33"/>
      <c r="AD2410" s="33"/>
      <c r="AE2410" s="33"/>
      <c r="AF2410" s="33"/>
      <c r="AG2410" s="33"/>
      <c r="AH2410" s="33"/>
      <c r="AI2410" s="33"/>
      <c r="AJ2410" s="33"/>
      <c r="AK2410" s="33"/>
      <c r="AL2410" s="33"/>
      <c r="AM2410" s="33"/>
      <c r="AN2410" s="33"/>
      <c r="AO2410" s="33"/>
    </row>
    <row r="2411" ht="15.75" customHeight="1">
      <c r="A2411" s="23">
        <v>51586.0</v>
      </c>
      <c r="B2411" s="23">
        <v>2023.0</v>
      </c>
      <c r="C2411" s="6" t="str">
        <f t="shared" si="7"/>
        <v>12765 NIMITZ ST,Houston,TX</v>
      </c>
      <c r="D2411" s="23" t="s">
        <v>3761</v>
      </c>
      <c r="E2411" s="6" t="s">
        <v>25</v>
      </c>
      <c r="F2411" s="6" t="s">
        <v>1388</v>
      </c>
      <c r="G2411" s="31" t="s">
        <v>623</v>
      </c>
      <c r="H2411" s="23" t="s">
        <v>28</v>
      </c>
      <c r="I2411" s="6" t="str">
        <f>VLOOKUP(H2411,'Flow Location'!$A$1:$B$21,2,FALSE)</f>
        <v>Storm Sewer (not contained)</v>
      </c>
      <c r="J2411" s="28">
        <v>0.0</v>
      </c>
      <c r="K2411" s="23" t="s">
        <v>45</v>
      </c>
      <c r="L2411" s="6" t="str">
        <f>VLOOKUP(K2411,'Structure type'!$A$1:$B$15,2,FALSE)</f>
        <v>City Cleanout</v>
      </c>
      <c r="M2411" s="23" t="s">
        <v>52</v>
      </c>
      <c r="N2411" s="6" t="str">
        <f>VLOOKUP(M2411,'Excursion Cause'!$A$1:$B$34,2,FALSE)</f>
        <v>Collection system structural blockage</v>
      </c>
      <c r="O2411" s="29">
        <v>44993.0</v>
      </c>
      <c r="P2411" s="30">
        <v>0.3402777777777778</v>
      </c>
      <c r="Q2411" s="29">
        <v>44993.0</v>
      </c>
      <c r="R2411" s="30">
        <v>0.34097222222222223</v>
      </c>
      <c r="S2411" s="28">
        <v>0.0</v>
      </c>
      <c r="T2411" s="23" t="s">
        <v>118</v>
      </c>
      <c r="U2411" s="6"/>
      <c r="V2411" s="6"/>
      <c r="W2411" s="35">
        <v>29.7700483</v>
      </c>
      <c r="X2411" s="35">
        <v>-95.2074131999999</v>
      </c>
      <c r="AA2411" s="33"/>
      <c r="AB2411" s="33"/>
      <c r="AC2411" s="33"/>
      <c r="AD2411" s="33"/>
      <c r="AE2411" s="33"/>
      <c r="AF2411" s="33"/>
      <c r="AG2411" s="33"/>
      <c r="AH2411" s="33"/>
      <c r="AI2411" s="33"/>
      <c r="AJ2411" s="33"/>
      <c r="AK2411" s="33"/>
      <c r="AL2411" s="33"/>
      <c r="AM2411" s="33"/>
      <c r="AN2411" s="33"/>
      <c r="AO2411" s="33"/>
    </row>
    <row r="2412" ht="15.75" customHeight="1">
      <c r="A2412" s="23">
        <v>51587.0</v>
      </c>
      <c r="B2412" s="23">
        <v>2023.0</v>
      </c>
      <c r="C2412" s="6" t="str">
        <f t="shared" si="7"/>
        <v>15802 GALVESTON RD,Houston,TX</v>
      </c>
      <c r="D2412" s="23" t="s">
        <v>3762</v>
      </c>
      <c r="E2412" s="6" t="s">
        <v>25</v>
      </c>
      <c r="F2412" s="6" t="s">
        <v>1388</v>
      </c>
      <c r="G2412" s="31" t="s">
        <v>211</v>
      </c>
      <c r="H2412" s="23" t="s">
        <v>28</v>
      </c>
      <c r="I2412" s="6" t="str">
        <f>VLOOKUP(H2412,'Flow Location'!$A$1:$B$21,2,FALSE)</f>
        <v>Storm Sewer (not contained)</v>
      </c>
      <c r="J2412" s="28">
        <v>141.0</v>
      </c>
      <c r="K2412" s="23" t="s">
        <v>29</v>
      </c>
      <c r="L2412" s="6" t="str">
        <f>VLOOKUP(K2412,'Structure type'!$A$1:$B$15,2,FALSE)</f>
        <v>Manhole</v>
      </c>
      <c r="M2412" s="23" t="s">
        <v>96</v>
      </c>
      <c r="N2412" s="6" t="str">
        <f>VLOOKUP(M2412,'Excursion Cause'!$A$1:$B$34,2,FALSE)</f>
        <v>Collection system temporary blockage</v>
      </c>
      <c r="O2412" s="29">
        <v>44993.0</v>
      </c>
      <c r="P2412" s="30">
        <v>0.46458333333333335</v>
      </c>
      <c r="Q2412" s="29">
        <v>44993.0</v>
      </c>
      <c r="R2412" s="30">
        <v>0.5625</v>
      </c>
      <c r="S2412" s="28">
        <v>1.0</v>
      </c>
      <c r="T2412" s="23" t="s">
        <v>118</v>
      </c>
      <c r="U2412" s="6"/>
      <c r="V2412" s="6"/>
      <c r="W2412" s="35">
        <v>29.5596187</v>
      </c>
      <c r="X2412" s="35">
        <v>-95.1391246</v>
      </c>
      <c r="AA2412" s="33"/>
      <c r="AB2412" s="33"/>
      <c r="AC2412" s="33"/>
      <c r="AD2412" s="33"/>
      <c r="AE2412" s="33"/>
      <c r="AF2412" s="33"/>
      <c r="AG2412" s="33"/>
      <c r="AH2412" s="33"/>
      <c r="AI2412" s="33"/>
      <c r="AJ2412" s="33"/>
      <c r="AK2412" s="33"/>
      <c r="AL2412" s="33"/>
      <c r="AM2412" s="33"/>
      <c r="AN2412" s="33"/>
      <c r="AO2412" s="33"/>
    </row>
    <row r="2413" ht="15.75" customHeight="1">
      <c r="A2413" s="23">
        <v>51588.0</v>
      </c>
      <c r="B2413" s="23">
        <v>2023.0</v>
      </c>
      <c r="C2413" s="6" t="str">
        <f t="shared" si="7"/>
        <v>1554 LAWSON ST,Houston,TX</v>
      </c>
      <c r="D2413" s="23" t="s">
        <v>3763</v>
      </c>
      <c r="E2413" s="6" t="s">
        <v>25</v>
      </c>
      <c r="F2413" s="6" t="s">
        <v>1388</v>
      </c>
      <c r="G2413" s="31" t="s">
        <v>141</v>
      </c>
      <c r="H2413" s="23" t="s">
        <v>50</v>
      </c>
      <c r="I2413" s="6" t="str">
        <f>VLOOKUP(H2413,'Flow Location'!$A$1:$B$21,2,FALSE)</f>
        <v>Contained On Site, not within 5 ft. of Bayou/Surface Water/Drainage Ditch</v>
      </c>
      <c r="J2413" s="28">
        <v>0.0</v>
      </c>
      <c r="K2413" s="23" t="s">
        <v>198</v>
      </c>
      <c r="L2413" s="6" t="str">
        <f>VLOOKUP(K2413,'Structure type'!$A$1:$B$15,2,FALSE)</f>
        <v>Service Lateral</v>
      </c>
      <c r="M2413" s="23" t="s">
        <v>30</v>
      </c>
      <c r="N2413" s="6" t="str">
        <f>VLOOKUP(M2413,'Excursion Cause'!$A$1:$B$34,2,FALSE)</f>
        <v>Grease Blockage</v>
      </c>
      <c r="O2413" s="29">
        <v>44993.0</v>
      </c>
      <c r="P2413" s="30">
        <v>0.4798611111111111</v>
      </c>
      <c r="Q2413" s="29">
        <v>44993.0</v>
      </c>
      <c r="R2413" s="30">
        <v>0.48055555555555557</v>
      </c>
      <c r="S2413" s="28">
        <v>0.0</v>
      </c>
      <c r="T2413" s="23" t="s">
        <v>3749</v>
      </c>
      <c r="U2413" s="6"/>
      <c r="V2413" s="6"/>
      <c r="W2413" s="35">
        <v>29.7264444</v>
      </c>
      <c r="X2413" s="35">
        <v>-95.3267999</v>
      </c>
      <c r="AA2413" s="33"/>
      <c r="AB2413" s="33"/>
      <c r="AC2413" s="33"/>
      <c r="AD2413" s="33"/>
      <c r="AE2413" s="33"/>
      <c r="AF2413" s="33"/>
      <c r="AG2413" s="33"/>
      <c r="AH2413" s="33"/>
      <c r="AI2413" s="33"/>
      <c r="AJ2413" s="33"/>
      <c r="AK2413" s="33"/>
      <c r="AL2413" s="33"/>
      <c r="AM2413" s="33"/>
      <c r="AN2413" s="33"/>
      <c r="AO2413" s="33"/>
    </row>
    <row r="2414" ht="15.75" customHeight="1">
      <c r="A2414" s="23">
        <v>51591.0</v>
      </c>
      <c r="B2414" s="23">
        <v>2023.0</v>
      </c>
      <c r="C2414" s="6" t="str">
        <f t="shared" si="7"/>
        <v>5353 DEEP FOREST DR,Houston,TX</v>
      </c>
      <c r="D2414" s="23" t="s">
        <v>1869</v>
      </c>
      <c r="E2414" s="6" t="s">
        <v>25</v>
      </c>
      <c r="F2414" s="6" t="s">
        <v>1388</v>
      </c>
      <c r="G2414" s="31" t="s">
        <v>76</v>
      </c>
      <c r="H2414" s="23" t="s">
        <v>28</v>
      </c>
      <c r="I2414" s="6" t="str">
        <f>VLOOKUP(H2414,'Flow Location'!$A$1:$B$21,2,FALSE)</f>
        <v>Storm Sewer (not contained)</v>
      </c>
      <c r="J2414" s="28">
        <v>119.0</v>
      </c>
      <c r="K2414" s="23" t="s">
        <v>29</v>
      </c>
      <c r="L2414" s="6" t="str">
        <f>VLOOKUP(K2414,'Structure type'!$A$1:$B$15,2,FALSE)</f>
        <v>Manhole</v>
      </c>
      <c r="M2414" s="23" t="s">
        <v>52</v>
      </c>
      <c r="N2414" s="6" t="str">
        <f>VLOOKUP(M2414,'Excursion Cause'!$A$1:$B$34,2,FALSE)</f>
        <v>Collection system structural blockage</v>
      </c>
      <c r="O2414" s="29">
        <v>44993.0</v>
      </c>
      <c r="P2414" s="30">
        <v>0.5319444444444444</v>
      </c>
      <c r="Q2414" s="29">
        <v>44993.0</v>
      </c>
      <c r="R2414" s="30">
        <v>0.6145833333333334</v>
      </c>
      <c r="S2414" s="28">
        <v>1.0</v>
      </c>
      <c r="T2414" s="23" t="s">
        <v>1462</v>
      </c>
      <c r="U2414" s="6"/>
      <c r="V2414" s="6"/>
      <c r="W2414" s="35">
        <v>29.8423254</v>
      </c>
      <c r="X2414" s="35">
        <v>-95.4760197999999</v>
      </c>
      <c r="AA2414" s="33"/>
      <c r="AB2414" s="33"/>
      <c r="AC2414" s="33"/>
      <c r="AD2414" s="33"/>
      <c r="AE2414" s="33"/>
      <c r="AF2414" s="33"/>
      <c r="AG2414" s="33"/>
      <c r="AH2414" s="33"/>
      <c r="AI2414" s="33"/>
      <c r="AJ2414" s="33"/>
      <c r="AK2414" s="33"/>
      <c r="AL2414" s="33"/>
      <c r="AM2414" s="33"/>
      <c r="AN2414" s="33"/>
      <c r="AO2414" s="33"/>
    </row>
    <row r="2415" ht="15.75" customHeight="1">
      <c r="A2415" s="23">
        <v>51595.0</v>
      </c>
      <c r="B2415" s="23">
        <v>2023.0</v>
      </c>
      <c r="C2415" s="6" t="str">
        <f t="shared" si="7"/>
        <v>1620 LOOP FWY,Houston,TX</v>
      </c>
      <c r="D2415" s="23" t="s">
        <v>3764</v>
      </c>
      <c r="E2415" s="6" t="s">
        <v>25</v>
      </c>
      <c r="F2415" s="6" t="s">
        <v>1388</v>
      </c>
      <c r="G2415" s="23">
        <v>77029.0</v>
      </c>
      <c r="H2415" s="23" t="s">
        <v>28</v>
      </c>
      <c r="I2415" s="6" t="str">
        <f>VLOOKUP(H2415,'Flow Location'!$A$1:$B$21,2,FALSE)</f>
        <v>Storm Sewer (not contained)</v>
      </c>
      <c r="J2415" s="28">
        <v>48.0</v>
      </c>
      <c r="K2415" s="23" t="s">
        <v>51</v>
      </c>
      <c r="L2415" s="6" t="str">
        <f>VLOOKUP(K2415,'Structure type'!$A$1:$B$15,2,FALSE)</f>
        <v>Private Cleanout</v>
      </c>
      <c r="M2415" s="23" t="s">
        <v>30</v>
      </c>
      <c r="N2415" s="6" t="str">
        <f>VLOOKUP(M2415,'Excursion Cause'!$A$1:$B$34,2,FALSE)</f>
        <v>Grease Blockage</v>
      </c>
      <c r="O2415" s="29">
        <v>44993.0</v>
      </c>
      <c r="P2415" s="30">
        <v>0.5777777777777777</v>
      </c>
      <c r="Q2415" s="29">
        <v>44993.0</v>
      </c>
      <c r="R2415" s="30">
        <v>0.6111111111111112</v>
      </c>
      <c r="S2415" s="28">
        <v>1.0</v>
      </c>
      <c r="T2415" s="23" t="s">
        <v>1462</v>
      </c>
      <c r="U2415" s="6"/>
      <c r="V2415" s="6"/>
      <c r="W2415" s="35">
        <v>29.733646</v>
      </c>
      <c r="X2415" s="35">
        <v>-95.2668019</v>
      </c>
      <c r="AA2415" s="33"/>
      <c r="AB2415" s="33"/>
      <c r="AC2415" s="33"/>
      <c r="AD2415" s="33"/>
      <c r="AE2415" s="33"/>
      <c r="AF2415" s="33"/>
      <c r="AG2415" s="33"/>
      <c r="AH2415" s="33"/>
      <c r="AI2415" s="33"/>
      <c r="AJ2415" s="33"/>
      <c r="AK2415" s="33"/>
      <c r="AL2415" s="33"/>
      <c r="AM2415" s="33"/>
      <c r="AN2415" s="33"/>
      <c r="AO2415" s="33"/>
    </row>
    <row r="2416" ht="15.75" customHeight="1">
      <c r="A2416" s="23">
        <v>51599.0</v>
      </c>
      <c r="B2416" s="23">
        <v>2023.0</v>
      </c>
      <c r="C2416" s="6" t="str">
        <f t="shared" si="7"/>
        <v>9601 DENSLOW CIR,Houston,TX</v>
      </c>
      <c r="D2416" s="23" t="s">
        <v>875</v>
      </c>
      <c r="E2416" s="6" t="s">
        <v>25</v>
      </c>
      <c r="F2416" s="6" t="s">
        <v>1388</v>
      </c>
      <c r="G2416" s="31" t="s">
        <v>275</v>
      </c>
      <c r="H2416" s="23" t="s">
        <v>1977</v>
      </c>
      <c r="I2416" s="6" t="str">
        <f>VLOOKUP(H2416,'Flow Location'!$A$1:$B$21,2,FALSE)</f>
        <v>Bayou/surface water/drainage ditch</v>
      </c>
      <c r="J2416" s="28">
        <v>0.0</v>
      </c>
      <c r="K2416" s="23" t="s">
        <v>29</v>
      </c>
      <c r="L2416" s="6" t="str">
        <f>VLOOKUP(K2416,'Structure type'!$A$1:$B$15,2,FALSE)</f>
        <v>Manhole</v>
      </c>
      <c r="M2416" s="23" t="s">
        <v>30</v>
      </c>
      <c r="N2416" s="6" t="str">
        <f>VLOOKUP(M2416,'Excursion Cause'!$A$1:$B$34,2,FALSE)</f>
        <v>Grease Blockage</v>
      </c>
      <c r="O2416" s="29">
        <v>44993.0</v>
      </c>
      <c r="P2416" s="30">
        <v>0.6402777777777777</v>
      </c>
      <c r="Q2416" s="29">
        <v>44993.0</v>
      </c>
      <c r="R2416" s="30">
        <v>0.6409722222222223</v>
      </c>
      <c r="S2416" s="28">
        <v>0.0</v>
      </c>
      <c r="T2416" s="23" t="s">
        <v>3749</v>
      </c>
      <c r="U2416" s="6"/>
      <c r="V2416" s="6"/>
      <c r="W2416" s="35">
        <v>29.8480643999999</v>
      </c>
      <c r="X2416" s="35">
        <v>-95.3650657</v>
      </c>
      <c r="AA2416" s="33"/>
      <c r="AB2416" s="33"/>
      <c r="AC2416" s="33"/>
      <c r="AD2416" s="33"/>
      <c r="AE2416" s="33"/>
      <c r="AF2416" s="33"/>
      <c r="AG2416" s="33"/>
      <c r="AH2416" s="33"/>
      <c r="AI2416" s="33"/>
      <c r="AJ2416" s="33"/>
      <c r="AK2416" s="33"/>
      <c r="AL2416" s="33"/>
      <c r="AM2416" s="33"/>
      <c r="AN2416" s="33"/>
      <c r="AO2416" s="33"/>
    </row>
    <row r="2417" ht="15.75" customHeight="1">
      <c r="A2417" s="23">
        <v>51601.0</v>
      </c>
      <c r="B2417" s="23">
        <v>2023.0</v>
      </c>
      <c r="C2417" s="6" t="str">
        <f t="shared" si="7"/>
        <v>813 ST EMANUEL ST,Houston,TX</v>
      </c>
      <c r="D2417" s="23" t="s">
        <v>3765</v>
      </c>
      <c r="E2417" s="6" t="s">
        <v>25</v>
      </c>
      <c r="F2417" s="6" t="s">
        <v>1388</v>
      </c>
      <c r="G2417" s="31" t="s">
        <v>172</v>
      </c>
      <c r="H2417" s="23" t="s">
        <v>50</v>
      </c>
      <c r="I2417" s="6" t="str">
        <f>VLOOKUP(H2417,'Flow Location'!$A$1:$B$21,2,FALSE)</f>
        <v>Contained On Site, not within 5 ft. of Bayou/Surface Water/Drainage Ditch</v>
      </c>
      <c r="J2417" s="28">
        <v>908.0</v>
      </c>
      <c r="K2417" s="23" t="s">
        <v>51</v>
      </c>
      <c r="L2417" s="6" t="str">
        <f>VLOOKUP(K2417,'Structure type'!$A$1:$B$15,2,FALSE)</f>
        <v>Private Cleanout</v>
      </c>
      <c r="M2417" s="23" t="s">
        <v>56</v>
      </c>
      <c r="N2417" s="6" t="str">
        <f>VLOOKUP(M2417,'Excursion Cause'!$A$1:$B$34,2,FALSE)</f>
        <v>Rags/Wipes</v>
      </c>
      <c r="O2417" s="29">
        <v>44993.0</v>
      </c>
      <c r="P2417" s="30">
        <v>0.7236111111111111</v>
      </c>
      <c r="Q2417" s="29">
        <v>44994.0</v>
      </c>
      <c r="R2417" s="30">
        <v>0.3541666666666667</v>
      </c>
      <c r="S2417" s="28">
        <v>1.0</v>
      </c>
      <c r="T2417" s="23" t="s">
        <v>1473</v>
      </c>
      <c r="U2417" s="6"/>
      <c r="V2417" s="6"/>
      <c r="W2417" s="35">
        <v>29.7519793</v>
      </c>
      <c r="X2417" s="35">
        <v>-95.3544991</v>
      </c>
      <c r="AA2417" s="33"/>
      <c r="AB2417" s="33"/>
      <c r="AC2417" s="33"/>
      <c r="AD2417" s="33"/>
      <c r="AE2417" s="33"/>
      <c r="AF2417" s="33"/>
      <c r="AG2417" s="33"/>
      <c r="AH2417" s="33"/>
      <c r="AI2417" s="33"/>
      <c r="AJ2417" s="33"/>
      <c r="AK2417" s="33"/>
      <c r="AL2417" s="33"/>
      <c r="AM2417" s="33"/>
      <c r="AN2417" s="33"/>
      <c r="AO2417" s="33"/>
    </row>
    <row r="2418" ht="15.75" customHeight="1">
      <c r="A2418" s="23">
        <v>51604.0</v>
      </c>
      <c r="B2418" s="23">
        <v>2023.0</v>
      </c>
      <c r="C2418" s="6" t="str">
        <f t="shared" si="7"/>
        <v>6725 POLK ST,Houston,TX</v>
      </c>
      <c r="D2418" s="23" t="s">
        <v>3766</v>
      </c>
      <c r="E2418" s="6" t="s">
        <v>25</v>
      </c>
      <c r="F2418" s="6" t="s">
        <v>1388</v>
      </c>
      <c r="G2418" s="31" t="s">
        <v>227</v>
      </c>
      <c r="H2418" s="23" t="s">
        <v>44</v>
      </c>
      <c r="I2418" s="6" t="str">
        <f>VLOOKUP(H2418,'Flow Location'!$A$1:$B$21,2,FALSE)</f>
        <v>Bayou/surface water/drainage ditch</v>
      </c>
      <c r="J2418" s="28">
        <v>130.0</v>
      </c>
      <c r="K2418" s="23" t="s">
        <v>290</v>
      </c>
      <c r="L2418" s="6" t="str">
        <f>VLOOKUP(K2418,'Structure type'!$A$1:$B$15,2,FALSE)</f>
        <v>Gravity Main</v>
      </c>
      <c r="M2418" s="23" t="s">
        <v>81</v>
      </c>
      <c r="N2418" s="6" t="str">
        <f>VLOOKUP(M2418,'Excursion Cause'!$A$1:$B$34,2,FALSE)</f>
        <v>Collection system structural failure</v>
      </c>
      <c r="O2418" s="29">
        <v>44994.0</v>
      </c>
      <c r="P2418" s="30">
        <v>0.38472222222222224</v>
      </c>
      <c r="Q2418" s="29">
        <v>44994.0</v>
      </c>
      <c r="R2418" s="30">
        <v>0.4027777777777778</v>
      </c>
      <c r="S2418" s="28">
        <v>5.0</v>
      </c>
      <c r="T2418" s="23" t="s">
        <v>3745</v>
      </c>
      <c r="U2418" s="6"/>
      <c r="V2418" s="6"/>
      <c r="W2418" s="35">
        <v>29.7336163</v>
      </c>
      <c r="X2418" s="35">
        <v>-95.3086086</v>
      </c>
      <c r="AA2418" s="33"/>
      <c r="AB2418" s="33"/>
      <c r="AC2418" s="33"/>
      <c r="AD2418" s="33"/>
      <c r="AE2418" s="33"/>
      <c r="AF2418" s="33"/>
      <c r="AG2418" s="33"/>
      <c r="AH2418" s="33"/>
      <c r="AI2418" s="33"/>
      <c r="AJ2418" s="33"/>
      <c r="AK2418" s="33"/>
      <c r="AL2418" s="33"/>
      <c r="AM2418" s="33"/>
      <c r="AN2418" s="33"/>
      <c r="AO2418" s="33"/>
    </row>
    <row r="2419" ht="15.75" customHeight="1">
      <c r="A2419" s="23">
        <v>51609.0</v>
      </c>
      <c r="B2419" s="23">
        <v>2023.0</v>
      </c>
      <c r="C2419" s="6" t="str">
        <f t="shared" si="7"/>
        <v>3518 CORKSIE ST,Houston,TX</v>
      </c>
      <c r="D2419" s="23" t="s">
        <v>3752</v>
      </c>
      <c r="E2419" s="6" t="s">
        <v>25</v>
      </c>
      <c r="F2419" s="6" t="s">
        <v>1388</v>
      </c>
      <c r="G2419" s="31" t="s">
        <v>105</v>
      </c>
      <c r="H2419" s="23" t="s">
        <v>50</v>
      </c>
      <c r="I2419" s="6" t="str">
        <f>VLOOKUP(H2419,'Flow Location'!$A$1:$B$21,2,FALSE)</f>
        <v>Contained On Site, not within 5 ft. of Bayou/Surface Water/Drainage Ditch</v>
      </c>
      <c r="J2419" s="28">
        <v>93.0</v>
      </c>
      <c r="K2419" s="23" t="s">
        <v>29</v>
      </c>
      <c r="L2419" s="6" t="str">
        <f>VLOOKUP(K2419,'Structure type'!$A$1:$B$15,2,FALSE)</f>
        <v>Manhole</v>
      </c>
      <c r="M2419" s="23" t="s">
        <v>52</v>
      </c>
      <c r="N2419" s="6" t="str">
        <f>VLOOKUP(M2419,'Excursion Cause'!$A$1:$B$34,2,FALSE)</f>
        <v>Collection system structural blockage</v>
      </c>
      <c r="O2419" s="29">
        <v>44994.0</v>
      </c>
      <c r="P2419" s="30">
        <v>0.5111111111111111</v>
      </c>
      <c r="Q2419" s="29">
        <v>44994.0</v>
      </c>
      <c r="R2419" s="30">
        <v>0.5756944444444444</v>
      </c>
      <c r="S2419" s="28">
        <v>1.0</v>
      </c>
      <c r="T2419" s="23" t="s">
        <v>3749</v>
      </c>
      <c r="U2419" s="6"/>
      <c r="V2419" s="6"/>
      <c r="W2419" s="35">
        <v>29.648115</v>
      </c>
      <c r="X2419" s="35">
        <v>-95.371253</v>
      </c>
      <c r="AA2419" s="33"/>
      <c r="AB2419" s="33"/>
      <c r="AC2419" s="33"/>
      <c r="AD2419" s="33"/>
      <c r="AE2419" s="33"/>
      <c r="AF2419" s="33"/>
      <c r="AG2419" s="33"/>
      <c r="AH2419" s="33"/>
      <c r="AI2419" s="33"/>
      <c r="AJ2419" s="33"/>
      <c r="AK2419" s="33"/>
      <c r="AL2419" s="33"/>
      <c r="AM2419" s="33"/>
      <c r="AN2419" s="33"/>
      <c r="AO2419" s="33"/>
    </row>
    <row r="2420" ht="15.75" customHeight="1">
      <c r="A2420" s="23">
        <v>51611.0</v>
      </c>
      <c r="B2420" s="23">
        <v>2023.0</v>
      </c>
      <c r="C2420" s="6" t="str">
        <f t="shared" si="7"/>
        <v>7428 CABOT ST,Houston,TX</v>
      </c>
      <c r="D2420" s="23" t="s">
        <v>3767</v>
      </c>
      <c r="E2420" s="6" t="s">
        <v>25</v>
      </c>
      <c r="F2420" s="6" t="s">
        <v>1388</v>
      </c>
      <c r="G2420" s="31" t="s">
        <v>326</v>
      </c>
      <c r="H2420" s="23" t="s">
        <v>50</v>
      </c>
      <c r="I2420" s="6" t="str">
        <f>VLOOKUP(H2420,'Flow Location'!$A$1:$B$21,2,FALSE)</f>
        <v>Contained On Site, not within 5 ft. of Bayou/Surface Water/Drainage Ditch</v>
      </c>
      <c r="J2420" s="28">
        <v>0.0</v>
      </c>
      <c r="K2420" s="23" t="s">
        <v>51</v>
      </c>
      <c r="L2420" s="6" t="str">
        <f>VLOOKUP(K2420,'Structure type'!$A$1:$B$15,2,FALSE)</f>
        <v>Private Cleanout</v>
      </c>
      <c r="M2420" s="23" t="s">
        <v>30</v>
      </c>
      <c r="N2420" s="6" t="str">
        <f>VLOOKUP(M2420,'Excursion Cause'!$A$1:$B$34,2,FALSE)</f>
        <v>Grease Blockage</v>
      </c>
      <c r="O2420" s="29">
        <v>44994.0</v>
      </c>
      <c r="P2420" s="30">
        <v>0.625</v>
      </c>
      <c r="Q2420" s="29">
        <v>44994.0</v>
      </c>
      <c r="R2420" s="30">
        <v>0.6256944444444444</v>
      </c>
      <c r="S2420" s="28">
        <v>0.0</v>
      </c>
      <c r="T2420" s="23" t="s">
        <v>1462</v>
      </c>
      <c r="U2420" s="6"/>
      <c r="V2420" s="6"/>
      <c r="W2420" s="35">
        <v>29.8540398</v>
      </c>
      <c r="X2420" s="35">
        <v>-95.2937613</v>
      </c>
      <c r="AA2420" s="33"/>
      <c r="AB2420" s="33"/>
      <c r="AC2420" s="33"/>
      <c r="AD2420" s="33"/>
      <c r="AE2420" s="33"/>
      <c r="AF2420" s="33"/>
      <c r="AG2420" s="33"/>
      <c r="AH2420" s="33"/>
      <c r="AI2420" s="33"/>
      <c r="AJ2420" s="33"/>
      <c r="AK2420" s="33"/>
      <c r="AL2420" s="33"/>
      <c r="AM2420" s="33"/>
      <c r="AN2420" s="33"/>
      <c r="AO2420" s="33"/>
    </row>
    <row r="2421" ht="15.75" customHeight="1">
      <c r="A2421" s="23">
        <v>51617.0</v>
      </c>
      <c r="B2421" s="23">
        <v>2023.0</v>
      </c>
      <c r="C2421" s="6" t="str">
        <f t="shared" si="7"/>
        <v>12818 LILA LN,Houston,TX</v>
      </c>
      <c r="D2421" s="23" t="s">
        <v>3768</v>
      </c>
      <c r="E2421" s="6" t="s">
        <v>25</v>
      </c>
      <c r="F2421" s="6" t="s">
        <v>1388</v>
      </c>
      <c r="G2421" s="31" t="s">
        <v>623</v>
      </c>
      <c r="H2421" s="23" t="s">
        <v>28</v>
      </c>
      <c r="I2421" s="6" t="str">
        <f>VLOOKUP(H2421,'Flow Location'!$A$1:$B$21,2,FALSE)</f>
        <v>Storm Sewer (not contained)</v>
      </c>
      <c r="J2421" s="28">
        <v>0.0</v>
      </c>
      <c r="K2421" s="23" t="s">
        <v>29</v>
      </c>
      <c r="L2421" s="6" t="str">
        <f>VLOOKUP(K2421,'Structure type'!$A$1:$B$15,2,FALSE)</f>
        <v>Manhole</v>
      </c>
      <c r="M2421" s="23" t="s">
        <v>56</v>
      </c>
      <c r="N2421" s="6" t="str">
        <f>VLOOKUP(M2421,'Excursion Cause'!$A$1:$B$34,2,FALSE)</f>
        <v>Rags/Wipes</v>
      </c>
      <c r="O2421" s="29">
        <v>44995.0</v>
      </c>
      <c r="P2421" s="30">
        <v>0.3541666666666667</v>
      </c>
      <c r="Q2421" s="29">
        <v>44995.0</v>
      </c>
      <c r="R2421" s="30">
        <v>0.3548611111111111</v>
      </c>
      <c r="S2421" s="28">
        <v>0.0</v>
      </c>
      <c r="T2421" s="23" t="s">
        <v>1462</v>
      </c>
      <c r="U2421" s="6"/>
      <c r="V2421" s="6"/>
      <c r="W2421" s="35">
        <v>29.7591464</v>
      </c>
      <c r="X2421" s="35">
        <v>-95.198759</v>
      </c>
      <c r="AA2421" s="33"/>
      <c r="AB2421" s="33"/>
      <c r="AC2421" s="33"/>
      <c r="AD2421" s="33"/>
      <c r="AE2421" s="33"/>
      <c r="AF2421" s="33"/>
      <c r="AG2421" s="33"/>
      <c r="AH2421" s="33"/>
      <c r="AI2421" s="33"/>
      <c r="AJ2421" s="33"/>
      <c r="AK2421" s="33"/>
      <c r="AL2421" s="33"/>
      <c r="AM2421" s="33"/>
      <c r="AN2421" s="33"/>
      <c r="AO2421" s="33"/>
    </row>
    <row r="2422" ht="15.75" customHeight="1">
      <c r="A2422" s="23">
        <v>51620.0</v>
      </c>
      <c r="B2422" s="23">
        <v>2023.0</v>
      </c>
      <c r="C2422" s="6" t="str">
        <f t="shared" si="7"/>
        <v>10763 EASTEX FWY,Houston,TX</v>
      </c>
      <c r="D2422" s="23" t="s">
        <v>3769</v>
      </c>
      <c r="E2422" s="6" t="s">
        <v>25</v>
      </c>
      <c r="F2422" s="6" t="s">
        <v>1388</v>
      </c>
      <c r="G2422" s="31" t="s">
        <v>109</v>
      </c>
      <c r="H2422" s="23" t="s">
        <v>2162</v>
      </c>
      <c r="I2422" s="6" t="str">
        <f>VLOOKUP(H2422,'Flow Location'!$A$1:$B$21,2,FALSE)</f>
        <v>Drainage Ditch</v>
      </c>
      <c r="J2422" s="28">
        <v>0.0</v>
      </c>
      <c r="K2422" s="23" t="s">
        <v>290</v>
      </c>
      <c r="L2422" s="6" t="str">
        <f>VLOOKUP(K2422,'Structure type'!$A$1:$B$15,2,FALSE)</f>
        <v>Gravity Main</v>
      </c>
      <c r="M2422" s="23" t="s">
        <v>30</v>
      </c>
      <c r="N2422" s="6" t="str">
        <f>VLOOKUP(M2422,'Excursion Cause'!$A$1:$B$34,2,FALSE)</f>
        <v>Grease Blockage</v>
      </c>
      <c r="O2422" s="29">
        <v>44995.0</v>
      </c>
      <c r="P2422" s="30">
        <v>0.4638888888888889</v>
      </c>
      <c r="Q2422" s="29">
        <v>44995.0</v>
      </c>
      <c r="R2422" s="30">
        <v>0.46458333333333335</v>
      </c>
      <c r="S2422" s="28">
        <v>0.0</v>
      </c>
      <c r="T2422" s="23" t="s">
        <v>1462</v>
      </c>
      <c r="U2422" s="6"/>
      <c r="V2422" s="6"/>
      <c r="W2422" s="35">
        <v>29.870247</v>
      </c>
      <c r="X2422" s="35">
        <v>-95.3307875</v>
      </c>
      <c r="AA2422" s="33"/>
      <c r="AB2422" s="33"/>
      <c r="AC2422" s="33"/>
      <c r="AD2422" s="33"/>
      <c r="AE2422" s="33"/>
      <c r="AF2422" s="33"/>
      <c r="AG2422" s="33"/>
      <c r="AH2422" s="33"/>
      <c r="AI2422" s="33"/>
      <c r="AJ2422" s="33"/>
      <c r="AK2422" s="33"/>
      <c r="AL2422" s="33"/>
      <c r="AM2422" s="33"/>
      <c r="AN2422" s="33"/>
      <c r="AO2422" s="33"/>
    </row>
    <row r="2423" ht="15.75" customHeight="1">
      <c r="A2423" s="23">
        <v>51625.0</v>
      </c>
      <c r="B2423" s="23">
        <v>2023.0</v>
      </c>
      <c r="C2423" s="6" t="str">
        <f t="shared" si="7"/>
        <v>6000 SUNFOREST DR,Houston,TX</v>
      </c>
      <c r="D2423" s="23" t="s">
        <v>3770</v>
      </c>
      <c r="E2423" s="6" t="s">
        <v>25</v>
      </c>
      <c r="F2423" s="6" t="s">
        <v>1388</v>
      </c>
      <c r="G2423" s="31" t="s">
        <v>76</v>
      </c>
      <c r="H2423" s="23" t="s">
        <v>28</v>
      </c>
      <c r="I2423" s="6" t="str">
        <f>VLOOKUP(H2423,'Flow Location'!$A$1:$B$21,2,FALSE)</f>
        <v>Storm Sewer (not contained)</v>
      </c>
      <c r="J2423" s="28">
        <v>417.0</v>
      </c>
      <c r="K2423" s="23" t="s">
        <v>51</v>
      </c>
      <c r="L2423" s="6" t="str">
        <f>VLOOKUP(K2423,'Structure type'!$A$1:$B$15,2,FALSE)</f>
        <v>Private Cleanout</v>
      </c>
      <c r="M2423" s="23" t="s">
        <v>30</v>
      </c>
      <c r="N2423" s="6" t="str">
        <f>VLOOKUP(M2423,'Excursion Cause'!$A$1:$B$34,2,FALSE)</f>
        <v>Grease Blockage</v>
      </c>
      <c r="O2423" s="29">
        <v>44995.0</v>
      </c>
      <c r="P2423" s="30">
        <v>0.5361111111111111</v>
      </c>
      <c r="Q2423" s="29">
        <v>44995.0</v>
      </c>
      <c r="R2423" s="30">
        <v>0.7291666666666666</v>
      </c>
      <c r="S2423" s="28">
        <v>2.0</v>
      </c>
      <c r="T2423" s="23" t="s">
        <v>3749</v>
      </c>
      <c r="U2423" s="6"/>
      <c r="V2423" s="6"/>
      <c r="W2423" s="35">
        <v>29.8492956</v>
      </c>
      <c r="X2423" s="35">
        <v>-95.4789699999999</v>
      </c>
      <c r="AA2423" s="33"/>
      <c r="AB2423" s="33"/>
      <c r="AC2423" s="33"/>
      <c r="AD2423" s="33"/>
      <c r="AE2423" s="33"/>
      <c r="AF2423" s="33"/>
      <c r="AG2423" s="33"/>
      <c r="AH2423" s="33"/>
      <c r="AI2423" s="33"/>
      <c r="AJ2423" s="33"/>
      <c r="AK2423" s="33"/>
      <c r="AL2423" s="33"/>
      <c r="AM2423" s="33"/>
      <c r="AN2423" s="33"/>
      <c r="AO2423" s="33"/>
    </row>
    <row r="2424" ht="15.75" customHeight="1">
      <c r="A2424" s="23">
        <v>51632.0</v>
      </c>
      <c r="B2424" s="23">
        <v>2023.0</v>
      </c>
      <c r="C2424" s="6" t="str">
        <f t="shared" si="7"/>
        <v>9615 KEMPWOOD DR,Houston,TX</v>
      </c>
      <c r="D2424" s="23" t="s">
        <v>1404</v>
      </c>
      <c r="E2424" s="6" t="s">
        <v>25</v>
      </c>
      <c r="F2424" s="6" t="s">
        <v>1388</v>
      </c>
      <c r="G2424" s="31" t="s">
        <v>294</v>
      </c>
      <c r="H2424" s="23" t="s">
        <v>28</v>
      </c>
      <c r="I2424" s="6" t="str">
        <f>VLOOKUP(H2424,'Flow Location'!$A$1:$B$21,2,FALSE)</f>
        <v>Storm Sewer (not contained)</v>
      </c>
      <c r="J2424" s="28">
        <v>211.0</v>
      </c>
      <c r="K2424" s="23" t="s">
        <v>29</v>
      </c>
      <c r="L2424" s="6" t="str">
        <f>VLOOKUP(K2424,'Structure type'!$A$1:$B$15,2,FALSE)</f>
        <v>Manhole</v>
      </c>
      <c r="M2424" s="23" t="s">
        <v>30</v>
      </c>
      <c r="N2424" s="6" t="str">
        <f>VLOOKUP(M2424,'Excursion Cause'!$A$1:$B$34,2,FALSE)</f>
        <v>Grease Blockage</v>
      </c>
      <c r="O2424" s="29">
        <v>44996.0</v>
      </c>
      <c r="P2424" s="30">
        <v>0.4354166666666667</v>
      </c>
      <c r="Q2424" s="29">
        <v>44996.0</v>
      </c>
      <c r="R2424" s="30">
        <v>0.5819444444444445</v>
      </c>
      <c r="S2424" s="28">
        <v>1.0</v>
      </c>
      <c r="T2424" s="23" t="s">
        <v>1462</v>
      </c>
      <c r="U2424" s="6"/>
      <c r="V2424" s="6"/>
      <c r="W2424" s="35">
        <v>29.8213931</v>
      </c>
      <c r="X2424" s="35">
        <v>-95.5306847</v>
      </c>
      <c r="AA2424" s="33"/>
      <c r="AB2424" s="33"/>
      <c r="AC2424" s="33"/>
      <c r="AD2424" s="33"/>
      <c r="AE2424" s="33"/>
      <c r="AF2424" s="33"/>
      <c r="AG2424" s="33"/>
      <c r="AH2424" s="33"/>
      <c r="AI2424" s="33"/>
      <c r="AJ2424" s="33"/>
      <c r="AK2424" s="33"/>
      <c r="AL2424" s="33"/>
      <c r="AM2424" s="33"/>
      <c r="AN2424" s="33"/>
      <c r="AO2424" s="33"/>
    </row>
    <row r="2425" ht="15.75" customHeight="1">
      <c r="A2425" s="23">
        <v>51634.0</v>
      </c>
      <c r="B2425" s="23">
        <v>2023.0</v>
      </c>
      <c r="C2425" s="6" t="str">
        <f t="shared" si="7"/>
        <v>5555 GULF BANK RD,Houston,TX</v>
      </c>
      <c r="D2425" s="23" t="s">
        <v>3771</v>
      </c>
      <c r="E2425" s="6" t="s">
        <v>25</v>
      </c>
      <c r="F2425" s="6" t="s">
        <v>1388</v>
      </c>
      <c r="G2425" s="31" t="s">
        <v>502</v>
      </c>
      <c r="H2425" s="23" t="s">
        <v>28</v>
      </c>
      <c r="I2425" s="6" t="str">
        <f>VLOOKUP(H2425,'Flow Location'!$A$1:$B$21,2,FALSE)</f>
        <v>Storm Sewer (not contained)</v>
      </c>
      <c r="J2425" s="28">
        <v>223.0</v>
      </c>
      <c r="K2425" s="23" t="s">
        <v>29</v>
      </c>
      <c r="L2425" s="6" t="str">
        <f>VLOOKUP(K2425,'Structure type'!$A$1:$B$15,2,FALSE)</f>
        <v>Manhole</v>
      </c>
      <c r="M2425" s="23" t="s">
        <v>30</v>
      </c>
      <c r="N2425" s="6" t="str">
        <f>VLOOKUP(M2425,'Excursion Cause'!$A$1:$B$34,2,FALSE)</f>
        <v>Grease Blockage</v>
      </c>
      <c r="O2425" s="29">
        <v>44996.0</v>
      </c>
      <c r="P2425" s="30">
        <v>0.4701388888888889</v>
      </c>
      <c r="Q2425" s="29">
        <v>44996.0</v>
      </c>
      <c r="R2425" s="30">
        <v>0.625</v>
      </c>
      <c r="S2425" s="28">
        <v>1.0</v>
      </c>
      <c r="T2425" s="23" t="s">
        <v>1462</v>
      </c>
      <c r="U2425" s="6"/>
      <c r="V2425" s="6"/>
      <c r="W2425" s="35">
        <v>29.8833687</v>
      </c>
      <c r="X2425" s="35">
        <v>-95.4713302</v>
      </c>
      <c r="AA2425" s="33"/>
      <c r="AB2425" s="33"/>
      <c r="AC2425" s="33"/>
      <c r="AD2425" s="33"/>
      <c r="AE2425" s="33"/>
      <c r="AF2425" s="33"/>
      <c r="AG2425" s="33"/>
      <c r="AH2425" s="33"/>
      <c r="AI2425" s="33"/>
      <c r="AJ2425" s="33"/>
      <c r="AK2425" s="33"/>
      <c r="AL2425" s="33"/>
      <c r="AM2425" s="33"/>
      <c r="AN2425" s="33"/>
      <c r="AO2425" s="33"/>
    </row>
    <row r="2426" ht="15.75" customHeight="1">
      <c r="A2426" s="23">
        <v>51635.0</v>
      </c>
      <c r="B2426" s="23">
        <v>2023.0</v>
      </c>
      <c r="C2426" s="6" t="str">
        <f t="shared" si="7"/>
        <v>5806 MAYBELL ST,Houston,TX</v>
      </c>
      <c r="D2426" s="23" t="s">
        <v>3772</v>
      </c>
      <c r="E2426" s="6" t="s">
        <v>25</v>
      </c>
      <c r="F2426" s="6" t="s">
        <v>1388</v>
      </c>
      <c r="G2426" s="31" t="s">
        <v>222</v>
      </c>
      <c r="H2426" s="23" t="s">
        <v>28</v>
      </c>
      <c r="I2426" s="6" t="str">
        <f>VLOOKUP(H2426,'Flow Location'!$A$1:$B$21,2,FALSE)</f>
        <v>Storm Sewer (not contained)</v>
      </c>
      <c r="J2426" s="28">
        <v>0.0</v>
      </c>
      <c r="K2426" s="23" t="s">
        <v>290</v>
      </c>
      <c r="L2426" s="6" t="str">
        <f>VLOOKUP(K2426,'Structure type'!$A$1:$B$15,2,FALSE)</f>
        <v>Gravity Main</v>
      </c>
      <c r="M2426" s="23" t="s">
        <v>30</v>
      </c>
      <c r="N2426" s="6" t="str">
        <f>VLOOKUP(M2426,'Excursion Cause'!$A$1:$B$34,2,FALSE)</f>
        <v>Grease Blockage</v>
      </c>
      <c r="O2426" s="29">
        <v>44996.0</v>
      </c>
      <c r="P2426" s="30">
        <v>0.5548611111111111</v>
      </c>
      <c r="Q2426" s="29">
        <v>44996.0</v>
      </c>
      <c r="R2426" s="30">
        <v>0.5555555555555556</v>
      </c>
      <c r="S2426" s="28">
        <v>0.0</v>
      </c>
      <c r="T2426" s="23" t="s">
        <v>1462</v>
      </c>
      <c r="U2426" s="6"/>
      <c r="V2426" s="6"/>
      <c r="W2426" s="35">
        <v>29.8504591</v>
      </c>
      <c r="X2426" s="35">
        <v>-95.4147162</v>
      </c>
      <c r="AA2426" s="33"/>
      <c r="AB2426" s="33"/>
      <c r="AC2426" s="33"/>
      <c r="AD2426" s="33"/>
      <c r="AE2426" s="33"/>
      <c r="AF2426" s="33"/>
      <c r="AG2426" s="33"/>
      <c r="AH2426" s="33"/>
      <c r="AI2426" s="33"/>
      <c r="AJ2426" s="33"/>
      <c r="AK2426" s="33"/>
      <c r="AL2426" s="33"/>
      <c r="AM2426" s="33"/>
      <c r="AN2426" s="33"/>
      <c r="AO2426" s="33"/>
    </row>
    <row r="2427" ht="15.75" customHeight="1">
      <c r="A2427" s="23">
        <v>51640.0</v>
      </c>
      <c r="B2427" s="23">
        <v>2023.0</v>
      </c>
      <c r="C2427" s="6" t="str">
        <f t="shared" si="7"/>
        <v>3601 BLODGETT ST,Houston,TX</v>
      </c>
      <c r="D2427" s="23" t="s">
        <v>3773</v>
      </c>
      <c r="E2427" s="6" t="s">
        <v>25</v>
      </c>
      <c r="F2427" s="6" t="s">
        <v>1388</v>
      </c>
      <c r="G2427" s="31" t="s">
        <v>308</v>
      </c>
      <c r="H2427" s="23" t="s">
        <v>28</v>
      </c>
      <c r="I2427" s="6" t="str">
        <f>VLOOKUP(H2427,'Flow Location'!$A$1:$B$21,2,FALSE)</f>
        <v>Storm Sewer (not contained)</v>
      </c>
      <c r="J2427" s="28">
        <v>1120.0</v>
      </c>
      <c r="K2427" s="23" t="s">
        <v>29</v>
      </c>
      <c r="L2427" s="6" t="str">
        <f>VLOOKUP(K2427,'Structure type'!$A$1:$B$15,2,FALSE)</f>
        <v>Manhole</v>
      </c>
      <c r="M2427" s="23" t="s">
        <v>30</v>
      </c>
      <c r="N2427" s="6" t="str">
        <f>VLOOKUP(M2427,'Excursion Cause'!$A$1:$B$34,2,FALSE)</f>
        <v>Grease Blockage</v>
      </c>
      <c r="O2427" s="29">
        <v>44997.0</v>
      </c>
      <c r="P2427" s="30">
        <v>0.32708333333333334</v>
      </c>
      <c r="Q2427" s="29">
        <v>44997.0</v>
      </c>
      <c r="R2427" s="30">
        <v>0.4826388888888889</v>
      </c>
      <c r="S2427" s="28">
        <v>5.0</v>
      </c>
      <c r="T2427" s="23" t="s">
        <v>1462</v>
      </c>
      <c r="U2427" s="6"/>
      <c r="V2427" s="6"/>
      <c r="W2427" s="35">
        <v>29.71782</v>
      </c>
      <c r="X2427" s="35">
        <v>-95.3558888</v>
      </c>
      <c r="AA2427" s="33"/>
      <c r="AB2427" s="33"/>
      <c r="AC2427" s="33"/>
      <c r="AD2427" s="33"/>
      <c r="AE2427" s="33"/>
      <c r="AF2427" s="33"/>
      <c r="AG2427" s="33"/>
      <c r="AH2427" s="33"/>
      <c r="AI2427" s="33"/>
      <c r="AJ2427" s="33"/>
      <c r="AK2427" s="33"/>
      <c r="AL2427" s="33"/>
      <c r="AM2427" s="33"/>
      <c r="AN2427" s="33"/>
      <c r="AO2427" s="33"/>
    </row>
    <row r="2428" ht="15.75" customHeight="1">
      <c r="A2428" s="23">
        <v>51641.0</v>
      </c>
      <c r="B2428" s="23">
        <v>2023.0</v>
      </c>
      <c r="C2428" s="6" t="str">
        <f t="shared" si="7"/>
        <v>4125 TIFFIN ST,Houston,TX</v>
      </c>
      <c r="D2428" s="23" t="s">
        <v>3774</v>
      </c>
      <c r="E2428" s="6" t="s">
        <v>25</v>
      </c>
      <c r="F2428" s="6" t="s">
        <v>1388</v>
      </c>
      <c r="G2428" s="31" t="s">
        <v>43</v>
      </c>
      <c r="H2428" s="23" t="s">
        <v>50</v>
      </c>
      <c r="I2428" s="6" t="str">
        <f>VLOOKUP(H2428,'Flow Location'!$A$1:$B$21,2,FALSE)</f>
        <v>Contained On Site, not within 5 ft. of Bayou/Surface Water/Drainage Ditch</v>
      </c>
      <c r="J2428" s="28">
        <v>0.0</v>
      </c>
      <c r="K2428" s="23" t="s">
        <v>198</v>
      </c>
      <c r="L2428" s="6" t="str">
        <f>VLOOKUP(K2428,'Structure type'!$A$1:$B$15,2,FALSE)</f>
        <v>Service Lateral</v>
      </c>
      <c r="M2428" s="23" t="s">
        <v>81</v>
      </c>
      <c r="N2428" s="6" t="str">
        <f>VLOOKUP(M2428,'Excursion Cause'!$A$1:$B$34,2,FALSE)</f>
        <v>Collection system structural failure</v>
      </c>
      <c r="O2428" s="29">
        <v>44997.0</v>
      </c>
      <c r="P2428" s="30">
        <v>0.39305555555555555</v>
      </c>
      <c r="Q2428" s="29">
        <v>44997.0</v>
      </c>
      <c r="R2428" s="30">
        <v>0.39375</v>
      </c>
      <c r="S2428" s="28">
        <v>0.0</v>
      </c>
      <c r="T2428" s="23" t="s">
        <v>3745</v>
      </c>
      <c r="U2428" s="6"/>
      <c r="V2428" s="6"/>
      <c r="W2428" s="35">
        <v>29.7921154</v>
      </c>
      <c r="X2428" s="35">
        <v>-95.3282441</v>
      </c>
      <c r="AA2428" s="33"/>
      <c r="AB2428" s="33"/>
      <c r="AC2428" s="33"/>
      <c r="AD2428" s="33"/>
      <c r="AE2428" s="33"/>
      <c r="AF2428" s="33"/>
      <c r="AG2428" s="33"/>
      <c r="AH2428" s="33"/>
      <c r="AI2428" s="33"/>
      <c r="AJ2428" s="33"/>
      <c r="AK2428" s="33"/>
      <c r="AL2428" s="33"/>
      <c r="AM2428" s="33"/>
      <c r="AN2428" s="33"/>
      <c r="AO2428" s="33"/>
    </row>
    <row r="2429" ht="15.75" customHeight="1">
      <c r="A2429" s="23">
        <v>51644.0</v>
      </c>
      <c r="B2429" s="23">
        <v>2023.0</v>
      </c>
      <c r="C2429" s="6" t="str">
        <f t="shared" si="7"/>
        <v>3131 PRESCOTT ST,Houston,TX</v>
      </c>
      <c r="D2429" s="23" t="s">
        <v>3775</v>
      </c>
      <c r="E2429" s="6" t="s">
        <v>25</v>
      </c>
      <c r="F2429" s="6" t="s">
        <v>1388</v>
      </c>
      <c r="G2429" s="31" t="s">
        <v>65</v>
      </c>
      <c r="H2429" s="23" t="s">
        <v>50</v>
      </c>
      <c r="I2429" s="6" t="str">
        <f>VLOOKUP(H2429,'Flow Location'!$A$1:$B$21,2,FALSE)</f>
        <v>Contained On Site, not within 5 ft. of Bayou/Surface Water/Drainage Ditch</v>
      </c>
      <c r="J2429" s="28">
        <v>0.0</v>
      </c>
      <c r="K2429" s="23" t="s">
        <v>198</v>
      </c>
      <c r="L2429" s="6" t="str">
        <f>VLOOKUP(K2429,'Structure type'!$A$1:$B$15,2,FALSE)</f>
        <v>Service Lateral</v>
      </c>
      <c r="M2429" s="23" t="s">
        <v>759</v>
      </c>
      <c r="N2429" s="6" t="str">
        <f>VLOOKUP(M2429,'Excursion Cause'!$A$1:$B$34,2,FALSE)</f>
        <v>Roots</v>
      </c>
      <c r="O2429" s="29">
        <v>44997.0</v>
      </c>
      <c r="P2429" s="30">
        <v>0.47430555555555554</v>
      </c>
      <c r="Q2429" s="29">
        <v>44997.0</v>
      </c>
      <c r="R2429" s="30">
        <v>0.475</v>
      </c>
      <c r="S2429" s="28">
        <v>0.0</v>
      </c>
      <c r="T2429" s="23" t="s">
        <v>1473</v>
      </c>
      <c r="U2429" s="6"/>
      <c r="V2429" s="6"/>
      <c r="W2429" s="35">
        <v>29.6919313</v>
      </c>
      <c r="X2429" s="35">
        <v>-95.4260542999999</v>
      </c>
      <c r="AA2429" s="33"/>
      <c r="AB2429" s="33"/>
      <c r="AC2429" s="33"/>
      <c r="AD2429" s="33"/>
      <c r="AE2429" s="33"/>
      <c r="AF2429" s="33"/>
      <c r="AG2429" s="33"/>
      <c r="AH2429" s="33"/>
      <c r="AI2429" s="33"/>
      <c r="AJ2429" s="33"/>
      <c r="AK2429" s="33"/>
      <c r="AL2429" s="33"/>
      <c r="AM2429" s="33"/>
      <c r="AN2429" s="33"/>
      <c r="AO2429" s="33"/>
    </row>
    <row r="2430" ht="15.75" customHeight="1">
      <c r="A2430" s="23">
        <v>51648.0</v>
      </c>
      <c r="B2430" s="23">
        <v>2023.0</v>
      </c>
      <c r="C2430" s="6" t="str">
        <f t="shared" si="7"/>
        <v>1905 DRISCOLL ST,Houston,TX</v>
      </c>
      <c r="D2430" s="23" t="s">
        <v>3776</v>
      </c>
      <c r="E2430" s="6" t="s">
        <v>25</v>
      </c>
      <c r="F2430" s="6" t="s">
        <v>1388</v>
      </c>
      <c r="G2430" s="31" t="s">
        <v>80</v>
      </c>
      <c r="H2430" s="23" t="s">
        <v>50</v>
      </c>
      <c r="I2430" s="6" t="str">
        <f>VLOOKUP(H2430,'Flow Location'!$A$1:$B$21,2,FALSE)</f>
        <v>Contained On Site, not within 5 ft. of Bayou/Surface Water/Drainage Ditch</v>
      </c>
      <c r="J2430" s="28">
        <v>31.0</v>
      </c>
      <c r="K2430" s="23" t="s">
        <v>290</v>
      </c>
      <c r="L2430" s="6" t="str">
        <f>VLOOKUP(K2430,'Structure type'!$A$1:$B$15,2,FALSE)</f>
        <v>Gravity Main</v>
      </c>
      <c r="M2430" s="23" t="s">
        <v>81</v>
      </c>
      <c r="N2430" s="6" t="str">
        <f>VLOOKUP(M2430,'Excursion Cause'!$A$1:$B$34,2,FALSE)</f>
        <v>Collection system structural failure</v>
      </c>
      <c r="O2430" s="29">
        <v>44998.0</v>
      </c>
      <c r="P2430" s="30">
        <v>0.44722222222222224</v>
      </c>
      <c r="Q2430" s="29">
        <v>44998.0</v>
      </c>
      <c r="R2430" s="30">
        <v>0.46875</v>
      </c>
      <c r="S2430" s="28">
        <v>1.0</v>
      </c>
      <c r="T2430" s="23" t="s">
        <v>3749</v>
      </c>
      <c r="U2430" s="6"/>
      <c r="V2430" s="6"/>
      <c r="W2430" s="35">
        <v>29.7488347</v>
      </c>
      <c r="X2430" s="35">
        <v>-95.4061552</v>
      </c>
      <c r="AA2430" s="33"/>
      <c r="AB2430" s="33"/>
      <c r="AC2430" s="33"/>
      <c r="AD2430" s="33"/>
      <c r="AE2430" s="33"/>
      <c r="AF2430" s="33"/>
      <c r="AG2430" s="33"/>
      <c r="AH2430" s="33"/>
      <c r="AI2430" s="33"/>
      <c r="AJ2430" s="33"/>
      <c r="AK2430" s="33"/>
      <c r="AL2430" s="33"/>
      <c r="AM2430" s="33"/>
      <c r="AN2430" s="33"/>
      <c r="AO2430" s="33"/>
    </row>
    <row r="2431" ht="15.75" customHeight="1">
      <c r="A2431" s="23">
        <v>51653.0</v>
      </c>
      <c r="B2431" s="23">
        <v>2023.0</v>
      </c>
      <c r="C2431" s="6" t="str">
        <f t="shared" si="7"/>
        <v>631 GAZIN ST,Houston,TX</v>
      </c>
      <c r="D2431" s="23" t="s">
        <v>3777</v>
      </c>
      <c r="E2431" s="6" t="s">
        <v>25</v>
      </c>
      <c r="F2431" s="6" t="s">
        <v>1388</v>
      </c>
      <c r="G2431" s="31" t="s">
        <v>86</v>
      </c>
      <c r="H2431" s="23" t="s">
        <v>50</v>
      </c>
      <c r="I2431" s="6" t="str">
        <f>VLOOKUP(H2431,'Flow Location'!$A$1:$B$21,2,FALSE)</f>
        <v>Contained On Site, not within 5 ft. of Bayou/Surface Water/Drainage Ditch</v>
      </c>
      <c r="J2431" s="28">
        <v>0.0</v>
      </c>
      <c r="K2431" s="23" t="s">
        <v>51</v>
      </c>
      <c r="L2431" s="6" t="str">
        <f>VLOOKUP(K2431,'Structure type'!$A$1:$B$15,2,FALSE)</f>
        <v>Private Cleanout</v>
      </c>
      <c r="M2431" s="23" t="s">
        <v>30</v>
      </c>
      <c r="N2431" s="6" t="str">
        <f>VLOOKUP(M2431,'Excursion Cause'!$A$1:$B$34,2,FALSE)</f>
        <v>Grease Blockage</v>
      </c>
      <c r="O2431" s="29">
        <v>44998.0</v>
      </c>
      <c r="P2431" s="30">
        <v>0.6194444444444445</v>
      </c>
      <c r="Q2431" s="29">
        <v>44998.0</v>
      </c>
      <c r="R2431" s="30">
        <v>0.6201388888888889</v>
      </c>
      <c r="S2431" s="28">
        <v>0.0</v>
      </c>
      <c r="T2431" s="23" t="s">
        <v>3749</v>
      </c>
      <c r="U2431" s="6"/>
      <c r="V2431" s="6"/>
      <c r="W2431" s="35">
        <v>29.7770764</v>
      </c>
      <c r="X2431" s="35">
        <v>-95.3040633</v>
      </c>
      <c r="AA2431" s="33"/>
      <c r="AB2431" s="33"/>
      <c r="AC2431" s="33"/>
      <c r="AD2431" s="33"/>
      <c r="AE2431" s="33"/>
      <c r="AF2431" s="33"/>
      <c r="AG2431" s="33"/>
      <c r="AH2431" s="33"/>
      <c r="AI2431" s="33"/>
      <c r="AJ2431" s="33"/>
      <c r="AK2431" s="33"/>
      <c r="AL2431" s="33"/>
      <c r="AM2431" s="33"/>
      <c r="AN2431" s="33"/>
      <c r="AO2431" s="33"/>
    </row>
    <row r="2432" ht="15.75" customHeight="1">
      <c r="A2432" s="23">
        <v>51654.0</v>
      </c>
      <c r="B2432" s="23">
        <v>2023.0</v>
      </c>
      <c r="C2432" s="6" t="str">
        <f t="shared" si="7"/>
        <v>1203 MCNEIL ST,Houston,TX</v>
      </c>
      <c r="D2432" s="23" t="s">
        <v>3778</v>
      </c>
      <c r="E2432" s="6" t="s">
        <v>25</v>
      </c>
      <c r="F2432" s="6" t="s">
        <v>1388</v>
      </c>
      <c r="G2432" s="31" t="s">
        <v>161</v>
      </c>
      <c r="H2432" s="23" t="s">
        <v>50</v>
      </c>
      <c r="I2432" s="6" t="str">
        <f>VLOOKUP(H2432,'Flow Location'!$A$1:$B$21,2,FALSE)</f>
        <v>Contained On Site, not within 5 ft. of Bayou/Surface Water/Drainage Ditch</v>
      </c>
      <c r="J2432" s="28">
        <v>0.0</v>
      </c>
      <c r="K2432" s="23" t="s">
        <v>51</v>
      </c>
      <c r="L2432" s="6" t="str">
        <f>VLOOKUP(K2432,'Structure type'!$A$1:$B$15,2,FALSE)</f>
        <v>Private Cleanout</v>
      </c>
      <c r="M2432" s="23" t="s">
        <v>52</v>
      </c>
      <c r="N2432" s="6" t="str">
        <f>VLOOKUP(M2432,'Excursion Cause'!$A$1:$B$34,2,FALSE)</f>
        <v>Collection system structural blockage</v>
      </c>
      <c r="O2432" s="29">
        <v>44998.0</v>
      </c>
      <c r="P2432" s="30">
        <v>0.6784722222222223</v>
      </c>
      <c r="Q2432" s="29">
        <v>44998.0</v>
      </c>
      <c r="R2432" s="30">
        <v>0.6791666666666667</v>
      </c>
      <c r="S2432" s="28">
        <v>0.0</v>
      </c>
      <c r="T2432" s="23" t="s">
        <v>2767</v>
      </c>
      <c r="U2432" s="6"/>
      <c r="V2432" s="6"/>
      <c r="W2432" s="35">
        <v>29.7873742</v>
      </c>
      <c r="X2432" s="35">
        <v>-95.355807</v>
      </c>
      <c r="AA2432" s="33"/>
      <c r="AB2432" s="33"/>
      <c r="AC2432" s="33"/>
      <c r="AD2432" s="33"/>
      <c r="AE2432" s="33"/>
      <c r="AF2432" s="33"/>
      <c r="AG2432" s="33"/>
      <c r="AH2432" s="33"/>
      <c r="AI2432" s="33"/>
      <c r="AJ2432" s="33"/>
      <c r="AK2432" s="33"/>
      <c r="AL2432" s="33"/>
      <c r="AM2432" s="33"/>
      <c r="AN2432" s="33"/>
      <c r="AO2432" s="33"/>
    </row>
    <row r="2433" ht="15.75" customHeight="1">
      <c r="A2433" s="23">
        <v>51662.0</v>
      </c>
      <c r="B2433" s="23">
        <v>2023.0</v>
      </c>
      <c r="C2433" s="6" t="str">
        <f t="shared" si="7"/>
        <v>14031 NORTHWEST FWY,Houston,TX</v>
      </c>
      <c r="D2433" s="23" t="s">
        <v>3779</v>
      </c>
      <c r="E2433" s="6" t="s">
        <v>25</v>
      </c>
      <c r="F2433" s="6" t="s">
        <v>1388</v>
      </c>
      <c r="G2433" s="31" t="s">
        <v>253</v>
      </c>
      <c r="H2433" s="23" t="s">
        <v>50</v>
      </c>
      <c r="I2433" s="6" t="str">
        <f>VLOOKUP(H2433,'Flow Location'!$A$1:$B$21,2,FALSE)</f>
        <v>Contained On Site, not within 5 ft. of Bayou/Surface Water/Drainage Ditch</v>
      </c>
      <c r="J2433" s="28">
        <v>322.0</v>
      </c>
      <c r="K2433" s="23" t="s">
        <v>29</v>
      </c>
      <c r="L2433" s="6" t="str">
        <f>VLOOKUP(K2433,'Structure type'!$A$1:$B$15,2,FALSE)</f>
        <v>Manhole</v>
      </c>
      <c r="M2433" s="23" t="s">
        <v>56</v>
      </c>
      <c r="N2433" s="6" t="str">
        <f>VLOOKUP(M2433,'Excursion Cause'!$A$1:$B$34,2,FALSE)</f>
        <v>Rags/Wipes</v>
      </c>
      <c r="O2433" s="29">
        <v>44999.0</v>
      </c>
      <c r="P2433" s="30">
        <v>0.6680555555555555</v>
      </c>
      <c r="Q2433" s="29">
        <v>44999.0</v>
      </c>
      <c r="R2433" s="30">
        <v>0.7798611111111111</v>
      </c>
      <c r="S2433" s="28">
        <v>2.0</v>
      </c>
      <c r="T2433" s="23" t="s">
        <v>1462</v>
      </c>
      <c r="U2433" s="6"/>
      <c r="V2433" s="6"/>
      <c r="W2433" s="35">
        <v>29.8561363</v>
      </c>
      <c r="X2433" s="35">
        <v>-95.5199854</v>
      </c>
      <c r="AA2433" s="33"/>
      <c r="AB2433" s="33"/>
      <c r="AC2433" s="33"/>
      <c r="AD2433" s="33"/>
      <c r="AE2433" s="33"/>
      <c r="AF2433" s="33"/>
      <c r="AG2433" s="33"/>
      <c r="AH2433" s="33"/>
      <c r="AI2433" s="33"/>
      <c r="AJ2433" s="33"/>
      <c r="AK2433" s="33"/>
      <c r="AL2433" s="33"/>
      <c r="AM2433" s="33"/>
      <c r="AN2433" s="33"/>
      <c r="AO2433" s="33"/>
    </row>
    <row r="2434" ht="15.75" customHeight="1">
      <c r="A2434" s="23">
        <v>51665.0</v>
      </c>
      <c r="B2434" s="23">
        <v>2023.0</v>
      </c>
      <c r="C2434" s="6" t="str">
        <f t="shared" si="7"/>
        <v>1122 PAUL QUINN ST,Houston,TX</v>
      </c>
      <c r="D2434" s="23" t="s">
        <v>3780</v>
      </c>
      <c r="E2434" s="6" t="s">
        <v>25</v>
      </c>
      <c r="F2434" s="6" t="s">
        <v>1388</v>
      </c>
      <c r="G2434" s="31" t="s">
        <v>222</v>
      </c>
      <c r="H2434" s="23" t="s">
        <v>28</v>
      </c>
      <c r="I2434" s="6" t="str">
        <f>VLOOKUP(H2434,'Flow Location'!$A$1:$B$21,2,FALSE)</f>
        <v>Storm Sewer (not contained)</v>
      </c>
      <c r="J2434" s="28">
        <v>0.0</v>
      </c>
      <c r="K2434" s="23" t="s">
        <v>290</v>
      </c>
      <c r="L2434" s="6" t="str">
        <f>VLOOKUP(K2434,'Structure type'!$A$1:$B$15,2,FALSE)</f>
        <v>Gravity Main</v>
      </c>
      <c r="M2434" s="23" t="s">
        <v>30</v>
      </c>
      <c r="N2434" s="6" t="str">
        <f>VLOOKUP(M2434,'Excursion Cause'!$A$1:$B$34,2,FALSE)</f>
        <v>Grease Blockage</v>
      </c>
      <c r="O2434" s="29">
        <v>44999.0</v>
      </c>
      <c r="P2434" s="30">
        <v>0.5041666666666667</v>
      </c>
      <c r="Q2434" s="29">
        <v>44999.0</v>
      </c>
      <c r="R2434" s="30">
        <v>0.5048611111111111</v>
      </c>
      <c r="S2434" s="28">
        <v>0.0</v>
      </c>
      <c r="T2434" s="23" t="s">
        <v>1462</v>
      </c>
      <c r="U2434" s="6"/>
      <c r="V2434" s="6"/>
      <c r="W2434" s="35">
        <v>29.8485031</v>
      </c>
      <c r="X2434" s="35">
        <v>-95.4305526999999</v>
      </c>
      <c r="AA2434" s="33"/>
      <c r="AB2434" s="33"/>
      <c r="AC2434" s="33"/>
      <c r="AD2434" s="33"/>
      <c r="AE2434" s="33"/>
      <c r="AF2434" s="33"/>
      <c r="AG2434" s="33"/>
      <c r="AH2434" s="33"/>
      <c r="AI2434" s="33"/>
      <c r="AJ2434" s="33"/>
      <c r="AK2434" s="33"/>
      <c r="AL2434" s="33"/>
      <c r="AM2434" s="33"/>
      <c r="AN2434" s="33"/>
      <c r="AO2434" s="33"/>
    </row>
    <row r="2435" ht="15.75" customHeight="1">
      <c r="A2435" s="23">
        <v>51670.0</v>
      </c>
      <c r="B2435" s="23">
        <v>2023.0</v>
      </c>
      <c r="C2435" s="6" t="str">
        <f t="shared" si="7"/>
        <v>8028 GROW LN,Houston,TX</v>
      </c>
      <c r="D2435" s="23" t="s">
        <v>3781</v>
      </c>
      <c r="E2435" s="6" t="s">
        <v>25</v>
      </c>
      <c r="F2435" s="6" t="s">
        <v>1388</v>
      </c>
      <c r="G2435" s="31" t="s">
        <v>253</v>
      </c>
      <c r="H2435" s="23" t="s">
        <v>50</v>
      </c>
      <c r="I2435" s="6" t="str">
        <f>VLOOKUP(H2435,'Flow Location'!$A$1:$B$21,2,FALSE)</f>
        <v>Contained On Site, not within 5 ft. of Bayou/Surface Water/Drainage Ditch</v>
      </c>
      <c r="J2435" s="28">
        <v>0.0</v>
      </c>
      <c r="K2435" s="23" t="s">
        <v>198</v>
      </c>
      <c r="L2435" s="6" t="str">
        <f>VLOOKUP(K2435,'Structure type'!$A$1:$B$15,2,FALSE)</f>
        <v>Service Lateral</v>
      </c>
      <c r="M2435" s="23" t="s">
        <v>81</v>
      </c>
      <c r="N2435" s="6" t="str">
        <f>VLOOKUP(M2435,'Excursion Cause'!$A$1:$B$34,2,FALSE)</f>
        <v>Collection system structural failure</v>
      </c>
      <c r="O2435" s="29">
        <v>45000.0</v>
      </c>
      <c r="P2435" s="30">
        <v>0.6583333333333333</v>
      </c>
      <c r="Q2435" s="29">
        <v>45000.0</v>
      </c>
      <c r="R2435" s="30">
        <v>0.6590277777777778</v>
      </c>
      <c r="S2435" s="28">
        <v>0.0</v>
      </c>
      <c r="T2435" s="23" t="s">
        <v>3745</v>
      </c>
      <c r="U2435" s="6"/>
      <c r="V2435" s="6"/>
      <c r="W2435" s="35">
        <v>29.8489661</v>
      </c>
      <c r="X2435" s="35">
        <v>-95.5138059</v>
      </c>
      <c r="AA2435" s="33"/>
      <c r="AB2435" s="33"/>
      <c r="AC2435" s="33"/>
      <c r="AD2435" s="33"/>
      <c r="AE2435" s="33"/>
      <c r="AF2435" s="33"/>
      <c r="AG2435" s="33"/>
      <c r="AH2435" s="33"/>
      <c r="AI2435" s="33"/>
      <c r="AJ2435" s="33"/>
      <c r="AK2435" s="33"/>
      <c r="AL2435" s="33"/>
      <c r="AM2435" s="33"/>
      <c r="AN2435" s="33"/>
      <c r="AO2435" s="33"/>
    </row>
    <row r="2436" ht="15.75" customHeight="1">
      <c r="A2436" s="23">
        <v>51671.0</v>
      </c>
      <c r="B2436" s="23">
        <v>2023.0</v>
      </c>
      <c r="C2436" s="6" t="str">
        <f t="shared" si="7"/>
        <v>5610 CLINTON DR,Houston,TX</v>
      </c>
      <c r="D2436" s="23" t="s">
        <v>3782</v>
      </c>
      <c r="E2436" s="6" t="s">
        <v>25</v>
      </c>
      <c r="F2436" s="6" t="s">
        <v>1388</v>
      </c>
      <c r="G2436" s="31" t="s">
        <v>86</v>
      </c>
      <c r="H2436" s="23" t="s">
        <v>50</v>
      </c>
      <c r="I2436" s="6" t="str">
        <f>VLOOKUP(H2436,'Flow Location'!$A$1:$B$21,2,FALSE)</f>
        <v>Contained On Site, not within 5 ft. of Bayou/Surface Water/Drainage Ditch</v>
      </c>
      <c r="J2436" s="28">
        <v>0.0</v>
      </c>
      <c r="K2436" s="23" t="s">
        <v>29</v>
      </c>
      <c r="L2436" s="6" t="str">
        <f>VLOOKUP(K2436,'Structure type'!$A$1:$B$15,2,FALSE)</f>
        <v>Manhole</v>
      </c>
      <c r="M2436" s="23" t="s">
        <v>81</v>
      </c>
      <c r="N2436" s="6" t="str">
        <f>VLOOKUP(M2436,'Excursion Cause'!$A$1:$B$34,2,FALSE)</f>
        <v>Collection system structural failure</v>
      </c>
      <c r="O2436" s="29">
        <v>45000.0</v>
      </c>
      <c r="P2436" s="30">
        <v>0.66875</v>
      </c>
      <c r="Q2436" s="29">
        <v>45000.0</v>
      </c>
      <c r="R2436" s="30">
        <v>0.6694444444444444</v>
      </c>
      <c r="S2436" s="28">
        <v>0.0</v>
      </c>
      <c r="T2436" s="23" t="s">
        <v>1391</v>
      </c>
      <c r="U2436" s="6"/>
      <c r="V2436" s="6"/>
      <c r="W2436" s="35">
        <v>29.7622323</v>
      </c>
      <c r="X2436" s="35">
        <v>-95.3113889</v>
      </c>
      <c r="AA2436" s="33"/>
      <c r="AB2436" s="33"/>
      <c r="AC2436" s="33"/>
      <c r="AD2436" s="33"/>
      <c r="AE2436" s="33"/>
      <c r="AF2436" s="33"/>
      <c r="AG2436" s="33"/>
      <c r="AH2436" s="33"/>
      <c r="AI2436" s="33"/>
      <c r="AJ2436" s="33"/>
      <c r="AK2436" s="33"/>
      <c r="AL2436" s="33"/>
      <c r="AM2436" s="33"/>
      <c r="AN2436" s="33"/>
      <c r="AO2436" s="33"/>
    </row>
    <row r="2437" ht="15.75" customHeight="1">
      <c r="A2437" s="23">
        <v>51676.0</v>
      </c>
      <c r="B2437" s="23">
        <v>2023.0</v>
      </c>
      <c r="C2437" s="6" t="str">
        <f t="shared" si="7"/>
        <v>706 KING ST,Houston,TX</v>
      </c>
      <c r="D2437" s="23" t="s">
        <v>3783</v>
      </c>
      <c r="E2437" s="6" t="s">
        <v>25</v>
      </c>
      <c r="F2437" s="6" t="s">
        <v>1388</v>
      </c>
      <c r="G2437" s="31" t="s">
        <v>653</v>
      </c>
      <c r="H2437" s="23" t="s">
        <v>50</v>
      </c>
      <c r="I2437" s="6" t="str">
        <f>VLOOKUP(H2437,'Flow Location'!$A$1:$B$21,2,FALSE)</f>
        <v>Contained On Site, not within 5 ft. of Bayou/Surface Water/Drainage Ditch</v>
      </c>
      <c r="J2437" s="28">
        <v>0.0</v>
      </c>
      <c r="K2437" s="23" t="s">
        <v>45</v>
      </c>
      <c r="L2437" s="6" t="str">
        <f>VLOOKUP(K2437,'Structure type'!$A$1:$B$15,2,FALSE)</f>
        <v>City Cleanout</v>
      </c>
      <c r="M2437" s="23" t="s">
        <v>56</v>
      </c>
      <c r="N2437" s="6" t="str">
        <f>VLOOKUP(M2437,'Excursion Cause'!$A$1:$B$34,2,FALSE)</f>
        <v>Rags/Wipes</v>
      </c>
      <c r="O2437" s="29">
        <v>45001.0</v>
      </c>
      <c r="P2437" s="30">
        <v>0.4652777777777778</v>
      </c>
      <c r="Q2437" s="29">
        <v>45001.0</v>
      </c>
      <c r="R2437" s="30">
        <v>0.46597222222222223</v>
      </c>
      <c r="S2437" s="28">
        <v>0.0</v>
      </c>
      <c r="T2437" s="23" t="s">
        <v>3756</v>
      </c>
      <c r="U2437" s="6"/>
      <c r="V2437" s="6"/>
      <c r="W2437" s="35">
        <v>29.8170459</v>
      </c>
      <c r="X2437" s="35">
        <v>-95.3607325999999</v>
      </c>
      <c r="AA2437" s="33"/>
      <c r="AB2437" s="33"/>
      <c r="AC2437" s="33"/>
      <c r="AD2437" s="33"/>
      <c r="AE2437" s="33"/>
      <c r="AF2437" s="33"/>
      <c r="AG2437" s="33"/>
      <c r="AH2437" s="33"/>
      <c r="AI2437" s="33"/>
      <c r="AJ2437" s="33"/>
      <c r="AK2437" s="33"/>
      <c r="AL2437" s="33"/>
      <c r="AM2437" s="33"/>
      <c r="AN2437" s="33"/>
      <c r="AO2437" s="33"/>
    </row>
    <row r="2438" ht="15.75" customHeight="1">
      <c r="A2438" s="23">
        <v>51678.0</v>
      </c>
      <c r="B2438" s="23">
        <v>2023.0</v>
      </c>
      <c r="C2438" s="6" t="str">
        <f t="shared" si="7"/>
        <v>4125 TIFFIN ST,Houston,TX</v>
      </c>
      <c r="D2438" s="23" t="s">
        <v>3774</v>
      </c>
      <c r="E2438" s="6" t="s">
        <v>25</v>
      </c>
      <c r="F2438" s="6" t="s">
        <v>1388</v>
      </c>
      <c r="G2438" s="31" t="s">
        <v>43</v>
      </c>
      <c r="H2438" s="23" t="s">
        <v>50</v>
      </c>
      <c r="I2438" s="6" t="str">
        <f>VLOOKUP(H2438,'Flow Location'!$A$1:$B$21,2,FALSE)</f>
        <v>Contained On Site, not within 5 ft. of Bayou/Surface Water/Drainage Ditch</v>
      </c>
      <c r="J2438" s="28">
        <v>38.0</v>
      </c>
      <c r="K2438" s="23" t="s">
        <v>198</v>
      </c>
      <c r="L2438" s="6" t="str">
        <f>VLOOKUP(K2438,'Structure type'!$A$1:$B$15,2,FALSE)</f>
        <v>Service Lateral</v>
      </c>
      <c r="M2438" s="23" t="s">
        <v>81</v>
      </c>
      <c r="N2438" s="6" t="str">
        <f>VLOOKUP(M2438,'Excursion Cause'!$A$1:$B$34,2,FALSE)</f>
        <v>Collection system structural failure</v>
      </c>
      <c r="O2438" s="29">
        <v>45001.0</v>
      </c>
      <c r="P2438" s="30">
        <v>0.5194444444444445</v>
      </c>
      <c r="Q2438" s="29">
        <v>45001.0</v>
      </c>
      <c r="R2438" s="30">
        <v>0.5326388888888889</v>
      </c>
      <c r="S2438" s="28">
        <v>2.0</v>
      </c>
      <c r="T2438" s="23" t="s">
        <v>292</v>
      </c>
      <c r="U2438" s="6"/>
      <c r="V2438" s="6"/>
      <c r="W2438" s="35">
        <v>29.7921154</v>
      </c>
      <c r="X2438" s="35">
        <v>-95.3282441</v>
      </c>
      <c r="AA2438" s="33"/>
      <c r="AB2438" s="33"/>
      <c r="AC2438" s="33"/>
      <c r="AD2438" s="33"/>
      <c r="AE2438" s="33"/>
      <c r="AF2438" s="33"/>
      <c r="AG2438" s="33"/>
      <c r="AH2438" s="33"/>
      <c r="AI2438" s="33"/>
      <c r="AJ2438" s="33"/>
      <c r="AK2438" s="33"/>
      <c r="AL2438" s="33"/>
      <c r="AM2438" s="33"/>
      <c r="AN2438" s="33"/>
      <c r="AO2438" s="33"/>
    </row>
    <row r="2439" ht="15.75" customHeight="1">
      <c r="A2439" s="23">
        <v>51687.0</v>
      </c>
      <c r="B2439" s="23">
        <v>2023.0</v>
      </c>
      <c r="C2439" s="6" t="str">
        <f t="shared" si="7"/>
        <v>5731 HARVEY WILSON DR,Houston,TX</v>
      </c>
      <c r="D2439" s="23" t="s">
        <v>3784</v>
      </c>
      <c r="E2439" s="6" t="s">
        <v>25</v>
      </c>
      <c r="F2439" s="6" t="s">
        <v>1388</v>
      </c>
      <c r="G2439" s="31" t="s">
        <v>86</v>
      </c>
      <c r="H2439" s="23" t="s">
        <v>50</v>
      </c>
      <c r="I2439" s="6" t="str">
        <f>VLOOKUP(H2439,'Flow Location'!$A$1:$B$21,2,FALSE)</f>
        <v>Contained On Site, not within 5 ft. of Bayou/Surface Water/Drainage Ditch</v>
      </c>
      <c r="J2439" s="28">
        <v>0.0</v>
      </c>
      <c r="K2439" s="23" t="s">
        <v>45</v>
      </c>
      <c r="L2439" s="6" t="str">
        <f>VLOOKUP(K2439,'Structure type'!$A$1:$B$15,2,FALSE)</f>
        <v>City Cleanout</v>
      </c>
      <c r="M2439" s="23" t="s">
        <v>366</v>
      </c>
      <c r="N2439" s="6" t="str">
        <f>VLOOKUP(M2439,'Excursion Cause'!$A$1:$B$34,2,FALSE)</f>
        <v>Collection system structural blockage</v>
      </c>
      <c r="O2439" s="29">
        <v>45002.0</v>
      </c>
      <c r="P2439" s="30">
        <v>0.46875</v>
      </c>
      <c r="Q2439" s="29">
        <v>45002.0</v>
      </c>
      <c r="R2439" s="30">
        <v>0.46944444444444444</v>
      </c>
      <c r="S2439" s="28">
        <v>0.0</v>
      </c>
      <c r="T2439" s="23" t="s">
        <v>3743</v>
      </c>
      <c r="U2439" s="6"/>
      <c r="V2439" s="6"/>
      <c r="W2439" s="35">
        <v>29.759761</v>
      </c>
      <c r="X2439" s="35">
        <v>-95.3101688</v>
      </c>
      <c r="AA2439" s="33"/>
      <c r="AB2439" s="33"/>
      <c r="AC2439" s="33"/>
      <c r="AD2439" s="33"/>
      <c r="AE2439" s="33"/>
      <c r="AF2439" s="33"/>
      <c r="AG2439" s="33"/>
      <c r="AH2439" s="33"/>
      <c r="AI2439" s="33"/>
      <c r="AJ2439" s="33"/>
      <c r="AK2439" s="33"/>
      <c r="AL2439" s="33"/>
      <c r="AM2439" s="33"/>
      <c r="AN2439" s="33"/>
      <c r="AO2439" s="33"/>
    </row>
    <row r="2440" ht="15.75" customHeight="1">
      <c r="A2440" s="23">
        <v>51690.0</v>
      </c>
      <c r="B2440" s="23">
        <v>2023.0</v>
      </c>
      <c r="C2440" s="6" t="str">
        <f t="shared" si="7"/>
        <v>4403 BAYOU VISTA DR,Houston,TX</v>
      </c>
      <c r="D2440" s="23" t="s">
        <v>3785</v>
      </c>
      <c r="E2440" s="6" t="s">
        <v>25</v>
      </c>
      <c r="F2440" s="6" t="s">
        <v>1388</v>
      </c>
      <c r="G2440" s="31" t="s">
        <v>222</v>
      </c>
      <c r="H2440" s="23" t="s">
        <v>50</v>
      </c>
      <c r="I2440" s="6" t="str">
        <f>VLOOKUP(H2440,'Flow Location'!$A$1:$B$21,2,FALSE)</f>
        <v>Contained On Site, not within 5 ft. of Bayou/Surface Water/Drainage Ditch</v>
      </c>
      <c r="J2440" s="28">
        <v>290.0</v>
      </c>
      <c r="K2440" s="23" t="s">
        <v>29</v>
      </c>
      <c r="L2440" s="6" t="str">
        <f>VLOOKUP(K2440,'Structure type'!$A$1:$B$15,2,FALSE)</f>
        <v>Manhole</v>
      </c>
      <c r="M2440" s="23" t="s">
        <v>30</v>
      </c>
      <c r="N2440" s="6" t="str">
        <f>VLOOKUP(M2440,'Excursion Cause'!$A$1:$B$34,2,FALSE)</f>
        <v>Grease Blockage</v>
      </c>
      <c r="O2440" s="29">
        <v>45003.0</v>
      </c>
      <c r="P2440" s="30">
        <v>0.3763888888888889</v>
      </c>
      <c r="Q2440" s="29">
        <v>45003.0</v>
      </c>
      <c r="R2440" s="30">
        <v>0.5777777777777777</v>
      </c>
      <c r="S2440" s="28">
        <v>1.0</v>
      </c>
      <c r="T2440" s="23" t="s">
        <v>3749</v>
      </c>
      <c r="U2440" s="6"/>
      <c r="V2440" s="6"/>
      <c r="W2440" s="35">
        <v>29.8449161</v>
      </c>
      <c r="X2440" s="35">
        <v>-95.4532074999999</v>
      </c>
      <c r="AA2440" s="33"/>
      <c r="AB2440" s="33"/>
      <c r="AC2440" s="33"/>
      <c r="AD2440" s="33"/>
      <c r="AE2440" s="33"/>
      <c r="AF2440" s="33"/>
      <c r="AG2440" s="33"/>
      <c r="AH2440" s="33"/>
      <c r="AI2440" s="33"/>
      <c r="AJ2440" s="33"/>
      <c r="AK2440" s="33"/>
      <c r="AL2440" s="33"/>
      <c r="AM2440" s="33"/>
      <c r="AN2440" s="33"/>
      <c r="AO2440" s="33"/>
    </row>
    <row r="2441" ht="15.75" customHeight="1">
      <c r="A2441" s="23">
        <v>51691.0</v>
      </c>
      <c r="B2441" s="23">
        <v>2023.0</v>
      </c>
      <c r="C2441" s="6" t="str">
        <f t="shared" si="7"/>
        <v>14315 BURGOYNE RD,Houston,TX</v>
      </c>
      <c r="D2441" s="23" t="s">
        <v>3786</v>
      </c>
      <c r="E2441" s="6" t="s">
        <v>25</v>
      </c>
      <c r="F2441" s="6" t="s">
        <v>1388</v>
      </c>
      <c r="G2441" s="31" t="s">
        <v>347</v>
      </c>
      <c r="H2441" s="23" t="s">
        <v>28</v>
      </c>
      <c r="I2441" s="6" t="str">
        <f>VLOOKUP(H2441,'Flow Location'!$A$1:$B$21,2,FALSE)</f>
        <v>Storm Sewer (not contained)</v>
      </c>
      <c r="J2441" s="28">
        <v>308.0</v>
      </c>
      <c r="K2441" s="23" t="s">
        <v>29</v>
      </c>
      <c r="L2441" s="6" t="str">
        <f>VLOOKUP(K2441,'Structure type'!$A$1:$B$15,2,FALSE)</f>
        <v>Manhole</v>
      </c>
      <c r="M2441" s="23" t="s">
        <v>30</v>
      </c>
      <c r="N2441" s="6" t="str">
        <f>VLOOKUP(M2441,'Excursion Cause'!$A$1:$B$34,2,FALSE)</f>
        <v>Grease Blockage</v>
      </c>
      <c r="O2441" s="29">
        <v>45003.0</v>
      </c>
      <c r="P2441" s="30">
        <v>0.4736111111111111</v>
      </c>
      <c r="Q2441" s="29">
        <v>45003.0</v>
      </c>
      <c r="R2441" s="30">
        <v>0.6875</v>
      </c>
      <c r="S2441" s="28">
        <v>1.0</v>
      </c>
      <c r="T2441" s="23" t="s">
        <v>3749</v>
      </c>
      <c r="U2441" s="6"/>
      <c r="V2441" s="6"/>
      <c r="W2441" s="35">
        <v>29.7410094</v>
      </c>
      <c r="X2441" s="35">
        <v>-95.6413275</v>
      </c>
      <c r="AA2441" s="33"/>
      <c r="AB2441" s="33"/>
      <c r="AC2441" s="33"/>
      <c r="AD2441" s="33"/>
      <c r="AE2441" s="33"/>
      <c r="AF2441" s="33"/>
      <c r="AG2441" s="33"/>
      <c r="AH2441" s="33"/>
      <c r="AI2441" s="33"/>
      <c r="AJ2441" s="33"/>
      <c r="AK2441" s="33"/>
      <c r="AL2441" s="33"/>
      <c r="AM2441" s="33"/>
      <c r="AN2441" s="33"/>
      <c r="AO2441" s="33"/>
    </row>
    <row r="2442" ht="15.75" customHeight="1">
      <c r="A2442" s="23">
        <v>51692.0</v>
      </c>
      <c r="B2442" s="23">
        <v>2023.0</v>
      </c>
      <c r="C2442" s="6" t="str">
        <f t="shared" si="7"/>
        <v>1216 NORTHWOOD ST,Houston,TX</v>
      </c>
      <c r="D2442" s="23" t="s">
        <v>3787</v>
      </c>
      <c r="E2442" s="6" t="s">
        <v>25</v>
      </c>
      <c r="F2442" s="6" t="s">
        <v>1388</v>
      </c>
      <c r="G2442" s="31" t="s">
        <v>161</v>
      </c>
      <c r="H2442" s="23" t="s">
        <v>50</v>
      </c>
      <c r="I2442" s="6" t="str">
        <f>VLOOKUP(H2442,'Flow Location'!$A$1:$B$21,2,FALSE)</f>
        <v>Contained On Site, not within 5 ft. of Bayou/Surface Water/Drainage Ditch</v>
      </c>
      <c r="J2442" s="28">
        <v>176.0</v>
      </c>
      <c r="K2442" s="23" t="s">
        <v>29</v>
      </c>
      <c r="L2442" s="6" t="str">
        <f>VLOOKUP(K2442,'Structure type'!$A$1:$B$15,2,FALSE)</f>
        <v>Manhole</v>
      </c>
      <c r="M2442" s="23" t="s">
        <v>52</v>
      </c>
      <c r="N2442" s="6" t="str">
        <f>VLOOKUP(M2442,'Excursion Cause'!$A$1:$B$34,2,FALSE)</f>
        <v>Collection system structural blockage</v>
      </c>
      <c r="O2442" s="29">
        <v>45003.0</v>
      </c>
      <c r="P2442" s="30">
        <v>0.5722222222222222</v>
      </c>
      <c r="Q2442" s="29">
        <v>45003.0</v>
      </c>
      <c r="R2442" s="30">
        <v>0.6944444444444444</v>
      </c>
      <c r="S2442" s="28">
        <v>1.0</v>
      </c>
      <c r="T2442" s="23" t="s">
        <v>3788</v>
      </c>
      <c r="U2442" s="6"/>
      <c r="V2442" s="6"/>
      <c r="W2442" s="35">
        <v>29.8030108</v>
      </c>
      <c r="X2442" s="35">
        <v>-95.3778539</v>
      </c>
      <c r="AA2442" s="33"/>
      <c r="AB2442" s="33"/>
      <c r="AC2442" s="33"/>
      <c r="AD2442" s="33"/>
      <c r="AE2442" s="33"/>
      <c r="AF2442" s="33"/>
      <c r="AG2442" s="33"/>
      <c r="AH2442" s="33"/>
      <c r="AI2442" s="33"/>
      <c r="AJ2442" s="33"/>
      <c r="AK2442" s="33"/>
      <c r="AL2442" s="33"/>
      <c r="AM2442" s="33"/>
      <c r="AN2442" s="33"/>
      <c r="AO2442" s="33"/>
    </row>
    <row r="2443" ht="15.75" customHeight="1">
      <c r="A2443" s="23">
        <v>51695.0</v>
      </c>
      <c r="B2443" s="23">
        <v>2023.0</v>
      </c>
      <c r="C2443" s="6" t="str">
        <f t="shared" si="7"/>
        <v>12727 CORONA LN,Houston,TX</v>
      </c>
      <c r="D2443" s="23" t="s">
        <v>3789</v>
      </c>
      <c r="E2443" s="6" t="s">
        <v>25</v>
      </c>
      <c r="F2443" s="6" t="s">
        <v>1388</v>
      </c>
      <c r="G2443" s="31" t="s">
        <v>91</v>
      </c>
      <c r="H2443" s="23" t="s">
        <v>28</v>
      </c>
      <c r="I2443" s="6" t="str">
        <f>VLOOKUP(H2443,'Flow Location'!$A$1:$B$21,2,FALSE)</f>
        <v>Storm Sewer (not contained)</v>
      </c>
      <c r="J2443" s="28">
        <v>0.0</v>
      </c>
      <c r="K2443" s="23" t="s">
        <v>45</v>
      </c>
      <c r="L2443" s="6" t="str">
        <f>VLOOKUP(K2443,'Structure type'!$A$1:$B$15,2,FALSE)</f>
        <v>City Cleanout</v>
      </c>
      <c r="M2443" s="23" t="s">
        <v>30</v>
      </c>
      <c r="N2443" s="6" t="str">
        <f>VLOOKUP(M2443,'Excursion Cause'!$A$1:$B$34,2,FALSE)</f>
        <v>Grease Blockage</v>
      </c>
      <c r="O2443" s="29">
        <v>45004.0</v>
      </c>
      <c r="P2443" s="30">
        <v>0.4479166666666667</v>
      </c>
      <c r="Q2443" s="29">
        <v>45004.0</v>
      </c>
      <c r="R2443" s="30">
        <v>0.4548611111111111</v>
      </c>
      <c r="S2443" s="28">
        <v>0.0</v>
      </c>
      <c r="T2443" s="23" t="s">
        <v>3743</v>
      </c>
      <c r="U2443" s="6"/>
      <c r="V2443" s="6"/>
      <c r="W2443" s="35">
        <v>29.694566</v>
      </c>
      <c r="X2443" s="35">
        <v>-95.6059832999999</v>
      </c>
      <c r="AA2443" s="33"/>
      <c r="AB2443" s="33"/>
      <c r="AC2443" s="33"/>
      <c r="AD2443" s="33"/>
      <c r="AE2443" s="33"/>
      <c r="AF2443" s="33"/>
      <c r="AG2443" s="33"/>
      <c r="AH2443" s="33"/>
      <c r="AI2443" s="33"/>
      <c r="AJ2443" s="33"/>
      <c r="AK2443" s="33"/>
      <c r="AL2443" s="33"/>
      <c r="AM2443" s="33"/>
      <c r="AN2443" s="33"/>
      <c r="AO2443" s="33"/>
    </row>
    <row r="2444" ht="15.75" customHeight="1">
      <c r="A2444" s="23">
        <v>51699.0</v>
      </c>
      <c r="B2444" s="23">
        <v>2023.0</v>
      </c>
      <c r="C2444" s="6" t="str">
        <f t="shared" si="7"/>
        <v>12320 ORMANDY ST,Houston,TX</v>
      </c>
      <c r="D2444" s="23" t="s">
        <v>3790</v>
      </c>
      <c r="E2444" s="6" t="s">
        <v>25</v>
      </c>
      <c r="F2444" s="6" t="s">
        <v>1388</v>
      </c>
      <c r="G2444" s="31" t="s">
        <v>384</v>
      </c>
      <c r="H2444" s="23" t="s">
        <v>50</v>
      </c>
      <c r="I2444" s="6" t="str">
        <f>VLOOKUP(H2444,'Flow Location'!$A$1:$B$21,2,FALSE)</f>
        <v>Contained On Site, not within 5 ft. of Bayou/Surface Water/Drainage Ditch</v>
      </c>
      <c r="J2444" s="28">
        <v>0.0</v>
      </c>
      <c r="K2444" s="23" t="s">
        <v>29</v>
      </c>
      <c r="L2444" s="6" t="str">
        <f>VLOOKUP(K2444,'Structure type'!$A$1:$B$15,2,FALSE)</f>
        <v>Manhole</v>
      </c>
      <c r="M2444" s="23" t="s">
        <v>30</v>
      </c>
      <c r="N2444" s="6" t="str">
        <f>VLOOKUP(M2444,'Excursion Cause'!$A$1:$B$34,2,FALSE)</f>
        <v>Grease Blockage</v>
      </c>
      <c r="O2444" s="29">
        <v>45004.0</v>
      </c>
      <c r="P2444" s="30">
        <v>0.39375</v>
      </c>
      <c r="Q2444" s="29">
        <v>45004.0</v>
      </c>
      <c r="R2444" s="30">
        <v>0.39444444444444443</v>
      </c>
      <c r="S2444" s="28">
        <v>0.0</v>
      </c>
      <c r="T2444" s="23" t="s">
        <v>3749</v>
      </c>
      <c r="U2444" s="6"/>
      <c r="V2444" s="6"/>
      <c r="W2444" s="35">
        <v>29.6290554</v>
      </c>
      <c r="X2444" s="35">
        <v>-95.5057149</v>
      </c>
      <c r="AA2444" s="33"/>
      <c r="AB2444" s="33"/>
      <c r="AC2444" s="33"/>
      <c r="AD2444" s="33"/>
      <c r="AE2444" s="33"/>
      <c r="AF2444" s="33"/>
      <c r="AG2444" s="33"/>
      <c r="AH2444" s="33"/>
      <c r="AI2444" s="33"/>
      <c r="AJ2444" s="33"/>
      <c r="AK2444" s="33"/>
      <c r="AL2444" s="33"/>
      <c r="AM2444" s="33"/>
      <c r="AN2444" s="33"/>
      <c r="AO2444" s="33"/>
    </row>
    <row r="2445" ht="15.75" customHeight="1">
      <c r="A2445" s="23">
        <v>51703.0</v>
      </c>
      <c r="B2445" s="23">
        <v>2023.0</v>
      </c>
      <c r="C2445" s="6" t="str">
        <f t="shared" si="7"/>
        <v>15902 GALVESTON RD,Houston,TX</v>
      </c>
      <c r="D2445" s="23" t="s">
        <v>3791</v>
      </c>
      <c r="E2445" s="6" t="s">
        <v>25</v>
      </c>
      <c r="F2445" s="6" t="s">
        <v>1388</v>
      </c>
      <c r="G2445" s="31" t="s">
        <v>211</v>
      </c>
      <c r="H2445" s="23" t="s">
        <v>50</v>
      </c>
      <c r="I2445" s="6" t="str">
        <f>VLOOKUP(H2445,'Flow Location'!$A$1:$B$21,2,FALSE)</f>
        <v>Contained On Site, not within 5 ft. of Bayou/Surface Water/Drainage Ditch</v>
      </c>
      <c r="J2445" s="28">
        <v>852.0</v>
      </c>
      <c r="K2445" s="23" t="s">
        <v>29</v>
      </c>
      <c r="L2445" s="6" t="str">
        <f>VLOOKUP(K2445,'Structure type'!$A$1:$B$15,2,FALSE)</f>
        <v>Manhole</v>
      </c>
      <c r="M2445" s="23" t="s">
        <v>30</v>
      </c>
      <c r="N2445" s="6" t="str">
        <f>VLOOKUP(M2445,'Excursion Cause'!$A$1:$B$34,2,FALSE)</f>
        <v>Grease Blockage</v>
      </c>
      <c r="O2445" s="29">
        <v>45005.0</v>
      </c>
      <c r="P2445" s="30">
        <v>0.41458333333333336</v>
      </c>
      <c r="Q2445" s="29">
        <v>45005.0</v>
      </c>
      <c r="R2445" s="30">
        <v>0.7104166666666667</v>
      </c>
      <c r="S2445" s="28">
        <v>2.0</v>
      </c>
      <c r="T2445" s="23" t="s">
        <v>3749</v>
      </c>
      <c r="U2445" s="6"/>
      <c r="V2445" s="6"/>
      <c r="W2445" s="35">
        <v>29.5572411</v>
      </c>
      <c r="X2445" s="35">
        <v>-95.1376999</v>
      </c>
      <c r="AA2445" s="33"/>
      <c r="AB2445" s="33"/>
      <c r="AC2445" s="33"/>
      <c r="AD2445" s="33"/>
      <c r="AE2445" s="33"/>
      <c r="AF2445" s="33"/>
      <c r="AG2445" s="33"/>
      <c r="AH2445" s="33"/>
      <c r="AI2445" s="33"/>
      <c r="AJ2445" s="33"/>
      <c r="AK2445" s="33"/>
      <c r="AL2445" s="33"/>
      <c r="AM2445" s="33"/>
      <c r="AN2445" s="33"/>
      <c r="AO2445" s="33"/>
    </row>
    <row r="2446" ht="15.75" customHeight="1">
      <c r="A2446" s="23">
        <v>51706.0</v>
      </c>
      <c r="B2446" s="23">
        <v>2023.0</v>
      </c>
      <c r="C2446" s="6" t="str">
        <f t="shared" si="7"/>
        <v>12803 LONGVINE CT,Houston,TX</v>
      </c>
      <c r="D2446" s="23" t="s">
        <v>1981</v>
      </c>
      <c r="E2446" s="6" t="s">
        <v>25</v>
      </c>
      <c r="F2446" s="6" t="s">
        <v>1388</v>
      </c>
      <c r="G2446" s="31" t="s">
        <v>91</v>
      </c>
      <c r="H2446" s="23" t="s">
        <v>50</v>
      </c>
      <c r="I2446" s="6" t="str">
        <f>VLOOKUP(H2446,'Flow Location'!$A$1:$B$21,2,FALSE)</f>
        <v>Contained On Site, not within 5 ft. of Bayou/Surface Water/Drainage Ditch</v>
      </c>
      <c r="J2446" s="28">
        <v>342.0</v>
      </c>
      <c r="K2446" s="23" t="s">
        <v>29</v>
      </c>
      <c r="L2446" s="6" t="str">
        <f>VLOOKUP(K2446,'Structure type'!$A$1:$B$15,2,FALSE)</f>
        <v>Manhole</v>
      </c>
      <c r="M2446" s="23" t="s">
        <v>30</v>
      </c>
      <c r="N2446" s="6" t="str">
        <f>VLOOKUP(M2446,'Excursion Cause'!$A$1:$B$34,2,FALSE)</f>
        <v>Grease Blockage</v>
      </c>
      <c r="O2446" s="29">
        <v>45005.0</v>
      </c>
      <c r="P2446" s="30">
        <v>0.5569444444444445</v>
      </c>
      <c r="Q2446" s="29">
        <v>45005.0</v>
      </c>
      <c r="R2446" s="30">
        <v>0.7152777777777778</v>
      </c>
      <c r="S2446" s="28">
        <v>2.0</v>
      </c>
      <c r="T2446" s="23" t="s">
        <v>3749</v>
      </c>
      <c r="U2446" s="6"/>
      <c r="V2446" s="6"/>
      <c r="W2446" s="35">
        <v>29.6982175</v>
      </c>
      <c r="X2446" s="35">
        <v>-95.6073007</v>
      </c>
      <c r="AA2446" s="33"/>
      <c r="AB2446" s="33"/>
      <c r="AC2446" s="33"/>
      <c r="AD2446" s="33"/>
      <c r="AE2446" s="33"/>
      <c r="AF2446" s="33"/>
      <c r="AG2446" s="33"/>
      <c r="AH2446" s="33"/>
      <c r="AI2446" s="33"/>
      <c r="AJ2446" s="33"/>
      <c r="AK2446" s="33"/>
      <c r="AL2446" s="33"/>
      <c r="AM2446" s="33"/>
      <c r="AN2446" s="33"/>
      <c r="AO2446" s="33"/>
    </row>
    <row r="2447" ht="15.75" customHeight="1">
      <c r="A2447" s="23">
        <v>51715.0</v>
      </c>
      <c r="B2447" s="23">
        <v>2023.0</v>
      </c>
      <c r="C2447" s="6" t="str">
        <f t="shared" si="7"/>
        <v>18 WICKERBAY ST,Houston,TX</v>
      </c>
      <c r="D2447" s="23" t="s">
        <v>3792</v>
      </c>
      <c r="E2447" s="6" t="s">
        <v>25</v>
      </c>
      <c r="F2447" s="6" t="s">
        <v>1388</v>
      </c>
      <c r="G2447" s="31" t="s">
        <v>294</v>
      </c>
      <c r="H2447" s="23" t="s">
        <v>28</v>
      </c>
      <c r="I2447" s="6" t="str">
        <f>VLOOKUP(H2447,'Flow Location'!$A$1:$B$21,2,FALSE)</f>
        <v>Storm Sewer (not contained)</v>
      </c>
      <c r="J2447" s="28">
        <v>0.0</v>
      </c>
      <c r="K2447" s="23" t="s">
        <v>290</v>
      </c>
      <c r="L2447" s="6" t="str">
        <f>VLOOKUP(K2447,'Structure type'!$A$1:$B$15,2,FALSE)</f>
        <v>Gravity Main</v>
      </c>
      <c r="M2447" s="23" t="s">
        <v>81</v>
      </c>
      <c r="N2447" s="6" t="str">
        <f>VLOOKUP(M2447,'Excursion Cause'!$A$1:$B$34,2,FALSE)</f>
        <v>Collection system structural failure</v>
      </c>
      <c r="O2447" s="29">
        <v>45006.0</v>
      </c>
      <c r="P2447" s="30">
        <v>0.4708333333333333</v>
      </c>
      <c r="Q2447" s="29">
        <v>45006.0</v>
      </c>
      <c r="R2447" s="30">
        <v>0.47152777777777777</v>
      </c>
      <c r="S2447" s="28">
        <v>0.0</v>
      </c>
      <c r="T2447" s="23" t="s">
        <v>1462</v>
      </c>
      <c r="U2447" s="6"/>
      <c r="V2447" s="6"/>
      <c r="W2447" s="35">
        <v>29.7957793</v>
      </c>
      <c r="X2447" s="35">
        <v>-95.5368551</v>
      </c>
      <c r="AA2447" s="33"/>
      <c r="AB2447" s="33"/>
      <c r="AC2447" s="33"/>
      <c r="AD2447" s="33"/>
      <c r="AE2447" s="33"/>
      <c r="AF2447" s="33"/>
      <c r="AG2447" s="33"/>
      <c r="AH2447" s="33"/>
      <c r="AI2447" s="33"/>
      <c r="AJ2447" s="33"/>
      <c r="AK2447" s="33"/>
      <c r="AL2447" s="33"/>
      <c r="AM2447" s="33"/>
      <c r="AN2447" s="33"/>
      <c r="AO2447" s="33"/>
    </row>
    <row r="2448" ht="15.75" customHeight="1">
      <c r="A2448" s="23">
        <v>51717.0</v>
      </c>
      <c r="B2448" s="23">
        <v>2023.0</v>
      </c>
      <c r="C2448" s="6" t="str">
        <f t="shared" si="7"/>
        <v>406 MILWAUKEE ST,Houston,TX</v>
      </c>
      <c r="D2448" s="23" t="s">
        <v>3793</v>
      </c>
      <c r="E2448" s="6" t="s">
        <v>25</v>
      </c>
      <c r="F2448" s="6" t="s">
        <v>1388</v>
      </c>
      <c r="G2448" s="31" t="s">
        <v>161</v>
      </c>
      <c r="H2448" s="23" t="s">
        <v>50</v>
      </c>
      <c r="I2448" s="6" t="str">
        <f>VLOOKUP(H2448,'Flow Location'!$A$1:$B$21,2,FALSE)</f>
        <v>Contained On Site, not within 5 ft. of Bayou/Surface Water/Drainage Ditch</v>
      </c>
      <c r="J2448" s="28">
        <v>0.0</v>
      </c>
      <c r="K2448" s="23" t="s">
        <v>290</v>
      </c>
      <c r="L2448" s="6" t="str">
        <f>VLOOKUP(K2448,'Structure type'!$A$1:$B$15,2,FALSE)</f>
        <v>Gravity Main</v>
      </c>
      <c r="M2448" s="23" t="s">
        <v>52</v>
      </c>
      <c r="N2448" s="6" t="str">
        <f>VLOOKUP(M2448,'Excursion Cause'!$A$1:$B$34,2,FALSE)</f>
        <v>Collection system structural blockage</v>
      </c>
      <c r="O2448" s="29">
        <v>45006.0</v>
      </c>
      <c r="P2448" s="30">
        <v>0.46875</v>
      </c>
      <c r="Q2448" s="29">
        <v>45006.0</v>
      </c>
      <c r="R2448" s="30">
        <v>0.46944444444444444</v>
      </c>
      <c r="S2448" s="28">
        <v>0.0</v>
      </c>
      <c r="T2448" s="23" t="s">
        <v>3749</v>
      </c>
      <c r="U2448" s="6"/>
      <c r="V2448" s="6"/>
      <c r="W2448" s="35">
        <v>29.8091938</v>
      </c>
      <c r="X2448" s="35">
        <v>-95.366227</v>
      </c>
      <c r="AA2448" s="33"/>
      <c r="AB2448" s="33"/>
      <c r="AC2448" s="33"/>
      <c r="AD2448" s="33"/>
      <c r="AE2448" s="33"/>
      <c r="AF2448" s="33"/>
      <c r="AG2448" s="33"/>
      <c r="AH2448" s="33"/>
      <c r="AI2448" s="33"/>
      <c r="AJ2448" s="33"/>
      <c r="AK2448" s="33"/>
      <c r="AL2448" s="33"/>
      <c r="AM2448" s="33"/>
      <c r="AN2448" s="33"/>
      <c r="AO2448" s="33"/>
    </row>
    <row r="2449" ht="15.75" customHeight="1">
      <c r="A2449" s="23">
        <v>51718.0</v>
      </c>
      <c r="B2449" s="23">
        <v>2023.0</v>
      </c>
      <c r="C2449" s="6" t="str">
        <f t="shared" si="7"/>
        <v>12510 GREEN DR,Houston,TX</v>
      </c>
      <c r="D2449" s="23" t="s">
        <v>3754</v>
      </c>
      <c r="E2449" s="6" t="s">
        <v>25</v>
      </c>
      <c r="F2449" s="6" t="s">
        <v>1388</v>
      </c>
      <c r="G2449" s="31" t="s">
        <v>49</v>
      </c>
      <c r="H2449" s="23" t="s">
        <v>28</v>
      </c>
      <c r="I2449" s="6" t="str">
        <f>VLOOKUP(H2449,'Flow Location'!$A$1:$B$21,2,FALSE)</f>
        <v>Storm Sewer (not contained)</v>
      </c>
      <c r="J2449" s="28">
        <v>342.0</v>
      </c>
      <c r="K2449" s="23" t="s">
        <v>198</v>
      </c>
      <c r="L2449" s="6" t="str">
        <f>VLOOKUP(K2449,'Structure type'!$A$1:$B$15,2,FALSE)</f>
        <v>Service Lateral</v>
      </c>
      <c r="M2449" s="23" t="s">
        <v>30</v>
      </c>
      <c r="N2449" s="6" t="str">
        <f>VLOOKUP(M2449,'Excursion Cause'!$A$1:$B$34,2,FALSE)</f>
        <v>Grease Blockage</v>
      </c>
      <c r="O2449" s="29">
        <v>45006.0</v>
      </c>
      <c r="P2449" s="30">
        <v>0.5354166666666667</v>
      </c>
      <c r="Q2449" s="29">
        <v>45006.0</v>
      </c>
      <c r="R2449" s="30">
        <v>0.6145833333333334</v>
      </c>
      <c r="S2449" s="28">
        <v>3.0</v>
      </c>
      <c r="T2449" s="23" t="s">
        <v>3756</v>
      </c>
      <c r="U2449" s="6"/>
      <c r="V2449" s="6"/>
      <c r="W2449" s="35">
        <v>29.6208888</v>
      </c>
      <c r="X2449" s="35">
        <v>-95.2176320999999</v>
      </c>
      <c r="AA2449" s="33"/>
      <c r="AB2449" s="33"/>
      <c r="AC2449" s="33"/>
      <c r="AD2449" s="33"/>
      <c r="AE2449" s="33"/>
      <c r="AF2449" s="33"/>
      <c r="AG2449" s="33"/>
      <c r="AH2449" s="33"/>
      <c r="AI2449" s="33"/>
      <c r="AJ2449" s="33"/>
      <c r="AK2449" s="33"/>
      <c r="AL2449" s="33"/>
      <c r="AM2449" s="33"/>
      <c r="AN2449" s="33"/>
      <c r="AO2449" s="33"/>
    </row>
    <row r="2450" ht="15.75" customHeight="1">
      <c r="A2450" s="23">
        <v>51720.0</v>
      </c>
      <c r="B2450" s="23">
        <v>2023.0</v>
      </c>
      <c r="C2450" s="6" t="str">
        <f t="shared" si="7"/>
        <v>37 SOREN LN,Houston,TX</v>
      </c>
      <c r="D2450" s="23" t="s">
        <v>3794</v>
      </c>
      <c r="E2450" s="6" t="s">
        <v>25</v>
      </c>
      <c r="F2450" s="6" t="s">
        <v>1388</v>
      </c>
      <c r="G2450" s="31" t="s">
        <v>275</v>
      </c>
      <c r="H2450" s="23" t="s">
        <v>50</v>
      </c>
      <c r="I2450" s="6" t="str">
        <f>VLOOKUP(H2450,'Flow Location'!$A$1:$B$21,2,FALSE)</f>
        <v>Contained On Site, not within 5 ft. of Bayou/Surface Water/Drainage Ditch</v>
      </c>
      <c r="J2450" s="28">
        <v>0.0</v>
      </c>
      <c r="K2450" s="23" t="s">
        <v>29</v>
      </c>
      <c r="L2450" s="6" t="str">
        <f>VLOOKUP(K2450,'Structure type'!$A$1:$B$15,2,FALSE)</f>
        <v>Manhole</v>
      </c>
      <c r="M2450" s="23" t="s">
        <v>366</v>
      </c>
      <c r="N2450" s="6" t="str">
        <f>VLOOKUP(M2450,'Excursion Cause'!$A$1:$B$34,2,FALSE)</f>
        <v>Collection system structural blockage</v>
      </c>
      <c r="O2450" s="29">
        <v>45006.0</v>
      </c>
      <c r="P2450" s="30">
        <v>0.5902777777777778</v>
      </c>
      <c r="Q2450" s="29">
        <v>45006.0</v>
      </c>
      <c r="R2450" s="30">
        <v>0.5909722222222222</v>
      </c>
      <c r="S2450" s="28">
        <v>0.0</v>
      </c>
      <c r="T2450" s="23" t="s">
        <v>1391</v>
      </c>
      <c r="U2450" s="6"/>
      <c r="V2450" s="6"/>
      <c r="W2450" s="35">
        <v>29.8557786</v>
      </c>
      <c r="X2450" s="35">
        <v>-95.381543</v>
      </c>
      <c r="AA2450" s="33"/>
      <c r="AB2450" s="33"/>
      <c r="AC2450" s="33"/>
      <c r="AD2450" s="33"/>
      <c r="AE2450" s="33"/>
      <c r="AF2450" s="33"/>
      <c r="AG2450" s="33"/>
      <c r="AH2450" s="33"/>
      <c r="AI2450" s="33"/>
      <c r="AJ2450" s="33"/>
      <c r="AK2450" s="33"/>
      <c r="AL2450" s="33"/>
      <c r="AM2450" s="33"/>
      <c r="AN2450" s="33"/>
      <c r="AO2450" s="33"/>
    </row>
    <row r="2451" ht="15.75" customHeight="1">
      <c r="A2451" s="23">
        <v>51726.0</v>
      </c>
      <c r="B2451" s="23">
        <v>2023.0</v>
      </c>
      <c r="C2451" s="6" t="str">
        <f t="shared" si="7"/>
        <v>12234 ORMANDY ST,Houston,TX</v>
      </c>
      <c r="D2451" s="23" t="s">
        <v>3795</v>
      </c>
      <c r="E2451" s="6" t="s">
        <v>25</v>
      </c>
      <c r="F2451" s="6" t="s">
        <v>1388</v>
      </c>
      <c r="G2451" s="31" t="s">
        <v>384</v>
      </c>
      <c r="H2451" s="23" t="s">
        <v>50</v>
      </c>
      <c r="I2451" s="6" t="str">
        <f>VLOOKUP(H2451,'Flow Location'!$A$1:$B$21,2,FALSE)</f>
        <v>Contained On Site, not within 5 ft. of Bayou/Surface Water/Drainage Ditch</v>
      </c>
      <c r="J2451" s="28">
        <v>0.0</v>
      </c>
      <c r="K2451" s="23" t="s">
        <v>29</v>
      </c>
      <c r="L2451" s="6" t="str">
        <f>VLOOKUP(K2451,'Structure type'!$A$1:$B$15,2,FALSE)</f>
        <v>Manhole</v>
      </c>
      <c r="M2451" s="23" t="s">
        <v>30</v>
      </c>
      <c r="N2451" s="6" t="str">
        <f>VLOOKUP(M2451,'Excursion Cause'!$A$1:$B$34,2,FALSE)</f>
        <v>Grease Blockage</v>
      </c>
      <c r="O2451" s="29">
        <v>45006.0</v>
      </c>
      <c r="P2451" s="30">
        <v>0.6381944444444444</v>
      </c>
      <c r="Q2451" s="29">
        <v>45006.0</v>
      </c>
      <c r="R2451" s="30">
        <v>0.6388888888888888</v>
      </c>
      <c r="S2451" s="28">
        <v>0.0</v>
      </c>
      <c r="T2451" s="23" t="s">
        <v>3749</v>
      </c>
      <c r="U2451" s="6"/>
      <c r="V2451" s="6"/>
      <c r="W2451" s="35">
        <v>29.6294008</v>
      </c>
      <c r="X2451" s="35">
        <v>-95.5059531</v>
      </c>
      <c r="AA2451" s="33"/>
      <c r="AB2451" s="33"/>
      <c r="AC2451" s="33"/>
      <c r="AD2451" s="33"/>
      <c r="AE2451" s="33"/>
      <c r="AF2451" s="33"/>
      <c r="AG2451" s="33"/>
      <c r="AH2451" s="33"/>
      <c r="AI2451" s="33"/>
      <c r="AJ2451" s="33"/>
      <c r="AK2451" s="33"/>
      <c r="AL2451" s="33"/>
      <c r="AM2451" s="33"/>
      <c r="AN2451" s="33"/>
      <c r="AO2451" s="33"/>
    </row>
    <row r="2452" ht="15.75" customHeight="1">
      <c r="A2452" s="23">
        <v>51730.0</v>
      </c>
      <c r="B2452" s="23">
        <v>2023.0</v>
      </c>
      <c r="C2452" s="6" t="str">
        <f t="shared" si="7"/>
        <v>3535 CORDER ST,Houston,TX</v>
      </c>
      <c r="D2452" s="23" t="s">
        <v>3796</v>
      </c>
      <c r="E2452" s="6" t="s">
        <v>25</v>
      </c>
      <c r="F2452" s="6" t="s">
        <v>1388</v>
      </c>
      <c r="G2452" s="31" t="s">
        <v>238</v>
      </c>
      <c r="H2452" s="23" t="s">
        <v>28</v>
      </c>
      <c r="I2452" s="6" t="str">
        <f>VLOOKUP(H2452,'Flow Location'!$A$1:$B$21,2,FALSE)</f>
        <v>Storm Sewer (not contained)</v>
      </c>
      <c r="J2452" s="28">
        <v>0.0</v>
      </c>
      <c r="K2452" s="23" t="s">
        <v>198</v>
      </c>
      <c r="L2452" s="6" t="str">
        <f>VLOOKUP(K2452,'Structure type'!$A$1:$B$15,2,FALSE)</f>
        <v>Service Lateral</v>
      </c>
      <c r="M2452" s="23" t="s">
        <v>52</v>
      </c>
      <c r="N2452" s="6" t="str">
        <f>VLOOKUP(M2452,'Excursion Cause'!$A$1:$B$34,2,FALSE)</f>
        <v>Collection system structural blockage</v>
      </c>
      <c r="O2452" s="29">
        <v>45007.0</v>
      </c>
      <c r="P2452" s="30">
        <v>0.45694444444444443</v>
      </c>
      <c r="Q2452" s="29">
        <v>45007.0</v>
      </c>
      <c r="R2452" s="30">
        <v>0.4576388888888889</v>
      </c>
      <c r="S2452" s="28">
        <v>0.0</v>
      </c>
      <c r="T2452" s="23" t="s">
        <v>118</v>
      </c>
      <c r="U2452" s="6"/>
      <c r="V2452" s="6"/>
      <c r="W2452" s="35">
        <v>29.6887355</v>
      </c>
      <c r="X2452" s="35">
        <v>-95.3716948</v>
      </c>
      <c r="AA2452" s="33"/>
      <c r="AB2452" s="33"/>
      <c r="AC2452" s="33"/>
      <c r="AD2452" s="33"/>
      <c r="AE2452" s="33"/>
      <c r="AF2452" s="33"/>
      <c r="AG2452" s="33"/>
      <c r="AH2452" s="33"/>
      <c r="AI2452" s="33"/>
      <c r="AJ2452" s="33"/>
      <c r="AK2452" s="33"/>
      <c r="AL2452" s="33"/>
      <c r="AM2452" s="33"/>
      <c r="AN2452" s="33"/>
      <c r="AO2452" s="33"/>
    </row>
    <row r="2453" ht="15.75" customHeight="1">
      <c r="A2453" s="23">
        <v>51732.0</v>
      </c>
      <c r="B2453" s="23">
        <v>2023.0</v>
      </c>
      <c r="C2453" s="6" t="str">
        <f t="shared" si="7"/>
        <v>11111 SANDSTONE ST,Houston,TX</v>
      </c>
      <c r="D2453" s="23" t="s">
        <v>3797</v>
      </c>
      <c r="E2453" s="6" t="s">
        <v>25</v>
      </c>
      <c r="F2453" s="6" t="s">
        <v>1388</v>
      </c>
      <c r="G2453" s="31" t="s">
        <v>91</v>
      </c>
      <c r="H2453" s="23" t="s">
        <v>50</v>
      </c>
      <c r="I2453" s="6" t="str">
        <f>VLOOKUP(H2453,'Flow Location'!$A$1:$B$21,2,FALSE)</f>
        <v>Contained On Site, not within 5 ft. of Bayou/Surface Water/Drainage Ditch</v>
      </c>
      <c r="J2453" s="28">
        <v>0.0</v>
      </c>
      <c r="K2453" s="23" t="s">
        <v>51</v>
      </c>
      <c r="L2453" s="6" t="str">
        <f>VLOOKUP(K2453,'Structure type'!$A$1:$B$15,2,FALSE)</f>
        <v>Private Cleanout</v>
      </c>
      <c r="M2453" s="23" t="s">
        <v>52</v>
      </c>
      <c r="N2453" s="6" t="str">
        <f>VLOOKUP(M2453,'Excursion Cause'!$A$1:$B$34,2,FALSE)</f>
        <v>Collection system structural blockage</v>
      </c>
      <c r="O2453" s="29">
        <v>45007.0</v>
      </c>
      <c r="P2453" s="30">
        <v>0.5895833333333333</v>
      </c>
      <c r="Q2453" s="29">
        <v>45007.0</v>
      </c>
      <c r="R2453" s="30">
        <v>0.5902777777777778</v>
      </c>
      <c r="S2453" s="28">
        <v>0.0</v>
      </c>
      <c r="T2453" s="23" t="s">
        <v>1462</v>
      </c>
      <c r="U2453" s="6"/>
      <c r="V2453" s="6"/>
      <c r="W2453" s="35">
        <v>29.6980988</v>
      </c>
      <c r="X2453" s="35">
        <v>-95.5745888</v>
      </c>
      <c r="AA2453" s="33"/>
      <c r="AB2453" s="33"/>
      <c r="AC2453" s="33"/>
      <c r="AD2453" s="33"/>
      <c r="AE2453" s="33"/>
      <c r="AF2453" s="33"/>
      <c r="AG2453" s="33"/>
      <c r="AH2453" s="33"/>
      <c r="AI2453" s="33"/>
      <c r="AJ2453" s="33"/>
      <c r="AK2453" s="33"/>
      <c r="AL2453" s="33"/>
      <c r="AM2453" s="33"/>
      <c r="AN2453" s="33"/>
      <c r="AO2453" s="33"/>
    </row>
    <row r="2454" ht="15.75" customHeight="1">
      <c r="A2454" s="23">
        <v>51735.0</v>
      </c>
      <c r="B2454" s="23">
        <v>2023.0</v>
      </c>
      <c r="C2454" s="6" t="str">
        <f t="shared" si="7"/>
        <v>5300 GULF BANK RD,Houston,TX</v>
      </c>
      <c r="D2454" s="23" t="s">
        <v>3798</v>
      </c>
      <c r="E2454" s="6" t="s">
        <v>25</v>
      </c>
      <c r="F2454" s="6" t="s">
        <v>1388</v>
      </c>
      <c r="G2454" s="31" t="s">
        <v>502</v>
      </c>
      <c r="H2454" s="23" t="s">
        <v>50</v>
      </c>
      <c r="I2454" s="6" t="str">
        <f>VLOOKUP(H2454,'Flow Location'!$A$1:$B$21,2,FALSE)</f>
        <v>Contained On Site, not within 5 ft. of Bayou/Surface Water/Drainage Ditch</v>
      </c>
      <c r="J2454" s="28">
        <v>690.0</v>
      </c>
      <c r="K2454" s="23" t="s">
        <v>29</v>
      </c>
      <c r="L2454" s="6" t="str">
        <f>VLOOKUP(K2454,'Structure type'!$A$1:$B$15,2,FALSE)</f>
        <v>Manhole</v>
      </c>
      <c r="M2454" s="23" t="s">
        <v>30</v>
      </c>
      <c r="N2454" s="6" t="str">
        <f>VLOOKUP(M2454,'Excursion Cause'!$A$1:$B$34,2,FALSE)</f>
        <v>Grease Blockage</v>
      </c>
      <c r="O2454" s="29">
        <v>45008.0</v>
      </c>
      <c r="P2454" s="30">
        <v>0.3333333333333333</v>
      </c>
      <c r="Q2454" s="29">
        <v>45008.0</v>
      </c>
      <c r="R2454" s="30">
        <v>0.4930555555555556</v>
      </c>
      <c r="S2454" s="28">
        <v>3.0</v>
      </c>
      <c r="T2454" s="23" t="s">
        <v>3749</v>
      </c>
      <c r="U2454" s="6"/>
      <c r="V2454" s="6"/>
      <c r="W2454" s="35">
        <v>29.8834228</v>
      </c>
      <c r="X2454" s="35">
        <v>-95.4645729</v>
      </c>
      <c r="AA2454" s="33"/>
      <c r="AB2454" s="33"/>
      <c r="AC2454" s="33"/>
      <c r="AD2454" s="33"/>
      <c r="AE2454" s="33"/>
      <c r="AF2454" s="33"/>
      <c r="AG2454" s="33"/>
      <c r="AH2454" s="33"/>
      <c r="AI2454" s="33"/>
      <c r="AJ2454" s="33"/>
      <c r="AK2454" s="33"/>
      <c r="AL2454" s="33"/>
      <c r="AM2454" s="33"/>
      <c r="AN2454" s="33"/>
      <c r="AO2454" s="33"/>
    </row>
    <row r="2455" ht="15.75" customHeight="1">
      <c r="A2455" s="23">
        <v>51737.0</v>
      </c>
      <c r="B2455" s="23">
        <v>2023.0</v>
      </c>
      <c r="C2455" s="6" t="str">
        <f t="shared" si="7"/>
        <v>5407 JEFFERSON ST,Houston,TX</v>
      </c>
      <c r="D2455" s="23" t="s">
        <v>3799</v>
      </c>
      <c r="E2455" s="6" t="s">
        <v>25</v>
      </c>
      <c r="F2455" s="6" t="s">
        <v>1388</v>
      </c>
      <c r="G2455" s="31" t="s">
        <v>141</v>
      </c>
      <c r="H2455" s="23" t="s">
        <v>50</v>
      </c>
      <c r="I2455" s="6" t="str">
        <f>VLOOKUP(H2455,'Flow Location'!$A$1:$B$21,2,FALSE)</f>
        <v>Contained On Site, not within 5 ft. of Bayou/Surface Water/Drainage Ditch</v>
      </c>
      <c r="J2455" s="28">
        <v>0.0</v>
      </c>
      <c r="K2455" s="23" t="s">
        <v>290</v>
      </c>
      <c r="L2455" s="6" t="str">
        <f>VLOOKUP(K2455,'Structure type'!$A$1:$B$15,2,FALSE)</f>
        <v>Gravity Main</v>
      </c>
      <c r="M2455" s="23" t="s">
        <v>30</v>
      </c>
      <c r="N2455" s="6" t="str">
        <f>VLOOKUP(M2455,'Excursion Cause'!$A$1:$B$34,2,FALSE)</f>
        <v>Grease Blockage</v>
      </c>
      <c r="O2455" s="29">
        <v>45008.0</v>
      </c>
      <c r="P2455" s="30">
        <v>0.3993055555555556</v>
      </c>
      <c r="Q2455" s="29">
        <v>45008.0</v>
      </c>
      <c r="R2455" s="30">
        <v>0.4</v>
      </c>
      <c r="S2455" s="28">
        <v>0.0</v>
      </c>
      <c r="T2455" s="23" t="s">
        <v>1462</v>
      </c>
      <c r="U2455" s="6"/>
      <c r="V2455" s="6"/>
      <c r="W2455" s="35">
        <v>29.730621</v>
      </c>
      <c r="X2455" s="35">
        <v>-95.3198656</v>
      </c>
      <c r="AA2455" s="33"/>
      <c r="AB2455" s="33"/>
      <c r="AC2455" s="33"/>
      <c r="AD2455" s="33"/>
      <c r="AE2455" s="33"/>
      <c r="AF2455" s="33"/>
      <c r="AG2455" s="33"/>
      <c r="AH2455" s="33"/>
      <c r="AI2455" s="33"/>
      <c r="AJ2455" s="33"/>
      <c r="AK2455" s="33"/>
      <c r="AL2455" s="33"/>
      <c r="AM2455" s="33"/>
      <c r="AN2455" s="33"/>
      <c r="AO2455" s="33"/>
    </row>
    <row r="2456" ht="15.75" customHeight="1">
      <c r="A2456" s="23">
        <v>51744.0</v>
      </c>
      <c r="B2456" s="23">
        <v>2023.0</v>
      </c>
      <c r="C2456" s="6" t="str">
        <f t="shared" si="7"/>
        <v>6000 GULF FWY,Houston,TX</v>
      </c>
      <c r="D2456" s="23" t="s">
        <v>3800</v>
      </c>
      <c r="E2456" s="6" t="s">
        <v>25</v>
      </c>
      <c r="F2456" s="6" t="s">
        <v>1388</v>
      </c>
      <c r="G2456" s="31" t="s">
        <v>141</v>
      </c>
      <c r="H2456" s="23" t="s">
        <v>28</v>
      </c>
      <c r="I2456" s="6" t="str">
        <f>VLOOKUP(H2456,'Flow Location'!$A$1:$B$21,2,FALSE)</f>
        <v>Storm Sewer (not contained)</v>
      </c>
      <c r="J2456" s="28">
        <v>71.0</v>
      </c>
      <c r="K2456" s="23" t="s">
        <v>29</v>
      </c>
      <c r="L2456" s="6" t="str">
        <f>VLOOKUP(K2456,'Structure type'!$A$1:$B$15,2,FALSE)</f>
        <v>Manhole</v>
      </c>
      <c r="M2456" s="23" t="s">
        <v>30</v>
      </c>
      <c r="N2456" s="6" t="str">
        <f>VLOOKUP(M2456,'Excursion Cause'!$A$1:$B$34,2,FALSE)</f>
        <v>Grease Blockage</v>
      </c>
      <c r="O2456" s="29">
        <v>45008.0</v>
      </c>
      <c r="P2456" s="30">
        <v>0.48055555555555557</v>
      </c>
      <c r="Q2456" s="29">
        <v>45008.0</v>
      </c>
      <c r="R2456" s="30">
        <v>0.5298611111111111</v>
      </c>
      <c r="S2456" s="28">
        <v>1.0</v>
      </c>
      <c r="T2456" s="23" t="s">
        <v>3749</v>
      </c>
      <c r="U2456" s="6"/>
      <c r="V2456" s="6"/>
      <c r="W2456" s="35">
        <v>29.7128475</v>
      </c>
      <c r="X2456" s="35">
        <v>-95.3134769999999</v>
      </c>
      <c r="AA2456" s="33"/>
      <c r="AB2456" s="33"/>
      <c r="AC2456" s="33"/>
      <c r="AD2456" s="33"/>
      <c r="AE2456" s="33"/>
      <c r="AF2456" s="33"/>
      <c r="AG2456" s="33"/>
      <c r="AH2456" s="33"/>
      <c r="AI2456" s="33"/>
      <c r="AJ2456" s="33"/>
      <c r="AK2456" s="33"/>
      <c r="AL2456" s="33"/>
      <c r="AM2456" s="33"/>
      <c r="AN2456" s="33"/>
      <c r="AO2456" s="33"/>
    </row>
    <row r="2457" ht="15.75" customHeight="1">
      <c r="A2457" s="23">
        <v>51745.0</v>
      </c>
      <c r="B2457" s="23">
        <v>2023.0</v>
      </c>
      <c r="C2457" s="6" t="str">
        <f t="shared" si="7"/>
        <v>9444 NEUENS RD,Houston,TX</v>
      </c>
      <c r="D2457" s="23" t="s">
        <v>3801</v>
      </c>
      <c r="E2457" s="6" t="s">
        <v>25</v>
      </c>
      <c r="F2457" s="6" t="s">
        <v>1388</v>
      </c>
      <c r="G2457" s="31" t="s">
        <v>294</v>
      </c>
      <c r="H2457" s="23" t="s">
        <v>50</v>
      </c>
      <c r="I2457" s="6" t="str">
        <f>VLOOKUP(H2457,'Flow Location'!$A$1:$B$21,2,FALSE)</f>
        <v>Contained On Site, not within 5 ft. of Bayou/Surface Water/Drainage Ditch</v>
      </c>
      <c r="J2457" s="28">
        <v>230.0</v>
      </c>
      <c r="K2457" s="23" t="s">
        <v>198</v>
      </c>
      <c r="L2457" s="6" t="str">
        <f>VLOOKUP(K2457,'Structure type'!$A$1:$B$15,2,FALSE)</f>
        <v>Service Lateral</v>
      </c>
      <c r="M2457" s="23" t="s">
        <v>81</v>
      </c>
      <c r="N2457" s="6" t="str">
        <f>VLOOKUP(M2457,'Excursion Cause'!$A$1:$B$34,2,FALSE)</f>
        <v>Collection system structural failure</v>
      </c>
      <c r="O2457" s="29">
        <v>45008.0</v>
      </c>
      <c r="P2457" s="30">
        <v>0.4930555555555556</v>
      </c>
      <c r="Q2457" s="29">
        <v>45008.0</v>
      </c>
      <c r="R2457" s="30">
        <v>0.8118055555555556</v>
      </c>
      <c r="S2457" s="28">
        <v>1.0</v>
      </c>
      <c r="T2457" s="23" t="s">
        <v>1391</v>
      </c>
      <c r="U2457" s="6"/>
      <c r="V2457" s="6"/>
      <c r="W2457" s="35">
        <v>29.8074771</v>
      </c>
      <c r="X2457" s="35">
        <v>-95.5261862999999</v>
      </c>
      <c r="AA2457" s="33"/>
      <c r="AB2457" s="33"/>
      <c r="AC2457" s="33"/>
      <c r="AD2457" s="33"/>
      <c r="AE2457" s="33"/>
      <c r="AF2457" s="33"/>
      <c r="AG2457" s="33"/>
      <c r="AH2457" s="33"/>
      <c r="AI2457" s="33"/>
      <c r="AJ2457" s="33"/>
      <c r="AK2457" s="33"/>
      <c r="AL2457" s="33"/>
      <c r="AM2457" s="33"/>
      <c r="AN2457" s="33"/>
      <c r="AO2457" s="33"/>
    </row>
    <row r="2458" ht="15.75" customHeight="1">
      <c r="A2458" s="23">
        <v>51753.0</v>
      </c>
      <c r="B2458" s="23">
        <v>2023.0</v>
      </c>
      <c r="C2458" s="6" t="str">
        <f t="shared" si="7"/>
        <v>8422 BRAES BLVD,Houston,TX</v>
      </c>
      <c r="D2458" s="23" t="s">
        <v>3802</v>
      </c>
      <c r="E2458" s="6" t="s">
        <v>25</v>
      </c>
      <c r="F2458" s="6" t="s">
        <v>1388</v>
      </c>
      <c r="G2458" s="31" t="s">
        <v>65</v>
      </c>
      <c r="H2458" s="23" t="s">
        <v>28</v>
      </c>
      <c r="I2458" s="6" t="str">
        <f>VLOOKUP(H2458,'Flow Location'!$A$1:$B$21,2,FALSE)</f>
        <v>Storm Sewer (not contained)</v>
      </c>
      <c r="J2458" s="28">
        <v>40.0</v>
      </c>
      <c r="K2458" s="23" t="s">
        <v>29</v>
      </c>
      <c r="L2458" s="6" t="str">
        <f>VLOOKUP(K2458,'Structure type'!$A$1:$B$15,2,FALSE)</f>
        <v>Manhole</v>
      </c>
      <c r="M2458" s="23" t="s">
        <v>30</v>
      </c>
      <c r="N2458" s="6" t="str">
        <f>VLOOKUP(M2458,'Excursion Cause'!$A$1:$B$34,2,FALSE)</f>
        <v>Grease Blockage</v>
      </c>
      <c r="O2458" s="29">
        <v>45008.0</v>
      </c>
      <c r="P2458" s="30">
        <v>0.7354166666666667</v>
      </c>
      <c r="Q2458" s="29">
        <v>45008.0</v>
      </c>
      <c r="R2458" s="30">
        <v>0.7493055555555556</v>
      </c>
      <c r="S2458" s="28">
        <v>2.0</v>
      </c>
      <c r="T2458" s="23" t="s">
        <v>1462</v>
      </c>
      <c r="U2458" s="6"/>
      <c r="V2458" s="6"/>
      <c r="W2458" s="35">
        <v>29.692867</v>
      </c>
      <c r="X2458" s="35">
        <v>-95.436861</v>
      </c>
      <c r="AA2458" s="33"/>
      <c r="AB2458" s="33"/>
      <c r="AC2458" s="33"/>
      <c r="AD2458" s="33"/>
      <c r="AE2458" s="33"/>
      <c r="AF2458" s="33"/>
      <c r="AG2458" s="33"/>
      <c r="AH2458" s="33"/>
      <c r="AI2458" s="33"/>
      <c r="AJ2458" s="33"/>
      <c r="AK2458" s="33"/>
      <c r="AL2458" s="33"/>
      <c r="AM2458" s="33"/>
      <c r="AN2458" s="33"/>
      <c r="AO2458" s="33"/>
    </row>
    <row r="2459" ht="15.75" customHeight="1">
      <c r="A2459" s="23">
        <v>51755.0</v>
      </c>
      <c r="B2459" s="23">
        <v>2023.0</v>
      </c>
      <c r="C2459" s="6" t="str">
        <f t="shared" si="7"/>
        <v>5919 JESSAMINE ST,Houston,TX</v>
      </c>
      <c r="D2459" s="23" t="s">
        <v>3803</v>
      </c>
      <c r="E2459" s="6" t="s">
        <v>25</v>
      </c>
      <c r="F2459" s="6" t="s">
        <v>1388</v>
      </c>
      <c r="G2459" s="31" t="s">
        <v>287</v>
      </c>
      <c r="H2459" s="23" t="s">
        <v>50</v>
      </c>
      <c r="I2459" s="6" t="str">
        <f>VLOOKUP(H2459,'Flow Location'!$A$1:$B$21,2,FALSE)</f>
        <v>Contained On Site, not within 5 ft. of Bayou/Surface Water/Drainage Ditch</v>
      </c>
      <c r="J2459" s="28">
        <v>0.0</v>
      </c>
      <c r="K2459" s="23" t="s">
        <v>45</v>
      </c>
      <c r="L2459" s="6" t="str">
        <f>VLOOKUP(K2459,'Structure type'!$A$1:$B$15,2,FALSE)</f>
        <v>City Cleanout</v>
      </c>
      <c r="M2459" s="23" t="s">
        <v>56</v>
      </c>
      <c r="N2459" s="6" t="str">
        <f>VLOOKUP(M2459,'Excursion Cause'!$A$1:$B$34,2,FALSE)</f>
        <v>Rags/Wipes</v>
      </c>
      <c r="O2459" s="29">
        <v>45009.0</v>
      </c>
      <c r="P2459" s="30">
        <v>0.34652777777777777</v>
      </c>
      <c r="Q2459" s="29">
        <v>45009.0</v>
      </c>
      <c r="R2459" s="30">
        <v>0.3472222222222222</v>
      </c>
      <c r="S2459" s="28">
        <v>0.0</v>
      </c>
      <c r="T2459" s="23" t="s">
        <v>3743</v>
      </c>
      <c r="U2459" s="6"/>
      <c r="V2459" s="6"/>
      <c r="W2459" s="35">
        <v>29.7014734</v>
      </c>
      <c r="X2459" s="35">
        <v>-95.4854821</v>
      </c>
      <c r="AA2459" s="33"/>
      <c r="AB2459" s="33"/>
      <c r="AC2459" s="33"/>
      <c r="AD2459" s="33"/>
      <c r="AE2459" s="33"/>
      <c r="AF2459" s="33"/>
      <c r="AG2459" s="33"/>
      <c r="AH2459" s="33"/>
      <c r="AI2459" s="33"/>
      <c r="AJ2459" s="33"/>
      <c r="AK2459" s="33"/>
      <c r="AL2459" s="33"/>
      <c r="AM2459" s="33"/>
      <c r="AN2459" s="33"/>
      <c r="AO2459" s="33"/>
    </row>
    <row r="2460" ht="15.75" customHeight="1">
      <c r="A2460" s="23">
        <v>51757.0</v>
      </c>
      <c r="B2460" s="23">
        <v>2023.0</v>
      </c>
      <c r="C2460" s="6" t="str">
        <f t="shared" si="7"/>
        <v>10907 CONCHO ST,Houston,TX</v>
      </c>
      <c r="D2460" s="23" t="s">
        <v>3804</v>
      </c>
      <c r="E2460" s="6" t="s">
        <v>25</v>
      </c>
      <c r="F2460" s="6" t="s">
        <v>1388</v>
      </c>
      <c r="G2460" s="31" t="s">
        <v>91</v>
      </c>
      <c r="H2460" s="23" t="s">
        <v>50</v>
      </c>
      <c r="I2460" s="6" t="str">
        <f>VLOOKUP(H2460,'Flow Location'!$A$1:$B$21,2,FALSE)</f>
        <v>Contained On Site, not within 5 ft. of Bayou/Surface Water/Drainage Ditch</v>
      </c>
      <c r="J2460" s="28">
        <v>0.0</v>
      </c>
      <c r="K2460" s="23" t="s">
        <v>51</v>
      </c>
      <c r="L2460" s="6" t="str">
        <f>VLOOKUP(K2460,'Structure type'!$A$1:$B$15,2,FALSE)</f>
        <v>Private Cleanout</v>
      </c>
      <c r="M2460" s="23" t="s">
        <v>30</v>
      </c>
      <c r="N2460" s="6" t="str">
        <f>VLOOKUP(M2460,'Excursion Cause'!$A$1:$B$34,2,FALSE)</f>
        <v>Grease Blockage</v>
      </c>
      <c r="O2460" s="29">
        <v>45009.0</v>
      </c>
      <c r="P2460" s="30">
        <v>0.41388888888888886</v>
      </c>
      <c r="Q2460" s="29">
        <v>45009.0</v>
      </c>
      <c r="R2460" s="30">
        <v>0.41458333333333336</v>
      </c>
      <c r="S2460" s="28">
        <v>0.0</v>
      </c>
      <c r="T2460" s="23" t="s">
        <v>1462</v>
      </c>
      <c r="U2460" s="6"/>
      <c r="V2460" s="6"/>
      <c r="W2460" s="35">
        <v>29.6929955</v>
      </c>
      <c r="X2460" s="35">
        <v>-95.5715445</v>
      </c>
      <c r="AA2460" s="33"/>
      <c r="AB2460" s="33"/>
      <c r="AC2460" s="33"/>
      <c r="AD2460" s="33"/>
      <c r="AE2460" s="33"/>
      <c r="AF2460" s="33"/>
      <c r="AG2460" s="33"/>
      <c r="AH2460" s="33"/>
      <c r="AI2460" s="33"/>
      <c r="AJ2460" s="33"/>
      <c r="AK2460" s="33"/>
      <c r="AL2460" s="33"/>
      <c r="AM2460" s="33"/>
      <c r="AN2460" s="33"/>
      <c r="AO2460" s="33"/>
    </row>
    <row r="2461" ht="15.75" customHeight="1">
      <c r="A2461" s="23">
        <v>51758.0</v>
      </c>
      <c r="B2461" s="23">
        <v>2023.0</v>
      </c>
      <c r="C2461" s="6" t="str">
        <f t="shared" si="7"/>
        <v>5610 CLINTON DR,Houston,TX</v>
      </c>
      <c r="D2461" s="23" t="s">
        <v>3782</v>
      </c>
      <c r="E2461" s="6" t="s">
        <v>25</v>
      </c>
      <c r="F2461" s="6" t="s">
        <v>1388</v>
      </c>
      <c r="G2461" s="31" t="s">
        <v>86</v>
      </c>
      <c r="H2461" s="23" t="s">
        <v>50</v>
      </c>
      <c r="I2461" s="6" t="str">
        <f>VLOOKUP(H2461,'Flow Location'!$A$1:$B$21,2,FALSE)</f>
        <v>Contained On Site, not within 5 ft. of Bayou/Surface Water/Drainage Ditch</v>
      </c>
      <c r="J2461" s="28">
        <v>0.0</v>
      </c>
      <c r="K2461" s="23" t="s">
        <v>3805</v>
      </c>
      <c r="L2461" s="6" t="str">
        <f>VLOOKUP(K2461,'Structure type'!$A$1:$B$15,2,FALSE)</f>
        <v>Building Backup</v>
      </c>
      <c r="M2461" s="23" t="s">
        <v>56</v>
      </c>
      <c r="N2461" s="6" t="str">
        <f>VLOOKUP(M2461,'Excursion Cause'!$A$1:$B$34,2,FALSE)</f>
        <v>Rags/Wipes</v>
      </c>
      <c r="O2461" s="29">
        <v>45007.0</v>
      </c>
      <c r="P2461" s="30">
        <v>0.6013888888888889</v>
      </c>
      <c r="Q2461" s="29">
        <v>45007.0</v>
      </c>
      <c r="R2461" s="30">
        <v>0.6020833333333333</v>
      </c>
      <c r="S2461" s="28">
        <v>0.0</v>
      </c>
      <c r="T2461" s="23" t="s">
        <v>1473</v>
      </c>
      <c r="U2461" s="6"/>
      <c r="V2461" s="6"/>
      <c r="W2461" s="35">
        <v>29.7622323</v>
      </c>
      <c r="X2461" s="35">
        <v>-95.3113889</v>
      </c>
      <c r="AA2461" s="33"/>
      <c r="AB2461" s="33"/>
      <c r="AC2461" s="33"/>
      <c r="AD2461" s="33"/>
      <c r="AE2461" s="33"/>
      <c r="AF2461" s="33"/>
      <c r="AG2461" s="33"/>
      <c r="AH2461" s="33"/>
      <c r="AI2461" s="33"/>
      <c r="AJ2461" s="33"/>
      <c r="AK2461" s="33"/>
      <c r="AL2461" s="33"/>
      <c r="AM2461" s="33"/>
      <c r="AN2461" s="33"/>
      <c r="AO2461" s="33"/>
    </row>
    <row r="2462" ht="15.75" customHeight="1">
      <c r="A2462" s="23">
        <v>51760.0</v>
      </c>
      <c r="B2462" s="23">
        <v>2023.0</v>
      </c>
      <c r="C2462" s="6" t="str">
        <f t="shared" si="7"/>
        <v>4200 LOCKFIELD ST,Houston,TX</v>
      </c>
      <c r="D2462" s="23" t="s">
        <v>3806</v>
      </c>
      <c r="E2462" s="6" t="s">
        <v>25</v>
      </c>
      <c r="F2462" s="6" t="s">
        <v>1388</v>
      </c>
      <c r="G2462" s="31" t="s">
        <v>76</v>
      </c>
      <c r="H2462" s="23" t="s">
        <v>50</v>
      </c>
      <c r="I2462" s="6" t="str">
        <f>VLOOKUP(H2462,'Flow Location'!$A$1:$B$21,2,FALSE)</f>
        <v>Contained On Site, not within 5 ft. of Bayou/Surface Water/Drainage Ditch</v>
      </c>
      <c r="J2462" s="28">
        <v>582.0</v>
      </c>
      <c r="K2462" s="23" t="s">
        <v>29</v>
      </c>
      <c r="L2462" s="6" t="str">
        <f>VLOOKUP(K2462,'Structure type'!$A$1:$B$15,2,FALSE)</f>
        <v>Manhole</v>
      </c>
      <c r="M2462" s="23" t="s">
        <v>30</v>
      </c>
      <c r="N2462" s="6" t="str">
        <f>VLOOKUP(M2462,'Excursion Cause'!$A$1:$B$34,2,FALSE)</f>
        <v>Grease Blockage</v>
      </c>
      <c r="O2462" s="29">
        <v>45009.0</v>
      </c>
      <c r="P2462" s="30">
        <v>0.4375</v>
      </c>
      <c r="Q2462" s="29">
        <v>45009.0</v>
      </c>
      <c r="R2462" s="30">
        <v>0.6402777777777777</v>
      </c>
      <c r="S2462" s="28">
        <v>2.0</v>
      </c>
      <c r="T2462" s="23" t="s">
        <v>3749</v>
      </c>
      <c r="U2462" s="6"/>
      <c r="V2462" s="6"/>
      <c r="W2462" s="35">
        <v>29.830552</v>
      </c>
      <c r="X2462" s="35">
        <v>-95.48543</v>
      </c>
      <c r="AA2462" s="33"/>
      <c r="AB2462" s="33"/>
      <c r="AC2462" s="33"/>
      <c r="AD2462" s="33"/>
      <c r="AE2462" s="33"/>
      <c r="AF2462" s="33"/>
      <c r="AG2462" s="33"/>
      <c r="AH2462" s="33"/>
      <c r="AI2462" s="33"/>
      <c r="AJ2462" s="33"/>
      <c r="AK2462" s="33"/>
      <c r="AL2462" s="33"/>
      <c r="AM2462" s="33"/>
      <c r="AN2462" s="33"/>
      <c r="AO2462" s="33"/>
    </row>
    <row r="2463" ht="15.75" customHeight="1">
      <c r="A2463" s="23">
        <v>51765.0</v>
      </c>
      <c r="B2463" s="23">
        <v>2023.0</v>
      </c>
      <c r="C2463" s="6" t="str">
        <f t="shared" si="7"/>
        <v>8310 LONE QUAIL DR,Houston,TX</v>
      </c>
      <c r="D2463" s="23" t="s">
        <v>3807</v>
      </c>
      <c r="E2463" s="6" t="s">
        <v>25</v>
      </c>
      <c r="F2463" s="6" t="s">
        <v>1388</v>
      </c>
      <c r="G2463" s="31" t="s">
        <v>166</v>
      </c>
      <c r="H2463" s="23" t="s">
        <v>50</v>
      </c>
      <c r="I2463" s="6" t="str">
        <f>VLOOKUP(H2463,'Flow Location'!$A$1:$B$21,2,FALSE)</f>
        <v>Contained On Site, not within 5 ft. of Bayou/Surface Water/Drainage Ditch</v>
      </c>
      <c r="J2463" s="28">
        <v>0.0</v>
      </c>
      <c r="K2463" s="23" t="s">
        <v>190</v>
      </c>
      <c r="L2463" s="6" t="str">
        <f>VLOOKUP(K2463,'Structure type'!$A$1:$B$15,2,FALSE)</f>
        <v>Force Main</v>
      </c>
      <c r="M2463" s="23" t="s">
        <v>620</v>
      </c>
      <c r="N2463" s="6" t="str">
        <f>VLOOKUP(M2463,'Excursion Cause'!$A$1:$B$34,2,FALSE)</f>
        <v>Air Relief Valve (ARV) Failure</v>
      </c>
      <c r="O2463" s="29">
        <v>45009.0</v>
      </c>
      <c r="P2463" s="30">
        <v>0.5583333333333333</v>
      </c>
      <c r="Q2463" s="29">
        <v>45009.0</v>
      </c>
      <c r="R2463" s="30">
        <v>0.5590277777777778</v>
      </c>
      <c r="S2463" s="28">
        <v>0.0</v>
      </c>
      <c r="T2463" s="23" t="s">
        <v>118</v>
      </c>
      <c r="U2463" s="6"/>
      <c r="V2463" s="6"/>
      <c r="W2463" s="35">
        <v>29.5828477</v>
      </c>
      <c r="X2463" s="35">
        <v>-95.5129582</v>
      </c>
      <c r="AA2463" s="33"/>
      <c r="AB2463" s="33"/>
      <c r="AC2463" s="33"/>
      <c r="AD2463" s="33"/>
      <c r="AE2463" s="33"/>
      <c r="AF2463" s="33"/>
      <c r="AG2463" s="33"/>
      <c r="AH2463" s="33"/>
      <c r="AI2463" s="33"/>
      <c r="AJ2463" s="33"/>
      <c r="AK2463" s="33"/>
      <c r="AL2463" s="33"/>
      <c r="AM2463" s="33"/>
      <c r="AN2463" s="33"/>
      <c r="AO2463" s="33"/>
    </row>
    <row r="2464" ht="15.75" customHeight="1">
      <c r="A2464" s="23">
        <v>51766.0</v>
      </c>
      <c r="B2464" s="23">
        <v>2023.0</v>
      </c>
      <c r="C2464" s="6" t="str">
        <f t="shared" si="7"/>
        <v>1977 CAMPBELL RD,Houston,TX</v>
      </c>
      <c r="D2464" s="23" t="s">
        <v>3808</v>
      </c>
      <c r="E2464" s="6" t="s">
        <v>25</v>
      </c>
      <c r="F2464" s="6" t="s">
        <v>1388</v>
      </c>
      <c r="G2464" s="31" t="s">
        <v>294</v>
      </c>
      <c r="H2464" s="23" t="s">
        <v>50</v>
      </c>
      <c r="I2464" s="6" t="str">
        <f>VLOOKUP(H2464,'Flow Location'!$A$1:$B$21,2,FALSE)</f>
        <v>Contained On Site, not within 5 ft. of Bayou/Surface Water/Drainage Ditch</v>
      </c>
      <c r="J2464" s="28">
        <v>0.0</v>
      </c>
      <c r="K2464" s="23" t="s">
        <v>198</v>
      </c>
      <c r="L2464" s="6" t="str">
        <f>VLOOKUP(K2464,'Structure type'!$A$1:$B$15,2,FALSE)</f>
        <v>Service Lateral</v>
      </c>
      <c r="M2464" s="23" t="s">
        <v>52</v>
      </c>
      <c r="N2464" s="6" t="str">
        <f>VLOOKUP(M2464,'Excursion Cause'!$A$1:$B$34,2,FALSE)</f>
        <v>Collection system structural blockage</v>
      </c>
      <c r="O2464" s="29">
        <v>45009.0</v>
      </c>
      <c r="P2464" s="30">
        <v>0.6152777777777778</v>
      </c>
      <c r="Q2464" s="29">
        <v>45009.0</v>
      </c>
      <c r="R2464" s="30">
        <v>0.6159722222222223</v>
      </c>
      <c r="S2464" s="28">
        <v>0.0</v>
      </c>
      <c r="T2464" s="23" t="s">
        <v>1391</v>
      </c>
      <c r="U2464" s="6"/>
      <c r="V2464" s="6"/>
      <c r="W2464" s="35">
        <v>29.8079018</v>
      </c>
      <c r="X2464" s="35">
        <v>-95.5261546999999</v>
      </c>
      <c r="AA2464" s="33"/>
      <c r="AB2464" s="33"/>
      <c r="AC2464" s="33"/>
      <c r="AD2464" s="33"/>
      <c r="AE2464" s="33"/>
      <c r="AF2464" s="33"/>
      <c r="AG2464" s="33"/>
      <c r="AH2464" s="33"/>
      <c r="AI2464" s="33"/>
      <c r="AJ2464" s="33"/>
      <c r="AK2464" s="33"/>
      <c r="AL2464" s="33"/>
      <c r="AM2464" s="33"/>
      <c r="AN2464" s="33"/>
      <c r="AO2464" s="33"/>
    </row>
    <row r="2465" ht="15.75" customHeight="1">
      <c r="A2465" s="23">
        <v>51767.0</v>
      </c>
      <c r="B2465" s="23">
        <v>2023.0</v>
      </c>
      <c r="C2465" s="6" t="str">
        <f t="shared" si="7"/>
        <v>7050 BENNINGTON ST,Houston,TX</v>
      </c>
      <c r="D2465" s="23" t="s">
        <v>3809</v>
      </c>
      <c r="E2465" s="6" t="s">
        <v>25</v>
      </c>
      <c r="F2465" s="6" t="s">
        <v>1388</v>
      </c>
      <c r="G2465" s="31" t="s">
        <v>177</v>
      </c>
      <c r="H2465" s="23" t="s">
        <v>50</v>
      </c>
      <c r="I2465" s="6" t="str">
        <f>VLOOKUP(H2465,'Flow Location'!$A$1:$B$21,2,FALSE)</f>
        <v>Contained On Site, not within 5 ft. of Bayou/Surface Water/Drainage Ditch</v>
      </c>
      <c r="J2465" s="28">
        <v>0.0</v>
      </c>
      <c r="K2465" s="23" t="s">
        <v>29</v>
      </c>
      <c r="L2465" s="6" t="str">
        <f>VLOOKUP(K2465,'Structure type'!$A$1:$B$15,2,FALSE)</f>
        <v>Manhole</v>
      </c>
      <c r="M2465" s="23" t="s">
        <v>52</v>
      </c>
      <c r="N2465" s="6" t="str">
        <f>VLOOKUP(M2465,'Excursion Cause'!$A$1:$B$34,2,FALSE)</f>
        <v>Collection system structural blockage</v>
      </c>
      <c r="O2465" s="29">
        <v>45009.0</v>
      </c>
      <c r="P2465" s="30">
        <v>0.5236111111111111</v>
      </c>
      <c r="Q2465" s="29">
        <v>45009.0</v>
      </c>
      <c r="R2465" s="30">
        <v>0.5243055555555556</v>
      </c>
      <c r="S2465" s="28">
        <v>0.0</v>
      </c>
      <c r="T2465" s="23" t="s">
        <v>1462</v>
      </c>
      <c r="U2465" s="6"/>
      <c r="V2465" s="6"/>
      <c r="W2465" s="35">
        <v>29.8160243</v>
      </c>
      <c r="X2465" s="35">
        <v>-95.3038967</v>
      </c>
      <c r="AA2465" s="33"/>
      <c r="AB2465" s="33"/>
      <c r="AC2465" s="33"/>
      <c r="AD2465" s="33"/>
      <c r="AE2465" s="33"/>
      <c r="AF2465" s="33"/>
      <c r="AG2465" s="33"/>
      <c r="AH2465" s="33"/>
      <c r="AI2465" s="33"/>
      <c r="AJ2465" s="33"/>
      <c r="AK2465" s="33"/>
      <c r="AL2465" s="33"/>
      <c r="AM2465" s="33"/>
      <c r="AN2465" s="33"/>
      <c r="AO2465" s="33"/>
    </row>
    <row r="2466" ht="15.75" customHeight="1">
      <c r="A2466" s="23">
        <v>51774.0</v>
      </c>
      <c r="B2466" s="23">
        <v>2023.0</v>
      </c>
      <c r="C2466" s="6" t="str">
        <f t="shared" si="7"/>
        <v>4014 PROVIDENCE ST,Houston,TX</v>
      </c>
      <c r="D2466" s="23" t="s">
        <v>3810</v>
      </c>
      <c r="E2466" s="6" t="s">
        <v>25</v>
      </c>
      <c r="F2466" s="6" t="s">
        <v>1388</v>
      </c>
      <c r="G2466" s="31" t="s">
        <v>86</v>
      </c>
      <c r="H2466" s="23" t="s">
        <v>50</v>
      </c>
      <c r="I2466" s="6" t="str">
        <f>VLOOKUP(H2466,'Flow Location'!$A$1:$B$21,2,FALSE)</f>
        <v>Contained On Site, not within 5 ft. of Bayou/Surface Water/Drainage Ditch</v>
      </c>
      <c r="J2466" s="28">
        <v>0.0</v>
      </c>
      <c r="K2466" s="23" t="s">
        <v>45</v>
      </c>
      <c r="L2466" s="6" t="str">
        <f>VLOOKUP(K2466,'Structure type'!$A$1:$B$15,2,FALSE)</f>
        <v>City Cleanout</v>
      </c>
      <c r="M2466" s="23" t="s">
        <v>30</v>
      </c>
      <c r="N2466" s="6" t="str">
        <f>VLOOKUP(M2466,'Excursion Cause'!$A$1:$B$34,2,FALSE)</f>
        <v>Grease Blockage</v>
      </c>
      <c r="O2466" s="29">
        <v>45010.0</v>
      </c>
      <c r="P2466" s="30">
        <v>0.37222222222222223</v>
      </c>
      <c r="Q2466" s="29">
        <v>45010.0</v>
      </c>
      <c r="R2466" s="30">
        <v>0.3729166666666667</v>
      </c>
      <c r="S2466" s="28">
        <v>0.0</v>
      </c>
      <c r="T2466" s="23" t="s">
        <v>1473</v>
      </c>
      <c r="U2466" s="6"/>
      <c r="V2466" s="6"/>
      <c r="W2466" s="35">
        <v>29.7705389</v>
      </c>
      <c r="X2466" s="35">
        <v>-95.3299586999999</v>
      </c>
      <c r="AA2466" s="33"/>
      <c r="AB2466" s="33"/>
      <c r="AC2466" s="33"/>
      <c r="AD2466" s="33"/>
      <c r="AE2466" s="33"/>
      <c r="AF2466" s="33"/>
      <c r="AG2466" s="33"/>
      <c r="AH2466" s="33"/>
      <c r="AI2466" s="33"/>
      <c r="AJ2466" s="33"/>
      <c r="AK2466" s="33"/>
      <c r="AL2466" s="33"/>
      <c r="AM2466" s="33"/>
      <c r="AN2466" s="33"/>
      <c r="AO2466" s="33"/>
    </row>
    <row r="2467" ht="15.75" customHeight="1">
      <c r="A2467" s="23">
        <v>51778.0</v>
      </c>
      <c r="B2467" s="23">
        <v>2023.0</v>
      </c>
      <c r="C2467" s="6" t="str">
        <f t="shared" si="7"/>
        <v>1505 BRITTMOORE RD,Houston,TX</v>
      </c>
      <c r="D2467" s="23" t="s">
        <v>3811</v>
      </c>
      <c r="E2467" s="6" t="s">
        <v>25</v>
      </c>
      <c r="F2467" s="6" t="s">
        <v>1388</v>
      </c>
      <c r="G2467" s="31" t="s">
        <v>699</v>
      </c>
      <c r="H2467" s="23" t="s">
        <v>50</v>
      </c>
      <c r="I2467" s="6" t="str">
        <f>VLOOKUP(H2467,'Flow Location'!$A$1:$B$21,2,FALSE)</f>
        <v>Contained On Site, not within 5 ft. of Bayou/Surface Water/Drainage Ditch</v>
      </c>
      <c r="J2467" s="28">
        <v>0.0</v>
      </c>
      <c r="K2467" s="23" t="s">
        <v>45</v>
      </c>
      <c r="L2467" s="6" t="str">
        <f>VLOOKUP(K2467,'Structure type'!$A$1:$B$15,2,FALSE)</f>
        <v>City Cleanout</v>
      </c>
      <c r="M2467" s="23" t="s">
        <v>96</v>
      </c>
      <c r="N2467" s="6" t="str">
        <f>VLOOKUP(M2467,'Excursion Cause'!$A$1:$B$34,2,FALSE)</f>
        <v>Collection system temporary blockage</v>
      </c>
      <c r="O2467" s="29">
        <v>45010.0</v>
      </c>
      <c r="P2467" s="30">
        <v>0.5611111111111111</v>
      </c>
      <c r="Q2467" s="29">
        <v>45010.0</v>
      </c>
      <c r="R2467" s="30">
        <v>0.5618055555555556</v>
      </c>
      <c r="S2467" s="28">
        <v>0.0</v>
      </c>
      <c r="T2467" s="23" t="s">
        <v>1473</v>
      </c>
      <c r="U2467" s="6"/>
      <c r="V2467" s="6"/>
      <c r="W2467" s="35">
        <v>29.8013313</v>
      </c>
      <c r="X2467" s="35">
        <v>-95.5705476999999</v>
      </c>
      <c r="AA2467" s="33"/>
      <c r="AB2467" s="33"/>
      <c r="AC2467" s="33"/>
      <c r="AD2467" s="33"/>
      <c r="AE2467" s="33"/>
      <c r="AF2467" s="33"/>
      <c r="AG2467" s="33"/>
      <c r="AH2467" s="33"/>
      <c r="AI2467" s="33"/>
      <c r="AJ2467" s="33"/>
      <c r="AK2467" s="33"/>
      <c r="AL2467" s="33"/>
      <c r="AM2467" s="33"/>
      <c r="AN2467" s="33"/>
      <c r="AO2467" s="33"/>
    </row>
    <row r="2468" ht="15.75" customHeight="1">
      <c r="A2468" s="23">
        <v>51780.0</v>
      </c>
      <c r="B2468" s="23">
        <v>2023.0</v>
      </c>
      <c r="C2468" s="6" t="str">
        <f t="shared" si="7"/>
        <v>2019 WALKER ST,Houston,TX</v>
      </c>
      <c r="D2468" s="23" t="s">
        <v>1312</v>
      </c>
      <c r="E2468" s="6" t="s">
        <v>25</v>
      </c>
      <c r="F2468" s="6" t="s">
        <v>1388</v>
      </c>
      <c r="G2468" s="31" t="s">
        <v>172</v>
      </c>
      <c r="H2468" s="23" t="s">
        <v>1493</v>
      </c>
      <c r="I2468" s="6" t="str">
        <f>VLOOKUP(H2468,'Flow Location'!$A$1:$B$21,2,FALSE)</f>
        <v>Contained On Site, not within 5 ft. of Bayou/Surface Water/Drainage Ditch</v>
      </c>
      <c r="J2468" s="28">
        <v>0.0</v>
      </c>
      <c r="K2468" s="23" t="s">
        <v>198</v>
      </c>
      <c r="L2468" s="6" t="str">
        <f>VLOOKUP(K2468,'Structure type'!$A$1:$B$15,2,FALSE)</f>
        <v>Service Lateral</v>
      </c>
      <c r="M2468" s="23" t="s">
        <v>81</v>
      </c>
      <c r="N2468" s="6" t="str">
        <f>VLOOKUP(M2468,'Excursion Cause'!$A$1:$B$34,2,FALSE)</f>
        <v>Collection system structural failure</v>
      </c>
      <c r="O2468" s="29">
        <v>45010.0</v>
      </c>
      <c r="P2468" s="30">
        <v>0.5722222222222222</v>
      </c>
      <c r="Q2468" s="29">
        <v>45010.0</v>
      </c>
      <c r="R2468" s="30">
        <v>0.5729166666666666</v>
      </c>
      <c r="S2468" s="28">
        <v>0.0</v>
      </c>
      <c r="T2468" s="23" t="s">
        <v>118</v>
      </c>
      <c r="U2468" s="6"/>
      <c r="V2468" s="6"/>
      <c r="W2468" s="35">
        <v>29.7523196999999</v>
      </c>
      <c r="X2468" s="35">
        <v>-95.3548916</v>
      </c>
      <c r="AA2468" s="33"/>
      <c r="AB2468" s="33"/>
      <c r="AC2468" s="33"/>
      <c r="AD2468" s="33"/>
      <c r="AE2468" s="33"/>
      <c r="AF2468" s="33"/>
      <c r="AG2468" s="33"/>
      <c r="AH2468" s="33"/>
      <c r="AI2468" s="33"/>
      <c r="AJ2468" s="33"/>
      <c r="AK2468" s="33"/>
      <c r="AL2468" s="33"/>
      <c r="AM2468" s="33"/>
      <c r="AN2468" s="33"/>
      <c r="AO2468" s="33"/>
    </row>
    <row r="2469" ht="15.75" customHeight="1">
      <c r="A2469" s="23">
        <v>51781.0</v>
      </c>
      <c r="B2469" s="23">
        <v>2023.0</v>
      </c>
      <c r="C2469" s="6" t="str">
        <f t="shared" si="7"/>
        <v>402 41ST ST,Houston,TX</v>
      </c>
      <c r="D2469" s="23" t="s">
        <v>3812</v>
      </c>
      <c r="E2469" s="6" t="s">
        <v>25</v>
      </c>
      <c r="F2469" s="6" t="s">
        <v>1388</v>
      </c>
      <c r="G2469" s="31" t="s">
        <v>653</v>
      </c>
      <c r="H2469" s="23" t="s">
        <v>28</v>
      </c>
      <c r="I2469" s="6" t="str">
        <f>VLOOKUP(H2469,'Flow Location'!$A$1:$B$21,2,FALSE)</f>
        <v>Storm Sewer (not contained)</v>
      </c>
      <c r="J2469" s="28">
        <v>0.0</v>
      </c>
      <c r="K2469" s="23" t="s">
        <v>198</v>
      </c>
      <c r="L2469" s="6" t="str">
        <f>VLOOKUP(K2469,'Structure type'!$A$1:$B$15,2,FALSE)</f>
        <v>Service Lateral</v>
      </c>
      <c r="M2469" s="23" t="s">
        <v>81</v>
      </c>
      <c r="N2469" s="6" t="str">
        <f>VLOOKUP(M2469,'Excursion Cause'!$A$1:$B$34,2,FALSE)</f>
        <v>Collection system structural failure</v>
      </c>
      <c r="O2469" s="29">
        <v>45010.0</v>
      </c>
      <c r="P2469" s="30">
        <v>0.6395833333333333</v>
      </c>
      <c r="Q2469" s="29">
        <v>45010.0</v>
      </c>
      <c r="R2469" s="30">
        <v>0.6402777777777777</v>
      </c>
      <c r="S2469" s="28">
        <v>0.0</v>
      </c>
      <c r="T2469" s="23" t="s">
        <v>118</v>
      </c>
      <c r="U2469" s="6"/>
      <c r="V2469" s="6"/>
      <c r="W2469" s="35">
        <v>29.8233047</v>
      </c>
      <c r="X2469" s="35">
        <v>-95.3945023</v>
      </c>
      <c r="AA2469" s="33"/>
      <c r="AB2469" s="33"/>
      <c r="AC2469" s="33"/>
      <c r="AD2469" s="33"/>
      <c r="AE2469" s="33"/>
      <c r="AF2469" s="33"/>
      <c r="AG2469" s="33"/>
      <c r="AH2469" s="33"/>
      <c r="AI2469" s="33"/>
      <c r="AJ2469" s="33"/>
      <c r="AK2469" s="33"/>
      <c r="AL2469" s="33"/>
      <c r="AM2469" s="33"/>
      <c r="AN2469" s="33"/>
      <c r="AO2469" s="33"/>
    </row>
    <row r="2470" ht="15.75" customHeight="1">
      <c r="A2470" s="23">
        <v>51784.0</v>
      </c>
      <c r="B2470" s="23">
        <v>2023.0</v>
      </c>
      <c r="C2470" s="6" t="str">
        <f t="shared" si="7"/>
        <v>7515 SHINER LN,Houston,TX</v>
      </c>
      <c r="D2470" s="23" t="s">
        <v>3813</v>
      </c>
      <c r="E2470" s="6" t="s">
        <v>25</v>
      </c>
      <c r="F2470" s="6" t="s">
        <v>1388</v>
      </c>
      <c r="G2470" s="31" t="s">
        <v>91</v>
      </c>
      <c r="H2470" s="23" t="s">
        <v>50</v>
      </c>
      <c r="I2470" s="6" t="str">
        <f>VLOOKUP(H2470,'Flow Location'!$A$1:$B$21,2,FALSE)</f>
        <v>Contained On Site, not within 5 ft. of Bayou/Surface Water/Drainage Ditch</v>
      </c>
      <c r="J2470" s="28">
        <v>0.0</v>
      </c>
      <c r="K2470" s="23" t="s">
        <v>198</v>
      </c>
      <c r="L2470" s="6" t="str">
        <f>VLOOKUP(K2470,'Structure type'!$A$1:$B$15,2,FALSE)</f>
        <v>Service Lateral</v>
      </c>
      <c r="M2470" s="23" t="s">
        <v>81</v>
      </c>
      <c r="N2470" s="6" t="str">
        <f>VLOOKUP(M2470,'Excursion Cause'!$A$1:$B$34,2,FALSE)</f>
        <v>Collection system structural failure</v>
      </c>
      <c r="O2470" s="29">
        <v>45010.0</v>
      </c>
      <c r="P2470" s="30">
        <v>0.7090277777777778</v>
      </c>
      <c r="Q2470" s="29">
        <v>45010.0</v>
      </c>
      <c r="R2470" s="30">
        <v>0.7097222222222223</v>
      </c>
      <c r="S2470" s="28">
        <v>0.0</v>
      </c>
      <c r="T2470" s="23" t="s">
        <v>118</v>
      </c>
      <c r="U2470" s="6"/>
      <c r="V2470" s="6"/>
      <c r="W2470" s="35">
        <v>29.6970374</v>
      </c>
      <c r="X2470" s="35">
        <v>-95.5885861</v>
      </c>
      <c r="AA2470" s="33"/>
      <c r="AB2470" s="33"/>
      <c r="AC2470" s="33"/>
      <c r="AD2470" s="33"/>
      <c r="AE2470" s="33"/>
      <c r="AF2470" s="33"/>
      <c r="AG2470" s="33"/>
      <c r="AH2470" s="33"/>
      <c r="AI2470" s="33"/>
      <c r="AJ2470" s="33"/>
      <c r="AK2470" s="33"/>
      <c r="AL2470" s="33"/>
      <c r="AM2470" s="33"/>
      <c r="AN2470" s="33"/>
      <c r="AO2470" s="33"/>
    </row>
    <row r="2471" ht="15.75" customHeight="1">
      <c r="A2471" s="23">
        <v>51785.0</v>
      </c>
      <c r="B2471" s="23">
        <v>2023.0</v>
      </c>
      <c r="C2471" s="6" t="str">
        <f t="shared" si="7"/>
        <v>6603 KELVIN DR,Houston,TX</v>
      </c>
      <c r="D2471" s="23" t="s">
        <v>3814</v>
      </c>
      <c r="E2471" s="6" t="s">
        <v>25</v>
      </c>
      <c r="F2471" s="6" t="s">
        <v>1388</v>
      </c>
      <c r="G2471" s="31" t="s">
        <v>512</v>
      </c>
      <c r="H2471" s="23" t="s">
        <v>50</v>
      </c>
      <c r="I2471" s="6" t="str">
        <f>VLOOKUP(H2471,'Flow Location'!$A$1:$B$21,2,FALSE)</f>
        <v>Contained On Site, not within 5 ft. of Bayou/Surface Water/Drainage Ditch</v>
      </c>
      <c r="J2471" s="28">
        <v>0.0</v>
      </c>
      <c r="K2471" s="23" t="s">
        <v>51</v>
      </c>
      <c r="L2471" s="6" t="str">
        <f>VLOOKUP(K2471,'Structure type'!$A$1:$B$15,2,FALSE)</f>
        <v>Private Cleanout</v>
      </c>
      <c r="M2471" s="23" t="s">
        <v>81</v>
      </c>
      <c r="N2471" s="6" t="str">
        <f>VLOOKUP(M2471,'Excursion Cause'!$A$1:$B$34,2,FALSE)</f>
        <v>Collection system structural failure</v>
      </c>
      <c r="O2471" s="29">
        <v>45011.0</v>
      </c>
      <c r="P2471" s="30">
        <v>0.38819444444444445</v>
      </c>
      <c r="Q2471" s="29">
        <v>45011.0</v>
      </c>
      <c r="R2471" s="30">
        <v>0.3888888888888889</v>
      </c>
      <c r="S2471" s="28">
        <v>0.0</v>
      </c>
      <c r="T2471" s="23" t="s">
        <v>3745</v>
      </c>
      <c r="U2471" s="6"/>
      <c r="V2471" s="6"/>
      <c r="W2471" s="35">
        <v>29.7077522</v>
      </c>
      <c r="X2471" s="35">
        <v>-95.4166391999999</v>
      </c>
      <c r="AA2471" s="33"/>
      <c r="AB2471" s="33"/>
      <c r="AC2471" s="33"/>
      <c r="AD2471" s="33"/>
      <c r="AE2471" s="33"/>
      <c r="AF2471" s="33"/>
      <c r="AG2471" s="33"/>
      <c r="AH2471" s="33"/>
      <c r="AI2471" s="33"/>
      <c r="AJ2471" s="33"/>
      <c r="AK2471" s="33"/>
      <c r="AL2471" s="33"/>
      <c r="AM2471" s="33"/>
      <c r="AN2471" s="33"/>
      <c r="AO2471" s="33"/>
    </row>
    <row r="2472" ht="15.75" customHeight="1">
      <c r="A2472" s="23">
        <v>51793.0</v>
      </c>
      <c r="B2472" s="23">
        <v>2023.0</v>
      </c>
      <c r="C2472" s="6" t="str">
        <f t="shared" si="7"/>
        <v>4914 PEDERSON ST,Houston,TX</v>
      </c>
      <c r="D2472" s="23" t="s">
        <v>3815</v>
      </c>
      <c r="E2472" s="6" t="s">
        <v>25</v>
      </c>
      <c r="F2472" s="6" t="s">
        <v>1388</v>
      </c>
      <c r="G2472" s="31" t="s">
        <v>120</v>
      </c>
      <c r="H2472" s="23" t="s">
        <v>50</v>
      </c>
      <c r="I2472" s="6" t="str">
        <f>VLOOKUP(H2472,'Flow Location'!$A$1:$B$21,2,FALSE)</f>
        <v>Contained On Site, not within 5 ft. of Bayou/Surface Water/Drainage Ditch</v>
      </c>
      <c r="J2472" s="28">
        <v>151.0</v>
      </c>
      <c r="K2472" s="23" t="s">
        <v>29</v>
      </c>
      <c r="L2472" s="6" t="str">
        <f>VLOOKUP(K2472,'Structure type'!$A$1:$B$15,2,FALSE)</f>
        <v>Manhole</v>
      </c>
      <c r="M2472" s="23" t="s">
        <v>30</v>
      </c>
      <c r="N2472" s="6" t="str">
        <f>VLOOKUP(M2472,'Excursion Cause'!$A$1:$B$34,2,FALSE)</f>
        <v>Grease Blockage</v>
      </c>
      <c r="O2472" s="29">
        <v>45012.0</v>
      </c>
      <c r="P2472" s="30">
        <v>0.3576388888888889</v>
      </c>
      <c r="Q2472" s="29">
        <v>45012.0</v>
      </c>
      <c r="R2472" s="30">
        <v>0.4625</v>
      </c>
      <c r="S2472" s="28">
        <v>1.0</v>
      </c>
      <c r="T2472" s="23" t="s">
        <v>3749</v>
      </c>
      <c r="U2472" s="6"/>
      <c r="V2472" s="6"/>
      <c r="W2472" s="35">
        <v>29.6533452999999</v>
      </c>
      <c r="X2472" s="35">
        <v>-95.3499094</v>
      </c>
      <c r="AA2472" s="33"/>
      <c r="AB2472" s="33"/>
      <c r="AC2472" s="33"/>
      <c r="AD2472" s="33"/>
      <c r="AE2472" s="33"/>
      <c r="AF2472" s="33"/>
      <c r="AG2472" s="33"/>
      <c r="AH2472" s="33"/>
      <c r="AI2472" s="33"/>
      <c r="AJ2472" s="33"/>
      <c r="AK2472" s="33"/>
      <c r="AL2472" s="33"/>
      <c r="AM2472" s="33"/>
      <c r="AN2472" s="33"/>
      <c r="AO2472" s="33"/>
    </row>
    <row r="2473" ht="15.75" customHeight="1">
      <c r="A2473" s="23">
        <v>51794.0</v>
      </c>
      <c r="B2473" s="23">
        <v>2023.0</v>
      </c>
      <c r="C2473" s="6" t="str">
        <f t="shared" si="7"/>
        <v>3630 AIRPORT BLVD,Houston,TX</v>
      </c>
      <c r="D2473" s="23" t="s">
        <v>916</v>
      </c>
      <c r="E2473" s="6" t="s">
        <v>25</v>
      </c>
      <c r="F2473" s="6" t="s">
        <v>1388</v>
      </c>
      <c r="G2473" s="31" t="s">
        <v>105</v>
      </c>
      <c r="H2473" s="23" t="s">
        <v>28</v>
      </c>
      <c r="I2473" s="6" t="str">
        <f>VLOOKUP(H2473,'Flow Location'!$A$1:$B$21,2,FALSE)</f>
        <v>Storm Sewer (not contained)</v>
      </c>
      <c r="J2473" s="28">
        <v>3063.0</v>
      </c>
      <c r="K2473" s="23" t="s">
        <v>29</v>
      </c>
      <c r="L2473" s="6" t="str">
        <f>VLOOKUP(K2473,'Structure type'!$A$1:$B$15,2,FALSE)</f>
        <v>Manhole</v>
      </c>
      <c r="M2473" s="23" t="s">
        <v>30</v>
      </c>
      <c r="N2473" s="6" t="str">
        <f>VLOOKUP(M2473,'Excursion Cause'!$A$1:$B$34,2,FALSE)</f>
        <v>Grease Blockage</v>
      </c>
      <c r="O2473" s="29">
        <v>45012.0</v>
      </c>
      <c r="P2473" s="30">
        <v>0.3798611111111111</v>
      </c>
      <c r="Q2473" s="29">
        <v>45014.0</v>
      </c>
      <c r="R2473" s="30">
        <v>0.5069444444444444</v>
      </c>
      <c r="S2473" s="28">
        <v>1.0</v>
      </c>
      <c r="T2473" s="23" t="s">
        <v>1462</v>
      </c>
      <c r="U2473" s="6"/>
      <c r="V2473" s="6"/>
      <c r="W2473" s="35">
        <v>29.64464</v>
      </c>
      <c r="X2473" s="35">
        <v>-95.368623</v>
      </c>
      <c r="AA2473" s="33"/>
      <c r="AB2473" s="33"/>
      <c r="AC2473" s="33"/>
      <c r="AD2473" s="33"/>
      <c r="AE2473" s="33"/>
      <c r="AF2473" s="33"/>
      <c r="AG2473" s="33"/>
      <c r="AH2473" s="33"/>
      <c r="AI2473" s="33"/>
      <c r="AJ2473" s="33"/>
      <c r="AK2473" s="33"/>
      <c r="AL2473" s="33"/>
      <c r="AM2473" s="33"/>
      <c r="AN2473" s="33"/>
      <c r="AO2473" s="33"/>
    </row>
    <row r="2474" ht="15.75" customHeight="1">
      <c r="A2474" s="23">
        <v>51797.0</v>
      </c>
      <c r="B2474" s="23">
        <v>2023.0</v>
      </c>
      <c r="C2474" s="6" t="str">
        <f t="shared" si="7"/>
        <v>5402 DEEP FOREST DR,Houston,TX</v>
      </c>
      <c r="D2474" s="23" t="s">
        <v>3816</v>
      </c>
      <c r="E2474" s="6" t="s">
        <v>25</v>
      </c>
      <c r="F2474" s="6" t="s">
        <v>1388</v>
      </c>
      <c r="G2474" s="31" t="s">
        <v>76</v>
      </c>
      <c r="H2474" s="23" t="s">
        <v>28</v>
      </c>
      <c r="I2474" s="6" t="str">
        <f>VLOOKUP(H2474,'Flow Location'!$A$1:$B$21,2,FALSE)</f>
        <v>Storm Sewer (not contained)</v>
      </c>
      <c r="J2474" s="28">
        <v>66.0</v>
      </c>
      <c r="K2474" s="23" t="s">
        <v>29</v>
      </c>
      <c r="L2474" s="6" t="str">
        <f>VLOOKUP(K2474,'Structure type'!$A$1:$B$15,2,FALSE)</f>
        <v>Manhole</v>
      </c>
      <c r="M2474" s="23" t="s">
        <v>30</v>
      </c>
      <c r="N2474" s="6" t="str">
        <f>VLOOKUP(M2474,'Excursion Cause'!$A$1:$B$34,2,FALSE)</f>
        <v>Grease Blockage</v>
      </c>
      <c r="O2474" s="29">
        <v>45012.0</v>
      </c>
      <c r="P2474" s="30">
        <v>0.45416666666666666</v>
      </c>
      <c r="Q2474" s="29">
        <v>45012.0</v>
      </c>
      <c r="R2474" s="30">
        <v>0.5</v>
      </c>
      <c r="S2474" s="28">
        <v>1.0</v>
      </c>
      <c r="T2474" s="23" t="s">
        <v>1462</v>
      </c>
      <c r="U2474" s="6"/>
      <c r="V2474" s="6"/>
      <c r="W2474" s="35">
        <v>29.843101</v>
      </c>
      <c r="X2474" s="35">
        <v>-95.474465</v>
      </c>
      <c r="AA2474" s="33"/>
      <c r="AB2474" s="33"/>
      <c r="AC2474" s="33"/>
      <c r="AD2474" s="33"/>
      <c r="AE2474" s="33"/>
      <c r="AF2474" s="33"/>
      <c r="AG2474" s="33"/>
      <c r="AH2474" s="33"/>
      <c r="AI2474" s="33"/>
      <c r="AJ2474" s="33"/>
      <c r="AK2474" s="33"/>
      <c r="AL2474" s="33"/>
      <c r="AM2474" s="33"/>
      <c r="AN2474" s="33"/>
      <c r="AO2474" s="33"/>
    </row>
    <row r="2475" ht="15.75" customHeight="1">
      <c r="A2475" s="23">
        <v>51800.0</v>
      </c>
      <c r="B2475" s="23">
        <v>2023.0</v>
      </c>
      <c r="C2475" s="6" t="str">
        <f t="shared" si="7"/>
        <v>6053 WORTHAM WAY,Houston,TX</v>
      </c>
      <c r="D2475" s="23" t="s">
        <v>3817</v>
      </c>
      <c r="E2475" s="6" t="s">
        <v>25</v>
      </c>
      <c r="F2475" s="6" t="s">
        <v>1388</v>
      </c>
      <c r="G2475" s="31" t="s">
        <v>120</v>
      </c>
      <c r="H2475" s="23" t="s">
        <v>50</v>
      </c>
      <c r="I2475" s="6" t="str">
        <f>VLOOKUP(H2475,'Flow Location'!$A$1:$B$21,2,FALSE)</f>
        <v>Contained On Site, not within 5 ft. of Bayou/Surface Water/Drainage Ditch</v>
      </c>
      <c r="J2475" s="28">
        <v>17.0</v>
      </c>
      <c r="K2475" s="23" t="s">
        <v>51</v>
      </c>
      <c r="L2475" s="6" t="str">
        <f>VLOOKUP(K2475,'Structure type'!$A$1:$B$15,2,FALSE)</f>
        <v>Private Cleanout</v>
      </c>
      <c r="M2475" s="23" t="s">
        <v>30</v>
      </c>
      <c r="N2475" s="6" t="str">
        <f>VLOOKUP(M2475,'Excursion Cause'!$A$1:$B$34,2,FALSE)</f>
        <v>Grease Blockage</v>
      </c>
      <c r="O2475" s="29">
        <v>45012.0</v>
      </c>
      <c r="P2475" s="30">
        <v>0.4465277777777778</v>
      </c>
      <c r="Q2475" s="29">
        <v>45012.0</v>
      </c>
      <c r="R2475" s="30">
        <v>0.4583333333333333</v>
      </c>
      <c r="S2475" s="28">
        <v>1.0</v>
      </c>
      <c r="T2475" s="23" t="s">
        <v>1462</v>
      </c>
      <c r="U2475" s="6"/>
      <c r="V2475" s="6"/>
      <c r="W2475" s="35">
        <v>29.6715736</v>
      </c>
      <c r="X2475" s="35">
        <v>-95.3255616</v>
      </c>
      <c r="AA2475" s="33"/>
      <c r="AB2475" s="33"/>
      <c r="AC2475" s="33"/>
      <c r="AD2475" s="33"/>
      <c r="AE2475" s="33"/>
      <c r="AF2475" s="33"/>
      <c r="AG2475" s="33"/>
      <c r="AH2475" s="33"/>
      <c r="AI2475" s="33"/>
      <c r="AJ2475" s="33"/>
      <c r="AK2475" s="33"/>
      <c r="AL2475" s="33"/>
      <c r="AM2475" s="33"/>
      <c r="AN2475" s="33"/>
      <c r="AO2475" s="33"/>
    </row>
    <row r="2476" ht="15.75" customHeight="1">
      <c r="A2476" s="23">
        <v>51808.0</v>
      </c>
      <c r="B2476" s="23">
        <v>2023.0</v>
      </c>
      <c r="C2476" s="6" t="str">
        <f t="shared" si="7"/>
        <v>5222 TARAWA RD,Houston,TX</v>
      </c>
      <c r="D2476" s="23" t="s">
        <v>3818</v>
      </c>
      <c r="E2476" s="6" t="s">
        <v>25</v>
      </c>
      <c r="F2476" s="6" t="s">
        <v>1388</v>
      </c>
      <c r="G2476" s="31" t="s">
        <v>120</v>
      </c>
      <c r="H2476" s="23" t="s">
        <v>50</v>
      </c>
      <c r="I2476" s="6" t="str">
        <f>VLOOKUP(H2476,'Flow Location'!$A$1:$B$21,2,FALSE)</f>
        <v>Contained On Site, not within 5 ft. of Bayou/Surface Water/Drainage Ditch</v>
      </c>
      <c r="J2476" s="28">
        <v>0.0</v>
      </c>
      <c r="K2476" s="23" t="s">
        <v>29</v>
      </c>
      <c r="L2476" s="6" t="str">
        <f>VLOOKUP(K2476,'Structure type'!$A$1:$B$15,2,FALSE)</f>
        <v>Manhole</v>
      </c>
      <c r="M2476" s="23" t="s">
        <v>96</v>
      </c>
      <c r="N2476" s="6" t="str">
        <f>VLOOKUP(M2476,'Excursion Cause'!$A$1:$B$34,2,FALSE)</f>
        <v>Collection system temporary blockage</v>
      </c>
      <c r="O2476" s="29">
        <v>45012.0</v>
      </c>
      <c r="P2476" s="30">
        <v>0.7069444444444445</v>
      </c>
      <c r="Q2476" s="29">
        <v>45012.0</v>
      </c>
      <c r="R2476" s="30">
        <v>0.7076388888888889</v>
      </c>
      <c r="S2476" s="28">
        <v>0.0</v>
      </c>
      <c r="T2476" s="23" t="s">
        <v>3745</v>
      </c>
      <c r="U2476" s="6"/>
      <c r="V2476" s="6"/>
      <c r="W2476" s="35">
        <v>29.680055</v>
      </c>
      <c r="X2476" s="35">
        <v>-95.3393354</v>
      </c>
      <c r="AA2476" s="33"/>
      <c r="AB2476" s="33"/>
      <c r="AC2476" s="33"/>
      <c r="AD2476" s="33"/>
      <c r="AE2476" s="33"/>
      <c r="AF2476" s="33"/>
      <c r="AG2476" s="33"/>
      <c r="AH2476" s="33"/>
      <c r="AI2476" s="33"/>
      <c r="AJ2476" s="33"/>
      <c r="AK2476" s="33"/>
      <c r="AL2476" s="33"/>
      <c r="AM2476" s="33"/>
      <c r="AN2476" s="33"/>
      <c r="AO2476" s="33"/>
    </row>
    <row r="2477" ht="15.75" customHeight="1">
      <c r="A2477" s="23">
        <v>51819.0</v>
      </c>
      <c r="B2477" s="23">
        <v>2023.0</v>
      </c>
      <c r="C2477" s="6" t="str">
        <f t="shared" si="7"/>
        <v>4910 ALLENDALE RD,Houston,TX</v>
      </c>
      <c r="D2477" s="23" t="s">
        <v>1034</v>
      </c>
      <c r="E2477" s="6" t="s">
        <v>25</v>
      </c>
      <c r="F2477" s="6" t="s">
        <v>1388</v>
      </c>
      <c r="G2477" s="31" t="s">
        <v>135</v>
      </c>
      <c r="H2477" s="23" t="s">
        <v>28</v>
      </c>
      <c r="I2477" s="6" t="str">
        <f>VLOOKUP(H2477,'Flow Location'!$A$1:$B$21,2,FALSE)</f>
        <v>Storm Sewer (not contained)</v>
      </c>
      <c r="J2477" s="28">
        <v>0.0</v>
      </c>
      <c r="K2477" s="23" t="s">
        <v>29</v>
      </c>
      <c r="L2477" s="6" t="str">
        <f>VLOOKUP(K2477,'Structure type'!$A$1:$B$15,2,FALSE)</f>
        <v>Manhole</v>
      </c>
      <c r="M2477" s="23" t="s">
        <v>30</v>
      </c>
      <c r="N2477" s="6" t="str">
        <f>VLOOKUP(M2477,'Excursion Cause'!$A$1:$B$34,2,FALSE)</f>
        <v>Grease Blockage</v>
      </c>
      <c r="O2477" s="29">
        <v>45013.0</v>
      </c>
      <c r="P2477" s="30">
        <v>0.5208333333333334</v>
      </c>
      <c r="Q2477" s="29">
        <v>45013.0</v>
      </c>
      <c r="R2477" s="30">
        <v>0.5215277777777778</v>
      </c>
      <c r="S2477" s="28">
        <v>0.0</v>
      </c>
      <c r="T2477" s="23" t="s">
        <v>3749</v>
      </c>
      <c r="U2477" s="6"/>
      <c r="V2477" s="6"/>
      <c r="W2477" s="35">
        <v>29.6805485</v>
      </c>
      <c r="X2477" s="35">
        <v>-95.248531</v>
      </c>
      <c r="AA2477" s="33"/>
      <c r="AB2477" s="33"/>
      <c r="AC2477" s="33"/>
      <c r="AD2477" s="33"/>
      <c r="AE2477" s="33"/>
      <c r="AF2477" s="33"/>
      <c r="AG2477" s="33"/>
      <c r="AH2477" s="33"/>
      <c r="AI2477" s="33"/>
      <c r="AJ2477" s="33"/>
      <c r="AK2477" s="33"/>
      <c r="AL2477" s="33"/>
      <c r="AM2477" s="33"/>
      <c r="AN2477" s="33"/>
      <c r="AO2477" s="33"/>
    </row>
    <row r="2478" ht="15.75" customHeight="1">
      <c r="A2478" s="23">
        <v>51820.0</v>
      </c>
      <c r="B2478" s="23">
        <v>2023.0</v>
      </c>
      <c r="C2478" s="6" t="str">
        <f t="shared" si="7"/>
        <v>5367 ANTOINE DR,Houston,TX</v>
      </c>
      <c r="D2478" s="23" t="s">
        <v>3819</v>
      </c>
      <c r="E2478" s="6" t="s">
        <v>25</v>
      </c>
      <c r="F2478" s="6" t="s">
        <v>1388</v>
      </c>
      <c r="G2478" s="31" t="s">
        <v>222</v>
      </c>
      <c r="H2478" s="23" t="s">
        <v>28</v>
      </c>
      <c r="I2478" s="6" t="str">
        <f>VLOOKUP(H2478,'Flow Location'!$A$1:$B$21,2,FALSE)</f>
        <v>Storm Sewer (not contained)</v>
      </c>
      <c r="J2478" s="28">
        <v>1541.0</v>
      </c>
      <c r="K2478" s="23" t="s">
        <v>1127</v>
      </c>
      <c r="L2478" s="6" t="str">
        <f>VLOOKUP(K2478,'Structure type'!$A$1:$B$15,2,FALSE)</f>
        <v>Private Sample Well</v>
      </c>
      <c r="M2478" s="23" t="s">
        <v>30</v>
      </c>
      <c r="N2478" s="6" t="str">
        <f>VLOOKUP(M2478,'Excursion Cause'!$A$1:$B$34,2,FALSE)</f>
        <v>Grease Blockage</v>
      </c>
      <c r="O2478" s="29">
        <v>45013.0</v>
      </c>
      <c r="P2478" s="30">
        <v>0.49930555555555556</v>
      </c>
      <c r="Q2478" s="29">
        <v>45014.0</v>
      </c>
      <c r="R2478" s="30">
        <v>0.5694444444444444</v>
      </c>
      <c r="S2478" s="28">
        <v>1.0</v>
      </c>
      <c r="T2478" s="23" t="s">
        <v>1473</v>
      </c>
      <c r="U2478" s="6"/>
      <c r="V2478" s="6"/>
      <c r="W2478" s="35">
        <v>29.8425199</v>
      </c>
      <c r="X2478" s="35">
        <v>-95.4745863</v>
      </c>
      <c r="AA2478" s="33"/>
      <c r="AB2478" s="33"/>
      <c r="AC2478" s="33"/>
      <c r="AD2478" s="33"/>
      <c r="AE2478" s="33"/>
      <c r="AF2478" s="33"/>
      <c r="AG2478" s="33"/>
      <c r="AH2478" s="33"/>
      <c r="AI2478" s="33"/>
      <c r="AJ2478" s="33"/>
      <c r="AK2478" s="33"/>
      <c r="AL2478" s="33"/>
      <c r="AM2478" s="33"/>
      <c r="AN2478" s="33"/>
      <c r="AO2478" s="33"/>
    </row>
    <row r="2479" ht="15.75" customHeight="1">
      <c r="A2479" s="23">
        <v>51821.0</v>
      </c>
      <c r="B2479" s="23">
        <v>2023.0</v>
      </c>
      <c r="C2479" s="6" t="str">
        <f t="shared" si="7"/>
        <v>5654 HOMESTEAD RD,Houston,TX</v>
      </c>
      <c r="D2479" s="23" t="s">
        <v>3820</v>
      </c>
      <c r="E2479" s="6" t="s">
        <v>25</v>
      </c>
      <c r="F2479" s="6" t="s">
        <v>1388</v>
      </c>
      <c r="G2479" s="31" t="s">
        <v>177</v>
      </c>
      <c r="H2479" s="23" t="s">
        <v>1977</v>
      </c>
      <c r="I2479" s="6" t="str">
        <f>VLOOKUP(H2479,'Flow Location'!$A$1:$B$21,2,FALSE)</f>
        <v>Bayou/surface water/drainage ditch</v>
      </c>
      <c r="J2479" s="28">
        <v>0.0</v>
      </c>
      <c r="K2479" s="23" t="s">
        <v>29</v>
      </c>
      <c r="L2479" s="6" t="str">
        <f>VLOOKUP(K2479,'Structure type'!$A$1:$B$15,2,FALSE)</f>
        <v>Manhole</v>
      </c>
      <c r="M2479" s="23" t="s">
        <v>30</v>
      </c>
      <c r="N2479" s="6" t="str">
        <f>VLOOKUP(M2479,'Excursion Cause'!$A$1:$B$34,2,FALSE)</f>
        <v>Grease Blockage</v>
      </c>
      <c r="O2479" s="29">
        <v>45013.0</v>
      </c>
      <c r="P2479" s="30">
        <v>0.5277777777777778</v>
      </c>
      <c r="Q2479" s="29">
        <v>45016.0</v>
      </c>
      <c r="R2479" s="30">
        <v>0.375</v>
      </c>
      <c r="S2479" s="28">
        <v>0.0</v>
      </c>
      <c r="T2479" s="23" t="s">
        <v>1462</v>
      </c>
      <c r="U2479" s="6"/>
      <c r="V2479" s="6"/>
      <c r="W2479" s="35">
        <v>29.8110961</v>
      </c>
      <c r="X2479" s="35">
        <v>-95.3006879</v>
      </c>
      <c r="AA2479" s="33"/>
      <c r="AB2479" s="33"/>
      <c r="AC2479" s="33"/>
      <c r="AD2479" s="33"/>
      <c r="AE2479" s="33"/>
      <c r="AF2479" s="33"/>
      <c r="AG2479" s="33"/>
      <c r="AH2479" s="33"/>
      <c r="AI2479" s="33"/>
      <c r="AJ2479" s="33"/>
      <c r="AK2479" s="33"/>
      <c r="AL2479" s="33"/>
      <c r="AM2479" s="33"/>
      <c r="AN2479" s="33"/>
      <c r="AO2479" s="33"/>
    </row>
    <row r="2480" ht="15.75" customHeight="1">
      <c r="A2480" s="23">
        <v>51824.0</v>
      </c>
      <c r="B2480" s="23">
        <v>2023.0</v>
      </c>
      <c r="C2480" s="6" t="str">
        <f t="shared" si="7"/>
        <v>920 VICTORY DR,Houston,TX</v>
      </c>
      <c r="D2480" s="23" t="s">
        <v>3821</v>
      </c>
      <c r="E2480" s="6" t="s">
        <v>25</v>
      </c>
      <c r="F2480" s="6" t="s">
        <v>1388</v>
      </c>
      <c r="G2480" s="31" t="s">
        <v>502</v>
      </c>
      <c r="H2480" s="23" t="s">
        <v>50</v>
      </c>
      <c r="I2480" s="6" t="str">
        <f>VLOOKUP(H2480,'Flow Location'!$A$1:$B$21,2,FALSE)</f>
        <v>Contained On Site, not within 5 ft. of Bayou/Surface Water/Drainage Ditch</v>
      </c>
      <c r="J2480" s="28">
        <v>1140.0</v>
      </c>
      <c r="K2480" s="23" t="s">
        <v>29</v>
      </c>
      <c r="L2480" s="6" t="str">
        <f>VLOOKUP(K2480,'Structure type'!$A$1:$B$15,2,FALSE)</f>
        <v>Manhole</v>
      </c>
      <c r="M2480" s="23" t="s">
        <v>56</v>
      </c>
      <c r="N2480" s="6" t="str">
        <f>VLOOKUP(M2480,'Excursion Cause'!$A$1:$B$34,2,FALSE)</f>
        <v>Rags/Wipes</v>
      </c>
      <c r="O2480" s="29">
        <v>45013.0</v>
      </c>
      <c r="P2480" s="30">
        <v>0.5833333333333334</v>
      </c>
      <c r="Q2480" s="29">
        <v>45014.0</v>
      </c>
      <c r="R2480" s="30">
        <v>0.375</v>
      </c>
      <c r="S2480" s="28">
        <v>1.0</v>
      </c>
      <c r="T2480" s="23" t="s">
        <v>1462</v>
      </c>
      <c r="U2480" s="6"/>
      <c r="V2480" s="6"/>
      <c r="W2480" s="35">
        <v>29.8712998</v>
      </c>
      <c r="X2480" s="35">
        <v>-95.4234738</v>
      </c>
      <c r="AA2480" s="33"/>
      <c r="AB2480" s="33"/>
      <c r="AC2480" s="33"/>
      <c r="AD2480" s="33"/>
      <c r="AE2480" s="33"/>
      <c r="AF2480" s="33"/>
      <c r="AG2480" s="33"/>
      <c r="AH2480" s="33"/>
      <c r="AI2480" s="33"/>
      <c r="AJ2480" s="33"/>
      <c r="AK2480" s="33"/>
      <c r="AL2480" s="33"/>
      <c r="AM2480" s="33"/>
      <c r="AN2480" s="33"/>
      <c r="AO2480" s="33"/>
    </row>
    <row r="2481" ht="15.75" customHeight="1">
      <c r="A2481" s="23">
        <v>51825.0</v>
      </c>
      <c r="B2481" s="23">
        <v>2023.0</v>
      </c>
      <c r="C2481" s="6" t="str">
        <f t="shared" si="7"/>
        <v>342 OXFORD ST,Houston,TX</v>
      </c>
      <c r="D2481" s="23" t="s">
        <v>3822</v>
      </c>
      <c r="E2481" s="6" t="s">
        <v>25</v>
      </c>
      <c r="F2481" s="6" t="s">
        <v>1388</v>
      </c>
      <c r="G2481" s="31" t="s">
        <v>158</v>
      </c>
      <c r="H2481" s="23" t="s">
        <v>28</v>
      </c>
      <c r="I2481" s="6" t="str">
        <f>VLOOKUP(H2481,'Flow Location'!$A$1:$B$21,2,FALSE)</f>
        <v>Storm Sewer (not contained)</v>
      </c>
      <c r="J2481" s="28">
        <v>1467.0</v>
      </c>
      <c r="K2481" s="23" t="s">
        <v>29</v>
      </c>
      <c r="L2481" s="6" t="str">
        <f>VLOOKUP(K2481,'Structure type'!$A$1:$B$15,2,FALSE)</f>
        <v>Manhole</v>
      </c>
      <c r="M2481" s="23" t="s">
        <v>30</v>
      </c>
      <c r="N2481" s="6" t="str">
        <f>VLOOKUP(M2481,'Excursion Cause'!$A$1:$B$34,2,FALSE)</f>
        <v>Grease Blockage</v>
      </c>
      <c r="O2481" s="29">
        <v>45013.0</v>
      </c>
      <c r="P2481" s="30">
        <v>0.6611111111111111</v>
      </c>
      <c r="Q2481" s="29">
        <v>45014.0</v>
      </c>
      <c r="R2481" s="30">
        <v>0.6798611111111111</v>
      </c>
      <c r="S2481" s="28">
        <v>1.0</v>
      </c>
      <c r="T2481" s="23" t="s">
        <v>3749</v>
      </c>
      <c r="U2481" s="6"/>
      <c r="V2481" s="6"/>
      <c r="W2481" s="35">
        <v>29.7773226</v>
      </c>
      <c r="X2481" s="35">
        <v>-95.3915643</v>
      </c>
      <c r="AA2481" s="33"/>
      <c r="AB2481" s="33"/>
      <c r="AC2481" s="33"/>
      <c r="AD2481" s="33"/>
      <c r="AE2481" s="33"/>
      <c r="AF2481" s="33"/>
      <c r="AG2481" s="33"/>
      <c r="AH2481" s="33"/>
      <c r="AI2481" s="33"/>
      <c r="AJ2481" s="33"/>
      <c r="AK2481" s="33"/>
      <c r="AL2481" s="33"/>
      <c r="AM2481" s="33"/>
      <c r="AN2481" s="33"/>
      <c r="AO2481" s="33"/>
    </row>
    <row r="2482" ht="15.75" customHeight="1">
      <c r="A2482" s="23">
        <v>51827.0</v>
      </c>
      <c r="B2482" s="23">
        <v>2023.0</v>
      </c>
      <c r="C2482" s="6" t="str">
        <f t="shared" si="7"/>
        <v>2408 STAPLES ST,Houston,TX</v>
      </c>
      <c r="D2482" s="23" t="s">
        <v>3823</v>
      </c>
      <c r="E2482" s="6" t="s">
        <v>25</v>
      </c>
      <c r="F2482" s="6" t="s">
        <v>1388</v>
      </c>
      <c r="G2482" s="31" t="s">
        <v>43</v>
      </c>
      <c r="H2482" s="23" t="s">
        <v>28</v>
      </c>
      <c r="I2482" s="6" t="str">
        <f>VLOOKUP(H2482,'Flow Location'!$A$1:$B$21,2,FALSE)</f>
        <v>Storm Sewer (not contained)</v>
      </c>
      <c r="J2482" s="28">
        <v>2038.0</v>
      </c>
      <c r="K2482" s="23" t="s">
        <v>45</v>
      </c>
      <c r="L2482" s="6" t="str">
        <f>VLOOKUP(K2482,'Structure type'!$A$1:$B$15,2,FALSE)</f>
        <v>City Cleanout</v>
      </c>
      <c r="M2482" s="23" t="s">
        <v>52</v>
      </c>
      <c r="N2482" s="6" t="str">
        <f>VLOOKUP(M2482,'Excursion Cause'!$A$1:$B$34,2,FALSE)</f>
        <v>Collection system structural blockage</v>
      </c>
      <c r="O2482" s="29">
        <v>45013.0</v>
      </c>
      <c r="P2482" s="30">
        <v>0.6888888888888889</v>
      </c>
      <c r="Q2482" s="29">
        <v>45014.0</v>
      </c>
      <c r="R2482" s="30">
        <v>0.3958333333333333</v>
      </c>
      <c r="S2482" s="28">
        <v>2.0</v>
      </c>
      <c r="T2482" s="23" t="s">
        <v>3743</v>
      </c>
      <c r="U2482" s="6"/>
      <c r="V2482" s="6"/>
      <c r="W2482" s="35">
        <v>29.784163</v>
      </c>
      <c r="X2482" s="35">
        <v>-95.3348015999999</v>
      </c>
      <c r="AA2482" s="33"/>
      <c r="AB2482" s="33"/>
      <c r="AC2482" s="33"/>
      <c r="AD2482" s="33"/>
      <c r="AE2482" s="33"/>
      <c r="AF2482" s="33"/>
      <c r="AG2482" s="33"/>
      <c r="AH2482" s="33"/>
      <c r="AI2482" s="33"/>
      <c r="AJ2482" s="33"/>
      <c r="AK2482" s="33"/>
      <c r="AL2482" s="33"/>
      <c r="AM2482" s="33"/>
      <c r="AN2482" s="33"/>
      <c r="AO2482" s="33"/>
    </row>
    <row r="2483" ht="15.75" customHeight="1">
      <c r="A2483" s="23">
        <v>51829.0</v>
      </c>
      <c r="B2483" s="23">
        <v>2023.0</v>
      </c>
      <c r="C2483" s="6" t="str">
        <f t="shared" si="7"/>
        <v>10603 SCOTT ST,Houston,TX</v>
      </c>
      <c r="D2483" s="23" t="s">
        <v>3824</v>
      </c>
      <c r="E2483" s="6" t="s">
        <v>25</v>
      </c>
      <c r="F2483" s="6" t="s">
        <v>1388</v>
      </c>
      <c r="G2483" s="31" t="s">
        <v>105</v>
      </c>
      <c r="H2483" s="23" t="s">
        <v>50</v>
      </c>
      <c r="I2483" s="6" t="str">
        <f>VLOOKUP(H2483,'Flow Location'!$A$1:$B$21,2,FALSE)</f>
        <v>Contained On Site, not within 5 ft. of Bayou/Surface Water/Drainage Ditch</v>
      </c>
      <c r="J2483" s="28">
        <v>0.0</v>
      </c>
      <c r="K2483" s="23" t="s">
        <v>29</v>
      </c>
      <c r="L2483" s="6" t="str">
        <f>VLOOKUP(K2483,'Structure type'!$A$1:$B$15,2,FALSE)</f>
        <v>Manhole</v>
      </c>
      <c r="M2483" s="23" t="s">
        <v>30</v>
      </c>
      <c r="N2483" s="6" t="str">
        <f>VLOOKUP(M2483,'Excursion Cause'!$A$1:$B$34,2,FALSE)</f>
        <v>Grease Blockage</v>
      </c>
      <c r="O2483" s="29">
        <v>45014.0</v>
      </c>
      <c r="P2483" s="30">
        <v>0.33958333333333335</v>
      </c>
      <c r="Q2483" s="29">
        <v>45014.0</v>
      </c>
      <c r="R2483" s="30">
        <v>0.3402777777777778</v>
      </c>
      <c r="S2483" s="28">
        <v>0.0</v>
      </c>
      <c r="T2483" s="23" t="s">
        <v>3749</v>
      </c>
      <c r="U2483" s="6"/>
      <c r="V2483" s="6"/>
      <c r="W2483" s="35">
        <v>29.6448758</v>
      </c>
      <c r="X2483" s="35">
        <v>-95.3679708999999</v>
      </c>
      <c r="AA2483" s="33"/>
      <c r="AB2483" s="33"/>
      <c r="AC2483" s="33"/>
      <c r="AD2483" s="33"/>
      <c r="AE2483" s="33"/>
      <c r="AF2483" s="33"/>
      <c r="AG2483" s="33"/>
      <c r="AH2483" s="33"/>
      <c r="AI2483" s="33"/>
      <c r="AJ2483" s="33"/>
      <c r="AK2483" s="33"/>
      <c r="AL2483" s="33"/>
      <c r="AM2483" s="33"/>
      <c r="AN2483" s="33"/>
      <c r="AO2483" s="33"/>
    </row>
    <row r="2484" ht="15.75" customHeight="1">
      <c r="A2484" s="23">
        <v>51831.0</v>
      </c>
      <c r="B2484" s="23">
        <v>2023.0</v>
      </c>
      <c r="C2484" s="6" t="str">
        <f t="shared" si="7"/>
        <v>4530 KINGSBURY ST,Houston,TX</v>
      </c>
      <c r="D2484" s="23" t="s">
        <v>2366</v>
      </c>
      <c r="E2484" s="6" t="s">
        <v>25</v>
      </c>
      <c r="F2484" s="6" t="s">
        <v>1388</v>
      </c>
      <c r="G2484" s="31" t="s">
        <v>238</v>
      </c>
      <c r="H2484" s="23" t="s">
        <v>50</v>
      </c>
      <c r="I2484" s="6" t="str">
        <f>VLOOKUP(H2484,'Flow Location'!$A$1:$B$21,2,FALSE)</f>
        <v>Contained On Site, not within 5 ft. of Bayou/Surface Water/Drainage Ditch</v>
      </c>
      <c r="J2484" s="28">
        <v>294.0</v>
      </c>
      <c r="K2484" s="23" t="s">
        <v>29</v>
      </c>
      <c r="L2484" s="6" t="str">
        <f>VLOOKUP(K2484,'Structure type'!$A$1:$B$15,2,FALSE)</f>
        <v>Manhole</v>
      </c>
      <c r="M2484" s="23" t="s">
        <v>96</v>
      </c>
      <c r="N2484" s="6" t="str">
        <f>VLOOKUP(M2484,'Excursion Cause'!$A$1:$B$34,2,FALSE)</f>
        <v>Collection system temporary blockage</v>
      </c>
      <c r="O2484" s="29">
        <v>45014.0</v>
      </c>
      <c r="P2484" s="30">
        <v>0.3770833333333333</v>
      </c>
      <c r="Q2484" s="29">
        <v>45014.0</v>
      </c>
      <c r="R2484" s="30">
        <v>0.4791666666666667</v>
      </c>
      <c r="S2484" s="28">
        <v>2.0</v>
      </c>
      <c r="T2484" s="23" t="s">
        <v>3749</v>
      </c>
      <c r="U2484" s="6"/>
      <c r="V2484" s="6"/>
      <c r="W2484" s="35">
        <v>29.6973896</v>
      </c>
      <c r="X2484" s="35">
        <v>-95.3472853999999</v>
      </c>
      <c r="AA2484" s="33"/>
      <c r="AB2484" s="33"/>
      <c r="AC2484" s="33"/>
      <c r="AD2484" s="33"/>
      <c r="AE2484" s="33"/>
      <c r="AF2484" s="33"/>
      <c r="AG2484" s="33"/>
      <c r="AH2484" s="33"/>
      <c r="AI2484" s="33"/>
      <c r="AJ2484" s="33"/>
      <c r="AK2484" s="33"/>
      <c r="AL2484" s="33"/>
      <c r="AM2484" s="33"/>
      <c r="AN2484" s="33"/>
      <c r="AO2484" s="33"/>
    </row>
    <row r="2485" ht="15.75" customHeight="1">
      <c r="A2485" s="23">
        <v>51833.0</v>
      </c>
      <c r="B2485" s="23">
        <v>2023.0</v>
      </c>
      <c r="C2485" s="6" t="str">
        <f t="shared" si="7"/>
        <v>6116 SOUTHWEST FWY,Houston,TX</v>
      </c>
      <c r="D2485" s="23" t="s">
        <v>3825</v>
      </c>
      <c r="E2485" s="6" t="s">
        <v>25</v>
      </c>
      <c r="F2485" s="6" t="s">
        <v>1388</v>
      </c>
      <c r="G2485" s="31" t="s">
        <v>689</v>
      </c>
      <c r="H2485" s="23" t="s">
        <v>50</v>
      </c>
      <c r="I2485" s="6" t="str">
        <f>VLOOKUP(H2485,'Flow Location'!$A$1:$B$21,2,FALSE)</f>
        <v>Contained On Site, not within 5 ft. of Bayou/Surface Water/Drainage Ditch</v>
      </c>
      <c r="J2485" s="28">
        <v>345.0</v>
      </c>
      <c r="K2485" s="23" t="s">
        <v>29</v>
      </c>
      <c r="L2485" s="6" t="str">
        <f>VLOOKUP(K2485,'Structure type'!$A$1:$B$15,2,FALSE)</f>
        <v>Manhole</v>
      </c>
      <c r="M2485" s="23" t="s">
        <v>56</v>
      </c>
      <c r="N2485" s="6" t="str">
        <f>VLOOKUP(M2485,'Excursion Cause'!$A$1:$B$34,2,FALSE)</f>
        <v>Rags/Wipes</v>
      </c>
      <c r="O2485" s="29">
        <v>45014.0</v>
      </c>
      <c r="P2485" s="30">
        <v>0.3972222222222222</v>
      </c>
      <c r="Q2485" s="29">
        <v>45014.0</v>
      </c>
      <c r="R2485" s="30">
        <v>0.6368055555555555</v>
      </c>
      <c r="S2485" s="28">
        <v>1.0</v>
      </c>
      <c r="T2485" s="23" t="s">
        <v>1462</v>
      </c>
      <c r="U2485" s="6"/>
      <c r="V2485" s="6"/>
      <c r="W2485" s="35">
        <v>29.7257533</v>
      </c>
      <c r="X2485" s="35">
        <v>-95.4901319</v>
      </c>
      <c r="AA2485" s="33"/>
      <c r="AB2485" s="33"/>
      <c r="AC2485" s="33"/>
      <c r="AD2485" s="33"/>
      <c r="AE2485" s="33"/>
      <c r="AF2485" s="33"/>
      <c r="AG2485" s="33"/>
      <c r="AH2485" s="33"/>
      <c r="AI2485" s="33"/>
      <c r="AJ2485" s="33"/>
      <c r="AK2485" s="33"/>
      <c r="AL2485" s="33"/>
      <c r="AM2485" s="33"/>
      <c r="AN2485" s="33"/>
      <c r="AO2485" s="33"/>
    </row>
    <row r="2486" ht="15.75" customHeight="1">
      <c r="A2486" s="23">
        <v>51837.0</v>
      </c>
      <c r="B2486" s="23">
        <v>2023.0</v>
      </c>
      <c r="C2486" s="6" t="str">
        <f t="shared" si="7"/>
        <v>2600 WESTRIDGE ST,Houston,TX</v>
      </c>
      <c r="D2486" s="23" t="s">
        <v>3826</v>
      </c>
      <c r="E2486" s="6" t="s">
        <v>25</v>
      </c>
      <c r="F2486" s="6" t="s">
        <v>1388</v>
      </c>
      <c r="G2486" s="31" t="s">
        <v>426</v>
      </c>
      <c r="H2486" s="23" t="s">
        <v>50</v>
      </c>
      <c r="I2486" s="6" t="str">
        <f>VLOOKUP(H2486,'Flow Location'!$A$1:$B$21,2,FALSE)</f>
        <v>Contained On Site, not within 5 ft. of Bayou/Surface Water/Drainage Ditch</v>
      </c>
      <c r="J2486" s="28">
        <v>174.0</v>
      </c>
      <c r="K2486" s="23" t="s">
        <v>51</v>
      </c>
      <c r="L2486" s="6" t="str">
        <f>VLOOKUP(K2486,'Structure type'!$A$1:$B$15,2,FALSE)</f>
        <v>Private Cleanout</v>
      </c>
      <c r="M2486" s="23" t="s">
        <v>30</v>
      </c>
      <c r="N2486" s="6" t="str">
        <f>VLOOKUP(M2486,'Excursion Cause'!$A$1:$B$34,2,FALSE)</f>
        <v>Grease Blockage</v>
      </c>
      <c r="O2486" s="29">
        <v>45014.0</v>
      </c>
      <c r="P2486" s="30">
        <v>0.525</v>
      </c>
      <c r="Q2486" s="29">
        <v>45014.0</v>
      </c>
      <c r="R2486" s="30">
        <v>0.6458333333333334</v>
      </c>
      <c r="S2486" s="28">
        <v>1.0</v>
      </c>
      <c r="T2486" s="23" t="s">
        <v>1462</v>
      </c>
      <c r="U2486" s="6"/>
      <c r="V2486" s="6"/>
      <c r="W2486" s="35">
        <v>29.6828479</v>
      </c>
      <c r="X2486" s="35">
        <v>-95.4171507</v>
      </c>
      <c r="AA2486" s="33"/>
      <c r="AB2486" s="33"/>
      <c r="AC2486" s="33"/>
      <c r="AD2486" s="33"/>
      <c r="AE2486" s="33"/>
      <c r="AF2486" s="33"/>
      <c r="AG2486" s="33"/>
      <c r="AH2486" s="33"/>
      <c r="AI2486" s="33"/>
      <c r="AJ2486" s="33"/>
      <c r="AK2486" s="33"/>
      <c r="AL2486" s="33"/>
      <c r="AM2486" s="33"/>
      <c r="AN2486" s="33"/>
      <c r="AO2486" s="33"/>
    </row>
    <row r="2487" ht="15.75" customHeight="1">
      <c r="A2487" s="23">
        <v>51845.0</v>
      </c>
      <c r="B2487" s="23">
        <v>2023.0</v>
      </c>
      <c r="C2487" s="6" t="str">
        <f t="shared" si="7"/>
        <v>2101 BRIARGLEN DR,Houston,TX</v>
      </c>
      <c r="D2487" s="23" t="s">
        <v>3827</v>
      </c>
      <c r="E2487" s="6" t="s">
        <v>25</v>
      </c>
      <c r="F2487" s="6" t="s">
        <v>1388</v>
      </c>
      <c r="G2487" s="31" t="s">
        <v>1621</v>
      </c>
      <c r="H2487" s="23" t="s">
        <v>28</v>
      </c>
      <c r="I2487" s="6" t="str">
        <f>VLOOKUP(H2487,'Flow Location'!$A$1:$B$21,2,FALSE)</f>
        <v>Storm Sewer (not contained)</v>
      </c>
      <c r="J2487" s="28">
        <v>195.0</v>
      </c>
      <c r="K2487" s="23" t="s">
        <v>29</v>
      </c>
      <c r="L2487" s="6" t="str">
        <f>VLOOKUP(K2487,'Structure type'!$A$1:$B$15,2,FALSE)</f>
        <v>Manhole</v>
      </c>
      <c r="M2487" s="23" t="s">
        <v>30</v>
      </c>
      <c r="N2487" s="6" t="str">
        <f>VLOOKUP(M2487,'Excursion Cause'!$A$1:$B$34,2,FALSE)</f>
        <v>Grease Blockage</v>
      </c>
      <c r="O2487" s="29">
        <v>45015.0</v>
      </c>
      <c r="P2487" s="30">
        <v>0.37569444444444444</v>
      </c>
      <c r="Q2487" s="29">
        <v>45015.0</v>
      </c>
      <c r="R2487" s="30">
        <v>0.5118055555555555</v>
      </c>
      <c r="S2487" s="28">
        <v>1.0</v>
      </c>
      <c r="T2487" s="23" t="s">
        <v>1462</v>
      </c>
      <c r="U2487" s="6"/>
      <c r="V2487" s="6"/>
      <c r="W2487" s="35">
        <v>29.745704</v>
      </c>
      <c r="X2487" s="35">
        <v>-95.4504056999999</v>
      </c>
      <c r="AA2487" s="33"/>
      <c r="AB2487" s="33"/>
      <c r="AC2487" s="33"/>
      <c r="AD2487" s="33"/>
      <c r="AE2487" s="33"/>
      <c r="AF2487" s="33"/>
      <c r="AG2487" s="33"/>
      <c r="AH2487" s="33"/>
      <c r="AI2487" s="33"/>
      <c r="AJ2487" s="33"/>
      <c r="AK2487" s="33"/>
      <c r="AL2487" s="33"/>
      <c r="AM2487" s="33"/>
      <c r="AN2487" s="33"/>
      <c r="AO2487" s="33"/>
    </row>
    <row r="2488" ht="15.75" customHeight="1">
      <c r="A2488" s="23">
        <v>51847.0</v>
      </c>
      <c r="B2488" s="23">
        <v>2023.0</v>
      </c>
      <c r="C2488" s="6" t="str">
        <f t="shared" si="7"/>
        <v>6737 LOZIER ST,Houston,TX</v>
      </c>
      <c r="D2488" s="23" t="s">
        <v>3828</v>
      </c>
      <c r="E2488" s="6" t="s">
        <v>25</v>
      </c>
      <c r="F2488" s="6" t="s">
        <v>1388</v>
      </c>
      <c r="G2488" s="31" t="s">
        <v>238</v>
      </c>
      <c r="H2488" s="23" t="s">
        <v>50</v>
      </c>
      <c r="I2488" s="6" t="str">
        <f>VLOOKUP(H2488,'Flow Location'!$A$1:$B$21,2,FALSE)</f>
        <v>Contained On Site, not within 5 ft. of Bayou/Surface Water/Drainage Ditch</v>
      </c>
      <c r="J2488" s="28">
        <v>0.0</v>
      </c>
      <c r="K2488" s="23" t="s">
        <v>45</v>
      </c>
      <c r="L2488" s="6" t="str">
        <f>VLOOKUP(K2488,'Structure type'!$A$1:$B$15,2,FALSE)</f>
        <v>City Cleanout</v>
      </c>
      <c r="M2488" s="23" t="s">
        <v>56</v>
      </c>
      <c r="N2488" s="6" t="str">
        <f>VLOOKUP(M2488,'Excursion Cause'!$A$1:$B$34,2,FALSE)</f>
        <v>Rags/Wipes</v>
      </c>
      <c r="O2488" s="29">
        <v>45014.0</v>
      </c>
      <c r="P2488" s="30">
        <v>0.4027777777777778</v>
      </c>
      <c r="Q2488" s="29">
        <v>45014.0</v>
      </c>
      <c r="R2488" s="30">
        <v>0.40347222222222223</v>
      </c>
      <c r="S2488" s="28">
        <v>0.0</v>
      </c>
      <c r="T2488" s="23" t="s">
        <v>1473</v>
      </c>
      <c r="U2488" s="6"/>
      <c r="V2488" s="6"/>
      <c r="W2488" s="35">
        <v>29.6977169</v>
      </c>
      <c r="X2488" s="35">
        <v>-95.3693584</v>
      </c>
      <c r="AA2488" s="33"/>
      <c r="AB2488" s="33"/>
      <c r="AC2488" s="33"/>
      <c r="AD2488" s="33"/>
      <c r="AE2488" s="33"/>
      <c r="AF2488" s="33"/>
      <c r="AG2488" s="33"/>
      <c r="AH2488" s="33"/>
      <c r="AI2488" s="33"/>
      <c r="AJ2488" s="33"/>
      <c r="AK2488" s="33"/>
      <c r="AL2488" s="33"/>
      <c r="AM2488" s="33"/>
      <c r="AN2488" s="33"/>
      <c r="AO2488" s="33"/>
    </row>
    <row r="2489" ht="15.75" customHeight="1">
      <c r="A2489" s="23">
        <v>51849.0</v>
      </c>
      <c r="B2489" s="23">
        <v>2023.0</v>
      </c>
      <c r="C2489" s="6" t="str">
        <f t="shared" si="7"/>
        <v>9006 BEECHNUT ST,Houston,TX</v>
      </c>
      <c r="D2489" s="23" t="s">
        <v>3829</v>
      </c>
      <c r="E2489" s="6" t="s">
        <v>25</v>
      </c>
      <c r="F2489" s="6" t="s">
        <v>1388</v>
      </c>
      <c r="G2489" s="31" t="s">
        <v>100</v>
      </c>
      <c r="H2489" s="23" t="s">
        <v>44</v>
      </c>
      <c r="I2489" s="6" t="str">
        <f>VLOOKUP(H2489,'Flow Location'!$A$1:$B$21,2,FALSE)</f>
        <v>Bayou/surface water/drainage ditch</v>
      </c>
      <c r="J2489" s="28">
        <v>0.0</v>
      </c>
      <c r="K2489" s="23" t="s">
        <v>29</v>
      </c>
      <c r="L2489" s="6" t="str">
        <f>VLOOKUP(K2489,'Structure type'!$A$1:$B$15,2,FALSE)</f>
        <v>Manhole</v>
      </c>
      <c r="M2489" s="23" t="s">
        <v>96</v>
      </c>
      <c r="N2489" s="6" t="str">
        <f>VLOOKUP(M2489,'Excursion Cause'!$A$1:$B$34,2,FALSE)</f>
        <v>Collection system temporary blockage</v>
      </c>
      <c r="O2489" s="29">
        <v>45015.0</v>
      </c>
      <c r="P2489" s="30">
        <v>0.4826388888888889</v>
      </c>
      <c r="Q2489" s="29">
        <v>45015.0</v>
      </c>
      <c r="R2489" s="30">
        <v>0.48333333333333334</v>
      </c>
      <c r="S2489" s="28">
        <v>0.0</v>
      </c>
      <c r="T2489" s="23" t="s">
        <v>118</v>
      </c>
      <c r="U2489" s="6"/>
      <c r="V2489" s="6"/>
      <c r="W2489" s="35">
        <v>29.6910204</v>
      </c>
      <c r="X2489" s="35">
        <v>-95.5424587</v>
      </c>
      <c r="AA2489" s="33"/>
      <c r="AB2489" s="33"/>
      <c r="AC2489" s="33"/>
      <c r="AD2489" s="33"/>
      <c r="AE2489" s="33"/>
      <c r="AF2489" s="33"/>
      <c r="AG2489" s="33"/>
      <c r="AH2489" s="33"/>
      <c r="AI2489" s="33"/>
      <c r="AJ2489" s="33"/>
      <c r="AK2489" s="33"/>
      <c r="AL2489" s="33"/>
      <c r="AM2489" s="33"/>
      <c r="AN2489" s="33"/>
      <c r="AO2489" s="33"/>
    </row>
    <row r="2490" ht="15.75" customHeight="1">
      <c r="A2490" s="23">
        <v>51852.0</v>
      </c>
      <c r="B2490" s="23">
        <v>2023.0</v>
      </c>
      <c r="C2490" s="6" t="str">
        <f t="shared" si="7"/>
        <v>518 13TH ST,Houston,TX</v>
      </c>
      <c r="D2490" s="23" t="s">
        <v>3830</v>
      </c>
      <c r="E2490" s="6" t="s">
        <v>25</v>
      </c>
      <c r="F2490" s="6" t="s">
        <v>1388</v>
      </c>
      <c r="G2490" s="31" t="s">
        <v>232</v>
      </c>
      <c r="H2490" s="23" t="s">
        <v>50</v>
      </c>
      <c r="I2490" s="6" t="str">
        <f>VLOOKUP(H2490,'Flow Location'!$A$1:$B$21,2,FALSE)</f>
        <v>Contained On Site, not within 5 ft. of Bayou/Surface Water/Drainage Ditch</v>
      </c>
      <c r="J2490" s="28">
        <v>0.0</v>
      </c>
      <c r="K2490" s="23" t="s">
        <v>45</v>
      </c>
      <c r="L2490" s="6" t="str">
        <f>VLOOKUP(K2490,'Structure type'!$A$1:$B$15,2,FALSE)</f>
        <v>City Cleanout</v>
      </c>
      <c r="M2490" s="23" t="s">
        <v>52</v>
      </c>
      <c r="N2490" s="6" t="str">
        <f>VLOOKUP(M2490,'Excursion Cause'!$A$1:$B$34,2,FALSE)</f>
        <v>Collection system structural blockage</v>
      </c>
      <c r="O2490" s="29">
        <v>45015.0</v>
      </c>
      <c r="P2490" s="30">
        <v>0.5770833333333333</v>
      </c>
      <c r="Q2490" s="29">
        <v>45015.0</v>
      </c>
      <c r="R2490" s="30">
        <v>0.5777777777777777</v>
      </c>
      <c r="S2490" s="28">
        <v>0.0</v>
      </c>
      <c r="T2490" s="23" t="s">
        <v>2767</v>
      </c>
      <c r="U2490" s="6"/>
      <c r="V2490" s="6"/>
      <c r="W2490" s="35">
        <v>29.7941214</v>
      </c>
      <c r="X2490" s="35">
        <v>-95.4030516999999</v>
      </c>
      <c r="AA2490" s="33"/>
      <c r="AB2490" s="33"/>
      <c r="AC2490" s="33"/>
      <c r="AD2490" s="33"/>
      <c r="AE2490" s="33"/>
      <c r="AF2490" s="33"/>
      <c r="AG2490" s="33"/>
      <c r="AH2490" s="33"/>
      <c r="AI2490" s="33"/>
      <c r="AJ2490" s="33"/>
      <c r="AK2490" s="33"/>
      <c r="AL2490" s="33"/>
      <c r="AM2490" s="33"/>
      <c r="AN2490" s="33"/>
      <c r="AO2490" s="33"/>
    </row>
    <row r="2491" ht="15.75" customHeight="1">
      <c r="A2491" s="23">
        <v>51855.0</v>
      </c>
      <c r="B2491" s="23">
        <v>2023.0</v>
      </c>
      <c r="C2491" s="6" t="str">
        <f t="shared" si="7"/>
        <v>5923 WILLOW GLEN DR,Houston,TX</v>
      </c>
      <c r="D2491" s="23" t="s">
        <v>3831</v>
      </c>
      <c r="E2491" s="6" t="s">
        <v>25</v>
      </c>
      <c r="F2491" s="6" t="s">
        <v>1388</v>
      </c>
      <c r="G2491" s="31" t="s">
        <v>120</v>
      </c>
      <c r="H2491" s="23" t="s">
        <v>50</v>
      </c>
      <c r="I2491" s="6" t="str">
        <f>VLOOKUP(H2491,'Flow Location'!$A$1:$B$21,2,FALSE)</f>
        <v>Contained On Site, not within 5 ft. of Bayou/Surface Water/Drainage Ditch</v>
      </c>
      <c r="J2491" s="28">
        <v>0.0</v>
      </c>
      <c r="K2491" s="23" t="s">
        <v>45</v>
      </c>
      <c r="L2491" s="6" t="str">
        <f>VLOOKUP(K2491,'Structure type'!$A$1:$B$15,2,FALSE)</f>
        <v>City Cleanout</v>
      </c>
      <c r="M2491" s="23" t="s">
        <v>56</v>
      </c>
      <c r="N2491" s="6" t="str">
        <f>VLOOKUP(M2491,'Excursion Cause'!$A$1:$B$34,2,FALSE)</f>
        <v>Rags/Wipes</v>
      </c>
      <c r="O2491" s="29">
        <v>45015.0</v>
      </c>
      <c r="P2491" s="30">
        <v>0.7833333333333333</v>
      </c>
      <c r="Q2491" s="29">
        <v>45015.0</v>
      </c>
      <c r="R2491" s="30">
        <v>0.7840277777777778</v>
      </c>
      <c r="S2491" s="28">
        <v>0.0</v>
      </c>
      <c r="T2491" s="23" t="s">
        <v>3743</v>
      </c>
      <c r="U2491" s="6"/>
      <c r="V2491" s="6"/>
      <c r="W2491" s="35">
        <v>29.6698186</v>
      </c>
      <c r="X2491" s="35">
        <v>-95.3314257999999</v>
      </c>
      <c r="AA2491" s="33"/>
      <c r="AB2491" s="33"/>
      <c r="AC2491" s="33"/>
      <c r="AD2491" s="33"/>
      <c r="AE2491" s="33"/>
      <c r="AF2491" s="33"/>
      <c r="AG2491" s="33"/>
      <c r="AH2491" s="33"/>
      <c r="AI2491" s="33"/>
      <c r="AJ2491" s="33"/>
      <c r="AK2491" s="33"/>
      <c r="AL2491" s="33"/>
      <c r="AM2491" s="33"/>
      <c r="AN2491" s="33"/>
      <c r="AO2491" s="33"/>
    </row>
    <row r="2492" ht="15.75" customHeight="1">
      <c r="A2492" s="23">
        <v>51856.0</v>
      </c>
      <c r="B2492" s="23">
        <v>2023.0</v>
      </c>
      <c r="C2492" s="6" t="str">
        <f t="shared" si="7"/>
        <v>5600 RICHMOND AVE,Houston,TX</v>
      </c>
      <c r="D2492" s="23" t="s">
        <v>3832</v>
      </c>
      <c r="E2492" s="6" t="s">
        <v>25</v>
      </c>
      <c r="F2492" s="6" t="s">
        <v>1388</v>
      </c>
      <c r="G2492" s="31" t="s">
        <v>689</v>
      </c>
      <c r="H2492" s="23" t="s">
        <v>28</v>
      </c>
      <c r="I2492" s="6" t="str">
        <f>VLOOKUP(H2492,'Flow Location'!$A$1:$B$21,2,FALSE)</f>
        <v>Storm Sewer (not contained)</v>
      </c>
      <c r="J2492" s="28">
        <v>753.0</v>
      </c>
      <c r="K2492" s="23" t="s">
        <v>45</v>
      </c>
      <c r="L2492" s="6" t="str">
        <f>VLOOKUP(K2492,'Structure type'!$A$1:$B$15,2,FALSE)</f>
        <v>City Cleanout</v>
      </c>
      <c r="M2492" s="23" t="s">
        <v>81</v>
      </c>
      <c r="N2492" s="6" t="str">
        <f>VLOOKUP(M2492,'Excursion Cause'!$A$1:$B$34,2,FALSE)</f>
        <v>Collection system structural failure</v>
      </c>
      <c r="O2492" s="29">
        <v>45015.0</v>
      </c>
      <c r="P2492" s="30">
        <v>0.4166666666666667</v>
      </c>
      <c r="Q2492" s="29">
        <v>45015.0</v>
      </c>
      <c r="R2492" s="30">
        <v>0.9395833333333333</v>
      </c>
      <c r="S2492" s="28">
        <v>1.0</v>
      </c>
      <c r="T2492" s="23" t="s">
        <v>3756</v>
      </c>
      <c r="U2492" s="6"/>
      <c r="V2492" s="6"/>
      <c r="W2492" s="35">
        <v>29.7320086</v>
      </c>
      <c r="X2492" s="35">
        <v>-95.476839</v>
      </c>
      <c r="AA2492" s="33"/>
      <c r="AB2492" s="33"/>
      <c r="AC2492" s="33"/>
      <c r="AD2492" s="33"/>
      <c r="AE2492" s="33"/>
      <c r="AF2492" s="33"/>
      <c r="AG2492" s="33"/>
      <c r="AH2492" s="33"/>
      <c r="AI2492" s="33"/>
      <c r="AJ2492" s="33"/>
      <c r="AK2492" s="33"/>
      <c r="AL2492" s="33"/>
      <c r="AM2492" s="33"/>
      <c r="AN2492" s="33"/>
      <c r="AO2492" s="33"/>
    </row>
    <row r="2493" ht="15.75" customHeight="1">
      <c r="A2493" s="23">
        <v>51857.0</v>
      </c>
      <c r="B2493" s="23">
        <v>2023.0</v>
      </c>
      <c r="C2493" s="6" t="str">
        <f t="shared" si="7"/>
        <v>13735 BEAMER RD,Houston,TX</v>
      </c>
      <c r="D2493" s="23" t="s">
        <v>3833</v>
      </c>
      <c r="E2493" s="6" t="s">
        <v>25</v>
      </c>
      <c r="F2493" s="6" t="s">
        <v>1388</v>
      </c>
      <c r="G2493" s="31" t="s">
        <v>477</v>
      </c>
      <c r="H2493" s="23" t="s">
        <v>50</v>
      </c>
      <c r="I2493" s="6" t="str">
        <f>VLOOKUP(H2493,'Flow Location'!$A$1:$B$21,2,FALSE)</f>
        <v>Contained On Site, not within 5 ft. of Bayou/Surface Water/Drainage Ditch</v>
      </c>
      <c r="J2493" s="28">
        <v>0.0</v>
      </c>
      <c r="K2493" s="23" t="s">
        <v>29</v>
      </c>
      <c r="L2493" s="6" t="str">
        <f>VLOOKUP(K2493,'Structure type'!$A$1:$B$15,2,FALSE)</f>
        <v>Manhole</v>
      </c>
      <c r="M2493" s="23" t="s">
        <v>30</v>
      </c>
      <c r="N2493" s="6" t="str">
        <f>VLOOKUP(M2493,'Excursion Cause'!$A$1:$B$34,2,FALSE)</f>
        <v>Grease Blockage</v>
      </c>
      <c r="O2493" s="29">
        <v>45016.0</v>
      </c>
      <c r="P2493" s="30">
        <v>0.40625</v>
      </c>
      <c r="Q2493" s="29">
        <v>45016.0</v>
      </c>
      <c r="R2493" s="30">
        <v>0.40694444444444444</v>
      </c>
      <c r="S2493" s="28">
        <v>0.0</v>
      </c>
      <c r="T2493" s="23" t="s">
        <v>3749</v>
      </c>
      <c r="U2493" s="6"/>
      <c r="V2493" s="6"/>
      <c r="W2493" s="35">
        <v>29.5790343</v>
      </c>
      <c r="X2493" s="35">
        <v>-95.2044672</v>
      </c>
      <c r="AA2493" s="33"/>
      <c r="AB2493" s="33"/>
      <c r="AC2493" s="33"/>
      <c r="AD2493" s="33"/>
      <c r="AE2493" s="33"/>
      <c r="AF2493" s="33"/>
      <c r="AG2493" s="33"/>
      <c r="AH2493" s="33"/>
      <c r="AI2493" s="33"/>
      <c r="AJ2493" s="33"/>
      <c r="AK2493" s="33"/>
      <c r="AL2493" s="33"/>
      <c r="AM2493" s="33"/>
      <c r="AN2493" s="33"/>
      <c r="AO2493" s="33"/>
    </row>
    <row r="2494" ht="15.75" customHeight="1">
      <c r="A2494" s="23">
        <v>51858.0</v>
      </c>
      <c r="B2494" s="23">
        <v>2023.0</v>
      </c>
      <c r="C2494" s="6" t="str">
        <f t="shared" si="7"/>
        <v>32 DE BOLL ST,Houston,TX</v>
      </c>
      <c r="D2494" s="23" t="s">
        <v>3834</v>
      </c>
      <c r="E2494" s="6" t="s">
        <v>25</v>
      </c>
      <c r="F2494" s="6" t="s">
        <v>1388</v>
      </c>
      <c r="G2494" s="31" t="s">
        <v>653</v>
      </c>
      <c r="H2494" s="23" t="s">
        <v>28</v>
      </c>
      <c r="I2494" s="6" t="str">
        <f>VLOOKUP(H2494,'Flow Location'!$A$1:$B$21,2,FALSE)</f>
        <v>Storm Sewer (not contained)</v>
      </c>
      <c r="J2494" s="28">
        <v>0.0</v>
      </c>
      <c r="K2494" s="23" t="s">
        <v>198</v>
      </c>
      <c r="L2494" s="6" t="str">
        <f>VLOOKUP(K2494,'Structure type'!$A$1:$B$15,2,FALSE)</f>
        <v>Service Lateral</v>
      </c>
      <c r="M2494" s="23" t="s">
        <v>759</v>
      </c>
      <c r="N2494" s="6" t="str">
        <f>VLOOKUP(M2494,'Excursion Cause'!$A$1:$B$34,2,FALSE)</f>
        <v>Roots</v>
      </c>
      <c r="O2494" s="29">
        <v>45016.0</v>
      </c>
      <c r="P2494" s="30">
        <v>0.44722222222222224</v>
      </c>
      <c r="Q2494" s="29">
        <v>45016.0</v>
      </c>
      <c r="R2494" s="30">
        <v>0.4479166666666667</v>
      </c>
      <c r="S2494" s="28">
        <v>0.0</v>
      </c>
      <c r="T2494" s="23" t="s">
        <v>3835</v>
      </c>
      <c r="U2494" s="6"/>
      <c r="V2494" s="6"/>
      <c r="W2494" s="35">
        <v>29.842501</v>
      </c>
      <c r="X2494" s="35">
        <v>-95.3812976</v>
      </c>
      <c r="AA2494" s="33"/>
      <c r="AB2494" s="33"/>
      <c r="AC2494" s="33"/>
      <c r="AD2494" s="33"/>
      <c r="AE2494" s="33"/>
      <c r="AF2494" s="33"/>
      <c r="AG2494" s="33"/>
      <c r="AH2494" s="33"/>
      <c r="AI2494" s="33"/>
      <c r="AJ2494" s="33"/>
      <c r="AK2494" s="33"/>
      <c r="AL2494" s="33"/>
      <c r="AM2494" s="33"/>
      <c r="AN2494" s="33"/>
      <c r="AO2494" s="33"/>
    </row>
    <row r="2495" ht="15.75" customHeight="1">
      <c r="A2495" s="23">
        <v>51860.0</v>
      </c>
      <c r="B2495" s="23">
        <v>2023.0</v>
      </c>
      <c r="C2495" s="6" t="str">
        <f t="shared" si="7"/>
        <v>4930 CRUSE RD,Houston,TX</v>
      </c>
      <c r="D2495" s="23" t="s">
        <v>3836</v>
      </c>
      <c r="E2495" s="6" t="s">
        <v>25</v>
      </c>
      <c r="F2495" s="6" t="s">
        <v>1388</v>
      </c>
      <c r="G2495" s="31" t="s">
        <v>326</v>
      </c>
      <c r="H2495" s="23" t="s">
        <v>87</v>
      </c>
      <c r="I2495" s="6" t="str">
        <f>VLOOKUP(H2495,'Flow Location'!$A$1:$B$21,2,FALSE)</f>
        <v>Within 5 ft. of Bayou/Surface Water/Drainage Ditch</v>
      </c>
      <c r="J2495" s="28">
        <v>0.0</v>
      </c>
      <c r="K2495" s="23" t="s">
        <v>45</v>
      </c>
      <c r="L2495" s="6" t="str">
        <f>VLOOKUP(K2495,'Structure type'!$A$1:$B$15,2,FALSE)</f>
        <v>City Cleanout</v>
      </c>
      <c r="M2495" s="23" t="s">
        <v>30</v>
      </c>
      <c r="N2495" s="6" t="str">
        <f>VLOOKUP(M2495,'Excursion Cause'!$A$1:$B$34,2,FALSE)</f>
        <v>Grease Blockage</v>
      </c>
      <c r="O2495" s="29">
        <v>45016.0</v>
      </c>
      <c r="P2495" s="30">
        <v>0.5034722222222222</v>
      </c>
      <c r="Q2495" s="29">
        <v>45016.0</v>
      </c>
      <c r="R2495" s="30">
        <v>0.5041666666666667</v>
      </c>
      <c r="S2495" s="28">
        <v>0.0</v>
      </c>
      <c r="T2495" s="23" t="s">
        <v>118</v>
      </c>
      <c r="U2495" s="6"/>
      <c r="V2495" s="6"/>
      <c r="W2495" s="35">
        <v>29.8374733</v>
      </c>
      <c r="X2495" s="35">
        <v>-95.318113</v>
      </c>
      <c r="AA2495" s="33"/>
      <c r="AB2495" s="33"/>
      <c r="AC2495" s="33"/>
      <c r="AD2495" s="33"/>
      <c r="AE2495" s="33"/>
      <c r="AF2495" s="33"/>
      <c r="AG2495" s="33"/>
      <c r="AH2495" s="33"/>
      <c r="AI2495" s="33"/>
      <c r="AJ2495" s="33"/>
      <c r="AK2495" s="33"/>
      <c r="AL2495" s="33"/>
      <c r="AM2495" s="33"/>
      <c r="AN2495" s="33"/>
      <c r="AO2495" s="33"/>
    </row>
    <row r="2496" ht="15.75" customHeight="1">
      <c r="A2496" s="23">
        <v>51867.0</v>
      </c>
      <c r="B2496" s="23">
        <v>2023.0</v>
      </c>
      <c r="C2496" s="6" t="str">
        <f t="shared" si="7"/>
        <v>302 CROSSTIMBERS ST,Houston,TX</v>
      </c>
      <c r="D2496" s="23" t="s">
        <v>3837</v>
      </c>
      <c r="E2496" s="6" t="s">
        <v>25</v>
      </c>
      <c r="F2496" s="6" t="s">
        <v>1388</v>
      </c>
      <c r="G2496" s="31" t="s">
        <v>653</v>
      </c>
      <c r="H2496" s="23" t="s">
        <v>28</v>
      </c>
      <c r="I2496" s="6" t="str">
        <f>VLOOKUP(H2496,'Flow Location'!$A$1:$B$21,2,FALSE)</f>
        <v>Storm Sewer (not contained)</v>
      </c>
      <c r="J2496" s="28">
        <v>328.0</v>
      </c>
      <c r="K2496" s="23" t="s">
        <v>51</v>
      </c>
      <c r="L2496" s="6" t="str">
        <f>VLOOKUP(K2496,'Structure type'!$A$1:$B$15,2,FALSE)</f>
        <v>Private Cleanout</v>
      </c>
      <c r="M2496" s="23" t="s">
        <v>30</v>
      </c>
      <c r="N2496" s="6" t="str">
        <f>VLOOKUP(M2496,'Excursion Cause'!$A$1:$B$34,2,FALSE)</f>
        <v>Grease Blockage</v>
      </c>
      <c r="O2496" s="29">
        <v>45016.0</v>
      </c>
      <c r="P2496" s="30">
        <v>0.5840277777777778</v>
      </c>
      <c r="Q2496" s="29">
        <v>45016.0</v>
      </c>
      <c r="R2496" s="30">
        <v>0.6979166666666666</v>
      </c>
      <c r="S2496" s="28">
        <v>2.0</v>
      </c>
      <c r="T2496" s="23" t="s">
        <v>3749</v>
      </c>
      <c r="U2496" s="6"/>
      <c r="V2496" s="6"/>
      <c r="W2496" s="35">
        <v>29.8277561</v>
      </c>
      <c r="X2496" s="35">
        <v>-95.3965331</v>
      </c>
      <c r="AA2496" s="33"/>
      <c r="AB2496" s="33"/>
      <c r="AC2496" s="33"/>
      <c r="AD2496" s="33"/>
      <c r="AE2496" s="33"/>
      <c r="AF2496" s="33"/>
      <c r="AG2496" s="33"/>
      <c r="AH2496" s="33"/>
      <c r="AI2496" s="33"/>
      <c r="AJ2496" s="33"/>
      <c r="AK2496" s="33"/>
      <c r="AL2496" s="33"/>
      <c r="AM2496" s="33"/>
      <c r="AN2496" s="33"/>
      <c r="AO2496" s="33"/>
    </row>
    <row r="2497" ht="15.75" customHeight="1">
      <c r="A2497" s="23">
        <v>51869.0</v>
      </c>
      <c r="B2497" s="23">
        <v>2023.0</v>
      </c>
      <c r="C2497" s="6" t="str">
        <f t="shared" si="7"/>
        <v>7050 BENNINGTON ST,Houston,TX</v>
      </c>
      <c r="D2497" s="23" t="s">
        <v>3809</v>
      </c>
      <c r="E2497" s="6" t="s">
        <v>25</v>
      </c>
      <c r="F2497" s="6" t="s">
        <v>1388</v>
      </c>
      <c r="G2497" s="31" t="s">
        <v>177</v>
      </c>
      <c r="H2497" s="23" t="s">
        <v>28</v>
      </c>
      <c r="I2497" s="6" t="str">
        <f>VLOOKUP(H2497,'Flow Location'!$A$1:$B$21,2,FALSE)</f>
        <v>Storm Sewer (not contained)</v>
      </c>
      <c r="J2497" s="28">
        <v>376.0</v>
      </c>
      <c r="K2497" s="23" t="s">
        <v>29</v>
      </c>
      <c r="L2497" s="6" t="str">
        <f>VLOOKUP(K2497,'Structure type'!$A$1:$B$15,2,FALSE)</f>
        <v>Manhole</v>
      </c>
      <c r="M2497" s="23" t="s">
        <v>30</v>
      </c>
      <c r="N2497" s="6" t="str">
        <f>VLOOKUP(M2497,'Excursion Cause'!$A$1:$B$34,2,FALSE)</f>
        <v>Grease Blockage</v>
      </c>
      <c r="O2497" s="29">
        <v>45016.0</v>
      </c>
      <c r="P2497" s="30">
        <v>0.4166666666666667</v>
      </c>
      <c r="Q2497" s="29">
        <v>45016.0</v>
      </c>
      <c r="R2497" s="30">
        <v>0.5472222222222223</v>
      </c>
      <c r="S2497" s="28">
        <v>2.0</v>
      </c>
      <c r="T2497" s="23" t="s">
        <v>3749</v>
      </c>
      <c r="U2497" s="6"/>
      <c r="V2497" s="6"/>
      <c r="W2497" s="35">
        <v>29.8160243</v>
      </c>
      <c r="X2497" s="35">
        <v>-95.3038967</v>
      </c>
      <c r="AA2497" s="33"/>
      <c r="AB2497" s="33"/>
      <c r="AC2497" s="33"/>
      <c r="AD2497" s="33"/>
      <c r="AE2497" s="33"/>
      <c r="AF2497" s="33"/>
      <c r="AG2497" s="33"/>
      <c r="AH2497" s="33"/>
      <c r="AI2497" s="33"/>
      <c r="AJ2497" s="33"/>
      <c r="AK2497" s="33"/>
      <c r="AL2497" s="33"/>
      <c r="AM2497" s="33"/>
      <c r="AN2497" s="33"/>
      <c r="AO2497" s="33"/>
    </row>
    <row r="2498" ht="15.75" customHeight="1">
      <c r="A2498" s="23">
        <v>51879.0</v>
      </c>
      <c r="B2498" s="23">
        <v>2023.0</v>
      </c>
      <c r="C2498" s="6" t="str">
        <f t="shared" si="7"/>
        <v>5310 BELLFORT AVE,Houston,TX</v>
      </c>
      <c r="D2498" s="23" t="s">
        <v>3838</v>
      </c>
      <c r="E2498" s="6" t="s">
        <v>25</v>
      </c>
      <c r="F2498" s="6" t="s">
        <v>1388</v>
      </c>
      <c r="G2498" s="31" t="s">
        <v>120</v>
      </c>
      <c r="H2498" s="23" t="s">
        <v>28</v>
      </c>
      <c r="I2498" s="6" t="str">
        <f>VLOOKUP(H2498,'Flow Location'!$A$1:$B$21,2,FALSE)</f>
        <v>Storm Sewer (not contained)</v>
      </c>
      <c r="J2498" s="28">
        <v>360.0</v>
      </c>
      <c r="K2498" s="23" t="s">
        <v>29</v>
      </c>
      <c r="L2498" s="6" t="str">
        <f>VLOOKUP(K2498,'Structure type'!$A$1:$B$15,2,FALSE)</f>
        <v>Manhole</v>
      </c>
      <c r="M2498" s="23" t="s">
        <v>30</v>
      </c>
      <c r="N2498" s="6" t="str">
        <f>VLOOKUP(M2498,'Excursion Cause'!$A$1:$B$34,2,FALSE)</f>
        <v>Grease Blockage</v>
      </c>
      <c r="O2498" s="29">
        <v>45016.0</v>
      </c>
      <c r="P2498" s="30">
        <v>0.7430555555555556</v>
      </c>
      <c r="Q2498" s="29">
        <v>45016.0</v>
      </c>
      <c r="R2498" s="30">
        <v>0.8263888888888888</v>
      </c>
      <c r="S2498" s="28">
        <v>3.0</v>
      </c>
      <c r="T2498" s="23" t="s">
        <v>1462</v>
      </c>
      <c r="U2498" s="6"/>
      <c r="V2498" s="6"/>
      <c r="W2498" s="35">
        <v>29.665903</v>
      </c>
      <c r="X2498" s="35">
        <v>-95.3451686</v>
      </c>
      <c r="AA2498" s="33"/>
      <c r="AB2498" s="33"/>
      <c r="AC2498" s="33"/>
      <c r="AD2498" s="33"/>
      <c r="AE2498" s="33"/>
      <c r="AF2498" s="33"/>
      <c r="AG2498" s="33"/>
      <c r="AH2498" s="33"/>
      <c r="AI2498" s="33"/>
      <c r="AJ2498" s="33"/>
      <c r="AK2498" s="33"/>
      <c r="AL2498" s="33"/>
      <c r="AM2498" s="33"/>
      <c r="AN2498" s="33"/>
      <c r="AO2498" s="33"/>
    </row>
    <row r="2499" ht="15.75" customHeight="1">
      <c r="A2499" s="23">
        <v>51882.0</v>
      </c>
      <c r="B2499" s="23">
        <v>2023.0</v>
      </c>
      <c r="C2499" s="36" t="str">
        <f t="shared" si="7"/>
        <v>3210 DALLAS ST,Houston,TX</v>
      </c>
      <c r="D2499" s="23" t="s">
        <v>3839</v>
      </c>
      <c r="E2499" s="6" t="s">
        <v>25</v>
      </c>
      <c r="F2499" s="6" t="s">
        <v>1388</v>
      </c>
      <c r="G2499" s="31" t="s">
        <v>80</v>
      </c>
      <c r="H2499" s="23" t="s">
        <v>50</v>
      </c>
      <c r="I2499" s="37" t="str">
        <f>VLOOKUP(H2499,'Flow Location'!$A$1:$B$21,2,FALSE)</f>
        <v>Contained On Site, not within 5 ft. of Bayou/Surface Water/Drainage Ditch</v>
      </c>
      <c r="J2499" s="28">
        <v>0.0</v>
      </c>
      <c r="K2499" s="23" t="s">
        <v>51</v>
      </c>
      <c r="L2499" s="37" t="str">
        <f>VLOOKUP(K2499,'Structure type'!$A$1:$B$15,2,FALSE)</f>
        <v>Private Cleanout</v>
      </c>
      <c r="M2499" s="23" t="s">
        <v>81</v>
      </c>
      <c r="N2499" s="37" t="str">
        <f>VLOOKUP(M2499,'Excursion Cause'!$A$1:$B$34,2,FALSE)</f>
        <v>Collection system structural failure</v>
      </c>
      <c r="O2499" s="29">
        <v>45017.0</v>
      </c>
      <c r="P2499" s="30">
        <v>0.4708333333333333</v>
      </c>
      <c r="Q2499" s="29">
        <v>45017.0</v>
      </c>
      <c r="R2499" s="30">
        <v>0.47152777777777777</v>
      </c>
      <c r="S2499" s="28">
        <v>0.0</v>
      </c>
      <c r="T2499" s="23" t="s">
        <v>1391</v>
      </c>
      <c r="U2499" s="6"/>
      <c r="V2499" s="6"/>
      <c r="W2499" s="35">
        <v>29.7574772</v>
      </c>
      <c r="X2499" s="35">
        <v>-95.3999656</v>
      </c>
      <c r="AA2499" s="33"/>
      <c r="AB2499" s="33"/>
      <c r="AC2499" s="33"/>
      <c r="AD2499" s="33"/>
      <c r="AE2499" s="33"/>
      <c r="AF2499" s="33"/>
      <c r="AG2499" s="33"/>
      <c r="AH2499" s="33"/>
      <c r="AI2499" s="33"/>
      <c r="AJ2499" s="33"/>
      <c r="AK2499" s="33"/>
      <c r="AL2499" s="33"/>
      <c r="AM2499" s="33"/>
      <c r="AN2499" s="33"/>
      <c r="AO2499" s="33"/>
    </row>
    <row r="2500" ht="15.75" customHeight="1">
      <c r="A2500" s="23">
        <v>51883.0</v>
      </c>
      <c r="B2500" s="23">
        <v>2023.0</v>
      </c>
      <c r="C2500" s="36" t="str">
        <f t="shared" si="7"/>
        <v>3830 WIPPRECHT ST,Houston,TX</v>
      </c>
      <c r="D2500" s="23" t="s">
        <v>835</v>
      </c>
      <c r="E2500" s="6" t="s">
        <v>25</v>
      </c>
      <c r="F2500" s="6" t="s">
        <v>1388</v>
      </c>
      <c r="G2500" s="31" t="s">
        <v>43</v>
      </c>
      <c r="H2500" s="23" t="s">
        <v>44</v>
      </c>
      <c r="I2500" s="37" t="str">
        <f>VLOOKUP(H2500,'Flow Location'!$A$1:$B$21,2,FALSE)</f>
        <v>Bayou/surface water/drainage ditch</v>
      </c>
      <c r="J2500" s="28">
        <v>0.0</v>
      </c>
      <c r="K2500" s="23" t="s">
        <v>45</v>
      </c>
      <c r="L2500" s="37" t="str">
        <f>VLOOKUP(K2500,'Structure type'!$A$1:$B$15,2,FALSE)</f>
        <v>City Cleanout</v>
      </c>
      <c r="M2500" s="23" t="s">
        <v>30</v>
      </c>
      <c r="N2500" s="37" t="str">
        <f>VLOOKUP(M2500,'Excursion Cause'!$A$1:$B$34,2,FALSE)</f>
        <v>Grease Blockage</v>
      </c>
      <c r="O2500" s="29">
        <v>45017.0</v>
      </c>
      <c r="P2500" s="30">
        <v>0.5013888888888889</v>
      </c>
      <c r="Q2500" s="29">
        <v>45017.0</v>
      </c>
      <c r="R2500" s="30">
        <v>0.5020833333333333</v>
      </c>
      <c r="S2500" s="28">
        <v>0.0</v>
      </c>
      <c r="T2500" s="23" t="s">
        <v>1436</v>
      </c>
      <c r="U2500" s="6"/>
      <c r="V2500" s="6"/>
      <c r="W2500" s="35">
        <v>29.7952674</v>
      </c>
      <c r="X2500" s="35">
        <v>-95.3219156</v>
      </c>
      <c r="AA2500" s="33"/>
      <c r="AB2500" s="33"/>
      <c r="AC2500" s="33"/>
      <c r="AD2500" s="33"/>
      <c r="AE2500" s="33"/>
      <c r="AF2500" s="33"/>
      <c r="AG2500" s="33"/>
      <c r="AH2500" s="33"/>
      <c r="AI2500" s="33"/>
      <c r="AJ2500" s="33"/>
      <c r="AK2500" s="33"/>
      <c r="AL2500" s="33"/>
      <c r="AM2500" s="33"/>
      <c r="AN2500" s="33"/>
      <c r="AO2500" s="33"/>
    </row>
    <row r="2501" ht="15.75" customHeight="1">
      <c r="A2501" s="23">
        <v>51887.0</v>
      </c>
      <c r="B2501" s="23">
        <v>2023.0</v>
      </c>
      <c r="C2501" s="36" t="str">
        <f t="shared" si="7"/>
        <v>5919 ANNUNCIATION ST,Houston,TX</v>
      </c>
      <c r="D2501" s="23" t="s">
        <v>3840</v>
      </c>
      <c r="E2501" s="6" t="s">
        <v>25</v>
      </c>
      <c r="F2501" s="6" t="s">
        <v>1388</v>
      </c>
      <c r="G2501" s="31" t="s">
        <v>326</v>
      </c>
      <c r="H2501" s="23" t="s">
        <v>50</v>
      </c>
      <c r="I2501" s="37" t="str">
        <f>VLOOKUP(H2501,'Flow Location'!$A$1:$B$21,2,FALSE)</f>
        <v>Contained On Site, not within 5 ft. of Bayou/Surface Water/Drainage Ditch</v>
      </c>
      <c r="J2501" s="28">
        <v>0.0</v>
      </c>
      <c r="K2501" s="23" t="s">
        <v>198</v>
      </c>
      <c r="L2501" s="37" t="str">
        <f>VLOOKUP(K2501,'Structure type'!$A$1:$B$15,2,FALSE)</f>
        <v>Service Lateral</v>
      </c>
      <c r="M2501" s="23" t="s">
        <v>52</v>
      </c>
      <c r="N2501" s="37" t="str">
        <f>VLOOKUP(M2501,'Excursion Cause'!$A$1:$B$34,2,FALSE)</f>
        <v>Collection system structural blockage</v>
      </c>
      <c r="O2501" s="29">
        <v>45017.0</v>
      </c>
      <c r="P2501" s="30">
        <v>0.5854166666666667</v>
      </c>
      <c r="Q2501" s="29">
        <v>45017.0</v>
      </c>
      <c r="R2501" s="30">
        <v>0.5861111111111111</v>
      </c>
      <c r="S2501" s="28">
        <v>0.0</v>
      </c>
      <c r="T2501" s="23" t="s">
        <v>118</v>
      </c>
      <c r="U2501" s="6"/>
      <c r="V2501" s="6"/>
      <c r="W2501" s="35">
        <v>29.8845551</v>
      </c>
      <c r="X2501" s="35">
        <v>-95.3020279</v>
      </c>
      <c r="AA2501" s="33"/>
      <c r="AB2501" s="33"/>
      <c r="AC2501" s="33"/>
      <c r="AD2501" s="33"/>
      <c r="AE2501" s="33"/>
      <c r="AF2501" s="33"/>
      <c r="AG2501" s="33"/>
      <c r="AH2501" s="33"/>
      <c r="AI2501" s="33"/>
      <c r="AJ2501" s="33"/>
      <c r="AK2501" s="33"/>
      <c r="AL2501" s="33"/>
      <c r="AM2501" s="33"/>
      <c r="AN2501" s="33"/>
      <c r="AO2501" s="33"/>
    </row>
    <row r="2502" ht="15.75" customHeight="1">
      <c r="A2502" s="23">
        <v>51894.0</v>
      </c>
      <c r="B2502" s="23">
        <v>2023.0</v>
      </c>
      <c r="C2502" s="36" t="str">
        <f t="shared" si="7"/>
        <v>2410 SAM WILSON ST,Houston,TX</v>
      </c>
      <c r="D2502" s="23" t="s">
        <v>3841</v>
      </c>
      <c r="E2502" s="6" t="s">
        <v>25</v>
      </c>
      <c r="F2502" s="6" t="s">
        <v>1388</v>
      </c>
      <c r="G2502" s="31" t="s">
        <v>86</v>
      </c>
      <c r="H2502" s="23" t="s">
        <v>28</v>
      </c>
      <c r="I2502" s="37" t="str">
        <f>VLOOKUP(H2502,'Flow Location'!$A$1:$B$21,2,FALSE)</f>
        <v>Storm Sewer (not contained)</v>
      </c>
      <c r="J2502" s="28">
        <v>0.0</v>
      </c>
      <c r="K2502" s="23" t="s">
        <v>29</v>
      </c>
      <c r="L2502" s="37" t="str">
        <f>VLOOKUP(K2502,'Structure type'!$A$1:$B$15,2,FALSE)</f>
        <v>Manhole</v>
      </c>
      <c r="M2502" s="23" t="s">
        <v>30</v>
      </c>
      <c r="N2502" s="37" t="str">
        <f>VLOOKUP(M2502,'Excursion Cause'!$A$1:$B$34,2,FALSE)</f>
        <v>Grease Blockage</v>
      </c>
      <c r="O2502" s="29">
        <v>45018.0</v>
      </c>
      <c r="P2502" s="30">
        <v>0.45069444444444445</v>
      </c>
      <c r="Q2502" s="29">
        <v>45018.0</v>
      </c>
      <c r="R2502" s="30">
        <v>0.4513888888888889</v>
      </c>
      <c r="S2502" s="28">
        <v>0.0</v>
      </c>
      <c r="T2502" s="23" t="s">
        <v>1462</v>
      </c>
      <c r="U2502" s="6"/>
      <c r="V2502" s="6"/>
      <c r="W2502" s="35">
        <v>29.7838273</v>
      </c>
      <c r="X2502" s="35">
        <v>-95.3141425</v>
      </c>
      <c r="AA2502" s="33"/>
      <c r="AB2502" s="33"/>
      <c r="AC2502" s="33"/>
      <c r="AD2502" s="33"/>
      <c r="AE2502" s="33"/>
      <c r="AF2502" s="33"/>
      <c r="AG2502" s="33"/>
      <c r="AH2502" s="33"/>
      <c r="AI2502" s="33"/>
      <c r="AJ2502" s="33"/>
      <c r="AK2502" s="33"/>
      <c r="AL2502" s="33"/>
      <c r="AM2502" s="33"/>
      <c r="AN2502" s="33"/>
      <c r="AO2502" s="33"/>
    </row>
    <row r="2503" ht="15.75" customHeight="1">
      <c r="A2503" s="23">
        <v>51898.0</v>
      </c>
      <c r="B2503" s="23">
        <v>2023.0</v>
      </c>
      <c r="C2503" s="36" t="str">
        <f t="shared" si="7"/>
        <v>3425 EASTEX FWY,Houston,TX</v>
      </c>
      <c r="D2503" s="23" t="s">
        <v>2249</v>
      </c>
      <c r="E2503" s="6" t="s">
        <v>25</v>
      </c>
      <c r="F2503" s="6" t="s">
        <v>1388</v>
      </c>
      <c r="G2503" s="31" t="s">
        <v>43</v>
      </c>
      <c r="H2503" s="23" t="s">
        <v>50</v>
      </c>
      <c r="I2503" s="37" t="str">
        <f>VLOOKUP(H2503,'Flow Location'!$A$1:$B$21,2,FALSE)</f>
        <v>Contained On Site, not within 5 ft. of Bayou/Surface Water/Drainage Ditch</v>
      </c>
      <c r="J2503" s="28">
        <v>0.0</v>
      </c>
      <c r="K2503" s="23" t="s">
        <v>29</v>
      </c>
      <c r="L2503" s="37" t="str">
        <f>VLOOKUP(K2503,'Structure type'!$A$1:$B$15,2,FALSE)</f>
        <v>Manhole</v>
      </c>
      <c r="M2503" s="23" t="s">
        <v>30</v>
      </c>
      <c r="N2503" s="37" t="str">
        <f>VLOOKUP(M2503,'Excursion Cause'!$A$1:$B$34,2,FALSE)</f>
        <v>Grease Blockage</v>
      </c>
      <c r="O2503" s="29">
        <v>45018.0</v>
      </c>
      <c r="P2503" s="30">
        <v>0.4708333333333333</v>
      </c>
      <c r="Q2503" s="29">
        <v>45018.0</v>
      </c>
      <c r="R2503" s="30">
        <v>0.47152777777777777</v>
      </c>
      <c r="S2503" s="28">
        <v>0.0</v>
      </c>
      <c r="T2503" s="23" t="s">
        <v>3749</v>
      </c>
      <c r="U2503" s="6"/>
      <c r="V2503" s="6"/>
      <c r="W2503" s="35">
        <v>29.7935559</v>
      </c>
      <c r="X2503" s="35">
        <v>-95.3406243</v>
      </c>
      <c r="AA2503" s="33"/>
      <c r="AB2503" s="33"/>
      <c r="AC2503" s="33"/>
      <c r="AD2503" s="33"/>
      <c r="AE2503" s="33"/>
      <c r="AF2503" s="33"/>
      <c r="AG2503" s="33"/>
      <c r="AH2503" s="33"/>
      <c r="AI2503" s="33"/>
      <c r="AJ2503" s="33"/>
      <c r="AK2503" s="33"/>
      <c r="AL2503" s="33"/>
      <c r="AM2503" s="33"/>
      <c r="AN2503" s="33"/>
      <c r="AO2503" s="33"/>
    </row>
    <row r="2504" ht="15.75" customHeight="1">
      <c r="A2504" s="23">
        <v>51901.0</v>
      </c>
      <c r="B2504" s="23">
        <v>2023.0</v>
      </c>
      <c r="C2504" s="36" t="str">
        <f t="shared" si="7"/>
        <v>9234 GREEN RIVER DR,Houston,TX</v>
      </c>
      <c r="D2504" s="23" t="s">
        <v>3842</v>
      </c>
      <c r="E2504" s="6" t="s">
        <v>25</v>
      </c>
      <c r="F2504" s="6" t="s">
        <v>1388</v>
      </c>
      <c r="G2504" s="31" t="s">
        <v>387</v>
      </c>
      <c r="H2504" s="23" t="s">
        <v>144</v>
      </c>
      <c r="I2504" s="37" t="str">
        <f>VLOOKUP(H2504,'Flow Location'!$A$1:$B$21,2,FALSE)</f>
        <v>Storm Sewer - contained</v>
      </c>
      <c r="J2504" s="28">
        <v>0.0</v>
      </c>
      <c r="K2504" s="23" t="s">
        <v>45</v>
      </c>
      <c r="L2504" s="37" t="str">
        <f>VLOOKUP(K2504,'Structure type'!$A$1:$B$15,2,FALSE)</f>
        <v>City Cleanout</v>
      </c>
      <c r="M2504" s="23" t="s">
        <v>30</v>
      </c>
      <c r="N2504" s="37" t="str">
        <f>VLOOKUP(M2504,'Excursion Cause'!$A$1:$B$34,2,FALSE)</f>
        <v>Grease Blockage</v>
      </c>
      <c r="O2504" s="29">
        <v>45018.0</v>
      </c>
      <c r="P2504" s="30">
        <v>0.6194444444444445</v>
      </c>
      <c r="Q2504" s="29">
        <v>45018.0</v>
      </c>
      <c r="R2504" s="30">
        <v>0.6201388888888889</v>
      </c>
      <c r="S2504" s="28">
        <v>0.0</v>
      </c>
      <c r="T2504" s="23" t="s">
        <v>3743</v>
      </c>
      <c r="U2504" s="6"/>
      <c r="V2504" s="6"/>
      <c r="W2504" s="35">
        <v>29.8354397</v>
      </c>
      <c r="X2504" s="35">
        <v>-95.2516113</v>
      </c>
      <c r="AA2504" s="33"/>
      <c r="AB2504" s="33"/>
      <c r="AC2504" s="33"/>
      <c r="AD2504" s="33"/>
      <c r="AE2504" s="33"/>
      <c r="AF2504" s="33"/>
      <c r="AG2504" s="33"/>
      <c r="AH2504" s="33"/>
      <c r="AI2504" s="33"/>
      <c r="AJ2504" s="33"/>
      <c r="AK2504" s="33"/>
      <c r="AL2504" s="33"/>
      <c r="AM2504" s="33"/>
      <c r="AN2504" s="33"/>
      <c r="AO2504" s="33"/>
    </row>
    <row r="2505" ht="15.75" customHeight="1">
      <c r="A2505" s="23">
        <v>51903.0</v>
      </c>
      <c r="B2505" s="23">
        <v>2023.0</v>
      </c>
      <c r="C2505" s="36" t="str">
        <f t="shared" si="7"/>
        <v>4102 LEMAC DR,Houston,TX</v>
      </c>
      <c r="D2505" s="23" t="s">
        <v>2538</v>
      </c>
      <c r="E2505" s="6" t="s">
        <v>25</v>
      </c>
      <c r="F2505" s="6" t="s">
        <v>1388</v>
      </c>
      <c r="G2505" s="31" t="s">
        <v>65</v>
      </c>
      <c r="H2505" s="23" t="s">
        <v>28</v>
      </c>
      <c r="I2505" s="37" t="str">
        <f>VLOOKUP(H2505,'Flow Location'!$A$1:$B$21,2,FALSE)</f>
        <v>Storm Sewer (not contained)</v>
      </c>
      <c r="J2505" s="28">
        <v>86.0</v>
      </c>
      <c r="K2505" s="23" t="s">
        <v>45</v>
      </c>
      <c r="L2505" s="37" t="str">
        <f>VLOOKUP(K2505,'Structure type'!$A$1:$B$15,2,FALSE)</f>
        <v>City Cleanout</v>
      </c>
      <c r="M2505" s="23" t="s">
        <v>30</v>
      </c>
      <c r="N2505" s="37" t="str">
        <f>VLOOKUP(M2505,'Excursion Cause'!$A$1:$B$34,2,FALSE)</f>
        <v>Grease Blockage</v>
      </c>
      <c r="O2505" s="29">
        <v>45019.0</v>
      </c>
      <c r="P2505" s="30">
        <v>0.37430555555555556</v>
      </c>
      <c r="Q2505" s="29">
        <v>45019.0</v>
      </c>
      <c r="R2505" s="30">
        <v>0.4340277777777778</v>
      </c>
      <c r="S2505" s="28">
        <v>1.0</v>
      </c>
      <c r="T2505" s="23" t="s">
        <v>3756</v>
      </c>
      <c r="U2505" s="6"/>
      <c r="V2505" s="6"/>
      <c r="W2505" s="35">
        <v>29.6787418</v>
      </c>
      <c r="X2505" s="35">
        <v>-95.4430776999999</v>
      </c>
      <c r="AA2505" s="33"/>
      <c r="AB2505" s="33"/>
      <c r="AC2505" s="33"/>
      <c r="AD2505" s="33"/>
      <c r="AE2505" s="33"/>
      <c r="AF2505" s="33"/>
      <c r="AG2505" s="33"/>
      <c r="AH2505" s="33"/>
      <c r="AI2505" s="33"/>
      <c r="AJ2505" s="33"/>
      <c r="AK2505" s="33"/>
      <c r="AL2505" s="33"/>
      <c r="AM2505" s="33"/>
      <c r="AN2505" s="33"/>
      <c r="AO2505" s="33"/>
    </row>
    <row r="2506" ht="15.75" customHeight="1">
      <c r="A2506" s="23">
        <v>51909.0</v>
      </c>
      <c r="B2506" s="23">
        <v>2023.0</v>
      </c>
      <c r="C2506" s="36" t="str">
        <f t="shared" si="7"/>
        <v>10639 NORTON DR,Houston,TX</v>
      </c>
      <c r="D2506" s="23" t="s">
        <v>3843</v>
      </c>
      <c r="E2506" s="6" t="s">
        <v>25</v>
      </c>
      <c r="F2506" s="6" t="s">
        <v>1388</v>
      </c>
      <c r="G2506" s="31" t="s">
        <v>699</v>
      </c>
      <c r="H2506" s="23" t="s">
        <v>50</v>
      </c>
      <c r="I2506" s="37" t="str">
        <f>VLOOKUP(H2506,'Flow Location'!$A$1:$B$21,2,FALSE)</f>
        <v>Contained On Site, not within 5 ft. of Bayou/Surface Water/Drainage Ditch</v>
      </c>
      <c r="J2506" s="28">
        <v>366.0</v>
      </c>
      <c r="K2506" s="23" t="s">
        <v>29</v>
      </c>
      <c r="L2506" s="37" t="str">
        <f>VLOOKUP(K2506,'Structure type'!$A$1:$B$15,2,FALSE)</f>
        <v>Manhole</v>
      </c>
      <c r="M2506" s="23" t="s">
        <v>30</v>
      </c>
      <c r="N2506" s="37" t="str">
        <f>VLOOKUP(M2506,'Excursion Cause'!$A$1:$B$34,2,FALSE)</f>
        <v>Grease Blockage</v>
      </c>
      <c r="O2506" s="29">
        <v>45019.0</v>
      </c>
      <c r="P2506" s="30">
        <v>0.4423611111111111</v>
      </c>
      <c r="Q2506" s="29">
        <v>45019.0</v>
      </c>
      <c r="R2506" s="30">
        <v>0.5694444444444444</v>
      </c>
      <c r="S2506" s="28">
        <v>2.0</v>
      </c>
      <c r="T2506" s="23" t="s">
        <v>3749</v>
      </c>
      <c r="U2506" s="6"/>
      <c r="V2506" s="6"/>
      <c r="W2506" s="35">
        <v>29.8166543999999</v>
      </c>
      <c r="X2506" s="35">
        <v>-95.5608149999999</v>
      </c>
      <c r="AA2506" s="33"/>
      <c r="AB2506" s="33"/>
      <c r="AC2506" s="33"/>
      <c r="AD2506" s="33"/>
      <c r="AE2506" s="33"/>
      <c r="AF2506" s="33"/>
      <c r="AG2506" s="33"/>
      <c r="AH2506" s="33"/>
      <c r="AI2506" s="33"/>
      <c r="AJ2506" s="33"/>
      <c r="AK2506" s="33"/>
      <c r="AL2506" s="33"/>
      <c r="AM2506" s="33"/>
      <c r="AN2506" s="33"/>
      <c r="AO2506" s="33"/>
    </row>
    <row r="2507" ht="15.75" customHeight="1">
      <c r="A2507" s="23">
        <v>51911.0</v>
      </c>
      <c r="B2507" s="23">
        <v>2023.0</v>
      </c>
      <c r="C2507" s="36" t="str">
        <f t="shared" si="7"/>
        <v>302 CROSSTIMBERS ST,Houston,TX</v>
      </c>
      <c r="D2507" s="23" t="s">
        <v>3837</v>
      </c>
      <c r="E2507" s="6" t="s">
        <v>25</v>
      </c>
      <c r="F2507" s="6" t="s">
        <v>1388</v>
      </c>
      <c r="G2507" s="31" t="s">
        <v>653</v>
      </c>
      <c r="H2507" s="23" t="s">
        <v>28</v>
      </c>
      <c r="I2507" s="37" t="str">
        <f>VLOOKUP(H2507,'Flow Location'!$A$1:$B$21,2,FALSE)</f>
        <v>Storm Sewer (not contained)</v>
      </c>
      <c r="J2507" s="28">
        <v>582.0</v>
      </c>
      <c r="K2507" s="23" t="s">
        <v>29</v>
      </c>
      <c r="L2507" s="37" t="str">
        <f>VLOOKUP(K2507,'Structure type'!$A$1:$B$15,2,FALSE)</f>
        <v>Manhole</v>
      </c>
      <c r="M2507" s="23" t="s">
        <v>30</v>
      </c>
      <c r="N2507" s="37" t="str">
        <f>VLOOKUP(M2507,'Excursion Cause'!$A$1:$B$34,2,FALSE)</f>
        <v>Grease Blockage</v>
      </c>
      <c r="O2507" s="29">
        <v>45019.0</v>
      </c>
      <c r="P2507" s="30">
        <v>0.5041666666666667</v>
      </c>
      <c r="Q2507" s="29">
        <v>45019.0</v>
      </c>
      <c r="R2507" s="30">
        <v>0.70625</v>
      </c>
      <c r="S2507" s="28">
        <v>2.0</v>
      </c>
      <c r="T2507" s="23" t="s">
        <v>1462</v>
      </c>
      <c r="U2507" s="6"/>
      <c r="V2507" s="6"/>
      <c r="W2507" s="35">
        <v>29.8277561</v>
      </c>
      <c r="X2507" s="35">
        <v>-95.3965331</v>
      </c>
      <c r="AA2507" s="33"/>
      <c r="AB2507" s="33"/>
      <c r="AC2507" s="33"/>
      <c r="AD2507" s="33"/>
      <c r="AE2507" s="33"/>
      <c r="AF2507" s="33"/>
      <c r="AG2507" s="33"/>
      <c r="AH2507" s="33"/>
      <c r="AI2507" s="33"/>
      <c r="AJ2507" s="33"/>
      <c r="AK2507" s="33"/>
      <c r="AL2507" s="33"/>
      <c r="AM2507" s="33"/>
      <c r="AN2507" s="33"/>
      <c r="AO2507" s="33"/>
    </row>
    <row r="2508" ht="15.75" customHeight="1">
      <c r="A2508" s="23">
        <v>51912.0</v>
      </c>
      <c r="B2508" s="23">
        <v>2023.0</v>
      </c>
      <c r="C2508" s="36" t="str">
        <f t="shared" si="7"/>
        <v>6017 HAMMAN ST,Houston,TX</v>
      </c>
      <c r="D2508" s="23" t="s">
        <v>3844</v>
      </c>
      <c r="E2508" s="6" t="s">
        <v>25</v>
      </c>
      <c r="F2508" s="6" t="s">
        <v>1388</v>
      </c>
      <c r="G2508" s="31" t="s">
        <v>158</v>
      </c>
      <c r="H2508" s="23" t="s">
        <v>28</v>
      </c>
      <c r="I2508" s="37" t="str">
        <f>VLOOKUP(H2508,'Flow Location'!$A$1:$B$21,2,FALSE)</f>
        <v>Storm Sewer (not contained)</v>
      </c>
      <c r="J2508" s="28">
        <v>0.0</v>
      </c>
      <c r="K2508" s="23" t="s">
        <v>51</v>
      </c>
      <c r="L2508" s="37" t="str">
        <f>VLOOKUP(K2508,'Structure type'!$A$1:$B$15,2,FALSE)</f>
        <v>Private Cleanout</v>
      </c>
      <c r="M2508" s="23" t="s">
        <v>30</v>
      </c>
      <c r="N2508" s="37" t="str">
        <f>VLOOKUP(M2508,'Excursion Cause'!$A$1:$B$34,2,FALSE)</f>
        <v>Grease Blockage</v>
      </c>
      <c r="O2508" s="29">
        <v>45019.0</v>
      </c>
      <c r="P2508" s="30">
        <v>0.5458333333333333</v>
      </c>
      <c r="Q2508" s="29">
        <v>45019.0</v>
      </c>
      <c r="R2508" s="30">
        <v>0.5465277777777777</v>
      </c>
      <c r="S2508" s="28">
        <v>0.0</v>
      </c>
      <c r="T2508" s="23" t="s">
        <v>1462</v>
      </c>
      <c r="U2508" s="6"/>
      <c r="V2508" s="6"/>
      <c r="W2508" s="35">
        <v>29.7757783</v>
      </c>
      <c r="X2508" s="35">
        <v>-95.4230664999999</v>
      </c>
      <c r="AA2508" s="33"/>
      <c r="AB2508" s="33"/>
      <c r="AC2508" s="33"/>
      <c r="AD2508" s="33"/>
      <c r="AE2508" s="33"/>
      <c r="AF2508" s="33"/>
      <c r="AG2508" s="33"/>
      <c r="AH2508" s="33"/>
      <c r="AI2508" s="33"/>
      <c r="AJ2508" s="33"/>
      <c r="AK2508" s="33"/>
      <c r="AL2508" s="33"/>
      <c r="AM2508" s="33"/>
      <c r="AN2508" s="33"/>
      <c r="AO2508" s="33"/>
    </row>
    <row r="2509" ht="15.75" customHeight="1">
      <c r="A2509" s="23">
        <v>51914.0</v>
      </c>
      <c r="B2509" s="23">
        <v>2023.0</v>
      </c>
      <c r="C2509" s="36" t="str">
        <f t="shared" si="7"/>
        <v>8923 RICE AVE,Houston,TX</v>
      </c>
      <c r="D2509" s="23" t="s">
        <v>3845</v>
      </c>
      <c r="E2509" s="6" t="s">
        <v>25</v>
      </c>
      <c r="F2509" s="6" t="s">
        <v>1388</v>
      </c>
      <c r="G2509" s="31" t="s">
        <v>69</v>
      </c>
      <c r="H2509" s="23" t="s">
        <v>28</v>
      </c>
      <c r="I2509" s="37" t="str">
        <f>VLOOKUP(H2509,'Flow Location'!$A$1:$B$21,2,FALSE)</f>
        <v>Storm Sewer (not contained)</v>
      </c>
      <c r="J2509" s="28">
        <v>0.0</v>
      </c>
      <c r="K2509" s="23" t="s">
        <v>29</v>
      </c>
      <c r="L2509" s="37" t="str">
        <f>VLOOKUP(K2509,'Structure type'!$A$1:$B$15,2,FALSE)</f>
        <v>Manhole</v>
      </c>
      <c r="M2509" s="23" t="s">
        <v>30</v>
      </c>
      <c r="N2509" s="37" t="str">
        <f>VLOOKUP(M2509,'Excursion Cause'!$A$1:$B$34,2,FALSE)</f>
        <v>Grease Blockage</v>
      </c>
      <c r="O2509" s="29">
        <v>45019.0</v>
      </c>
      <c r="P2509" s="30">
        <v>0.5902777777777778</v>
      </c>
      <c r="Q2509" s="29">
        <v>45019.0</v>
      </c>
      <c r="R2509" s="30">
        <v>0.5909722222222222</v>
      </c>
      <c r="S2509" s="28">
        <v>0.0</v>
      </c>
      <c r="T2509" s="23" t="s">
        <v>1462</v>
      </c>
      <c r="U2509" s="6"/>
      <c r="V2509" s="6"/>
      <c r="W2509" s="35">
        <v>29.6809646</v>
      </c>
      <c r="X2509" s="35">
        <v>-95.467501</v>
      </c>
      <c r="AA2509" s="33"/>
      <c r="AB2509" s="33"/>
      <c r="AC2509" s="33"/>
      <c r="AD2509" s="33"/>
      <c r="AE2509" s="33"/>
      <c r="AF2509" s="33"/>
      <c r="AG2509" s="33"/>
      <c r="AH2509" s="33"/>
      <c r="AI2509" s="33"/>
      <c r="AJ2509" s="33"/>
      <c r="AK2509" s="33"/>
      <c r="AL2509" s="33"/>
      <c r="AM2509" s="33"/>
      <c r="AN2509" s="33"/>
      <c r="AO2509" s="33"/>
    </row>
    <row r="2510" ht="15.75" customHeight="1">
      <c r="A2510" s="23">
        <v>51916.0</v>
      </c>
      <c r="B2510" s="23">
        <v>2023.0</v>
      </c>
      <c r="C2510" s="36" t="str">
        <f t="shared" si="7"/>
        <v>8701 BERTWOOD ST,Houston,TX</v>
      </c>
      <c r="D2510" s="23" t="s">
        <v>3846</v>
      </c>
      <c r="E2510" s="6" t="s">
        <v>25</v>
      </c>
      <c r="F2510" s="6" t="s">
        <v>1388</v>
      </c>
      <c r="G2510" s="31" t="s">
        <v>326</v>
      </c>
      <c r="H2510" s="23" t="s">
        <v>50</v>
      </c>
      <c r="I2510" s="37" t="str">
        <f>VLOOKUP(H2510,'Flow Location'!$A$1:$B$21,2,FALSE)</f>
        <v>Contained On Site, not within 5 ft. of Bayou/Surface Water/Drainage Ditch</v>
      </c>
      <c r="J2510" s="28">
        <v>0.0</v>
      </c>
      <c r="K2510" s="23" t="s">
        <v>45</v>
      </c>
      <c r="L2510" s="37" t="str">
        <f>VLOOKUP(K2510,'Structure type'!$A$1:$B$15,2,FALSE)</f>
        <v>City Cleanout</v>
      </c>
      <c r="M2510" s="23" t="s">
        <v>30</v>
      </c>
      <c r="N2510" s="37" t="str">
        <f>VLOOKUP(M2510,'Excursion Cause'!$A$1:$B$34,2,FALSE)</f>
        <v>Grease Blockage</v>
      </c>
      <c r="O2510" s="29">
        <v>45019.0</v>
      </c>
      <c r="P2510" s="30">
        <v>0.6368055555555555</v>
      </c>
      <c r="Q2510" s="29">
        <v>45019.0</v>
      </c>
      <c r="R2510" s="30">
        <v>0.6375</v>
      </c>
      <c r="S2510" s="28">
        <v>0.0</v>
      </c>
      <c r="T2510" s="23" t="s">
        <v>3743</v>
      </c>
      <c r="U2510" s="6"/>
      <c r="V2510" s="6"/>
      <c r="W2510" s="35">
        <v>29.839505</v>
      </c>
      <c r="X2510" s="35">
        <v>-95.3098931</v>
      </c>
      <c r="AA2510" s="33"/>
      <c r="AB2510" s="33"/>
      <c r="AC2510" s="33"/>
      <c r="AD2510" s="33"/>
      <c r="AE2510" s="33"/>
      <c r="AF2510" s="33"/>
      <c r="AG2510" s="33"/>
      <c r="AH2510" s="33"/>
      <c r="AI2510" s="33"/>
      <c r="AJ2510" s="33"/>
      <c r="AK2510" s="33"/>
      <c r="AL2510" s="33"/>
      <c r="AM2510" s="33"/>
      <c r="AN2510" s="33"/>
      <c r="AO2510" s="33"/>
    </row>
    <row r="2511" ht="15.75" customHeight="1">
      <c r="A2511" s="23">
        <v>51917.0</v>
      </c>
      <c r="B2511" s="23">
        <v>2023.0</v>
      </c>
      <c r="C2511" s="36" t="str">
        <f t="shared" si="7"/>
        <v>4103 VALOR ST,Houston,TX</v>
      </c>
      <c r="D2511" s="23" t="s">
        <v>3847</v>
      </c>
      <c r="E2511" s="6" t="s">
        <v>25</v>
      </c>
      <c r="F2511" s="6" t="s">
        <v>1388</v>
      </c>
      <c r="G2511" s="31" t="s">
        <v>109</v>
      </c>
      <c r="H2511" s="23" t="s">
        <v>1977</v>
      </c>
      <c r="I2511" s="37" t="str">
        <f>VLOOKUP(H2511,'Flow Location'!$A$1:$B$21,2,FALSE)</f>
        <v>Bayou/surface water/drainage ditch</v>
      </c>
      <c r="J2511" s="28">
        <v>0.0</v>
      </c>
      <c r="K2511" s="23" t="s">
        <v>45</v>
      </c>
      <c r="L2511" s="37" t="str">
        <f>VLOOKUP(K2511,'Structure type'!$A$1:$B$15,2,FALSE)</f>
        <v>City Cleanout</v>
      </c>
      <c r="M2511" s="23" t="s">
        <v>30</v>
      </c>
      <c r="N2511" s="37" t="str">
        <f>VLOOKUP(M2511,'Excursion Cause'!$A$1:$B$34,2,FALSE)</f>
        <v>Grease Blockage</v>
      </c>
      <c r="O2511" s="29">
        <v>45019.0</v>
      </c>
      <c r="P2511" s="30">
        <v>0.6333333333333333</v>
      </c>
      <c r="Q2511" s="29">
        <v>45019.0</v>
      </c>
      <c r="R2511" s="30">
        <v>0.6340277777777777</v>
      </c>
      <c r="S2511" s="28">
        <v>0.0</v>
      </c>
      <c r="T2511" s="23" t="s">
        <v>3743</v>
      </c>
      <c r="U2511" s="6"/>
      <c r="V2511" s="6"/>
      <c r="W2511" s="35">
        <v>29.8388377</v>
      </c>
      <c r="X2511" s="35">
        <v>-95.3290203</v>
      </c>
      <c r="AA2511" s="33"/>
      <c r="AB2511" s="33"/>
      <c r="AC2511" s="33"/>
      <c r="AD2511" s="33"/>
      <c r="AE2511" s="33"/>
      <c r="AF2511" s="33"/>
      <c r="AG2511" s="33"/>
      <c r="AH2511" s="33"/>
      <c r="AI2511" s="33"/>
      <c r="AJ2511" s="33"/>
      <c r="AK2511" s="33"/>
      <c r="AL2511" s="33"/>
      <c r="AM2511" s="33"/>
      <c r="AN2511" s="33"/>
      <c r="AO2511" s="33"/>
    </row>
    <row r="2512" ht="15.75" customHeight="1">
      <c r="A2512" s="23">
        <v>51919.0</v>
      </c>
      <c r="B2512" s="23">
        <v>2023.0</v>
      </c>
      <c r="C2512" s="36" t="str">
        <f t="shared" si="7"/>
        <v>2345 MARGARET ST,Houston,TX</v>
      </c>
      <c r="D2512" s="23" t="s">
        <v>1515</v>
      </c>
      <c r="E2512" s="6" t="s">
        <v>25</v>
      </c>
      <c r="F2512" s="6" t="s">
        <v>1388</v>
      </c>
      <c r="G2512" s="31" t="s">
        <v>109</v>
      </c>
      <c r="H2512" s="23" t="s">
        <v>50</v>
      </c>
      <c r="I2512" s="37" t="str">
        <f>VLOOKUP(H2512,'Flow Location'!$A$1:$B$21,2,FALSE)</f>
        <v>Contained On Site, not within 5 ft. of Bayou/Surface Water/Drainage Ditch</v>
      </c>
      <c r="J2512" s="28">
        <v>0.0</v>
      </c>
      <c r="K2512" s="23" t="s">
        <v>45</v>
      </c>
      <c r="L2512" s="37" t="str">
        <f>VLOOKUP(K2512,'Structure type'!$A$1:$B$15,2,FALSE)</f>
        <v>City Cleanout</v>
      </c>
      <c r="M2512" s="23" t="s">
        <v>56</v>
      </c>
      <c r="N2512" s="37" t="str">
        <f>VLOOKUP(M2512,'Excursion Cause'!$A$1:$B$34,2,FALSE)</f>
        <v>Rags/Wipes</v>
      </c>
      <c r="O2512" s="29">
        <v>45019.0</v>
      </c>
      <c r="P2512" s="30">
        <v>0.6513888888888889</v>
      </c>
      <c r="Q2512" s="29">
        <v>45019.0</v>
      </c>
      <c r="R2512" s="30">
        <v>0.6520833333333333</v>
      </c>
      <c r="S2512" s="28">
        <v>0.0</v>
      </c>
      <c r="T2512" s="23" t="s">
        <v>3743</v>
      </c>
      <c r="U2512" s="6"/>
      <c r="V2512" s="6"/>
      <c r="W2512" s="35">
        <v>29.8655157</v>
      </c>
      <c r="X2512" s="35">
        <v>-95.3481436</v>
      </c>
      <c r="AA2512" s="33"/>
      <c r="AB2512" s="33"/>
      <c r="AC2512" s="33"/>
      <c r="AD2512" s="33"/>
      <c r="AE2512" s="33"/>
      <c r="AF2512" s="33"/>
      <c r="AG2512" s="33"/>
      <c r="AH2512" s="33"/>
      <c r="AI2512" s="33"/>
      <c r="AJ2512" s="33"/>
      <c r="AK2512" s="33"/>
      <c r="AL2512" s="33"/>
      <c r="AM2512" s="33"/>
      <c r="AN2512" s="33"/>
      <c r="AO2512" s="33"/>
    </row>
    <row r="2513" ht="15.75" customHeight="1">
      <c r="A2513" s="23">
        <v>51920.0</v>
      </c>
      <c r="B2513" s="23">
        <v>2023.0</v>
      </c>
      <c r="C2513" s="36" t="str">
        <f t="shared" si="7"/>
        <v>9006 BEECHNUT ST,Houston,TX</v>
      </c>
      <c r="D2513" s="23" t="s">
        <v>3829</v>
      </c>
      <c r="E2513" s="6" t="s">
        <v>25</v>
      </c>
      <c r="F2513" s="6" t="s">
        <v>1388</v>
      </c>
      <c r="G2513" s="31" t="s">
        <v>100</v>
      </c>
      <c r="H2513" s="23" t="s">
        <v>28</v>
      </c>
      <c r="I2513" s="37" t="str">
        <f>VLOOKUP(H2513,'Flow Location'!$A$1:$B$21,2,FALSE)</f>
        <v>Storm Sewer (not contained)</v>
      </c>
      <c r="J2513" s="28">
        <v>418.0</v>
      </c>
      <c r="K2513" s="23" t="s">
        <v>29</v>
      </c>
      <c r="L2513" s="37" t="str">
        <f>VLOOKUP(K2513,'Structure type'!$A$1:$B$15,2,FALSE)</f>
        <v>Manhole</v>
      </c>
      <c r="M2513" s="23" t="s">
        <v>30</v>
      </c>
      <c r="N2513" s="37" t="str">
        <f>VLOOKUP(M2513,'Excursion Cause'!$A$1:$B$34,2,FALSE)</f>
        <v>Grease Blockage</v>
      </c>
      <c r="O2513" s="29">
        <v>45019.0</v>
      </c>
      <c r="P2513" s="30">
        <v>0.6326388888888889</v>
      </c>
      <c r="Q2513" s="29">
        <v>45019.0</v>
      </c>
      <c r="R2513" s="30">
        <v>0.7777777777777778</v>
      </c>
      <c r="S2513" s="28">
        <v>2.0</v>
      </c>
      <c r="T2513" s="23" t="s">
        <v>1462</v>
      </c>
      <c r="U2513" s="6"/>
      <c r="V2513" s="6"/>
      <c r="W2513" s="35">
        <v>29.6910204</v>
      </c>
      <c r="X2513" s="35">
        <v>-95.5424587</v>
      </c>
      <c r="AA2513" s="33"/>
      <c r="AB2513" s="33"/>
      <c r="AC2513" s="33"/>
      <c r="AD2513" s="33"/>
      <c r="AE2513" s="33"/>
      <c r="AF2513" s="33"/>
      <c r="AG2513" s="33"/>
      <c r="AH2513" s="33"/>
      <c r="AI2513" s="33"/>
      <c r="AJ2513" s="33"/>
      <c r="AK2513" s="33"/>
      <c r="AL2513" s="33"/>
      <c r="AM2513" s="33"/>
      <c r="AN2513" s="33"/>
      <c r="AO2513" s="33"/>
    </row>
    <row r="2514" ht="15.75" customHeight="1">
      <c r="A2514" s="23">
        <v>51921.0</v>
      </c>
      <c r="B2514" s="23">
        <v>2023.0</v>
      </c>
      <c r="C2514" s="36" t="str">
        <f t="shared" si="7"/>
        <v>1126 21ST ST,Houston,TX</v>
      </c>
      <c r="D2514" s="23" t="s">
        <v>3848</v>
      </c>
      <c r="E2514" s="6" t="s">
        <v>25</v>
      </c>
      <c r="F2514" s="6" t="s">
        <v>1388</v>
      </c>
      <c r="G2514" s="31" t="s">
        <v>232</v>
      </c>
      <c r="H2514" s="23" t="s">
        <v>28</v>
      </c>
      <c r="I2514" s="37" t="str">
        <f>VLOOKUP(H2514,'Flow Location'!$A$1:$B$21,2,FALSE)</f>
        <v>Storm Sewer (not contained)</v>
      </c>
      <c r="J2514" s="28">
        <v>1064.0</v>
      </c>
      <c r="K2514" s="23" t="s">
        <v>29</v>
      </c>
      <c r="L2514" s="37" t="str">
        <f>VLOOKUP(K2514,'Structure type'!$A$1:$B$15,2,FALSE)</f>
        <v>Manhole</v>
      </c>
      <c r="M2514" s="23" t="s">
        <v>30</v>
      </c>
      <c r="N2514" s="37" t="str">
        <f>VLOOKUP(M2514,'Excursion Cause'!$A$1:$B$34,2,FALSE)</f>
        <v>Grease Blockage</v>
      </c>
      <c r="O2514" s="29">
        <v>45019.0</v>
      </c>
      <c r="P2514" s="30">
        <v>0.7381944444444445</v>
      </c>
      <c r="Q2514" s="29">
        <v>45020.0</v>
      </c>
      <c r="R2514" s="30">
        <v>0.47708333333333336</v>
      </c>
      <c r="S2514" s="28">
        <v>1.0</v>
      </c>
      <c r="T2514" s="23" t="s">
        <v>3749</v>
      </c>
      <c r="U2514" s="6"/>
      <c r="V2514" s="6"/>
      <c r="W2514" s="35">
        <v>29.80447</v>
      </c>
      <c r="X2514" s="35">
        <v>-95.4193806999999</v>
      </c>
      <c r="AA2514" s="33"/>
      <c r="AB2514" s="33"/>
      <c r="AC2514" s="33"/>
      <c r="AD2514" s="33"/>
      <c r="AE2514" s="33"/>
      <c r="AF2514" s="33"/>
      <c r="AG2514" s="33"/>
      <c r="AH2514" s="33"/>
      <c r="AI2514" s="33"/>
      <c r="AJ2514" s="33"/>
      <c r="AK2514" s="33"/>
      <c r="AL2514" s="33"/>
      <c r="AM2514" s="33"/>
      <c r="AN2514" s="33"/>
      <c r="AO2514" s="33"/>
    </row>
    <row r="2515" ht="15.75" customHeight="1">
      <c r="A2515" s="23">
        <v>51925.0</v>
      </c>
      <c r="B2515" s="23">
        <v>2023.0</v>
      </c>
      <c r="C2515" s="36" t="str">
        <f t="shared" si="7"/>
        <v>8245 JET PILOT AVE,Houston,TX</v>
      </c>
      <c r="D2515" s="23" t="s">
        <v>3849</v>
      </c>
      <c r="E2515" s="6" t="s">
        <v>25</v>
      </c>
      <c r="F2515" s="6" t="s">
        <v>1388</v>
      </c>
      <c r="G2515" s="31" t="s">
        <v>95</v>
      </c>
      <c r="H2515" s="23" t="s">
        <v>50</v>
      </c>
      <c r="I2515" s="37" t="str">
        <f>VLOOKUP(H2515,'Flow Location'!$A$1:$B$21,2,FALSE)</f>
        <v>Contained On Site, not within 5 ft. of Bayou/Surface Water/Drainage Ditch</v>
      </c>
      <c r="J2515" s="28">
        <v>0.0</v>
      </c>
      <c r="K2515" s="23" t="s">
        <v>45</v>
      </c>
      <c r="L2515" s="37" t="str">
        <f>VLOOKUP(K2515,'Structure type'!$A$1:$B$15,2,FALSE)</f>
        <v>City Cleanout</v>
      </c>
      <c r="M2515" s="23" t="s">
        <v>30</v>
      </c>
      <c r="N2515" s="37" t="str">
        <f>VLOOKUP(M2515,'Excursion Cause'!$A$1:$B$34,2,FALSE)</f>
        <v>Grease Blockage</v>
      </c>
      <c r="O2515" s="29">
        <v>45020.0</v>
      </c>
      <c r="P2515" s="30">
        <v>0.3680555555555556</v>
      </c>
      <c r="Q2515" s="29">
        <v>45020.0</v>
      </c>
      <c r="R2515" s="30">
        <v>0.36875</v>
      </c>
      <c r="S2515" s="28">
        <v>0.0</v>
      </c>
      <c r="T2515" s="23" t="s">
        <v>3743</v>
      </c>
      <c r="U2515" s="6"/>
      <c r="V2515" s="6"/>
      <c r="W2515" s="35">
        <v>29.6332741</v>
      </c>
      <c r="X2515" s="35">
        <v>-95.2719924</v>
      </c>
      <c r="AA2515" s="33"/>
      <c r="AB2515" s="33"/>
      <c r="AC2515" s="33"/>
      <c r="AD2515" s="33"/>
      <c r="AE2515" s="33"/>
      <c r="AF2515" s="33"/>
      <c r="AG2515" s="33"/>
      <c r="AH2515" s="33"/>
      <c r="AI2515" s="33"/>
      <c r="AJ2515" s="33"/>
      <c r="AK2515" s="33"/>
      <c r="AL2515" s="33"/>
      <c r="AM2515" s="33"/>
      <c r="AN2515" s="33"/>
      <c r="AO2515" s="33"/>
    </row>
    <row r="2516" ht="15.75" customHeight="1">
      <c r="A2516" s="23">
        <v>51927.0</v>
      </c>
      <c r="B2516" s="23">
        <v>2023.0</v>
      </c>
      <c r="C2516" s="36" t="str">
        <f t="shared" si="7"/>
        <v>7810 PIPING ROCK LN,Houston,TX</v>
      </c>
      <c r="D2516" s="23" t="s">
        <v>3850</v>
      </c>
      <c r="E2516" s="6" t="s">
        <v>25</v>
      </c>
      <c r="F2516" s="6" t="s">
        <v>1388</v>
      </c>
      <c r="G2516" s="31" t="s">
        <v>482</v>
      </c>
      <c r="H2516" s="23" t="s">
        <v>28</v>
      </c>
      <c r="I2516" s="37" t="str">
        <f>VLOOKUP(H2516,'Flow Location'!$A$1:$B$21,2,FALSE)</f>
        <v>Storm Sewer (not contained)</v>
      </c>
      <c r="J2516" s="28">
        <v>274.0</v>
      </c>
      <c r="K2516" s="23" t="s">
        <v>29</v>
      </c>
      <c r="L2516" s="37" t="str">
        <f>VLOOKUP(K2516,'Structure type'!$A$1:$B$15,2,FALSE)</f>
        <v>Manhole</v>
      </c>
      <c r="M2516" s="23" t="s">
        <v>30</v>
      </c>
      <c r="N2516" s="37" t="str">
        <f>VLOOKUP(M2516,'Excursion Cause'!$A$1:$B$34,2,FALSE)</f>
        <v>Grease Blockage</v>
      </c>
      <c r="O2516" s="29">
        <v>45020.0</v>
      </c>
      <c r="P2516" s="30">
        <v>0.4375</v>
      </c>
      <c r="Q2516" s="29">
        <v>45020.0</v>
      </c>
      <c r="R2516" s="30">
        <v>0.5326388888888889</v>
      </c>
      <c r="S2516" s="28">
        <v>2.0</v>
      </c>
      <c r="T2516" s="23" t="s">
        <v>3749</v>
      </c>
      <c r="U2516" s="6"/>
      <c r="V2516" s="6"/>
      <c r="W2516" s="35">
        <v>29.7420422</v>
      </c>
      <c r="X2516" s="35">
        <v>-95.5058331</v>
      </c>
      <c r="AA2516" s="33"/>
      <c r="AB2516" s="33"/>
      <c r="AC2516" s="33"/>
      <c r="AD2516" s="33"/>
      <c r="AE2516" s="33"/>
      <c r="AF2516" s="33"/>
      <c r="AG2516" s="33"/>
      <c r="AH2516" s="33"/>
      <c r="AI2516" s="33"/>
      <c r="AJ2516" s="33"/>
      <c r="AK2516" s="33"/>
      <c r="AL2516" s="33"/>
      <c r="AM2516" s="33"/>
      <c r="AN2516" s="33"/>
      <c r="AO2516" s="33"/>
    </row>
    <row r="2517" ht="15.75" customHeight="1">
      <c r="A2517" s="23">
        <v>51928.0</v>
      </c>
      <c r="B2517" s="23">
        <v>2023.0</v>
      </c>
      <c r="C2517" s="36" t="str">
        <f t="shared" si="7"/>
        <v>8209 MONTRIDGE DR,Houston,TX</v>
      </c>
      <c r="D2517" s="23" t="s">
        <v>3851</v>
      </c>
      <c r="E2517" s="6" t="s">
        <v>25</v>
      </c>
      <c r="F2517" s="6" t="s">
        <v>1388</v>
      </c>
      <c r="G2517" s="31" t="s">
        <v>27</v>
      </c>
      <c r="H2517" s="23" t="s">
        <v>50</v>
      </c>
      <c r="I2517" s="37" t="str">
        <f>VLOOKUP(H2517,'Flow Location'!$A$1:$B$21,2,FALSE)</f>
        <v>Contained On Site, not within 5 ft. of Bayou/Surface Water/Drainage Ditch</v>
      </c>
      <c r="J2517" s="28">
        <v>0.0</v>
      </c>
      <c r="K2517" s="23" t="s">
        <v>51</v>
      </c>
      <c r="L2517" s="37" t="str">
        <f>VLOOKUP(K2517,'Structure type'!$A$1:$B$15,2,FALSE)</f>
        <v>Private Cleanout</v>
      </c>
      <c r="M2517" s="23" t="s">
        <v>56</v>
      </c>
      <c r="N2517" s="37" t="str">
        <f>VLOOKUP(M2517,'Excursion Cause'!$A$1:$B$34,2,FALSE)</f>
        <v>Rags/Wipes</v>
      </c>
      <c r="O2517" s="29">
        <v>45020.0</v>
      </c>
      <c r="P2517" s="30">
        <v>0.4548611111111111</v>
      </c>
      <c r="Q2517" s="29">
        <v>45020.0</v>
      </c>
      <c r="R2517" s="30">
        <v>0.45555555555555555</v>
      </c>
      <c r="S2517" s="28">
        <v>0.0</v>
      </c>
      <c r="T2517" s="23" t="s">
        <v>1436</v>
      </c>
      <c r="U2517" s="6"/>
      <c r="V2517" s="6"/>
      <c r="W2517" s="35">
        <v>29.8080653</v>
      </c>
      <c r="X2517" s="35">
        <v>-95.4936369</v>
      </c>
      <c r="AA2517" s="33"/>
      <c r="AB2517" s="33"/>
      <c r="AC2517" s="33"/>
      <c r="AD2517" s="33"/>
      <c r="AE2517" s="33"/>
      <c r="AF2517" s="33"/>
      <c r="AG2517" s="33"/>
      <c r="AH2517" s="33"/>
      <c r="AI2517" s="33"/>
      <c r="AJ2517" s="33"/>
      <c r="AK2517" s="33"/>
      <c r="AL2517" s="33"/>
      <c r="AM2517" s="33"/>
      <c r="AN2517" s="33"/>
      <c r="AO2517" s="33"/>
    </row>
    <row r="2518" ht="15.75" customHeight="1">
      <c r="A2518" s="23">
        <v>51929.0</v>
      </c>
      <c r="B2518" s="23">
        <v>2023.0</v>
      </c>
      <c r="C2518" s="36" t="str">
        <f t="shared" si="7"/>
        <v>4235 BARBERRY DR,Houston,TX</v>
      </c>
      <c r="D2518" s="23" t="s">
        <v>3852</v>
      </c>
      <c r="E2518" s="6" t="s">
        <v>25</v>
      </c>
      <c r="F2518" s="6" t="s">
        <v>1388</v>
      </c>
      <c r="G2518" s="31" t="s">
        <v>105</v>
      </c>
      <c r="H2518" s="23" t="s">
        <v>44</v>
      </c>
      <c r="I2518" s="37" t="str">
        <f>VLOOKUP(H2518,'Flow Location'!$A$1:$B$21,2,FALSE)</f>
        <v>Bayou/surface water/drainage ditch</v>
      </c>
      <c r="J2518" s="28">
        <v>3400.0</v>
      </c>
      <c r="K2518" s="23" t="s">
        <v>29</v>
      </c>
      <c r="L2518" s="37" t="str">
        <f>VLOOKUP(K2518,'Structure type'!$A$1:$B$15,2,FALSE)</f>
        <v>Manhole</v>
      </c>
      <c r="M2518" s="23" t="s">
        <v>30</v>
      </c>
      <c r="N2518" s="37" t="str">
        <f>VLOOKUP(M2518,'Excursion Cause'!$A$1:$B$34,2,FALSE)</f>
        <v>Grease Blockage</v>
      </c>
      <c r="O2518" s="29">
        <v>45020.0</v>
      </c>
      <c r="P2518" s="30">
        <v>0.4548611111111111</v>
      </c>
      <c r="Q2518" s="29">
        <v>45021.0</v>
      </c>
      <c r="R2518" s="30">
        <v>0.6354166666666666</v>
      </c>
      <c r="S2518" s="28">
        <v>2.0</v>
      </c>
      <c r="T2518" s="23" t="s">
        <v>1462</v>
      </c>
      <c r="U2518" s="6"/>
      <c r="V2518" s="6"/>
      <c r="W2518" s="35">
        <v>29.6519477</v>
      </c>
      <c r="X2518" s="35">
        <v>-95.3651065999999</v>
      </c>
      <c r="AA2518" s="33"/>
      <c r="AB2518" s="33"/>
      <c r="AC2518" s="33"/>
      <c r="AD2518" s="33"/>
      <c r="AE2518" s="33"/>
      <c r="AF2518" s="33"/>
      <c r="AG2518" s="33"/>
      <c r="AH2518" s="33"/>
      <c r="AI2518" s="33"/>
      <c r="AJ2518" s="33"/>
      <c r="AK2518" s="33"/>
      <c r="AL2518" s="33"/>
      <c r="AM2518" s="33"/>
      <c r="AN2518" s="33"/>
      <c r="AO2518" s="33"/>
    </row>
    <row r="2519" ht="15.75" customHeight="1">
      <c r="A2519" s="23">
        <v>51930.0</v>
      </c>
      <c r="B2519" s="23">
        <v>2023.0</v>
      </c>
      <c r="C2519" s="36" t="str">
        <f t="shared" si="7"/>
        <v>2475 KIRKWOOD RD,Houston,TX</v>
      </c>
      <c r="D2519" s="23" t="s">
        <v>3853</v>
      </c>
      <c r="E2519" s="6" t="s">
        <v>25</v>
      </c>
      <c r="F2519" s="6" t="s">
        <v>1388</v>
      </c>
      <c r="G2519" s="31" t="s">
        <v>347</v>
      </c>
      <c r="H2519" s="23" t="s">
        <v>50</v>
      </c>
      <c r="I2519" s="37" t="str">
        <f>VLOOKUP(H2519,'Flow Location'!$A$1:$B$21,2,FALSE)</f>
        <v>Contained On Site, not within 5 ft. of Bayou/Surface Water/Drainage Ditch</v>
      </c>
      <c r="J2519" s="28">
        <v>0.0</v>
      </c>
      <c r="K2519" s="23" t="s">
        <v>51</v>
      </c>
      <c r="L2519" s="37" t="str">
        <f>VLOOKUP(K2519,'Structure type'!$A$1:$B$15,2,FALSE)</f>
        <v>Private Cleanout</v>
      </c>
      <c r="M2519" s="23" t="s">
        <v>81</v>
      </c>
      <c r="N2519" s="37" t="str">
        <f>VLOOKUP(M2519,'Excursion Cause'!$A$1:$B$34,2,FALSE)</f>
        <v>Collection system structural failure</v>
      </c>
      <c r="O2519" s="29">
        <v>45019.0</v>
      </c>
      <c r="P2519" s="30">
        <v>0.3958333333333333</v>
      </c>
      <c r="Q2519" s="29">
        <v>45019.0</v>
      </c>
      <c r="R2519" s="30">
        <v>0.39652777777777776</v>
      </c>
      <c r="S2519" s="28">
        <v>0.0</v>
      </c>
      <c r="T2519" s="23" t="s">
        <v>1391</v>
      </c>
      <c r="U2519" s="6"/>
      <c r="V2519" s="6"/>
      <c r="W2519" s="35">
        <v>29.7381207</v>
      </c>
      <c r="X2519" s="35">
        <v>-95.5880947</v>
      </c>
      <c r="AA2519" s="33"/>
      <c r="AB2519" s="33"/>
      <c r="AC2519" s="33"/>
      <c r="AD2519" s="33"/>
      <c r="AE2519" s="33"/>
      <c r="AF2519" s="33"/>
      <c r="AG2519" s="33"/>
      <c r="AH2519" s="33"/>
      <c r="AI2519" s="33"/>
      <c r="AJ2519" s="33"/>
      <c r="AK2519" s="33"/>
      <c r="AL2519" s="33"/>
      <c r="AM2519" s="33"/>
      <c r="AN2519" s="33"/>
      <c r="AO2519" s="33"/>
    </row>
    <row r="2520" ht="15.75" customHeight="1">
      <c r="A2520" s="23">
        <v>51936.0</v>
      </c>
      <c r="B2520" s="23">
        <v>2023.0</v>
      </c>
      <c r="C2520" s="36" t="str">
        <f t="shared" si="7"/>
        <v>4110 EMANCIPATION AVE,Houston,TX</v>
      </c>
      <c r="D2520" s="23" t="s">
        <v>3854</v>
      </c>
      <c r="E2520" s="6" t="s">
        <v>25</v>
      </c>
      <c r="F2520" s="6" t="s">
        <v>1388</v>
      </c>
      <c r="G2520" s="31" t="s">
        <v>308</v>
      </c>
      <c r="H2520" s="23" t="s">
        <v>1977</v>
      </c>
      <c r="I2520" s="37" t="str">
        <f>VLOOKUP(H2520,'Flow Location'!$A$1:$B$21,2,FALSE)</f>
        <v>Bayou/surface water/drainage ditch</v>
      </c>
      <c r="J2520" s="28">
        <v>579.0</v>
      </c>
      <c r="K2520" s="23" t="s">
        <v>51</v>
      </c>
      <c r="L2520" s="37" t="str">
        <f>VLOOKUP(K2520,'Structure type'!$A$1:$B$15,2,FALSE)</f>
        <v>Private Cleanout</v>
      </c>
      <c r="M2520" s="23" t="s">
        <v>56</v>
      </c>
      <c r="N2520" s="37" t="str">
        <f>VLOOKUP(M2520,'Excursion Cause'!$A$1:$B$34,2,FALSE)</f>
        <v>Rags/Wipes</v>
      </c>
      <c r="O2520" s="29">
        <v>45021.0</v>
      </c>
      <c r="P2520" s="30">
        <v>0.3888888888888889</v>
      </c>
      <c r="Q2520" s="29">
        <v>45021.0</v>
      </c>
      <c r="R2520" s="30">
        <v>0.5229166666666667</v>
      </c>
      <c r="S2520" s="28">
        <v>3.0</v>
      </c>
      <c r="T2520" s="23" t="s">
        <v>1436</v>
      </c>
      <c r="U2520" s="6"/>
      <c r="V2520" s="6"/>
      <c r="W2520" s="35">
        <v>29.728711</v>
      </c>
      <c r="X2520" s="35">
        <v>-95.3699867</v>
      </c>
      <c r="AA2520" s="33"/>
      <c r="AB2520" s="33"/>
      <c r="AC2520" s="33"/>
      <c r="AD2520" s="33"/>
      <c r="AE2520" s="33"/>
      <c r="AF2520" s="33"/>
      <c r="AG2520" s="33"/>
      <c r="AH2520" s="33"/>
      <c r="AI2520" s="33"/>
      <c r="AJ2520" s="33"/>
      <c r="AK2520" s="33"/>
      <c r="AL2520" s="33"/>
      <c r="AM2520" s="33"/>
      <c r="AN2520" s="33"/>
      <c r="AO2520" s="33"/>
    </row>
    <row r="2521" ht="15.75" customHeight="1">
      <c r="A2521" s="23">
        <v>51937.0</v>
      </c>
      <c r="B2521" s="23">
        <v>2023.0</v>
      </c>
      <c r="C2521" s="36" t="str">
        <f t="shared" si="7"/>
        <v>511 WOOLWORTH ST,Houston,TX</v>
      </c>
      <c r="D2521" s="23" t="s">
        <v>3855</v>
      </c>
      <c r="E2521" s="6" t="s">
        <v>25</v>
      </c>
      <c r="F2521" s="38"/>
      <c r="G2521" s="31" t="s">
        <v>86</v>
      </c>
      <c r="H2521" s="23" t="s">
        <v>1493</v>
      </c>
      <c r="I2521" s="37" t="str">
        <f>VLOOKUP(H2521,'Flow Location'!$A$1:$B$21,2,FALSE)</f>
        <v>Contained On Site, not within 5 ft. of Bayou/Surface Water/Drainage Ditch</v>
      </c>
      <c r="J2521" s="28">
        <v>0.0</v>
      </c>
      <c r="K2521" s="23" t="s">
        <v>51</v>
      </c>
      <c r="L2521" s="37" t="str">
        <f>VLOOKUP(K2521,'Structure type'!$A$1:$B$15,2,FALSE)</f>
        <v>Private Cleanout</v>
      </c>
      <c r="M2521" s="23" t="s">
        <v>3250</v>
      </c>
      <c r="N2521" s="37" t="str">
        <f>VLOOKUP(M2521,'Excursion Cause'!$A$1:$B$34,2,FALSE)</f>
        <v>Collection system structural blockage</v>
      </c>
      <c r="O2521" s="29">
        <v>45021.0</v>
      </c>
      <c r="P2521" s="30">
        <v>0.4361111111111111</v>
      </c>
      <c r="Q2521" s="29">
        <v>45021.0</v>
      </c>
      <c r="R2521" s="30">
        <v>0.43680555555555556</v>
      </c>
      <c r="S2521" s="28">
        <v>0.0</v>
      </c>
      <c r="T2521" s="23" t="s">
        <v>118</v>
      </c>
      <c r="U2521" s="6"/>
      <c r="V2521" s="6"/>
      <c r="W2521" s="35">
        <v>29.7797095</v>
      </c>
      <c r="X2521" s="35">
        <v>-95.3082275</v>
      </c>
      <c r="AA2521" s="33"/>
      <c r="AB2521" s="33"/>
      <c r="AC2521" s="33"/>
      <c r="AD2521" s="33"/>
      <c r="AE2521" s="33"/>
      <c r="AF2521" s="33"/>
      <c r="AG2521" s="33"/>
      <c r="AH2521" s="33"/>
      <c r="AI2521" s="33"/>
      <c r="AJ2521" s="33"/>
      <c r="AK2521" s="33"/>
      <c r="AL2521" s="33"/>
      <c r="AM2521" s="33"/>
      <c r="AN2521" s="33"/>
      <c r="AO2521" s="33"/>
    </row>
    <row r="2522" ht="15.75" customHeight="1">
      <c r="A2522" s="23">
        <v>51939.0</v>
      </c>
      <c r="B2522" s="23">
        <v>2023.0</v>
      </c>
      <c r="C2522" s="36" t="str">
        <f t="shared" si="7"/>
        <v>6400 BELLFORT AVE,Houston,TX</v>
      </c>
      <c r="D2522" s="23" t="s">
        <v>3856</v>
      </c>
      <c r="E2522" s="6" t="s">
        <v>25</v>
      </c>
      <c r="F2522" s="6" t="s">
        <v>1388</v>
      </c>
      <c r="G2522" s="31" t="s">
        <v>35</v>
      </c>
      <c r="H2522" s="23" t="s">
        <v>28</v>
      </c>
      <c r="I2522" s="37" t="str">
        <f>VLOOKUP(H2522,'Flow Location'!$A$1:$B$21,2,FALSE)</f>
        <v>Storm Sewer (not contained)</v>
      </c>
      <c r="J2522" s="28">
        <v>115.0</v>
      </c>
      <c r="K2522" s="23" t="s">
        <v>29</v>
      </c>
      <c r="L2522" s="37" t="str">
        <f>VLOOKUP(K2522,'Structure type'!$A$1:$B$15,2,FALSE)</f>
        <v>Manhole</v>
      </c>
      <c r="M2522" s="23" t="s">
        <v>30</v>
      </c>
      <c r="N2522" s="37" t="str">
        <f>VLOOKUP(M2522,'Excursion Cause'!$A$1:$B$34,2,FALSE)</f>
        <v>Grease Blockage</v>
      </c>
      <c r="O2522" s="29">
        <v>45021.0</v>
      </c>
      <c r="P2522" s="30">
        <v>0.4479166666666667</v>
      </c>
      <c r="Q2522" s="29">
        <v>45021.0</v>
      </c>
      <c r="R2522" s="30">
        <v>0.5277777777777778</v>
      </c>
      <c r="S2522" s="28">
        <v>1.0</v>
      </c>
      <c r="T2522" s="23" t="s">
        <v>3749</v>
      </c>
      <c r="U2522" s="6"/>
      <c r="V2522" s="6"/>
      <c r="W2522" s="35">
        <v>29.6663948</v>
      </c>
      <c r="X2522" s="35">
        <v>-95.3152065</v>
      </c>
      <c r="AA2522" s="33"/>
      <c r="AB2522" s="33"/>
      <c r="AC2522" s="33"/>
      <c r="AD2522" s="33"/>
      <c r="AE2522" s="33"/>
      <c r="AF2522" s="33"/>
      <c r="AG2522" s="33"/>
      <c r="AH2522" s="33"/>
      <c r="AI2522" s="33"/>
      <c r="AJ2522" s="33"/>
      <c r="AK2522" s="33"/>
      <c r="AL2522" s="33"/>
      <c r="AM2522" s="33"/>
      <c r="AN2522" s="33"/>
      <c r="AO2522" s="33"/>
    </row>
    <row r="2523" ht="15.75" customHeight="1">
      <c r="A2523" s="23">
        <v>51940.0</v>
      </c>
      <c r="B2523" s="23">
        <v>2023.0</v>
      </c>
      <c r="C2523" s="36" t="str">
        <f t="shared" si="7"/>
        <v>4706 COLLINGSWORTH ST,Houston,TX</v>
      </c>
      <c r="D2523" s="23" t="s">
        <v>1490</v>
      </c>
      <c r="E2523" s="6" t="s">
        <v>25</v>
      </c>
      <c r="F2523" s="6" t="s">
        <v>1388</v>
      </c>
      <c r="G2523" s="31" t="s">
        <v>43</v>
      </c>
      <c r="H2523" s="23" t="s">
        <v>50</v>
      </c>
      <c r="I2523" s="37" t="str">
        <f>VLOOKUP(H2523,'Flow Location'!$A$1:$B$21,2,FALSE)</f>
        <v>Contained On Site, not within 5 ft. of Bayou/Surface Water/Drainage Ditch</v>
      </c>
      <c r="J2523" s="28">
        <v>0.0</v>
      </c>
      <c r="K2523" s="23" t="s">
        <v>45</v>
      </c>
      <c r="L2523" s="37" t="str">
        <f>VLOOKUP(K2523,'Structure type'!$A$1:$B$15,2,FALSE)</f>
        <v>City Cleanout</v>
      </c>
      <c r="M2523" s="23" t="s">
        <v>52</v>
      </c>
      <c r="N2523" s="37" t="str">
        <f>VLOOKUP(M2523,'Excursion Cause'!$A$1:$B$34,2,FALSE)</f>
        <v>Collection system structural blockage</v>
      </c>
      <c r="O2523" s="29">
        <v>45021.0</v>
      </c>
      <c r="P2523" s="30">
        <v>0.4777777777777778</v>
      </c>
      <c r="Q2523" s="29">
        <v>45021.0</v>
      </c>
      <c r="R2523" s="30">
        <v>0.47847222222222224</v>
      </c>
      <c r="S2523" s="28">
        <v>0.0</v>
      </c>
      <c r="T2523" s="23" t="s">
        <v>1473</v>
      </c>
      <c r="U2523" s="6"/>
      <c r="V2523" s="6"/>
      <c r="W2523" s="35">
        <v>29.7937885</v>
      </c>
      <c r="X2523" s="35">
        <v>-95.3225753999999</v>
      </c>
      <c r="AA2523" s="33"/>
      <c r="AB2523" s="33"/>
      <c r="AC2523" s="33"/>
      <c r="AD2523" s="33"/>
      <c r="AE2523" s="33"/>
      <c r="AF2523" s="33"/>
      <c r="AG2523" s="33"/>
      <c r="AH2523" s="33"/>
      <c r="AI2523" s="33"/>
      <c r="AJ2523" s="33"/>
      <c r="AK2523" s="33"/>
      <c r="AL2523" s="33"/>
      <c r="AM2523" s="33"/>
      <c r="AN2523" s="33"/>
      <c r="AO2523" s="33"/>
    </row>
    <row r="2524" ht="15.75" customHeight="1">
      <c r="A2524" s="23">
        <v>51942.0</v>
      </c>
      <c r="B2524" s="23">
        <v>2023.0</v>
      </c>
      <c r="C2524" s="36" t="str">
        <f t="shared" si="7"/>
        <v>5117 MALMEDY RD,Houston,TX</v>
      </c>
      <c r="D2524" s="23" t="s">
        <v>3857</v>
      </c>
      <c r="E2524" s="6" t="s">
        <v>25</v>
      </c>
      <c r="F2524" s="6" t="s">
        <v>1388</v>
      </c>
      <c r="G2524" s="31" t="s">
        <v>120</v>
      </c>
      <c r="H2524" s="23" t="s">
        <v>50</v>
      </c>
      <c r="I2524" s="37" t="str">
        <f>VLOOKUP(H2524,'Flow Location'!$A$1:$B$21,2,FALSE)</f>
        <v>Contained On Site, not within 5 ft. of Bayou/Surface Water/Drainage Ditch</v>
      </c>
      <c r="J2524" s="28">
        <v>0.0</v>
      </c>
      <c r="K2524" s="23" t="s">
        <v>198</v>
      </c>
      <c r="L2524" s="37" t="str">
        <f>VLOOKUP(K2524,'Structure type'!$A$1:$B$15,2,FALSE)</f>
        <v>Service Lateral</v>
      </c>
      <c r="M2524" s="23" t="s">
        <v>52</v>
      </c>
      <c r="N2524" s="37" t="str">
        <f>VLOOKUP(M2524,'Excursion Cause'!$A$1:$B$34,2,FALSE)</f>
        <v>Collection system structural blockage</v>
      </c>
      <c r="O2524" s="29">
        <v>45021.0</v>
      </c>
      <c r="P2524" s="30">
        <v>0.5090277777777777</v>
      </c>
      <c r="Q2524" s="29">
        <v>45021.0</v>
      </c>
      <c r="R2524" s="30">
        <v>0.5097222222222222</v>
      </c>
      <c r="S2524" s="28">
        <v>0.0</v>
      </c>
      <c r="T2524" s="23" t="s">
        <v>118</v>
      </c>
      <c r="U2524" s="6"/>
      <c r="V2524" s="6"/>
      <c r="W2524" s="35">
        <v>29.684244</v>
      </c>
      <c r="X2524" s="35">
        <v>-95.3431579</v>
      </c>
      <c r="AA2524" s="33"/>
      <c r="AB2524" s="33"/>
      <c r="AC2524" s="33"/>
      <c r="AD2524" s="33"/>
      <c r="AE2524" s="33"/>
      <c r="AF2524" s="33"/>
      <c r="AG2524" s="33"/>
      <c r="AH2524" s="33"/>
      <c r="AI2524" s="33"/>
      <c r="AJ2524" s="33"/>
      <c r="AK2524" s="33"/>
      <c r="AL2524" s="33"/>
      <c r="AM2524" s="33"/>
      <c r="AN2524" s="33"/>
      <c r="AO2524" s="33"/>
    </row>
    <row r="2525" ht="15.75" customHeight="1">
      <c r="A2525" s="23">
        <v>51943.0</v>
      </c>
      <c r="B2525" s="23">
        <v>2023.0</v>
      </c>
      <c r="C2525" s="36" t="str">
        <f t="shared" si="7"/>
        <v>5107 TREMPER ST,Houston,TX</v>
      </c>
      <c r="D2525" s="23" t="s">
        <v>3858</v>
      </c>
      <c r="E2525" s="6" t="s">
        <v>25</v>
      </c>
      <c r="F2525" s="6" t="s">
        <v>1388</v>
      </c>
      <c r="G2525" s="31" t="s">
        <v>86</v>
      </c>
      <c r="H2525" s="23" t="s">
        <v>50</v>
      </c>
      <c r="I2525" s="37" t="str">
        <f>VLOOKUP(H2525,'Flow Location'!$A$1:$B$21,2,FALSE)</f>
        <v>Contained On Site, not within 5 ft. of Bayou/Surface Water/Drainage Ditch</v>
      </c>
      <c r="J2525" s="28">
        <v>0.0</v>
      </c>
      <c r="K2525" s="23" t="s">
        <v>45</v>
      </c>
      <c r="L2525" s="37" t="str">
        <f>VLOOKUP(K2525,'Structure type'!$A$1:$B$15,2,FALSE)</f>
        <v>City Cleanout</v>
      </c>
      <c r="M2525" s="23" t="s">
        <v>56</v>
      </c>
      <c r="N2525" s="37" t="str">
        <f>VLOOKUP(M2525,'Excursion Cause'!$A$1:$B$34,2,FALSE)</f>
        <v>Rags/Wipes</v>
      </c>
      <c r="O2525" s="29">
        <v>45022.0</v>
      </c>
      <c r="P2525" s="30">
        <v>0.36319444444444443</v>
      </c>
      <c r="Q2525" s="29">
        <v>45022.0</v>
      </c>
      <c r="R2525" s="30">
        <v>0.3638888888888889</v>
      </c>
      <c r="S2525" s="28">
        <v>0.0</v>
      </c>
      <c r="T2525" s="23" t="s">
        <v>1436</v>
      </c>
      <c r="U2525" s="6"/>
      <c r="V2525" s="6"/>
      <c r="W2525" s="35">
        <v>29.7748755</v>
      </c>
      <c r="X2525" s="35">
        <v>-95.3190321</v>
      </c>
      <c r="AA2525" s="33"/>
      <c r="AB2525" s="33"/>
      <c r="AC2525" s="33"/>
      <c r="AD2525" s="33"/>
      <c r="AE2525" s="33"/>
      <c r="AF2525" s="33"/>
      <c r="AG2525" s="33"/>
      <c r="AH2525" s="33"/>
      <c r="AI2525" s="33"/>
      <c r="AJ2525" s="33"/>
      <c r="AK2525" s="33"/>
      <c r="AL2525" s="33"/>
      <c r="AM2525" s="33"/>
      <c r="AN2525" s="33"/>
      <c r="AO2525" s="33"/>
    </row>
    <row r="2526" ht="15.75" customHeight="1">
      <c r="A2526" s="23">
        <v>51944.0</v>
      </c>
      <c r="B2526" s="23">
        <v>2023.0</v>
      </c>
      <c r="C2526" s="36" t="str">
        <f t="shared" si="7"/>
        <v>8110 ALLWOOD ST,Houston,TX</v>
      </c>
      <c r="D2526" s="23" t="s">
        <v>3859</v>
      </c>
      <c r="E2526" s="6" t="s">
        <v>25</v>
      </c>
      <c r="F2526" s="6" t="s">
        <v>1388</v>
      </c>
      <c r="G2526" s="31" t="s">
        <v>326</v>
      </c>
      <c r="H2526" s="23" t="s">
        <v>50</v>
      </c>
      <c r="I2526" s="37" t="str">
        <f>VLOOKUP(H2526,'Flow Location'!$A$1:$B$21,2,FALSE)</f>
        <v>Contained On Site, not within 5 ft. of Bayou/Surface Water/Drainage Ditch</v>
      </c>
      <c r="J2526" s="28">
        <v>0.0</v>
      </c>
      <c r="K2526" s="23" t="s">
        <v>51</v>
      </c>
      <c r="L2526" s="37" t="str">
        <f>VLOOKUP(K2526,'Structure type'!$A$1:$B$15,2,FALSE)</f>
        <v>Private Cleanout</v>
      </c>
      <c r="M2526" s="23" t="s">
        <v>30</v>
      </c>
      <c r="N2526" s="37" t="str">
        <f>VLOOKUP(M2526,'Excursion Cause'!$A$1:$B$34,2,FALSE)</f>
        <v>Grease Blockage</v>
      </c>
      <c r="O2526" s="29">
        <v>45019.0</v>
      </c>
      <c r="P2526" s="30">
        <v>0.6291666666666667</v>
      </c>
      <c r="Q2526" s="29">
        <v>45019.0</v>
      </c>
      <c r="R2526" s="30">
        <v>0.6298611111111111</v>
      </c>
      <c r="S2526" s="28">
        <v>0.0</v>
      </c>
      <c r="T2526" s="23" t="s">
        <v>3743</v>
      </c>
      <c r="U2526" s="6"/>
      <c r="V2526" s="6"/>
      <c r="W2526" s="35">
        <v>29.8346325</v>
      </c>
      <c r="X2526" s="35">
        <v>-95.3102708999999</v>
      </c>
      <c r="AA2526" s="33"/>
      <c r="AB2526" s="33"/>
      <c r="AC2526" s="33"/>
      <c r="AD2526" s="33"/>
      <c r="AE2526" s="33"/>
      <c r="AF2526" s="33"/>
      <c r="AG2526" s="33"/>
      <c r="AH2526" s="33"/>
      <c r="AI2526" s="33"/>
      <c r="AJ2526" s="33"/>
      <c r="AK2526" s="33"/>
      <c r="AL2526" s="33"/>
      <c r="AM2526" s="33"/>
      <c r="AN2526" s="33"/>
      <c r="AO2526" s="33"/>
    </row>
    <row r="2527" ht="15.75" customHeight="1">
      <c r="A2527" s="23">
        <v>51953.0</v>
      </c>
      <c r="B2527" s="23">
        <v>2023.0</v>
      </c>
      <c r="C2527" s="36" t="str">
        <f t="shared" si="7"/>
        <v>501 COLQUITT ST,Houston,TX</v>
      </c>
      <c r="D2527" s="23" t="s">
        <v>3860</v>
      </c>
      <c r="E2527" s="6" t="s">
        <v>25</v>
      </c>
      <c r="F2527" s="6" t="s">
        <v>1388</v>
      </c>
      <c r="G2527" s="31" t="s">
        <v>761</v>
      </c>
      <c r="H2527" s="23" t="s">
        <v>1493</v>
      </c>
      <c r="I2527" s="37" t="str">
        <f>VLOOKUP(H2527,'Flow Location'!$A$1:$B$21,2,FALSE)</f>
        <v>Contained On Site, not within 5 ft. of Bayou/Surface Water/Drainage Ditch</v>
      </c>
      <c r="J2527" s="28">
        <v>148.0</v>
      </c>
      <c r="K2527" s="23" t="s">
        <v>45</v>
      </c>
      <c r="L2527" s="37" t="str">
        <f>VLOOKUP(K2527,'Structure type'!$A$1:$B$15,2,FALSE)</f>
        <v>City Cleanout</v>
      </c>
      <c r="M2527" s="23" t="s">
        <v>56</v>
      </c>
      <c r="N2527" s="37" t="str">
        <f>VLOOKUP(M2527,'Excursion Cause'!$A$1:$B$34,2,FALSE)</f>
        <v>Rags/Wipes</v>
      </c>
      <c r="O2527" s="29">
        <v>45022.0</v>
      </c>
      <c r="P2527" s="30">
        <v>0.7090277777777778</v>
      </c>
      <c r="Q2527" s="29">
        <v>45022.0</v>
      </c>
      <c r="R2527" s="30">
        <v>0.7604166666666666</v>
      </c>
      <c r="S2527" s="28">
        <v>2.0</v>
      </c>
      <c r="T2527" s="23" t="s">
        <v>1473</v>
      </c>
      <c r="U2527" s="6"/>
      <c r="V2527" s="6"/>
      <c r="W2527" s="35">
        <v>29.7352664</v>
      </c>
      <c r="X2527" s="35">
        <v>-95.3852129</v>
      </c>
      <c r="AA2527" s="33"/>
      <c r="AB2527" s="33"/>
      <c r="AC2527" s="33"/>
      <c r="AD2527" s="33"/>
      <c r="AE2527" s="33"/>
      <c r="AF2527" s="33"/>
      <c r="AG2527" s="33"/>
      <c r="AH2527" s="33"/>
      <c r="AI2527" s="33"/>
      <c r="AJ2527" s="33"/>
      <c r="AK2527" s="33"/>
      <c r="AL2527" s="33"/>
      <c r="AM2527" s="33"/>
      <c r="AN2527" s="33"/>
      <c r="AO2527" s="33"/>
    </row>
    <row r="2528" ht="15.75" customHeight="1">
      <c r="A2528" s="23">
        <v>51955.0</v>
      </c>
      <c r="B2528" s="23">
        <v>2023.0</v>
      </c>
      <c r="C2528" s="36" t="str">
        <f t="shared" si="7"/>
        <v>2250 ALBANS RD,Houston,TX</v>
      </c>
      <c r="D2528" s="23" t="s">
        <v>3861</v>
      </c>
      <c r="E2528" s="6" t="s">
        <v>25</v>
      </c>
      <c r="F2528" s="6" t="s">
        <v>1388</v>
      </c>
      <c r="G2528" s="31" t="s">
        <v>3158</v>
      </c>
      <c r="H2528" s="23" t="s">
        <v>28</v>
      </c>
      <c r="I2528" s="37" t="str">
        <f>VLOOKUP(H2528,'Flow Location'!$A$1:$B$21,2,FALSE)</f>
        <v>Storm Sewer (not contained)</v>
      </c>
      <c r="J2528" s="28">
        <v>300.0</v>
      </c>
      <c r="K2528" s="23" t="s">
        <v>29</v>
      </c>
      <c r="L2528" s="37" t="str">
        <f>VLOOKUP(K2528,'Structure type'!$A$1:$B$15,2,FALSE)</f>
        <v>Manhole</v>
      </c>
      <c r="M2528" s="23" t="s">
        <v>30</v>
      </c>
      <c r="N2528" s="37" t="str">
        <f>VLOOKUP(M2528,'Excursion Cause'!$A$1:$B$34,2,FALSE)</f>
        <v>Grease Blockage</v>
      </c>
      <c r="O2528" s="29">
        <v>45023.0</v>
      </c>
      <c r="P2528" s="30">
        <v>0.5243055555555556</v>
      </c>
      <c r="Q2528" s="29">
        <v>45023.0</v>
      </c>
      <c r="R2528" s="30">
        <v>0.7326388888888888</v>
      </c>
      <c r="S2528" s="28">
        <v>1.0</v>
      </c>
      <c r="T2528" s="23" t="s">
        <v>3749</v>
      </c>
      <c r="U2528" s="6"/>
      <c r="V2528" s="6"/>
      <c r="W2528" s="35">
        <v>29.7241648</v>
      </c>
      <c r="X2528" s="35">
        <v>-95.4126297</v>
      </c>
      <c r="AA2528" s="33"/>
      <c r="AB2528" s="33"/>
      <c r="AC2528" s="33"/>
      <c r="AD2528" s="33"/>
      <c r="AE2528" s="33"/>
      <c r="AF2528" s="33"/>
      <c r="AG2528" s="33"/>
      <c r="AH2528" s="33"/>
      <c r="AI2528" s="33"/>
      <c r="AJ2528" s="33"/>
      <c r="AK2528" s="33"/>
      <c r="AL2528" s="33"/>
      <c r="AM2528" s="33"/>
      <c r="AN2528" s="33"/>
      <c r="AO2528" s="33"/>
    </row>
    <row r="2529" ht="15.75" customHeight="1">
      <c r="A2529" s="23">
        <v>51956.0</v>
      </c>
      <c r="B2529" s="23">
        <v>2023.0</v>
      </c>
      <c r="C2529" s="36" t="str">
        <f t="shared" si="7"/>
        <v>12534 HUNTINGTON FIELD DR,Houston,TX</v>
      </c>
      <c r="D2529" s="23" t="s">
        <v>3862</v>
      </c>
      <c r="E2529" s="6" t="s">
        <v>25</v>
      </c>
      <c r="F2529" s="6" t="s">
        <v>1388</v>
      </c>
      <c r="G2529" s="31" t="s">
        <v>154</v>
      </c>
      <c r="H2529" s="23" t="s">
        <v>50</v>
      </c>
      <c r="I2529" s="37" t="str">
        <f>VLOOKUP(H2529,'Flow Location'!$A$1:$B$21,2,FALSE)</f>
        <v>Contained On Site, not within 5 ft. of Bayou/Surface Water/Drainage Ditch</v>
      </c>
      <c r="J2529" s="28">
        <v>210.0</v>
      </c>
      <c r="K2529" s="23" t="s">
        <v>29</v>
      </c>
      <c r="L2529" s="37" t="str">
        <f>VLOOKUP(K2529,'Structure type'!$A$1:$B$15,2,FALSE)</f>
        <v>Manhole</v>
      </c>
      <c r="M2529" s="23" t="s">
        <v>30</v>
      </c>
      <c r="N2529" s="37" t="str">
        <f>VLOOKUP(M2529,'Excursion Cause'!$A$1:$B$34,2,FALSE)</f>
        <v>Grease Blockage</v>
      </c>
      <c r="O2529" s="29">
        <v>45023.0</v>
      </c>
      <c r="P2529" s="30">
        <v>0.5451388888888888</v>
      </c>
      <c r="Q2529" s="29">
        <v>45023.0</v>
      </c>
      <c r="R2529" s="30">
        <v>0.6180555555555556</v>
      </c>
      <c r="S2529" s="28">
        <v>2.0</v>
      </c>
      <c r="T2529" s="23" t="s">
        <v>1462</v>
      </c>
      <c r="U2529" s="6"/>
      <c r="V2529" s="6"/>
      <c r="W2529" s="35">
        <v>29.6681935</v>
      </c>
      <c r="X2529" s="35">
        <v>-95.6068378</v>
      </c>
      <c r="AA2529" s="33"/>
      <c r="AB2529" s="33"/>
      <c r="AC2529" s="33"/>
      <c r="AD2529" s="33"/>
      <c r="AE2529" s="33"/>
      <c r="AF2529" s="33"/>
      <c r="AG2529" s="33"/>
      <c r="AH2529" s="33"/>
      <c r="AI2529" s="33"/>
      <c r="AJ2529" s="33"/>
      <c r="AK2529" s="33"/>
      <c r="AL2529" s="33"/>
      <c r="AM2529" s="33"/>
      <c r="AN2529" s="33"/>
      <c r="AO2529" s="33"/>
    </row>
    <row r="2530" ht="15.75" customHeight="1">
      <c r="A2530" s="23">
        <v>51961.0</v>
      </c>
      <c r="B2530" s="23">
        <v>2023.0</v>
      </c>
      <c r="C2530" s="36" t="str">
        <f t="shared" si="7"/>
        <v>1218 GENOVA ST,Houston,TX</v>
      </c>
      <c r="D2530" s="23" t="s">
        <v>3863</v>
      </c>
      <c r="E2530" s="6" t="s">
        <v>25</v>
      </c>
      <c r="F2530" s="6" t="s">
        <v>1388</v>
      </c>
      <c r="G2530" s="31" t="s">
        <v>161</v>
      </c>
      <c r="H2530" s="23" t="s">
        <v>28</v>
      </c>
      <c r="I2530" s="37" t="str">
        <f>VLOOKUP(H2530,'Flow Location'!$A$1:$B$21,2,FALSE)</f>
        <v>Storm Sewer (not contained)</v>
      </c>
      <c r="J2530" s="28">
        <v>0.0</v>
      </c>
      <c r="K2530" s="23" t="s">
        <v>45</v>
      </c>
      <c r="L2530" s="37" t="str">
        <f>VLOOKUP(K2530,'Structure type'!$A$1:$B$15,2,FALSE)</f>
        <v>City Cleanout</v>
      </c>
      <c r="M2530" s="23" t="s">
        <v>81</v>
      </c>
      <c r="N2530" s="37" t="str">
        <f>VLOOKUP(M2530,'Excursion Cause'!$A$1:$B$34,2,FALSE)</f>
        <v>Collection system structural failure</v>
      </c>
      <c r="O2530" s="29">
        <v>45024.0</v>
      </c>
      <c r="P2530" s="30">
        <v>0.3701388888888889</v>
      </c>
      <c r="Q2530" s="29">
        <v>45024.0</v>
      </c>
      <c r="R2530" s="30">
        <v>0.37083333333333335</v>
      </c>
      <c r="S2530" s="28">
        <v>0.0</v>
      </c>
      <c r="T2530" s="23" t="s">
        <v>3745</v>
      </c>
      <c r="U2530" s="6"/>
      <c r="V2530" s="6"/>
      <c r="W2530" s="35">
        <v>29.7848033</v>
      </c>
      <c r="X2530" s="35">
        <v>-95.3553367</v>
      </c>
      <c r="AA2530" s="33"/>
      <c r="AB2530" s="33"/>
      <c r="AC2530" s="33"/>
      <c r="AD2530" s="33"/>
      <c r="AE2530" s="33"/>
      <c r="AF2530" s="33"/>
      <c r="AG2530" s="33"/>
      <c r="AH2530" s="33"/>
      <c r="AI2530" s="33"/>
      <c r="AJ2530" s="33"/>
      <c r="AK2530" s="33"/>
      <c r="AL2530" s="33"/>
      <c r="AM2530" s="33"/>
      <c r="AN2530" s="33"/>
      <c r="AO2530" s="33"/>
    </row>
    <row r="2531" ht="15.75" customHeight="1">
      <c r="A2531" s="23">
        <v>51963.0</v>
      </c>
      <c r="B2531" s="23">
        <v>2023.0</v>
      </c>
      <c r="C2531" s="36" t="str">
        <f t="shared" si="7"/>
        <v>8007 CAPITOL ST,Houston,TX</v>
      </c>
      <c r="D2531" s="23" t="s">
        <v>1264</v>
      </c>
      <c r="E2531" s="6" t="s">
        <v>25</v>
      </c>
      <c r="F2531" s="6" t="s">
        <v>1388</v>
      </c>
      <c r="G2531" s="31" t="s">
        <v>365</v>
      </c>
      <c r="H2531" s="23" t="s">
        <v>28</v>
      </c>
      <c r="I2531" s="37" t="str">
        <f>VLOOKUP(H2531,'Flow Location'!$A$1:$B$21,2,FALSE)</f>
        <v>Storm Sewer (not contained)</v>
      </c>
      <c r="J2531" s="28">
        <v>1200.0</v>
      </c>
      <c r="K2531" s="23" t="s">
        <v>29</v>
      </c>
      <c r="L2531" s="37" t="str">
        <f>VLOOKUP(K2531,'Structure type'!$A$1:$B$15,2,FALSE)</f>
        <v>Manhole</v>
      </c>
      <c r="M2531" s="23" t="s">
        <v>1174</v>
      </c>
      <c r="N2531" s="25" t="str">
        <f>VLOOKUP(M2531,'Excursion Cause'!$A$1:$B$34,2,FALSE)</f>
        <v>Collection system wet weather</v>
      </c>
      <c r="O2531" s="29">
        <v>45023.0</v>
      </c>
      <c r="P2531" s="30">
        <v>0.14583333333333334</v>
      </c>
      <c r="Q2531" s="29">
        <v>45023.0</v>
      </c>
      <c r="R2531" s="30">
        <v>0.22916666666666666</v>
      </c>
      <c r="S2531" s="28">
        <v>10.0</v>
      </c>
      <c r="T2531" s="23" t="s">
        <v>118</v>
      </c>
      <c r="U2531" s="6"/>
      <c r="V2531" s="6"/>
      <c r="W2531" s="35">
        <v>29.7281795</v>
      </c>
      <c r="X2531" s="35">
        <v>-95.2822578999999</v>
      </c>
      <c r="AA2531" s="33"/>
      <c r="AB2531" s="33"/>
      <c r="AC2531" s="33"/>
      <c r="AD2531" s="33"/>
      <c r="AE2531" s="33"/>
      <c r="AF2531" s="33"/>
      <c r="AG2531" s="33"/>
      <c r="AH2531" s="33"/>
      <c r="AI2531" s="33"/>
      <c r="AJ2531" s="33"/>
      <c r="AK2531" s="33"/>
      <c r="AL2531" s="33"/>
      <c r="AM2531" s="33"/>
      <c r="AN2531" s="33"/>
      <c r="AO2531" s="33"/>
    </row>
    <row r="2532" ht="15.75" customHeight="1">
      <c r="A2532" s="23">
        <v>51964.0</v>
      </c>
      <c r="B2532" s="23">
        <v>2023.0</v>
      </c>
      <c r="C2532" s="36" t="str">
        <f t="shared" si="7"/>
        <v>6747 LAWNDALE ST,Houston,TX</v>
      </c>
      <c r="D2532" s="23" t="s">
        <v>3688</v>
      </c>
      <c r="E2532" s="6" t="s">
        <v>25</v>
      </c>
      <c r="F2532" s="6" t="s">
        <v>1388</v>
      </c>
      <c r="G2532" s="31" t="s">
        <v>227</v>
      </c>
      <c r="H2532" s="23" t="s">
        <v>44</v>
      </c>
      <c r="I2532" s="37" t="str">
        <f>VLOOKUP(H2532,'Flow Location'!$A$1:$B$21,2,FALSE)</f>
        <v>Bayou/surface water/drainage ditch</v>
      </c>
      <c r="J2532" s="28">
        <v>1200.0</v>
      </c>
      <c r="K2532" s="23" t="s">
        <v>29</v>
      </c>
      <c r="L2532" s="37" t="str">
        <f>VLOOKUP(K2532,'Structure type'!$A$1:$B$15,2,FALSE)</f>
        <v>Manhole</v>
      </c>
      <c r="M2532" s="23" t="s">
        <v>1174</v>
      </c>
      <c r="N2532" s="25" t="str">
        <f>VLOOKUP(M2532,'Excursion Cause'!$A$1:$B$34,2,FALSE)</f>
        <v>Collection system wet weather</v>
      </c>
      <c r="O2532" s="29">
        <v>45023.0</v>
      </c>
      <c r="P2532" s="30">
        <v>0.125</v>
      </c>
      <c r="Q2532" s="29">
        <v>45023.0</v>
      </c>
      <c r="R2532" s="30">
        <v>0.16666666666666666</v>
      </c>
      <c r="S2532" s="28">
        <v>20.0</v>
      </c>
      <c r="T2532" s="23" t="s">
        <v>118</v>
      </c>
      <c r="U2532" s="6"/>
      <c r="V2532" s="6"/>
      <c r="W2532" s="35">
        <v>29.7230744</v>
      </c>
      <c r="X2532" s="35">
        <v>-95.3060569</v>
      </c>
      <c r="AA2532" s="33"/>
      <c r="AB2532" s="33"/>
      <c r="AC2532" s="33"/>
      <c r="AD2532" s="33"/>
      <c r="AE2532" s="33"/>
      <c r="AF2532" s="33"/>
      <c r="AG2532" s="33"/>
      <c r="AH2532" s="33"/>
      <c r="AI2532" s="33"/>
      <c r="AJ2532" s="33"/>
      <c r="AK2532" s="33"/>
      <c r="AL2532" s="33"/>
      <c r="AM2532" s="33"/>
      <c r="AN2532" s="33"/>
      <c r="AO2532" s="33"/>
    </row>
    <row r="2533" ht="15.75" customHeight="1">
      <c r="A2533" s="23">
        <v>51966.0</v>
      </c>
      <c r="B2533" s="23">
        <v>2023.0</v>
      </c>
      <c r="C2533" s="36" t="str">
        <f t="shared" si="7"/>
        <v>7115 LA PASEO ST,Houston,TX</v>
      </c>
      <c r="D2533" s="23" t="s">
        <v>3864</v>
      </c>
      <c r="E2533" s="6" t="s">
        <v>25</v>
      </c>
      <c r="F2533" s="6" t="s">
        <v>1388</v>
      </c>
      <c r="G2533" s="31" t="s">
        <v>35</v>
      </c>
      <c r="H2533" s="23" t="s">
        <v>50</v>
      </c>
      <c r="I2533" s="37" t="str">
        <f>VLOOKUP(H2533,'Flow Location'!$A$1:$B$21,2,FALSE)</f>
        <v>Contained On Site, not within 5 ft. of Bayou/Surface Water/Drainage Ditch</v>
      </c>
      <c r="J2533" s="28">
        <v>0.0</v>
      </c>
      <c r="K2533" s="23" t="s">
        <v>29</v>
      </c>
      <c r="L2533" s="37" t="str">
        <f>VLOOKUP(K2533,'Structure type'!$A$1:$B$15,2,FALSE)</f>
        <v>Manhole</v>
      </c>
      <c r="M2533" s="23" t="s">
        <v>30</v>
      </c>
      <c r="N2533" s="37" t="str">
        <f>VLOOKUP(M2533,'Excursion Cause'!$A$1:$B$34,2,FALSE)</f>
        <v>Grease Blockage</v>
      </c>
      <c r="O2533" s="29">
        <v>45025.0</v>
      </c>
      <c r="P2533" s="30">
        <v>0.5576388888888889</v>
      </c>
      <c r="Q2533" s="29">
        <v>45025.0</v>
      </c>
      <c r="R2533" s="30">
        <v>0.5583333333333333</v>
      </c>
      <c r="S2533" s="28">
        <v>0.0</v>
      </c>
      <c r="T2533" s="23" t="s">
        <v>1462</v>
      </c>
      <c r="U2533" s="6"/>
      <c r="V2533" s="6"/>
      <c r="W2533" s="35">
        <v>29.6783879</v>
      </c>
      <c r="X2533" s="35">
        <v>-95.3024236</v>
      </c>
      <c r="AA2533" s="33"/>
      <c r="AB2533" s="33"/>
      <c r="AC2533" s="33"/>
      <c r="AD2533" s="33"/>
      <c r="AE2533" s="33"/>
      <c r="AF2533" s="33"/>
      <c r="AG2533" s="33"/>
      <c r="AH2533" s="33"/>
      <c r="AI2533" s="33"/>
      <c r="AJ2533" s="33"/>
      <c r="AK2533" s="33"/>
      <c r="AL2533" s="33"/>
      <c r="AM2533" s="33"/>
      <c r="AN2533" s="33"/>
      <c r="AO2533" s="33"/>
    </row>
    <row r="2534" ht="15.75" customHeight="1">
      <c r="A2534" s="23">
        <v>51967.0</v>
      </c>
      <c r="B2534" s="23">
        <v>2023.0</v>
      </c>
      <c r="C2534" s="36" t="str">
        <f t="shared" si="7"/>
        <v>7913 LONGRIDGE DR,Houston,TX</v>
      </c>
      <c r="D2534" s="23" t="s">
        <v>1992</v>
      </c>
      <c r="E2534" s="6" t="s">
        <v>25</v>
      </c>
      <c r="F2534" s="6" t="s">
        <v>1388</v>
      </c>
      <c r="G2534" s="31" t="s">
        <v>27</v>
      </c>
      <c r="H2534" s="23" t="s">
        <v>50</v>
      </c>
      <c r="I2534" s="37" t="str">
        <f>VLOOKUP(H2534,'Flow Location'!$A$1:$B$21,2,FALSE)</f>
        <v>Contained On Site, not within 5 ft. of Bayou/Surface Water/Drainage Ditch</v>
      </c>
      <c r="J2534" s="28">
        <v>0.0</v>
      </c>
      <c r="K2534" s="23" t="s">
        <v>51</v>
      </c>
      <c r="L2534" s="37" t="str">
        <f>VLOOKUP(K2534,'Structure type'!$A$1:$B$15,2,FALSE)</f>
        <v>Private Cleanout</v>
      </c>
      <c r="M2534" s="23" t="s">
        <v>30</v>
      </c>
      <c r="N2534" s="37" t="str">
        <f>VLOOKUP(M2534,'Excursion Cause'!$A$1:$B$34,2,FALSE)</f>
        <v>Grease Blockage</v>
      </c>
      <c r="O2534" s="29">
        <v>45025.0</v>
      </c>
      <c r="P2534" s="30">
        <v>0.5701388888888889</v>
      </c>
      <c r="Q2534" s="29">
        <v>45025.0</v>
      </c>
      <c r="R2534" s="30">
        <v>0.5708333333333333</v>
      </c>
      <c r="S2534" s="28">
        <v>0.0</v>
      </c>
      <c r="T2534" s="23" t="s">
        <v>1462</v>
      </c>
      <c r="U2534" s="6"/>
      <c r="V2534" s="6"/>
      <c r="W2534" s="35">
        <v>29.8089601</v>
      </c>
      <c r="X2534" s="35">
        <v>-95.4866086999999</v>
      </c>
      <c r="AA2534" s="33"/>
      <c r="AB2534" s="33"/>
      <c r="AC2534" s="33"/>
      <c r="AD2534" s="33"/>
      <c r="AE2534" s="33"/>
      <c r="AF2534" s="33"/>
      <c r="AG2534" s="33"/>
      <c r="AH2534" s="33"/>
      <c r="AI2534" s="33"/>
      <c r="AJ2534" s="33"/>
      <c r="AK2534" s="33"/>
      <c r="AL2534" s="33"/>
      <c r="AM2534" s="33"/>
      <c r="AN2534" s="33"/>
      <c r="AO2534" s="33"/>
    </row>
    <row r="2535" ht="15.75" customHeight="1">
      <c r="A2535" s="23">
        <v>51968.0</v>
      </c>
      <c r="B2535" s="23">
        <v>2023.0</v>
      </c>
      <c r="C2535" s="36" t="str">
        <f t="shared" si="7"/>
        <v>10147 VALLEY WIND DR,Houston,TX</v>
      </c>
      <c r="D2535" s="23" t="s">
        <v>505</v>
      </c>
      <c r="E2535" s="6" t="s">
        <v>25</v>
      </c>
      <c r="F2535" s="6" t="s">
        <v>1388</v>
      </c>
      <c r="G2535" s="31" t="s">
        <v>387</v>
      </c>
      <c r="H2535" s="23" t="s">
        <v>50</v>
      </c>
      <c r="I2535" s="37" t="str">
        <f>VLOOKUP(H2535,'Flow Location'!$A$1:$B$21,2,FALSE)</f>
        <v>Contained On Site, not within 5 ft. of Bayou/Surface Water/Drainage Ditch</v>
      </c>
      <c r="J2535" s="28">
        <v>0.0</v>
      </c>
      <c r="K2535" s="23" t="s">
        <v>45</v>
      </c>
      <c r="L2535" s="37" t="str">
        <f>VLOOKUP(K2535,'Structure type'!$A$1:$B$15,2,FALSE)</f>
        <v>City Cleanout</v>
      </c>
      <c r="M2535" s="23" t="s">
        <v>30</v>
      </c>
      <c r="N2535" s="37" t="str">
        <f>VLOOKUP(M2535,'Excursion Cause'!$A$1:$B$34,2,FALSE)</f>
        <v>Grease Blockage</v>
      </c>
      <c r="O2535" s="29">
        <v>45025.0</v>
      </c>
      <c r="P2535" s="30">
        <v>0.6090277777777777</v>
      </c>
      <c r="Q2535" s="29">
        <v>45025.0</v>
      </c>
      <c r="R2535" s="30">
        <v>0.6097222222222223</v>
      </c>
      <c r="S2535" s="28">
        <v>0.0</v>
      </c>
      <c r="T2535" s="23" t="s">
        <v>1436</v>
      </c>
      <c r="U2535" s="6"/>
      <c r="V2535" s="6"/>
      <c r="W2535" s="35">
        <v>29.8478666999999</v>
      </c>
      <c r="X2535" s="35">
        <v>-95.2360686</v>
      </c>
      <c r="AA2535" s="33"/>
      <c r="AB2535" s="33"/>
      <c r="AC2535" s="33"/>
      <c r="AD2535" s="33"/>
      <c r="AE2535" s="33"/>
      <c r="AF2535" s="33"/>
      <c r="AG2535" s="33"/>
      <c r="AH2535" s="33"/>
      <c r="AI2535" s="33"/>
      <c r="AJ2535" s="33"/>
      <c r="AK2535" s="33"/>
      <c r="AL2535" s="33"/>
      <c r="AM2535" s="33"/>
      <c r="AN2535" s="33"/>
      <c r="AO2535" s="33"/>
    </row>
    <row r="2536" ht="15.75" customHeight="1">
      <c r="A2536" s="23">
        <v>51969.0</v>
      </c>
      <c r="B2536" s="23">
        <v>2023.0</v>
      </c>
      <c r="C2536" s="36" t="str">
        <f t="shared" si="7"/>
        <v>2218 RAINBOW DR,Houston,TX</v>
      </c>
      <c r="D2536" s="23" t="s">
        <v>3865</v>
      </c>
      <c r="E2536" s="6" t="s">
        <v>25</v>
      </c>
      <c r="F2536" s="6" t="s">
        <v>1388</v>
      </c>
      <c r="G2536" s="31" t="s">
        <v>141</v>
      </c>
      <c r="H2536" s="23" t="s">
        <v>28</v>
      </c>
      <c r="I2536" s="37" t="str">
        <f>VLOOKUP(H2536,'Flow Location'!$A$1:$B$21,2,FALSE)</f>
        <v>Storm Sewer (not contained)</v>
      </c>
      <c r="J2536" s="28">
        <v>0.0</v>
      </c>
      <c r="K2536" s="23" t="s">
        <v>29</v>
      </c>
      <c r="L2536" s="37" t="str">
        <f>VLOOKUP(K2536,'Structure type'!$A$1:$B$15,2,FALSE)</f>
        <v>Manhole</v>
      </c>
      <c r="M2536" s="23" t="s">
        <v>56</v>
      </c>
      <c r="N2536" s="37" t="str">
        <f>VLOOKUP(M2536,'Excursion Cause'!$A$1:$B$34,2,FALSE)</f>
        <v>Rags/Wipes</v>
      </c>
      <c r="O2536" s="29">
        <v>45026.0</v>
      </c>
      <c r="P2536" s="30">
        <v>0.3486111111111111</v>
      </c>
      <c r="Q2536" s="29">
        <v>45026.0</v>
      </c>
      <c r="R2536" s="30">
        <v>0.34930555555555554</v>
      </c>
      <c r="S2536" s="28">
        <v>0.0</v>
      </c>
      <c r="T2536" s="23" t="s">
        <v>1462</v>
      </c>
      <c r="U2536" s="6"/>
      <c r="V2536" s="6"/>
      <c r="W2536" s="35">
        <v>29.714409</v>
      </c>
      <c r="X2536" s="35">
        <v>-95.2998162999999</v>
      </c>
      <c r="AA2536" s="33"/>
      <c r="AB2536" s="33"/>
      <c r="AC2536" s="33"/>
      <c r="AD2536" s="33"/>
      <c r="AE2536" s="33"/>
      <c r="AF2536" s="33"/>
      <c r="AG2536" s="33"/>
      <c r="AH2536" s="33"/>
      <c r="AI2536" s="33"/>
      <c r="AJ2536" s="33"/>
      <c r="AK2536" s="33"/>
      <c r="AL2536" s="33"/>
      <c r="AM2536" s="33"/>
      <c r="AN2536" s="33"/>
      <c r="AO2536" s="33"/>
    </row>
    <row r="2537" ht="15.75" customHeight="1">
      <c r="A2537" s="23">
        <v>51972.0</v>
      </c>
      <c r="B2537" s="23">
        <v>2023.0</v>
      </c>
      <c r="C2537" s="36" t="str">
        <f t="shared" si="7"/>
        <v>7550 LONG POINT RD,Houston,TX</v>
      </c>
      <c r="D2537" s="23" t="s">
        <v>1151</v>
      </c>
      <c r="E2537" s="6" t="s">
        <v>25</v>
      </c>
      <c r="F2537" s="6" t="s">
        <v>1388</v>
      </c>
      <c r="G2537" s="31" t="s">
        <v>27</v>
      </c>
      <c r="H2537" s="23" t="s">
        <v>28</v>
      </c>
      <c r="I2537" s="37" t="str">
        <f>VLOOKUP(H2537,'Flow Location'!$A$1:$B$21,2,FALSE)</f>
        <v>Storm Sewer (not contained)</v>
      </c>
      <c r="J2537" s="28">
        <v>98.0</v>
      </c>
      <c r="K2537" s="23" t="s">
        <v>51</v>
      </c>
      <c r="L2537" s="37" t="str">
        <f>VLOOKUP(K2537,'Structure type'!$A$1:$B$15,2,FALSE)</f>
        <v>Private Cleanout</v>
      </c>
      <c r="M2537" s="23" t="s">
        <v>30</v>
      </c>
      <c r="N2537" s="37" t="str">
        <f>VLOOKUP(M2537,'Excursion Cause'!$A$1:$B$34,2,FALSE)</f>
        <v>Grease Blockage</v>
      </c>
      <c r="O2537" s="29">
        <v>45026.0</v>
      </c>
      <c r="P2537" s="30">
        <v>0.45902777777777776</v>
      </c>
      <c r="Q2537" s="29">
        <v>45026.0</v>
      </c>
      <c r="R2537" s="30">
        <v>0.5951388888888889</v>
      </c>
      <c r="S2537" s="28">
        <v>0.0</v>
      </c>
      <c r="T2537" s="23" t="s">
        <v>1462</v>
      </c>
      <c r="U2537" s="6"/>
      <c r="V2537" s="6"/>
      <c r="W2537" s="35">
        <v>29.8030949</v>
      </c>
      <c r="X2537" s="35">
        <v>-95.4790273999999</v>
      </c>
      <c r="AA2537" s="33"/>
      <c r="AB2537" s="33"/>
      <c r="AC2537" s="33"/>
      <c r="AD2537" s="33"/>
      <c r="AE2537" s="33"/>
      <c r="AF2537" s="33"/>
      <c r="AG2537" s="33"/>
      <c r="AH2537" s="33"/>
      <c r="AI2537" s="33"/>
      <c r="AJ2537" s="33"/>
      <c r="AK2537" s="33"/>
      <c r="AL2537" s="33"/>
      <c r="AM2537" s="33"/>
      <c r="AN2537" s="33"/>
      <c r="AO2537" s="33"/>
    </row>
    <row r="2538" ht="15.75" customHeight="1">
      <c r="A2538" s="23">
        <v>51973.0</v>
      </c>
      <c r="B2538" s="23">
        <v>2023.0</v>
      </c>
      <c r="C2538" s="36" t="str">
        <f t="shared" si="7"/>
        <v>7930 HOMEWOOD LN,Houston,TX</v>
      </c>
      <c r="D2538" s="23" t="s">
        <v>1418</v>
      </c>
      <c r="E2538" s="6" t="s">
        <v>25</v>
      </c>
      <c r="F2538" s="6" t="s">
        <v>1388</v>
      </c>
      <c r="G2538" s="31" t="s">
        <v>177</v>
      </c>
      <c r="H2538" s="23" t="s">
        <v>50</v>
      </c>
      <c r="I2538" s="37" t="str">
        <f>VLOOKUP(H2538,'Flow Location'!$A$1:$B$21,2,FALSE)</f>
        <v>Contained On Site, not within 5 ft. of Bayou/Surface Water/Drainage Ditch</v>
      </c>
      <c r="J2538" s="28">
        <v>0.0</v>
      </c>
      <c r="K2538" s="23" t="s">
        <v>45</v>
      </c>
      <c r="L2538" s="37" t="str">
        <f>VLOOKUP(K2538,'Structure type'!$A$1:$B$15,2,FALSE)</f>
        <v>City Cleanout</v>
      </c>
      <c r="M2538" s="23" t="s">
        <v>56</v>
      </c>
      <c r="N2538" s="37" t="str">
        <f>VLOOKUP(M2538,'Excursion Cause'!$A$1:$B$34,2,FALSE)</f>
        <v>Rags/Wipes</v>
      </c>
      <c r="O2538" s="29">
        <v>45026.0</v>
      </c>
      <c r="P2538" s="30">
        <v>0.49375</v>
      </c>
      <c r="Q2538" s="29">
        <v>45026.0</v>
      </c>
      <c r="R2538" s="30">
        <v>0.49444444444444446</v>
      </c>
      <c r="S2538" s="28">
        <v>0.0</v>
      </c>
      <c r="T2538" s="23" t="s">
        <v>1436</v>
      </c>
      <c r="U2538" s="6"/>
      <c r="V2538" s="6"/>
      <c r="W2538" s="35">
        <v>29.8420705</v>
      </c>
      <c r="X2538" s="35">
        <v>-95.2829179</v>
      </c>
      <c r="AA2538" s="33"/>
      <c r="AB2538" s="33"/>
      <c r="AC2538" s="33"/>
      <c r="AD2538" s="33"/>
      <c r="AE2538" s="33"/>
      <c r="AF2538" s="33"/>
      <c r="AG2538" s="33"/>
      <c r="AH2538" s="33"/>
      <c r="AI2538" s="33"/>
      <c r="AJ2538" s="33"/>
      <c r="AK2538" s="33"/>
      <c r="AL2538" s="33"/>
      <c r="AM2538" s="33"/>
      <c r="AN2538" s="33"/>
      <c r="AO2538" s="33"/>
    </row>
    <row r="2539" ht="15.75" customHeight="1">
      <c r="A2539" s="23">
        <v>51979.0</v>
      </c>
      <c r="B2539" s="23">
        <v>2023.0</v>
      </c>
      <c r="C2539" s="36" t="str">
        <f t="shared" si="7"/>
        <v>11014 HAZEN ST,Houston,TX</v>
      </c>
      <c r="D2539" s="23" t="s">
        <v>3866</v>
      </c>
      <c r="E2539" s="6" t="s">
        <v>25</v>
      </c>
      <c r="F2539" s="6" t="s">
        <v>1388</v>
      </c>
      <c r="G2539" s="31" t="s">
        <v>91</v>
      </c>
      <c r="H2539" s="23" t="s">
        <v>28</v>
      </c>
      <c r="I2539" s="37" t="str">
        <f>VLOOKUP(H2539,'Flow Location'!$A$1:$B$21,2,FALSE)</f>
        <v>Storm Sewer (not contained)</v>
      </c>
      <c r="J2539" s="28">
        <v>634.0</v>
      </c>
      <c r="K2539" s="23" t="s">
        <v>29</v>
      </c>
      <c r="L2539" s="37" t="str">
        <f>VLOOKUP(K2539,'Structure type'!$A$1:$B$15,2,FALSE)</f>
        <v>Manhole</v>
      </c>
      <c r="M2539" s="23" t="s">
        <v>30</v>
      </c>
      <c r="N2539" s="37" t="str">
        <f>VLOOKUP(M2539,'Excursion Cause'!$A$1:$B$34,2,FALSE)</f>
        <v>Grease Blockage</v>
      </c>
      <c r="O2539" s="29">
        <v>45026.0</v>
      </c>
      <c r="P2539" s="30">
        <v>0.54375</v>
      </c>
      <c r="Q2539" s="29">
        <v>45026.0</v>
      </c>
      <c r="R2539" s="30">
        <v>0.7638888888888888</v>
      </c>
      <c r="S2539" s="28">
        <v>2.0</v>
      </c>
      <c r="T2539" s="23" t="s">
        <v>3749</v>
      </c>
      <c r="U2539" s="6"/>
      <c r="V2539" s="6"/>
      <c r="W2539" s="35">
        <v>29.6926252</v>
      </c>
      <c r="X2539" s="35">
        <v>-95.5733375</v>
      </c>
      <c r="AA2539" s="33"/>
      <c r="AB2539" s="33"/>
      <c r="AC2539" s="33"/>
      <c r="AD2539" s="33"/>
      <c r="AE2539" s="33"/>
      <c r="AF2539" s="33"/>
      <c r="AG2539" s="33"/>
      <c r="AH2539" s="33"/>
      <c r="AI2539" s="33"/>
      <c r="AJ2539" s="33"/>
      <c r="AK2539" s="33"/>
      <c r="AL2539" s="33"/>
      <c r="AM2539" s="33"/>
      <c r="AN2539" s="33"/>
      <c r="AO2539" s="33"/>
    </row>
    <row r="2540" ht="15.75" customHeight="1">
      <c r="A2540" s="23">
        <v>51980.0</v>
      </c>
      <c r="B2540" s="23">
        <v>2023.0</v>
      </c>
      <c r="C2540" s="36" t="str">
        <f t="shared" si="7"/>
        <v>5547 INGOMAR WAY,Houston,TX</v>
      </c>
      <c r="D2540" s="23" t="s">
        <v>3867</v>
      </c>
      <c r="E2540" s="6" t="s">
        <v>25</v>
      </c>
      <c r="F2540" s="6" t="s">
        <v>1388</v>
      </c>
      <c r="G2540" s="31" t="s">
        <v>517</v>
      </c>
      <c r="H2540" s="23" t="s">
        <v>50</v>
      </c>
      <c r="I2540" s="37" t="str">
        <f>VLOOKUP(H2540,'Flow Location'!$A$1:$B$21,2,FALSE)</f>
        <v>Contained On Site, not within 5 ft. of Bayou/Surface Water/Drainage Ditch</v>
      </c>
      <c r="J2540" s="28">
        <v>0.0</v>
      </c>
      <c r="K2540" s="23" t="s">
        <v>45</v>
      </c>
      <c r="L2540" s="37" t="str">
        <f>VLOOKUP(K2540,'Structure type'!$A$1:$B$15,2,FALSE)</f>
        <v>City Cleanout</v>
      </c>
      <c r="M2540" s="23" t="s">
        <v>56</v>
      </c>
      <c r="N2540" s="37" t="str">
        <f>VLOOKUP(M2540,'Excursion Cause'!$A$1:$B$34,2,FALSE)</f>
        <v>Rags/Wipes</v>
      </c>
      <c r="O2540" s="29">
        <v>45026.0</v>
      </c>
      <c r="P2540" s="30">
        <v>0.56875</v>
      </c>
      <c r="Q2540" s="29">
        <v>45026.0</v>
      </c>
      <c r="R2540" s="30">
        <v>0.5694444444444444</v>
      </c>
      <c r="S2540" s="28">
        <v>0.0</v>
      </c>
      <c r="T2540" s="23" t="s">
        <v>1436</v>
      </c>
      <c r="U2540" s="6"/>
      <c r="V2540" s="6"/>
      <c r="W2540" s="35">
        <v>29.601735</v>
      </c>
      <c r="X2540" s="35">
        <v>-95.4664215999999</v>
      </c>
      <c r="AA2540" s="33"/>
      <c r="AB2540" s="33"/>
      <c r="AC2540" s="33"/>
      <c r="AD2540" s="33"/>
      <c r="AE2540" s="33"/>
      <c r="AF2540" s="33"/>
      <c r="AG2540" s="33"/>
      <c r="AH2540" s="33"/>
      <c r="AI2540" s="33"/>
      <c r="AJ2540" s="33"/>
      <c r="AK2540" s="33"/>
      <c r="AL2540" s="33"/>
      <c r="AM2540" s="33"/>
      <c r="AN2540" s="33"/>
      <c r="AO2540" s="33"/>
    </row>
    <row r="2541" ht="15.75" customHeight="1">
      <c r="A2541" s="23">
        <v>51981.0</v>
      </c>
      <c r="B2541" s="23">
        <v>2023.0</v>
      </c>
      <c r="C2541" s="36" t="str">
        <f t="shared" si="7"/>
        <v>18 WICKERBAY ST,Houston,TX</v>
      </c>
      <c r="D2541" s="23" t="s">
        <v>3792</v>
      </c>
      <c r="E2541" s="6" t="s">
        <v>25</v>
      </c>
      <c r="F2541" s="6" t="s">
        <v>1388</v>
      </c>
      <c r="G2541" s="31" t="s">
        <v>294</v>
      </c>
      <c r="H2541" s="23" t="s">
        <v>28</v>
      </c>
      <c r="I2541" s="37" t="str">
        <f>VLOOKUP(H2541,'Flow Location'!$A$1:$B$21,2,FALSE)</f>
        <v>Storm Sewer (not contained)</v>
      </c>
      <c r="J2541" s="28">
        <v>0.0</v>
      </c>
      <c r="K2541" s="23" t="s">
        <v>290</v>
      </c>
      <c r="L2541" s="37" t="str">
        <f>VLOOKUP(K2541,'Structure type'!$A$1:$B$15,2,FALSE)</f>
        <v>Gravity Main</v>
      </c>
      <c r="M2541" s="23" t="s">
        <v>81</v>
      </c>
      <c r="N2541" s="37" t="str">
        <f>VLOOKUP(M2541,'Excursion Cause'!$A$1:$B$34,2,FALSE)</f>
        <v>Collection system structural failure</v>
      </c>
      <c r="O2541" s="29">
        <v>45026.0</v>
      </c>
      <c r="P2541" s="30">
        <v>0.5923611111111111</v>
      </c>
      <c r="Q2541" s="29">
        <v>45026.0</v>
      </c>
      <c r="R2541" s="30">
        <v>0.5930555555555556</v>
      </c>
      <c r="S2541" s="28">
        <v>0.0</v>
      </c>
      <c r="T2541" s="23" t="s">
        <v>3868</v>
      </c>
      <c r="U2541" s="6"/>
      <c r="V2541" s="6"/>
      <c r="W2541" s="35">
        <v>29.7957793</v>
      </c>
      <c r="X2541" s="35">
        <v>-95.5368551</v>
      </c>
      <c r="AA2541" s="33"/>
      <c r="AB2541" s="33"/>
      <c r="AC2541" s="33"/>
      <c r="AD2541" s="33"/>
      <c r="AE2541" s="33"/>
      <c r="AF2541" s="33"/>
      <c r="AG2541" s="33"/>
      <c r="AH2541" s="33"/>
      <c r="AI2541" s="33"/>
      <c r="AJ2541" s="33"/>
      <c r="AK2541" s="33"/>
      <c r="AL2541" s="33"/>
      <c r="AM2541" s="33"/>
      <c r="AN2541" s="33"/>
      <c r="AO2541" s="33"/>
    </row>
    <row r="2542" ht="15.75" customHeight="1">
      <c r="A2542" s="23">
        <v>51982.0</v>
      </c>
      <c r="B2542" s="23">
        <v>2023.0</v>
      </c>
      <c r="C2542" s="36" t="str">
        <f t="shared" si="7"/>
        <v>16402 QUAIL BRIAR DR,Houston,TX</v>
      </c>
      <c r="D2542" s="23" t="s">
        <v>2893</v>
      </c>
      <c r="E2542" s="6" t="s">
        <v>25</v>
      </c>
      <c r="F2542" s="6" t="s">
        <v>1388</v>
      </c>
      <c r="G2542" s="31" t="s">
        <v>166</v>
      </c>
      <c r="H2542" s="23" t="s">
        <v>50</v>
      </c>
      <c r="I2542" s="37" t="str">
        <f>VLOOKUP(H2542,'Flow Location'!$A$1:$B$21,2,FALSE)</f>
        <v>Contained On Site, not within 5 ft. of Bayou/Surface Water/Drainage Ditch</v>
      </c>
      <c r="J2542" s="28">
        <v>0.0</v>
      </c>
      <c r="K2542" s="23" t="s">
        <v>45</v>
      </c>
      <c r="L2542" s="37" t="str">
        <f>VLOOKUP(K2542,'Structure type'!$A$1:$B$15,2,FALSE)</f>
        <v>City Cleanout</v>
      </c>
      <c r="M2542" s="23" t="s">
        <v>30</v>
      </c>
      <c r="N2542" s="37" t="str">
        <f>VLOOKUP(M2542,'Excursion Cause'!$A$1:$B$34,2,FALSE)</f>
        <v>Grease Blockage</v>
      </c>
      <c r="O2542" s="29">
        <v>45026.0</v>
      </c>
      <c r="P2542" s="30">
        <v>0.5951388888888889</v>
      </c>
      <c r="Q2542" s="29">
        <v>45026.0</v>
      </c>
      <c r="R2542" s="30">
        <v>0.5958333333333333</v>
      </c>
      <c r="S2542" s="28">
        <v>0.0</v>
      </c>
      <c r="T2542" s="23" t="s">
        <v>1473</v>
      </c>
      <c r="U2542" s="6"/>
      <c r="V2542" s="6"/>
      <c r="W2542" s="35">
        <v>29.5885108</v>
      </c>
      <c r="X2542" s="35">
        <v>-95.5161265</v>
      </c>
      <c r="AA2542" s="33"/>
      <c r="AB2542" s="33"/>
      <c r="AC2542" s="33"/>
      <c r="AD2542" s="33"/>
      <c r="AE2542" s="33"/>
      <c r="AF2542" s="33"/>
      <c r="AG2542" s="33"/>
      <c r="AH2542" s="33"/>
      <c r="AI2542" s="33"/>
      <c r="AJ2542" s="33"/>
      <c r="AK2542" s="33"/>
      <c r="AL2542" s="33"/>
      <c r="AM2542" s="33"/>
      <c r="AN2542" s="33"/>
      <c r="AO2542" s="33"/>
    </row>
    <row r="2543" ht="15.75" customHeight="1">
      <c r="A2543" s="23">
        <v>51983.0</v>
      </c>
      <c r="B2543" s="23">
        <v>2023.0</v>
      </c>
      <c r="C2543" s="36" t="str">
        <f t="shared" si="7"/>
        <v>4121 WIPPRECHT ST,Houston,TX</v>
      </c>
      <c r="D2543" s="23" t="s">
        <v>1542</v>
      </c>
      <c r="E2543" s="6" t="s">
        <v>25</v>
      </c>
      <c r="F2543" s="6" t="s">
        <v>1388</v>
      </c>
      <c r="G2543" s="31" t="s">
        <v>43</v>
      </c>
      <c r="H2543" s="23" t="s">
        <v>87</v>
      </c>
      <c r="I2543" s="37" t="str">
        <f>VLOOKUP(H2543,'Flow Location'!$A$1:$B$21,2,FALSE)</f>
        <v>Within 5 ft. of Bayou/Surface Water/Drainage Ditch</v>
      </c>
      <c r="J2543" s="28">
        <v>0.0</v>
      </c>
      <c r="K2543" s="23" t="s">
        <v>45</v>
      </c>
      <c r="L2543" s="37" t="str">
        <f>VLOOKUP(K2543,'Structure type'!$A$1:$B$15,2,FALSE)</f>
        <v>City Cleanout</v>
      </c>
      <c r="M2543" s="23" t="s">
        <v>30</v>
      </c>
      <c r="N2543" s="37" t="str">
        <f>VLOOKUP(M2543,'Excursion Cause'!$A$1:$B$34,2,FALSE)</f>
        <v>Grease Blockage</v>
      </c>
      <c r="O2543" s="29">
        <v>45026.0</v>
      </c>
      <c r="P2543" s="30">
        <v>0.63125</v>
      </c>
      <c r="Q2543" s="29">
        <v>45026.0</v>
      </c>
      <c r="R2543" s="30">
        <v>0.6319444444444444</v>
      </c>
      <c r="S2543" s="28">
        <v>0.0</v>
      </c>
      <c r="T2543" s="23" t="s">
        <v>1436</v>
      </c>
      <c r="U2543" s="6"/>
      <c r="V2543" s="6"/>
      <c r="W2543" s="35">
        <v>29.7986018</v>
      </c>
      <c r="X2543" s="35">
        <v>-95.3225875</v>
      </c>
      <c r="AA2543" s="33"/>
      <c r="AB2543" s="33"/>
      <c r="AC2543" s="33"/>
      <c r="AD2543" s="33"/>
      <c r="AE2543" s="33"/>
      <c r="AF2543" s="33"/>
      <c r="AG2543" s="33"/>
      <c r="AH2543" s="33"/>
      <c r="AI2543" s="33"/>
      <c r="AJ2543" s="33"/>
      <c r="AK2543" s="33"/>
      <c r="AL2543" s="33"/>
      <c r="AM2543" s="33"/>
      <c r="AN2543" s="33"/>
      <c r="AO2543" s="33"/>
    </row>
    <row r="2544" ht="15.75" customHeight="1">
      <c r="A2544" s="23">
        <v>51984.0</v>
      </c>
      <c r="B2544" s="23">
        <v>2023.0</v>
      </c>
      <c r="C2544" s="36" t="str">
        <f t="shared" si="7"/>
        <v>3911 KENNON ST,Houston,TX</v>
      </c>
      <c r="D2544" s="23" t="s">
        <v>3869</v>
      </c>
      <c r="E2544" s="6" t="s">
        <v>25</v>
      </c>
      <c r="F2544" s="6" t="s">
        <v>1388</v>
      </c>
      <c r="G2544" s="31" t="s">
        <v>161</v>
      </c>
      <c r="H2544" s="23" t="s">
        <v>28</v>
      </c>
      <c r="I2544" s="37" t="str">
        <f>VLOOKUP(H2544,'Flow Location'!$A$1:$B$21,2,FALSE)</f>
        <v>Storm Sewer (not contained)</v>
      </c>
      <c r="J2544" s="28">
        <v>0.0</v>
      </c>
      <c r="K2544" s="23" t="s">
        <v>198</v>
      </c>
      <c r="L2544" s="37" t="str">
        <f>VLOOKUP(K2544,'Structure type'!$A$1:$B$15,2,FALSE)</f>
        <v>Service Lateral</v>
      </c>
      <c r="M2544" s="23" t="s">
        <v>81</v>
      </c>
      <c r="N2544" s="37" t="str">
        <f>VLOOKUP(M2544,'Excursion Cause'!$A$1:$B$34,2,FALSE)</f>
        <v>Collection system structural failure</v>
      </c>
      <c r="O2544" s="29">
        <v>45026.0</v>
      </c>
      <c r="P2544" s="30">
        <v>0.6527777777777778</v>
      </c>
      <c r="Q2544" s="29">
        <v>45026.0</v>
      </c>
      <c r="R2544" s="30">
        <v>0.6534722222222222</v>
      </c>
      <c r="S2544" s="28">
        <v>0.0</v>
      </c>
      <c r="T2544" s="23" t="s">
        <v>118</v>
      </c>
      <c r="U2544" s="6"/>
      <c r="V2544" s="6"/>
      <c r="W2544" s="35">
        <v>29.7953224</v>
      </c>
      <c r="X2544" s="35">
        <v>-95.3649981</v>
      </c>
      <c r="AA2544" s="33"/>
      <c r="AB2544" s="33"/>
      <c r="AC2544" s="33"/>
      <c r="AD2544" s="33"/>
      <c r="AE2544" s="33"/>
      <c r="AF2544" s="33"/>
      <c r="AG2544" s="33"/>
      <c r="AH2544" s="33"/>
      <c r="AI2544" s="33"/>
      <c r="AJ2544" s="33"/>
      <c r="AK2544" s="33"/>
      <c r="AL2544" s="33"/>
      <c r="AM2544" s="33"/>
      <c r="AN2544" s="33"/>
      <c r="AO2544" s="33"/>
    </row>
    <row r="2545" ht="15.75" customHeight="1">
      <c r="A2545" s="23">
        <v>51985.0</v>
      </c>
      <c r="B2545" s="23">
        <v>2023.0</v>
      </c>
      <c r="C2545" s="36" t="str">
        <f t="shared" si="7"/>
        <v>14014 WHITE HEATHER DR,Houston,TX</v>
      </c>
      <c r="D2545" s="23" t="s">
        <v>3870</v>
      </c>
      <c r="E2545" s="6" t="s">
        <v>25</v>
      </c>
      <c r="F2545" s="6" t="s">
        <v>1388</v>
      </c>
      <c r="G2545" s="31" t="s">
        <v>39</v>
      </c>
      <c r="H2545" s="23" t="s">
        <v>50</v>
      </c>
      <c r="I2545" s="37" t="str">
        <f>VLOOKUP(H2545,'Flow Location'!$A$1:$B$21,2,FALSE)</f>
        <v>Contained On Site, not within 5 ft. of Bayou/Surface Water/Drainage Ditch</v>
      </c>
      <c r="J2545" s="28">
        <v>0.0</v>
      </c>
      <c r="K2545" s="23" t="s">
        <v>198</v>
      </c>
      <c r="L2545" s="37" t="str">
        <f>VLOOKUP(K2545,'Structure type'!$A$1:$B$15,2,FALSE)</f>
        <v>Service Lateral</v>
      </c>
      <c r="M2545" s="23" t="s">
        <v>52</v>
      </c>
      <c r="N2545" s="37" t="str">
        <f>VLOOKUP(M2545,'Excursion Cause'!$A$1:$B$34,2,FALSE)</f>
        <v>Collection system structural blockage</v>
      </c>
      <c r="O2545" s="29">
        <v>45026.0</v>
      </c>
      <c r="P2545" s="30">
        <v>0.73125</v>
      </c>
      <c r="Q2545" s="29">
        <v>45026.0</v>
      </c>
      <c r="R2545" s="30">
        <v>0.7319444444444444</v>
      </c>
      <c r="S2545" s="28">
        <v>0.0</v>
      </c>
      <c r="T2545" s="23" t="s">
        <v>1473</v>
      </c>
      <c r="U2545" s="6"/>
      <c r="V2545" s="6"/>
      <c r="W2545" s="35">
        <v>29.6243816</v>
      </c>
      <c r="X2545" s="35">
        <v>-95.4382414</v>
      </c>
      <c r="AA2545" s="33"/>
      <c r="AB2545" s="33"/>
      <c r="AC2545" s="33"/>
      <c r="AD2545" s="33"/>
      <c r="AE2545" s="33"/>
      <c r="AF2545" s="33"/>
      <c r="AG2545" s="33"/>
      <c r="AH2545" s="33"/>
      <c r="AI2545" s="33"/>
      <c r="AJ2545" s="33"/>
      <c r="AK2545" s="33"/>
      <c r="AL2545" s="33"/>
      <c r="AM2545" s="33"/>
      <c r="AN2545" s="33"/>
      <c r="AO2545" s="33"/>
    </row>
    <row r="2546" ht="15.75" customHeight="1">
      <c r="A2546" s="23">
        <v>51989.0</v>
      </c>
      <c r="B2546" s="23">
        <v>2023.0</v>
      </c>
      <c r="C2546" s="36" t="str">
        <f t="shared" si="7"/>
        <v>11839 PLUMBROOK DR,Houston,TX</v>
      </c>
      <c r="D2546" s="23" t="s">
        <v>3871</v>
      </c>
      <c r="E2546" s="6" t="s">
        <v>25</v>
      </c>
      <c r="F2546" s="6" t="s">
        <v>1388</v>
      </c>
      <c r="G2546" s="31" t="s">
        <v>154</v>
      </c>
      <c r="H2546" s="23" t="s">
        <v>50</v>
      </c>
      <c r="I2546" s="37" t="str">
        <f>VLOOKUP(H2546,'Flow Location'!$A$1:$B$21,2,FALSE)</f>
        <v>Contained On Site, not within 5 ft. of Bayou/Surface Water/Drainage Ditch</v>
      </c>
      <c r="J2546" s="28">
        <v>0.0</v>
      </c>
      <c r="K2546" s="23" t="s">
        <v>51</v>
      </c>
      <c r="L2546" s="37" t="str">
        <f>VLOOKUP(K2546,'Structure type'!$A$1:$B$15,2,FALSE)</f>
        <v>Private Cleanout</v>
      </c>
      <c r="M2546" s="23" t="s">
        <v>30</v>
      </c>
      <c r="N2546" s="37" t="str">
        <f>VLOOKUP(M2546,'Excursion Cause'!$A$1:$B$34,2,FALSE)</f>
        <v>Grease Blockage</v>
      </c>
      <c r="O2546" s="29">
        <v>45027.0</v>
      </c>
      <c r="P2546" s="30">
        <v>0.5902777777777778</v>
      </c>
      <c r="Q2546" s="29">
        <v>45027.0</v>
      </c>
      <c r="R2546" s="30">
        <v>0.6180555555555556</v>
      </c>
      <c r="S2546" s="28">
        <v>0.0</v>
      </c>
      <c r="T2546" s="23" t="s">
        <v>3749</v>
      </c>
      <c r="U2546" s="6"/>
      <c r="V2546" s="6"/>
      <c r="W2546" s="35">
        <v>29.6672549</v>
      </c>
      <c r="X2546" s="35">
        <v>-95.5871138</v>
      </c>
      <c r="AA2546" s="33"/>
      <c r="AB2546" s="33"/>
      <c r="AC2546" s="33"/>
      <c r="AD2546" s="33"/>
      <c r="AE2546" s="33"/>
      <c r="AF2546" s="33"/>
      <c r="AG2546" s="33"/>
      <c r="AH2546" s="33"/>
      <c r="AI2546" s="33"/>
      <c r="AJ2546" s="33"/>
      <c r="AK2546" s="33"/>
      <c r="AL2546" s="33"/>
      <c r="AM2546" s="33"/>
      <c r="AN2546" s="33"/>
      <c r="AO2546" s="33"/>
    </row>
    <row r="2547" ht="15.75" customHeight="1">
      <c r="A2547" s="23">
        <v>51996.0</v>
      </c>
      <c r="B2547" s="23">
        <v>2023.0</v>
      </c>
      <c r="C2547" s="36" t="str">
        <f t="shared" si="7"/>
        <v>4414 SHELTON RD,Houston,TX</v>
      </c>
      <c r="D2547" s="23" t="s">
        <v>3872</v>
      </c>
      <c r="E2547" s="6" t="s">
        <v>25</v>
      </c>
      <c r="F2547" s="6" t="s">
        <v>1388</v>
      </c>
      <c r="G2547" s="31" t="s">
        <v>109</v>
      </c>
      <c r="H2547" s="23" t="s">
        <v>50</v>
      </c>
      <c r="I2547" s="37" t="str">
        <f>VLOOKUP(H2547,'Flow Location'!$A$1:$B$21,2,FALSE)</f>
        <v>Contained On Site, not within 5 ft. of Bayou/Surface Water/Drainage Ditch</v>
      </c>
      <c r="J2547" s="28">
        <v>0.0</v>
      </c>
      <c r="K2547" s="23" t="s">
        <v>51</v>
      </c>
      <c r="L2547" s="37" t="str">
        <f>VLOOKUP(K2547,'Structure type'!$A$1:$B$15,2,FALSE)</f>
        <v>Private Cleanout</v>
      </c>
      <c r="M2547" s="23" t="s">
        <v>56</v>
      </c>
      <c r="N2547" s="37" t="str">
        <f>VLOOKUP(M2547,'Excursion Cause'!$A$1:$B$34,2,FALSE)</f>
        <v>Rags/Wipes</v>
      </c>
      <c r="O2547" s="29">
        <v>45027.0</v>
      </c>
      <c r="P2547" s="30">
        <v>0.7034722222222223</v>
      </c>
      <c r="Q2547" s="29">
        <v>45027.0</v>
      </c>
      <c r="R2547" s="30">
        <v>0.7041666666666667</v>
      </c>
      <c r="S2547" s="28">
        <v>0.0</v>
      </c>
      <c r="T2547" s="23" t="s">
        <v>1473</v>
      </c>
      <c r="U2547" s="6"/>
      <c r="V2547" s="6"/>
      <c r="W2547" s="35">
        <v>29.8751361</v>
      </c>
      <c r="X2547" s="35">
        <v>-95.3225429</v>
      </c>
      <c r="AA2547" s="33"/>
      <c r="AB2547" s="33"/>
      <c r="AC2547" s="33"/>
      <c r="AD2547" s="33"/>
      <c r="AE2547" s="33"/>
      <c r="AF2547" s="33"/>
      <c r="AG2547" s="33"/>
      <c r="AH2547" s="33"/>
      <c r="AI2547" s="33"/>
      <c r="AJ2547" s="33"/>
      <c r="AK2547" s="33"/>
      <c r="AL2547" s="33"/>
      <c r="AM2547" s="33"/>
      <c r="AN2547" s="33"/>
      <c r="AO2547" s="33"/>
    </row>
    <row r="2548" ht="15.75" customHeight="1">
      <c r="A2548" s="23">
        <v>51997.0</v>
      </c>
      <c r="B2548" s="23">
        <v>2023.0</v>
      </c>
      <c r="C2548" s="36" t="str">
        <f t="shared" si="7"/>
        <v>5526 LINCREST LN,Houston,TX</v>
      </c>
      <c r="D2548" s="23" t="s">
        <v>3873</v>
      </c>
      <c r="E2548" s="6" t="s">
        <v>25</v>
      </c>
      <c r="F2548" s="6" t="s">
        <v>1388</v>
      </c>
      <c r="G2548" s="31" t="s">
        <v>993</v>
      </c>
      <c r="H2548" s="23" t="s">
        <v>50</v>
      </c>
      <c r="I2548" s="37" t="str">
        <f>VLOOKUP(H2548,'Flow Location'!$A$1:$B$21,2,FALSE)</f>
        <v>Contained On Site, not within 5 ft. of Bayou/Surface Water/Drainage Ditch</v>
      </c>
      <c r="J2548" s="28">
        <v>0.0</v>
      </c>
      <c r="K2548" s="23" t="s">
        <v>29</v>
      </c>
      <c r="L2548" s="37" t="str">
        <f>VLOOKUP(K2548,'Structure type'!$A$1:$B$15,2,FALSE)</f>
        <v>Manhole</v>
      </c>
      <c r="M2548" s="23" t="s">
        <v>30</v>
      </c>
      <c r="N2548" s="37" t="str">
        <f>VLOOKUP(M2548,'Excursion Cause'!$A$1:$B$34,2,FALSE)</f>
        <v>Grease Blockage</v>
      </c>
      <c r="O2548" s="29">
        <v>45027.0</v>
      </c>
      <c r="P2548" s="30">
        <v>0.7097222222222223</v>
      </c>
      <c r="Q2548" s="29">
        <v>45027.0</v>
      </c>
      <c r="R2548" s="30">
        <v>0.7104166666666667</v>
      </c>
      <c r="S2548" s="28">
        <v>0.0</v>
      </c>
      <c r="T2548" s="23" t="s">
        <v>1462</v>
      </c>
      <c r="U2548" s="6"/>
      <c r="V2548" s="6"/>
      <c r="W2548" s="35">
        <v>29.7298143</v>
      </c>
      <c r="X2548" s="35">
        <v>-95.4753645</v>
      </c>
      <c r="AA2548" s="33"/>
      <c r="AB2548" s="33"/>
      <c r="AC2548" s="33"/>
      <c r="AD2548" s="33"/>
      <c r="AE2548" s="33"/>
      <c r="AF2548" s="33"/>
      <c r="AG2548" s="33"/>
      <c r="AH2548" s="33"/>
      <c r="AI2548" s="33"/>
      <c r="AJ2548" s="33"/>
      <c r="AK2548" s="33"/>
      <c r="AL2548" s="33"/>
      <c r="AM2548" s="33"/>
      <c r="AN2548" s="33"/>
      <c r="AO2548" s="33"/>
    </row>
    <row r="2549" ht="15.75" customHeight="1">
      <c r="A2549" s="23">
        <v>51998.0</v>
      </c>
      <c r="B2549" s="23">
        <v>2023.0</v>
      </c>
      <c r="C2549" s="36" t="str">
        <f t="shared" si="7"/>
        <v>1818 WAUGH DR,Houston,TX</v>
      </c>
      <c r="D2549" s="23" t="s">
        <v>3874</v>
      </c>
      <c r="E2549" s="6" t="s">
        <v>25</v>
      </c>
      <c r="F2549" s="6" t="s">
        <v>1388</v>
      </c>
      <c r="G2549" s="31" t="s">
        <v>761</v>
      </c>
      <c r="H2549" s="23" t="s">
        <v>50</v>
      </c>
      <c r="I2549" s="37" t="str">
        <f>VLOOKUP(H2549,'Flow Location'!$A$1:$B$21,2,FALSE)</f>
        <v>Contained On Site, not within 5 ft. of Bayou/Surface Water/Drainage Ditch</v>
      </c>
      <c r="J2549" s="28">
        <v>151.0</v>
      </c>
      <c r="K2549" s="23" t="s">
        <v>29</v>
      </c>
      <c r="L2549" s="37" t="str">
        <f>VLOOKUP(K2549,'Structure type'!$A$1:$B$15,2,FALSE)</f>
        <v>Manhole</v>
      </c>
      <c r="M2549" s="23" t="s">
        <v>30</v>
      </c>
      <c r="N2549" s="37" t="str">
        <f>VLOOKUP(M2549,'Excursion Cause'!$A$1:$B$34,2,FALSE)</f>
        <v>Grease Blockage</v>
      </c>
      <c r="O2549" s="29">
        <v>45028.0</v>
      </c>
      <c r="P2549" s="30">
        <v>0.3701388888888889</v>
      </c>
      <c r="Q2549" s="29">
        <v>45028.0</v>
      </c>
      <c r="R2549" s="30">
        <v>0.475</v>
      </c>
      <c r="S2549" s="28">
        <v>1.0</v>
      </c>
      <c r="T2549" s="23" t="s">
        <v>3749</v>
      </c>
      <c r="U2549" s="6"/>
      <c r="V2549" s="6"/>
      <c r="W2549" s="35">
        <v>29.7509713999999</v>
      </c>
      <c r="X2549" s="35">
        <v>-95.3974483</v>
      </c>
      <c r="AA2549" s="33"/>
      <c r="AB2549" s="33"/>
      <c r="AC2549" s="33"/>
      <c r="AD2549" s="33"/>
      <c r="AE2549" s="33"/>
      <c r="AF2549" s="33"/>
      <c r="AG2549" s="33"/>
      <c r="AH2549" s="33"/>
      <c r="AI2549" s="33"/>
      <c r="AJ2549" s="33"/>
      <c r="AK2549" s="33"/>
      <c r="AL2549" s="33"/>
      <c r="AM2549" s="33"/>
      <c r="AN2549" s="33"/>
      <c r="AO2549" s="33"/>
    </row>
    <row r="2550" ht="15.75" customHeight="1">
      <c r="A2550" s="23">
        <v>52003.0</v>
      </c>
      <c r="B2550" s="23">
        <v>2023.0</v>
      </c>
      <c r="C2550" s="36" t="str">
        <f t="shared" si="7"/>
        <v>10210 MOROCCO RD,Houston,TX</v>
      </c>
      <c r="D2550" s="23" t="s">
        <v>3875</v>
      </c>
      <c r="E2550" s="6" t="s">
        <v>25</v>
      </c>
      <c r="F2550" s="6" t="s">
        <v>1388</v>
      </c>
      <c r="G2550" s="31" t="s">
        <v>344</v>
      </c>
      <c r="H2550" s="23" t="s">
        <v>28</v>
      </c>
      <c r="I2550" s="37" t="str">
        <f>VLOOKUP(H2550,'Flow Location'!$A$1:$B$21,2,FALSE)</f>
        <v>Storm Sewer (not contained)</v>
      </c>
      <c r="J2550" s="28">
        <v>0.0</v>
      </c>
      <c r="K2550" s="23" t="s">
        <v>29</v>
      </c>
      <c r="L2550" s="37" t="str">
        <f>VLOOKUP(K2550,'Structure type'!$A$1:$B$15,2,FALSE)</f>
        <v>Manhole</v>
      </c>
      <c r="M2550" s="23" t="s">
        <v>30</v>
      </c>
      <c r="N2550" s="37" t="str">
        <f>VLOOKUP(M2550,'Excursion Cause'!$A$1:$B$34,2,FALSE)</f>
        <v>Grease Blockage</v>
      </c>
      <c r="O2550" s="29">
        <v>45028.0</v>
      </c>
      <c r="P2550" s="30">
        <v>0.4840277777777778</v>
      </c>
      <c r="Q2550" s="29">
        <v>45028.0</v>
      </c>
      <c r="R2550" s="30">
        <v>0.4847222222222222</v>
      </c>
      <c r="S2550" s="28">
        <v>0.0</v>
      </c>
      <c r="T2550" s="23" t="s">
        <v>1462</v>
      </c>
      <c r="U2550" s="6"/>
      <c r="V2550" s="6"/>
      <c r="W2550" s="35">
        <v>29.849283</v>
      </c>
      <c r="X2550" s="35">
        <v>-95.545762</v>
      </c>
      <c r="AA2550" s="33"/>
      <c r="AB2550" s="33"/>
      <c r="AC2550" s="33"/>
      <c r="AD2550" s="33"/>
      <c r="AE2550" s="33"/>
      <c r="AF2550" s="33"/>
      <c r="AG2550" s="33"/>
      <c r="AH2550" s="33"/>
      <c r="AI2550" s="33"/>
      <c r="AJ2550" s="33"/>
      <c r="AK2550" s="33"/>
      <c r="AL2550" s="33"/>
      <c r="AM2550" s="33"/>
      <c r="AN2550" s="33"/>
      <c r="AO2550" s="33"/>
    </row>
    <row r="2551" ht="15.75" customHeight="1">
      <c r="A2551" s="23">
        <v>52006.0</v>
      </c>
      <c r="B2551" s="23">
        <v>2023.0</v>
      </c>
      <c r="C2551" s="36" t="str">
        <f t="shared" si="7"/>
        <v>7600 HOUSTON RD,Houston,TX</v>
      </c>
      <c r="D2551" s="23" t="s">
        <v>3876</v>
      </c>
      <c r="E2551" s="6" t="s">
        <v>25</v>
      </c>
      <c r="F2551" s="6" t="s">
        <v>1388</v>
      </c>
      <c r="G2551" s="31" t="s">
        <v>177</v>
      </c>
      <c r="H2551" s="23" t="s">
        <v>1977</v>
      </c>
      <c r="I2551" s="37" t="str">
        <f>VLOOKUP(H2551,'Flow Location'!$A$1:$B$21,2,FALSE)</f>
        <v>Bayou/surface water/drainage ditch</v>
      </c>
      <c r="J2551" s="28">
        <v>861.0</v>
      </c>
      <c r="K2551" s="23" t="s">
        <v>29</v>
      </c>
      <c r="L2551" s="37" t="str">
        <f>VLOOKUP(K2551,'Structure type'!$A$1:$B$15,2,FALSE)</f>
        <v>Manhole</v>
      </c>
      <c r="M2551" s="23" t="s">
        <v>30</v>
      </c>
      <c r="N2551" s="37" t="str">
        <f>VLOOKUP(M2551,'Excursion Cause'!$A$1:$B$34,2,FALSE)</f>
        <v>Grease Blockage</v>
      </c>
      <c r="O2551" s="29">
        <v>45028.0</v>
      </c>
      <c r="P2551" s="30">
        <v>0.5159722222222223</v>
      </c>
      <c r="Q2551" s="29">
        <v>45028.0</v>
      </c>
      <c r="R2551" s="30">
        <v>0.7152777777777778</v>
      </c>
      <c r="S2551" s="28">
        <v>3.0</v>
      </c>
      <c r="T2551" s="23" t="s">
        <v>3749</v>
      </c>
      <c r="U2551" s="6"/>
      <c r="V2551" s="6"/>
      <c r="W2551" s="35">
        <v>29.8323763</v>
      </c>
      <c r="X2551" s="35">
        <v>-95.2691895999999</v>
      </c>
      <c r="AA2551" s="33"/>
      <c r="AB2551" s="33"/>
      <c r="AC2551" s="33"/>
      <c r="AD2551" s="33"/>
      <c r="AE2551" s="33"/>
      <c r="AF2551" s="33"/>
      <c r="AG2551" s="33"/>
      <c r="AH2551" s="33"/>
      <c r="AI2551" s="33"/>
      <c r="AJ2551" s="33"/>
      <c r="AK2551" s="33"/>
      <c r="AL2551" s="33"/>
      <c r="AM2551" s="33"/>
      <c r="AN2551" s="33"/>
      <c r="AO2551" s="33"/>
    </row>
    <row r="2552" ht="15.75" customHeight="1">
      <c r="A2552" s="23">
        <v>52011.0</v>
      </c>
      <c r="B2552" s="23">
        <v>2023.0</v>
      </c>
      <c r="C2552" s="36" t="str">
        <f t="shared" si="7"/>
        <v>7550 LONG POINT RD,Houston,TX</v>
      </c>
      <c r="D2552" s="23" t="s">
        <v>1151</v>
      </c>
      <c r="E2552" s="6" t="s">
        <v>25</v>
      </c>
      <c r="F2552" s="6" t="s">
        <v>1388</v>
      </c>
      <c r="G2552" s="31" t="s">
        <v>27</v>
      </c>
      <c r="H2552" s="23" t="s">
        <v>50</v>
      </c>
      <c r="I2552" s="37" t="str">
        <f>VLOOKUP(H2552,'Flow Location'!$A$1:$B$21,2,FALSE)</f>
        <v>Contained On Site, not within 5 ft. of Bayou/Surface Water/Drainage Ditch</v>
      </c>
      <c r="J2552" s="28">
        <v>530.0</v>
      </c>
      <c r="K2552" s="23" t="s">
        <v>51</v>
      </c>
      <c r="L2552" s="37" t="str">
        <f>VLOOKUP(K2552,'Structure type'!$A$1:$B$15,2,FALSE)</f>
        <v>Private Cleanout</v>
      </c>
      <c r="M2552" s="23" t="s">
        <v>30</v>
      </c>
      <c r="N2552" s="37" t="str">
        <f>VLOOKUP(M2552,'Excursion Cause'!$A$1:$B$34,2,FALSE)</f>
        <v>Grease Blockage</v>
      </c>
      <c r="O2552" s="29">
        <v>45028.0</v>
      </c>
      <c r="P2552" s="30">
        <v>0.7423611111111111</v>
      </c>
      <c r="Q2552" s="29">
        <v>45029.0</v>
      </c>
      <c r="R2552" s="30">
        <v>0.47847222222222224</v>
      </c>
      <c r="S2552" s="28">
        <v>0.0</v>
      </c>
      <c r="T2552" s="23" t="s">
        <v>3749</v>
      </c>
      <c r="U2552" s="6"/>
      <c r="V2552" s="6"/>
      <c r="W2552" s="35">
        <v>29.8030949</v>
      </c>
      <c r="X2552" s="35">
        <v>-95.4790273999999</v>
      </c>
      <c r="AA2552" s="33"/>
      <c r="AB2552" s="33"/>
      <c r="AC2552" s="33"/>
      <c r="AD2552" s="33"/>
      <c r="AE2552" s="33"/>
      <c r="AF2552" s="33"/>
      <c r="AG2552" s="33"/>
      <c r="AH2552" s="33"/>
      <c r="AI2552" s="33"/>
      <c r="AJ2552" s="33"/>
      <c r="AK2552" s="33"/>
      <c r="AL2552" s="33"/>
      <c r="AM2552" s="33"/>
      <c r="AN2552" s="33"/>
      <c r="AO2552" s="33"/>
    </row>
    <row r="2553" ht="15.75" customHeight="1">
      <c r="A2553" s="23">
        <v>52028.0</v>
      </c>
      <c r="B2553" s="23">
        <v>2023.0</v>
      </c>
      <c r="C2553" s="36" t="str">
        <f t="shared" si="7"/>
        <v>9417 SPRINGVIEW LN,Houston,TX</v>
      </c>
      <c r="D2553" s="23" t="s">
        <v>3877</v>
      </c>
      <c r="E2553" s="6" t="s">
        <v>25</v>
      </c>
      <c r="F2553" s="6" t="s">
        <v>1388</v>
      </c>
      <c r="G2553" s="31" t="s">
        <v>294</v>
      </c>
      <c r="H2553" s="23" t="s">
        <v>50</v>
      </c>
      <c r="I2553" s="37" t="str">
        <f>VLOOKUP(H2553,'Flow Location'!$A$1:$B$21,2,FALSE)</f>
        <v>Contained On Site, not within 5 ft. of Bayou/Surface Water/Drainage Ditch</v>
      </c>
      <c r="J2553" s="28">
        <v>0.0</v>
      </c>
      <c r="K2553" s="23" t="s">
        <v>45</v>
      </c>
      <c r="L2553" s="37" t="str">
        <f>VLOOKUP(K2553,'Structure type'!$A$1:$B$15,2,FALSE)</f>
        <v>City Cleanout</v>
      </c>
      <c r="M2553" s="23" t="s">
        <v>96</v>
      </c>
      <c r="N2553" s="37" t="str">
        <f>VLOOKUP(M2553,'Excursion Cause'!$A$1:$B$34,2,FALSE)</f>
        <v>Collection system temporary blockage</v>
      </c>
      <c r="O2553" s="29">
        <v>45030.0</v>
      </c>
      <c r="P2553" s="30">
        <v>0.48055555555555557</v>
      </c>
      <c r="Q2553" s="29">
        <v>45030.0</v>
      </c>
      <c r="R2553" s="30">
        <v>0.48125</v>
      </c>
      <c r="S2553" s="28">
        <v>0.0</v>
      </c>
      <c r="T2553" s="23" t="s">
        <v>3756</v>
      </c>
      <c r="U2553" s="6"/>
      <c r="V2553" s="6"/>
      <c r="W2553" s="35">
        <v>29.8292774</v>
      </c>
      <c r="X2553" s="35">
        <v>-95.5244333999999</v>
      </c>
      <c r="AA2553" s="33"/>
      <c r="AB2553" s="33"/>
      <c r="AC2553" s="33"/>
      <c r="AD2553" s="33"/>
      <c r="AE2553" s="33"/>
      <c r="AF2553" s="33"/>
      <c r="AG2553" s="33"/>
      <c r="AH2553" s="33"/>
      <c r="AI2553" s="33"/>
      <c r="AJ2553" s="33"/>
      <c r="AK2553" s="33"/>
      <c r="AL2553" s="33"/>
      <c r="AM2553" s="33"/>
      <c r="AN2553" s="33"/>
      <c r="AO2553" s="33"/>
    </row>
    <row r="2554" ht="15.75" customHeight="1">
      <c r="A2554" s="23">
        <v>52034.0</v>
      </c>
      <c r="B2554" s="23">
        <v>2023.0</v>
      </c>
      <c r="C2554" s="36" t="str">
        <f t="shared" si="7"/>
        <v>4103 VALOR ST,Houston,TX</v>
      </c>
      <c r="D2554" s="23" t="s">
        <v>3847</v>
      </c>
      <c r="E2554" s="6" t="s">
        <v>25</v>
      </c>
      <c r="F2554" s="6" t="s">
        <v>1388</v>
      </c>
      <c r="G2554" s="31" t="s">
        <v>109</v>
      </c>
      <c r="H2554" s="23" t="s">
        <v>50</v>
      </c>
      <c r="I2554" s="37" t="str">
        <f>VLOOKUP(H2554,'Flow Location'!$A$1:$B$21,2,FALSE)</f>
        <v>Contained On Site, not within 5 ft. of Bayou/Surface Water/Drainage Ditch</v>
      </c>
      <c r="J2554" s="28">
        <v>0.0</v>
      </c>
      <c r="K2554" s="23" t="s">
        <v>45</v>
      </c>
      <c r="L2554" s="37" t="str">
        <f>VLOOKUP(K2554,'Structure type'!$A$1:$B$15,2,FALSE)</f>
        <v>City Cleanout</v>
      </c>
      <c r="M2554" s="23" t="s">
        <v>30</v>
      </c>
      <c r="N2554" s="37" t="str">
        <f>VLOOKUP(M2554,'Excursion Cause'!$A$1:$B$34,2,FALSE)</f>
        <v>Grease Blockage</v>
      </c>
      <c r="O2554" s="29">
        <v>45030.0</v>
      </c>
      <c r="P2554" s="30">
        <v>0.6118055555555556</v>
      </c>
      <c r="Q2554" s="29">
        <v>45030.0</v>
      </c>
      <c r="R2554" s="30">
        <v>0.6125</v>
      </c>
      <c r="S2554" s="28">
        <v>0.0</v>
      </c>
      <c r="T2554" s="23" t="s">
        <v>3743</v>
      </c>
      <c r="U2554" s="6"/>
      <c r="V2554" s="6"/>
      <c r="W2554" s="35">
        <v>29.8388377</v>
      </c>
      <c r="X2554" s="35">
        <v>-95.3290203</v>
      </c>
      <c r="AA2554" s="33"/>
      <c r="AB2554" s="33"/>
      <c r="AC2554" s="33"/>
      <c r="AD2554" s="33"/>
      <c r="AE2554" s="33"/>
      <c r="AF2554" s="33"/>
      <c r="AG2554" s="33"/>
      <c r="AH2554" s="33"/>
      <c r="AI2554" s="33"/>
      <c r="AJ2554" s="33"/>
      <c r="AK2554" s="33"/>
      <c r="AL2554" s="33"/>
      <c r="AM2554" s="33"/>
      <c r="AN2554" s="33"/>
      <c r="AO2554" s="33"/>
    </row>
    <row r="2555" ht="15.75" customHeight="1">
      <c r="A2555" s="23">
        <v>52039.0</v>
      </c>
      <c r="B2555" s="23">
        <v>2023.0</v>
      </c>
      <c r="C2555" s="36" t="str">
        <f t="shared" si="7"/>
        <v>7550 LONG POINT RD,Houston,TX</v>
      </c>
      <c r="D2555" s="23" t="s">
        <v>1151</v>
      </c>
      <c r="E2555" s="6" t="s">
        <v>25</v>
      </c>
      <c r="F2555" s="6" t="s">
        <v>1388</v>
      </c>
      <c r="G2555" s="31" t="s">
        <v>27</v>
      </c>
      <c r="H2555" s="23" t="s">
        <v>28</v>
      </c>
      <c r="I2555" s="37" t="str">
        <f>VLOOKUP(H2555,'Flow Location'!$A$1:$B$21,2,FALSE)</f>
        <v>Storm Sewer (not contained)</v>
      </c>
      <c r="J2555" s="28">
        <v>3549.0</v>
      </c>
      <c r="K2555" s="23" t="s">
        <v>51</v>
      </c>
      <c r="L2555" s="37" t="str">
        <f>VLOOKUP(K2555,'Structure type'!$A$1:$B$15,2,FALSE)</f>
        <v>Private Cleanout</v>
      </c>
      <c r="M2555" s="23" t="s">
        <v>30</v>
      </c>
      <c r="N2555" s="37" t="str">
        <f>VLOOKUP(M2555,'Excursion Cause'!$A$1:$B$34,2,FALSE)</f>
        <v>Grease Blockage</v>
      </c>
      <c r="O2555" s="29">
        <v>45031.0</v>
      </c>
      <c r="P2555" s="30">
        <v>0.6618055555555555</v>
      </c>
      <c r="Q2555" s="29">
        <v>45032.0</v>
      </c>
      <c r="R2555" s="30">
        <v>0.48333333333333334</v>
      </c>
      <c r="S2555" s="28">
        <v>3.0</v>
      </c>
      <c r="T2555" s="23" t="s">
        <v>1462</v>
      </c>
      <c r="U2555" s="6"/>
      <c r="V2555" s="6"/>
      <c r="W2555" s="35">
        <v>29.8030949</v>
      </c>
      <c r="X2555" s="35">
        <v>-95.4790273999999</v>
      </c>
      <c r="AA2555" s="33"/>
      <c r="AB2555" s="33"/>
      <c r="AC2555" s="33"/>
      <c r="AD2555" s="33"/>
      <c r="AE2555" s="33"/>
      <c r="AF2555" s="33"/>
      <c r="AG2555" s="33"/>
      <c r="AH2555" s="33"/>
      <c r="AI2555" s="33"/>
      <c r="AJ2555" s="33"/>
      <c r="AK2555" s="33"/>
      <c r="AL2555" s="33"/>
      <c r="AM2555" s="33"/>
      <c r="AN2555" s="33"/>
      <c r="AO2555" s="33"/>
    </row>
    <row r="2556" ht="15.75" customHeight="1">
      <c r="A2556" s="23">
        <v>52040.0</v>
      </c>
      <c r="B2556" s="23">
        <v>2023.0</v>
      </c>
      <c r="C2556" s="36" t="str">
        <f t="shared" si="7"/>
        <v>10301 HARWIN DR,Houston,TX</v>
      </c>
      <c r="D2556" s="23" t="s">
        <v>3878</v>
      </c>
      <c r="E2556" s="6" t="s">
        <v>25</v>
      </c>
      <c r="F2556" s="6" t="s">
        <v>1388</v>
      </c>
      <c r="G2556" s="31" t="s">
        <v>100</v>
      </c>
      <c r="H2556" s="23" t="s">
        <v>28</v>
      </c>
      <c r="I2556" s="37" t="str">
        <f>VLOOKUP(H2556,'Flow Location'!$A$1:$B$21,2,FALSE)</f>
        <v>Storm Sewer (not contained)</v>
      </c>
      <c r="J2556" s="28">
        <v>346.0</v>
      </c>
      <c r="K2556" s="23" t="s">
        <v>29</v>
      </c>
      <c r="L2556" s="37" t="str">
        <f>VLOOKUP(K2556,'Structure type'!$A$1:$B$15,2,FALSE)</f>
        <v>Manhole</v>
      </c>
      <c r="M2556" s="23" t="s">
        <v>30</v>
      </c>
      <c r="N2556" s="37" t="str">
        <f>VLOOKUP(M2556,'Excursion Cause'!$A$1:$B$34,2,FALSE)</f>
        <v>Grease Blockage</v>
      </c>
      <c r="O2556" s="29">
        <v>45032.0</v>
      </c>
      <c r="P2556" s="30">
        <v>0.3486111111111111</v>
      </c>
      <c r="Q2556" s="29">
        <v>45032.0</v>
      </c>
      <c r="R2556" s="30">
        <v>0.46875</v>
      </c>
      <c r="S2556" s="28">
        <v>2.0</v>
      </c>
      <c r="T2556" s="23" t="s">
        <v>1462</v>
      </c>
      <c r="U2556" s="6"/>
      <c r="V2556" s="6"/>
      <c r="W2556" s="35">
        <v>29.7168129999999</v>
      </c>
      <c r="X2556" s="35">
        <v>-95.54656</v>
      </c>
      <c r="AA2556" s="33"/>
      <c r="AB2556" s="33"/>
      <c r="AC2556" s="33"/>
      <c r="AD2556" s="33"/>
      <c r="AE2556" s="33"/>
      <c r="AF2556" s="33"/>
      <c r="AG2556" s="33"/>
      <c r="AH2556" s="33"/>
      <c r="AI2556" s="33"/>
      <c r="AJ2556" s="33"/>
      <c r="AK2556" s="33"/>
      <c r="AL2556" s="33"/>
      <c r="AM2556" s="33"/>
      <c r="AN2556" s="33"/>
      <c r="AO2556" s="33"/>
    </row>
    <row r="2557" ht="15.75" customHeight="1">
      <c r="A2557" s="23">
        <v>52041.0</v>
      </c>
      <c r="B2557" s="23">
        <v>2023.0</v>
      </c>
      <c r="C2557" s="36" t="str">
        <f t="shared" si="7"/>
        <v>4920 AIRLINE DR,Houston,TX</v>
      </c>
      <c r="D2557" s="23" t="s">
        <v>3879</v>
      </c>
      <c r="E2557" s="6" t="s">
        <v>25</v>
      </c>
      <c r="F2557" s="6" t="s">
        <v>1388</v>
      </c>
      <c r="G2557" s="31" t="s">
        <v>653</v>
      </c>
      <c r="H2557" s="23" t="s">
        <v>44</v>
      </c>
      <c r="I2557" s="37" t="str">
        <f>VLOOKUP(H2557,'Flow Location'!$A$1:$B$21,2,FALSE)</f>
        <v>Bayou/surface water/drainage ditch</v>
      </c>
      <c r="J2557" s="28">
        <v>0.0</v>
      </c>
      <c r="K2557" s="23" t="s">
        <v>45</v>
      </c>
      <c r="L2557" s="37" t="str">
        <f>VLOOKUP(K2557,'Structure type'!$A$1:$B$15,2,FALSE)</f>
        <v>City Cleanout</v>
      </c>
      <c r="M2557" s="23" t="s">
        <v>81</v>
      </c>
      <c r="N2557" s="37" t="str">
        <f>VLOOKUP(M2557,'Excursion Cause'!$A$1:$B$34,2,FALSE)</f>
        <v>Collection system structural failure</v>
      </c>
      <c r="O2557" s="29">
        <v>45030.0</v>
      </c>
      <c r="P2557" s="30">
        <v>0.34791666666666665</v>
      </c>
      <c r="Q2557" s="29">
        <v>45030.0</v>
      </c>
      <c r="R2557" s="30">
        <v>0.3486111111111111</v>
      </c>
      <c r="S2557" s="28">
        <v>0.0</v>
      </c>
      <c r="T2557" s="23" t="s">
        <v>3745</v>
      </c>
      <c r="U2557" s="6"/>
      <c r="V2557" s="6"/>
      <c r="W2557" s="35">
        <v>29.8383324</v>
      </c>
      <c r="X2557" s="35">
        <v>-95.3841626</v>
      </c>
      <c r="AA2557" s="33"/>
      <c r="AB2557" s="33"/>
      <c r="AC2557" s="33"/>
      <c r="AD2557" s="33"/>
      <c r="AE2557" s="33"/>
      <c r="AF2557" s="33"/>
      <c r="AG2557" s="33"/>
      <c r="AH2557" s="33"/>
      <c r="AI2557" s="33"/>
      <c r="AJ2557" s="33"/>
      <c r="AK2557" s="33"/>
      <c r="AL2557" s="33"/>
      <c r="AM2557" s="33"/>
      <c r="AN2557" s="33"/>
      <c r="AO2557" s="33"/>
    </row>
    <row r="2558" ht="15.75" customHeight="1">
      <c r="A2558" s="23">
        <v>52043.0</v>
      </c>
      <c r="B2558" s="23">
        <v>2023.0</v>
      </c>
      <c r="C2558" s="36" t="str">
        <f t="shared" si="7"/>
        <v>9602 GUEST ST,Houston,TX</v>
      </c>
      <c r="D2558" s="23" t="s">
        <v>3880</v>
      </c>
      <c r="E2558" s="6" t="s">
        <v>25</v>
      </c>
      <c r="F2558" s="6" t="s">
        <v>1388</v>
      </c>
      <c r="G2558" s="31" t="s">
        <v>387</v>
      </c>
      <c r="H2558" s="23" t="s">
        <v>50</v>
      </c>
      <c r="I2558" s="37" t="str">
        <f>VLOOKUP(H2558,'Flow Location'!$A$1:$B$21,2,FALSE)</f>
        <v>Contained On Site, not within 5 ft. of Bayou/Surface Water/Drainage Ditch</v>
      </c>
      <c r="J2558" s="28">
        <v>0.0</v>
      </c>
      <c r="K2558" s="23" t="s">
        <v>198</v>
      </c>
      <c r="L2558" s="37" t="str">
        <f>VLOOKUP(K2558,'Structure type'!$A$1:$B$15,2,FALSE)</f>
        <v>Service Lateral</v>
      </c>
      <c r="M2558" s="23" t="s">
        <v>81</v>
      </c>
      <c r="N2558" s="37" t="str">
        <f>VLOOKUP(M2558,'Excursion Cause'!$A$1:$B$34,2,FALSE)</f>
        <v>Collection system structural failure</v>
      </c>
      <c r="O2558" s="29">
        <v>45032.0</v>
      </c>
      <c r="P2558" s="30">
        <v>0.5</v>
      </c>
      <c r="Q2558" s="29">
        <v>45032.0</v>
      </c>
      <c r="R2558" s="30">
        <v>0.5006944444444444</v>
      </c>
      <c r="S2558" s="28">
        <v>0.0</v>
      </c>
      <c r="T2558" s="23" t="s">
        <v>118</v>
      </c>
      <c r="U2558" s="6"/>
      <c r="V2558" s="6"/>
      <c r="W2558" s="35">
        <v>29.8512712</v>
      </c>
      <c r="X2558" s="35">
        <v>-95.2672805999999</v>
      </c>
      <c r="AA2558" s="33"/>
      <c r="AB2558" s="33"/>
      <c r="AC2558" s="33"/>
      <c r="AD2558" s="33"/>
      <c r="AE2558" s="33"/>
      <c r="AF2558" s="33"/>
      <c r="AG2558" s="33"/>
      <c r="AH2558" s="33"/>
      <c r="AI2558" s="33"/>
      <c r="AJ2558" s="33"/>
      <c r="AK2558" s="33"/>
      <c r="AL2558" s="33"/>
      <c r="AM2558" s="33"/>
      <c r="AN2558" s="33"/>
      <c r="AO2558" s="33"/>
    </row>
    <row r="2559" ht="15.75" customHeight="1">
      <c r="A2559" s="23">
        <v>52046.0</v>
      </c>
      <c r="B2559" s="23">
        <v>2023.0</v>
      </c>
      <c r="C2559" s="36" t="str">
        <f t="shared" si="7"/>
        <v>4916 BROOM ST,Houston,TX</v>
      </c>
      <c r="D2559" s="23" t="s">
        <v>3881</v>
      </c>
      <c r="E2559" s="6" t="s">
        <v>25</v>
      </c>
      <c r="F2559" s="6" t="s">
        <v>1388</v>
      </c>
      <c r="G2559" s="31" t="s">
        <v>222</v>
      </c>
      <c r="H2559" s="23" t="s">
        <v>50</v>
      </c>
      <c r="I2559" s="37" t="str">
        <f>VLOOKUP(H2559,'Flow Location'!$A$1:$B$21,2,FALSE)</f>
        <v>Contained On Site, not within 5 ft. of Bayou/Surface Water/Drainage Ditch</v>
      </c>
      <c r="J2559" s="28">
        <v>0.0</v>
      </c>
      <c r="K2559" s="23" t="s">
        <v>198</v>
      </c>
      <c r="L2559" s="37" t="str">
        <f>VLOOKUP(K2559,'Structure type'!$A$1:$B$15,2,FALSE)</f>
        <v>Service Lateral</v>
      </c>
      <c r="M2559" s="23" t="s">
        <v>81</v>
      </c>
      <c r="N2559" s="37" t="str">
        <f>VLOOKUP(M2559,'Excursion Cause'!$A$1:$B$34,2,FALSE)</f>
        <v>Collection system structural failure</v>
      </c>
      <c r="O2559" s="29">
        <v>45031.0</v>
      </c>
      <c r="P2559" s="30">
        <v>0.5875</v>
      </c>
      <c r="Q2559" s="29">
        <v>45031.0</v>
      </c>
      <c r="R2559" s="30">
        <v>0.5881944444444445</v>
      </c>
      <c r="S2559" s="28">
        <v>0.0</v>
      </c>
      <c r="T2559" s="23" t="s">
        <v>3745</v>
      </c>
      <c r="U2559" s="6"/>
      <c r="V2559" s="6"/>
      <c r="W2559" s="35">
        <v>29.8418294</v>
      </c>
      <c r="X2559" s="35">
        <v>-95.4637475</v>
      </c>
      <c r="AA2559" s="33"/>
      <c r="AB2559" s="33"/>
      <c r="AC2559" s="33"/>
      <c r="AD2559" s="33"/>
      <c r="AE2559" s="33"/>
      <c r="AF2559" s="33"/>
      <c r="AG2559" s="33"/>
      <c r="AH2559" s="33"/>
      <c r="AI2559" s="33"/>
      <c r="AJ2559" s="33"/>
      <c r="AK2559" s="33"/>
      <c r="AL2559" s="33"/>
      <c r="AM2559" s="33"/>
      <c r="AN2559" s="33"/>
      <c r="AO2559" s="33"/>
    </row>
    <row r="2560" ht="15.75" customHeight="1">
      <c r="A2560" s="23">
        <v>52047.0</v>
      </c>
      <c r="B2560" s="23">
        <v>2023.0</v>
      </c>
      <c r="C2560" s="36" t="str">
        <f t="shared" si="7"/>
        <v>5751 MEADOW CREEK LN,Houston,TX</v>
      </c>
      <c r="D2560" s="23" t="s">
        <v>3882</v>
      </c>
      <c r="E2560" s="6" t="s">
        <v>25</v>
      </c>
      <c r="F2560" s="6" t="s">
        <v>1388</v>
      </c>
      <c r="G2560" s="31" t="s">
        <v>135</v>
      </c>
      <c r="H2560" s="23" t="s">
        <v>28</v>
      </c>
      <c r="I2560" s="37" t="str">
        <f>VLOOKUP(H2560,'Flow Location'!$A$1:$B$21,2,FALSE)</f>
        <v>Storm Sewer (not contained)</v>
      </c>
      <c r="J2560" s="28">
        <v>148.0</v>
      </c>
      <c r="K2560" s="23" t="s">
        <v>29</v>
      </c>
      <c r="L2560" s="37" t="str">
        <f>VLOOKUP(K2560,'Structure type'!$A$1:$B$15,2,FALSE)</f>
        <v>Manhole</v>
      </c>
      <c r="M2560" s="23" t="s">
        <v>30</v>
      </c>
      <c r="N2560" s="37" t="str">
        <f>VLOOKUP(M2560,'Excursion Cause'!$A$1:$B$34,2,FALSE)</f>
        <v>Grease Blockage</v>
      </c>
      <c r="O2560" s="29">
        <v>45033.0</v>
      </c>
      <c r="P2560" s="30">
        <v>0.33819444444444446</v>
      </c>
      <c r="Q2560" s="29">
        <v>45033.0</v>
      </c>
      <c r="R2560" s="30">
        <v>0.4409722222222222</v>
      </c>
      <c r="S2560" s="28">
        <v>1.0</v>
      </c>
      <c r="T2560" s="23" t="s">
        <v>1462</v>
      </c>
      <c r="U2560" s="6"/>
      <c r="V2560" s="6"/>
      <c r="W2560" s="35">
        <v>29.680389</v>
      </c>
      <c r="X2560" s="35">
        <v>-95.2302278</v>
      </c>
      <c r="AA2560" s="33"/>
      <c r="AB2560" s="33"/>
      <c r="AC2560" s="33"/>
      <c r="AD2560" s="33"/>
      <c r="AE2560" s="33"/>
      <c r="AF2560" s="33"/>
      <c r="AG2560" s="33"/>
      <c r="AH2560" s="33"/>
      <c r="AI2560" s="33"/>
      <c r="AJ2560" s="33"/>
      <c r="AK2560" s="33"/>
      <c r="AL2560" s="33"/>
      <c r="AM2560" s="33"/>
      <c r="AN2560" s="33"/>
      <c r="AO2560" s="33"/>
    </row>
    <row r="2561" ht="15.75" customHeight="1">
      <c r="A2561" s="23">
        <v>52051.0</v>
      </c>
      <c r="B2561" s="23">
        <v>2023.0</v>
      </c>
      <c r="C2561" s="36" t="str">
        <f t="shared" si="7"/>
        <v>667 SEMINAR DR,Houston,TX</v>
      </c>
      <c r="D2561" s="23" t="s">
        <v>3883</v>
      </c>
      <c r="E2561" s="6" t="s">
        <v>25</v>
      </c>
      <c r="F2561" s="6" t="s">
        <v>1388</v>
      </c>
      <c r="G2561" s="31" t="s">
        <v>393</v>
      </c>
      <c r="H2561" s="23" t="s">
        <v>50</v>
      </c>
      <c r="I2561" s="37" t="str">
        <f>VLOOKUP(H2561,'Flow Location'!$A$1:$B$21,2,FALSE)</f>
        <v>Contained On Site, not within 5 ft. of Bayou/Surface Water/Drainage Ditch</v>
      </c>
      <c r="J2561" s="28">
        <v>0.0</v>
      </c>
      <c r="K2561" s="23" t="s">
        <v>29</v>
      </c>
      <c r="L2561" s="37" t="str">
        <f>VLOOKUP(K2561,'Structure type'!$A$1:$B$15,2,FALSE)</f>
        <v>Manhole</v>
      </c>
      <c r="M2561" s="23" t="s">
        <v>96</v>
      </c>
      <c r="N2561" s="37" t="str">
        <f>VLOOKUP(M2561,'Excursion Cause'!$A$1:$B$34,2,FALSE)</f>
        <v>Collection system temporary blockage</v>
      </c>
      <c r="O2561" s="29">
        <v>45033.0</v>
      </c>
      <c r="P2561" s="30">
        <v>0.4340277777777778</v>
      </c>
      <c r="Q2561" s="29">
        <v>45033.0</v>
      </c>
      <c r="R2561" s="30">
        <v>0.43472222222222223</v>
      </c>
      <c r="S2561" s="28">
        <v>0.0</v>
      </c>
      <c r="T2561" s="23" t="s">
        <v>118</v>
      </c>
      <c r="U2561" s="6"/>
      <c r="V2561" s="6"/>
      <c r="W2561" s="35">
        <v>29.9486597</v>
      </c>
      <c r="X2561" s="35">
        <v>-95.3887994</v>
      </c>
      <c r="AA2561" s="33"/>
      <c r="AB2561" s="33"/>
      <c r="AC2561" s="33"/>
      <c r="AD2561" s="33"/>
      <c r="AE2561" s="33"/>
      <c r="AF2561" s="33"/>
      <c r="AG2561" s="33"/>
      <c r="AH2561" s="33"/>
      <c r="AI2561" s="33"/>
      <c r="AJ2561" s="33"/>
      <c r="AK2561" s="33"/>
      <c r="AL2561" s="33"/>
      <c r="AM2561" s="33"/>
      <c r="AN2561" s="33"/>
      <c r="AO2561" s="33"/>
    </row>
    <row r="2562" ht="15.75" customHeight="1">
      <c r="A2562" s="23">
        <v>52052.0</v>
      </c>
      <c r="B2562" s="23">
        <v>2023.0</v>
      </c>
      <c r="C2562" s="36" t="str">
        <f t="shared" si="7"/>
        <v>1003 20TH ST,Houston,TX</v>
      </c>
      <c r="D2562" s="23" t="s">
        <v>3884</v>
      </c>
      <c r="E2562" s="6" t="s">
        <v>25</v>
      </c>
      <c r="F2562" s="6" t="s">
        <v>1388</v>
      </c>
      <c r="G2562" s="31" t="s">
        <v>232</v>
      </c>
      <c r="H2562" s="23" t="s">
        <v>28</v>
      </c>
      <c r="I2562" s="37" t="str">
        <f>VLOOKUP(H2562,'Flow Location'!$A$1:$B$21,2,FALSE)</f>
        <v>Storm Sewer (not contained)</v>
      </c>
      <c r="J2562" s="28">
        <v>0.0</v>
      </c>
      <c r="K2562" s="23" t="s">
        <v>29</v>
      </c>
      <c r="L2562" s="37" t="str">
        <f>VLOOKUP(K2562,'Structure type'!$A$1:$B$15,2,FALSE)</f>
        <v>Manhole</v>
      </c>
      <c r="M2562" s="23" t="s">
        <v>30</v>
      </c>
      <c r="N2562" s="37" t="str">
        <f>VLOOKUP(M2562,'Excursion Cause'!$A$1:$B$34,2,FALSE)</f>
        <v>Grease Blockage</v>
      </c>
      <c r="O2562" s="29">
        <v>45033.0</v>
      </c>
      <c r="P2562" s="30">
        <v>0.4444444444444444</v>
      </c>
      <c r="Q2562" s="29">
        <v>45033.0</v>
      </c>
      <c r="R2562" s="30">
        <v>0.44513888888888886</v>
      </c>
      <c r="S2562" s="28">
        <v>0.0</v>
      </c>
      <c r="T2562" s="23" t="s">
        <v>1462</v>
      </c>
      <c r="U2562" s="6"/>
      <c r="V2562" s="6"/>
      <c r="W2562" s="35">
        <v>29.8040494</v>
      </c>
      <c r="X2562" s="35">
        <v>-95.4165044</v>
      </c>
      <c r="AA2562" s="33"/>
      <c r="AB2562" s="33"/>
      <c r="AC2562" s="33"/>
      <c r="AD2562" s="33"/>
      <c r="AE2562" s="33"/>
      <c r="AF2562" s="33"/>
      <c r="AG2562" s="33"/>
      <c r="AH2562" s="33"/>
      <c r="AI2562" s="33"/>
      <c r="AJ2562" s="33"/>
      <c r="AK2562" s="33"/>
      <c r="AL2562" s="33"/>
      <c r="AM2562" s="33"/>
      <c r="AN2562" s="33"/>
      <c r="AO2562" s="33"/>
    </row>
    <row r="2563" ht="15.75" customHeight="1">
      <c r="A2563" s="23">
        <v>52058.0</v>
      </c>
      <c r="B2563" s="23">
        <v>2023.0</v>
      </c>
      <c r="C2563" s="36" t="str">
        <f t="shared" si="7"/>
        <v>2532 FONDREN RD,Houston,TX</v>
      </c>
      <c r="D2563" s="23" t="s">
        <v>3885</v>
      </c>
      <c r="E2563" s="6" t="s">
        <v>25</v>
      </c>
      <c r="F2563" s="6" t="s">
        <v>1388</v>
      </c>
      <c r="G2563" s="31" t="s">
        <v>482</v>
      </c>
      <c r="H2563" s="23" t="s">
        <v>50</v>
      </c>
      <c r="I2563" s="37" t="str">
        <f>VLOOKUP(H2563,'Flow Location'!$A$1:$B$21,2,FALSE)</f>
        <v>Contained On Site, not within 5 ft. of Bayou/Surface Water/Drainage Ditch</v>
      </c>
      <c r="J2563" s="28">
        <v>0.0</v>
      </c>
      <c r="K2563" s="23" t="s">
        <v>198</v>
      </c>
      <c r="L2563" s="37" t="str">
        <f>VLOOKUP(K2563,'Structure type'!$A$1:$B$15,2,FALSE)</f>
        <v>Service Lateral</v>
      </c>
      <c r="M2563" s="23" t="s">
        <v>81</v>
      </c>
      <c r="N2563" s="37" t="str">
        <f>VLOOKUP(M2563,'Excursion Cause'!$A$1:$B$34,2,FALSE)</f>
        <v>Collection system structural failure</v>
      </c>
      <c r="O2563" s="29">
        <v>45034.0</v>
      </c>
      <c r="P2563" s="30">
        <v>0.3145833333333333</v>
      </c>
      <c r="Q2563" s="29">
        <v>45034.0</v>
      </c>
      <c r="R2563" s="30">
        <v>0.31527777777777777</v>
      </c>
      <c r="S2563" s="28">
        <v>0.0</v>
      </c>
      <c r="T2563" s="23" t="s">
        <v>3745</v>
      </c>
      <c r="U2563" s="6"/>
      <c r="V2563" s="6"/>
      <c r="W2563" s="35">
        <v>29.7391921</v>
      </c>
      <c r="X2563" s="35">
        <v>-95.5216865</v>
      </c>
      <c r="AA2563" s="33"/>
      <c r="AB2563" s="33"/>
      <c r="AC2563" s="33"/>
      <c r="AD2563" s="33"/>
      <c r="AE2563" s="33"/>
      <c r="AF2563" s="33"/>
      <c r="AG2563" s="33"/>
      <c r="AH2563" s="33"/>
      <c r="AI2563" s="33"/>
      <c r="AJ2563" s="33"/>
      <c r="AK2563" s="33"/>
      <c r="AL2563" s="33"/>
      <c r="AM2563" s="33"/>
      <c r="AN2563" s="33"/>
      <c r="AO2563" s="33"/>
    </row>
    <row r="2564" ht="15.75" customHeight="1">
      <c r="A2564" s="23">
        <v>52061.0</v>
      </c>
      <c r="B2564" s="23">
        <v>2023.0</v>
      </c>
      <c r="C2564" s="36" t="str">
        <f t="shared" si="7"/>
        <v>9221 PAGEWOOD LN,Houston,TX</v>
      </c>
      <c r="D2564" s="23" t="s">
        <v>2583</v>
      </c>
      <c r="E2564" s="6" t="s">
        <v>25</v>
      </c>
      <c r="F2564" s="6" t="s">
        <v>1388</v>
      </c>
      <c r="G2564" s="31" t="s">
        <v>482</v>
      </c>
      <c r="H2564" s="23" t="s">
        <v>28</v>
      </c>
      <c r="I2564" s="37" t="str">
        <f>VLOOKUP(H2564,'Flow Location'!$A$1:$B$21,2,FALSE)</f>
        <v>Storm Sewer (not contained)</v>
      </c>
      <c r="J2564" s="28">
        <v>366.0</v>
      </c>
      <c r="K2564" s="23" t="s">
        <v>29</v>
      </c>
      <c r="L2564" s="37" t="str">
        <f>VLOOKUP(K2564,'Structure type'!$A$1:$B$15,2,FALSE)</f>
        <v>Manhole</v>
      </c>
      <c r="M2564" s="23" t="s">
        <v>30</v>
      </c>
      <c r="N2564" s="37" t="str">
        <f>VLOOKUP(M2564,'Excursion Cause'!$A$1:$B$34,2,FALSE)</f>
        <v>Grease Blockage</v>
      </c>
      <c r="O2564" s="29">
        <v>45034.0</v>
      </c>
      <c r="P2564" s="30">
        <v>0.34930555555555554</v>
      </c>
      <c r="Q2564" s="29">
        <v>45034.0</v>
      </c>
      <c r="R2564" s="30">
        <v>0.4340277777777778</v>
      </c>
      <c r="S2564" s="28">
        <v>3.0</v>
      </c>
      <c r="T2564" s="23" t="s">
        <v>1462</v>
      </c>
      <c r="U2564" s="6"/>
      <c r="V2564" s="6"/>
      <c r="W2564" s="35">
        <v>29.7252277</v>
      </c>
      <c r="X2564" s="35">
        <v>-95.5273763</v>
      </c>
      <c r="AA2564" s="33"/>
      <c r="AB2564" s="33"/>
      <c r="AC2564" s="33"/>
      <c r="AD2564" s="33"/>
      <c r="AE2564" s="33"/>
      <c r="AF2564" s="33"/>
      <c r="AG2564" s="33"/>
      <c r="AH2564" s="33"/>
      <c r="AI2564" s="33"/>
      <c r="AJ2564" s="33"/>
      <c r="AK2564" s="33"/>
      <c r="AL2564" s="33"/>
      <c r="AM2564" s="33"/>
      <c r="AN2564" s="33"/>
      <c r="AO2564" s="33"/>
    </row>
    <row r="2565" ht="15.75" customHeight="1">
      <c r="A2565" s="23">
        <v>52062.0</v>
      </c>
      <c r="B2565" s="23">
        <v>2023.0</v>
      </c>
      <c r="C2565" s="36" t="str">
        <f t="shared" si="7"/>
        <v>8306 BRAESVIEW LN,Houston,TX</v>
      </c>
      <c r="D2565" s="23" t="s">
        <v>3886</v>
      </c>
      <c r="E2565" s="6" t="s">
        <v>25</v>
      </c>
      <c r="F2565" s="6" t="s">
        <v>1388</v>
      </c>
      <c r="G2565" s="31" t="s">
        <v>148</v>
      </c>
      <c r="H2565" s="23" t="s">
        <v>50</v>
      </c>
      <c r="I2565" s="37" t="str">
        <f>VLOOKUP(H2565,'Flow Location'!$A$1:$B$21,2,FALSE)</f>
        <v>Contained On Site, not within 5 ft. of Bayou/Surface Water/Drainage Ditch</v>
      </c>
      <c r="J2565" s="28">
        <v>0.0</v>
      </c>
      <c r="K2565" s="23" t="s">
        <v>198</v>
      </c>
      <c r="L2565" s="37" t="str">
        <f>VLOOKUP(K2565,'Structure type'!$A$1:$B$15,2,FALSE)</f>
        <v>Service Lateral</v>
      </c>
      <c r="M2565" s="23" t="s">
        <v>81</v>
      </c>
      <c r="N2565" s="37" t="str">
        <f>VLOOKUP(M2565,'Excursion Cause'!$A$1:$B$34,2,FALSE)</f>
        <v>Collection system structural failure</v>
      </c>
      <c r="O2565" s="29">
        <v>45034.0</v>
      </c>
      <c r="P2565" s="30">
        <v>0.39166666666666666</v>
      </c>
      <c r="Q2565" s="29">
        <v>45034.0</v>
      </c>
      <c r="R2565" s="30">
        <v>0.3923611111111111</v>
      </c>
      <c r="S2565" s="28">
        <v>0.0</v>
      </c>
      <c r="T2565" s="23" t="s">
        <v>1473</v>
      </c>
      <c r="U2565" s="6"/>
      <c r="V2565" s="6"/>
      <c r="W2565" s="35">
        <v>29.6707938</v>
      </c>
      <c r="X2565" s="35">
        <v>-95.5235515999999</v>
      </c>
      <c r="AA2565" s="33"/>
      <c r="AB2565" s="33"/>
      <c r="AC2565" s="33"/>
      <c r="AD2565" s="33"/>
      <c r="AE2565" s="33"/>
      <c r="AF2565" s="33"/>
      <c r="AG2565" s="33"/>
      <c r="AH2565" s="33"/>
      <c r="AI2565" s="33"/>
      <c r="AJ2565" s="33"/>
      <c r="AK2565" s="33"/>
      <c r="AL2565" s="33"/>
      <c r="AM2565" s="33"/>
      <c r="AN2565" s="33"/>
      <c r="AO2565" s="33"/>
    </row>
    <row r="2566" ht="15.75" customHeight="1">
      <c r="A2566" s="23">
        <v>52063.0</v>
      </c>
      <c r="B2566" s="23">
        <v>2023.0</v>
      </c>
      <c r="C2566" s="36" t="str">
        <f t="shared" si="7"/>
        <v>1813 BENSON ST,Houston,TX</v>
      </c>
      <c r="D2566" s="23" t="s">
        <v>3887</v>
      </c>
      <c r="E2566" s="6" t="s">
        <v>25</v>
      </c>
      <c r="F2566" s="6" t="s">
        <v>1388</v>
      </c>
      <c r="G2566" s="31" t="s">
        <v>86</v>
      </c>
      <c r="H2566" s="23" t="s">
        <v>50</v>
      </c>
      <c r="I2566" s="37" t="str">
        <f>VLOOKUP(H2566,'Flow Location'!$A$1:$B$21,2,FALSE)</f>
        <v>Contained On Site, not within 5 ft. of Bayou/Surface Water/Drainage Ditch</v>
      </c>
      <c r="J2566" s="28">
        <v>0.0</v>
      </c>
      <c r="K2566" s="23" t="s">
        <v>45</v>
      </c>
      <c r="L2566" s="37" t="str">
        <f>VLOOKUP(K2566,'Structure type'!$A$1:$B$15,2,FALSE)</f>
        <v>City Cleanout</v>
      </c>
      <c r="M2566" s="23" t="s">
        <v>81</v>
      </c>
      <c r="N2566" s="37" t="str">
        <f>VLOOKUP(M2566,'Excursion Cause'!$A$1:$B$34,2,FALSE)</f>
        <v>Collection system structural failure</v>
      </c>
      <c r="O2566" s="29">
        <v>45033.0</v>
      </c>
      <c r="P2566" s="30">
        <v>0.46875</v>
      </c>
      <c r="Q2566" s="29">
        <v>45033.0</v>
      </c>
      <c r="R2566" s="30">
        <v>0.46944444444444444</v>
      </c>
      <c r="S2566" s="28">
        <v>0.0</v>
      </c>
      <c r="T2566" s="23" t="s">
        <v>1391</v>
      </c>
      <c r="U2566" s="6"/>
      <c r="V2566" s="6"/>
      <c r="W2566" s="35">
        <v>29.7786583</v>
      </c>
      <c r="X2566" s="35">
        <v>-95.3298253</v>
      </c>
      <c r="AA2566" s="33"/>
      <c r="AB2566" s="33"/>
      <c r="AC2566" s="33"/>
      <c r="AD2566" s="33"/>
      <c r="AE2566" s="33"/>
      <c r="AF2566" s="33"/>
      <c r="AG2566" s="33"/>
      <c r="AH2566" s="33"/>
      <c r="AI2566" s="33"/>
      <c r="AJ2566" s="33"/>
      <c r="AK2566" s="33"/>
      <c r="AL2566" s="33"/>
      <c r="AM2566" s="33"/>
      <c r="AN2566" s="33"/>
      <c r="AO2566" s="33"/>
    </row>
    <row r="2567" ht="15.75" customHeight="1">
      <c r="A2567" s="23">
        <v>52065.0</v>
      </c>
      <c r="B2567" s="23">
        <v>2023.0</v>
      </c>
      <c r="C2567" s="36" t="str">
        <f t="shared" si="7"/>
        <v>10950 TANNER PARK CT,Houston,TX</v>
      </c>
      <c r="D2567" s="23" t="s">
        <v>3888</v>
      </c>
      <c r="E2567" s="6" t="s">
        <v>25</v>
      </c>
      <c r="F2567" s="6" t="s">
        <v>1388</v>
      </c>
      <c r="G2567" s="31" t="s">
        <v>95</v>
      </c>
      <c r="H2567" s="23" t="s">
        <v>1493</v>
      </c>
      <c r="I2567" s="37" t="str">
        <f>VLOOKUP(H2567,'Flow Location'!$A$1:$B$21,2,FALSE)</f>
        <v>Contained On Site, not within 5 ft. of Bayou/Surface Water/Drainage Ditch</v>
      </c>
      <c r="J2567" s="28">
        <v>0.0</v>
      </c>
      <c r="K2567" s="23" t="s">
        <v>29</v>
      </c>
      <c r="L2567" s="37" t="str">
        <f>VLOOKUP(K2567,'Structure type'!$A$1:$B$15,2,FALSE)</f>
        <v>Manhole</v>
      </c>
      <c r="M2567" s="23" t="s">
        <v>30</v>
      </c>
      <c r="N2567" s="37" t="str">
        <f>VLOOKUP(M2567,'Excursion Cause'!$A$1:$B$34,2,FALSE)</f>
        <v>Grease Blockage</v>
      </c>
      <c r="O2567" s="29">
        <v>45034.0</v>
      </c>
      <c r="P2567" s="30">
        <v>0.4777777777777778</v>
      </c>
      <c r="Q2567" s="29">
        <v>45034.0</v>
      </c>
      <c r="R2567" s="30">
        <v>0.47847222222222224</v>
      </c>
      <c r="S2567" s="28">
        <v>0.0</v>
      </c>
      <c r="T2567" s="23" t="s">
        <v>1462</v>
      </c>
      <c r="U2567" s="6"/>
      <c r="V2567" s="6"/>
      <c r="W2567" s="35">
        <v>29.6190007</v>
      </c>
      <c r="X2567" s="35">
        <v>-95.2246258999999</v>
      </c>
      <c r="AA2567" s="33"/>
      <c r="AB2567" s="33"/>
      <c r="AC2567" s="33"/>
      <c r="AD2567" s="33"/>
      <c r="AE2567" s="33"/>
      <c r="AF2567" s="33"/>
      <c r="AG2567" s="33"/>
      <c r="AH2567" s="33"/>
      <c r="AI2567" s="33"/>
      <c r="AJ2567" s="33"/>
      <c r="AK2567" s="33"/>
      <c r="AL2567" s="33"/>
      <c r="AM2567" s="33"/>
      <c r="AN2567" s="33"/>
      <c r="AO2567" s="33"/>
    </row>
    <row r="2568" ht="15.75" customHeight="1">
      <c r="A2568" s="23">
        <v>52066.0</v>
      </c>
      <c r="B2568" s="23">
        <v>2023.0</v>
      </c>
      <c r="C2568" s="36" t="str">
        <f t="shared" si="7"/>
        <v>5850 PARKFRONT DR,Houston,TX</v>
      </c>
      <c r="D2568" s="23" t="s">
        <v>3889</v>
      </c>
      <c r="E2568" s="6" t="s">
        <v>25</v>
      </c>
      <c r="F2568" s="6" t="s">
        <v>1388</v>
      </c>
      <c r="G2568" s="31" t="s">
        <v>100</v>
      </c>
      <c r="H2568" s="23" t="s">
        <v>50</v>
      </c>
      <c r="I2568" s="37" t="str">
        <f>VLOOKUP(H2568,'Flow Location'!$A$1:$B$21,2,FALSE)</f>
        <v>Contained On Site, not within 5 ft. of Bayou/Surface Water/Drainage Ditch</v>
      </c>
      <c r="J2568" s="28">
        <v>346.0</v>
      </c>
      <c r="K2568" s="23" t="s">
        <v>29</v>
      </c>
      <c r="L2568" s="37" t="str">
        <f>VLOOKUP(K2568,'Structure type'!$A$1:$B$15,2,FALSE)</f>
        <v>Manhole</v>
      </c>
      <c r="M2568" s="23" t="s">
        <v>30</v>
      </c>
      <c r="N2568" s="37" t="str">
        <f>VLOOKUP(M2568,'Excursion Cause'!$A$1:$B$34,2,FALSE)</f>
        <v>Grease Blockage</v>
      </c>
      <c r="O2568" s="29">
        <v>45032.0</v>
      </c>
      <c r="P2568" s="30">
        <v>0.3486111111111111</v>
      </c>
      <c r="Q2568" s="29">
        <v>45032.0</v>
      </c>
      <c r="R2568" s="30">
        <v>0.46875</v>
      </c>
      <c r="S2568" s="28">
        <v>2.0</v>
      </c>
      <c r="T2568" s="23" t="s">
        <v>1462</v>
      </c>
      <c r="U2568" s="6"/>
      <c r="V2568" s="6"/>
      <c r="W2568" s="35">
        <v>29.7148335</v>
      </c>
      <c r="X2568" s="35">
        <v>-95.5443550999999</v>
      </c>
      <c r="AA2568" s="33"/>
      <c r="AB2568" s="33"/>
      <c r="AC2568" s="33"/>
      <c r="AD2568" s="33"/>
      <c r="AE2568" s="33"/>
      <c r="AF2568" s="33"/>
      <c r="AG2568" s="33"/>
      <c r="AH2568" s="33"/>
      <c r="AI2568" s="33"/>
      <c r="AJ2568" s="33"/>
      <c r="AK2568" s="33"/>
      <c r="AL2568" s="33"/>
      <c r="AM2568" s="33"/>
      <c r="AN2568" s="33"/>
      <c r="AO2568" s="33"/>
    </row>
    <row r="2569" ht="15.75" customHeight="1">
      <c r="A2569" s="23">
        <v>52067.0</v>
      </c>
      <c r="B2569" s="23">
        <v>2023.0</v>
      </c>
      <c r="C2569" s="36" t="str">
        <f t="shared" si="7"/>
        <v>5850 PARKFRONT DR,Houston,TX</v>
      </c>
      <c r="D2569" s="23" t="s">
        <v>3889</v>
      </c>
      <c r="E2569" s="6" t="s">
        <v>25</v>
      </c>
      <c r="F2569" s="6" t="s">
        <v>1388</v>
      </c>
      <c r="G2569" s="31" t="s">
        <v>100</v>
      </c>
      <c r="H2569" s="23" t="s">
        <v>50</v>
      </c>
      <c r="I2569" s="37" t="str">
        <f>VLOOKUP(H2569,'Flow Location'!$A$1:$B$21,2,FALSE)</f>
        <v>Contained On Site, not within 5 ft. of Bayou/Surface Water/Drainage Ditch</v>
      </c>
      <c r="J2569" s="28">
        <v>346.0</v>
      </c>
      <c r="K2569" s="23" t="s">
        <v>29</v>
      </c>
      <c r="L2569" s="37" t="str">
        <f>VLOOKUP(K2569,'Structure type'!$A$1:$B$15,2,FALSE)</f>
        <v>Manhole</v>
      </c>
      <c r="M2569" s="23" t="s">
        <v>30</v>
      </c>
      <c r="N2569" s="37" t="str">
        <f>VLOOKUP(M2569,'Excursion Cause'!$A$1:$B$34,2,FALSE)</f>
        <v>Grease Blockage</v>
      </c>
      <c r="O2569" s="29">
        <v>45032.0</v>
      </c>
      <c r="P2569" s="30">
        <v>0.3486111111111111</v>
      </c>
      <c r="Q2569" s="29">
        <v>45032.0</v>
      </c>
      <c r="R2569" s="30">
        <v>0.46875</v>
      </c>
      <c r="S2569" s="28">
        <v>2.0</v>
      </c>
      <c r="T2569" s="23" t="s">
        <v>1462</v>
      </c>
      <c r="U2569" s="6"/>
      <c r="V2569" s="6"/>
      <c r="W2569" s="35">
        <v>29.7148335</v>
      </c>
      <c r="X2569" s="35">
        <v>-95.5443550999999</v>
      </c>
      <c r="AA2569" s="33"/>
      <c r="AB2569" s="33"/>
      <c r="AC2569" s="33"/>
      <c r="AD2569" s="33"/>
      <c r="AE2569" s="33"/>
      <c r="AF2569" s="33"/>
      <c r="AG2569" s="33"/>
      <c r="AH2569" s="33"/>
      <c r="AI2569" s="33"/>
      <c r="AJ2569" s="33"/>
      <c r="AK2569" s="33"/>
      <c r="AL2569" s="33"/>
      <c r="AM2569" s="33"/>
      <c r="AN2569" s="33"/>
      <c r="AO2569" s="33"/>
    </row>
    <row r="2570" ht="15.75" customHeight="1">
      <c r="A2570" s="23">
        <v>52068.0</v>
      </c>
      <c r="B2570" s="23">
        <v>2023.0</v>
      </c>
      <c r="C2570" s="36" t="str">
        <f t="shared" si="7"/>
        <v>5889 PARKFRONT DR,Houston,TX</v>
      </c>
      <c r="D2570" s="23" t="s">
        <v>3890</v>
      </c>
      <c r="E2570" s="6" t="s">
        <v>25</v>
      </c>
      <c r="F2570" s="6" t="s">
        <v>1388</v>
      </c>
      <c r="G2570" s="31" t="s">
        <v>100</v>
      </c>
      <c r="H2570" s="23" t="s">
        <v>50</v>
      </c>
      <c r="I2570" s="37" t="str">
        <f>VLOOKUP(H2570,'Flow Location'!$A$1:$B$21,2,FALSE)</f>
        <v>Contained On Site, not within 5 ft. of Bayou/Surface Water/Drainage Ditch</v>
      </c>
      <c r="J2570" s="28">
        <v>346.0</v>
      </c>
      <c r="K2570" s="23" t="s">
        <v>29</v>
      </c>
      <c r="L2570" s="37" t="str">
        <f>VLOOKUP(K2570,'Structure type'!$A$1:$B$15,2,FALSE)</f>
        <v>Manhole</v>
      </c>
      <c r="M2570" s="23" t="s">
        <v>30</v>
      </c>
      <c r="N2570" s="37" t="str">
        <f>VLOOKUP(M2570,'Excursion Cause'!$A$1:$B$34,2,FALSE)</f>
        <v>Grease Blockage</v>
      </c>
      <c r="O2570" s="29">
        <v>45032.0</v>
      </c>
      <c r="P2570" s="30">
        <v>0.3486111111111111</v>
      </c>
      <c r="Q2570" s="29">
        <v>45032.0</v>
      </c>
      <c r="R2570" s="30">
        <v>0.46875</v>
      </c>
      <c r="S2570" s="28">
        <v>2.0</v>
      </c>
      <c r="T2570" s="23" t="s">
        <v>1462</v>
      </c>
      <c r="U2570" s="6"/>
      <c r="V2570" s="6"/>
      <c r="W2570" s="35">
        <v>29.7144347</v>
      </c>
      <c r="X2570" s="35">
        <v>-95.5436476</v>
      </c>
      <c r="AA2570" s="33"/>
      <c r="AB2570" s="33"/>
      <c r="AC2570" s="33"/>
      <c r="AD2570" s="33"/>
      <c r="AE2570" s="33"/>
      <c r="AF2570" s="33"/>
      <c r="AG2570" s="33"/>
      <c r="AH2570" s="33"/>
      <c r="AI2570" s="33"/>
      <c r="AJ2570" s="33"/>
      <c r="AK2570" s="33"/>
      <c r="AL2570" s="33"/>
      <c r="AM2570" s="33"/>
      <c r="AN2570" s="33"/>
      <c r="AO2570" s="33"/>
    </row>
    <row r="2571" ht="15.75" customHeight="1">
      <c r="A2571" s="23">
        <v>52070.0</v>
      </c>
      <c r="B2571" s="23">
        <v>2023.0</v>
      </c>
      <c r="C2571" s="36" t="str">
        <f t="shared" si="7"/>
        <v>10402 VALLEY FORGE DR,Houston,TX</v>
      </c>
      <c r="D2571" s="23" t="s">
        <v>3373</v>
      </c>
      <c r="E2571" s="6" t="s">
        <v>25</v>
      </c>
      <c r="F2571" s="6" t="s">
        <v>1388</v>
      </c>
      <c r="G2571" s="31" t="s">
        <v>401</v>
      </c>
      <c r="H2571" s="23" t="s">
        <v>28</v>
      </c>
      <c r="I2571" s="37" t="str">
        <f>VLOOKUP(H2571,'Flow Location'!$A$1:$B$21,2,FALSE)</f>
        <v>Storm Sewer (not contained)</v>
      </c>
      <c r="J2571" s="28">
        <v>73.0</v>
      </c>
      <c r="K2571" s="23" t="s">
        <v>29</v>
      </c>
      <c r="L2571" s="37" t="str">
        <f>VLOOKUP(K2571,'Structure type'!$A$1:$B$15,2,FALSE)</f>
        <v>Manhole</v>
      </c>
      <c r="M2571" s="23" t="s">
        <v>30</v>
      </c>
      <c r="N2571" s="37" t="str">
        <f>VLOOKUP(M2571,'Excursion Cause'!$A$1:$B$34,2,FALSE)</f>
        <v>Grease Blockage</v>
      </c>
      <c r="O2571" s="29">
        <v>45034.0</v>
      </c>
      <c r="P2571" s="30">
        <v>0.5625</v>
      </c>
      <c r="Q2571" s="29">
        <v>45034.0</v>
      </c>
      <c r="R2571" s="30">
        <v>0.6638888888888889</v>
      </c>
      <c r="S2571" s="28">
        <v>0.0</v>
      </c>
      <c r="T2571" s="23" t="s">
        <v>1462</v>
      </c>
      <c r="U2571" s="6"/>
      <c r="V2571" s="6"/>
      <c r="W2571" s="35">
        <v>29.7505828</v>
      </c>
      <c r="X2571" s="35">
        <v>-95.5588361</v>
      </c>
      <c r="AA2571" s="33"/>
      <c r="AB2571" s="33"/>
      <c r="AC2571" s="33"/>
      <c r="AD2571" s="33"/>
      <c r="AE2571" s="33"/>
      <c r="AF2571" s="33"/>
      <c r="AG2571" s="33"/>
      <c r="AH2571" s="33"/>
      <c r="AI2571" s="33"/>
      <c r="AJ2571" s="33"/>
      <c r="AK2571" s="33"/>
      <c r="AL2571" s="33"/>
      <c r="AM2571" s="33"/>
      <c r="AN2571" s="33"/>
      <c r="AO2571" s="33"/>
    </row>
    <row r="2572" ht="15.75" customHeight="1">
      <c r="A2572" s="23">
        <v>52073.0</v>
      </c>
      <c r="B2572" s="23">
        <v>2023.0</v>
      </c>
      <c r="C2572" s="36" t="str">
        <f t="shared" si="7"/>
        <v>4950 POLK ST,Houston,TX</v>
      </c>
      <c r="D2572" s="23" t="s">
        <v>3891</v>
      </c>
      <c r="E2572" s="6" t="s">
        <v>25</v>
      </c>
      <c r="F2572" s="6" t="s">
        <v>1388</v>
      </c>
      <c r="G2572" s="31" t="s">
        <v>141</v>
      </c>
      <c r="H2572" s="23" t="s">
        <v>50</v>
      </c>
      <c r="I2572" s="37" t="str">
        <f>VLOOKUP(H2572,'Flow Location'!$A$1:$B$21,2,FALSE)</f>
        <v>Contained On Site, not within 5 ft. of Bayou/Surface Water/Drainage Ditch</v>
      </c>
      <c r="J2572" s="28">
        <v>0.0</v>
      </c>
      <c r="K2572" s="23" t="s">
        <v>198</v>
      </c>
      <c r="L2572" s="37" t="str">
        <f>VLOOKUP(K2572,'Structure type'!$A$1:$B$15,2,FALSE)</f>
        <v>Service Lateral</v>
      </c>
      <c r="M2572" s="23" t="s">
        <v>81</v>
      </c>
      <c r="N2572" s="37" t="str">
        <f>VLOOKUP(M2572,'Excursion Cause'!$A$1:$B$34,2,FALSE)</f>
        <v>Collection system structural failure</v>
      </c>
      <c r="O2572" s="29">
        <v>45034.0</v>
      </c>
      <c r="P2572" s="30">
        <v>0.6631944444444444</v>
      </c>
      <c r="Q2572" s="29">
        <v>45034.0</v>
      </c>
      <c r="R2572" s="30">
        <v>0.6638888888888889</v>
      </c>
      <c r="S2572" s="28">
        <v>0.0</v>
      </c>
      <c r="T2572" s="23" t="s">
        <v>3756</v>
      </c>
      <c r="U2572" s="6"/>
      <c r="V2572" s="6"/>
      <c r="W2572" s="35">
        <v>29.7360453</v>
      </c>
      <c r="X2572" s="35">
        <v>-95.3269941</v>
      </c>
      <c r="AA2572" s="33"/>
      <c r="AB2572" s="33"/>
      <c r="AC2572" s="33"/>
      <c r="AD2572" s="33"/>
      <c r="AE2572" s="33"/>
      <c r="AF2572" s="33"/>
      <c r="AG2572" s="33"/>
      <c r="AH2572" s="33"/>
      <c r="AI2572" s="33"/>
      <c r="AJ2572" s="33"/>
      <c r="AK2572" s="33"/>
      <c r="AL2572" s="33"/>
      <c r="AM2572" s="33"/>
      <c r="AN2572" s="33"/>
      <c r="AO2572" s="33"/>
    </row>
    <row r="2573" ht="15.75" customHeight="1">
      <c r="A2573" s="23">
        <v>52074.0</v>
      </c>
      <c r="B2573" s="23">
        <v>2023.0</v>
      </c>
      <c r="C2573" s="36" t="str">
        <f t="shared" si="7"/>
        <v>5505 PINE ST,Houston,TX</v>
      </c>
      <c r="D2573" s="23" t="s">
        <v>601</v>
      </c>
      <c r="E2573" s="6" t="s">
        <v>25</v>
      </c>
      <c r="F2573" s="6" t="s">
        <v>1388</v>
      </c>
      <c r="G2573" s="31" t="s">
        <v>287</v>
      </c>
      <c r="H2573" s="23" t="s">
        <v>28</v>
      </c>
      <c r="I2573" s="37" t="str">
        <f>VLOOKUP(H2573,'Flow Location'!$A$1:$B$21,2,FALSE)</f>
        <v>Storm Sewer (not contained)</v>
      </c>
      <c r="J2573" s="28">
        <v>356.0</v>
      </c>
      <c r="K2573" s="23" t="s">
        <v>29</v>
      </c>
      <c r="L2573" s="37" t="str">
        <f>VLOOKUP(K2573,'Structure type'!$A$1:$B$15,2,FALSE)</f>
        <v>Manhole</v>
      </c>
      <c r="M2573" s="23" t="s">
        <v>30</v>
      </c>
      <c r="N2573" s="37" t="str">
        <f>VLOOKUP(M2573,'Excursion Cause'!$A$1:$B$34,2,FALSE)</f>
        <v>Grease Blockage</v>
      </c>
      <c r="O2573" s="29">
        <v>45034.0</v>
      </c>
      <c r="P2573" s="30">
        <v>0.7125</v>
      </c>
      <c r="Q2573" s="29">
        <v>45034.0</v>
      </c>
      <c r="R2573" s="30">
        <v>0.8361111111111111</v>
      </c>
      <c r="S2573" s="28">
        <v>2.0</v>
      </c>
      <c r="T2573" s="23" t="s">
        <v>1462</v>
      </c>
      <c r="U2573" s="6"/>
      <c r="V2573" s="6"/>
      <c r="W2573" s="35">
        <v>29.6942383</v>
      </c>
      <c r="X2573" s="35">
        <v>-95.484799</v>
      </c>
      <c r="AA2573" s="33"/>
      <c r="AB2573" s="33"/>
      <c r="AC2573" s="33"/>
      <c r="AD2573" s="33"/>
      <c r="AE2573" s="33"/>
      <c r="AF2573" s="33"/>
      <c r="AG2573" s="33"/>
      <c r="AH2573" s="33"/>
      <c r="AI2573" s="33"/>
      <c r="AJ2573" s="33"/>
      <c r="AK2573" s="33"/>
      <c r="AL2573" s="33"/>
      <c r="AM2573" s="33"/>
      <c r="AN2573" s="33"/>
      <c r="AO2573" s="33"/>
    </row>
    <row r="2574" ht="15.75" customHeight="1">
      <c r="A2574" s="23">
        <v>52075.0</v>
      </c>
      <c r="B2574" s="23">
        <v>2023.0</v>
      </c>
      <c r="C2574" s="36" t="str">
        <f t="shared" si="7"/>
        <v>1203 MCNEIL ST,Houston,TX</v>
      </c>
      <c r="D2574" s="23" t="s">
        <v>3778</v>
      </c>
      <c r="E2574" s="6" t="s">
        <v>25</v>
      </c>
      <c r="F2574" s="6" t="s">
        <v>1388</v>
      </c>
      <c r="G2574" s="31" t="s">
        <v>161</v>
      </c>
      <c r="H2574" s="23" t="s">
        <v>50</v>
      </c>
      <c r="I2574" s="37" t="str">
        <f>VLOOKUP(H2574,'Flow Location'!$A$1:$B$21,2,FALSE)</f>
        <v>Contained On Site, not within 5 ft. of Bayou/Surface Water/Drainage Ditch</v>
      </c>
      <c r="J2574" s="28">
        <v>0.0</v>
      </c>
      <c r="K2574" s="23" t="s">
        <v>198</v>
      </c>
      <c r="L2574" s="37" t="str">
        <f>VLOOKUP(K2574,'Structure type'!$A$1:$B$15,2,FALSE)</f>
        <v>Service Lateral</v>
      </c>
      <c r="M2574" s="23" t="s">
        <v>81</v>
      </c>
      <c r="N2574" s="37" t="str">
        <f>VLOOKUP(M2574,'Excursion Cause'!$A$1:$B$34,2,FALSE)</f>
        <v>Collection system structural failure</v>
      </c>
      <c r="O2574" s="29">
        <v>45034.0</v>
      </c>
      <c r="P2574" s="30">
        <v>0.75625</v>
      </c>
      <c r="Q2574" s="29">
        <v>45034.0</v>
      </c>
      <c r="R2574" s="30">
        <v>0.7569444444444444</v>
      </c>
      <c r="S2574" s="28">
        <v>0.0</v>
      </c>
      <c r="T2574" s="23" t="s">
        <v>118</v>
      </c>
      <c r="U2574" s="6"/>
      <c r="V2574" s="6"/>
      <c r="W2574" s="35">
        <v>29.7873742</v>
      </c>
      <c r="X2574" s="35">
        <v>-95.355807</v>
      </c>
      <c r="AA2574" s="33"/>
      <c r="AB2574" s="33"/>
      <c r="AC2574" s="33"/>
      <c r="AD2574" s="33"/>
      <c r="AE2574" s="33"/>
      <c r="AF2574" s="33"/>
      <c r="AG2574" s="33"/>
      <c r="AH2574" s="33"/>
      <c r="AI2574" s="33"/>
      <c r="AJ2574" s="33"/>
      <c r="AK2574" s="33"/>
      <c r="AL2574" s="33"/>
      <c r="AM2574" s="33"/>
      <c r="AN2574" s="33"/>
      <c r="AO2574" s="33"/>
    </row>
    <row r="2575" ht="15.75" customHeight="1">
      <c r="A2575" s="23">
        <v>52081.0</v>
      </c>
      <c r="B2575" s="23">
        <v>2023.0</v>
      </c>
      <c r="C2575" s="36" t="str">
        <f t="shared" si="7"/>
        <v>8233 WESTCOTT RD,Houston,TX</v>
      </c>
      <c r="D2575" s="23" t="s">
        <v>3892</v>
      </c>
      <c r="E2575" s="6" t="s">
        <v>25</v>
      </c>
      <c r="F2575" s="6" t="s">
        <v>1388</v>
      </c>
      <c r="G2575" s="31" t="s">
        <v>326</v>
      </c>
      <c r="H2575" s="23" t="s">
        <v>28</v>
      </c>
      <c r="I2575" s="37" t="str">
        <f>VLOOKUP(H2575,'Flow Location'!$A$1:$B$21,2,FALSE)</f>
        <v>Storm Sewer (not contained)</v>
      </c>
      <c r="J2575" s="28">
        <v>0.0</v>
      </c>
      <c r="K2575" s="23" t="s">
        <v>29</v>
      </c>
      <c r="L2575" s="37" t="str">
        <f>VLOOKUP(K2575,'Structure type'!$A$1:$B$15,2,FALSE)</f>
        <v>Manhole</v>
      </c>
      <c r="M2575" s="23" t="s">
        <v>30</v>
      </c>
      <c r="N2575" s="37" t="str">
        <f>VLOOKUP(M2575,'Excursion Cause'!$A$1:$B$34,2,FALSE)</f>
        <v>Grease Blockage</v>
      </c>
      <c r="O2575" s="29">
        <v>45035.0</v>
      </c>
      <c r="P2575" s="30">
        <v>0.39305555555555555</v>
      </c>
      <c r="Q2575" s="29">
        <v>45035.0</v>
      </c>
      <c r="R2575" s="30">
        <v>0.39375</v>
      </c>
      <c r="S2575" s="28">
        <v>0.0</v>
      </c>
      <c r="T2575" s="23" t="s">
        <v>3749</v>
      </c>
      <c r="U2575" s="6"/>
      <c r="V2575" s="6"/>
      <c r="W2575" s="35">
        <v>29.8351324</v>
      </c>
      <c r="X2575" s="35">
        <v>-95.3067994</v>
      </c>
      <c r="AA2575" s="33"/>
      <c r="AB2575" s="33"/>
      <c r="AC2575" s="33"/>
      <c r="AD2575" s="33"/>
      <c r="AE2575" s="33"/>
      <c r="AF2575" s="33"/>
      <c r="AG2575" s="33"/>
      <c r="AH2575" s="33"/>
      <c r="AI2575" s="33"/>
      <c r="AJ2575" s="33"/>
      <c r="AK2575" s="33"/>
      <c r="AL2575" s="33"/>
      <c r="AM2575" s="33"/>
      <c r="AN2575" s="33"/>
      <c r="AO2575" s="33"/>
    </row>
    <row r="2576" ht="15.75" customHeight="1">
      <c r="A2576" s="23">
        <v>52088.0</v>
      </c>
      <c r="B2576" s="23">
        <v>2023.0</v>
      </c>
      <c r="C2576" s="36" t="str">
        <f t="shared" si="7"/>
        <v>9221 PAGEWOOD LN,Houston,TX</v>
      </c>
      <c r="D2576" s="23" t="s">
        <v>2583</v>
      </c>
      <c r="E2576" s="6" t="s">
        <v>25</v>
      </c>
      <c r="F2576" s="6" t="s">
        <v>1388</v>
      </c>
      <c r="G2576" s="31" t="s">
        <v>482</v>
      </c>
      <c r="H2576" s="23" t="s">
        <v>50</v>
      </c>
      <c r="I2576" s="37" t="str">
        <f>VLOOKUP(H2576,'Flow Location'!$A$1:$B$21,2,FALSE)</f>
        <v>Contained On Site, not within 5 ft. of Bayou/Surface Water/Drainage Ditch</v>
      </c>
      <c r="J2576" s="28">
        <v>366.0</v>
      </c>
      <c r="K2576" s="23" t="s">
        <v>29</v>
      </c>
      <c r="L2576" s="37" t="str">
        <f>VLOOKUP(K2576,'Structure type'!$A$1:$B$15,2,FALSE)</f>
        <v>Manhole</v>
      </c>
      <c r="M2576" s="23" t="s">
        <v>30</v>
      </c>
      <c r="N2576" s="37" t="str">
        <f>VLOOKUP(M2576,'Excursion Cause'!$A$1:$B$34,2,FALSE)</f>
        <v>Grease Blockage</v>
      </c>
      <c r="O2576" s="29">
        <v>45034.0</v>
      </c>
      <c r="P2576" s="30">
        <v>0.34930555555555554</v>
      </c>
      <c r="Q2576" s="29">
        <v>45034.0</v>
      </c>
      <c r="R2576" s="30">
        <v>0.4340277777777778</v>
      </c>
      <c r="S2576" s="28">
        <v>3.0</v>
      </c>
      <c r="T2576" s="23" t="s">
        <v>1462</v>
      </c>
      <c r="U2576" s="6"/>
      <c r="V2576" s="6"/>
      <c r="W2576" s="35">
        <v>29.7252277</v>
      </c>
      <c r="X2576" s="35">
        <v>-95.5273763</v>
      </c>
      <c r="AA2576" s="33"/>
      <c r="AB2576" s="33"/>
      <c r="AC2576" s="33"/>
      <c r="AD2576" s="33"/>
      <c r="AE2576" s="33"/>
      <c r="AF2576" s="33"/>
      <c r="AG2576" s="33"/>
      <c r="AH2576" s="33"/>
      <c r="AI2576" s="33"/>
      <c r="AJ2576" s="33"/>
      <c r="AK2576" s="33"/>
      <c r="AL2576" s="33"/>
      <c r="AM2576" s="33"/>
      <c r="AN2576" s="33"/>
      <c r="AO2576" s="33"/>
    </row>
    <row r="2577" ht="15.75" customHeight="1">
      <c r="A2577" s="23">
        <v>52089.0</v>
      </c>
      <c r="B2577" s="23">
        <v>2023.0</v>
      </c>
      <c r="C2577" s="36" t="str">
        <f t="shared" si="7"/>
        <v>9221 PAGEWOOD LN,Houston,TX</v>
      </c>
      <c r="D2577" s="23" t="s">
        <v>2583</v>
      </c>
      <c r="E2577" s="6" t="s">
        <v>25</v>
      </c>
      <c r="F2577" s="6" t="s">
        <v>1388</v>
      </c>
      <c r="G2577" s="31" t="s">
        <v>482</v>
      </c>
      <c r="H2577" s="23" t="s">
        <v>50</v>
      </c>
      <c r="I2577" s="37" t="str">
        <f>VLOOKUP(H2577,'Flow Location'!$A$1:$B$21,2,FALSE)</f>
        <v>Contained On Site, not within 5 ft. of Bayou/Surface Water/Drainage Ditch</v>
      </c>
      <c r="J2577" s="28">
        <v>366.0</v>
      </c>
      <c r="K2577" s="23" t="s">
        <v>29</v>
      </c>
      <c r="L2577" s="37" t="str">
        <f>VLOOKUP(K2577,'Structure type'!$A$1:$B$15,2,FALSE)</f>
        <v>Manhole</v>
      </c>
      <c r="M2577" s="23" t="s">
        <v>30</v>
      </c>
      <c r="N2577" s="25" t="str">
        <f>VLOOKUP(M2577,'Excursion Cause'!$A$1:$B$34,2,FALSE)</f>
        <v>Grease Blockage</v>
      </c>
      <c r="O2577" s="29">
        <v>45034.0</v>
      </c>
      <c r="P2577" s="30">
        <v>0.34930555555555554</v>
      </c>
      <c r="Q2577" s="29">
        <v>45034.0</v>
      </c>
      <c r="R2577" s="30">
        <v>0.4340277777777778</v>
      </c>
      <c r="S2577" s="28">
        <v>3.0</v>
      </c>
      <c r="T2577" s="23" t="s">
        <v>1462</v>
      </c>
      <c r="U2577" s="6"/>
      <c r="V2577" s="6"/>
      <c r="W2577" s="35">
        <v>29.7252277</v>
      </c>
      <c r="X2577" s="35">
        <v>-95.5273763</v>
      </c>
      <c r="AA2577" s="33"/>
      <c r="AB2577" s="33"/>
      <c r="AC2577" s="33"/>
      <c r="AD2577" s="33"/>
      <c r="AE2577" s="33"/>
      <c r="AF2577" s="33"/>
      <c r="AG2577" s="33"/>
      <c r="AH2577" s="33"/>
      <c r="AI2577" s="33"/>
      <c r="AJ2577" s="33"/>
      <c r="AK2577" s="33"/>
      <c r="AL2577" s="33"/>
      <c r="AM2577" s="33"/>
      <c r="AN2577" s="33"/>
      <c r="AO2577" s="33"/>
    </row>
    <row r="2578" ht="15.75" customHeight="1">
      <c r="A2578" s="23">
        <v>52095.0</v>
      </c>
      <c r="B2578" s="23">
        <v>2023.0</v>
      </c>
      <c r="C2578" s="36" t="str">
        <f t="shared" si="7"/>
        <v>2900 HOLMAN ST,Houston,TX</v>
      </c>
      <c r="D2578" s="23" t="s">
        <v>2052</v>
      </c>
      <c r="E2578" s="6" t="s">
        <v>25</v>
      </c>
      <c r="F2578" s="6" t="s">
        <v>1388</v>
      </c>
      <c r="G2578" s="31" t="s">
        <v>308</v>
      </c>
      <c r="H2578" s="23" t="s">
        <v>28</v>
      </c>
      <c r="I2578" s="37" t="str">
        <f>VLOOKUP(H2578,'Flow Location'!$A$1:$B$21,2,FALSE)</f>
        <v>Storm Sewer (not contained)</v>
      </c>
      <c r="J2578" s="28">
        <v>673.0</v>
      </c>
      <c r="K2578" s="23" t="s">
        <v>45</v>
      </c>
      <c r="L2578" s="37" t="str">
        <f>VLOOKUP(K2578,'Structure type'!$A$1:$B$15,2,FALSE)</f>
        <v>City Cleanout</v>
      </c>
      <c r="M2578" s="23" t="s">
        <v>56</v>
      </c>
      <c r="N2578" s="25" t="str">
        <f>VLOOKUP(M2578,'Excursion Cause'!$A$1:$B$34,2,FALSE)</f>
        <v>Rags/Wipes</v>
      </c>
      <c r="O2578" s="29">
        <v>45035.0</v>
      </c>
      <c r="P2578" s="30">
        <v>0.6930555555555555</v>
      </c>
      <c r="Q2578" s="29">
        <v>45036.0</v>
      </c>
      <c r="R2578" s="30">
        <v>0.6270833333333333</v>
      </c>
      <c r="S2578" s="28">
        <v>1.0</v>
      </c>
      <c r="T2578" s="23" t="s">
        <v>3756</v>
      </c>
      <c r="U2578" s="6"/>
      <c r="V2578" s="6"/>
      <c r="W2578" s="35">
        <v>29.7292702</v>
      </c>
      <c r="X2578" s="35">
        <v>-95.3622451</v>
      </c>
      <c r="AA2578" s="33"/>
      <c r="AB2578" s="33"/>
      <c r="AC2578" s="33"/>
      <c r="AD2578" s="33"/>
      <c r="AE2578" s="33"/>
      <c r="AF2578" s="33"/>
      <c r="AG2578" s="33"/>
      <c r="AH2578" s="33"/>
      <c r="AI2578" s="33"/>
      <c r="AJ2578" s="33"/>
      <c r="AK2578" s="33"/>
      <c r="AL2578" s="33"/>
      <c r="AM2578" s="33"/>
      <c r="AN2578" s="33"/>
      <c r="AO2578" s="33"/>
    </row>
    <row r="2579" ht="15.75" customHeight="1">
      <c r="A2579" s="23">
        <v>52097.0</v>
      </c>
      <c r="B2579" s="23">
        <v>2023.0</v>
      </c>
      <c r="C2579" s="36" t="str">
        <f t="shared" si="7"/>
        <v>7815 BETTY JANE LN,Houston,TX</v>
      </c>
      <c r="D2579" s="23" t="s">
        <v>3309</v>
      </c>
      <c r="E2579" s="6" t="s">
        <v>25</v>
      </c>
      <c r="F2579" s="6" t="s">
        <v>1388</v>
      </c>
      <c r="G2579" s="31" t="s">
        <v>27</v>
      </c>
      <c r="H2579" s="23" t="s">
        <v>50</v>
      </c>
      <c r="I2579" s="37" t="str">
        <f>VLOOKUP(H2579,'Flow Location'!$A$1:$B$21,2,FALSE)</f>
        <v>Contained On Site, not within 5 ft. of Bayou/Surface Water/Drainage Ditch</v>
      </c>
      <c r="J2579" s="28">
        <v>0.0</v>
      </c>
      <c r="K2579" s="23" t="s">
        <v>45</v>
      </c>
      <c r="L2579" s="37" t="str">
        <f>VLOOKUP(K2579,'Structure type'!$A$1:$B$15,2,FALSE)</f>
        <v>City Cleanout</v>
      </c>
      <c r="M2579" s="23" t="s">
        <v>56</v>
      </c>
      <c r="N2579" s="25" t="str">
        <f>VLOOKUP(M2579,'Excursion Cause'!$A$1:$B$34,2,FALSE)</f>
        <v>Rags/Wipes</v>
      </c>
      <c r="O2579" s="29">
        <v>45036.0</v>
      </c>
      <c r="P2579" s="30">
        <v>0.65625</v>
      </c>
      <c r="Q2579" s="29">
        <v>45036.0</v>
      </c>
      <c r="R2579" s="30">
        <v>0.6569444444444444</v>
      </c>
      <c r="S2579" s="28">
        <v>0.0</v>
      </c>
      <c r="T2579" s="23" t="s">
        <v>3743</v>
      </c>
      <c r="U2579" s="6"/>
      <c r="V2579" s="6"/>
      <c r="W2579" s="35">
        <v>29.7861094999999</v>
      </c>
      <c r="X2579" s="35">
        <v>-95.4842736999999</v>
      </c>
      <c r="AA2579" s="33"/>
      <c r="AB2579" s="33"/>
      <c r="AC2579" s="33"/>
      <c r="AD2579" s="33"/>
      <c r="AE2579" s="33"/>
      <c r="AF2579" s="33"/>
      <c r="AG2579" s="33"/>
      <c r="AH2579" s="33"/>
      <c r="AI2579" s="33"/>
      <c r="AJ2579" s="33"/>
      <c r="AK2579" s="33"/>
      <c r="AL2579" s="33"/>
      <c r="AM2579" s="33"/>
      <c r="AN2579" s="33"/>
      <c r="AO2579" s="33"/>
    </row>
    <row r="2580" ht="15.75" customHeight="1">
      <c r="A2580" s="23">
        <v>52098.0</v>
      </c>
      <c r="B2580" s="23">
        <v>2023.0</v>
      </c>
      <c r="C2580" s="36" t="str">
        <f t="shared" si="7"/>
        <v>9713 BENNETT ST,Houston,TX</v>
      </c>
      <c r="D2580" s="23" t="s">
        <v>3893</v>
      </c>
      <c r="E2580" s="6" t="s">
        <v>25</v>
      </c>
      <c r="F2580" s="6" t="s">
        <v>1388</v>
      </c>
      <c r="G2580" s="31" t="s">
        <v>247</v>
      </c>
      <c r="H2580" s="23" t="s">
        <v>28</v>
      </c>
      <c r="I2580" s="37" t="str">
        <f>VLOOKUP(H2580,'Flow Location'!$A$1:$B$21,2,FALSE)</f>
        <v>Storm Sewer (not contained)</v>
      </c>
      <c r="J2580" s="28">
        <v>0.0</v>
      </c>
      <c r="K2580" s="23" t="s">
        <v>29</v>
      </c>
      <c r="L2580" s="37" t="str">
        <f>VLOOKUP(K2580,'Structure type'!$A$1:$B$15,2,FALSE)</f>
        <v>Manhole</v>
      </c>
      <c r="M2580" s="23" t="s">
        <v>30</v>
      </c>
      <c r="N2580" s="25" t="str">
        <f>VLOOKUP(M2580,'Excursion Cause'!$A$1:$B$34,2,FALSE)</f>
        <v>Grease Blockage</v>
      </c>
      <c r="O2580" s="29">
        <v>45036.0</v>
      </c>
      <c r="P2580" s="30">
        <v>0.65</v>
      </c>
      <c r="Q2580" s="29">
        <v>45036.0</v>
      </c>
      <c r="R2580" s="30">
        <v>0.6506944444444445</v>
      </c>
      <c r="S2580" s="28">
        <v>0.0</v>
      </c>
      <c r="T2580" s="23" t="s">
        <v>1462</v>
      </c>
      <c r="U2580" s="6"/>
      <c r="V2580" s="6"/>
      <c r="W2580" s="35">
        <v>29.7514543</v>
      </c>
      <c r="X2580" s="35">
        <v>-95.2567536</v>
      </c>
      <c r="AA2580" s="33"/>
      <c r="AB2580" s="33"/>
      <c r="AC2580" s="33"/>
      <c r="AD2580" s="33"/>
      <c r="AE2580" s="33"/>
      <c r="AF2580" s="33"/>
      <c r="AG2580" s="33"/>
      <c r="AH2580" s="33"/>
      <c r="AI2580" s="33"/>
      <c r="AJ2580" s="33"/>
      <c r="AK2580" s="33"/>
      <c r="AL2580" s="33"/>
      <c r="AM2580" s="33"/>
      <c r="AN2580" s="33"/>
      <c r="AO2580" s="33"/>
    </row>
    <row r="2581" ht="15.75" customHeight="1">
      <c r="A2581" s="23">
        <v>52102.0</v>
      </c>
      <c r="B2581" s="23">
        <v>2023.0</v>
      </c>
      <c r="C2581" s="36" t="str">
        <f t="shared" si="7"/>
        <v>2409 ABERNATHY ST,Houston,TX</v>
      </c>
      <c r="D2581" s="23" t="s">
        <v>3758</v>
      </c>
      <c r="E2581" s="6" t="s">
        <v>25</v>
      </c>
      <c r="F2581" s="6" t="s">
        <v>1388</v>
      </c>
      <c r="G2581" s="31" t="s">
        <v>43</v>
      </c>
      <c r="H2581" s="23" t="s">
        <v>1493</v>
      </c>
      <c r="I2581" s="37" t="str">
        <f>VLOOKUP(H2581,'Flow Location'!$A$1:$B$21,2,FALSE)</f>
        <v>Contained On Site, not within 5 ft. of Bayou/Surface Water/Drainage Ditch</v>
      </c>
      <c r="J2581" s="28">
        <v>0.0</v>
      </c>
      <c r="K2581" s="23" t="s">
        <v>29</v>
      </c>
      <c r="L2581" s="37" t="str">
        <f>VLOOKUP(K2581,'Structure type'!$A$1:$B$15,2,FALSE)</f>
        <v>Manhole</v>
      </c>
      <c r="M2581" s="23" t="s">
        <v>30</v>
      </c>
      <c r="N2581" s="25" t="str">
        <f>VLOOKUP(M2581,'Excursion Cause'!$A$1:$B$34,2,FALSE)</f>
        <v>Grease Blockage</v>
      </c>
      <c r="O2581" s="29">
        <v>45036.0</v>
      </c>
      <c r="P2581" s="30">
        <v>0.6902777777777778</v>
      </c>
      <c r="Q2581" s="29">
        <v>45036.0</v>
      </c>
      <c r="R2581" s="30">
        <v>0.6909722222222222</v>
      </c>
      <c r="S2581" s="28">
        <v>0.0</v>
      </c>
      <c r="T2581" s="23" t="s">
        <v>1462</v>
      </c>
      <c r="U2581" s="6"/>
      <c r="V2581" s="6"/>
      <c r="W2581" s="35">
        <v>29.7844744</v>
      </c>
      <c r="X2581" s="35">
        <v>-95.3288547</v>
      </c>
      <c r="AA2581" s="33"/>
      <c r="AB2581" s="33"/>
      <c r="AC2581" s="33"/>
      <c r="AD2581" s="33"/>
      <c r="AE2581" s="33"/>
      <c r="AF2581" s="33"/>
      <c r="AG2581" s="33"/>
      <c r="AH2581" s="33"/>
      <c r="AI2581" s="33"/>
      <c r="AJ2581" s="33"/>
      <c r="AK2581" s="33"/>
      <c r="AL2581" s="33"/>
      <c r="AM2581" s="33"/>
      <c r="AN2581" s="33"/>
      <c r="AO2581" s="33"/>
    </row>
    <row r="2582" ht="15.75" customHeight="1">
      <c r="A2582" s="23">
        <v>52106.0</v>
      </c>
      <c r="B2582" s="23">
        <v>2023.0</v>
      </c>
      <c r="C2582" s="36" t="str">
        <f t="shared" si="7"/>
        <v>9524 BRAEBURN GLEN BLVD,Houston,TX</v>
      </c>
      <c r="D2582" s="23" t="s">
        <v>3894</v>
      </c>
      <c r="E2582" s="6" t="s">
        <v>25</v>
      </c>
      <c r="F2582" s="6" t="s">
        <v>1388</v>
      </c>
      <c r="G2582" s="31" t="s">
        <v>471</v>
      </c>
      <c r="H2582" s="23" t="s">
        <v>50</v>
      </c>
      <c r="I2582" s="37" t="str">
        <f>VLOOKUP(H2582,'Flow Location'!$A$1:$B$21,2,FALSE)</f>
        <v>Contained On Site, not within 5 ft. of Bayou/Surface Water/Drainage Ditch</v>
      </c>
      <c r="J2582" s="28">
        <v>0.0</v>
      </c>
      <c r="K2582" s="23" t="s">
        <v>45</v>
      </c>
      <c r="L2582" s="37" t="str">
        <f>VLOOKUP(K2582,'Structure type'!$A$1:$B$15,2,FALSE)</f>
        <v>City Cleanout</v>
      </c>
      <c r="M2582" s="23" t="s">
        <v>30</v>
      </c>
      <c r="N2582" s="25" t="str">
        <f>VLOOKUP(M2582,'Excursion Cause'!$A$1:$B$34,2,FALSE)</f>
        <v>Grease Blockage</v>
      </c>
      <c r="O2582" s="29">
        <v>45035.0</v>
      </c>
      <c r="P2582" s="30">
        <v>0.5</v>
      </c>
      <c r="Q2582" s="29">
        <v>45035.0</v>
      </c>
      <c r="R2582" s="30">
        <v>0.5006944444444444</v>
      </c>
      <c r="S2582" s="28">
        <v>0.0</v>
      </c>
      <c r="T2582" s="23" t="s">
        <v>3743</v>
      </c>
      <c r="U2582" s="6"/>
      <c r="V2582" s="6"/>
      <c r="W2582" s="35">
        <v>29.6772164</v>
      </c>
      <c r="X2582" s="35">
        <v>-95.532901</v>
      </c>
      <c r="AA2582" s="33"/>
      <c r="AB2582" s="33"/>
      <c r="AC2582" s="33"/>
      <c r="AD2582" s="33"/>
      <c r="AE2582" s="33"/>
      <c r="AF2582" s="33"/>
      <c r="AG2582" s="33"/>
      <c r="AH2582" s="33"/>
      <c r="AI2582" s="33"/>
      <c r="AJ2582" s="33"/>
      <c r="AK2582" s="33"/>
      <c r="AL2582" s="33"/>
      <c r="AM2582" s="33"/>
      <c r="AN2582" s="33"/>
      <c r="AO2582" s="33"/>
    </row>
    <row r="2583" ht="15.75" customHeight="1">
      <c r="A2583" s="23">
        <v>52107.0</v>
      </c>
      <c r="B2583" s="23">
        <v>2023.0</v>
      </c>
      <c r="C2583" s="36" t="str">
        <f t="shared" si="7"/>
        <v>910 EVONNE ST,Houston,TX</v>
      </c>
      <c r="D2583" s="23" t="s">
        <v>3895</v>
      </c>
      <c r="E2583" s="6" t="s">
        <v>25</v>
      </c>
      <c r="F2583" s="6" t="s">
        <v>1388</v>
      </c>
      <c r="G2583" s="31" t="s">
        <v>135</v>
      </c>
      <c r="H2583" s="23" t="s">
        <v>50</v>
      </c>
      <c r="I2583" s="37" t="str">
        <f>VLOOKUP(H2583,'Flow Location'!$A$1:$B$21,2,FALSE)</f>
        <v>Contained On Site, not within 5 ft. of Bayou/Surface Water/Drainage Ditch</v>
      </c>
      <c r="J2583" s="28">
        <v>0.0</v>
      </c>
      <c r="K2583" s="23" t="s">
        <v>198</v>
      </c>
      <c r="L2583" s="37" t="str">
        <f>VLOOKUP(K2583,'Structure type'!$A$1:$B$15,2,FALSE)</f>
        <v>Service Lateral</v>
      </c>
      <c r="M2583" s="23" t="s">
        <v>52</v>
      </c>
      <c r="N2583" s="25" t="str">
        <f>VLOOKUP(M2583,'Excursion Cause'!$A$1:$B$34,2,FALSE)</f>
        <v>Collection system structural blockage</v>
      </c>
      <c r="O2583" s="29">
        <v>45037.0</v>
      </c>
      <c r="P2583" s="30">
        <v>0.4097222222222222</v>
      </c>
      <c r="Q2583" s="29">
        <v>45037.0</v>
      </c>
      <c r="R2583" s="30">
        <v>0.41041666666666665</v>
      </c>
      <c r="S2583" s="28">
        <v>0.0</v>
      </c>
      <c r="T2583" s="23" t="s">
        <v>118</v>
      </c>
      <c r="U2583" s="6"/>
      <c r="V2583" s="6"/>
      <c r="W2583" s="35">
        <v>29.6914065</v>
      </c>
      <c r="X2583" s="35">
        <v>-95.2404332</v>
      </c>
      <c r="AA2583" s="33"/>
      <c r="AB2583" s="33"/>
      <c r="AC2583" s="33"/>
      <c r="AD2583" s="33"/>
      <c r="AE2583" s="33"/>
      <c r="AF2583" s="33"/>
      <c r="AG2583" s="33"/>
      <c r="AH2583" s="33"/>
      <c r="AI2583" s="33"/>
      <c r="AJ2583" s="33"/>
      <c r="AK2583" s="33"/>
      <c r="AL2583" s="33"/>
      <c r="AM2583" s="33"/>
      <c r="AN2583" s="33"/>
      <c r="AO2583" s="33"/>
    </row>
    <row r="2584" ht="15.75" customHeight="1">
      <c r="A2584" s="23">
        <v>52109.0</v>
      </c>
      <c r="B2584" s="23">
        <v>2023.0</v>
      </c>
      <c r="C2584" s="36" t="str">
        <f t="shared" si="7"/>
        <v>7550 LONG POINT RD,Houston,TX</v>
      </c>
      <c r="D2584" s="23" t="s">
        <v>1151</v>
      </c>
      <c r="E2584" s="6" t="s">
        <v>25</v>
      </c>
      <c r="F2584" s="6" t="s">
        <v>1388</v>
      </c>
      <c r="G2584" s="31" t="s">
        <v>27</v>
      </c>
      <c r="H2584" s="23" t="s">
        <v>28</v>
      </c>
      <c r="I2584" s="37" t="str">
        <f>VLOOKUP(H2584,'Flow Location'!$A$1:$B$21,2,FALSE)</f>
        <v>Storm Sewer (not contained)</v>
      </c>
      <c r="J2584" s="28">
        <v>272.0</v>
      </c>
      <c r="K2584" s="23" t="s">
        <v>51</v>
      </c>
      <c r="L2584" s="37" t="str">
        <f>VLOOKUP(K2584,'Structure type'!$A$1:$B$15,2,FALSE)</f>
        <v>Private Cleanout</v>
      </c>
      <c r="M2584" s="23" t="s">
        <v>30</v>
      </c>
      <c r="N2584" s="25" t="str">
        <f>VLOOKUP(M2584,'Excursion Cause'!$A$1:$B$34,2,FALSE)</f>
        <v>Grease Blockage</v>
      </c>
      <c r="O2584" s="29">
        <v>45037.0</v>
      </c>
      <c r="P2584" s="30">
        <v>0.4576388888888889</v>
      </c>
      <c r="Q2584" s="29">
        <v>45037.0</v>
      </c>
      <c r="R2584" s="30">
        <v>0.6465277777777778</v>
      </c>
      <c r="S2584" s="28">
        <v>1.0</v>
      </c>
      <c r="T2584" s="23" t="s">
        <v>3749</v>
      </c>
      <c r="U2584" s="6"/>
      <c r="V2584" s="6"/>
      <c r="W2584" s="35">
        <v>29.8030949</v>
      </c>
      <c r="X2584" s="35">
        <v>-95.4790273999999</v>
      </c>
      <c r="AA2584" s="33"/>
      <c r="AB2584" s="33"/>
      <c r="AC2584" s="33"/>
      <c r="AD2584" s="33"/>
      <c r="AE2584" s="33"/>
      <c r="AF2584" s="33"/>
      <c r="AG2584" s="33"/>
      <c r="AH2584" s="33"/>
      <c r="AI2584" s="33"/>
      <c r="AJ2584" s="33"/>
      <c r="AK2584" s="33"/>
      <c r="AL2584" s="33"/>
      <c r="AM2584" s="33"/>
      <c r="AN2584" s="33"/>
      <c r="AO2584" s="33"/>
    </row>
    <row r="2585" ht="15.75" customHeight="1">
      <c r="A2585" s="23">
        <v>52111.0</v>
      </c>
      <c r="B2585" s="23">
        <v>2023.0</v>
      </c>
      <c r="C2585" s="36" t="str">
        <f t="shared" si="7"/>
        <v>3838 SEARLE DR,Houston,TX</v>
      </c>
      <c r="D2585" s="23" t="s">
        <v>3896</v>
      </c>
      <c r="E2585" s="6" t="s">
        <v>25</v>
      </c>
      <c r="F2585" s="6" t="s">
        <v>1388</v>
      </c>
      <c r="G2585" s="31" t="s">
        <v>161</v>
      </c>
      <c r="H2585" s="23" t="s">
        <v>28</v>
      </c>
      <c r="I2585" s="37" t="str">
        <f>VLOOKUP(H2585,'Flow Location'!$A$1:$B$21,2,FALSE)</f>
        <v>Storm Sewer (not contained)</v>
      </c>
      <c r="J2585" s="28">
        <v>0.0</v>
      </c>
      <c r="K2585" s="23" t="s">
        <v>45</v>
      </c>
      <c r="L2585" s="37" t="str">
        <f>VLOOKUP(K2585,'Structure type'!$A$1:$B$15,2,FALSE)</f>
        <v>City Cleanout</v>
      </c>
      <c r="M2585" s="23" t="s">
        <v>52</v>
      </c>
      <c r="N2585" s="25" t="str">
        <f>VLOOKUP(M2585,'Excursion Cause'!$A$1:$B$34,2,FALSE)</f>
        <v>Collection system structural blockage</v>
      </c>
      <c r="O2585" s="29">
        <v>45037.0</v>
      </c>
      <c r="P2585" s="30">
        <v>0.5395833333333333</v>
      </c>
      <c r="Q2585" s="29">
        <v>45037.0</v>
      </c>
      <c r="R2585" s="30">
        <v>0.5402777777777777</v>
      </c>
      <c r="S2585" s="28">
        <v>0.0</v>
      </c>
      <c r="T2585" s="23" t="s">
        <v>3756</v>
      </c>
      <c r="U2585" s="6"/>
      <c r="V2585" s="6"/>
      <c r="W2585" s="35">
        <v>29.7935797</v>
      </c>
      <c r="X2585" s="35">
        <v>-95.3679734</v>
      </c>
      <c r="AA2585" s="33"/>
      <c r="AB2585" s="33"/>
      <c r="AC2585" s="33"/>
      <c r="AD2585" s="33"/>
      <c r="AE2585" s="33"/>
      <c r="AF2585" s="33"/>
      <c r="AG2585" s="33"/>
      <c r="AH2585" s="33"/>
      <c r="AI2585" s="33"/>
      <c r="AJ2585" s="33"/>
      <c r="AK2585" s="33"/>
      <c r="AL2585" s="33"/>
      <c r="AM2585" s="33"/>
      <c r="AN2585" s="33"/>
      <c r="AO2585" s="33"/>
    </row>
    <row r="2586" ht="15.75" customHeight="1">
      <c r="A2586" s="23">
        <v>52116.0</v>
      </c>
      <c r="B2586" s="23">
        <v>2023.0</v>
      </c>
      <c r="C2586" s="36" t="str">
        <f t="shared" si="7"/>
        <v>7527 KINGSLEY ST,Houston,TX</v>
      </c>
      <c r="D2586" s="23" t="s">
        <v>3897</v>
      </c>
      <c r="E2586" s="6" t="s">
        <v>25</v>
      </c>
      <c r="F2586" s="6" t="s">
        <v>1388</v>
      </c>
      <c r="G2586" s="31" t="s">
        <v>35</v>
      </c>
      <c r="H2586" s="23" t="s">
        <v>50</v>
      </c>
      <c r="I2586" s="37" t="str">
        <f>VLOOKUP(H2586,'Flow Location'!$A$1:$B$21,2,FALSE)</f>
        <v>Contained On Site, not within 5 ft. of Bayou/Surface Water/Drainage Ditch</v>
      </c>
      <c r="J2586" s="28">
        <v>465.0</v>
      </c>
      <c r="K2586" s="23" t="s">
        <v>29</v>
      </c>
      <c r="L2586" s="37" t="str">
        <f>VLOOKUP(K2586,'Structure type'!$A$1:$B$15,2,FALSE)</f>
        <v>Manhole</v>
      </c>
      <c r="M2586" s="23" t="s">
        <v>30</v>
      </c>
      <c r="N2586" s="25" t="str">
        <f>VLOOKUP(M2586,'Excursion Cause'!$A$1:$B$34,2,FALSE)</f>
        <v>Grease Blockage</v>
      </c>
      <c r="O2586" s="29">
        <v>45038.0</v>
      </c>
      <c r="P2586" s="30">
        <v>0.3645833333333333</v>
      </c>
      <c r="Q2586" s="29">
        <v>45038.0</v>
      </c>
      <c r="R2586" s="30">
        <v>0.4722222222222222</v>
      </c>
      <c r="S2586" s="28">
        <v>3.0</v>
      </c>
      <c r="T2586" s="23" t="s">
        <v>1462</v>
      </c>
      <c r="U2586" s="6"/>
      <c r="V2586" s="6"/>
      <c r="W2586" s="35">
        <v>29.6873088999999</v>
      </c>
      <c r="X2586" s="35">
        <v>-95.2917137</v>
      </c>
      <c r="AA2586" s="33"/>
      <c r="AB2586" s="33"/>
      <c r="AC2586" s="33"/>
      <c r="AD2586" s="33"/>
      <c r="AE2586" s="33"/>
      <c r="AF2586" s="33"/>
      <c r="AG2586" s="33"/>
      <c r="AH2586" s="33"/>
      <c r="AI2586" s="33"/>
      <c r="AJ2586" s="33"/>
      <c r="AK2586" s="33"/>
      <c r="AL2586" s="33"/>
      <c r="AM2586" s="33"/>
      <c r="AN2586" s="33"/>
      <c r="AO2586" s="33"/>
    </row>
    <row r="2587" ht="15.75" customHeight="1">
      <c r="A2587" s="23">
        <v>52117.0</v>
      </c>
      <c r="B2587" s="23">
        <v>2023.0</v>
      </c>
      <c r="C2587" s="36" t="str">
        <f t="shared" si="7"/>
        <v>1700 RICHMOND AVE,Houston,TX</v>
      </c>
      <c r="D2587" s="23" t="s">
        <v>3898</v>
      </c>
      <c r="E2587" s="6" t="s">
        <v>25</v>
      </c>
      <c r="F2587" s="6" t="s">
        <v>1388</v>
      </c>
      <c r="G2587" s="31" t="s">
        <v>112</v>
      </c>
      <c r="H2587" s="23" t="s">
        <v>50</v>
      </c>
      <c r="I2587" s="37" t="str">
        <f>VLOOKUP(H2587,'Flow Location'!$A$1:$B$21,2,FALSE)</f>
        <v>Contained On Site, not within 5 ft. of Bayou/Surface Water/Drainage Ditch</v>
      </c>
      <c r="J2587" s="28">
        <v>0.0</v>
      </c>
      <c r="K2587" s="23" t="s">
        <v>45</v>
      </c>
      <c r="L2587" s="37" t="str">
        <f>VLOOKUP(K2587,'Structure type'!$A$1:$B$15,2,FALSE)</f>
        <v>City Cleanout</v>
      </c>
      <c r="M2587" s="23" t="s">
        <v>30</v>
      </c>
      <c r="N2587" s="25" t="str">
        <f>VLOOKUP(M2587,'Excursion Cause'!$A$1:$B$34,2,FALSE)</f>
        <v>Grease Blockage</v>
      </c>
      <c r="O2587" s="29">
        <v>45038.0</v>
      </c>
      <c r="P2587" s="30">
        <v>0.3798611111111111</v>
      </c>
      <c r="Q2587" s="29">
        <v>45038.0</v>
      </c>
      <c r="R2587" s="30">
        <v>0.38055555555555554</v>
      </c>
      <c r="S2587" s="28">
        <v>0.0</v>
      </c>
      <c r="T2587" s="23" t="s">
        <v>1473</v>
      </c>
      <c r="U2587" s="6"/>
      <c r="V2587" s="6"/>
      <c r="W2587" s="35">
        <v>29.7346249</v>
      </c>
      <c r="X2587" s="35">
        <v>-95.4023685</v>
      </c>
      <c r="AA2587" s="33"/>
      <c r="AB2587" s="33"/>
      <c r="AC2587" s="33"/>
      <c r="AD2587" s="33"/>
      <c r="AE2587" s="33"/>
      <c r="AF2587" s="33"/>
      <c r="AG2587" s="33"/>
      <c r="AH2587" s="33"/>
      <c r="AI2587" s="33"/>
      <c r="AJ2587" s="33"/>
      <c r="AK2587" s="33"/>
      <c r="AL2587" s="33"/>
      <c r="AM2587" s="33"/>
      <c r="AN2587" s="33"/>
      <c r="AO2587" s="33"/>
    </row>
    <row r="2588" ht="15.75" customHeight="1">
      <c r="A2588" s="23">
        <v>52121.0</v>
      </c>
      <c r="B2588" s="23">
        <v>2023.0</v>
      </c>
      <c r="C2588" s="36" t="str">
        <f t="shared" si="7"/>
        <v>242 OWENS ST,Houston,TX</v>
      </c>
      <c r="D2588" s="23" t="s">
        <v>3899</v>
      </c>
      <c r="E2588" s="6" t="s">
        <v>25</v>
      </c>
      <c r="F2588" s="6" t="s">
        <v>1388</v>
      </c>
      <c r="G2588" s="31" t="s">
        <v>247</v>
      </c>
      <c r="H2588" s="23" t="s">
        <v>50</v>
      </c>
      <c r="I2588" s="37" t="str">
        <f>VLOOKUP(H2588,'Flow Location'!$A$1:$B$21,2,FALSE)</f>
        <v>Contained On Site, not within 5 ft. of Bayou/Surface Water/Drainage Ditch</v>
      </c>
      <c r="J2588" s="28">
        <v>0.0</v>
      </c>
      <c r="K2588" s="23" t="s">
        <v>51</v>
      </c>
      <c r="L2588" s="37" t="str">
        <f>VLOOKUP(K2588,'Structure type'!$A$1:$B$15,2,FALSE)</f>
        <v>Private Cleanout</v>
      </c>
      <c r="M2588" s="23" t="s">
        <v>56</v>
      </c>
      <c r="N2588" s="25" t="str">
        <f>VLOOKUP(M2588,'Excursion Cause'!$A$1:$B$34,2,FALSE)</f>
        <v>Rags/Wipes</v>
      </c>
      <c r="O2588" s="29">
        <v>45038.0</v>
      </c>
      <c r="P2588" s="30">
        <v>0.5090277777777777</v>
      </c>
      <c r="Q2588" s="29">
        <v>45038.0</v>
      </c>
      <c r="R2588" s="30">
        <v>0.5097222222222222</v>
      </c>
      <c r="S2588" s="28">
        <v>0.0</v>
      </c>
      <c r="T2588" s="23" t="s">
        <v>1462</v>
      </c>
      <c r="U2588" s="6"/>
      <c r="V2588" s="6"/>
      <c r="W2588" s="35">
        <v>29.7407671</v>
      </c>
      <c r="X2588" s="35">
        <v>-95.2589981</v>
      </c>
      <c r="AA2588" s="33"/>
      <c r="AB2588" s="33"/>
      <c r="AC2588" s="33"/>
      <c r="AD2588" s="33"/>
      <c r="AE2588" s="33"/>
      <c r="AF2588" s="33"/>
      <c r="AG2588" s="33"/>
      <c r="AH2588" s="33"/>
      <c r="AI2588" s="33"/>
      <c r="AJ2588" s="33"/>
      <c r="AK2588" s="33"/>
      <c r="AL2588" s="33"/>
      <c r="AM2588" s="33"/>
      <c r="AN2588" s="33"/>
      <c r="AO2588" s="33"/>
    </row>
    <row r="2589" ht="15.75" customHeight="1">
      <c r="A2589" s="23">
        <v>52123.0</v>
      </c>
      <c r="B2589" s="23">
        <v>2023.0</v>
      </c>
      <c r="C2589" s="36" t="str">
        <f t="shared" si="7"/>
        <v>12850 GREENS BAYOU ST,Houston,TX</v>
      </c>
      <c r="D2589" s="23" t="s">
        <v>3900</v>
      </c>
      <c r="E2589" s="6" t="s">
        <v>25</v>
      </c>
      <c r="F2589" s="6" t="s">
        <v>1388</v>
      </c>
      <c r="G2589" s="31" t="s">
        <v>623</v>
      </c>
      <c r="H2589" s="23" t="s">
        <v>50</v>
      </c>
      <c r="I2589" s="37" t="str">
        <f>VLOOKUP(H2589,'Flow Location'!$A$1:$B$21,2,FALSE)</f>
        <v>Contained On Site, not within 5 ft. of Bayou/Surface Water/Drainage Ditch</v>
      </c>
      <c r="J2589" s="28">
        <v>0.0</v>
      </c>
      <c r="K2589" s="23" t="s">
        <v>198</v>
      </c>
      <c r="L2589" s="37" t="str">
        <f>VLOOKUP(K2589,'Structure type'!$A$1:$B$15,2,FALSE)</f>
        <v>Service Lateral</v>
      </c>
      <c r="M2589" s="23" t="s">
        <v>81</v>
      </c>
      <c r="N2589" s="25" t="str">
        <f>VLOOKUP(M2589,'Excursion Cause'!$A$1:$B$34,2,FALSE)</f>
        <v>Collection system structural failure</v>
      </c>
      <c r="O2589" s="29">
        <v>45039.0</v>
      </c>
      <c r="P2589" s="30">
        <v>0.4284722222222222</v>
      </c>
      <c r="Q2589" s="29">
        <v>45039.0</v>
      </c>
      <c r="R2589" s="30">
        <v>0.42916666666666664</v>
      </c>
      <c r="S2589" s="28">
        <v>0.0</v>
      </c>
      <c r="T2589" s="23" t="s">
        <v>3745</v>
      </c>
      <c r="U2589" s="6"/>
      <c r="V2589" s="6"/>
      <c r="W2589" s="35">
        <v>29.7735503</v>
      </c>
      <c r="X2589" s="35">
        <v>-95.204219</v>
      </c>
      <c r="AA2589" s="33"/>
      <c r="AB2589" s="33"/>
      <c r="AC2589" s="33"/>
      <c r="AD2589" s="33"/>
      <c r="AE2589" s="33"/>
      <c r="AF2589" s="33"/>
      <c r="AG2589" s="33"/>
      <c r="AH2589" s="33"/>
      <c r="AI2589" s="33"/>
      <c r="AJ2589" s="33"/>
      <c r="AK2589" s="33"/>
      <c r="AL2589" s="33"/>
      <c r="AM2589" s="33"/>
      <c r="AN2589" s="33"/>
      <c r="AO2589" s="33"/>
    </row>
    <row r="2590" ht="15.75" customHeight="1">
      <c r="A2590" s="23">
        <v>52124.0</v>
      </c>
      <c r="B2590" s="23">
        <v>2023.0</v>
      </c>
      <c r="C2590" s="36" t="str">
        <f t="shared" si="7"/>
        <v>7615 FAWN TERRACE DR,Houston,TX</v>
      </c>
      <c r="D2590" s="23" t="s">
        <v>3901</v>
      </c>
      <c r="E2590" s="6" t="s">
        <v>25</v>
      </c>
      <c r="F2590" s="6" t="s">
        <v>1388</v>
      </c>
      <c r="G2590" s="31" t="s">
        <v>148</v>
      </c>
      <c r="H2590" s="23" t="s">
        <v>50</v>
      </c>
      <c r="I2590" s="37" t="str">
        <f>VLOOKUP(H2590,'Flow Location'!$A$1:$B$21,2,FALSE)</f>
        <v>Contained On Site, not within 5 ft. of Bayou/Surface Water/Drainage Ditch</v>
      </c>
      <c r="J2590" s="28">
        <v>0.0</v>
      </c>
      <c r="K2590" s="23" t="s">
        <v>51</v>
      </c>
      <c r="L2590" s="37" t="str">
        <f>VLOOKUP(K2590,'Structure type'!$A$1:$B$15,2,FALSE)</f>
        <v>Private Cleanout</v>
      </c>
      <c r="M2590" s="23" t="s">
        <v>30</v>
      </c>
      <c r="N2590" s="25" t="str">
        <f>VLOOKUP(M2590,'Excursion Cause'!$A$1:$B$34,2,FALSE)</f>
        <v>Grease Blockage</v>
      </c>
      <c r="O2590" s="29">
        <v>45039.0</v>
      </c>
      <c r="P2590" s="30">
        <v>0.46597222222222223</v>
      </c>
      <c r="Q2590" s="29">
        <v>45039.0</v>
      </c>
      <c r="R2590" s="30">
        <v>0.4666666666666667</v>
      </c>
      <c r="S2590" s="28">
        <v>0.0</v>
      </c>
      <c r="T2590" s="23" t="s">
        <v>1462</v>
      </c>
      <c r="U2590" s="6"/>
      <c r="V2590" s="6"/>
      <c r="W2590" s="35">
        <v>29.6462048</v>
      </c>
      <c r="X2590" s="35">
        <v>-95.5110761999999</v>
      </c>
      <c r="AA2590" s="33"/>
      <c r="AB2590" s="33"/>
      <c r="AC2590" s="33"/>
      <c r="AD2590" s="33"/>
      <c r="AE2590" s="33"/>
      <c r="AF2590" s="33"/>
      <c r="AG2590" s="33"/>
      <c r="AH2590" s="33"/>
      <c r="AI2590" s="33"/>
      <c r="AJ2590" s="33"/>
      <c r="AK2590" s="33"/>
      <c r="AL2590" s="33"/>
      <c r="AM2590" s="33"/>
      <c r="AN2590" s="33"/>
      <c r="AO2590" s="33"/>
    </row>
    <row r="2591" ht="15.75" customHeight="1">
      <c r="A2591" s="23">
        <v>52125.0</v>
      </c>
      <c r="B2591" s="23">
        <v>2023.0</v>
      </c>
      <c r="C2591" s="36" t="str">
        <f t="shared" si="7"/>
        <v>3210 DALLAS ST,Houston,TX</v>
      </c>
      <c r="D2591" s="23" t="s">
        <v>3839</v>
      </c>
      <c r="E2591" s="6" t="s">
        <v>25</v>
      </c>
      <c r="F2591" s="6" t="s">
        <v>1388</v>
      </c>
      <c r="G2591" s="31" t="s">
        <v>80</v>
      </c>
      <c r="H2591" s="23" t="s">
        <v>50</v>
      </c>
      <c r="I2591" s="37" t="str">
        <f>VLOOKUP(H2591,'Flow Location'!$A$1:$B$21,2,FALSE)</f>
        <v>Contained On Site, not within 5 ft. of Bayou/Surface Water/Drainage Ditch</v>
      </c>
      <c r="J2591" s="28">
        <v>0.0</v>
      </c>
      <c r="K2591" s="23" t="s">
        <v>51</v>
      </c>
      <c r="L2591" s="37" t="str">
        <f>VLOOKUP(K2591,'Structure type'!$A$1:$B$15,2,FALSE)</f>
        <v>Private Cleanout</v>
      </c>
      <c r="M2591" s="23" t="s">
        <v>81</v>
      </c>
      <c r="N2591" s="25" t="str">
        <f>VLOOKUP(M2591,'Excursion Cause'!$A$1:$B$34,2,FALSE)</f>
        <v>Collection system structural failure</v>
      </c>
      <c r="O2591" s="29">
        <v>45039.0</v>
      </c>
      <c r="P2591" s="30">
        <v>0.73125</v>
      </c>
      <c r="Q2591" s="29">
        <v>45039.0</v>
      </c>
      <c r="R2591" s="30">
        <v>0.7319444444444444</v>
      </c>
      <c r="S2591" s="28">
        <v>0.0</v>
      </c>
      <c r="T2591" s="23" t="s">
        <v>3745</v>
      </c>
      <c r="U2591" s="6"/>
      <c r="V2591" s="6"/>
      <c r="W2591" s="35">
        <v>29.7574772</v>
      </c>
      <c r="X2591" s="35">
        <v>-95.3999656</v>
      </c>
      <c r="AA2591" s="33"/>
      <c r="AB2591" s="33"/>
      <c r="AC2591" s="33"/>
      <c r="AD2591" s="33"/>
      <c r="AE2591" s="33"/>
      <c r="AF2591" s="33"/>
      <c r="AG2591" s="33"/>
      <c r="AH2591" s="33"/>
      <c r="AI2591" s="33"/>
      <c r="AJ2591" s="33"/>
      <c r="AK2591" s="33"/>
      <c r="AL2591" s="33"/>
      <c r="AM2591" s="33"/>
      <c r="AN2591" s="33"/>
      <c r="AO2591" s="33"/>
    </row>
    <row r="2592" ht="15.75" customHeight="1">
      <c r="A2592" s="23">
        <v>52127.0</v>
      </c>
      <c r="B2592" s="23">
        <v>2023.0</v>
      </c>
      <c r="C2592" s="36" t="str">
        <f t="shared" si="7"/>
        <v>5815 PHILLIPS ST,Houston,TX</v>
      </c>
      <c r="D2592" s="23" t="s">
        <v>3902</v>
      </c>
      <c r="E2592" s="6" t="s">
        <v>25</v>
      </c>
      <c r="F2592" s="6" t="s">
        <v>1388</v>
      </c>
      <c r="G2592" s="31" t="s">
        <v>222</v>
      </c>
      <c r="H2592" s="23" t="s">
        <v>50</v>
      </c>
      <c r="I2592" s="37" t="str">
        <f>VLOOKUP(H2592,'Flow Location'!$A$1:$B$21,2,FALSE)</f>
        <v>Contained On Site, not within 5 ft. of Bayou/Surface Water/Drainage Ditch</v>
      </c>
      <c r="J2592" s="28">
        <v>0.0</v>
      </c>
      <c r="K2592" s="23" t="s">
        <v>198</v>
      </c>
      <c r="L2592" s="37" t="str">
        <f>VLOOKUP(K2592,'Structure type'!$A$1:$B$15,2,FALSE)</f>
        <v>Service Lateral</v>
      </c>
      <c r="M2592" s="23" t="s">
        <v>81</v>
      </c>
      <c r="N2592" s="25" t="str">
        <f>VLOOKUP(M2592,'Excursion Cause'!$A$1:$B$34,2,FALSE)</f>
        <v>Collection system structural failure</v>
      </c>
      <c r="O2592" s="29">
        <v>45039.0</v>
      </c>
      <c r="P2592" s="30">
        <v>0.49930555555555556</v>
      </c>
      <c r="Q2592" s="29">
        <v>45039.0</v>
      </c>
      <c r="R2592" s="30">
        <v>0.5</v>
      </c>
      <c r="S2592" s="28">
        <v>0.0</v>
      </c>
      <c r="T2592" s="23" t="s">
        <v>118</v>
      </c>
      <c r="U2592" s="6"/>
      <c r="V2592" s="6"/>
      <c r="W2592" s="35">
        <v>29.8503689</v>
      </c>
      <c r="X2592" s="35">
        <v>-95.4377971999999</v>
      </c>
      <c r="AA2592" s="33"/>
      <c r="AB2592" s="33"/>
      <c r="AC2592" s="33"/>
      <c r="AD2592" s="33"/>
      <c r="AE2592" s="33"/>
      <c r="AF2592" s="33"/>
      <c r="AG2592" s="33"/>
      <c r="AH2592" s="33"/>
      <c r="AI2592" s="33"/>
      <c r="AJ2592" s="33"/>
      <c r="AK2592" s="33"/>
      <c r="AL2592" s="33"/>
      <c r="AM2592" s="33"/>
      <c r="AN2592" s="33"/>
      <c r="AO2592" s="33"/>
    </row>
    <row r="2593" ht="15.75" customHeight="1">
      <c r="A2593" s="23">
        <v>52130.0</v>
      </c>
      <c r="B2593" s="23">
        <v>2023.0</v>
      </c>
      <c r="C2593" s="36" t="str">
        <f t="shared" si="7"/>
        <v>3210 DALLAS ST,Houston,TX</v>
      </c>
      <c r="D2593" s="23" t="s">
        <v>3839</v>
      </c>
      <c r="E2593" s="6" t="s">
        <v>25</v>
      </c>
      <c r="F2593" s="6" t="s">
        <v>1388</v>
      </c>
      <c r="G2593" s="31" t="s">
        <v>80</v>
      </c>
      <c r="H2593" s="23" t="s">
        <v>50</v>
      </c>
      <c r="I2593" s="37" t="str">
        <f>VLOOKUP(H2593,'Flow Location'!$A$1:$B$21,2,FALSE)</f>
        <v>Contained On Site, not within 5 ft. of Bayou/Surface Water/Drainage Ditch</v>
      </c>
      <c r="J2593" s="28">
        <v>34.0</v>
      </c>
      <c r="K2593" s="23" t="s">
        <v>51</v>
      </c>
      <c r="L2593" s="37" t="str">
        <f>VLOOKUP(K2593,'Structure type'!$A$1:$B$15,2,FALSE)</f>
        <v>Private Cleanout</v>
      </c>
      <c r="M2593" s="23" t="s">
        <v>81</v>
      </c>
      <c r="N2593" s="25" t="str">
        <f>VLOOKUP(M2593,'Excursion Cause'!$A$1:$B$34,2,FALSE)</f>
        <v>Collection system structural failure</v>
      </c>
      <c r="O2593" s="29">
        <v>45040.0</v>
      </c>
      <c r="P2593" s="30">
        <v>0.3909722222222222</v>
      </c>
      <c r="Q2593" s="29">
        <v>45040.0</v>
      </c>
      <c r="R2593" s="30">
        <v>0.41458333333333336</v>
      </c>
      <c r="S2593" s="28">
        <v>1.0</v>
      </c>
      <c r="T2593" s="23" t="s">
        <v>118</v>
      </c>
      <c r="U2593" s="6"/>
      <c r="V2593" s="6"/>
      <c r="W2593" s="35">
        <v>29.7574772</v>
      </c>
      <c r="X2593" s="35">
        <v>-95.3999656</v>
      </c>
      <c r="AA2593" s="33"/>
      <c r="AB2593" s="33"/>
      <c r="AC2593" s="33"/>
      <c r="AD2593" s="33"/>
      <c r="AE2593" s="33"/>
      <c r="AF2593" s="33"/>
      <c r="AG2593" s="33"/>
      <c r="AH2593" s="33"/>
      <c r="AI2593" s="33"/>
      <c r="AJ2593" s="33"/>
      <c r="AK2593" s="33"/>
      <c r="AL2593" s="33"/>
      <c r="AM2593" s="33"/>
      <c r="AN2593" s="33"/>
      <c r="AO2593" s="33"/>
    </row>
    <row r="2594" ht="15.75" customHeight="1">
      <c r="A2594" s="23">
        <v>52136.0</v>
      </c>
      <c r="B2594" s="23">
        <v>2023.0</v>
      </c>
      <c r="C2594" s="36" t="str">
        <f t="shared" si="7"/>
        <v>4103 VALOR ST,Houston,TX</v>
      </c>
      <c r="D2594" s="23" t="s">
        <v>3847</v>
      </c>
      <c r="E2594" s="6" t="s">
        <v>25</v>
      </c>
      <c r="F2594" s="6" t="s">
        <v>1388</v>
      </c>
      <c r="G2594" s="31" t="s">
        <v>109</v>
      </c>
      <c r="H2594" s="23" t="s">
        <v>28</v>
      </c>
      <c r="I2594" s="37" t="str">
        <f>VLOOKUP(H2594,'Flow Location'!$A$1:$B$21,2,FALSE)</f>
        <v>Storm Sewer (not contained)</v>
      </c>
      <c r="J2594" s="28">
        <v>0.0</v>
      </c>
      <c r="K2594" s="23" t="s">
        <v>45</v>
      </c>
      <c r="L2594" s="37" t="str">
        <f>VLOOKUP(K2594,'Structure type'!$A$1:$B$15,2,FALSE)</f>
        <v>City Cleanout</v>
      </c>
      <c r="M2594" s="23" t="s">
        <v>30</v>
      </c>
      <c r="N2594" s="25" t="str">
        <f>VLOOKUP(M2594,'Excursion Cause'!$A$1:$B$34,2,FALSE)</f>
        <v>Grease Blockage</v>
      </c>
      <c r="O2594" s="29">
        <v>45041.0</v>
      </c>
      <c r="P2594" s="30">
        <v>0.3861111111111111</v>
      </c>
      <c r="Q2594" s="29">
        <v>45041.0</v>
      </c>
      <c r="R2594" s="30">
        <v>0.38680555555555557</v>
      </c>
      <c r="S2594" s="28">
        <v>0.0</v>
      </c>
      <c r="T2594" s="23" t="s">
        <v>3743</v>
      </c>
      <c r="U2594" s="6"/>
      <c r="V2594" s="6"/>
      <c r="W2594" s="35">
        <v>29.8388377</v>
      </c>
      <c r="X2594" s="35">
        <v>-95.3290203</v>
      </c>
      <c r="AA2594" s="33"/>
      <c r="AB2594" s="33"/>
      <c r="AC2594" s="33"/>
      <c r="AD2594" s="33"/>
      <c r="AE2594" s="33"/>
      <c r="AF2594" s="33"/>
      <c r="AG2594" s="33"/>
      <c r="AH2594" s="33"/>
      <c r="AI2594" s="33"/>
      <c r="AJ2594" s="33"/>
      <c r="AK2594" s="33"/>
      <c r="AL2594" s="33"/>
      <c r="AM2594" s="33"/>
      <c r="AN2594" s="33"/>
      <c r="AO2594" s="33"/>
    </row>
    <row r="2595" ht="15.75" customHeight="1">
      <c r="A2595" s="23">
        <v>52142.0</v>
      </c>
      <c r="B2595" s="23">
        <v>2023.0</v>
      </c>
      <c r="C2595" s="36" t="str">
        <f t="shared" si="7"/>
        <v>5731 HARVEY WILSON DR,Houston,TX</v>
      </c>
      <c r="D2595" s="23" t="s">
        <v>3784</v>
      </c>
      <c r="E2595" s="6" t="s">
        <v>25</v>
      </c>
      <c r="F2595" s="6" t="s">
        <v>1388</v>
      </c>
      <c r="G2595" s="31" t="s">
        <v>86</v>
      </c>
      <c r="H2595" s="23" t="s">
        <v>50</v>
      </c>
      <c r="I2595" s="37" t="str">
        <f>VLOOKUP(H2595,'Flow Location'!$A$1:$B$21,2,FALSE)</f>
        <v>Contained On Site, not within 5 ft. of Bayou/Surface Water/Drainage Ditch</v>
      </c>
      <c r="J2595" s="28">
        <v>0.0</v>
      </c>
      <c r="K2595" s="23" t="s">
        <v>51</v>
      </c>
      <c r="L2595" s="37" t="str">
        <f>VLOOKUP(K2595,'Structure type'!$A$1:$B$15,2,FALSE)</f>
        <v>Private Cleanout</v>
      </c>
      <c r="M2595" s="23" t="s">
        <v>366</v>
      </c>
      <c r="N2595" s="25" t="str">
        <f>VLOOKUP(M2595,'Excursion Cause'!$A$1:$B$34,2,FALSE)</f>
        <v>Collection system structural blockage</v>
      </c>
      <c r="O2595" s="29">
        <v>45041.0</v>
      </c>
      <c r="P2595" s="30">
        <v>0.42777777777777776</v>
      </c>
      <c r="Q2595" s="29">
        <v>45041.0</v>
      </c>
      <c r="R2595" s="30">
        <v>0.4284722222222222</v>
      </c>
      <c r="S2595" s="28">
        <v>0.0</v>
      </c>
      <c r="T2595" s="23" t="s">
        <v>118</v>
      </c>
      <c r="U2595" s="6"/>
      <c r="V2595" s="6"/>
      <c r="W2595" s="35">
        <v>29.759761</v>
      </c>
      <c r="X2595" s="35">
        <v>-95.3101688</v>
      </c>
      <c r="AA2595" s="33"/>
      <c r="AB2595" s="33"/>
      <c r="AC2595" s="33"/>
      <c r="AD2595" s="33"/>
      <c r="AE2595" s="33"/>
      <c r="AF2595" s="33"/>
      <c r="AG2595" s="33"/>
      <c r="AH2595" s="33"/>
      <c r="AI2595" s="33"/>
      <c r="AJ2595" s="33"/>
      <c r="AK2595" s="33"/>
      <c r="AL2595" s="33"/>
      <c r="AM2595" s="33"/>
      <c r="AN2595" s="33"/>
      <c r="AO2595" s="33"/>
    </row>
    <row r="2596" ht="15.75" customHeight="1">
      <c r="A2596" s="23">
        <v>52143.0</v>
      </c>
      <c r="B2596" s="23">
        <v>2023.0</v>
      </c>
      <c r="C2596" s="36" t="str">
        <f t="shared" si="7"/>
        <v>727 SERVICE ST,Houston,TX</v>
      </c>
      <c r="D2596" s="23" t="s">
        <v>3903</v>
      </c>
      <c r="E2596" s="6" t="s">
        <v>25</v>
      </c>
      <c r="F2596" s="6" t="s">
        <v>1388</v>
      </c>
      <c r="G2596" s="31" t="s">
        <v>161</v>
      </c>
      <c r="H2596" s="23" t="s">
        <v>50</v>
      </c>
      <c r="I2596" s="37" t="str">
        <f>VLOOKUP(H2596,'Flow Location'!$A$1:$B$21,2,FALSE)</f>
        <v>Contained On Site, not within 5 ft. of Bayou/Surface Water/Drainage Ditch</v>
      </c>
      <c r="J2596" s="28">
        <v>0.0</v>
      </c>
      <c r="K2596" s="23" t="s">
        <v>198</v>
      </c>
      <c r="L2596" s="37" t="str">
        <f>VLOOKUP(K2596,'Structure type'!$A$1:$B$15,2,FALSE)</f>
        <v>Service Lateral</v>
      </c>
      <c r="M2596" s="23" t="s">
        <v>81</v>
      </c>
      <c r="N2596" s="25" t="str">
        <f>VLOOKUP(M2596,'Excursion Cause'!$A$1:$B$34,2,FALSE)</f>
        <v>Collection system structural failure</v>
      </c>
      <c r="O2596" s="29">
        <v>45038.0</v>
      </c>
      <c r="P2596" s="30">
        <v>0.3763888888888889</v>
      </c>
      <c r="Q2596" s="29">
        <v>45038.0</v>
      </c>
      <c r="R2596" s="30">
        <v>0.3770833333333333</v>
      </c>
      <c r="S2596" s="28">
        <v>0.0</v>
      </c>
      <c r="T2596" s="23" t="s">
        <v>3745</v>
      </c>
      <c r="U2596" s="6"/>
      <c r="V2596" s="6"/>
      <c r="W2596" s="35">
        <v>29.8093451</v>
      </c>
      <c r="X2596" s="35">
        <v>-95.3797793</v>
      </c>
      <c r="AA2596" s="33"/>
      <c r="AB2596" s="33"/>
      <c r="AC2596" s="33"/>
      <c r="AD2596" s="33"/>
      <c r="AE2596" s="33"/>
      <c r="AF2596" s="33"/>
      <c r="AG2596" s="33"/>
      <c r="AH2596" s="33"/>
      <c r="AI2596" s="33"/>
      <c r="AJ2596" s="33"/>
      <c r="AK2596" s="33"/>
      <c r="AL2596" s="33"/>
      <c r="AM2596" s="33"/>
      <c r="AN2596" s="33"/>
      <c r="AO2596" s="33"/>
    </row>
    <row r="2597" ht="15.75" customHeight="1">
      <c r="A2597" s="23">
        <v>52159.0</v>
      </c>
      <c r="B2597" s="23">
        <v>2023.0</v>
      </c>
      <c r="C2597" s="36" t="str">
        <f t="shared" si="7"/>
        <v>6910 PETRE DR,Houston,TX</v>
      </c>
      <c r="D2597" s="23" t="s">
        <v>3904</v>
      </c>
      <c r="E2597" s="6" t="s">
        <v>25</v>
      </c>
      <c r="F2597" s="6" t="s">
        <v>1388</v>
      </c>
      <c r="G2597" s="31" t="s">
        <v>275</v>
      </c>
      <c r="H2597" s="23" t="s">
        <v>50</v>
      </c>
      <c r="I2597" s="37" t="str">
        <f>VLOOKUP(H2597,'Flow Location'!$A$1:$B$21,2,FALSE)</f>
        <v>Contained On Site, not within 5 ft. of Bayou/Surface Water/Drainage Ditch</v>
      </c>
      <c r="J2597" s="28">
        <v>0.0</v>
      </c>
      <c r="K2597" s="23" t="s">
        <v>45</v>
      </c>
      <c r="L2597" s="37" t="str">
        <f>VLOOKUP(K2597,'Structure type'!$A$1:$B$15,2,FALSE)</f>
        <v>City Cleanout</v>
      </c>
      <c r="M2597" s="23" t="s">
        <v>56</v>
      </c>
      <c r="N2597" s="25" t="str">
        <f>VLOOKUP(M2597,'Excursion Cause'!$A$1:$B$34,2,FALSE)</f>
        <v>Rags/Wipes</v>
      </c>
      <c r="O2597" s="29">
        <v>45043.0</v>
      </c>
      <c r="P2597" s="30">
        <v>0.5763888888888888</v>
      </c>
      <c r="Q2597" s="29">
        <v>45043.0</v>
      </c>
      <c r="R2597" s="30">
        <v>0.5770833333333333</v>
      </c>
      <c r="S2597" s="28">
        <v>0.0</v>
      </c>
      <c r="T2597" s="23" t="s">
        <v>1473</v>
      </c>
      <c r="U2597" s="6"/>
      <c r="V2597" s="6"/>
      <c r="W2597" s="35">
        <v>29.8624725</v>
      </c>
      <c r="X2597" s="35">
        <v>-95.3871838</v>
      </c>
      <c r="AA2597" s="33"/>
      <c r="AB2597" s="33"/>
      <c r="AC2597" s="33"/>
      <c r="AD2597" s="33"/>
      <c r="AE2597" s="33"/>
      <c r="AF2597" s="33"/>
      <c r="AG2597" s="33"/>
      <c r="AH2597" s="33"/>
      <c r="AI2597" s="33"/>
      <c r="AJ2597" s="33"/>
      <c r="AK2597" s="33"/>
      <c r="AL2597" s="33"/>
      <c r="AM2597" s="33"/>
      <c r="AN2597" s="33"/>
      <c r="AO2597" s="33"/>
    </row>
    <row r="2598" ht="15.75" customHeight="1">
      <c r="A2598" s="23">
        <v>52161.0</v>
      </c>
      <c r="B2598" s="23">
        <v>2023.0</v>
      </c>
      <c r="C2598" s="36" t="str">
        <f t="shared" si="7"/>
        <v>3537 WHEELER ST,Houston,TX</v>
      </c>
      <c r="D2598" s="23" t="s">
        <v>3905</v>
      </c>
      <c r="E2598" s="6" t="s">
        <v>25</v>
      </c>
      <c r="F2598" s="6" t="s">
        <v>1388</v>
      </c>
      <c r="G2598" s="31" t="s">
        <v>308</v>
      </c>
      <c r="H2598" s="23" t="s">
        <v>50</v>
      </c>
      <c r="I2598" s="37" t="str">
        <f>VLOOKUP(H2598,'Flow Location'!$A$1:$B$21,2,FALSE)</f>
        <v>Contained On Site, not within 5 ft. of Bayou/Surface Water/Drainage Ditch</v>
      </c>
      <c r="J2598" s="28">
        <v>317.0</v>
      </c>
      <c r="K2598" s="23" t="s">
        <v>190</v>
      </c>
      <c r="L2598" s="37" t="str">
        <f>VLOOKUP(K2598,'Structure type'!$A$1:$B$15,2,FALSE)</f>
        <v>Force Main</v>
      </c>
      <c r="M2598" s="23" t="s">
        <v>81</v>
      </c>
      <c r="N2598" s="25" t="str">
        <f>VLOOKUP(M2598,'Excursion Cause'!$A$1:$B$34,2,FALSE)</f>
        <v>Collection system structural failure</v>
      </c>
      <c r="O2598" s="29">
        <v>45043.0</v>
      </c>
      <c r="P2598" s="30">
        <v>0.6340277777777777</v>
      </c>
      <c r="Q2598" s="29">
        <v>45044.0</v>
      </c>
      <c r="R2598" s="30">
        <v>0.6541666666666667</v>
      </c>
      <c r="S2598" s="28">
        <v>0.0</v>
      </c>
      <c r="T2598" s="23" t="s">
        <v>118</v>
      </c>
      <c r="U2598" s="6"/>
      <c r="V2598" s="6"/>
      <c r="W2598" s="35">
        <v>29.7206421</v>
      </c>
      <c r="X2598" s="35">
        <v>-95.3553391999999</v>
      </c>
      <c r="AA2598" s="33"/>
      <c r="AB2598" s="33"/>
      <c r="AC2598" s="33"/>
      <c r="AD2598" s="33"/>
      <c r="AE2598" s="33"/>
      <c r="AF2598" s="33"/>
      <c r="AG2598" s="33"/>
      <c r="AH2598" s="33"/>
      <c r="AI2598" s="33"/>
      <c r="AJ2598" s="33"/>
      <c r="AK2598" s="33"/>
      <c r="AL2598" s="33"/>
      <c r="AM2598" s="33"/>
      <c r="AN2598" s="33"/>
      <c r="AO2598" s="33"/>
    </row>
    <row r="2599" ht="15.75" customHeight="1">
      <c r="A2599" s="23">
        <v>52163.0</v>
      </c>
      <c r="B2599" s="23">
        <v>2023.0</v>
      </c>
      <c r="C2599" s="36" t="str">
        <f t="shared" si="7"/>
        <v>6214 EL PLATINO DR,Houston,TX</v>
      </c>
      <c r="D2599" s="23" t="s">
        <v>3906</v>
      </c>
      <c r="E2599" s="6" t="s">
        <v>25</v>
      </c>
      <c r="F2599" s="6" t="s">
        <v>1388</v>
      </c>
      <c r="G2599" s="31" t="s">
        <v>301</v>
      </c>
      <c r="H2599" s="23" t="s">
        <v>28</v>
      </c>
      <c r="I2599" s="37" t="str">
        <f>VLOOKUP(H2599,'Flow Location'!$A$1:$B$21,2,FALSE)</f>
        <v>Storm Sewer (not contained)</v>
      </c>
      <c r="J2599" s="28">
        <v>138.0</v>
      </c>
      <c r="K2599" s="23" t="s">
        <v>29</v>
      </c>
      <c r="L2599" s="37" t="str">
        <f>VLOOKUP(K2599,'Structure type'!$A$1:$B$15,2,FALSE)</f>
        <v>Manhole</v>
      </c>
      <c r="M2599" s="23" t="s">
        <v>30</v>
      </c>
      <c r="N2599" s="25" t="str">
        <f>VLOOKUP(M2599,'Excursion Cause'!$A$1:$B$34,2,FALSE)</f>
        <v>Grease Blockage</v>
      </c>
      <c r="O2599" s="29">
        <v>45044.0</v>
      </c>
      <c r="P2599" s="30">
        <v>0.35833333333333334</v>
      </c>
      <c r="Q2599" s="29">
        <v>45044.0</v>
      </c>
      <c r="R2599" s="30">
        <v>0.40625</v>
      </c>
      <c r="S2599" s="28">
        <v>2.0</v>
      </c>
      <c r="T2599" s="23" t="s">
        <v>3749</v>
      </c>
      <c r="U2599" s="6"/>
      <c r="V2599" s="6"/>
      <c r="W2599" s="35">
        <v>29.6346916</v>
      </c>
      <c r="X2599" s="35">
        <v>-95.3193793</v>
      </c>
      <c r="AA2599" s="33"/>
      <c r="AB2599" s="33"/>
      <c r="AC2599" s="33"/>
      <c r="AD2599" s="33"/>
      <c r="AE2599" s="33"/>
      <c r="AF2599" s="33"/>
      <c r="AG2599" s="33"/>
      <c r="AH2599" s="33"/>
      <c r="AI2599" s="33"/>
      <c r="AJ2599" s="33"/>
      <c r="AK2599" s="33"/>
      <c r="AL2599" s="33"/>
      <c r="AM2599" s="33"/>
      <c r="AN2599" s="33"/>
      <c r="AO2599" s="33"/>
    </row>
    <row r="2600" ht="15.75" customHeight="1">
      <c r="A2600" s="23">
        <v>52164.0</v>
      </c>
      <c r="B2600" s="23">
        <v>2023.0</v>
      </c>
      <c r="C2600" s="36" t="str">
        <f t="shared" si="7"/>
        <v>4330 1/2 DACOMA ST,Houston,TX</v>
      </c>
      <c r="D2600" s="23" t="s">
        <v>3907</v>
      </c>
      <c r="E2600" s="6" t="s">
        <v>25</v>
      </c>
      <c r="F2600" s="6" t="s">
        <v>1388</v>
      </c>
      <c r="G2600" s="31" t="s">
        <v>76</v>
      </c>
      <c r="H2600" s="23" t="s">
        <v>28</v>
      </c>
      <c r="I2600" s="37" t="str">
        <f>VLOOKUP(H2600,'Flow Location'!$A$1:$B$21,2,FALSE)</f>
        <v>Storm Sewer (not contained)</v>
      </c>
      <c r="J2600" s="28">
        <v>155.0</v>
      </c>
      <c r="K2600" s="23" t="s">
        <v>29</v>
      </c>
      <c r="L2600" s="37" t="str">
        <f>VLOOKUP(K2600,'Structure type'!$A$1:$B$15,2,FALSE)</f>
        <v>Manhole</v>
      </c>
      <c r="M2600" s="23" t="s">
        <v>56</v>
      </c>
      <c r="N2600" s="25" t="str">
        <f>VLOOKUP(M2600,'Excursion Cause'!$A$1:$B$34,2,FALSE)</f>
        <v>Rags/Wipes</v>
      </c>
      <c r="O2600" s="29">
        <v>45044.0</v>
      </c>
      <c r="P2600" s="30">
        <v>0.39791666666666664</v>
      </c>
      <c r="Q2600" s="29">
        <v>45044.0</v>
      </c>
      <c r="R2600" s="30">
        <v>0.5055555555555555</v>
      </c>
      <c r="S2600" s="28">
        <v>1.0</v>
      </c>
      <c r="T2600" s="23" t="s">
        <v>3749</v>
      </c>
      <c r="U2600" s="6"/>
      <c r="V2600" s="6"/>
      <c r="W2600" s="35">
        <v>29.8100037</v>
      </c>
      <c r="X2600" s="35">
        <v>-95.4520637999999</v>
      </c>
      <c r="AA2600" s="33"/>
      <c r="AB2600" s="33"/>
      <c r="AC2600" s="33"/>
      <c r="AD2600" s="33"/>
      <c r="AE2600" s="33"/>
      <c r="AF2600" s="33"/>
      <c r="AG2600" s="33"/>
      <c r="AH2600" s="33"/>
      <c r="AI2600" s="33"/>
      <c r="AJ2600" s="33"/>
      <c r="AK2600" s="33"/>
      <c r="AL2600" s="33"/>
      <c r="AM2600" s="33"/>
      <c r="AN2600" s="33"/>
      <c r="AO2600" s="33"/>
    </row>
    <row r="2601" ht="15.75" customHeight="1">
      <c r="A2601" s="23">
        <v>52167.0</v>
      </c>
      <c r="B2601" s="23">
        <v>2023.0</v>
      </c>
      <c r="C2601" s="36" t="str">
        <f t="shared" si="7"/>
        <v>5318 SCHUMACHER LN,Houston,TX</v>
      </c>
      <c r="D2601" s="23" t="s">
        <v>3908</v>
      </c>
      <c r="E2601" s="6" t="s">
        <v>25</v>
      </c>
      <c r="F2601" s="6" t="s">
        <v>1388</v>
      </c>
      <c r="G2601" s="31" t="s">
        <v>993</v>
      </c>
      <c r="H2601" s="23" t="s">
        <v>50</v>
      </c>
      <c r="I2601" s="37" t="str">
        <f>VLOOKUP(H2601,'Flow Location'!$A$1:$B$21,2,FALSE)</f>
        <v>Contained On Site, not within 5 ft. of Bayou/Surface Water/Drainage Ditch</v>
      </c>
      <c r="J2601" s="28">
        <v>0.0</v>
      </c>
      <c r="K2601" s="23" t="s">
        <v>29</v>
      </c>
      <c r="L2601" s="37" t="str">
        <f>VLOOKUP(K2601,'Structure type'!$A$1:$B$15,2,FALSE)</f>
        <v>Manhole</v>
      </c>
      <c r="M2601" s="23" t="s">
        <v>30</v>
      </c>
      <c r="N2601" s="25" t="str">
        <f>VLOOKUP(M2601,'Excursion Cause'!$A$1:$B$34,2,FALSE)</f>
        <v>Grease Blockage</v>
      </c>
      <c r="O2601" s="29">
        <v>45044.0</v>
      </c>
      <c r="P2601" s="30">
        <v>0.43680555555555556</v>
      </c>
      <c r="Q2601" s="29">
        <v>45044.0</v>
      </c>
      <c r="R2601" s="30">
        <v>0.4375</v>
      </c>
      <c r="S2601" s="28">
        <v>0.0</v>
      </c>
      <c r="T2601" s="23" t="s">
        <v>3749</v>
      </c>
      <c r="U2601" s="6"/>
      <c r="V2601" s="6"/>
      <c r="W2601" s="35">
        <v>29.7293426</v>
      </c>
      <c r="X2601" s="35">
        <v>-95.469303</v>
      </c>
      <c r="AA2601" s="33"/>
      <c r="AB2601" s="33"/>
      <c r="AC2601" s="33"/>
      <c r="AD2601" s="33"/>
      <c r="AE2601" s="33"/>
      <c r="AF2601" s="33"/>
      <c r="AG2601" s="33"/>
      <c r="AH2601" s="33"/>
      <c r="AI2601" s="33"/>
      <c r="AJ2601" s="33"/>
      <c r="AK2601" s="33"/>
      <c r="AL2601" s="33"/>
      <c r="AM2601" s="33"/>
      <c r="AN2601" s="33"/>
      <c r="AO2601" s="33"/>
    </row>
    <row r="2602" ht="15.75" customHeight="1">
      <c r="A2602" s="23">
        <v>52168.0</v>
      </c>
      <c r="B2602" s="23">
        <v>2023.0</v>
      </c>
      <c r="C2602" s="36" t="str">
        <f t="shared" si="7"/>
        <v>3750 GLEN HAVEN BLVD,Houston,TX</v>
      </c>
      <c r="D2602" s="23" t="s">
        <v>3909</v>
      </c>
      <c r="E2602" s="6" t="s">
        <v>25</v>
      </c>
      <c r="F2602" s="6" t="s">
        <v>1388</v>
      </c>
      <c r="G2602" s="31" t="s">
        <v>65</v>
      </c>
      <c r="H2602" s="23" t="s">
        <v>28</v>
      </c>
      <c r="I2602" s="37" t="str">
        <f>VLOOKUP(H2602,'Flow Location'!$A$1:$B$21,2,FALSE)</f>
        <v>Storm Sewer (not contained)</v>
      </c>
      <c r="J2602" s="28">
        <v>488.0</v>
      </c>
      <c r="K2602" s="23" t="s">
        <v>29</v>
      </c>
      <c r="L2602" s="37" t="str">
        <f>VLOOKUP(K2602,'Structure type'!$A$1:$B$15,2,FALSE)</f>
        <v>Manhole</v>
      </c>
      <c r="M2602" s="23" t="s">
        <v>30</v>
      </c>
      <c r="N2602" s="25" t="str">
        <f>VLOOKUP(M2602,'Excursion Cause'!$A$1:$B$34,2,FALSE)</f>
        <v>Grease Blockage</v>
      </c>
      <c r="O2602" s="29">
        <v>45044.0</v>
      </c>
      <c r="P2602" s="30">
        <v>0.4173611111111111</v>
      </c>
      <c r="Q2602" s="29">
        <v>45044.0</v>
      </c>
      <c r="R2602" s="30">
        <v>0.5868055555555556</v>
      </c>
      <c r="S2602" s="28">
        <v>2.0</v>
      </c>
      <c r="T2602" s="23" t="s">
        <v>3749</v>
      </c>
      <c r="U2602" s="6"/>
      <c r="V2602" s="6"/>
      <c r="W2602" s="35">
        <v>29.7022753</v>
      </c>
      <c r="X2602" s="35">
        <v>-95.4369377</v>
      </c>
      <c r="AA2602" s="33"/>
      <c r="AB2602" s="33"/>
      <c r="AC2602" s="33"/>
      <c r="AD2602" s="33"/>
      <c r="AE2602" s="33"/>
      <c r="AF2602" s="33"/>
      <c r="AG2602" s="33"/>
      <c r="AH2602" s="33"/>
      <c r="AI2602" s="33"/>
      <c r="AJ2602" s="33"/>
      <c r="AK2602" s="33"/>
      <c r="AL2602" s="33"/>
      <c r="AM2602" s="33"/>
      <c r="AN2602" s="33"/>
      <c r="AO2602" s="33"/>
    </row>
    <row r="2603" ht="15.75" customHeight="1">
      <c r="A2603" s="23">
        <v>52171.0</v>
      </c>
      <c r="B2603" s="23">
        <v>2023.0</v>
      </c>
      <c r="C2603" s="36" t="str">
        <f t="shared" si="7"/>
        <v>11013 STABLER LN,Houston,TX</v>
      </c>
      <c r="D2603" s="23" t="s">
        <v>3910</v>
      </c>
      <c r="E2603" s="6" t="s">
        <v>25</v>
      </c>
      <c r="F2603" s="6" t="s">
        <v>1388</v>
      </c>
      <c r="G2603" s="31" t="s">
        <v>275</v>
      </c>
      <c r="H2603" s="23" t="s">
        <v>50</v>
      </c>
      <c r="I2603" s="37" t="str">
        <f>VLOOKUP(H2603,'Flow Location'!$A$1:$B$21,2,FALSE)</f>
        <v>Contained On Site, not within 5 ft. of Bayou/Surface Water/Drainage Ditch</v>
      </c>
      <c r="J2603" s="28">
        <v>0.0</v>
      </c>
      <c r="K2603" s="23" t="s">
        <v>29</v>
      </c>
      <c r="L2603" s="37" t="str">
        <f>VLOOKUP(K2603,'Structure type'!$A$1:$B$15,2,FALSE)</f>
        <v>Manhole</v>
      </c>
      <c r="M2603" s="23" t="s">
        <v>56</v>
      </c>
      <c r="N2603" s="25" t="str">
        <f>VLOOKUP(M2603,'Excursion Cause'!$A$1:$B$34,2,FALSE)</f>
        <v>Rags/Wipes</v>
      </c>
      <c r="O2603" s="29">
        <v>45044.0</v>
      </c>
      <c r="P2603" s="30">
        <v>0.525</v>
      </c>
      <c r="Q2603" s="29">
        <v>45044.0</v>
      </c>
      <c r="R2603" s="30">
        <v>0.5256944444444445</v>
      </c>
      <c r="S2603" s="28">
        <v>0.0</v>
      </c>
      <c r="T2603" s="23" t="s">
        <v>3749</v>
      </c>
      <c r="U2603" s="6"/>
      <c r="V2603" s="6"/>
      <c r="W2603" s="35">
        <v>29.8630501</v>
      </c>
      <c r="X2603" s="35">
        <v>-95.3745098999999</v>
      </c>
      <c r="AA2603" s="33"/>
      <c r="AB2603" s="33"/>
      <c r="AC2603" s="33"/>
      <c r="AD2603" s="33"/>
      <c r="AE2603" s="33"/>
      <c r="AF2603" s="33"/>
      <c r="AG2603" s="33"/>
      <c r="AH2603" s="33"/>
      <c r="AI2603" s="33"/>
      <c r="AJ2603" s="33"/>
      <c r="AK2603" s="33"/>
      <c r="AL2603" s="33"/>
      <c r="AM2603" s="33"/>
      <c r="AN2603" s="33"/>
      <c r="AO2603" s="33"/>
    </row>
    <row r="2604" ht="15.75" customHeight="1">
      <c r="A2604" s="23">
        <v>52174.0</v>
      </c>
      <c r="B2604" s="23">
        <v>2023.0</v>
      </c>
      <c r="C2604" s="36" t="str">
        <f t="shared" si="7"/>
        <v>11635 GLENWOLDE DR,Houston,TX</v>
      </c>
      <c r="D2604" s="23" t="s">
        <v>3911</v>
      </c>
      <c r="E2604" s="6" t="s">
        <v>25</v>
      </c>
      <c r="F2604" s="6" t="s">
        <v>1388</v>
      </c>
      <c r="G2604" s="31" t="s">
        <v>154</v>
      </c>
      <c r="H2604" s="23" t="s">
        <v>50</v>
      </c>
      <c r="I2604" s="37" t="str">
        <f>VLOOKUP(H2604,'Flow Location'!$A$1:$B$21,2,FALSE)</f>
        <v>Contained On Site, not within 5 ft. of Bayou/Surface Water/Drainage Ditch</v>
      </c>
      <c r="J2604" s="28">
        <v>0.0</v>
      </c>
      <c r="K2604" s="23" t="s">
        <v>51</v>
      </c>
      <c r="L2604" s="37" t="str">
        <f>VLOOKUP(K2604,'Structure type'!$A$1:$B$15,2,FALSE)</f>
        <v>Private Cleanout</v>
      </c>
      <c r="M2604" s="23" t="s">
        <v>81</v>
      </c>
      <c r="N2604" s="25" t="str">
        <f>VLOOKUP(M2604,'Excursion Cause'!$A$1:$B$34,2,FALSE)</f>
        <v>Collection system structural failure</v>
      </c>
      <c r="O2604" s="29">
        <v>45044.0</v>
      </c>
      <c r="P2604" s="30">
        <v>0.7090277777777778</v>
      </c>
      <c r="Q2604" s="29">
        <v>45044.0</v>
      </c>
      <c r="R2604" s="30">
        <v>0.7097222222222223</v>
      </c>
      <c r="S2604" s="28">
        <v>0.0</v>
      </c>
      <c r="T2604" s="23" t="s">
        <v>1391</v>
      </c>
      <c r="U2604" s="6"/>
      <c r="V2604" s="6"/>
      <c r="W2604" s="35">
        <v>29.6773583</v>
      </c>
      <c r="X2604" s="35">
        <v>-95.5840198</v>
      </c>
      <c r="AA2604" s="33"/>
      <c r="AB2604" s="33"/>
      <c r="AC2604" s="33"/>
      <c r="AD2604" s="33"/>
      <c r="AE2604" s="33"/>
      <c r="AF2604" s="33"/>
      <c r="AG2604" s="33"/>
      <c r="AH2604" s="33"/>
      <c r="AI2604" s="33"/>
      <c r="AJ2604" s="33"/>
      <c r="AK2604" s="33"/>
      <c r="AL2604" s="33"/>
      <c r="AM2604" s="33"/>
      <c r="AN2604" s="33"/>
      <c r="AO2604" s="33"/>
    </row>
    <row r="2605" ht="15.75" customHeight="1">
      <c r="A2605" s="23">
        <v>52178.0</v>
      </c>
      <c r="B2605" s="23">
        <v>2023.0</v>
      </c>
      <c r="C2605" s="36" t="str">
        <f t="shared" si="7"/>
        <v>7178 CROWNWEST ST,Houston,TX</v>
      </c>
      <c r="D2605" s="23" t="s">
        <v>3912</v>
      </c>
      <c r="E2605" s="6" t="s">
        <v>25</v>
      </c>
      <c r="F2605" s="6" t="s">
        <v>1388</v>
      </c>
      <c r="G2605" s="31" t="s">
        <v>91</v>
      </c>
      <c r="H2605" s="23" t="s">
        <v>50</v>
      </c>
      <c r="I2605" s="37" t="str">
        <f>VLOOKUP(H2605,'Flow Location'!$A$1:$B$21,2,FALSE)</f>
        <v>Contained On Site, not within 5 ft. of Bayou/Surface Water/Drainage Ditch</v>
      </c>
      <c r="J2605" s="28">
        <v>1180.0</v>
      </c>
      <c r="K2605" s="23" t="s">
        <v>29</v>
      </c>
      <c r="L2605" s="37" t="str">
        <f>VLOOKUP(K2605,'Structure type'!$A$1:$B$15,2,FALSE)</f>
        <v>Manhole</v>
      </c>
      <c r="M2605" s="23" t="s">
        <v>30</v>
      </c>
      <c r="N2605" s="25" t="str">
        <f>VLOOKUP(M2605,'Excursion Cause'!$A$1:$B$34,2,FALSE)</f>
        <v>Grease Blockage</v>
      </c>
      <c r="O2605" s="29">
        <v>45045.0</v>
      </c>
      <c r="P2605" s="30">
        <v>0.6388888888888888</v>
      </c>
      <c r="Q2605" s="29">
        <v>45046.0</v>
      </c>
      <c r="R2605" s="30">
        <v>0.4583333333333333</v>
      </c>
      <c r="S2605" s="28">
        <v>1.0</v>
      </c>
      <c r="T2605" s="23" t="s">
        <v>1462</v>
      </c>
      <c r="U2605" s="6"/>
      <c r="V2605" s="6"/>
      <c r="W2605" s="35">
        <v>29.6989091</v>
      </c>
      <c r="X2605" s="35">
        <v>-95.5986454999999</v>
      </c>
      <c r="AA2605" s="33"/>
      <c r="AB2605" s="33"/>
      <c r="AC2605" s="33"/>
      <c r="AD2605" s="33"/>
      <c r="AE2605" s="33"/>
      <c r="AF2605" s="33"/>
      <c r="AG2605" s="33"/>
      <c r="AH2605" s="33"/>
      <c r="AI2605" s="33"/>
      <c r="AJ2605" s="33"/>
      <c r="AK2605" s="33"/>
      <c r="AL2605" s="33"/>
      <c r="AM2605" s="33"/>
      <c r="AN2605" s="33"/>
      <c r="AO2605" s="33"/>
    </row>
    <row r="2606" ht="15.75" customHeight="1">
      <c r="A2606" s="23">
        <v>52179.0</v>
      </c>
      <c r="B2606" s="23">
        <v>2023.0</v>
      </c>
      <c r="C2606" s="36" t="str">
        <f t="shared" si="7"/>
        <v>9211 PECOS ST,Houston,TX</v>
      </c>
      <c r="D2606" s="23" t="s">
        <v>3913</v>
      </c>
      <c r="E2606" s="6" t="s">
        <v>25</v>
      </c>
      <c r="F2606" s="6" t="s">
        <v>1388</v>
      </c>
      <c r="G2606" s="31" t="s">
        <v>27</v>
      </c>
      <c r="H2606" s="23" t="s">
        <v>28</v>
      </c>
      <c r="I2606" s="37" t="str">
        <f>VLOOKUP(H2606,'Flow Location'!$A$1:$B$21,2,FALSE)</f>
        <v>Storm Sewer (not contained)</v>
      </c>
      <c r="J2606" s="28">
        <v>1022.0</v>
      </c>
      <c r="K2606" s="23" t="s">
        <v>29</v>
      </c>
      <c r="L2606" s="37" t="str">
        <f>VLOOKUP(K2606,'Structure type'!$A$1:$B$15,2,FALSE)</f>
        <v>Manhole</v>
      </c>
      <c r="M2606" s="23" t="s">
        <v>30</v>
      </c>
      <c r="N2606" s="25" t="str">
        <f>VLOOKUP(M2606,'Excursion Cause'!$A$1:$B$34,2,FALSE)</f>
        <v>Grease Blockage</v>
      </c>
      <c r="O2606" s="29">
        <v>45045.0</v>
      </c>
      <c r="P2606" s="30">
        <v>0.7222222222222222</v>
      </c>
      <c r="Q2606" s="29">
        <v>45046.0</v>
      </c>
      <c r="R2606" s="30">
        <v>0.43194444444444446</v>
      </c>
      <c r="S2606" s="28">
        <v>1.0</v>
      </c>
      <c r="T2606" s="23" t="s">
        <v>1462</v>
      </c>
      <c r="U2606" s="6"/>
      <c r="V2606" s="6"/>
      <c r="W2606" s="35">
        <v>29.7975425</v>
      </c>
      <c r="X2606" s="35">
        <v>-95.5167472999999</v>
      </c>
      <c r="AA2606" s="33"/>
      <c r="AB2606" s="33"/>
      <c r="AC2606" s="33"/>
      <c r="AD2606" s="33"/>
      <c r="AE2606" s="33"/>
      <c r="AF2606" s="33"/>
      <c r="AG2606" s="33"/>
      <c r="AH2606" s="33"/>
      <c r="AI2606" s="33"/>
      <c r="AJ2606" s="33"/>
      <c r="AK2606" s="33"/>
      <c r="AL2606" s="33"/>
      <c r="AM2606" s="33"/>
      <c r="AN2606" s="33"/>
      <c r="AO2606" s="33"/>
    </row>
    <row r="2607" ht="15.75" customHeight="1">
      <c r="A2607" s="23">
        <v>52182.0</v>
      </c>
      <c r="B2607" s="23">
        <v>2023.0</v>
      </c>
      <c r="C2607" s="36" t="str">
        <f t="shared" si="7"/>
        <v>5806 SOUTHWELL ST,Houston,TX</v>
      </c>
      <c r="D2607" s="23" t="s">
        <v>3914</v>
      </c>
      <c r="E2607" s="6" t="s">
        <v>25</v>
      </c>
      <c r="F2607" s="6" t="s">
        <v>1388</v>
      </c>
      <c r="G2607" s="31" t="s">
        <v>120</v>
      </c>
      <c r="H2607" s="23" t="s">
        <v>50</v>
      </c>
      <c r="I2607" s="37" t="str">
        <f>VLOOKUP(H2607,'Flow Location'!$A$1:$B$21,2,FALSE)</f>
        <v>Contained On Site, not within 5 ft. of Bayou/Surface Water/Drainage Ditch</v>
      </c>
      <c r="J2607" s="28">
        <v>246.0</v>
      </c>
      <c r="K2607" s="23" t="s">
        <v>29</v>
      </c>
      <c r="L2607" s="37" t="str">
        <f>VLOOKUP(K2607,'Structure type'!$A$1:$B$15,2,FALSE)</f>
        <v>Manhole</v>
      </c>
      <c r="M2607" s="23" t="s">
        <v>30</v>
      </c>
      <c r="N2607" s="25" t="str">
        <f>VLOOKUP(M2607,'Excursion Cause'!$A$1:$B$34,2,FALSE)</f>
        <v>Grease Blockage</v>
      </c>
      <c r="O2607" s="29">
        <v>45046.0</v>
      </c>
      <c r="P2607" s="30">
        <v>0.5</v>
      </c>
      <c r="Q2607" s="29">
        <v>45046.0</v>
      </c>
      <c r="R2607" s="30">
        <v>0.5854166666666667</v>
      </c>
      <c r="S2607" s="28">
        <v>2.0</v>
      </c>
      <c r="T2607" s="23" t="s">
        <v>1462</v>
      </c>
      <c r="U2607" s="6"/>
      <c r="V2607" s="6"/>
      <c r="W2607" s="35">
        <v>29.6834466</v>
      </c>
      <c r="X2607" s="35">
        <v>-95.3336669</v>
      </c>
      <c r="AA2607" s="33"/>
      <c r="AB2607" s="33"/>
      <c r="AC2607" s="33"/>
      <c r="AD2607" s="33"/>
      <c r="AE2607" s="33"/>
      <c r="AF2607" s="33"/>
      <c r="AG2607" s="33"/>
      <c r="AH2607" s="33"/>
      <c r="AI2607" s="33"/>
      <c r="AJ2607" s="33"/>
      <c r="AK2607" s="33"/>
      <c r="AL2607" s="33"/>
      <c r="AM2607" s="33"/>
      <c r="AN2607" s="33"/>
      <c r="AO2607" s="33"/>
    </row>
    <row r="2608" ht="15.75" customHeight="1">
      <c r="A2608" s="23">
        <v>52183.0</v>
      </c>
      <c r="B2608" s="23">
        <v>2023.0</v>
      </c>
      <c r="C2608" s="36" t="str">
        <f t="shared" si="7"/>
        <v>6622 KELLER ST,Houston,TX</v>
      </c>
      <c r="D2608" s="23" t="s">
        <v>3915</v>
      </c>
      <c r="E2608" s="6" t="s">
        <v>25</v>
      </c>
      <c r="F2608" s="6" t="s">
        <v>1388</v>
      </c>
      <c r="G2608" s="31" t="s">
        <v>35</v>
      </c>
      <c r="H2608" s="23" t="s">
        <v>50</v>
      </c>
      <c r="I2608" s="37" t="str">
        <f>VLOOKUP(H2608,'Flow Location'!$A$1:$B$21,2,FALSE)</f>
        <v>Contained On Site, not within 5 ft. of Bayou/Surface Water/Drainage Ditch</v>
      </c>
      <c r="J2608" s="28">
        <v>372.0</v>
      </c>
      <c r="K2608" s="23" t="s">
        <v>29</v>
      </c>
      <c r="L2608" s="37" t="str">
        <f>VLOOKUP(K2608,'Structure type'!$A$1:$B$15,2,FALSE)</f>
        <v>Manhole</v>
      </c>
      <c r="M2608" s="23" t="s">
        <v>30</v>
      </c>
      <c r="N2608" s="25" t="str">
        <f>VLOOKUP(M2608,'Excursion Cause'!$A$1:$B$34,2,FALSE)</f>
        <v>Grease Blockage</v>
      </c>
      <c r="O2608" s="29">
        <v>45046.0</v>
      </c>
      <c r="P2608" s="30">
        <v>0.33958333333333335</v>
      </c>
      <c r="Q2608" s="29">
        <v>45046.0</v>
      </c>
      <c r="R2608" s="30">
        <v>0.46875</v>
      </c>
      <c r="S2608" s="28">
        <v>2.0</v>
      </c>
      <c r="T2608" s="23" t="s">
        <v>1462</v>
      </c>
      <c r="U2608" s="6"/>
      <c r="V2608" s="6"/>
      <c r="W2608" s="35">
        <v>29.7059312</v>
      </c>
      <c r="X2608" s="35">
        <v>-95.2996938</v>
      </c>
      <c r="AA2608" s="33"/>
      <c r="AB2608" s="33"/>
      <c r="AC2608" s="33"/>
      <c r="AD2608" s="33"/>
      <c r="AE2608" s="33"/>
      <c r="AF2608" s="33"/>
      <c r="AG2608" s="33"/>
      <c r="AH2608" s="33"/>
      <c r="AI2608" s="33"/>
      <c r="AJ2608" s="33"/>
      <c r="AK2608" s="33"/>
      <c r="AL2608" s="33"/>
      <c r="AM2608" s="33"/>
      <c r="AN2608" s="33"/>
      <c r="AO2608" s="33"/>
    </row>
    <row r="2609" ht="15.75" customHeight="1">
      <c r="A2609" s="23">
        <v>52200.0</v>
      </c>
      <c r="B2609" s="23">
        <v>2023.0</v>
      </c>
      <c r="C2609" s="36" t="str">
        <f t="shared" si="7"/>
        <v>3537 WHEELER ST,Houston,TX</v>
      </c>
      <c r="D2609" s="23" t="s">
        <v>3905</v>
      </c>
      <c r="E2609" s="6" t="s">
        <v>25</v>
      </c>
      <c r="F2609" s="6" t="s">
        <v>1388</v>
      </c>
      <c r="G2609" s="31" t="s">
        <v>308</v>
      </c>
      <c r="H2609" s="23" t="s">
        <v>28</v>
      </c>
      <c r="I2609" s="37" t="str">
        <f>VLOOKUP(H2609,'Flow Location'!$A$1:$B$21,2,FALSE)</f>
        <v>Storm Sewer (not contained)</v>
      </c>
      <c r="J2609" s="28">
        <v>840.0</v>
      </c>
      <c r="K2609" s="23" t="s">
        <v>190</v>
      </c>
      <c r="L2609" s="37" t="str">
        <f>VLOOKUP(K2609,'Structure type'!$A$1:$B$15,2,FALSE)</f>
        <v>Force Main</v>
      </c>
      <c r="M2609" s="23" t="s">
        <v>81</v>
      </c>
      <c r="N2609" s="25" t="str">
        <f>VLOOKUP(M2609,'Excursion Cause'!$A$1:$B$34,2,FALSE)</f>
        <v>Collection system structural failure</v>
      </c>
      <c r="O2609" s="29">
        <v>45045.0</v>
      </c>
      <c r="P2609" s="30">
        <v>0.5006944444444444</v>
      </c>
      <c r="Q2609" s="29">
        <v>45048.0</v>
      </c>
      <c r="R2609" s="30">
        <v>0.5166666666666667</v>
      </c>
      <c r="S2609" s="28">
        <v>0.0</v>
      </c>
      <c r="T2609" s="23" t="s">
        <v>118</v>
      </c>
      <c r="U2609" s="6"/>
      <c r="V2609" s="6"/>
      <c r="W2609" s="35">
        <v>29.7206421</v>
      </c>
      <c r="X2609" s="35">
        <v>-95.3553391999999</v>
      </c>
      <c r="AA2609" s="33"/>
      <c r="AB2609" s="33"/>
      <c r="AC2609" s="33"/>
      <c r="AD2609" s="33"/>
      <c r="AE2609" s="33"/>
      <c r="AF2609" s="33"/>
      <c r="AG2609" s="33"/>
      <c r="AH2609" s="33"/>
      <c r="AI2609" s="33"/>
      <c r="AJ2609" s="33"/>
      <c r="AK2609" s="33"/>
      <c r="AL2609" s="33"/>
      <c r="AM2609" s="33"/>
      <c r="AN2609" s="33"/>
      <c r="AO2609" s="33"/>
    </row>
    <row r="2610" ht="15.75" customHeight="1">
      <c r="A2610" s="23">
        <v>52204.0</v>
      </c>
      <c r="B2610" s="23">
        <v>2023.0</v>
      </c>
      <c r="C2610" s="36" t="str">
        <f t="shared" si="7"/>
        <v>3758 MARONEAL ST,Houston,TX</v>
      </c>
      <c r="D2610" s="23" t="s">
        <v>3916</v>
      </c>
      <c r="E2610" s="6" t="s">
        <v>25</v>
      </c>
      <c r="F2610" s="6" t="s">
        <v>1388</v>
      </c>
      <c r="G2610" s="31" t="s">
        <v>65</v>
      </c>
      <c r="H2610" s="23" t="s">
        <v>28</v>
      </c>
      <c r="I2610" s="37" t="str">
        <f>VLOOKUP(H2610,'Flow Location'!$A$1:$B$21,2,FALSE)</f>
        <v>Storm Sewer (not contained)</v>
      </c>
      <c r="J2610" s="28">
        <v>488.0</v>
      </c>
      <c r="K2610" s="23" t="s">
        <v>29</v>
      </c>
      <c r="L2610" s="37" t="str">
        <f>VLOOKUP(K2610,'Structure type'!$A$1:$B$15,2,FALSE)</f>
        <v>Manhole</v>
      </c>
      <c r="M2610" s="23" t="s">
        <v>30</v>
      </c>
      <c r="N2610" s="25" t="str">
        <f>VLOOKUP(M2610,'Excursion Cause'!$A$1:$B$34,2,FALSE)</f>
        <v>Grease Blockage</v>
      </c>
      <c r="O2610" s="29">
        <v>45044.0</v>
      </c>
      <c r="P2610" s="30">
        <v>0.4173611111111111</v>
      </c>
      <c r="Q2610" s="29">
        <v>45044.0</v>
      </c>
      <c r="R2610" s="30">
        <v>0.5868055555555556</v>
      </c>
      <c r="S2610" s="28">
        <v>2.0</v>
      </c>
      <c r="T2610" s="23" t="s">
        <v>1462</v>
      </c>
      <c r="U2610" s="6"/>
      <c r="V2610" s="6"/>
      <c r="W2610" s="35">
        <v>29.7030774</v>
      </c>
      <c r="X2610" s="35">
        <v>-95.4369609</v>
      </c>
      <c r="AA2610" s="33"/>
      <c r="AB2610" s="33"/>
      <c r="AC2610" s="33"/>
      <c r="AD2610" s="33"/>
      <c r="AE2610" s="33"/>
      <c r="AF2610" s="33"/>
      <c r="AG2610" s="33"/>
      <c r="AH2610" s="33"/>
      <c r="AI2610" s="33"/>
      <c r="AJ2610" s="33"/>
      <c r="AK2610" s="33"/>
      <c r="AL2610" s="33"/>
      <c r="AM2610" s="33"/>
      <c r="AN2610" s="33"/>
      <c r="AO2610" s="33"/>
    </row>
    <row r="2611" ht="15.75" customHeight="1">
      <c r="A2611" s="23">
        <v>52187.0</v>
      </c>
      <c r="B2611" s="23">
        <v>2023.0</v>
      </c>
      <c r="C2611" s="36" t="str">
        <f t="shared" si="7"/>
        <v>10510 BEECHNUT ST,Houston,TX</v>
      </c>
      <c r="D2611" s="23" t="s">
        <v>3917</v>
      </c>
      <c r="E2611" s="6" t="s">
        <v>25</v>
      </c>
      <c r="F2611" s="6" t="s">
        <v>1388</v>
      </c>
      <c r="G2611" s="31" t="s">
        <v>91</v>
      </c>
      <c r="H2611" s="23" t="s">
        <v>28</v>
      </c>
      <c r="I2611" s="37" t="str">
        <f>VLOOKUP(H2611,'Flow Location'!$A$1:$B$21,2,FALSE)</f>
        <v>Storm Sewer (not contained)</v>
      </c>
      <c r="J2611" s="28">
        <v>256.0</v>
      </c>
      <c r="K2611" s="23" t="s">
        <v>29</v>
      </c>
      <c r="L2611" s="37" t="str">
        <f>VLOOKUP(K2611,'Structure type'!$A$1:$B$15,2,FALSE)</f>
        <v>Manhole</v>
      </c>
      <c r="M2611" s="23" t="s">
        <v>30</v>
      </c>
      <c r="N2611" s="25" t="str">
        <f>VLOOKUP(M2611,'Excursion Cause'!$A$1:$B$34,2,FALSE)</f>
        <v>Grease Blockage</v>
      </c>
      <c r="O2611" s="29">
        <v>45047.0</v>
      </c>
      <c r="P2611" s="30">
        <v>0.5236111111111111</v>
      </c>
      <c r="Q2611" s="32">
        <v>45047.0</v>
      </c>
      <c r="R2611" s="30">
        <v>0.7013888888888888</v>
      </c>
      <c r="S2611" s="23">
        <v>1.0</v>
      </c>
      <c r="T2611" s="23" t="s">
        <v>1462</v>
      </c>
      <c r="U2611" s="32"/>
      <c r="V2611" s="6"/>
      <c r="W2611" s="35">
        <v>29.6897412</v>
      </c>
      <c r="X2611" s="35">
        <v>-95.5625073</v>
      </c>
      <c r="AA2611" s="33"/>
      <c r="AB2611" s="33"/>
      <c r="AC2611" s="39"/>
      <c r="AD2611" s="33"/>
      <c r="AE2611" s="33"/>
      <c r="AF2611" s="33"/>
      <c r="AG2611" s="33"/>
      <c r="AH2611" s="33"/>
      <c r="AI2611" s="33"/>
      <c r="AJ2611" s="33"/>
      <c r="AK2611" s="33"/>
      <c r="AL2611" s="33"/>
      <c r="AM2611" s="33"/>
      <c r="AN2611" s="33"/>
      <c r="AO2611" s="33"/>
    </row>
    <row r="2612" ht="15.75" customHeight="1">
      <c r="A2612" s="23">
        <v>52191.0</v>
      </c>
      <c r="B2612" s="23">
        <v>2023.0</v>
      </c>
      <c r="C2612" s="36" t="str">
        <f t="shared" si="7"/>
        <v>10909 GULF FWY,Houston,TX</v>
      </c>
      <c r="D2612" s="23" t="s">
        <v>3344</v>
      </c>
      <c r="E2612" s="6" t="s">
        <v>25</v>
      </c>
      <c r="F2612" s="6" t="s">
        <v>1388</v>
      </c>
      <c r="G2612" s="31" t="s">
        <v>49</v>
      </c>
      <c r="H2612" s="23" t="s">
        <v>28</v>
      </c>
      <c r="I2612" s="37" t="str">
        <f>VLOOKUP(H2612,'Flow Location'!$A$1:$B$21,2,FALSE)</f>
        <v>Storm Sewer (not contained)</v>
      </c>
      <c r="J2612" s="28">
        <v>498.0</v>
      </c>
      <c r="K2612" s="23" t="s">
        <v>29</v>
      </c>
      <c r="L2612" s="37" t="str">
        <f>VLOOKUP(K2612,'Structure type'!$A$1:$B$15,2,FALSE)</f>
        <v>Manhole</v>
      </c>
      <c r="M2612" s="23" t="s">
        <v>30</v>
      </c>
      <c r="N2612" s="25" t="str">
        <f>VLOOKUP(M2612,'Excursion Cause'!$A$1:$B$34,2,FALSE)</f>
        <v>Grease Blockage</v>
      </c>
      <c r="O2612" s="29">
        <v>45047.0</v>
      </c>
      <c r="P2612" s="30">
        <v>0.5284722222222222</v>
      </c>
      <c r="Q2612" s="32">
        <v>45047.0</v>
      </c>
      <c r="R2612" s="30">
        <v>0.7013888888888888</v>
      </c>
      <c r="S2612" s="23">
        <v>2.0</v>
      </c>
      <c r="T2612" s="23" t="s">
        <v>1462</v>
      </c>
      <c r="U2612" s="32"/>
      <c r="V2612" s="6"/>
      <c r="W2612" s="35">
        <v>29.6350992</v>
      </c>
      <c r="X2612" s="35">
        <v>-95.2348253999999</v>
      </c>
      <c r="AA2612" s="33"/>
      <c r="AB2612" s="33"/>
      <c r="AC2612" s="39"/>
      <c r="AD2612" s="33"/>
      <c r="AE2612" s="33"/>
      <c r="AF2612" s="33"/>
      <c r="AG2612" s="33"/>
      <c r="AH2612" s="33"/>
      <c r="AI2612" s="33"/>
      <c r="AJ2612" s="33"/>
      <c r="AK2612" s="33"/>
      <c r="AL2612" s="33"/>
      <c r="AM2612" s="33"/>
      <c r="AN2612" s="33"/>
      <c r="AO2612" s="33"/>
    </row>
    <row r="2613" ht="15.75" customHeight="1">
      <c r="A2613" s="23">
        <v>52193.0</v>
      </c>
      <c r="B2613" s="23">
        <v>2023.0</v>
      </c>
      <c r="C2613" s="36" t="str">
        <f t="shared" si="7"/>
        <v>2076 ANTOINE DR,Houston,TX</v>
      </c>
      <c r="D2613" s="23" t="s">
        <v>3918</v>
      </c>
      <c r="E2613" s="6" t="s">
        <v>25</v>
      </c>
      <c r="F2613" s="6" t="s">
        <v>1388</v>
      </c>
      <c r="G2613" s="31" t="s">
        <v>27</v>
      </c>
      <c r="H2613" s="23" t="s">
        <v>28</v>
      </c>
      <c r="I2613" s="37" t="str">
        <f>VLOOKUP(H2613,'Flow Location'!$A$1:$B$21,2,FALSE)</f>
        <v>Storm Sewer (not contained)</v>
      </c>
      <c r="J2613" s="28">
        <v>113.0</v>
      </c>
      <c r="K2613" s="23" t="s">
        <v>29</v>
      </c>
      <c r="L2613" s="37" t="str">
        <f>VLOOKUP(K2613,'Structure type'!$A$1:$B$15,2,FALSE)</f>
        <v>Manhole</v>
      </c>
      <c r="M2613" s="23" t="s">
        <v>30</v>
      </c>
      <c r="N2613" s="25" t="str">
        <f>VLOOKUP(M2613,'Excursion Cause'!$A$1:$B$34,2,FALSE)</f>
        <v>Grease Blockage</v>
      </c>
      <c r="O2613" s="29">
        <v>45047.0</v>
      </c>
      <c r="P2613" s="30">
        <v>0.7131944444444445</v>
      </c>
      <c r="Q2613" s="32">
        <v>45047.0</v>
      </c>
      <c r="R2613" s="30">
        <v>0.7916666666666666</v>
      </c>
      <c r="S2613" s="23">
        <v>1.0</v>
      </c>
      <c r="T2613" s="23" t="s">
        <v>1462</v>
      </c>
      <c r="U2613" s="32"/>
      <c r="V2613" s="6"/>
      <c r="W2613" s="35">
        <v>29.8095335</v>
      </c>
      <c r="X2613" s="35">
        <v>-95.4749344</v>
      </c>
      <c r="AA2613" s="33"/>
      <c r="AB2613" s="33"/>
      <c r="AC2613" s="39"/>
      <c r="AD2613" s="33"/>
      <c r="AE2613" s="33"/>
      <c r="AF2613" s="33"/>
      <c r="AG2613" s="33"/>
      <c r="AH2613" s="33"/>
      <c r="AI2613" s="33"/>
      <c r="AJ2613" s="33"/>
      <c r="AK2613" s="33"/>
      <c r="AL2613" s="33"/>
      <c r="AM2613" s="33"/>
      <c r="AN2613" s="33"/>
      <c r="AO2613" s="33"/>
    </row>
    <row r="2614" ht="15.75" customHeight="1">
      <c r="A2614" s="23">
        <v>52195.0</v>
      </c>
      <c r="B2614" s="23">
        <v>2023.0</v>
      </c>
      <c r="C2614" s="36" t="str">
        <f t="shared" si="7"/>
        <v>12403 MAIN ST,Houston,TX</v>
      </c>
      <c r="D2614" s="23" t="s">
        <v>3919</v>
      </c>
      <c r="E2614" s="6" t="s">
        <v>25</v>
      </c>
      <c r="F2614" s="6" t="s">
        <v>1388</v>
      </c>
      <c r="G2614" s="31" t="s">
        <v>65</v>
      </c>
      <c r="H2614" s="23" t="s">
        <v>44</v>
      </c>
      <c r="I2614" s="37" t="str">
        <f>VLOOKUP(H2614,'Flow Location'!$A$1:$B$21,2,FALSE)</f>
        <v>Bayou/surface water/drainage ditch</v>
      </c>
      <c r="J2614" s="28">
        <v>0.0</v>
      </c>
      <c r="K2614" s="23" t="s">
        <v>29</v>
      </c>
      <c r="L2614" s="37" t="str">
        <f>VLOOKUP(K2614,'Structure type'!$A$1:$B$15,2,FALSE)</f>
        <v>Manhole</v>
      </c>
      <c r="M2614" s="23" t="s">
        <v>96</v>
      </c>
      <c r="N2614" s="25" t="str">
        <f>VLOOKUP(M2614,'Excursion Cause'!$A$1:$B$34,2,FALSE)</f>
        <v>Collection system temporary blockage</v>
      </c>
      <c r="O2614" s="29">
        <v>45048.0</v>
      </c>
      <c r="P2614" s="30">
        <v>0.3840277777777778</v>
      </c>
      <c r="Q2614" s="32">
        <v>45048.0</v>
      </c>
      <c r="R2614" s="30">
        <v>0.38472222222222224</v>
      </c>
      <c r="S2614" s="23">
        <v>0.0</v>
      </c>
      <c r="T2614" s="23" t="s">
        <v>1462</v>
      </c>
      <c r="U2614" s="32"/>
      <c r="V2614" s="6"/>
      <c r="W2614" s="35">
        <v>29.6909342</v>
      </c>
      <c r="X2614" s="35">
        <v>-95.4170396999999</v>
      </c>
      <c r="AA2614" s="33"/>
      <c r="AB2614" s="33"/>
      <c r="AC2614" s="39"/>
      <c r="AD2614" s="33"/>
      <c r="AE2614" s="33"/>
      <c r="AF2614" s="33"/>
      <c r="AG2614" s="33"/>
      <c r="AH2614" s="33"/>
      <c r="AI2614" s="33"/>
      <c r="AJ2614" s="33"/>
      <c r="AK2614" s="33"/>
      <c r="AL2614" s="33"/>
      <c r="AM2614" s="33"/>
      <c r="AN2614" s="33"/>
      <c r="AO2614" s="33"/>
    </row>
    <row r="2615" ht="15.75" customHeight="1">
      <c r="A2615" s="23">
        <v>52199.0</v>
      </c>
      <c r="B2615" s="23">
        <v>2023.0</v>
      </c>
      <c r="C2615" s="36" t="str">
        <f t="shared" si="7"/>
        <v>4915 WINFREE DR,Houston,TX</v>
      </c>
      <c r="D2615" s="23" t="s">
        <v>3920</v>
      </c>
      <c r="E2615" s="6" t="s">
        <v>25</v>
      </c>
      <c r="F2615" s="6" t="s">
        <v>1388</v>
      </c>
      <c r="G2615" s="31" t="s">
        <v>238</v>
      </c>
      <c r="H2615" s="23" t="s">
        <v>50</v>
      </c>
      <c r="I2615" s="37" t="str">
        <f>VLOOKUP(H2615,'Flow Location'!$A$1:$B$21,2,FALSE)</f>
        <v>Contained On Site, not within 5 ft. of Bayou/Surface Water/Drainage Ditch</v>
      </c>
      <c r="J2615" s="28">
        <v>0.0</v>
      </c>
      <c r="K2615" s="23" t="s">
        <v>51</v>
      </c>
      <c r="L2615" s="37" t="str">
        <f>VLOOKUP(K2615,'Structure type'!$A$1:$B$15,2,FALSE)</f>
        <v>Private Cleanout</v>
      </c>
      <c r="M2615" s="23" t="s">
        <v>52</v>
      </c>
      <c r="N2615" s="25" t="str">
        <f>VLOOKUP(M2615,'Excursion Cause'!$A$1:$B$34,2,FALSE)</f>
        <v>Collection system structural blockage</v>
      </c>
      <c r="O2615" s="29">
        <v>45048.0</v>
      </c>
      <c r="P2615" s="30">
        <v>0.4361111111111111</v>
      </c>
      <c r="Q2615" s="32">
        <v>45048.0</v>
      </c>
      <c r="R2615" s="30">
        <v>0.43680555555555556</v>
      </c>
      <c r="S2615" s="23">
        <v>0.0</v>
      </c>
      <c r="T2615" s="23" t="s">
        <v>118</v>
      </c>
      <c r="U2615" s="32"/>
      <c r="V2615" s="6"/>
      <c r="W2615" s="35">
        <v>29.7015583</v>
      </c>
      <c r="X2615" s="35">
        <v>-95.3406856</v>
      </c>
      <c r="AA2615" s="33"/>
      <c r="AB2615" s="33"/>
      <c r="AC2615" s="39"/>
      <c r="AD2615" s="33"/>
      <c r="AE2615" s="33"/>
      <c r="AF2615" s="33"/>
      <c r="AG2615" s="33"/>
      <c r="AH2615" s="33"/>
      <c r="AI2615" s="33"/>
      <c r="AJ2615" s="33"/>
      <c r="AK2615" s="33"/>
      <c r="AL2615" s="33"/>
      <c r="AM2615" s="33"/>
      <c r="AN2615" s="33"/>
      <c r="AO2615" s="33"/>
    </row>
    <row r="2616" ht="15.75" customHeight="1">
      <c r="A2616" s="23">
        <v>52201.0</v>
      </c>
      <c r="B2616" s="23">
        <v>2023.0</v>
      </c>
      <c r="C2616" s="36" t="str">
        <f t="shared" si="7"/>
        <v>2465 TIM ST,Houston,TX</v>
      </c>
      <c r="D2616" s="23" t="s">
        <v>3921</v>
      </c>
      <c r="E2616" s="6" t="s">
        <v>25</v>
      </c>
      <c r="F2616" s="6" t="s">
        <v>1388</v>
      </c>
      <c r="G2616" s="31" t="s">
        <v>109</v>
      </c>
      <c r="H2616" s="23" t="s">
        <v>1977</v>
      </c>
      <c r="I2616" s="37" t="str">
        <f>VLOOKUP(H2616,'Flow Location'!$A$1:$B$21,2,FALSE)</f>
        <v>Bayou/surface water/drainage ditch</v>
      </c>
      <c r="J2616" s="28">
        <v>0.0</v>
      </c>
      <c r="K2616" s="23" t="s">
        <v>29</v>
      </c>
      <c r="L2616" s="37" t="str">
        <f>VLOOKUP(K2616,'Structure type'!$A$1:$B$15,2,FALSE)</f>
        <v>Manhole</v>
      </c>
      <c r="M2616" s="23" t="s">
        <v>30</v>
      </c>
      <c r="N2616" s="25" t="str">
        <f>VLOOKUP(M2616,'Excursion Cause'!$A$1:$B$34,2,FALSE)</f>
        <v>Grease Blockage</v>
      </c>
      <c r="O2616" s="29">
        <v>45048.0</v>
      </c>
      <c r="P2616" s="30">
        <v>0.48333333333333334</v>
      </c>
      <c r="Q2616" s="32">
        <v>45048.0</v>
      </c>
      <c r="R2616" s="30">
        <v>0.4840277777777778</v>
      </c>
      <c r="S2616" s="23">
        <v>0.0</v>
      </c>
      <c r="T2616" s="23" t="s">
        <v>1462</v>
      </c>
      <c r="U2616" s="32"/>
      <c r="V2616" s="6"/>
      <c r="W2616" s="35">
        <v>29.8508958</v>
      </c>
      <c r="X2616" s="35">
        <v>-95.345497</v>
      </c>
      <c r="AA2616" s="33"/>
      <c r="AB2616" s="33"/>
      <c r="AC2616" s="39"/>
      <c r="AD2616" s="33"/>
      <c r="AE2616" s="33"/>
      <c r="AF2616" s="33"/>
      <c r="AG2616" s="33"/>
      <c r="AH2616" s="33"/>
      <c r="AI2616" s="33"/>
      <c r="AJ2616" s="33"/>
      <c r="AK2616" s="33"/>
      <c r="AL2616" s="33"/>
      <c r="AM2616" s="33"/>
      <c r="AN2616" s="33"/>
      <c r="AO2616" s="33"/>
    </row>
    <row r="2617" ht="15.75" customHeight="1">
      <c r="A2617" s="23">
        <v>52205.0</v>
      </c>
      <c r="B2617" s="23">
        <v>2023.0</v>
      </c>
      <c r="C2617" s="36" t="str">
        <f t="shared" si="7"/>
        <v>11701 SAM HOUSTON PKWY,Houston,TX</v>
      </c>
      <c r="D2617" s="23" t="s">
        <v>3922</v>
      </c>
      <c r="E2617" s="6" t="s">
        <v>25</v>
      </c>
      <c r="F2617" s="6" t="s">
        <v>1388</v>
      </c>
      <c r="G2617" s="31" t="s">
        <v>214</v>
      </c>
      <c r="H2617" s="23" t="s">
        <v>50</v>
      </c>
      <c r="I2617" s="37" t="str">
        <f>VLOOKUP(H2617,'Flow Location'!$A$1:$B$21,2,FALSE)</f>
        <v>Contained On Site, not within 5 ft. of Bayou/Surface Water/Drainage Ditch</v>
      </c>
      <c r="J2617" s="28">
        <v>2140.0</v>
      </c>
      <c r="K2617" s="23" t="s">
        <v>29</v>
      </c>
      <c r="L2617" s="37" t="str">
        <f>VLOOKUP(K2617,'Structure type'!$A$1:$B$15,2,FALSE)</f>
        <v>Manhole</v>
      </c>
      <c r="M2617" s="23" t="s">
        <v>30</v>
      </c>
      <c r="N2617" s="25" t="str">
        <f>VLOOKUP(M2617,'Excursion Cause'!$A$1:$B$34,2,FALSE)</f>
        <v>Grease Blockage</v>
      </c>
      <c r="O2617" s="29">
        <v>45049.0</v>
      </c>
      <c r="P2617" s="30">
        <v>0.3090277777777778</v>
      </c>
      <c r="Q2617" s="32">
        <v>45049.0</v>
      </c>
      <c r="R2617" s="30">
        <v>0.6805555555555556</v>
      </c>
      <c r="S2617" s="23">
        <v>4.0</v>
      </c>
      <c r="T2617" s="23" t="s">
        <v>3749</v>
      </c>
      <c r="U2617" s="32"/>
      <c r="V2617" s="6"/>
      <c r="W2617" s="35">
        <v>29.6488027</v>
      </c>
      <c r="X2617" s="35">
        <v>-95.5457895999999</v>
      </c>
      <c r="AA2617" s="33"/>
      <c r="AB2617" s="33"/>
      <c r="AC2617" s="39"/>
      <c r="AD2617" s="33"/>
      <c r="AE2617" s="33"/>
      <c r="AF2617" s="33"/>
      <c r="AG2617" s="33"/>
      <c r="AH2617" s="33"/>
      <c r="AI2617" s="33"/>
      <c r="AJ2617" s="33"/>
      <c r="AK2617" s="33"/>
      <c r="AL2617" s="33"/>
      <c r="AM2617" s="33"/>
      <c r="AN2617" s="33"/>
      <c r="AO2617" s="33"/>
    </row>
    <row r="2618" ht="15.75" customHeight="1">
      <c r="A2618" s="23">
        <v>52212.0</v>
      </c>
      <c r="B2618" s="23">
        <v>2023.0</v>
      </c>
      <c r="C2618" s="36" t="str">
        <f t="shared" si="7"/>
        <v>4103 VALOR ST,Houston,TX</v>
      </c>
      <c r="D2618" s="23" t="s">
        <v>3847</v>
      </c>
      <c r="E2618" s="6" t="s">
        <v>25</v>
      </c>
      <c r="F2618" s="6" t="s">
        <v>1388</v>
      </c>
      <c r="G2618" s="31" t="s">
        <v>109</v>
      </c>
      <c r="H2618" s="23" t="s">
        <v>50</v>
      </c>
      <c r="I2618" s="37" t="str">
        <f>VLOOKUP(H2618,'Flow Location'!$A$1:$B$21,2,FALSE)</f>
        <v>Contained On Site, not within 5 ft. of Bayou/Surface Water/Drainage Ditch</v>
      </c>
      <c r="J2618" s="28">
        <v>0.0</v>
      </c>
      <c r="K2618" s="23" t="s">
        <v>45</v>
      </c>
      <c r="L2618" s="37" t="str">
        <f>VLOOKUP(K2618,'Structure type'!$A$1:$B$15,2,FALSE)</f>
        <v>City Cleanout</v>
      </c>
      <c r="M2618" s="23" t="s">
        <v>56</v>
      </c>
      <c r="N2618" s="25" t="str">
        <f>VLOOKUP(M2618,'Excursion Cause'!$A$1:$B$34,2,FALSE)</f>
        <v>Rags/Wipes</v>
      </c>
      <c r="O2618" s="29">
        <v>45049.0</v>
      </c>
      <c r="P2618" s="30">
        <v>0.7277777777777777</v>
      </c>
      <c r="Q2618" s="32">
        <v>45049.0</v>
      </c>
      <c r="R2618" s="30">
        <v>0.7284722222222222</v>
      </c>
      <c r="S2618" s="23">
        <v>0.0</v>
      </c>
      <c r="T2618" s="23" t="s">
        <v>3743</v>
      </c>
      <c r="U2618" s="32"/>
      <c r="V2618" s="6"/>
      <c r="W2618" s="35">
        <v>29.8388377</v>
      </c>
      <c r="X2618" s="35">
        <v>-95.3290203</v>
      </c>
      <c r="AA2618" s="33"/>
      <c r="AB2618" s="33"/>
      <c r="AC2618" s="39"/>
      <c r="AD2618" s="33"/>
      <c r="AE2618" s="33"/>
      <c r="AF2618" s="33"/>
      <c r="AG2618" s="33"/>
      <c r="AH2618" s="33"/>
      <c r="AI2618" s="33"/>
      <c r="AJ2618" s="33"/>
      <c r="AK2618" s="33"/>
      <c r="AL2618" s="33"/>
      <c r="AM2618" s="33"/>
      <c r="AN2618" s="33"/>
      <c r="AO2618" s="33"/>
    </row>
    <row r="2619" ht="15.75" customHeight="1">
      <c r="A2619" s="23">
        <v>52214.0</v>
      </c>
      <c r="B2619" s="23">
        <v>2023.0</v>
      </c>
      <c r="C2619" s="36" t="str">
        <f t="shared" si="7"/>
        <v>39 ST CHARLES ST,Houston,TX</v>
      </c>
      <c r="D2619" s="23" t="s">
        <v>3923</v>
      </c>
      <c r="E2619" s="6" t="s">
        <v>25</v>
      </c>
      <c r="F2619" s="6" t="s">
        <v>1388</v>
      </c>
      <c r="G2619" s="31" t="s">
        <v>172</v>
      </c>
      <c r="H2619" s="23" t="s">
        <v>50</v>
      </c>
      <c r="I2619" s="37" t="str">
        <f>VLOOKUP(H2619,'Flow Location'!$A$1:$B$21,2,FALSE)</f>
        <v>Contained On Site, not within 5 ft. of Bayou/Surface Water/Drainage Ditch</v>
      </c>
      <c r="J2619" s="28">
        <v>0.0</v>
      </c>
      <c r="K2619" s="23" t="s">
        <v>51</v>
      </c>
      <c r="L2619" s="37" t="str">
        <f>VLOOKUP(K2619,'Structure type'!$A$1:$B$15,2,FALSE)</f>
        <v>Private Cleanout</v>
      </c>
      <c r="M2619" s="23" t="s">
        <v>52</v>
      </c>
      <c r="N2619" s="25" t="str">
        <f>VLOOKUP(M2619,'Excursion Cause'!$A$1:$B$34,2,FALSE)</f>
        <v>Collection system structural blockage</v>
      </c>
      <c r="O2619" s="29">
        <v>45050.0</v>
      </c>
      <c r="P2619" s="30">
        <v>0.3763888888888889</v>
      </c>
      <c r="Q2619" s="32">
        <v>45050.0</v>
      </c>
      <c r="R2619" s="30">
        <v>0.3770833333333333</v>
      </c>
      <c r="S2619" s="23">
        <v>0.0</v>
      </c>
      <c r="T2619" s="23" t="s">
        <v>1473</v>
      </c>
      <c r="U2619" s="32"/>
      <c r="V2619" s="6"/>
      <c r="W2619" s="35">
        <v>29.7567895</v>
      </c>
      <c r="X2619" s="35">
        <v>-95.3457047</v>
      </c>
      <c r="AA2619" s="33"/>
      <c r="AB2619" s="33"/>
      <c r="AC2619" s="39"/>
      <c r="AD2619" s="33"/>
      <c r="AE2619" s="33"/>
      <c r="AF2619" s="33"/>
      <c r="AG2619" s="33"/>
      <c r="AH2619" s="33"/>
      <c r="AI2619" s="33"/>
      <c r="AJ2619" s="33"/>
      <c r="AK2619" s="33"/>
      <c r="AL2619" s="33"/>
      <c r="AM2619" s="33"/>
      <c r="AN2619" s="33"/>
      <c r="AO2619" s="33"/>
    </row>
    <row r="2620" ht="15.75" customHeight="1">
      <c r="A2620" s="23">
        <v>52215.0</v>
      </c>
      <c r="B2620" s="23">
        <v>2023.0</v>
      </c>
      <c r="C2620" s="36" t="str">
        <f t="shared" si="7"/>
        <v>8246 JET PILOT AVE,Houston,TX</v>
      </c>
      <c r="D2620" s="23" t="s">
        <v>3924</v>
      </c>
      <c r="E2620" s="6" t="s">
        <v>25</v>
      </c>
      <c r="F2620" s="6" t="s">
        <v>1388</v>
      </c>
      <c r="G2620" s="31" t="s">
        <v>95</v>
      </c>
      <c r="H2620" s="23" t="s">
        <v>50</v>
      </c>
      <c r="I2620" s="37" t="str">
        <f>VLOOKUP(H2620,'Flow Location'!$A$1:$B$21,2,FALSE)</f>
        <v>Contained On Site, not within 5 ft. of Bayou/Surface Water/Drainage Ditch</v>
      </c>
      <c r="J2620" s="28">
        <v>0.0</v>
      </c>
      <c r="K2620" s="23" t="s">
        <v>45</v>
      </c>
      <c r="L2620" s="37" t="str">
        <f>VLOOKUP(K2620,'Structure type'!$A$1:$B$15,2,FALSE)</f>
        <v>City Cleanout</v>
      </c>
      <c r="M2620" s="23" t="s">
        <v>52</v>
      </c>
      <c r="N2620" s="25" t="str">
        <f>VLOOKUP(M2620,'Excursion Cause'!$A$1:$B$34,2,FALSE)</f>
        <v>Collection system structural blockage</v>
      </c>
      <c r="O2620" s="29">
        <v>45050.0</v>
      </c>
      <c r="P2620" s="30">
        <v>0.5666666666666667</v>
      </c>
      <c r="Q2620" s="32">
        <v>45050.0</v>
      </c>
      <c r="R2620" s="30">
        <v>0.5673611111111111</v>
      </c>
      <c r="S2620" s="23">
        <v>0.0</v>
      </c>
      <c r="T2620" s="23" t="s">
        <v>118</v>
      </c>
      <c r="U2620" s="32"/>
      <c r="V2620" s="6"/>
      <c r="W2620" s="35">
        <v>29.6327348</v>
      </c>
      <c r="X2620" s="35">
        <v>-95.2719082</v>
      </c>
      <c r="AA2620" s="33"/>
      <c r="AB2620" s="33"/>
      <c r="AC2620" s="39"/>
      <c r="AD2620" s="33"/>
      <c r="AE2620" s="33"/>
      <c r="AF2620" s="33"/>
      <c r="AG2620" s="33"/>
      <c r="AH2620" s="33"/>
      <c r="AI2620" s="33"/>
      <c r="AJ2620" s="33"/>
      <c r="AK2620" s="33"/>
      <c r="AL2620" s="33"/>
      <c r="AM2620" s="33"/>
      <c r="AN2620" s="33"/>
      <c r="AO2620" s="33"/>
    </row>
    <row r="2621" ht="15.75" customHeight="1">
      <c r="A2621" s="23">
        <v>52217.0</v>
      </c>
      <c r="B2621" s="23">
        <v>2023.0</v>
      </c>
      <c r="C2621" s="36" t="str">
        <f t="shared" si="7"/>
        <v>7727 LOG HOLLOW DR,Houston,TX</v>
      </c>
      <c r="D2621" s="23" t="s">
        <v>3925</v>
      </c>
      <c r="E2621" s="6" t="s">
        <v>25</v>
      </c>
      <c r="F2621" s="6" t="s">
        <v>1388</v>
      </c>
      <c r="G2621" s="31" t="s">
        <v>253</v>
      </c>
      <c r="H2621" s="23" t="s">
        <v>50</v>
      </c>
      <c r="I2621" s="37" t="str">
        <f>VLOOKUP(H2621,'Flow Location'!$A$1:$B$21,2,FALSE)</f>
        <v>Contained On Site, not within 5 ft. of Bayou/Surface Water/Drainage Ditch</v>
      </c>
      <c r="J2621" s="28">
        <v>98.0</v>
      </c>
      <c r="K2621" s="23" t="s">
        <v>45</v>
      </c>
      <c r="L2621" s="37" t="str">
        <f>VLOOKUP(K2621,'Structure type'!$A$1:$B$15,2,FALSE)</f>
        <v>City Cleanout</v>
      </c>
      <c r="M2621" s="23" t="s">
        <v>30</v>
      </c>
      <c r="N2621" s="25" t="str">
        <f>VLOOKUP(M2621,'Excursion Cause'!$A$1:$B$34,2,FALSE)</f>
        <v>Grease Blockage</v>
      </c>
      <c r="O2621" s="29">
        <v>45050.0</v>
      </c>
      <c r="P2621" s="30">
        <v>0.6284722222222222</v>
      </c>
      <c r="Q2621" s="32">
        <v>45050.0</v>
      </c>
      <c r="R2621" s="30">
        <v>0.6965277777777777</v>
      </c>
      <c r="S2621" s="23">
        <v>1.0</v>
      </c>
      <c r="T2621" s="23" t="s">
        <v>3926</v>
      </c>
      <c r="U2621" s="32"/>
      <c r="V2621" s="6"/>
      <c r="W2621" s="35">
        <v>29.8884884</v>
      </c>
      <c r="X2621" s="35">
        <v>-95.5065649</v>
      </c>
      <c r="AA2621" s="33"/>
      <c r="AB2621" s="33"/>
      <c r="AC2621" s="39"/>
      <c r="AD2621" s="33"/>
      <c r="AE2621" s="33"/>
      <c r="AF2621" s="33"/>
      <c r="AG2621" s="33"/>
      <c r="AH2621" s="33"/>
      <c r="AI2621" s="33"/>
      <c r="AJ2621" s="33"/>
      <c r="AK2621" s="33"/>
      <c r="AL2621" s="33"/>
      <c r="AM2621" s="33"/>
      <c r="AN2621" s="33"/>
      <c r="AO2621" s="33"/>
    </row>
    <row r="2622" ht="15.75" customHeight="1">
      <c r="A2622" s="23">
        <v>52222.0</v>
      </c>
      <c r="B2622" s="23">
        <v>2023.0</v>
      </c>
      <c r="C2622" s="36" t="str">
        <f t="shared" si="7"/>
        <v>5803 VILLAGE FOREST CT,Houston,TX</v>
      </c>
      <c r="D2622" s="23" t="s">
        <v>3927</v>
      </c>
      <c r="E2622" s="6" t="s">
        <v>25</v>
      </c>
      <c r="F2622" s="6" t="s">
        <v>1388</v>
      </c>
      <c r="G2622" s="31" t="s">
        <v>76</v>
      </c>
      <c r="H2622" s="23" t="s">
        <v>50</v>
      </c>
      <c r="I2622" s="37" t="str">
        <f>VLOOKUP(H2622,'Flow Location'!$A$1:$B$21,2,FALSE)</f>
        <v>Contained On Site, not within 5 ft. of Bayou/Surface Water/Drainage Ditch</v>
      </c>
      <c r="J2622" s="28">
        <v>0.0</v>
      </c>
      <c r="K2622" s="23" t="s">
        <v>29</v>
      </c>
      <c r="L2622" s="37" t="str">
        <f>VLOOKUP(K2622,'Structure type'!$A$1:$B$15,2,FALSE)</f>
        <v>Manhole</v>
      </c>
      <c r="M2622" s="23" t="s">
        <v>96</v>
      </c>
      <c r="N2622" s="25" t="str">
        <f>VLOOKUP(M2622,'Excursion Cause'!$A$1:$B$34,2,FALSE)</f>
        <v>Collection system temporary blockage</v>
      </c>
      <c r="O2622" s="29">
        <v>45050.0</v>
      </c>
      <c r="P2622" s="30">
        <v>0.7423611111111111</v>
      </c>
      <c r="Q2622" s="32">
        <v>45050.0</v>
      </c>
      <c r="R2622" s="30">
        <v>0.7430555555555556</v>
      </c>
      <c r="S2622" s="23">
        <v>0.0</v>
      </c>
      <c r="T2622" s="23" t="s">
        <v>1462</v>
      </c>
      <c r="U2622" s="32"/>
      <c r="V2622" s="6"/>
      <c r="W2622" s="35">
        <v>29.8488069</v>
      </c>
      <c r="X2622" s="35">
        <v>-95.4755402999999</v>
      </c>
      <c r="AA2622" s="33"/>
      <c r="AB2622" s="33"/>
      <c r="AC2622" s="39"/>
      <c r="AD2622" s="33"/>
      <c r="AE2622" s="33"/>
      <c r="AF2622" s="33"/>
      <c r="AG2622" s="33"/>
      <c r="AH2622" s="33"/>
      <c r="AI2622" s="33"/>
      <c r="AJ2622" s="33"/>
      <c r="AK2622" s="33"/>
      <c r="AL2622" s="33"/>
      <c r="AM2622" s="33"/>
      <c r="AN2622" s="33"/>
      <c r="AO2622" s="33"/>
    </row>
    <row r="2623" ht="15.75" customHeight="1">
      <c r="A2623" s="23">
        <v>52223.0</v>
      </c>
      <c r="B2623" s="23">
        <v>2023.0</v>
      </c>
      <c r="C2623" s="36" t="str">
        <f t="shared" si="7"/>
        <v>712 OAKHURST ST,Houston,TX</v>
      </c>
      <c r="D2623" s="23" t="s">
        <v>784</v>
      </c>
      <c r="E2623" s="6" t="s">
        <v>25</v>
      </c>
      <c r="F2623" s="6" t="s">
        <v>1388</v>
      </c>
      <c r="G2623" s="31" t="s">
        <v>141</v>
      </c>
      <c r="H2623" s="23" t="s">
        <v>50</v>
      </c>
      <c r="I2623" s="37" t="str">
        <f>VLOOKUP(H2623,'Flow Location'!$A$1:$B$21,2,FALSE)</f>
        <v>Contained On Site, not within 5 ft. of Bayou/Surface Water/Drainage Ditch</v>
      </c>
      <c r="J2623" s="28">
        <v>0.0</v>
      </c>
      <c r="K2623" s="23" t="s">
        <v>45</v>
      </c>
      <c r="L2623" s="37" t="str">
        <f>VLOOKUP(K2623,'Structure type'!$A$1:$B$15,2,FALSE)</f>
        <v>City Cleanout</v>
      </c>
      <c r="M2623" s="23" t="s">
        <v>30</v>
      </c>
      <c r="N2623" s="25" t="str">
        <f>VLOOKUP(M2623,'Excursion Cause'!$A$1:$B$34,2,FALSE)</f>
        <v>Grease Blockage</v>
      </c>
      <c r="O2623" s="29">
        <v>45051.0</v>
      </c>
      <c r="P2623" s="30">
        <v>0.425</v>
      </c>
      <c r="Q2623" s="32">
        <v>45051.0</v>
      </c>
      <c r="R2623" s="30">
        <v>0.42569444444444443</v>
      </c>
      <c r="S2623" s="23">
        <v>0.0</v>
      </c>
      <c r="T2623" s="23" t="s">
        <v>3749</v>
      </c>
      <c r="U2623" s="32"/>
      <c r="V2623" s="6"/>
      <c r="W2623" s="35">
        <v>29.7436939999999</v>
      </c>
      <c r="X2623" s="35">
        <v>-95.3356800999999</v>
      </c>
      <c r="AA2623" s="33"/>
      <c r="AB2623" s="33"/>
      <c r="AC2623" s="39"/>
      <c r="AD2623" s="33"/>
      <c r="AE2623" s="33"/>
      <c r="AF2623" s="33"/>
      <c r="AG2623" s="33"/>
      <c r="AH2623" s="33"/>
      <c r="AI2623" s="33"/>
      <c r="AJ2623" s="33"/>
      <c r="AK2623" s="33"/>
      <c r="AL2623" s="33"/>
      <c r="AM2623" s="33"/>
      <c r="AN2623" s="33"/>
      <c r="AO2623" s="33"/>
    </row>
    <row r="2624" ht="15.75" customHeight="1">
      <c r="A2624" s="23">
        <v>52225.0</v>
      </c>
      <c r="B2624" s="23">
        <v>2023.0</v>
      </c>
      <c r="C2624" s="36" t="str">
        <f t="shared" si="7"/>
        <v>6709 COVINGTON DR,Houston,TX</v>
      </c>
      <c r="D2624" s="23" t="s">
        <v>3928</v>
      </c>
      <c r="E2624" s="6" t="s">
        <v>25</v>
      </c>
      <c r="F2624" s="6" t="s">
        <v>1388</v>
      </c>
      <c r="G2624" s="31" t="s">
        <v>222</v>
      </c>
      <c r="H2624" s="23" t="s">
        <v>50</v>
      </c>
      <c r="I2624" s="37" t="str">
        <f>VLOOKUP(H2624,'Flow Location'!$A$1:$B$21,2,FALSE)</f>
        <v>Contained On Site, not within 5 ft. of Bayou/Surface Water/Drainage Ditch</v>
      </c>
      <c r="J2624" s="28">
        <v>0.0</v>
      </c>
      <c r="K2624" s="23" t="s">
        <v>45</v>
      </c>
      <c r="L2624" s="37" t="str">
        <f>VLOOKUP(K2624,'Structure type'!$A$1:$B$15,2,FALSE)</f>
        <v>City Cleanout</v>
      </c>
      <c r="M2624" s="23" t="s">
        <v>56</v>
      </c>
      <c r="N2624" s="25" t="str">
        <f>VLOOKUP(M2624,'Excursion Cause'!$A$1:$B$34,2,FALSE)</f>
        <v>Rags/Wipes</v>
      </c>
      <c r="O2624" s="29">
        <v>45051.0</v>
      </c>
      <c r="P2624" s="30">
        <v>0.47291666666666665</v>
      </c>
      <c r="Q2624" s="32">
        <v>45051.0</v>
      </c>
      <c r="R2624" s="30">
        <v>0.4736111111111111</v>
      </c>
      <c r="S2624" s="23">
        <v>0.0</v>
      </c>
      <c r="T2624" s="23" t="s">
        <v>3756</v>
      </c>
      <c r="U2624" s="32"/>
      <c r="V2624" s="6"/>
      <c r="W2624" s="35">
        <v>29.861017</v>
      </c>
      <c r="X2624" s="35">
        <v>-95.4407853</v>
      </c>
      <c r="AA2624" s="33"/>
      <c r="AB2624" s="33"/>
      <c r="AC2624" s="39"/>
      <c r="AD2624" s="33"/>
      <c r="AE2624" s="33"/>
      <c r="AF2624" s="33"/>
      <c r="AG2624" s="33"/>
      <c r="AH2624" s="33"/>
      <c r="AI2624" s="33"/>
      <c r="AJ2624" s="33"/>
      <c r="AK2624" s="33"/>
      <c r="AL2624" s="33"/>
      <c r="AM2624" s="33"/>
      <c r="AN2624" s="33"/>
      <c r="AO2624" s="33"/>
    </row>
    <row r="2625" ht="15.75" customHeight="1">
      <c r="A2625" s="23">
        <v>52226.0</v>
      </c>
      <c r="B2625" s="23">
        <v>2023.0</v>
      </c>
      <c r="C2625" s="36" t="str">
        <f t="shared" si="7"/>
        <v>907 GREGG ST,Houston,TX</v>
      </c>
      <c r="D2625" s="23" t="s">
        <v>2746</v>
      </c>
      <c r="E2625" s="6" t="s">
        <v>25</v>
      </c>
      <c r="F2625" s="6" t="s">
        <v>1388</v>
      </c>
      <c r="G2625" s="31" t="s">
        <v>86</v>
      </c>
      <c r="H2625" s="23" t="s">
        <v>50</v>
      </c>
      <c r="I2625" s="37" t="str">
        <f>VLOOKUP(H2625,'Flow Location'!$A$1:$B$21,2,FALSE)</f>
        <v>Contained On Site, not within 5 ft. of Bayou/Surface Water/Drainage Ditch</v>
      </c>
      <c r="J2625" s="28">
        <v>0.0</v>
      </c>
      <c r="K2625" s="23" t="s">
        <v>45</v>
      </c>
      <c r="L2625" s="37" t="str">
        <f>VLOOKUP(K2625,'Structure type'!$A$1:$B$15,2,FALSE)</f>
        <v>City Cleanout</v>
      </c>
      <c r="M2625" s="23" t="s">
        <v>30</v>
      </c>
      <c r="N2625" s="25" t="str">
        <f>VLOOKUP(M2625,'Excursion Cause'!$A$1:$B$34,2,FALSE)</f>
        <v>Grease Blockage</v>
      </c>
      <c r="O2625" s="29">
        <v>45051.0</v>
      </c>
      <c r="P2625" s="30">
        <v>0.47152777777777777</v>
      </c>
      <c r="Q2625" s="32">
        <v>45051.0</v>
      </c>
      <c r="R2625" s="30">
        <v>0.4722222222222222</v>
      </c>
      <c r="S2625" s="23">
        <v>0.0</v>
      </c>
      <c r="T2625" s="23" t="s">
        <v>3743</v>
      </c>
      <c r="U2625" s="32"/>
      <c r="V2625" s="6"/>
      <c r="W2625" s="35">
        <v>29.7697351</v>
      </c>
      <c r="X2625" s="35">
        <v>-95.3359687</v>
      </c>
      <c r="AA2625" s="33"/>
      <c r="AB2625" s="33"/>
      <c r="AC2625" s="39"/>
      <c r="AD2625" s="33"/>
      <c r="AE2625" s="33"/>
      <c r="AF2625" s="33"/>
      <c r="AG2625" s="33"/>
      <c r="AH2625" s="33"/>
      <c r="AI2625" s="33"/>
      <c r="AJ2625" s="33"/>
      <c r="AK2625" s="33"/>
      <c r="AL2625" s="33"/>
      <c r="AM2625" s="33"/>
      <c r="AN2625" s="33"/>
      <c r="AO2625" s="33"/>
    </row>
    <row r="2626" ht="15.75" customHeight="1">
      <c r="A2626" s="23">
        <v>52227.0</v>
      </c>
      <c r="B2626" s="23">
        <v>2023.0</v>
      </c>
      <c r="C2626" s="36" t="str">
        <f t="shared" si="7"/>
        <v>9707 TIMBERSIDE DR,Houston,TX</v>
      </c>
      <c r="D2626" s="23" t="s">
        <v>1416</v>
      </c>
      <c r="E2626" s="6" t="s">
        <v>25</v>
      </c>
      <c r="F2626" s="6" t="s">
        <v>1388</v>
      </c>
      <c r="G2626" s="31" t="s">
        <v>65</v>
      </c>
      <c r="H2626" s="23" t="s">
        <v>50</v>
      </c>
      <c r="I2626" s="37" t="str">
        <f>VLOOKUP(H2626,'Flow Location'!$A$1:$B$21,2,FALSE)</f>
        <v>Contained On Site, not within 5 ft. of Bayou/Surface Water/Drainage Ditch</v>
      </c>
      <c r="J2626" s="28">
        <v>85.0</v>
      </c>
      <c r="K2626" s="23" t="s">
        <v>29</v>
      </c>
      <c r="L2626" s="37" t="str">
        <f>VLOOKUP(K2626,'Structure type'!$A$1:$B$15,2,FALSE)</f>
        <v>Manhole</v>
      </c>
      <c r="M2626" s="23" t="s">
        <v>30</v>
      </c>
      <c r="N2626" s="25" t="str">
        <f>VLOOKUP(M2626,'Excursion Cause'!$A$1:$B$34,2,FALSE)</f>
        <v>Grease Blockage</v>
      </c>
      <c r="O2626" s="29">
        <v>45051.0</v>
      </c>
      <c r="P2626" s="30">
        <v>0.4965277777777778</v>
      </c>
      <c r="Q2626" s="32">
        <v>45051.0</v>
      </c>
      <c r="R2626" s="30">
        <v>0.5555555555555556</v>
      </c>
      <c r="S2626" s="23">
        <v>1.0</v>
      </c>
      <c r="T2626" s="23" t="s">
        <v>1462</v>
      </c>
      <c r="U2626" s="32"/>
      <c r="V2626" s="6"/>
      <c r="W2626" s="35">
        <v>29.6774749</v>
      </c>
      <c r="X2626" s="35">
        <v>-95.4317492999999</v>
      </c>
      <c r="AA2626" s="33"/>
      <c r="AB2626" s="33"/>
      <c r="AC2626" s="39"/>
      <c r="AD2626" s="33"/>
      <c r="AE2626" s="33"/>
      <c r="AF2626" s="33"/>
      <c r="AG2626" s="33"/>
      <c r="AH2626" s="33"/>
      <c r="AI2626" s="33"/>
      <c r="AJ2626" s="33"/>
      <c r="AK2626" s="33"/>
      <c r="AL2626" s="33"/>
      <c r="AM2626" s="33"/>
      <c r="AN2626" s="33"/>
      <c r="AO2626" s="33"/>
    </row>
    <row r="2627" ht="15.75" customHeight="1">
      <c r="A2627" s="23">
        <v>52228.0</v>
      </c>
      <c r="B2627" s="23">
        <v>2023.0</v>
      </c>
      <c r="C2627" s="36" t="str">
        <f t="shared" si="7"/>
        <v>8400 WESTGLEN DR,Houston,TX</v>
      </c>
      <c r="D2627" s="23" t="s">
        <v>3929</v>
      </c>
      <c r="E2627" s="6" t="s">
        <v>25</v>
      </c>
      <c r="F2627" s="6" t="s">
        <v>1388</v>
      </c>
      <c r="G2627" s="31" t="s">
        <v>482</v>
      </c>
      <c r="H2627" s="23" t="s">
        <v>28</v>
      </c>
      <c r="I2627" s="37" t="str">
        <f>VLOOKUP(H2627,'Flow Location'!$A$1:$B$21,2,FALSE)</f>
        <v>Storm Sewer (not contained)</v>
      </c>
      <c r="J2627" s="28">
        <v>338.0</v>
      </c>
      <c r="K2627" s="23" t="s">
        <v>29</v>
      </c>
      <c r="L2627" s="37" t="str">
        <f>VLOOKUP(K2627,'Structure type'!$A$1:$B$15,2,FALSE)</f>
        <v>Manhole</v>
      </c>
      <c r="M2627" s="23" t="s">
        <v>56</v>
      </c>
      <c r="N2627" s="25" t="str">
        <f>VLOOKUP(M2627,'Excursion Cause'!$A$1:$B$34,2,FALSE)</f>
        <v>Rags/Wipes</v>
      </c>
      <c r="O2627" s="29">
        <v>45051.0</v>
      </c>
      <c r="P2627" s="30">
        <v>0.5493055555555556</v>
      </c>
      <c r="Q2627" s="32">
        <v>45051.0</v>
      </c>
      <c r="R2627" s="30">
        <v>0.6666666666666666</v>
      </c>
      <c r="S2627" s="23">
        <v>2.0</v>
      </c>
      <c r="T2627" s="23" t="s">
        <v>3749</v>
      </c>
      <c r="U2627" s="32"/>
      <c r="V2627" s="6"/>
      <c r="W2627" s="35">
        <v>29.7250412</v>
      </c>
      <c r="X2627" s="35">
        <v>-95.5108327999999</v>
      </c>
      <c r="AA2627" s="33"/>
      <c r="AB2627" s="33"/>
      <c r="AC2627" s="39"/>
      <c r="AD2627" s="33"/>
      <c r="AE2627" s="33"/>
      <c r="AF2627" s="33"/>
      <c r="AG2627" s="33"/>
      <c r="AH2627" s="33"/>
      <c r="AI2627" s="33"/>
      <c r="AJ2627" s="33"/>
      <c r="AK2627" s="33"/>
      <c r="AL2627" s="33"/>
      <c r="AM2627" s="33"/>
      <c r="AN2627" s="33"/>
      <c r="AO2627" s="33"/>
    </row>
    <row r="2628" ht="15.75" customHeight="1">
      <c r="A2628" s="23">
        <v>52235.0</v>
      </c>
      <c r="B2628" s="23">
        <v>2023.0</v>
      </c>
      <c r="C2628" s="36" t="str">
        <f t="shared" si="7"/>
        <v>8241 SWISS LN,Houston,TX</v>
      </c>
      <c r="D2628" s="23" t="s">
        <v>3930</v>
      </c>
      <c r="E2628" s="6" t="s">
        <v>25</v>
      </c>
      <c r="F2628" s="6" t="s">
        <v>1388</v>
      </c>
      <c r="G2628" s="31" t="s">
        <v>95</v>
      </c>
      <c r="H2628" s="23" t="s">
        <v>50</v>
      </c>
      <c r="I2628" s="37" t="str">
        <f>VLOOKUP(H2628,'Flow Location'!$A$1:$B$21,2,FALSE)</f>
        <v>Contained On Site, not within 5 ft. of Bayou/Surface Water/Drainage Ditch</v>
      </c>
      <c r="J2628" s="28">
        <v>0.0</v>
      </c>
      <c r="K2628" s="23" t="s">
        <v>45</v>
      </c>
      <c r="L2628" s="37" t="str">
        <f>VLOOKUP(K2628,'Structure type'!$A$1:$B$15,2,FALSE)</f>
        <v>City Cleanout</v>
      </c>
      <c r="M2628" s="23" t="s">
        <v>56</v>
      </c>
      <c r="N2628" s="25" t="str">
        <f>VLOOKUP(M2628,'Excursion Cause'!$A$1:$B$34,2,FALSE)</f>
        <v>Rags/Wipes</v>
      </c>
      <c r="O2628" s="29">
        <v>45051.0</v>
      </c>
      <c r="P2628" s="30">
        <v>0.7444444444444445</v>
      </c>
      <c r="Q2628" s="32">
        <v>45051.0</v>
      </c>
      <c r="R2628" s="30">
        <v>0.7451388888888889</v>
      </c>
      <c r="S2628" s="23">
        <v>0.0</v>
      </c>
      <c r="T2628" s="23" t="s">
        <v>3756</v>
      </c>
      <c r="U2628" s="32"/>
      <c r="V2628" s="6"/>
      <c r="W2628" s="35">
        <v>29.6253143</v>
      </c>
      <c r="X2628" s="35">
        <v>-95.2714434999999</v>
      </c>
      <c r="AA2628" s="33"/>
      <c r="AB2628" s="33"/>
      <c r="AC2628" s="39"/>
      <c r="AD2628" s="33"/>
      <c r="AE2628" s="33"/>
      <c r="AF2628" s="33"/>
      <c r="AG2628" s="33"/>
      <c r="AH2628" s="33"/>
      <c r="AI2628" s="33"/>
      <c r="AJ2628" s="33"/>
      <c r="AK2628" s="33"/>
      <c r="AL2628" s="33"/>
      <c r="AM2628" s="33"/>
      <c r="AN2628" s="33"/>
      <c r="AO2628" s="33"/>
    </row>
    <row r="2629" ht="15.75" customHeight="1">
      <c r="A2629" s="23">
        <v>52245.0</v>
      </c>
      <c r="B2629" s="23">
        <v>2023.0</v>
      </c>
      <c r="C2629" s="36" t="str">
        <f t="shared" si="7"/>
        <v>2301 SUNSET BLVD,Houston,TX</v>
      </c>
      <c r="D2629" s="23" t="s">
        <v>3931</v>
      </c>
      <c r="E2629" s="6" t="s">
        <v>25</v>
      </c>
      <c r="F2629" s="6" t="s">
        <v>1388</v>
      </c>
      <c r="G2629" s="31" t="s">
        <v>3158</v>
      </c>
      <c r="H2629" s="23" t="s">
        <v>28</v>
      </c>
      <c r="I2629" s="37" t="str">
        <f>VLOOKUP(H2629,'Flow Location'!$A$1:$B$21,2,FALSE)</f>
        <v>Storm Sewer (not contained)</v>
      </c>
      <c r="J2629" s="28">
        <v>70.0</v>
      </c>
      <c r="K2629" s="23" t="s">
        <v>29</v>
      </c>
      <c r="L2629" s="37" t="str">
        <f>VLOOKUP(K2629,'Structure type'!$A$1:$B$15,2,FALSE)</f>
        <v>Manhole</v>
      </c>
      <c r="M2629" s="23" t="s">
        <v>3329</v>
      </c>
      <c r="N2629" s="25" t="str">
        <f>VLOOKUP(M2629,'Excursion Cause'!$A$1:$B$34,2,FALSE)</f>
        <v>Collection system temporary blockage</v>
      </c>
      <c r="O2629" s="29">
        <v>45054.0</v>
      </c>
      <c r="P2629" s="30">
        <v>0.3486111111111111</v>
      </c>
      <c r="Q2629" s="32">
        <v>45054.0</v>
      </c>
      <c r="R2629" s="30">
        <v>0.3729166666666667</v>
      </c>
      <c r="S2629" s="23">
        <v>2.0</v>
      </c>
      <c r="T2629" s="23" t="s">
        <v>3749</v>
      </c>
      <c r="U2629" s="32"/>
      <c r="V2629" s="6"/>
      <c r="W2629" s="35">
        <v>29.7226555</v>
      </c>
      <c r="X2629" s="35">
        <v>-95.413018</v>
      </c>
      <c r="AA2629" s="33"/>
      <c r="AB2629" s="33"/>
      <c r="AC2629" s="39"/>
      <c r="AD2629" s="33"/>
      <c r="AE2629" s="33"/>
      <c r="AF2629" s="33"/>
      <c r="AG2629" s="33"/>
      <c r="AH2629" s="33"/>
      <c r="AI2629" s="33"/>
      <c r="AJ2629" s="33"/>
      <c r="AK2629" s="33"/>
      <c r="AL2629" s="33"/>
      <c r="AM2629" s="33"/>
      <c r="AN2629" s="33"/>
      <c r="AO2629" s="33"/>
    </row>
    <row r="2630" ht="15.75" customHeight="1">
      <c r="A2630" s="23">
        <v>52247.0</v>
      </c>
      <c r="B2630" s="23">
        <v>2023.0</v>
      </c>
      <c r="C2630" s="36" t="str">
        <f t="shared" si="7"/>
        <v>5735 SWEETBRIAR ST,Houston,TX</v>
      </c>
      <c r="D2630" s="23" t="s">
        <v>3932</v>
      </c>
      <c r="E2630" s="6" t="s">
        <v>25</v>
      </c>
      <c r="F2630" s="6" t="s">
        <v>1388</v>
      </c>
      <c r="G2630" s="31" t="s">
        <v>135</v>
      </c>
      <c r="H2630" s="23" t="s">
        <v>50</v>
      </c>
      <c r="I2630" s="37" t="str">
        <f>VLOOKUP(H2630,'Flow Location'!$A$1:$B$21,2,FALSE)</f>
        <v>Contained On Site, not within 5 ft. of Bayou/Surface Water/Drainage Ditch</v>
      </c>
      <c r="J2630" s="28">
        <v>278.0</v>
      </c>
      <c r="K2630" s="23" t="s">
        <v>29</v>
      </c>
      <c r="L2630" s="37" t="str">
        <f>VLOOKUP(K2630,'Structure type'!$A$1:$B$15,2,FALSE)</f>
        <v>Manhole</v>
      </c>
      <c r="M2630" s="23" t="s">
        <v>30</v>
      </c>
      <c r="N2630" s="25" t="str">
        <f>VLOOKUP(M2630,'Excursion Cause'!$A$1:$B$34,2,FALSE)</f>
        <v>Grease Blockage</v>
      </c>
      <c r="O2630" s="29">
        <v>45054.0</v>
      </c>
      <c r="P2630" s="30">
        <v>0.5180555555555556</v>
      </c>
      <c r="Q2630" s="32">
        <v>45054.0</v>
      </c>
      <c r="R2630" s="30">
        <v>0.6145833333333334</v>
      </c>
      <c r="S2630" s="23">
        <v>2.0</v>
      </c>
      <c r="T2630" s="23" t="s">
        <v>1462</v>
      </c>
      <c r="U2630" s="32"/>
      <c r="V2630" s="6"/>
      <c r="W2630" s="35">
        <v>29.6868418</v>
      </c>
      <c r="X2630" s="35">
        <v>-95.2324833</v>
      </c>
      <c r="AA2630" s="33"/>
      <c r="AB2630" s="33"/>
      <c r="AC2630" s="39"/>
      <c r="AD2630" s="33"/>
      <c r="AE2630" s="33"/>
      <c r="AF2630" s="33"/>
      <c r="AG2630" s="33"/>
      <c r="AH2630" s="33"/>
      <c r="AI2630" s="33"/>
      <c r="AJ2630" s="33"/>
      <c r="AK2630" s="33"/>
      <c r="AL2630" s="33"/>
      <c r="AM2630" s="33"/>
      <c r="AN2630" s="33"/>
      <c r="AO2630" s="33"/>
    </row>
    <row r="2631" ht="15.75" customHeight="1">
      <c r="A2631" s="23">
        <v>52252.0</v>
      </c>
      <c r="B2631" s="23">
        <v>2023.0</v>
      </c>
      <c r="C2631" s="36" t="str">
        <f t="shared" si="7"/>
        <v>730 HOFFMAN ST,Houston,TX</v>
      </c>
      <c r="D2631" s="23" t="s">
        <v>3933</v>
      </c>
      <c r="E2631" s="6" t="s">
        <v>25</v>
      </c>
      <c r="F2631" s="6" t="s">
        <v>1388</v>
      </c>
      <c r="G2631" s="31" t="s">
        <v>86</v>
      </c>
      <c r="H2631" s="23" t="s">
        <v>50</v>
      </c>
      <c r="I2631" s="37" t="str">
        <f>VLOOKUP(H2631,'Flow Location'!$A$1:$B$21,2,FALSE)</f>
        <v>Contained On Site, not within 5 ft. of Bayou/Surface Water/Drainage Ditch</v>
      </c>
      <c r="J2631" s="28">
        <v>0.0</v>
      </c>
      <c r="K2631" s="23" t="s">
        <v>198</v>
      </c>
      <c r="L2631" s="37" t="str">
        <f>VLOOKUP(K2631,'Structure type'!$A$1:$B$15,2,FALSE)</f>
        <v>Service Lateral</v>
      </c>
      <c r="M2631" s="23" t="s">
        <v>30</v>
      </c>
      <c r="N2631" s="25" t="str">
        <f>VLOOKUP(M2631,'Excursion Cause'!$A$1:$B$34,2,FALSE)</f>
        <v>Grease Blockage</v>
      </c>
      <c r="O2631" s="29">
        <v>45054.0</v>
      </c>
      <c r="P2631" s="30">
        <v>0.7305555555555555</v>
      </c>
      <c r="Q2631" s="32">
        <v>45054.0</v>
      </c>
      <c r="R2631" s="30">
        <v>0.73125</v>
      </c>
      <c r="S2631" s="23">
        <v>0.0</v>
      </c>
      <c r="T2631" s="23" t="s">
        <v>3756</v>
      </c>
      <c r="U2631" s="32"/>
      <c r="V2631" s="6"/>
      <c r="W2631" s="35">
        <v>29.7754100999999</v>
      </c>
      <c r="X2631" s="35">
        <v>-95.310761</v>
      </c>
      <c r="AA2631" s="33"/>
      <c r="AB2631" s="33"/>
      <c r="AC2631" s="39"/>
      <c r="AD2631" s="33"/>
      <c r="AE2631" s="33"/>
      <c r="AF2631" s="33"/>
      <c r="AG2631" s="33"/>
      <c r="AH2631" s="33"/>
      <c r="AI2631" s="33"/>
      <c r="AJ2631" s="33"/>
      <c r="AK2631" s="33"/>
      <c r="AL2631" s="33"/>
      <c r="AM2631" s="33"/>
      <c r="AN2631" s="33"/>
      <c r="AO2631" s="33"/>
    </row>
    <row r="2632" ht="15.75" customHeight="1">
      <c r="A2632" s="23">
        <v>52259.0</v>
      </c>
      <c r="B2632" s="23">
        <v>2023.0</v>
      </c>
      <c r="C2632" s="36" t="str">
        <f t="shared" si="7"/>
        <v>10330 EASTEX FWY,Houston,TX</v>
      </c>
      <c r="D2632" s="23" t="s">
        <v>452</v>
      </c>
      <c r="E2632" s="6" t="s">
        <v>25</v>
      </c>
      <c r="F2632" s="6" t="s">
        <v>1388</v>
      </c>
      <c r="G2632" s="31" t="s">
        <v>109</v>
      </c>
      <c r="H2632" s="23" t="s">
        <v>28</v>
      </c>
      <c r="I2632" s="37" t="str">
        <f>VLOOKUP(H2632,'Flow Location'!$A$1:$B$21,2,FALSE)</f>
        <v>Storm Sewer (not contained)</v>
      </c>
      <c r="J2632" s="28">
        <v>25235.0</v>
      </c>
      <c r="K2632" s="23" t="s">
        <v>29</v>
      </c>
      <c r="L2632" s="37" t="str">
        <f>VLOOKUP(K2632,'Structure type'!$A$1:$B$15,2,FALSE)</f>
        <v>Manhole</v>
      </c>
      <c r="M2632" s="23" t="s">
        <v>1174</v>
      </c>
      <c r="N2632" s="25" t="str">
        <f>VLOOKUP(M2632,'Excursion Cause'!$A$1:$B$34,2,FALSE)</f>
        <v>Collection system wet weather</v>
      </c>
      <c r="O2632" s="29">
        <v>45055.0</v>
      </c>
      <c r="P2632" s="30">
        <v>0.48680555555555555</v>
      </c>
      <c r="Q2632" s="32">
        <v>45055.0</v>
      </c>
      <c r="R2632" s="30">
        <v>0.9201388888888888</v>
      </c>
      <c r="S2632" s="23">
        <v>40.0</v>
      </c>
      <c r="T2632" s="23" t="s">
        <v>3835</v>
      </c>
      <c r="U2632" s="32"/>
      <c r="V2632" s="6"/>
      <c r="W2632" s="35">
        <v>29.8616761</v>
      </c>
      <c r="X2632" s="35">
        <v>-95.3322146</v>
      </c>
      <c r="AA2632" s="33"/>
      <c r="AB2632" s="33"/>
      <c r="AC2632" s="39"/>
      <c r="AD2632" s="33"/>
      <c r="AE2632" s="33"/>
      <c r="AF2632" s="33"/>
      <c r="AG2632" s="33"/>
      <c r="AH2632" s="33"/>
      <c r="AI2632" s="33"/>
      <c r="AJ2632" s="33"/>
      <c r="AK2632" s="33"/>
      <c r="AL2632" s="33"/>
      <c r="AM2632" s="33"/>
      <c r="AN2632" s="33"/>
      <c r="AO2632" s="33"/>
    </row>
    <row r="2633" ht="15.75" customHeight="1">
      <c r="A2633" s="23">
        <v>52260.0</v>
      </c>
      <c r="B2633" s="23">
        <v>2023.0</v>
      </c>
      <c r="C2633" s="36" t="str">
        <f t="shared" si="7"/>
        <v>3426 PARKER RD,Houston,TX</v>
      </c>
      <c r="D2633" s="23" t="s">
        <v>449</v>
      </c>
      <c r="E2633" s="6" t="s">
        <v>25</v>
      </c>
      <c r="F2633" s="6" t="s">
        <v>1388</v>
      </c>
      <c r="G2633" s="31" t="s">
        <v>109</v>
      </c>
      <c r="H2633" s="23" t="s">
        <v>28</v>
      </c>
      <c r="I2633" s="37" t="str">
        <f>VLOOKUP(H2633,'Flow Location'!$A$1:$B$21,2,FALSE)</f>
        <v>Storm Sewer (not contained)</v>
      </c>
      <c r="J2633" s="28">
        <v>21690.0</v>
      </c>
      <c r="K2633" s="23" t="s">
        <v>29</v>
      </c>
      <c r="L2633" s="37" t="str">
        <f>VLOOKUP(K2633,'Structure type'!$A$1:$B$15,2,FALSE)</f>
        <v>Manhole</v>
      </c>
      <c r="M2633" s="23" t="s">
        <v>1174</v>
      </c>
      <c r="N2633" s="25" t="str">
        <f>VLOOKUP(M2633,'Excursion Cause'!$A$1:$B$34,2,FALSE)</f>
        <v>Collection system wet weather</v>
      </c>
      <c r="O2633" s="29">
        <v>45055.0</v>
      </c>
      <c r="P2633" s="30">
        <v>0.48819444444444443</v>
      </c>
      <c r="Q2633" s="32">
        <v>45055.0</v>
      </c>
      <c r="R2633" s="30">
        <v>0.9131944444444444</v>
      </c>
      <c r="S2633" s="23">
        <v>35.0</v>
      </c>
      <c r="T2633" s="23" t="s">
        <v>3835</v>
      </c>
      <c r="U2633" s="32"/>
      <c r="V2633" s="6"/>
      <c r="W2633" s="35">
        <v>29.8590295</v>
      </c>
      <c r="X2633" s="35">
        <v>-95.3352089999999</v>
      </c>
      <c r="AA2633" s="33"/>
      <c r="AB2633" s="33"/>
      <c r="AC2633" s="39"/>
      <c r="AD2633" s="33"/>
      <c r="AE2633" s="33"/>
      <c r="AF2633" s="33"/>
      <c r="AG2633" s="33"/>
      <c r="AH2633" s="33"/>
      <c r="AI2633" s="33"/>
      <c r="AJ2633" s="33"/>
      <c r="AK2633" s="33"/>
      <c r="AL2633" s="33"/>
      <c r="AM2633" s="33"/>
      <c r="AN2633" s="33"/>
      <c r="AO2633" s="33"/>
    </row>
    <row r="2634" ht="15.75" customHeight="1">
      <c r="A2634" s="23">
        <v>52261.0</v>
      </c>
      <c r="B2634" s="23">
        <v>2023.0</v>
      </c>
      <c r="C2634" s="36" t="str">
        <f t="shared" si="7"/>
        <v>3116 PARKER RD,Houston,TX</v>
      </c>
      <c r="D2634" s="23" t="s">
        <v>3934</v>
      </c>
      <c r="E2634" s="6" t="s">
        <v>25</v>
      </c>
      <c r="F2634" s="6" t="s">
        <v>1388</v>
      </c>
      <c r="G2634" s="31" t="s">
        <v>109</v>
      </c>
      <c r="H2634" s="23" t="s">
        <v>28</v>
      </c>
      <c r="I2634" s="37" t="str">
        <f>VLOOKUP(H2634,'Flow Location'!$A$1:$B$21,2,FALSE)</f>
        <v>Storm Sewer (not contained)</v>
      </c>
      <c r="J2634" s="28">
        <v>2695.0</v>
      </c>
      <c r="K2634" s="23" t="s">
        <v>29</v>
      </c>
      <c r="L2634" s="37" t="str">
        <f>VLOOKUP(K2634,'Structure type'!$A$1:$B$15,2,FALSE)</f>
        <v>Manhole</v>
      </c>
      <c r="M2634" s="23" t="s">
        <v>1174</v>
      </c>
      <c r="N2634" s="25" t="str">
        <f>VLOOKUP(M2634,'Excursion Cause'!$A$1:$B$34,2,FALSE)</f>
        <v>Collection system wet weather</v>
      </c>
      <c r="O2634" s="29">
        <v>45055.0</v>
      </c>
      <c r="P2634" s="30">
        <v>0.5222222222222223</v>
      </c>
      <c r="Q2634" s="32">
        <v>45055.0</v>
      </c>
      <c r="R2634" s="30">
        <v>0.6388888888888888</v>
      </c>
      <c r="S2634" s="23">
        <v>16.0</v>
      </c>
      <c r="T2634" s="23" t="s">
        <v>3835</v>
      </c>
      <c r="U2634" s="32"/>
      <c r="V2634" s="6"/>
      <c r="W2634" s="35">
        <v>29.8592151</v>
      </c>
      <c r="X2634" s="35">
        <v>-95.3389898</v>
      </c>
      <c r="AA2634" s="33"/>
      <c r="AB2634" s="33"/>
      <c r="AC2634" s="39"/>
      <c r="AD2634" s="33"/>
      <c r="AE2634" s="33"/>
      <c r="AF2634" s="33"/>
      <c r="AG2634" s="33"/>
      <c r="AH2634" s="33"/>
      <c r="AI2634" s="33"/>
      <c r="AJ2634" s="33"/>
      <c r="AK2634" s="33"/>
      <c r="AL2634" s="33"/>
      <c r="AM2634" s="33"/>
      <c r="AN2634" s="33"/>
      <c r="AO2634" s="33"/>
    </row>
    <row r="2635" ht="15.75" customHeight="1">
      <c r="A2635" s="23">
        <v>52263.0</v>
      </c>
      <c r="B2635" s="23">
        <v>2023.0</v>
      </c>
      <c r="C2635" s="36" t="str">
        <f t="shared" si="7"/>
        <v>12500 ALMEDA RD,Houston,TX</v>
      </c>
      <c r="D2635" s="23" t="s">
        <v>3935</v>
      </c>
      <c r="E2635" s="6" t="s">
        <v>25</v>
      </c>
      <c r="F2635" s="6" t="s">
        <v>1388</v>
      </c>
      <c r="G2635" s="31" t="s">
        <v>39</v>
      </c>
      <c r="H2635" s="23" t="s">
        <v>28</v>
      </c>
      <c r="I2635" s="37" t="str">
        <f>VLOOKUP(H2635,'Flow Location'!$A$1:$B$21,2,FALSE)</f>
        <v>Storm Sewer (not contained)</v>
      </c>
      <c r="J2635" s="28">
        <v>0.0</v>
      </c>
      <c r="K2635" s="23" t="s">
        <v>29</v>
      </c>
      <c r="L2635" s="37" t="str">
        <f>VLOOKUP(K2635,'Structure type'!$A$1:$B$15,2,FALSE)</f>
        <v>Manhole</v>
      </c>
      <c r="M2635" s="23" t="s">
        <v>3329</v>
      </c>
      <c r="N2635" s="25" t="str">
        <f>VLOOKUP(M2635,'Excursion Cause'!$A$1:$B$34,2,FALSE)</f>
        <v>Collection system temporary blockage</v>
      </c>
      <c r="O2635" s="29">
        <v>45055.0</v>
      </c>
      <c r="P2635" s="30">
        <v>0.5465277777777777</v>
      </c>
      <c r="Q2635" s="32">
        <v>45055.0</v>
      </c>
      <c r="R2635" s="30">
        <v>0.5472222222222223</v>
      </c>
      <c r="S2635" s="23">
        <v>0.0</v>
      </c>
      <c r="T2635" s="23" t="s">
        <v>3749</v>
      </c>
      <c r="U2635" s="32"/>
      <c r="V2635" s="6"/>
      <c r="W2635" s="35">
        <v>29.6268304</v>
      </c>
      <c r="X2635" s="35">
        <v>-95.4145578</v>
      </c>
      <c r="AA2635" s="33"/>
      <c r="AB2635" s="33"/>
      <c r="AC2635" s="39"/>
      <c r="AD2635" s="33"/>
      <c r="AE2635" s="33"/>
      <c r="AF2635" s="33"/>
      <c r="AG2635" s="33"/>
      <c r="AH2635" s="33"/>
      <c r="AI2635" s="33"/>
      <c r="AJ2635" s="33"/>
      <c r="AK2635" s="33"/>
      <c r="AL2635" s="33"/>
      <c r="AM2635" s="33"/>
      <c r="AN2635" s="33"/>
      <c r="AO2635" s="33"/>
    </row>
    <row r="2636" ht="15.75" customHeight="1">
      <c r="A2636" s="23">
        <v>52264.0</v>
      </c>
      <c r="B2636" s="23">
        <v>2023.0</v>
      </c>
      <c r="C2636" s="36" t="str">
        <f t="shared" si="7"/>
        <v>10330 EASTEX FWY,Houston,TX</v>
      </c>
      <c r="D2636" s="23" t="s">
        <v>452</v>
      </c>
      <c r="E2636" s="6" t="s">
        <v>25</v>
      </c>
      <c r="F2636" s="6" t="s">
        <v>1388</v>
      </c>
      <c r="G2636" s="31" t="s">
        <v>109</v>
      </c>
      <c r="H2636" s="23" t="s">
        <v>28</v>
      </c>
      <c r="I2636" s="37" t="str">
        <f>VLOOKUP(H2636,'Flow Location'!$A$1:$B$21,2,FALSE)</f>
        <v>Storm Sewer (not contained)</v>
      </c>
      <c r="J2636" s="28">
        <v>50260.0</v>
      </c>
      <c r="K2636" s="23" t="s">
        <v>29</v>
      </c>
      <c r="L2636" s="37" t="str">
        <f>VLOOKUP(K2636,'Structure type'!$A$1:$B$15,2,FALSE)</f>
        <v>Manhole</v>
      </c>
      <c r="M2636" s="23" t="s">
        <v>1174</v>
      </c>
      <c r="N2636" s="25" t="str">
        <f>VLOOKUP(M2636,'Excursion Cause'!$A$1:$B$34,2,FALSE)</f>
        <v>Collection system wet weather</v>
      </c>
      <c r="O2636" s="29">
        <v>45056.0</v>
      </c>
      <c r="P2636" s="30">
        <v>0.34930555555555554</v>
      </c>
      <c r="Q2636" s="32">
        <v>45057.0</v>
      </c>
      <c r="R2636" s="30">
        <v>0.06180555555555556</v>
      </c>
      <c r="S2636" s="23">
        <v>49.0</v>
      </c>
      <c r="T2636" s="23" t="s">
        <v>3835</v>
      </c>
      <c r="U2636" s="32"/>
      <c r="V2636" s="6"/>
      <c r="W2636" s="35">
        <v>29.8616761</v>
      </c>
      <c r="X2636" s="35">
        <v>-95.3322146</v>
      </c>
      <c r="AA2636" s="33"/>
      <c r="AB2636" s="33"/>
      <c r="AC2636" s="39"/>
      <c r="AD2636" s="33"/>
      <c r="AE2636" s="33"/>
      <c r="AF2636" s="33"/>
      <c r="AG2636" s="33"/>
      <c r="AH2636" s="33"/>
      <c r="AI2636" s="33"/>
      <c r="AJ2636" s="33"/>
      <c r="AK2636" s="33"/>
      <c r="AL2636" s="33"/>
      <c r="AM2636" s="33"/>
      <c r="AN2636" s="33"/>
      <c r="AO2636" s="33"/>
    </row>
    <row r="2637" ht="15.75" customHeight="1">
      <c r="A2637" s="23">
        <v>52265.0</v>
      </c>
      <c r="B2637" s="23">
        <v>2023.0</v>
      </c>
      <c r="C2637" s="36" t="str">
        <f t="shared" si="7"/>
        <v>3426 PARKER RD,Houston,TX</v>
      </c>
      <c r="D2637" s="23" t="s">
        <v>449</v>
      </c>
      <c r="E2637" s="6" t="s">
        <v>25</v>
      </c>
      <c r="F2637" s="6" t="s">
        <v>1388</v>
      </c>
      <c r="G2637" s="31" t="s">
        <v>109</v>
      </c>
      <c r="H2637" s="23" t="s">
        <v>28</v>
      </c>
      <c r="I2637" s="37" t="str">
        <f>VLOOKUP(H2637,'Flow Location'!$A$1:$B$21,2,FALSE)</f>
        <v>Storm Sewer (not contained)</v>
      </c>
      <c r="J2637" s="28">
        <v>20390.0</v>
      </c>
      <c r="K2637" s="23" t="s">
        <v>29</v>
      </c>
      <c r="L2637" s="37" t="str">
        <f>VLOOKUP(K2637,'Structure type'!$A$1:$B$15,2,FALSE)</f>
        <v>Manhole</v>
      </c>
      <c r="M2637" s="23" t="s">
        <v>1174</v>
      </c>
      <c r="N2637" s="25" t="str">
        <f>VLOOKUP(M2637,'Excursion Cause'!$A$1:$B$34,2,FALSE)</f>
        <v>Collection system wet weather</v>
      </c>
      <c r="O2637" s="29">
        <v>45056.0</v>
      </c>
      <c r="P2637" s="30">
        <v>0.35208333333333336</v>
      </c>
      <c r="Q2637" s="32">
        <v>45057.0</v>
      </c>
      <c r="R2637" s="30">
        <v>0.0625</v>
      </c>
      <c r="S2637" s="23">
        <v>20.0</v>
      </c>
      <c r="T2637" s="23" t="s">
        <v>3835</v>
      </c>
      <c r="U2637" s="32"/>
      <c r="V2637" s="6"/>
      <c r="W2637" s="35">
        <v>29.8590295</v>
      </c>
      <c r="X2637" s="35">
        <v>-95.3352089999999</v>
      </c>
      <c r="AA2637" s="33"/>
      <c r="AB2637" s="33"/>
      <c r="AC2637" s="39"/>
      <c r="AD2637" s="33"/>
      <c r="AE2637" s="33"/>
      <c r="AF2637" s="33"/>
      <c r="AG2637" s="33"/>
      <c r="AH2637" s="33"/>
      <c r="AI2637" s="33"/>
      <c r="AJ2637" s="33"/>
      <c r="AK2637" s="33"/>
      <c r="AL2637" s="33"/>
      <c r="AM2637" s="33"/>
      <c r="AN2637" s="33"/>
      <c r="AO2637" s="33"/>
    </row>
    <row r="2638" ht="15.75" customHeight="1">
      <c r="A2638" s="23">
        <v>52266.0</v>
      </c>
      <c r="B2638" s="23">
        <v>2023.0</v>
      </c>
      <c r="C2638" s="36" t="str">
        <f t="shared" si="7"/>
        <v>3200 PARKER RD,Houston,TX</v>
      </c>
      <c r="D2638" s="23" t="s">
        <v>630</v>
      </c>
      <c r="E2638" s="6" t="s">
        <v>25</v>
      </c>
      <c r="F2638" s="6" t="s">
        <v>1388</v>
      </c>
      <c r="G2638" s="31" t="s">
        <v>109</v>
      </c>
      <c r="H2638" s="23" t="s">
        <v>28</v>
      </c>
      <c r="I2638" s="37" t="str">
        <f>VLOOKUP(H2638,'Flow Location'!$A$1:$B$21,2,FALSE)</f>
        <v>Storm Sewer (not contained)</v>
      </c>
      <c r="J2638" s="28">
        <v>935.0</v>
      </c>
      <c r="K2638" s="23" t="s">
        <v>29</v>
      </c>
      <c r="L2638" s="37" t="str">
        <f>VLOOKUP(K2638,'Structure type'!$A$1:$B$15,2,FALSE)</f>
        <v>Manhole</v>
      </c>
      <c r="M2638" s="23" t="s">
        <v>1174</v>
      </c>
      <c r="N2638" s="25" t="str">
        <f>VLOOKUP(M2638,'Excursion Cause'!$A$1:$B$34,2,FALSE)</f>
        <v>Collection system wet weather</v>
      </c>
      <c r="O2638" s="29">
        <v>45056.0</v>
      </c>
      <c r="P2638" s="30">
        <v>0.3541666666666667</v>
      </c>
      <c r="Q2638" s="32">
        <v>45056.0</v>
      </c>
      <c r="R2638" s="30">
        <v>0.4840277777777778</v>
      </c>
      <c r="S2638" s="23">
        <v>5.0</v>
      </c>
      <c r="T2638" s="23" t="s">
        <v>3835</v>
      </c>
      <c r="U2638" s="32"/>
      <c r="V2638" s="6"/>
      <c r="W2638" s="35">
        <v>29.8593054</v>
      </c>
      <c r="X2638" s="35">
        <v>-95.3375903</v>
      </c>
      <c r="AA2638" s="33"/>
      <c r="AB2638" s="33"/>
      <c r="AC2638" s="39"/>
      <c r="AD2638" s="33"/>
      <c r="AE2638" s="33"/>
      <c r="AF2638" s="33"/>
      <c r="AG2638" s="33"/>
      <c r="AH2638" s="33"/>
      <c r="AI2638" s="33"/>
      <c r="AJ2638" s="33"/>
      <c r="AK2638" s="33"/>
      <c r="AL2638" s="33"/>
      <c r="AM2638" s="33"/>
      <c r="AN2638" s="33"/>
      <c r="AO2638" s="33"/>
    </row>
    <row r="2639" ht="15.75" customHeight="1">
      <c r="A2639" s="23">
        <v>52267.0</v>
      </c>
      <c r="B2639" s="23">
        <v>2023.0</v>
      </c>
      <c r="C2639" s="36" t="str">
        <f t="shared" si="7"/>
        <v>3116 PARKER RD,Houston,TX</v>
      </c>
      <c r="D2639" s="23" t="s">
        <v>3934</v>
      </c>
      <c r="E2639" s="6" t="s">
        <v>25</v>
      </c>
      <c r="F2639" s="6" t="s">
        <v>1388</v>
      </c>
      <c r="G2639" s="31" t="s">
        <v>109</v>
      </c>
      <c r="H2639" s="23" t="s">
        <v>28</v>
      </c>
      <c r="I2639" s="37" t="str">
        <f>VLOOKUP(H2639,'Flow Location'!$A$1:$B$21,2,FALSE)</f>
        <v>Storm Sewer (not contained)</v>
      </c>
      <c r="J2639" s="28">
        <v>930.0</v>
      </c>
      <c r="K2639" s="23" t="s">
        <v>29</v>
      </c>
      <c r="L2639" s="37" t="str">
        <f>VLOOKUP(K2639,'Structure type'!$A$1:$B$15,2,FALSE)</f>
        <v>Manhole</v>
      </c>
      <c r="M2639" s="23" t="s">
        <v>1174</v>
      </c>
      <c r="N2639" s="25" t="str">
        <f>VLOOKUP(M2639,'Excursion Cause'!$A$1:$B$34,2,FALSE)</f>
        <v>Collection system wet weather</v>
      </c>
      <c r="O2639" s="29">
        <v>45056.0</v>
      </c>
      <c r="P2639" s="30">
        <v>0.3548611111111111</v>
      </c>
      <c r="Q2639" s="32">
        <v>45056.0</v>
      </c>
      <c r="R2639" s="30">
        <v>0.4840277777777778</v>
      </c>
      <c r="S2639" s="23">
        <v>5.0</v>
      </c>
      <c r="T2639" s="23" t="s">
        <v>3835</v>
      </c>
      <c r="U2639" s="32"/>
      <c r="V2639" s="6"/>
      <c r="W2639" s="35">
        <v>29.8592151</v>
      </c>
      <c r="X2639" s="35">
        <v>-95.3389898</v>
      </c>
      <c r="AA2639" s="33"/>
      <c r="AB2639" s="33"/>
      <c r="AC2639" s="39"/>
      <c r="AD2639" s="33"/>
      <c r="AE2639" s="33"/>
      <c r="AF2639" s="33"/>
      <c r="AG2639" s="33"/>
      <c r="AH2639" s="33"/>
      <c r="AI2639" s="33"/>
      <c r="AJ2639" s="33"/>
      <c r="AK2639" s="33"/>
      <c r="AL2639" s="33"/>
      <c r="AM2639" s="33"/>
      <c r="AN2639" s="33"/>
      <c r="AO2639" s="33"/>
    </row>
    <row r="2640" ht="15.75" customHeight="1">
      <c r="A2640" s="23">
        <v>52268.0</v>
      </c>
      <c r="B2640" s="23">
        <v>2023.0</v>
      </c>
      <c r="C2640" s="36" t="str">
        <f t="shared" si="7"/>
        <v>4701 PEASE ST,Houston,TX</v>
      </c>
      <c r="D2640" s="23" t="s">
        <v>738</v>
      </c>
      <c r="E2640" s="6" t="s">
        <v>25</v>
      </c>
      <c r="F2640" s="6" t="s">
        <v>1388</v>
      </c>
      <c r="G2640" s="31" t="s">
        <v>141</v>
      </c>
      <c r="H2640" s="23" t="s">
        <v>28</v>
      </c>
      <c r="I2640" s="37" t="str">
        <f>VLOOKUP(H2640,'Flow Location'!$A$1:$B$21,2,FALSE)</f>
        <v>Storm Sewer (not contained)</v>
      </c>
      <c r="J2640" s="28">
        <v>9804.0</v>
      </c>
      <c r="K2640" s="23" t="s">
        <v>29</v>
      </c>
      <c r="L2640" s="37" t="str">
        <f>VLOOKUP(K2640,'Structure type'!$A$1:$B$15,2,FALSE)</f>
        <v>Manhole</v>
      </c>
      <c r="M2640" s="23" t="s">
        <v>1174</v>
      </c>
      <c r="N2640" s="25" t="str">
        <f>VLOOKUP(M2640,'Excursion Cause'!$A$1:$B$34,2,FALSE)</f>
        <v>Collection system wet weather</v>
      </c>
      <c r="O2640" s="29">
        <v>45056.0</v>
      </c>
      <c r="P2640" s="30">
        <v>0.3729166666666667</v>
      </c>
      <c r="Q2640" s="32">
        <v>45056.0</v>
      </c>
      <c r="R2640" s="30">
        <v>0.56875</v>
      </c>
      <c r="S2640" s="23">
        <v>35.0</v>
      </c>
      <c r="T2640" s="23" t="s">
        <v>118</v>
      </c>
      <c r="U2640" s="32"/>
      <c r="V2640" s="6"/>
      <c r="W2640" s="35">
        <v>29.7339611</v>
      </c>
      <c r="X2640" s="35">
        <v>-95.3320437</v>
      </c>
      <c r="AA2640" s="33"/>
      <c r="AB2640" s="33"/>
      <c r="AC2640" s="39"/>
      <c r="AD2640" s="33"/>
      <c r="AE2640" s="33"/>
      <c r="AF2640" s="33"/>
      <c r="AG2640" s="33"/>
      <c r="AH2640" s="33"/>
      <c r="AI2640" s="33"/>
      <c r="AJ2640" s="33"/>
      <c r="AK2640" s="33"/>
      <c r="AL2640" s="33"/>
      <c r="AM2640" s="33"/>
      <c r="AN2640" s="33"/>
      <c r="AO2640" s="33"/>
    </row>
    <row r="2641" ht="15.75" customHeight="1">
      <c r="A2641" s="23">
        <v>52269.0</v>
      </c>
      <c r="B2641" s="23">
        <v>2023.0</v>
      </c>
      <c r="C2641" s="36" t="str">
        <f t="shared" si="7"/>
        <v>10231 PALM SHADOWS ST,Houston,TX</v>
      </c>
      <c r="D2641" s="23" t="s">
        <v>3936</v>
      </c>
      <c r="E2641" s="6" t="s">
        <v>25</v>
      </c>
      <c r="F2641" s="6" t="s">
        <v>1388</v>
      </c>
      <c r="G2641" s="31" t="s">
        <v>95</v>
      </c>
      <c r="H2641" s="23" t="s">
        <v>44</v>
      </c>
      <c r="I2641" s="37" t="str">
        <f>VLOOKUP(H2641,'Flow Location'!$A$1:$B$21,2,FALSE)</f>
        <v>Bayou/surface water/drainage ditch</v>
      </c>
      <c r="J2641" s="28">
        <v>0.0</v>
      </c>
      <c r="K2641" s="23" t="s">
        <v>51</v>
      </c>
      <c r="L2641" s="37" t="str">
        <f>VLOOKUP(K2641,'Structure type'!$A$1:$B$15,2,FALSE)</f>
        <v>Private Cleanout</v>
      </c>
      <c r="M2641" s="23" t="s">
        <v>81</v>
      </c>
      <c r="N2641" s="25" t="str">
        <f>VLOOKUP(M2641,'Excursion Cause'!$A$1:$B$34,2,FALSE)</f>
        <v>Collection system structural failure</v>
      </c>
      <c r="O2641" s="29">
        <v>45056.0</v>
      </c>
      <c r="P2641" s="30">
        <v>0.37430555555555556</v>
      </c>
      <c r="Q2641" s="32">
        <v>45056.0</v>
      </c>
      <c r="R2641" s="30">
        <v>0.375</v>
      </c>
      <c r="S2641" s="23">
        <v>0.0</v>
      </c>
      <c r="T2641" s="23" t="s">
        <v>1391</v>
      </c>
      <c r="U2641" s="32"/>
      <c r="V2641" s="6"/>
      <c r="W2641" s="35">
        <v>29.6174316</v>
      </c>
      <c r="X2641" s="35">
        <v>-95.2802126</v>
      </c>
      <c r="AA2641" s="33"/>
      <c r="AB2641" s="33"/>
      <c r="AC2641" s="39"/>
      <c r="AD2641" s="33"/>
      <c r="AE2641" s="33"/>
      <c r="AF2641" s="33"/>
      <c r="AG2641" s="33"/>
      <c r="AH2641" s="33"/>
      <c r="AI2641" s="33"/>
      <c r="AJ2641" s="33"/>
      <c r="AK2641" s="33"/>
      <c r="AL2641" s="33"/>
      <c r="AM2641" s="33"/>
      <c r="AN2641" s="33"/>
      <c r="AO2641" s="33"/>
    </row>
    <row r="2642" ht="15.75" customHeight="1">
      <c r="A2642" s="23">
        <v>52270.0</v>
      </c>
      <c r="B2642" s="23">
        <v>2023.0</v>
      </c>
      <c r="C2642" s="36" t="str">
        <f t="shared" si="7"/>
        <v>1006 HACKNEY ST,Houston,TX</v>
      </c>
      <c r="D2642" s="23" t="s">
        <v>792</v>
      </c>
      <c r="E2642" s="6" t="s">
        <v>25</v>
      </c>
      <c r="F2642" s="6" t="s">
        <v>1388</v>
      </c>
      <c r="G2642" s="31" t="s">
        <v>141</v>
      </c>
      <c r="H2642" s="23" t="s">
        <v>28</v>
      </c>
      <c r="I2642" s="37" t="str">
        <f>VLOOKUP(H2642,'Flow Location'!$A$1:$B$21,2,FALSE)</f>
        <v>Storm Sewer (not contained)</v>
      </c>
      <c r="J2642" s="28">
        <v>3780.0</v>
      </c>
      <c r="K2642" s="23" t="s">
        <v>29</v>
      </c>
      <c r="L2642" s="37" t="str">
        <f>VLOOKUP(K2642,'Structure type'!$A$1:$B$15,2,FALSE)</f>
        <v>Manhole</v>
      </c>
      <c r="M2642" s="23" t="s">
        <v>1174</v>
      </c>
      <c r="N2642" s="25" t="str">
        <f>VLOOKUP(M2642,'Excursion Cause'!$A$1:$B$34,2,FALSE)</f>
        <v>Collection system wet weather</v>
      </c>
      <c r="O2642" s="29">
        <v>45056.0</v>
      </c>
      <c r="P2642" s="30">
        <v>0.3840277777777778</v>
      </c>
      <c r="Q2642" s="32">
        <v>45056.0</v>
      </c>
      <c r="R2642" s="30">
        <v>0.5152777777777777</v>
      </c>
      <c r="S2642" s="23">
        <v>20.0</v>
      </c>
      <c r="T2642" s="23" t="s">
        <v>118</v>
      </c>
      <c r="U2642" s="32"/>
      <c r="V2642" s="6"/>
      <c r="W2642" s="35">
        <v>29.7300828</v>
      </c>
      <c r="X2642" s="35">
        <v>-95.3176786</v>
      </c>
      <c r="AA2642" s="33"/>
      <c r="AB2642" s="33"/>
      <c r="AC2642" s="39"/>
      <c r="AD2642" s="33"/>
      <c r="AE2642" s="33"/>
      <c r="AF2642" s="33"/>
      <c r="AG2642" s="33"/>
      <c r="AH2642" s="33"/>
      <c r="AI2642" s="33"/>
      <c r="AJ2642" s="33"/>
      <c r="AK2642" s="33"/>
      <c r="AL2642" s="33"/>
      <c r="AM2642" s="33"/>
      <c r="AN2642" s="33"/>
      <c r="AO2642" s="33"/>
    </row>
    <row r="2643" ht="15.75" customHeight="1">
      <c r="A2643" s="23">
        <v>52271.0</v>
      </c>
      <c r="B2643" s="23">
        <v>2023.0</v>
      </c>
      <c r="C2643" s="36" t="str">
        <f t="shared" si="7"/>
        <v>6335 BROOKSIDE DR,Houston,TX</v>
      </c>
      <c r="D2643" s="23" t="s">
        <v>793</v>
      </c>
      <c r="E2643" s="6" t="s">
        <v>25</v>
      </c>
      <c r="F2643" s="6" t="s">
        <v>1388</v>
      </c>
      <c r="G2643" s="31" t="s">
        <v>141</v>
      </c>
      <c r="H2643" s="23" t="s">
        <v>28</v>
      </c>
      <c r="I2643" s="37" t="str">
        <f>VLOOKUP(H2643,'Flow Location'!$A$1:$B$21,2,FALSE)</f>
        <v>Storm Sewer (not contained)</v>
      </c>
      <c r="J2643" s="28">
        <v>2928.0</v>
      </c>
      <c r="K2643" s="23" t="s">
        <v>29</v>
      </c>
      <c r="L2643" s="37" t="str">
        <f>VLOOKUP(K2643,'Structure type'!$A$1:$B$15,2,FALSE)</f>
        <v>Manhole</v>
      </c>
      <c r="M2643" s="23" t="s">
        <v>1174</v>
      </c>
      <c r="N2643" s="25" t="str">
        <f>VLOOKUP(M2643,'Excursion Cause'!$A$1:$B$34,2,FALSE)</f>
        <v>Collection system wet weather</v>
      </c>
      <c r="O2643" s="29">
        <v>45056.0</v>
      </c>
      <c r="P2643" s="30">
        <v>0.38819444444444445</v>
      </c>
      <c r="Q2643" s="32">
        <v>45056.0</v>
      </c>
      <c r="R2643" s="30">
        <v>0.5152777777777777</v>
      </c>
      <c r="S2643" s="23">
        <v>16.0</v>
      </c>
      <c r="T2643" s="23" t="s">
        <v>3835</v>
      </c>
      <c r="U2643" s="32"/>
      <c r="V2643" s="6"/>
      <c r="W2643" s="35">
        <v>29.7297384</v>
      </c>
      <c r="X2643" s="35">
        <v>-95.3154347</v>
      </c>
      <c r="AA2643" s="33"/>
      <c r="AB2643" s="33"/>
      <c r="AC2643" s="39"/>
      <c r="AD2643" s="33"/>
      <c r="AE2643" s="33"/>
      <c r="AF2643" s="33"/>
      <c r="AG2643" s="33"/>
      <c r="AH2643" s="33"/>
      <c r="AI2643" s="33"/>
      <c r="AJ2643" s="33"/>
      <c r="AK2643" s="33"/>
      <c r="AL2643" s="33"/>
      <c r="AM2643" s="33"/>
      <c r="AN2643" s="33"/>
      <c r="AO2643" s="33"/>
    </row>
    <row r="2644" ht="15.75" customHeight="1">
      <c r="A2644" s="23">
        <v>52273.0</v>
      </c>
      <c r="B2644" s="23">
        <v>2023.0</v>
      </c>
      <c r="C2644" s="36" t="str">
        <f t="shared" si="7"/>
        <v>1300 WAYSIDE DR,Houston,TX</v>
      </c>
      <c r="D2644" s="23" t="s">
        <v>3937</v>
      </c>
      <c r="E2644" s="6" t="s">
        <v>25</v>
      </c>
      <c r="F2644" s="6" t="s">
        <v>1388</v>
      </c>
      <c r="G2644" s="31" t="s">
        <v>227</v>
      </c>
      <c r="H2644" s="23" t="s">
        <v>28</v>
      </c>
      <c r="I2644" s="37" t="str">
        <f>VLOOKUP(H2644,'Flow Location'!$A$1:$B$21,2,FALSE)</f>
        <v>Storm Sewer (not contained)</v>
      </c>
      <c r="J2644" s="28">
        <v>9720.0</v>
      </c>
      <c r="K2644" s="23" t="s">
        <v>29</v>
      </c>
      <c r="L2644" s="37" t="str">
        <f>VLOOKUP(K2644,'Structure type'!$A$1:$B$15,2,FALSE)</f>
        <v>Manhole</v>
      </c>
      <c r="M2644" s="23" t="s">
        <v>1174</v>
      </c>
      <c r="N2644" s="25" t="str">
        <f>VLOOKUP(M2644,'Excursion Cause'!$A$1:$B$34,2,FALSE)</f>
        <v>Collection system wet weather</v>
      </c>
      <c r="O2644" s="29">
        <v>45056.0</v>
      </c>
      <c r="P2644" s="30">
        <v>0.40625</v>
      </c>
      <c r="Q2644" s="32">
        <v>45056.0</v>
      </c>
      <c r="R2644" s="30">
        <v>0.6263888888888889</v>
      </c>
      <c r="S2644" s="23">
        <v>31.0</v>
      </c>
      <c r="T2644" s="23" t="s">
        <v>3835</v>
      </c>
      <c r="U2644" s="32"/>
      <c r="V2644" s="6"/>
      <c r="W2644" s="35">
        <v>29.7453249</v>
      </c>
      <c r="X2644" s="35">
        <v>-95.3023676999999</v>
      </c>
      <c r="AA2644" s="33"/>
      <c r="AB2644" s="33"/>
      <c r="AC2644" s="39"/>
      <c r="AD2644" s="33"/>
      <c r="AE2644" s="33"/>
      <c r="AF2644" s="33"/>
      <c r="AG2644" s="33"/>
      <c r="AH2644" s="33"/>
      <c r="AI2644" s="33"/>
      <c r="AJ2644" s="33"/>
      <c r="AK2644" s="33"/>
      <c r="AL2644" s="33"/>
      <c r="AM2644" s="33"/>
      <c r="AN2644" s="33"/>
      <c r="AO2644" s="33"/>
    </row>
    <row r="2645" ht="15.75" customHeight="1">
      <c r="A2645" s="23">
        <v>52274.0</v>
      </c>
      <c r="B2645" s="23">
        <v>2023.0</v>
      </c>
      <c r="C2645" s="36" t="str">
        <f t="shared" si="7"/>
        <v>6800 LYONS AVE,Houston,TX</v>
      </c>
      <c r="D2645" s="23" t="s">
        <v>3938</v>
      </c>
      <c r="E2645" s="6" t="s">
        <v>25</v>
      </c>
      <c r="F2645" s="6" t="s">
        <v>1388</v>
      </c>
      <c r="G2645" s="31" t="s">
        <v>86</v>
      </c>
      <c r="H2645" s="23" t="s">
        <v>28</v>
      </c>
      <c r="I2645" s="37" t="str">
        <f>VLOOKUP(H2645,'Flow Location'!$A$1:$B$21,2,FALSE)</f>
        <v>Storm Sewer (not contained)</v>
      </c>
      <c r="J2645" s="28">
        <v>4480.0</v>
      </c>
      <c r="K2645" s="23" t="s">
        <v>29</v>
      </c>
      <c r="L2645" s="37" t="str">
        <f>VLOOKUP(K2645,'Structure type'!$A$1:$B$15,2,FALSE)</f>
        <v>Manhole</v>
      </c>
      <c r="M2645" s="23" t="s">
        <v>1174</v>
      </c>
      <c r="N2645" s="25" t="str">
        <f>VLOOKUP(M2645,'Excursion Cause'!$A$1:$B$34,2,FALSE)</f>
        <v>Collection system wet weather</v>
      </c>
      <c r="O2645" s="29">
        <v>45056.0</v>
      </c>
      <c r="P2645" s="30">
        <v>0.4222222222222222</v>
      </c>
      <c r="Q2645" s="32">
        <v>45056.0</v>
      </c>
      <c r="R2645" s="30">
        <v>0.6263888888888889</v>
      </c>
      <c r="S2645" s="23">
        <v>15.0</v>
      </c>
      <c r="T2645" s="23" t="s">
        <v>118</v>
      </c>
      <c r="U2645" s="32"/>
      <c r="V2645" s="6"/>
      <c r="W2645" s="35">
        <v>29.7763152</v>
      </c>
      <c r="X2645" s="35">
        <v>-95.3018278999999</v>
      </c>
      <c r="AA2645" s="33"/>
      <c r="AB2645" s="33"/>
      <c r="AC2645" s="39"/>
      <c r="AD2645" s="33"/>
      <c r="AE2645" s="33"/>
      <c r="AF2645" s="33"/>
      <c r="AG2645" s="33"/>
      <c r="AH2645" s="33"/>
      <c r="AI2645" s="33"/>
      <c r="AJ2645" s="33"/>
      <c r="AK2645" s="33"/>
      <c r="AL2645" s="33"/>
      <c r="AM2645" s="33"/>
      <c r="AN2645" s="33"/>
      <c r="AO2645" s="33"/>
    </row>
    <row r="2646" ht="15.75" customHeight="1">
      <c r="A2646" s="23">
        <v>52275.0</v>
      </c>
      <c r="B2646" s="23">
        <v>2023.0</v>
      </c>
      <c r="C2646" s="36" t="str">
        <f t="shared" si="7"/>
        <v>1606 BRAESWOOD BLVD,Houston,TX</v>
      </c>
      <c r="D2646" s="23" t="s">
        <v>3939</v>
      </c>
      <c r="E2646" s="6" t="s">
        <v>25</v>
      </c>
      <c r="F2646" s="6" t="s">
        <v>1388</v>
      </c>
      <c r="G2646" s="31" t="s">
        <v>512</v>
      </c>
      <c r="H2646" s="23" t="s">
        <v>87</v>
      </c>
      <c r="I2646" s="37" t="str">
        <f>VLOOKUP(H2646,'Flow Location'!$A$1:$B$21,2,FALSE)</f>
        <v>Within 5 ft. of Bayou/Surface Water/Drainage Ditch</v>
      </c>
      <c r="J2646" s="28">
        <v>13240.0</v>
      </c>
      <c r="K2646" s="23" t="s">
        <v>29</v>
      </c>
      <c r="L2646" s="37" t="str">
        <f>VLOOKUP(K2646,'Structure type'!$A$1:$B$15,2,FALSE)</f>
        <v>Manhole</v>
      </c>
      <c r="M2646" s="23" t="s">
        <v>1174</v>
      </c>
      <c r="N2646" s="25" t="str">
        <f>VLOOKUP(M2646,'Excursion Cause'!$A$1:$B$34,2,FALSE)</f>
        <v>Collection system wet weather</v>
      </c>
      <c r="O2646" s="29">
        <v>45056.0</v>
      </c>
      <c r="P2646" s="30">
        <v>0.45069444444444445</v>
      </c>
      <c r="Q2646" s="32">
        <v>45057.0</v>
      </c>
      <c r="R2646" s="30">
        <v>0.37083333333333335</v>
      </c>
      <c r="S2646" s="23">
        <v>10.0</v>
      </c>
      <c r="T2646" s="23" t="s">
        <v>118</v>
      </c>
      <c r="U2646" s="32"/>
      <c r="V2646" s="6"/>
      <c r="W2646" s="35">
        <v>29.7039511</v>
      </c>
      <c r="X2646" s="35">
        <v>-95.3958174999999</v>
      </c>
      <c r="AA2646" s="33"/>
      <c r="AB2646" s="33"/>
      <c r="AC2646" s="39"/>
      <c r="AD2646" s="33"/>
      <c r="AE2646" s="33"/>
      <c r="AF2646" s="33"/>
      <c r="AG2646" s="33"/>
      <c r="AH2646" s="33"/>
      <c r="AI2646" s="33"/>
      <c r="AJ2646" s="33"/>
      <c r="AK2646" s="33"/>
      <c r="AL2646" s="33"/>
      <c r="AM2646" s="33"/>
      <c r="AN2646" s="33"/>
      <c r="AO2646" s="33"/>
    </row>
    <row r="2647" ht="15.75" customHeight="1">
      <c r="A2647" s="23">
        <v>52277.0</v>
      </c>
      <c r="B2647" s="23">
        <v>2023.0</v>
      </c>
      <c r="C2647" s="36" t="str">
        <f t="shared" si="7"/>
        <v>9714 BRAESMONT DR,Houston,TX</v>
      </c>
      <c r="D2647" s="23" t="s">
        <v>3940</v>
      </c>
      <c r="E2647" s="6" t="s">
        <v>25</v>
      </c>
      <c r="F2647" s="6" t="s">
        <v>1388</v>
      </c>
      <c r="G2647" s="31" t="s">
        <v>69</v>
      </c>
      <c r="H2647" s="23" t="s">
        <v>28</v>
      </c>
      <c r="I2647" s="37" t="str">
        <f>VLOOKUP(H2647,'Flow Location'!$A$1:$B$21,2,FALSE)</f>
        <v>Storm Sewer (not contained)</v>
      </c>
      <c r="J2647" s="28">
        <v>12200.0</v>
      </c>
      <c r="K2647" s="23" t="s">
        <v>29</v>
      </c>
      <c r="L2647" s="37" t="str">
        <f>VLOOKUP(K2647,'Structure type'!$A$1:$B$15,2,FALSE)</f>
        <v>Manhole</v>
      </c>
      <c r="M2647" s="23" t="s">
        <v>764</v>
      </c>
      <c r="N2647" s="25" t="str">
        <f>VLOOKUP(M2647,'Excursion Cause'!$A$1:$B$34,2,FALSE)</f>
        <v>Power Outage</v>
      </c>
      <c r="O2647" s="29">
        <v>45056.0</v>
      </c>
      <c r="P2647" s="30">
        <v>0.5381944444444444</v>
      </c>
      <c r="Q2647" s="32">
        <v>45057.0</v>
      </c>
      <c r="R2647" s="30">
        <v>0.3861111111111111</v>
      </c>
      <c r="S2647" s="23">
        <v>10.0</v>
      </c>
      <c r="T2647" s="23" t="s">
        <v>118</v>
      </c>
      <c r="U2647" s="32"/>
      <c r="V2647" s="6"/>
      <c r="W2647" s="35">
        <v>29.6752305</v>
      </c>
      <c r="X2647" s="35">
        <v>-95.4801773</v>
      </c>
      <c r="AA2647" s="33"/>
      <c r="AB2647" s="33"/>
      <c r="AC2647" s="39"/>
      <c r="AD2647" s="33"/>
      <c r="AE2647" s="33"/>
      <c r="AF2647" s="33"/>
      <c r="AG2647" s="33"/>
      <c r="AH2647" s="33"/>
      <c r="AI2647" s="33"/>
      <c r="AJ2647" s="33"/>
      <c r="AK2647" s="33"/>
      <c r="AL2647" s="33"/>
      <c r="AM2647" s="33"/>
      <c r="AN2647" s="33"/>
      <c r="AO2647" s="33"/>
    </row>
    <row r="2648" ht="15.75" customHeight="1">
      <c r="A2648" s="23">
        <v>52278.0</v>
      </c>
      <c r="B2648" s="23">
        <v>2023.0</v>
      </c>
      <c r="C2648" s="36" t="str">
        <f t="shared" si="7"/>
        <v>3601 TELEPHONE RD,Houston,TX</v>
      </c>
      <c r="D2648" s="23" t="s">
        <v>436</v>
      </c>
      <c r="E2648" s="6" t="s">
        <v>25</v>
      </c>
      <c r="F2648" s="6" t="s">
        <v>1388</v>
      </c>
      <c r="G2648" s="31" t="s">
        <v>141</v>
      </c>
      <c r="H2648" s="23" t="s">
        <v>1977</v>
      </c>
      <c r="I2648" s="37" t="str">
        <f>VLOOKUP(H2648,'Flow Location'!$A$1:$B$21,2,FALSE)</f>
        <v>Bayou/surface water/drainage ditch</v>
      </c>
      <c r="J2648" s="28">
        <v>6300.0</v>
      </c>
      <c r="K2648" s="23" t="s">
        <v>29</v>
      </c>
      <c r="L2648" s="37" t="str">
        <f>VLOOKUP(K2648,'Structure type'!$A$1:$B$15,2,FALSE)</f>
        <v>Manhole</v>
      </c>
      <c r="M2648" s="23" t="s">
        <v>764</v>
      </c>
      <c r="N2648" s="25" t="str">
        <f>VLOOKUP(M2648,'Excursion Cause'!$A$1:$B$34,2,FALSE)</f>
        <v>Power Outage</v>
      </c>
      <c r="O2648" s="29">
        <v>45056.0</v>
      </c>
      <c r="P2648" s="30">
        <v>0.5430555555555555</v>
      </c>
      <c r="Q2648" s="32">
        <v>45056.0</v>
      </c>
      <c r="R2648" s="30">
        <v>0.6305555555555555</v>
      </c>
      <c r="S2648" s="23">
        <v>50.0</v>
      </c>
      <c r="T2648" s="23" t="s">
        <v>1391</v>
      </c>
      <c r="U2648" s="32"/>
      <c r="V2648" s="6"/>
      <c r="W2648" s="35">
        <v>29.7082949</v>
      </c>
      <c r="X2648" s="35">
        <v>-95.312416</v>
      </c>
      <c r="AA2648" s="33"/>
      <c r="AB2648" s="33"/>
      <c r="AC2648" s="39"/>
      <c r="AD2648" s="33"/>
      <c r="AE2648" s="33"/>
      <c r="AF2648" s="33"/>
      <c r="AG2648" s="33"/>
      <c r="AH2648" s="33"/>
      <c r="AI2648" s="33"/>
      <c r="AJ2648" s="33"/>
      <c r="AK2648" s="33"/>
      <c r="AL2648" s="33"/>
      <c r="AM2648" s="33"/>
      <c r="AN2648" s="33"/>
      <c r="AO2648" s="33"/>
    </row>
    <row r="2649" ht="15.75" customHeight="1">
      <c r="A2649" s="23">
        <v>52283.0</v>
      </c>
      <c r="B2649" s="23">
        <v>2023.0</v>
      </c>
      <c r="C2649" s="36" t="str">
        <f t="shared" si="7"/>
        <v>2727 BRIARHURST DR,Houston,TX</v>
      </c>
      <c r="D2649" s="23" t="s">
        <v>2211</v>
      </c>
      <c r="E2649" s="6" t="s">
        <v>25</v>
      </c>
      <c r="F2649" s="6" t="s">
        <v>1388</v>
      </c>
      <c r="G2649" s="31" t="s">
        <v>689</v>
      </c>
      <c r="H2649" s="23" t="s">
        <v>50</v>
      </c>
      <c r="I2649" s="37" t="str">
        <f>VLOOKUP(H2649,'Flow Location'!$A$1:$B$21,2,FALSE)</f>
        <v>Contained On Site, not within 5 ft. of Bayou/Surface Water/Drainage Ditch</v>
      </c>
      <c r="J2649" s="28">
        <v>0.0</v>
      </c>
      <c r="K2649" s="23" t="s">
        <v>51</v>
      </c>
      <c r="L2649" s="37" t="str">
        <f>VLOOKUP(K2649,'Structure type'!$A$1:$B$15,2,FALSE)</f>
        <v>Private Cleanout</v>
      </c>
      <c r="M2649" s="23" t="s">
        <v>30</v>
      </c>
      <c r="N2649" s="25" t="str">
        <f>VLOOKUP(M2649,'Excursion Cause'!$A$1:$B$34,2,FALSE)</f>
        <v>Grease Blockage</v>
      </c>
      <c r="O2649" s="29">
        <v>45057.0</v>
      </c>
      <c r="P2649" s="30">
        <v>0.31180555555555556</v>
      </c>
      <c r="Q2649" s="32">
        <v>45057.0</v>
      </c>
      <c r="R2649" s="30">
        <v>0.3125</v>
      </c>
      <c r="S2649" s="23">
        <v>0.0</v>
      </c>
      <c r="T2649" s="23" t="s">
        <v>3749</v>
      </c>
      <c r="U2649" s="32"/>
      <c r="V2649" s="6"/>
      <c r="W2649" s="35">
        <v>29.7365756</v>
      </c>
      <c r="X2649" s="35">
        <v>-95.4924463</v>
      </c>
      <c r="AA2649" s="33"/>
      <c r="AB2649" s="33"/>
      <c r="AC2649" s="39"/>
      <c r="AD2649" s="33"/>
      <c r="AE2649" s="33"/>
      <c r="AF2649" s="33"/>
      <c r="AG2649" s="33"/>
      <c r="AH2649" s="33"/>
      <c r="AI2649" s="33"/>
      <c r="AJ2649" s="33"/>
      <c r="AK2649" s="33"/>
      <c r="AL2649" s="33"/>
      <c r="AM2649" s="33"/>
      <c r="AN2649" s="33"/>
      <c r="AO2649" s="33"/>
    </row>
    <row r="2650" ht="15.75" customHeight="1">
      <c r="A2650" s="23">
        <v>52284.0</v>
      </c>
      <c r="B2650" s="23">
        <v>2023.0</v>
      </c>
      <c r="C2650" s="36" t="str">
        <f t="shared" si="7"/>
        <v>1424 WRIGHTWOOD ST,Houston,TX</v>
      </c>
      <c r="D2650" s="23" t="s">
        <v>456</v>
      </c>
      <c r="E2650" s="6" t="s">
        <v>25</v>
      </c>
      <c r="F2650" s="6" t="s">
        <v>1388</v>
      </c>
      <c r="G2650" s="31" t="s">
        <v>161</v>
      </c>
      <c r="H2650" s="23" t="s">
        <v>28</v>
      </c>
      <c r="I2650" s="37" t="str">
        <f>VLOOKUP(H2650,'Flow Location'!$A$1:$B$21,2,FALSE)</f>
        <v>Storm Sewer (not contained)</v>
      </c>
      <c r="J2650" s="28">
        <v>9200.0</v>
      </c>
      <c r="K2650" s="23" t="s">
        <v>29</v>
      </c>
      <c r="L2650" s="37" t="str">
        <f>VLOOKUP(K2650,'Structure type'!$A$1:$B$15,2,FALSE)</f>
        <v>Manhole</v>
      </c>
      <c r="M2650" s="23" t="s">
        <v>1174</v>
      </c>
      <c r="N2650" s="25" t="str">
        <f>VLOOKUP(M2650,'Excursion Cause'!$A$1:$B$34,2,FALSE)</f>
        <v>Collection system wet weather</v>
      </c>
      <c r="O2650" s="29">
        <v>45056.0</v>
      </c>
      <c r="P2650" s="30">
        <v>0.7263888888888889</v>
      </c>
      <c r="Q2650" s="32">
        <v>45056.0</v>
      </c>
      <c r="R2650" s="30">
        <v>0.8541666666666666</v>
      </c>
      <c r="S2650" s="23">
        <v>50.0</v>
      </c>
      <c r="T2650" s="23" t="s">
        <v>118</v>
      </c>
      <c r="U2650" s="32"/>
      <c r="V2650" s="6"/>
      <c r="W2650" s="35">
        <v>29.781185</v>
      </c>
      <c r="X2650" s="35">
        <v>-95.3720309999999</v>
      </c>
      <c r="AA2650" s="33"/>
      <c r="AB2650" s="33"/>
      <c r="AC2650" s="39"/>
      <c r="AD2650" s="33"/>
      <c r="AE2650" s="33"/>
      <c r="AF2650" s="33"/>
      <c r="AG2650" s="33"/>
      <c r="AH2650" s="33"/>
      <c r="AI2650" s="33"/>
      <c r="AJ2650" s="33"/>
      <c r="AK2650" s="33"/>
      <c r="AL2650" s="33"/>
      <c r="AM2650" s="33"/>
      <c r="AN2650" s="33"/>
      <c r="AO2650" s="33"/>
    </row>
    <row r="2651" ht="15.75" customHeight="1">
      <c r="A2651" s="23">
        <v>52285.0</v>
      </c>
      <c r="B2651" s="23">
        <v>2023.0</v>
      </c>
      <c r="C2651" s="36" t="str">
        <f t="shared" si="7"/>
        <v>1222 WRIGHTWOOD ST,Houston,TX</v>
      </c>
      <c r="D2651" s="23" t="s">
        <v>453</v>
      </c>
      <c r="E2651" s="6" t="s">
        <v>25</v>
      </c>
      <c r="F2651" s="6" t="s">
        <v>1388</v>
      </c>
      <c r="G2651" s="31" t="s">
        <v>161</v>
      </c>
      <c r="H2651" s="23" t="s">
        <v>28</v>
      </c>
      <c r="I2651" s="37" t="str">
        <f>VLOOKUP(H2651,'Flow Location'!$A$1:$B$21,2,FALSE)</f>
        <v>Storm Sewer (not contained)</v>
      </c>
      <c r="J2651" s="28">
        <v>9200.0</v>
      </c>
      <c r="K2651" s="23" t="s">
        <v>29</v>
      </c>
      <c r="L2651" s="37" t="str">
        <f>VLOOKUP(K2651,'Structure type'!$A$1:$B$15,2,FALSE)</f>
        <v>Manhole</v>
      </c>
      <c r="M2651" s="23" t="s">
        <v>1174</v>
      </c>
      <c r="N2651" s="25" t="str">
        <f>VLOOKUP(M2651,'Excursion Cause'!$A$1:$B$34,2,FALSE)</f>
        <v>Collection system wet weather</v>
      </c>
      <c r="O2651" s="29">
        <v>45056.0</v>
      </c>
      <c r="P2651" s="30">
        <v>0.7263888888888889</v>
      </c>
      <c r="Q2651" s="32">
        <v>45056.0</v>
      </c>
      <c r="R2651" s="30">
        <v>0.8541666666666666</v>
      </c>
      <c r="S2651" s="23">
        <v>50.0</v>
      </c>
      <c r="T2651" s="23" t="s">
        <v>118</v>
      </c>
      <c r="U2651" s="32"/>
      <c r="V2651" s="6"/>
      <c r="W2651" s="35">
        <v>29.7812087</v>
      </c>
      <c r="X2651" s="35">
        <v>-95.3698233</v>
      </c>
      <c r="AA2651" s="33"/>
      <c r="AB2651" s="33"/>
      <c r="AC2651" s="39"/>
      <c r="AD2651" s="33"/>
      <c r="AE2651" s="33"/>
      <c r="AF2651" s="33"/>
      <c r="AG2651" s="33"/>
      <c r="AH2651" s="33"/>
      <c r="AI2651" s="33"/>
      <c r="AJ2651" s="33"/>
      <c r="AK2651" s="33"/>
      <c r="AL2651" s="33"/>
      <c r="AM2651" s="33"/>
      <c r="AN2651" s="33"/>
      <c r="AO2651" s="33"/>
    </row>
    <row r="2652" ht="15.75" customHeight="1">
      <c r="A2652" s="23">
        <v>52289.0</v>
      </c>
      <c r="B2652" s="23">
        <v>2023.0</v>
      </c>
      <c r="C2652" s="36" t="str">
        <f t="shared" si="7"/>
        <v>6747 LAWNDALE ST,Houston,TX</v>
      </c>
      <c r="D2652" s="23" t="s">
        <v>3688</v>
      </c>
      <c r="E2652" s="6" t="s">
        <v>25</v>
      </c>
      <c r="F2652" s="6" t="s">
        <v>1388</v>
      </c>
      <c r="G2652" s="31" t="s">
        <v>227</v>
      </c>
      <c r="H2652" s="23" t="s">
        <v>44</v>
      </c>
      <c r="I2652" s="37" t="str">
        <f>VLOOKUP(H2652,'Flow Location'!$A$1:$B$21,2,FALSE)</f>
        <v>Bayou/surface water/drainage ditch</v>
      </c>
      <c r="J2652" s="28">
        <v>2620.0</v>
      </c>
      <c r="K2652" s="23" t="s">
        <v>29</v>
      </c>
      <c r="L2652" s="37" t="str">
        <f>VLOOKUP(K2652,'Structure type'!$A$1:$B$15,2,FALSE)</f>
        <v>Manhole</v>
      </c>
      <c r="M2652" s="23" t="s">
        <v>1174</v>
      </c>
      <c r="N2652" s="25" t="str">
        <f>VLOOKUP(M2652,'Excursion Cause'!$A$1:$B$34,2,FALSE)</f>
        <v>Collection system wet weather</v>
      </c>
      <c r="O2652" s="29">
        <v>45056.0</v>
      </c>
      <c r="P2652" s="30">
        <v>0.3368055555555556</v>
      </c>
      <c r="Q2652" s="32">
        <v>45056.0</v>
      </c>
      <c r="R2652" s="30">
        <v>0.42777777777777776</v>
      </c>
      <c r="S2652" s="23">
        <v>20.0</v>
      </c>
      <c r="T2652" s="23" t="s">
        <v>118</v>
      </c>
      <c r="U2652" s="32"/>
      <c r="V2652" s="6"/>
      <c r="W2652" s="35">
        <v>29.7230744</v>
      </c>
      <c r="X2652" s="35">
        <v>-95.3060569</v>
      </c>
      <c r="AA2652" s="33"/>
      <c r="AB2652" s="33"/>
      <c r="AC2652" s="39"/>
      <c r="AD2652" s="33"/>
      <c r="AE2652" s="33"/>
      <c r="AF2652" s="33"/>
      <c r="AG2652" s="33"/>
      <c r="AH2652" s="33"/>
      <c r="AI2652" s="33"/>
      <c r="AJ2652" s="33"/>
      <c r="AK2652" s="33"/>
      <c r="AL2652" s="33"/>
      <c r="AM2652" s="33"/>
      <c r="AN2652" s="33"/>
      <c r="AO2652" s="33"/>
    </row>
    <row r="2653" ht="15.75" customHeight="1">
      <c r="A2653" s="23">
        <v>52290.0</v>
      </c>
      <c r="B2653" s="23">
        <v>2023.0</v>
      </c>
      <c r="C2653" s="36" t="str">
        <f t="shared" si="7"/>
        <v>7211 HAVERTON DR,Houston,TX</v>
      </c>
      <c r="D2653" s="23" t="s">
        <v>3941</v>
      </c>
      <c r="E2653" s="6" t="s">
        <v>25</v>
      </c>
      <c r="F2653" s="6" t="s">
        <v>1388</v>
      </c>
      <c r="G2653" s="31" t="s">
        <v>326</v>
      </c>
      <c r="H2653" s="23" t="s">
        <v>50</v>
      </c>
      <c r="I2653" s="37" t="str">
        <f>VLOOKUP(H2653,'Flow Location'!$A$1:$B$21,2,FALSE)</f>
        <v>Contained On Site, not within 5 ft. of Bayou/Surface Water/Drainage Ditch</v>
      </c>
      <c r="J2653" s="28">
        <v>0.0</v>
      </c>
      <c r="K2653" s="23" t="s">
        <v>51</v>
      </c>
      <c r="L2653" s="37" t="str">
        <f>VLOOKUP(K2653,'Structure type'!$A$1:$B$15,2,FALSE)</f>
        <v>Private Cleanout</v>
      </c>
      <c r="M2653" s="23" t="s">
        <v>30</v>
      </c>
      <c r="N2653" s="25" t="str">
        <f>VLOOKUP(M2653,'Excursion Cause'!$A$1:$B$34,2,FALSE)</f>
        <v>Grease Blockage</v>
      </c>
      <c r="O2653" s="29">
        <v>45057.0</v>
      </c>
      <c r="P2653" s="30">
        <v>0.4826388888888889</v>
      </c>
      <c r="Q2653" s="32">
        <v>45057.0</v>
      </c>
      <c r="R2653" s="30">
        <v>0.48333333333333334</v>
      </c>
      <c r="S2653" s="23">
        <v>0.0</v>
      </c>
      <c r="T2653" s="23" t="s">
        <v>3749</v>
      </c>
      <c r="U2653" s="32"/>
      <c r="V2653" s="6"/>
      <c r="W2653" s="35">
        <v>29.8799289</v>
      </c>
      <c r="X2653" s="35">
        <v>-95.2821223999999</v>
      </c>
      <c r="AA2653" s="33"/>
      <c r="AB2653" s="33"/>
      <c r="AC2653" s="39"/>
      <c r="AD2653" s="33"/>
      <c r="AE2653" s="33"/>
      <c r="AF2653" s="33"/>
      <c r="AG2653" s="33"/>
      <c r="AH2653" s="33"/>
      <c r="AI2653" s="33"/>
      <c r="AJ2653" s="33"/>
      <c r="AK2653" s="33"/>
      <c r="AL2653" s="33"/>
      <c r="AM2653" s="33"/>
      <c r="AN2653" s="33"/>
      <c r="AO2653" s="33"/>
    </row>
    <row r="2654" ht="15.75" customHeight="1">
      <c r="A2654" s="23">
        <v>52291.0</v>
      </c>
      <c r="B2654" s="23">
        <v>2023.0</v>
      </c>
      <c r="C2654" s="36" t="str">
        <f t="shared" si="7"/>
        <v>4618 CLINTON DR,Houston,TX</v>
      </c>
      <c r="D2654" s="23" t="s">
        <v>3942</v>
      </c>
      <c r="E2654" s="6" t="s">
        <v>25</v>
      </c>
      <c r="F2654" s="6" t="s">
        <v>1388</v>
      </c>
      <c r="G2654" s="31" t="s">
        <v>86</v>
      </c>
      <c r="H2654" s="23" t="s">
        <v>28</v>
      </c>
      <c r="I2654" s="37" t="str">
        <f>VLOOKUP(H2654,'Flow Location'!$A$1:$B$21,2,FALSE)</f>
        <v>Storm Sewer (not contained)</v>
      </c>
      <c r="J2654" s="28">
        <v>2600.0</v>
      </c>
      <c r="K2654" s="23" t="s">
        <v>190</v>
      </c>
      <c r="L2654" s="37" t="str">
        <f>VLOOKUP(K2654,'Structure type'!$A$1:$B$15,2,FALSE)</f>
        <v>Force Main</v>
      </c>
      <c r="M2654" s="23" t="s">
        <v>81</v>
      </c>
      <c r="N2654" s="25" t="str">
        <f>VLOOKUP(M2654,'Excursion Cause'!$A$1:$B$34,2,FALSE)</f>
        <v>Collection system structural failure</v>
      </c>
      <c r="O2654" s="29">
        <v>45057.0</v>
      </c>
      <c r="P2654" s="30">
        <v>0.47430555555555554</v>
      </c>
      <c r="Q2654" s="32">
        <v>45057.0</v>
      </c>
      <c r="R2654" s="30">
        <v>0.49236111111111114</v>
      </c>
      <c r="S2654" s="23">
        <v>100.0</v>
      </c>
      <c r="T2654" s="23" t="s">
        <v>118</v>
      </c>
      <c r="U2654" s="32"/>
      <c r="V2654" s="6"/>
      <c r="W2654" s="35">
        <v>29.765062</v>
      </c>
      <c r="X2654" s="35">
        <v>-95.323448</v>
      </c>
      <c r="AA2654" s="33"/>
      <c r="AB2654" s="33"/>
      <c r="AC2654" s="39"/>
      <c r="AD2654" s="33"/>
      <c r="AE2654" s="33"/>
      <c r="AF2654" s="33"/>
      <c r="AG2654" s="33"/>
      <c r="AH2654" s="33"/>
      <c r="AI2654" s="33"/>
      <c r="AJ2654" s="33"/>
      <c r="AK2654" s="33"/>
      <c r="AL2654" s="33"/>
      <c r="AM2654" s="33"/>
      <c r="AN2654" s="33"/>
      <c r="AO2654" s="33"/>
    </row>
    <row r="2655" ht="15.75" customHeight="1">
      <c r="A2655" s="23">
        <v>52292.0</v>
      </c>
      <c r="B2655" s="23">
        <v>2023.0</v>
      </c>
      <c r="C2655" s="36" t="str">
        <f t="shared" si="7"/>
        <v>3200 WESTHEIMER RD,Houston,TX</v>
      </c>
      <c r="D2655" s="23" t="s">
        <v>3943</v>
      </c>
      <c r="E2655" s="6" t="s">
        <v>25</v>
      </c>
      <c r="F2655" s="6" t="s">
        <v>1388</v>
      </c>
      <c r="G2655" s="31" t="s">
        <v>112</v>
      </c>
      <c r="H2655" s="23" t="s">
        <v>50</v>
      </c>
      <c r="I2655" s="37" t="str">
        <f>VLOOKUP(H2655,'Flow Location'!$A$1:$B$21,2,FALSE)</f>
        <v>Contained On Site, not within 5 ft. of Bayou/Surface Water/Drainage Ditch</v>
      </c>
      <c r="J2655" s="28">
        <v>349.0</v>
      </c>
      <c r="K2655" s="23" t="s">
        <v>29</v>
      </c>
      <c r="L2655" s="37" t="str">
        <f>VLOOKUP(K2655,'Structure type'!$A$1:$B$15,2,FALSE)</f>
        <v>Manhole</v>
      </c>
      <c r="M2655" s="23" t="s">
        <v>30</v>
      </c>
      <c r="N2655" s="25" t="str">
        <f>VLOOKUP(M2655,'Excursion Cause'!$A$1:$B$34,2,FALSE)</f>
        <v>Grease Blockage</v>
      </c>
      <c r="O2655" s="29">
        <v>45057.0</v>
      </c>
      <c r="P2655" s="30">
        <v>0.5125</v>
      </c>
      <c r="Q2655" s="32">
        <v>45057.0</v>
      </c>
      <c r="R2655" s="30">
        <v>0.7548611111111111</v>
      </c>
      <c r="S2655" s="23">
        <v>1.0</v>
      </c>
      <c r="T2655" s="23" t="s">
        <v>3749</v>
      </c>
      <c r="U2655" s="32"/>
      <c r="V2655" s="6"/>
      <c r="W2655" s="35">
        <v>29.7424449</v>
      </c>
      <c r="X2655" s="35">
        <v>-95.4231863</v>
      </c>
      <c r="AA2655" s="33"/>
      <c r="AB2655" s="33"/>
      <c r="AC2655" s="39"/>
      <c r="AD2655" s="33"/>
      <c r="AE2655" s="33"/>
      <c r="AF2655" s="33"/>
      <c r="AG2655" s="33"/>
      <c r="AH2655" s="33"/>
      <c r="AI2655" s="33"/>
      <c r="AJ2655" s="33"/>
      <c r="AK2655" s="33"/>
      <c r="AL2655" s="33"/>
      <c r="AM2655" s="33"/>
      <c r="AN2655" s="33"/>
      <c r="AO2655" s="33"/>
    </row>
    <row r="2656" ht="15.75" customHeight="1">
      <c r="A2656" s="23">
        <v>52295.0</v>
      </c>
      <c r="B2656" s="23">
        <v>2023.0</v>
      </c>
      <c r="C2656" s="36" t="str">
        <f t="shared" si="7"/>
        <v>6119 GRANTON ST,Houston,TX</v>
      </c>
      <c r="D2656" s="23" t="s">
        <v>3944</v>
      </c>
      <c r="E2656" s="6" t="s">
        <v>25</v>
      </c>
      <c r="F2656" s="6" t="s">
        <v>1388</v>
      </c>
      <c r="G2656" s="31" t="s">
        <v>43</v>
      </c>
      <c r="H2656" s="23" t="s">
        <v>28</v>
      </c>
      <c r="I2656" s="37" t="str">
        <f>VLOOKUP(H2656,'Flow Location'!$A$1:$B$21,2,FALSE)</f>
        <v>Storm Sewer (not contained)</v>
      </c>
      <c r="J2656" s="28">
        <v>0.0</v>
      </c>
      <c r="K2656" s="23" t="s">
        <v>198</v>
      </c>
      <c r="L2656" s="37" t="str">
        <f>VLOOKUP(K2656,'Structure type'!$A$1:$B$15,2,FALSE)</f>
        <v>Service Lateral</v>
      </c>
      <c r="M2656" s="23" t="s">
        <v>81</v>
      </c>
      <c r="N2656" s="25" t="str">
        <f>VLOOKUP(M2656,'Excursion Cause'!$A$1:$B$34,2,FALSE)</f>
        <v>Collection system structural failure</v>
      </c>
      <c r="O2656" s="29">
        <v>45057.0</v>
      </c>
      <c r="P2656" s="30">
        <v>0.5673611111111111</v>
      </c>
      <c r="Q2656" s="32">
        <v>45057.0</v>
      </c>
      <c r="R2656" s="30">
        <v>0.5680555555555555</v>
      </c>
      <c r="S2656" s="23">
        <v>0.0</v>
      </c>
      <c r="T2656" s="23" t="s">
        <v>118</v>
      </c>
      <c r="U2656" s="32"/>
      <c r="V2656" s="6"/>
      <c r="W2656" s="35">
        <v>29.7933152</v>
      </c>
      <c r="X2656" s="35">
        <v>-95.3086019</v>
      </c>
      <c r="AA2656" s="33"/>
      <c r="AB2656" s="33"/>
      <c r="AC2656" s="39"/>
      <c r="AD2656" s="33"/>
      <c r="AE2656" s="33"/>
      <c r="AF2656" s="33"/>
      <c r="AG2656" s="33"/>
      <c r="AH2656" s="33"/>
      <c r="AI2656" s="33"/>
      <c r="AJ2656" s="33"/>
      <c r="AK2656" s="33"/>
      <c r="AL2656" s="33"/>
      <c r="AM2656" s="33"/>
      <c r="AN2656" s="33"/>
      <c r="AO2656" s="33"/>
    </row>
    <row r="2657" ht="15.75" customHeight="1">
      <c r="A2657" s="23">
        <v>52297.0</v>
      </c>
      <c r="B2657" s="23">
        <v>2023.0</v>
      </c>
      <c r="C2657" s="36" t="str">
        <f t="shared" si="7"/>
        <v>8450 WILLOW PLACE DR,Houston,TX</v>
      </c>
      <c r="D2657" s="23" t="s">
        <v>3945</v>
      </c>
      <c r="E2657" s="6" t="s">
        <v>25</v>
      </c>
      <c r="F2657" s="6" t="s">
        <v>1388</v>
      </c>
      <c r="G2657" s="31" t="s">
        <v>1461</v>
      </c>
      <c r="H2657" s="23" t="s">
        <v>28</v>
      </c>
      <c r="I2657" s="37" t="str">
        <f>VLOOKUP(H2657,'Flow Location'!$A$1:$B$21,2,FALSE)</f>
        <v>Storm Sewer (not contained)</v>
      </c>
      <c r="J2657" s="28">
        <v>220.0</v>
      </c>
      <c r="K2657" s="23" t="s">
        <v>29</v>
      </c>
      <c r="L2657" s="37" t="str">
        <f>VLOOKUP(K2657,'Structure type'!$A$1:$B$15,2,FALSE)</f>
        <v>Manhole</v>
      </c>
      <c r="M2657" s="23" t="s">
        <v>30</v>
      </c>
      <c r="N2657" s="25" t="str">
        <f>VLOOKUP(M2657,'Excursion Cause'!$A$1:$B$34,2,FALSE)</f>
        <v>Grease Blockage</v>
      </c>
      <c r="O2657" s="29">
        <v>45057.0</v>
      </c>
      <c r="P2657" s="30">
        <v>0.5944444444444444</v>
      </c>
      <c r="Q2657" s="32">
        <v>45057.0</v>
      </c>
      <c r="R2657" s="30">
        <v>0.6708333333333333</v>
      </c>
      <c r="S2657" s="23">
        <v>2.0</v>
      </c>
      <c r="T2657" s="23" t="s">
        <v>3756</v>
      </c>
      <c r="U2657" s="32"/>
      <c r="V2657" s="6"/>
      <c r="W2657" s="35">
        <v>29.9624668</v>
      </c>
      <c r="X2657" s="35">
        <v>-95.5580447</v>
      </c>
      <c r="AA2657" s="33"/>
      <c r="AB2657" s="33"/>
      <c r="AC2657" s="39"/>
      <c r="AD2657" s="33"/>
      <c r="AE2657" s="33"/>
      <c r="AF2657" s="33"/>
      <c r="AG2657" s="33"/>
      <c r="AH2657" s="33"/>
      <c r="AI2657" s="33"/>
      <c r="AJ2657" s="33"/>
      <c r="AK2657" s="33"/>
      <c r="AL2657" s="33"/>
      <c r="AM2657" s="33"/>
      <c r="AN2657" s="33"/>
      <c r="AO2657" s="33"/>
    </row>
    <row r="2658" ht="15.75" customHeight="1">
      <c r="A2658" s="23">
        <v>52298.0</v>
      </c>
      <c r="B2658" s="23">
        <v>2023.0</v>
      </c>
      <c r="C2658" s="36" t="str">
        <f t="shared" si="7"/>
        <v>1420 KINGWOOD DR,Houston,TX</v>
      </c>
      <c r="D2658" s="23" t="s">
        <v>2471</v>
      </c>
      <c r="E2658" s="6" t="s">
        <v>25</v>
      </c>
      <c r="F2658" s="6" t="s">
        <v>1388</v>
      </c>
      <c r="G2658" s="31" t="s">
        <v>1078</v>
      </c>
      <c r="H2658" s="23" t="s">
        <v>28</v>
      </c>
      <c r="I2658" s="37" t="str">
        <f>VLOOKUP(H2658,'Flow Location'!$A$1:$B$21,2,FALSE)</f>
        <v>Storm Sewer (not contained)</v>
      </c>
      <c r="J2658" s="28">
        <v>334.0</v>
      </c>
      <c r="K2658" s="23" t="s">
        <v>29</v>
      </c>
      <c r="L2658" s="37" t="str">
        <f>VLOOKUP(K2658,'Structure type'!$A$1:$B$15,2,FALSE)</f>
        <v>Manhole</v>
      </c>
      <c r="M2658" s="23" t="s">
        <v>30</v>
      </c>
      <c r="N2658" s="25" t="str">
        <f>VLOOKUP(M2658,'Excursion Cause'!$A$1:$B$34,2,FALSE)</f>
        <v>Grease Blockage</v>
      </c>
      <c r="O2658" s="29">
        <v>45057.0</v>
      </c>
      <c r="P2658" s="30">
        <v>0.6444444444444445</v>
      </c>
      <c r="Q2658" s="32">
        <v>45057.0</v>
      </c>
      <c r="R2658" s="30">
        <v>0.7604166666666666</v>
      </c>
      <c r="S2658" s="23">
        <v>2.0</v>
      </c>
      <c r="T2658" s="23" t="s">
        <v>1462</v>
      </c>
      <c r="U2658" s="32"/>
      <c r="V2658" s="6"/>
      <c r="W2658" s="35">
        <v>30.0487119</v>
      </c>
      <c r="X2658" s="35">
        <v>-95.2342331</v>
      </c>
      <c r="AA2658" s="33"/>
      <c r="AB2658" s="33"/>
      <c r="AC2658" s="39"/>
      <c r="AD2658" s="33"/>
      <c r="AE2658" s="33"/>
      <c r="AF2658" s="33"/>
      <c r="AG2658" s="33"/>
      <c r="AH2658" s="33"/>
      <c r="AI2658" s="33"/>
      <c r="AJ2658" s="33"/>
      <c r="AK2658" s="33"/>
      <c r="AL2658" s="33"/>
      <c r="AM2658" s="33"/>
      <c r="AN2658" s="33"/>
      <c r="AO2658" s="33"/>
    </row>
    <row r="2659" ht="15.75" customHeight="1">
      <c r="A2659" s="23">
        <v>52301.0</v>
      </c>
      <c r="B2659" s="23">
        <v>2023.0</v>
      </c>
      <c r="C2659" s="36" t="str">
        <f t="shared" si="7"/>
        <v>11002 DALEBROOK DR,Houston,TX</v>
      </c>
      <c r="D2659" s="23" t="s">
        <v>3118</v>
      </c>
      <c r="E2659" s="6" t="s">
        <v>25</v>
      </c>
      <c r="F2659" s="6" t="s">
        <v>1388</v>
      </c>
      <c r="G2659" s="31" t="s">
        <v>326</v>
      </c>
      <c r="H2659" s="23" t="s">
        <v>50</v>
      </c>
      <c r="I2659" s="37" t="str">
        <f>VLOOKUP(H2659,'Flow Location'!$A$1:$B$21,2,FALSE)</f>
        <v>Contained On Site, not within 5 ft. of Bayou/Surface Water/Drainage Ditch</v>
      </c>
      <c r="J2659" s="28">
        <v>0.0</v>
      </c>
      <c r="K2659" s="23" t="s">
        <v>29</v>
      </c>
      <c r="L2659" s="37" t="str">
        <f>VLOOKUP(K2659,'Structure type'!$A$1:$B$15,2,FALSE)</f>
        <v>Manhole</v>
      </c>
      <c r="M2659" s="23" t="s">
        <v>30</v>
      </c>
      <c r="N2659" s="25" t="str">
        <f>VLOOKUP(M2659,'Excursion Cause'!$A$1:$B$34,2,FALSE)</f>
        <v>Grease Blockage</v>
      </c>
      <c r="O2659" s="29">
        <v>45057.0</v>
      </c>
      <c r="P2659" s="30">
        <v>0.6965277777777777</v>
      </c>
      <c r="Q2659" s="32">
        <v>45057.0</v>
      </c>
      <c r="R2659" s="30">
        <v>0.6972222222222222</v>
      </c>
      <c r="S2659" s="23">
        <v>0.0</v>
      </c>
      <c r="T2659" s="23" t="s">
        <v>3749</v>
      </c>
      <c r="U2659" s="32"/>
      <c r="V2659" s="6"/>
      <c r="W2659" s="35">
        <v>29.875513</v>
      </c>
      <c r="X2659" s="35">
        <v>-95.2867330999999</v>
      </c>
      <c r="AA2659" s="33"/>
      <c r="AB2659" s="33"/>
      <c r="AC2659" s="39"/>
      <c r="AD2659" s="33"/>
      <c r="AE2659" s="33"/>
      <c r="AF2659" s="33"/>
      <c r="AG2659" s="33"/>
      <c r="AH2659" s="33"/>
      <c r="AI2659" s="33"/>
      <c r="AJ2659" s="33"/>
      <c r="AK2659" s="33"/>
      <c r="AL2659" s="33"/>
      <c r="AM2659" s="33"/>
      <c r="AN2659" s="33"/>
      <c r="AO2659" s="33"/>
    </row>
    <row r="2660" ht="15.75" customHeight="1">
      <c r="A2660" s="23">
        <v>52304.0</v>
      </c>
      <c r="B2660" s="23">
        <v>2023.0</v>
      </c>
      <c r="C2660" s="36" t="str">
        <f t="shared" si="7"/>
        <v>7225 BRETSHIRE DR,Houston,TX</v>
      </c>
      <c r="D2660" s="23" t="s">
        <v>3946</v>
      </c>
      <c r="E2660" s="6" t="s">
        <v>25</v>
      </c>
      <c r="F2660" s="6" t="s">
        <v>1388</v>
      </c>
      <c r="G2660" s="31" t="s">
        <v>326</v>
      </c>
      <c r="H2660" s="23" t="s">
        <v>50</v>
      </c>
      <c r="I2660" s="37" t="str">
        <f>VLOOKUP(H2660,'Flow Location'!$A$1:$B$21,2,FALSE)</f>
        <v>Contained On Site, not within 5 ft. of Bayou/Surface Water/Drainage Ditch</v>
      </c>
      <c r="J2660" s="28">
        <v>0.0</v>
      </c>
      <c r="K2660" s="23" t="s">
        <v>29</v>
      </c>
      <c r="L2660" s="37" t="str">
        <f>VLOOKUP(K2660,'Structure type'!$A$1:$B$15,2,FALSE)</f>
        <v>Manhole</v>
      </c>
      <c r="M2660" s="23" t="s">
        <v>56</v>
      </c>
      <c r="N2660" s="25" t="str">
        <f>VLOOKUP(M2660,'Excursion Cause'!$A$1:$B$34,2,FALSE)</f>
        <v>Rags/Wipes</v>
      </c>
      <c r="O2660" s="29">
        <v>45057.0</v>
      </c>
      <c r="P2660" s="30">
        <v>0.7243055555555555</v>
      </c>
      <c r="Q2660" s="32">
        <v>45057.0</v>
      </c>
      <c r="R2660" s="30">
        <v>0.725</v>
      </c>
      <c r="S2660" s="23">
        <v>0.0</v>
      </c>
      <c r="T2660" s="23" t="s">
        <v>3749</v>
      </c>
      <c r="U2660" s="32"/>
      <c r="V2660" s="6"/>
      <c r="W2660" s="35">
        <v>29.855286</v>
      </c>
      <c r="X2660" s="35">
        <v>-95.297693</v>
      </c>
      <c r="AA2660" s="33"/>
      <c r="AB2660" s="33"/>
      <c r="AC2660" s="39"/>
      <c r="AD2660" s="33"/>
      <c r="AE2660" s="33"/>
      <c r="AF2660" s="33"/>
      <c r="AG2660" s="33"/>
      <c r="AH2660" s="33"/>
      <c r="AI2660" s="33"/>
      <c r="AJ2660" s="33"/>
      <c r="AK2660" s="33"/>
      <c r="AL2660" s="33"/>
      <c r="AM2660" s="33"/>
      <c r="AN2660" s="33"/>
      <c r="AO2660" s="33"/>
    </row>
    <row r="2661" ht="15.75" customHeight="1">
      <c r="A2661" s="23">
        <v>52310.0</v>
      </c>
      <c r="B2661" s="23">
        <v>2023.0</v>
      </c>
      <c r="C2661" s="36" t="str">
        <f t="shared" si="7"/>
        <v>804 ERIN ST,Houston,TX</v>
      </c>
      <c r="D2661" s="23" t="s">
        <v>3947</v>
      </c>
      <c r="E2661" s="6" t="s">
        <v>25</v>
      </c>
      <c r="F2661" s="6" t="s">
        <v>1388</v>
      </c>
      <c r="G2661" s="31" t="s">
        <v>161</v>
      </c>
      <c r="H2661" s="23" t="s">
        <v>50</v>
      </c>
      <c r="I2661" s="37" t="str">
        <f>VLOOKUP(H2661,'Flow Location'!$A$1:$B$21,2,FALSE)</f>
        <v>Contained On Site, not within 5 ft. of Bayou/Surface Water/Drainage Ditch</v>
      </c>
      <c r="J2661" s="28">
        <v>0.0</v>
      </c>
      <c r="K2661" s="23" t="s">
        <v>29</v>
      </c>
      <c r="L2661" s="37" t="str">
        <f>VLOOKUP(K2661,'Structure type'!$A$1:$B$15,2,FALSE)</f>
        <v>Manhole</v>
      </c>
      <c r="M2661" s="23" t="s">
        <v>30</v>
      </c>
      <c r="N2661" s="25" t="str">
        <f>VLOOKUP(M2661,'Excursion Cause'!$A$1:$B$34,2,FALSE)</f>
        <v>Grease Blockage</v>
      </c>
      <c r="O2661" s="29">
        <v>45057.0</v>
      </c>
      <c r="P2661" s="30">
        <v>0.7333333333333333</v>
      </c>
      <c r="Q2661" s="32">
        <v>45057.0</v>
      </c>
      <c r="R2661" s="30">
        <v>0.7340277777777777</v>
      </c>
      <c r="S2661" s="23">
        <v>0.0</v>
      </c>
      <c r="T2661" s="23" t="s">
        <v>1462</v>
      </c>
      <c r="U2661" s="32"/>
      <c r="V2661" s="6"/>
      <c r="W2661" s="35">
        <v>29.7964545</v>
      </c>
      <c r="X2661" s="35">
        <v>-95.3604556999999</v>
      </c>
      <c r="AA2661" s="33"/>
      <c r="AB2661" s="33"/>
      <c r="AC2661" s="39"/>
      <c r="AD2661" s="33"/>
      <c r="AE2661" s="33"/>
      <c r="AF2661" s="33"/>
      <c r="AG2661" s="33"/>
      <c r="AH2661" s="33"/>
      <c r="AI2661" s="33"/>
      <c r="AJ2661" s="33"/>
      <c r="AK2661" s="33"/>
      <c r="AL2661" s="33"/>
      <c r="AM2661" s="33"/>
      <c r="AN2661" s="33"/>
      <c r="AO2661" s="33"/>
    </row>
    <row r="2662" ht="15.75" customHeight="1">
      <c r="A2662" s="23">
        <v>52311.0</v>
      </c>
      <c r="B2662" s="23">
        <v>2023.0</v>
      </c>
      <c r="C2662" s="36" t="str">
        <f t="shared" si="7"/>
        <v>7227 VALMONT DR,Houston,TX</v>
      </c>
      <c r="D2662" s="23" t="s">
        <v>3948</v>
      </c>
      <c r="E2662" s="6" t="s">
        <v>25</v>
      </c>
      <c r="F2662" s="6" t="s">
        <v>1388</v>
      </c>
      <c r="G2662" s="31" t="s">
        <v>326</v>
      </c>
      <c r="H2662" s="23" t="s">
        <v>50</v>
      </c>
      <c r="I2662" s="37" t="str">
        <f>VLOOKUP(H2662,'Flow Location'!$A$1:$B$21,2,FALSE)</f>
        <v>Contained On Site, not within 5 ft. of Bayou/Surface Water/Drainage Ditch</v>
      </c>
      <c r="J2662" s="28">
        <v>2172.0</v>
      </c>
      <c r="K2662" s="23" t="s">
        <v>29</v>
      </c>
      <c r="L2662" s="37" t="str">
        <f>VLOOKUP(K2662,'Structure type'!$A$1:$B$15,2,FALSE)</f>
        <v>Manhole</v>
      </c>
      <c r="M2662" s="23" t="s">
        <v>30</v>
      </c>
      <c r="N2662" s="25" t="str">
        <f>VLOOKUP(M2662,'Excursion Cause'!$A$1:$B$34,2,FALSE)</f>
        <v>Grease Blockage</v>
      </c>
      <c r="O2662" s="29">
        <v>45057.0</v>
      </c>
      <c r="P2662" s="30">
        <v>0.7208333333333333</v>
      </c>
      <c r="Q2662" s="32">
        <v>45058.0</v>
      </c>
      <c r="R2662" s="30">
        <v>0.475</v>
      </c>
      <c r="S2662" s="23">
        <v>2.0</v>
      </c>
      <c r="T2662" s="23" t="s">
        <v>3749</v>
      </c>
      <c r="U2662" s="32"/>
      <c r="V2662" s="6"/>
      <c r="W2662" s="35">
        <v>29.8784799</v>
      </c>
      <c r="X2662" s="35">
        <v>-95.2812685</v>
      </c>
      <c r="AA2662" s="33"/>
      <c r="AB2662" s="33"/>
      <c r="AC2662" s="39"/>
      <c r="AD2662" s="33"/>
      <c r="AE2662" s="33"/>
      <c r="AF2662" s="33"/>
      <c r="AG2662" s="33"/>
      <c r="AH2662" s="33"/>
      <c r="AI2662" s="33"/>
      <c r="AJ2662" s="33"/>
      <c r="AK2662" s="33"/>
      <c r="AL2662" s="33"/>
      <c r="AM2662" s="33"/>
      <c r="AN2662" s="33"/>
      <c r="AO2662" s="33"/>
    </row>
    <row r="2663" ht="15.75" customHeight="1">
      <c r="A2663" s="23">
        <v>52312.0</v>
      </c>
      <c r="B2663" s="23">
        <v>2023.0</v>
      </c>
      <c r="C2663" s="36" t="str">
        <f t="shared" si="7"/>
        <v>5917 FAIRDALE LN,Houston,TX</v>
      </c>
      <c r="D2663" s="23" t="s">
        <v>3949</v>
      </c>
      <c r="E2663" s="6" t="s">
        <v>25</v>
      </c>
      <c r="F2663" s="6" t="s">
        <v>1388</v>
      </c>
      <c r="G2663" s="31" t="s">
        <v>689</v>
      </c>
      <c r="H2663" s="23" t="s">
        <v>50</v>
      </c>
      <c r="I2663" s="37" t="str">
        <f>VLOOKUP(H2663,'Flow Location'!$A$1:$B$21,2,FALSE)</f>
        <v>Contained On Site, not within 5 ft. of Bayou/Surface Water/Drainage Ditch</v>
      </c>
      <c r="J2663" s="28">
        <v>1208.0</v>
      </c>
      <c r="K2663" s="23" t="s">
        <v>45</v>
      </c>
      <c r="L2663" s="37" t="str">
        <f>VLOOKUP(K2663,'Structure type'!$A$1:$B$15,2,FALSE)</f>
        <v>City Cleanout</v>
      </c>
      <c r="M2663" s="23" t="s">
        <v>56</v>
      </c>
      <c r="N2663" s="25" t="str">
        <f>VLOOKUP(M2663,'Excursion Cause'!$A$1:$B$34,2,FALSE)</f>
        <v>Rags/Wipes</v>
      </c>
      <c r="O2663" s="29">
        <v>45058.0</v>
      </c>
      <c r="P2663" s="30">
        <v>0.3284722222222222</v>
      </c>
      <c r="Q2663" s="32">
        <v>45058.0</v>
      </c>
      <c r="R2663" s="30">
        <v>0.7479166666666667</v>
      </c>
      <c r="S2663" s="23">
        <v>2.0</v>
      </c>
      <c r="T2663" s="23" t="s">
        <v>1473</v>
      </c>
      <c r="U2663" s="32"/>
      <c r="V2663" s="6"/>
      <c r="W2663" s="35">
        <v>29.7324016</v>
      </c>
      <c r="X2663" s="35">
        <v>-95.4828888999999</v>
      </c>
      <c r="AA2663" s="33"/>
      <c r="AB2663" s="33"/>
      <c r="AC2663" s="39"/>
      <c r="AD2663" s="33"/>
      <c r="AE2663" s="33"/>
      <c r="AF2663" s="33"/>
      <c r="AG2663" s="33"/>
      <c r="AH2663" s="33"/>
      <c r="AI2663" s="33"/>
      <c r="AJ2663" s="33"/>
      <c r="AK2663" s="33"/>
      <c r="AL2663" s="33"/>
      <c r="AM2663" s="33"/>
      <c r="AN2663" s="33"/>
      <c r="AO2663" s="33"/>
    </row>
    <row r="2664" ht="15.75" customHeight="1">
      <c r="A2664" s="23">
        <v>52314.0</v>
      </c>
      <c r="B2664" s="23">
        <v>2023.0</v>
      </c>
      <c r="C2664" s="36" t="str">
        <f t="shared" si="7"/>
        <v>10247 FIELD STONE DR,Houston,TX</v>
      </c>
      <c r="D2664" s="23" t="s">
        <v>3950</v>
      </c>
      <c r="E2664" s="6" t="s">
        <v>25</v>
      </c>
      <c r="F2664" s="6" t="s">
        <v>1388</v>
      </c>
      <c r="G2664" s="31" t="s">
        <v>344</v>
      </c>
      <c r="H2664" s="23" t="s">
        <v>50</v>
      </c>
      <c r="I2664" s="37" t="str">
        <f>VLOOKUP(H2664,'Flow Location'!$A$1:$B$21,2,FALSE)</f>
        <v>Contained On Site, not within 5 ft. of Bayou/Surface Water/Drainage Ditch</v>
      </c>
      <c r="J2664" s="28">
        <v>0.0</v>
      </c>
      <c r="K2664" s="23" t="s">
        <v>29</v>
      </c>
      <c r="L2664" s="37" t="str">
        <f>VLOOKUP(K2664,'Structure type'!$A$1:$B$15,2,FALSE)</f>
        <v>Manhole</v>
      </c>
      <c r="M2664" s="23" t="s">
        <v>30</v>
      </c>
      <c r="N2664" s="25" t="str">
        <f>VLOOKUP(M2664,'Excursion Cause'!$A$1:$B$34,2,FALSE)</f>
        <v>Grease Blockage</v>
      </c>
      <c r="O2664" s="29">
        <v>45058.0</v>
      </c>
      <c r="P2664" s="30">
        <v>0.4236111111111111</v>
      </c>
      <c r="Q2664" s="32">
        <v>45058.0</v>
      </c>
      <c r="R2664" s="30">
        <v>0.42430555555555555</v>
      </c>
      <c r="S2664" s="23">
        <v>0.0</v>
      </c>
      <c r="T2664" s="23" t="s">
        <v>1462</v>
      </c>
      <c r="U2664" s="32"/>
      <c r="V2664" s="6"/>
      <c r="W2664" s="35">
        <v>29.8340573</v>
      </c>
      <c r="X2664" s="35">
        <v>-95.5473935</v>
      </c>
      <c r="AA2664" s="33"/>
      <c r="AB2664" s="33"/>
      <c r="AC2664" s="39"/>
      <c r="AD2664" s="33"/>
      <c r="AE2664" s="33"/>
      <c r="AF2664" s="33"/>
      <c r="AG2664" s="33"/>
      <c r="AH2664" s="33"/>
      <c r="AI2664" s="33"/>
      <c r="AJ2664" s="33"/>
      <c r="AK2664" s="33"/>
      <c r="AL2664" s="33"/>
      <c r="AM2664" s="33"/>
      <c r="AN2664" s="33"/>
      <c r="AO2664" s="33"/>
    </row>
    <row r="2665" ht="15.75" customHeight="1">
      <c r="A2665" s="23">
        <v>52315.0</v>
      </c>
      <c r="B2665" s="23">
        <v>2023.0</v>
      </c>
      <c r="C2665" s="36" t="str">
        <f t="shared" si="7"/>
        <v>6603 WINFIELD RD,Houston,TX</v>
      </c>
      <c r="D2665" s="23" t="s">
        <v>3951</v>
      </c>
      <c r="E2665" s="6" t="s">
        <v>25</v>
      </c>
      <c r="F2665" s="6" t="s">
        <v>1388</v>
      </c>
      <c r="G2665" s="31" t="s">
        <v>3256</v>
      </c>
      <c r="H2665" s="23" t="s">
        <v>28</v>
      </c>
      <c r="I2665" s="37" t="str">
        <f>VLOOKUP(H2665,'Flow Location'!$A$1:$B$21,2,FALSE)</f>
        <v>Storm Sewer (not contained)</v>
      </c>
      <c r="J2665" s="28">
        <v>1394.0</v>
      </c>
      <c r="K2665" s="23" t="s">
        <v>29</v>
      </c>
      <c r="L2665" s="37" t="str">
        <f>VLOOKUP(K2665,'Structure type'!$A$1:$B$15,2,FALSE)</f>
        <v>Manhole</v>
      </c>
      <c r="M2665" s="23" t="s">
        <v>81</v>
      </c>
      <c r="N2665" s="25" t="str">
        <f>VLOOKUP(M2665,'Excursion Cause'!$A$1:$B$34,2,FALSE)</f>
        <v>Collection system structural failure</v>
      </c>
      <c r="O2665" s="29">
        <v>45058.0</v>
      </c>
      <c r="P2665" s="30">
        <v>0.4027777777777778</v>
      </c>
      <c r="Q2665" s="32">
        <v>45058.0</v>
      </c>
      <c r="R2665" s="30">
        <v>0.8868055555555555</v>
      </c>
      <c r="S2665" s="23">
        <v>2.0</v>
      </c>
      <c r="T2665" s="23" t="s">
        <v>3745</v>
      </c>
      <c r="U2665" s="32"/>
      <c r="V2665" s="6"/>
      <c r="W2665" s="35">
        <v>29.8995837</v>
      </c>
      <c r="X2665" s="35">
        <v>-95.2921399999999</v>
      </c>
      <c r="AA2665" s="33"/>
      <c r="AB2665" s="33"/>
      <c r="AC2665" s="39"/>
      <c r="AD2665" s="33"/>
      <c r="AE2665" s="33"/>
      <c r="AF2665" s="33"/>
      <c r="AG2665" s="33"/>
      <c r="AH2665" s="33"/>
      <c r="AI2665" s="33"/>
      <c r="AJ2665" s="33"/>
      <c r="AK2665" s="33"/>
      <c r="AL2665" s="33"/>
      <c r="AM2665" s="33"/>
      <c r="AN2665" s="33"/>
      <c r="AO2665" s="33"/>
    </row>
    <row r="2666" ht="15.75" customHeight="1">
      <c r="A2666" s="23">
        <v>52319.0</v>
      </c>
      <c r="B2666" s="23">
        <v>2023.0</v>
      </c>
      <c r="C2666" s="36" t="str">
        <f t="shared" si="7"/>
        <v>847 GRENSHAW ST,Houston,TX</v>
      </c>
      <c r="D2666" s="23" t="s">
        <v>3952</v>
      </c>
      <c r="E2666" s="6" t="s">
        <v>25</v>
      </c>
      <c r="F2666" s="6" t="s">
        <v>1388</v>
      </c>
      <c r="G2666" s="31" t="s">
        <v>502</v>
      </c>
      <c r="H2666" s="23" t="s">
        <v>50</v>
      </c>
      <c r="I2666" s="37" t="str">
        <f>VLOOKUP(H2666,'Flow Location'!$A$1:$B$21,2,FALSE)</f>
        <v>Contained On Site, not within 5 ft. of Bayou/Surface Water/Drainage Ditch</v>
      </c>
      <c r="J2666" s="28">
        <v>0.0</v>
      </c>
      <c r="K2666" s="23" t="s">
        <v>198</v>
      </c>
      <c r="L2666" s="37" t="str">
        <f>VLOOKUP(K2666,'Structure type'!$A$1:$B$15,2,FALSE)</f>
        <v>Service Lateral</v>
      </c>
      <c r="M2666" s="23" t="s">
        <v>81</v>
      </c>
      <c r="N2666" s="25" t="str">
        <f>VLOOKUP(M2666,'Excursion Cause'!$A$1:$B$34,2,FALSE)</f>
        <v>Collection system structural failure</v>
      </c>
      <c r="O2666" s="29">
        <v>45058.0</v>
      </c>
      <c r="P2666" s="30">
        <v>0.4840277777777778</v>
      </c>
      <c r="Q2666" s="32">
        <v>45058.0</v>
      </c>
      <c r="R2666" s="30">
        <v>0.4847222222222222</v>
      </c>
      <c r="S2666" s="23">
        <v>0.0</v>
      </c>
      <c r="T2666" s="23" t="s">
        <v>118</v>
      </c>
      <c r="U2666" s="32"/>
      <c r="V2666" s="6"/>
      <c r="W2666" s="35">
        <v>29.8805763</v>
      </c>
      <c r="X2666" s="35">
        <v>-95.4186837</v>
      </c>
      <c r="AA2666" s="33"/>
      <c r="AB2666" s="33"/>
      <c r="AC2666" s="39"/>
      <c r="AD2666" s="33"/>
      <c r="AE2666" s="33"/>
      <c r="AF2666" s="33"/>
      <c r="AG2666" s="33"/>
      <c r="AH2666" s="33"/>
      <c r="AI2666" s="33"/>
      <c r="AJ2666" s="33"/>
      <c r="AK2666" s="33"/>
      <c r="AL2666" s="33"/>
      <c r="AM2666" s="33"/>
      <c r="AN2666" s="33"/>
      <c r="AO2666" s="33"/>
    </row>
    <row r="2667" ht="15.75" customHeight="1">
      <c r="A2667" s="23">
        <v>52321.0</v>
      </c>
      <c r="B2667" s="23">
        <v>2023.0</v>
      </c>
      <c r="C2667" s="36" t="str">
        <f t="shared" si="7"/>
        <v>667 SEMINAR DR,Houston,TX</v>
      </c>
      <c r="D2667" s="23" t="s">
        <v>3883</v>
      </c>
      <c r="E2667" s="6" t="s">
        <v>25</v>
      </c>
      <c r="F2667" s="6" t="s">
        <v>1388</v>
      </c>
      <c r="G2667" s="31" t="s">
        <v>393</v>
      </c>
      <c r="H2667" s="23" t="s">
        <v>50</v>
      </c>
      <c r="I2667" s="37" t="str">
        <f>VLOOKUP(H2667,'Flow Location'!$A$1:$B$21,2,FALSE)</f>
        <v>Contained On Site, not within 5 ft. of Bayou/Surface Water/Drainage Ditch</v>
      </c>
      <c r="J2667" s="28">
        <v>0.0</v>
      </c>
      <c r="K2667" s="23" t="s">
        <v>29</v>
      </c>
      <c r="L2667" s="37" t="str">
        <f>VLOOKUP(K2667,'Structure type'!$A$1:$B$15,2,FALSE)</f>
        <v>Manhole</v>
      </c>
      <c r="M2667" s="23" t="s">
        <v>96</v>
      </c>
      <c r="N2667" s="25" t="str">
        <f>VLOOKUP(M2667,'Excursion Cause'!$A$1:$B$34,2,FALSE)</f>
        <v>Collection system temporary blockage</v>
      </c>
      <c r="O2667" s="29">
        <v>45058.0</v>
      </c>
      <c r="P2667" s="30">
        <v>0.5194444444444445</v>
      </c>
      <c r="Q2667" s="32">
        <v>45058.0</v>
      </c>
      <c r="R2667" s="30">
        <v>0.5201388888888889</v>
      </c>
      <c r="S2667" s="23">
        <v>0.0</v>
      </c>
      <c r="T2667" s="23" t="s">
        <v>118</v>
      </c>
      <c r="U2667" s="32"/>
      <c r="V2667" s="6"/>
      <c r="W2667" s="35">
        <v>29.9486597</v>
      </c>
      <c r="X2667" s="35">
        <v>-95.3887994</v>
      </c>
      <c r="AA2667" s="33"/>
      <c r="AB2667" s="33"/>
      <c r="AC2667" s="39"/>
      <c r="AD2667" s="33"/>
      <c r="AE2667" s="33"/>
      <c r="AF2667" s="33"/>
      <c r="AG2667" s="33"/>
      <c r="AH2667" s="33"/>
      <c r="AI2667" s="33"/>
      <c r="AJ2667" s="33"/>
      <c r="AK2667" s="33"/>
      <c r="AL2667" s="33"/>
      <c r="AM2667" s="33"/>
      <c r="AN2667" s="33"/>
      <c r="AO2667" s="33"/>
    </row>
    <row r="2668" ht="15.75" customHeight="1">
      <c r="A2668" s="23">
        <v>52322.0</v>
      </c>
      <c r="B2668" s="23">
        <v>2023.0</v>
      </c>
      <c r="C2668" s="36" t="str">
        <f t="shared" si="7"/>
        <v>4939 CALLERY CREEK DR,Houston,TX</v>
      </c>
      <c r="D2668" s="23" t="s">
        <v>3953</v>
      </c>
      <c r="E2668" s="6" t="s">
        <v>25</v>
      </c>
      <c r="F2668" s="6" t="s">
        <v>1388</v>
      </c>
      <c r="G2668" s="31" t="s">
        <v>517</v>
      </c>
      <c r="H2668" s="23" t="s">
        <v>50</v>
      </c>
      <c r="I2668" s="37" t="str">
        <f>VLOOKUP(H2668,'Flow Location'!$A$1:$B$21,2,FALSE)</f>
        <v>Contained On Site, not within 5 ft. of Bayou/Surface Water/Drainage Ditch</v>
      </c>
      <c r="J2668" s="28">
        <v>0.0</v>
      </c>
      <c r="K2668" s="23" t="s">
        <v>51</v>
      </c>
      <c r="L2668" s="37" t="str">
        <f>VLOOKUP(K2668,'Structure type'!$A$1:$B$15,2,FALSE)</f>
        <v>Private Cleanout</v>
      </c>
      <c r="M2668" s="23" t="s">
        <v>30</v>
      </c>
      <c r="N2668" s="25" t="str">
        <f>VLOOKUP(M2668,'Excursion Cause'!$A$1:$B$34,2,FALSE)</f>
        <v>Grease Blockage</v>
      </c>
      <c r="O2668" s="29">
        <v>45058.0</v>
      </c>
      <c r="P2668" s="30">
        <v>0.58125</v>
      </c>
      <c r="Q2668" s="32">
        <v>45058.0</v>
      </c>
      <c r="R2668" s="30">
        <v>0.5819444444444445</v>
      </c>
      <c r="S2668" s="23">
        <v>0.0</v>
      </c>
      <c r="T2668" s="23" t="s">
        <v>3749</v>
      </c>
      <c r="U2668" s="32"/>
      <c r="V2668" s="6"/>
      <c r="W2668" s="35">
        <v>29.5953175</v>
      </c>
      <c r="X2668" s="35">
        <v>-95.4553253</v>
      </c>
      <c r="AA2668" s="33"/>
      <c r="AB2668" s="33"/>
      <c r="AC2668" s="39"/>
      <c r="AD2668" s="33"/>
      <c r="AE2668" s="33"/>
      <c r="AF2668" s="33"/>
      <c r="AG2668" s="33"/>
      <c r="AH2668" s="33"/>
      <c r="AI2668" s="33"/>
      <c r="AJ2668" s="33"/>
      <c r="AK2668" s="33"/>
      <c r="AL2668" s="33"/>
      <c r="AM2668" s="33"/>
      <c r="AN2668" s="33"/>
      <c r="AO2668" s="33"/>
    </row>
    <row r="2669" ht="15.75" customHeight="1">
      <c r="A2669" s="23">
        <v>52323.0</v>
      </c>
      <c r="B2669" s="23">
        <v>2023.0</v>
      </c>
      <c r="C2669" s="36" t="str">
        <f t="shared" si="7"/>
        <v>4106 WORRELL DR,Houston,TX</v>
      </c>
      <c r="D2669" s="23" t="s">
        <v>1688</v>
      </c>
      <c r="E2669" s="6" t="s">
        <v>25</v>
      </c>
      <c r="F2669" s="6" t="s">
        <v>1388</v>
      </c>
      <c r="G2669" s="31" t="s">
        <v>39</v>
      </c>
      <c r="H2669" s="23" t="s">
        <v>50</v>
      </c>
      <c r="I2669" s="37" t="str">
        <f>VLOOKUP(H2669,'Flow Location'!$A$1:$B$21,2,FALSE)</f>
        <v>Contained On Site, not within 5 ft. of Bayou/Surface Water/Drainage Ditch</v>
      </c>
      <c r="J2669" s="28">
        <v>0.0</v>
      </c>
      <c r="K2669" s="23" t="s">
        <v>29</v>
      </c>
      <c r="L2669" s="37" t="str">
        <f>VLOOKUP(K2669,'Structure type'!$A$1:$B$15,2,FALSE)</f>
        <v>Manhole</v>
      </c>
      <c r="M2669" s="23" t="s">
        <v>30</v>
      </c>
      <c r="N2669" s="25" t="str">
        <f>VLOOKUP(M2669,'Excursion Cause'!$A$1:$B$34,2,FALSE)</f>
        <v>Grease Blockage</v>
      </c>
      <c r="O2669" s="29">
        <v>45058.0</v>
      </c>
      <c r="P2669" s="30">
        <v>0.6368055555555555</v>
      </c>
      <c r="Q2669" s="32">
        <v>45058.0</v>
      </c>
      <c r="R2669" s="30">
        <v>0.6375</v>
      </c>
      <c r="S2669" s="23">
        <v>0.0</v>
      </c>
      <c r="T2669" s="23" t="s">
        <v>3749</v>
      </c>
      <c r="U2669" s="32"/>
      <c r="V2669" s="6"/>
      <c r="W2669" s="35">
        <v>29.6412261</v>
      </c>
      <c r="X2669" s="35">
        <v>-95.4400895</v>
      </c>
      <c r="AA2669" s="33"/>
      <c r="AB2669" s="33"/>
      <c r="AC2669" s="39"/>
      <c r="AD2669" s="33"/>
      <c r="AE2669" s="33"/>
      <c r="AF2669" s="33"/>
      <c r="AG2669" s="33"/>
      <c r="AH2669" s="33"/>
      <c r="AI2669" s="33"/>
      <c r="AJ2669" s="33"/>
      <c r="AK2669" s="33"/>
      <c r="AL2669" s="33"/>
      <c r="AM2669" s="33"/>
      <c r="AN2669" s="33"/>
      <c r="AO2669" s="33"/>
    </row>
    <row r="2670" ht="15.75" customHeight="1">
      <c r="A2670" s="23">
        <v>52329.0</v>
      </c>
      <c r="B2670" s="23">
        <v>2023.0</v>
      </c>
      <c r="C2670" s="36" t="str">
        <f t="shared" si="7"/>
        <v>4903 RIDGESTONE LN,Houston,TX</v>
      </c>
      <c r="D2670" s="23" t="s">
        <v>3954</v>
      </c>
      <c r="E2670" s="6" t="s">
        <v>25</v>
      </c>
      <c r="F2670" s="6" t="s">
        <v>1388</v>
      </c>
      <c r="G2670" s="31" t="s">
        <v>517</v>
      </c>
      <c r="H2670" s="23" t="s">
        <v>50</v>
      </c>
      <c r="I2670" s="37" t="str">
        <f>VLOOKUP(H2670,'Flow Location'!$A$1:$B$21,2,FALSE)</f>
        <v>Contained On Site, not within 5 ft. of Bayou/Surface Water/Drainage Ditch</v>
      </c>
      <c r="J2670" s="28">
        <v>0.0</v>
      </c>
      <c r="K2670" s="23" t="s">
        <v>29</v>
      </c>
      <c r="L2670" s="37" t="str">
        <f>VLOOKUP(K2670,'Structure type'!$A$1:$B$15,2,FALSE)</f>
        <v>Manhole</v>
      </c>
      <c r="M2670" s="23" t="s">
        <v>30</v>
      </c>
      <c r="N2670" s="25" t="str">
        <f>VLOOKUP(M2670,'Excursion Cause'!$A$1:$B$34,2,FALSE)</f>
        <v>Grease Blockage</v>
      </c>
      <c r="O2670" s="29">
        <v>45059.0</v>
      </c>
      <c r="P2670" s="30">
        <v>0.45069444444444445</v>
      </c>
      <c r="Q2670" s="32">
        <v>45059.0</v>
      </c>
      <c r="R2670" s="30">
        <v>0.4513888888888889</v>
      </c>
      <c r="S2670" s="23">
        <v>0.0</v>
      </c>
      <c r="T2670" s="23" t="s">
        <v>1462</v>
      </c>
      <c r="U2670" s="32"/>
      <c r="V2670" s="6"/>
      <c r="W2670" s="35">
        <v>29.5907344</v>
      </c>
      <c r="X2670" s="35">
        <v>-95.456227</v>
      </c>
      <c r="AA2670" s="33"/>
      <c r="AB2670" s="33"/>
      <c r="AC2670" s="39"/>
      <c r="AD2670" s="33"/>
      <c r="AE2670" s="33"/>
      <c r="AF2670" s="33"/>
      <c r="AG2670" s="33"/>
      <c r="AH2670" s="33"/>
      <c r="AI2670" s="33"/>
      <c r="AJ2670" s="33"/>
      <c r="AK2670" s="33"/>
      <c r="AL2670" s="33"/>
      <c r="AM2670" s="33"/>
      <c r="AN2670" s="33"/>
      <c r="AO2670" s="33"/>
    </row>
    <row r="2671" ht="15.75" customHeight="1">
      <c r="A2671" s="23">
        <v>52331.0</v>
      </c>
      <c r="B2671" s="23">
        <v>2023.0</v>
      </c>
      <c r="C2671" s="36" t="str">
        <f t="shared" si="7"/>
        <v>2602 MOREAU ST,Houston,TX</v>
      </c>
      <c r="D2671" s="23" t="s">
        <v>3955</v>
      </c>
      <c r="E2671" s="6" t="s">
        <v>25</v>
      </c>
      <c r="F2671" s="6" t="s">
        <v>1388</v>
      </c>
      <c r="G2671" s="31" t="s">
        <v>109</v>
      </c>
      <c r="H2671" s="23" t="s">
        <v>44</v>
      </c>
      <c r="I2671" s="37" t="str">
        <f>VLOOKUP(H2671,'Flow Location'!$A$1:$B$21,2,FALSE)</f>
        <v>Bayou/surface water/drainage ditch</v>
      </c>
      <c r="J2671" s="28">
        <v>0.0</v>
      </c>
      <c r="K2671" s="23" t="s">
        <v>29</v>
      </c>
      <c r="L2671" s="37" t="str">
        <f>VLOOKUP(K2671,'Structure type'!$A$1:$B$15,2,FALSE)</f>
        <v>Manhole</v>
      </c>
      <c r="M2671" s="23" t="s">
        <v>30</v>
      </c>
      <c r="N2671" s="25" t="str">
        <f>VLOOKUP(M2671,'Excursion Cause'!$A$1:$B$34,2,FALSE)</f>
        <v>Grease Blockage</v>
      </c>
      <c r="O2671" s="29">
        <v>45059.0</v>
      </c>
      <c r="P2671" s="30">
        <v>0.47708333333333336</v>
      </c>
      <c r="Q2671" s="32">
        <v>45059.0</v>
      </c>
      <c r="R2671" s="30">
        <v>0.4777777777777778</v>
      </c>
      <c r="S2671" s="23">
        <v>0.0</v>
      </c>
      <c r="T2671" s="23" t="s">
        <v>118</v>
      </c>
      <c r="U2671" s="32"/>
      <c r="V2671" s="6"/>
      <c r="W2671" s="35">
        <v>29.8642624</v>
      </c>
      <c r="X2671" s="35">
        <v>-95.3456463999999</v>
      </c>
      <c r="AA2671" s="33"/>
      <c r="AB2671" s="33"/>
      <c r="AC2671" s="39"/>
      <c r="AD2671" s="33"/>
      <c r="AE2671" s="33"/>
      <c r="AF2671" s="33"/>
      <c r="AG2671" s="33"/>
      <c r="AH2671" s="33"/>
      <c r="AI2671" s="33"/>
      <c r="AJ2671" s="33"/>
      <c r="AK2671" s="33"/>
      <c r="AL2671" s="33"/>
      <c r="AM2671" s="33"/>
      <c r="AN2671" s="33"/>
      <c r="AO2671" s="33"/>
    </row>
    <row r="2672" ht="15.75" customHeight="1">
      <c r="A2672" s="23">
        <v>52334.0</v>
      </c>
      <c r="B2672" s="23">
        <v>2023.0</v>
      </c>
      <c r="C2672" s="36" t="str">
        <f t="shared" si="7"/>
        <v>909 WIRT RD,Houston,TX</v>
      </c>
      <c r="D2672" s="23" t="s">
        <v>3956</v>
      </c>
      <c r="E2672" s="6" t="s">
        <v>25</v>
      </c>
      <c r="F2672" s="6" t="s">
        <v>1388</v>
      </c>
      <c r="G2672" s="31" t="s">
        <v>123</v>
      </c>
      <c r="H2672" s="23" t="s">
        <v>50</v>
      </c>
      <c r="I2672" s="37" t="str">
        <f>VLOOKUP(H2672,'Flow Location'!$A$1:$B$21,2,FALSE)</f>
        <v>Contained On Site, not within 5 ft. of Bayou/Surface Water/Drainage Ditch</v>
      </c>
      <c r="J2672" s="28">
        <v>5932.0</v>
      </c>
      <c r="K2672" s="23" t="s">
        <v>51</v>
      </c>
      <c r="L2672" s="37" t="str">
        <f>VLOOKUP(K2672,'Structure type'!$A$1:$B$15,2,FALSE)</f>
        <v>Private Cleanout</v>
      </c>
      <c r="M2672" s="23" t="s">
        <v>30</v>
      </c>
      <c r="N2672" s="25" t="str">
        <f>VLOOKUP(M2672,'Excursion Cause'!$A$1:$B$34,2,FALSE)</f>
        <v>Grease Blockage</v>
      </c>
      <c r="O2672" s="29">
        <v>45059.0</v>
      </c>
      <c r="P2672" s="30">
        <v>0.6472222222222223</v>
      </c>
      <c r="Q2672" s="32">
        <v>45061.0</v>
      </c>
      <c r="R2672" s="30">
        <v>0.7069444444444445</v>
      </c>
      <c r="S2672" s="23">
        <v>2.0</v>
      </c>
      <c r="T2672" s="23" t="s">
        <v>3749</v>
      </c>
      <c r="U2672" s="32"/>
      <c r="V2672" s="6"/>
      <c r="W2672" s="35">
        <v>29.7821696</v>
      </c>
      <c r="X2672" s="35">
        <v>-95.4852006</v>
      </c>
      <c r="AA2672" s="33"/>
      <c r="AB2672" s="33"/>
      <c r="AC2672" s="39"/>
      <c r="AD2672" s="33"/>
      <c r="AE2672" s="33"/>
      <c r="AF2672" s="33"/>
      <c r="AG2672" s="33"/>
      <c r="AH2672" s="33"/>
      <c r="AI2672" s="33"/>
      <c r="AJ2672" s="33"/>
      <c r="AK2672" s="33"/>
      <c r="AL2672" s="33"/>
      <c r="AM2672" s="33"/>
      <c r="AN2672" s="33"/>
      <c r="AO2672" s="33"/>
    </row>
    <row r="2673" ht="15.75" customHeight="1">
      <c r="A2673" s="23">
        <v>52335.0</v>
      </c>
      <c r="B2673" s="23">
        <v>2023.0</v>
      </c>
      <c r="C2673" s="36" t="str">
        <f t="shared" si="7"/>
        <v>8823 LEADER ST,Houston,TX</v>
      </c>
      <c r="D2673" s="23" t="s">
        <v>3957</v>
      </c>
      <c r="E2673" s="6" t="s">
        <v>25</v>
      </c>
      <c r="F2673" s="6" t="s">
        <v>1388</v>
      </c>
      <c r="G2673" s="31" t="s">
        <v>100</v>
      </c>
      <c r="H2673" s="23" t="s">
        <v>28</v>
      </c>
      <c r="I2673" s="37" t="str">
        <f>VLOOKUP(H2673,'Flow Location'!$A$1:$B$21,2,FALSE)</f>
        <v>Storm Sewer (not contained)</v>
      </c>
      <c r="J2673" s="28">
        <v>7356.0</v>
      </c>
      <c r="K2673" s="23" t="s">
        <v>29</v>
      </c>
      <c r="L2673" s="37" t="str">
        <f>VLOOKUP(K2673,'Structure type'!$A$1:$B$15,2,FALSE)</f>
        <v>Manhole</v>
      </c>
      <c r="M2673" s="23" t="s">
        <v>30</v>
      </c>
      <c r="N2673" s="25" t="str">
        <f>VLOOKUP(M2673,'Excursion Cause'!$A$1:$B$34,2,FALSE)</f>
        <v>Grease Blockage</v>
      </c>
      <c r="O2673" s="29">
        <v>45060.0</v>
      </c>
      <c r="P2673" s="30">
        <v>0.31319444444444444</v>
      </c>
      <c r="Q2673" s="32">
        <v>45061.0</v>
      </c>
      <c r="R2673" s="30">
        <v>0.5902777777777778</v>
      </c>
      <c r="S2673" s="23">
        <v>4.0</v>
      </c>
      <c r="T2673" s="23" t="s">
        <v>3749</v>
      </c>
      <c r="U2673" s="32"/>
      <c r="V2673" s="6"/>
      <c r="W2673" s="35">
        <v>29.7037994</v>
      </c>
      <c r="X2673" s="35">
        <v>-95.5403942</v>
      </c>
      <c r="AA2673" s="33"/>
      <c r="AB2673" s="33"/>
      <c r="AC2673" s="39"/>
      <c r="AD2673" s="33"/>
      <c r="AE2673" s="33"/>
      <c r="AF2673" s="33"/>
      <c r="AG2673" s="33"/>
      <c r="AH2673" s="33"/>
      <c r="AI2673" s="33"/>
      <c r="AJ2673" s="33"/>
      <c r="AK2673" s="33"/>
      <c r="AL2673" s="33"/>
      <c r="AM2673" s="33"/>
      <c r="AN2673" s="33"/>
      <c r="AO2673" s="33"/>
    </row>
    <row r="2674" ht="15.75" customHeight="1">
      <c r="A2674" s="23">
        <v>52336.0</v>
      </c>
      <c r="B2674" s="23">
        <v>2023.0</v>
      </c>
      <c r="C2674" s="36" t="str">
        <f t="shared" si="7"/>
        <v>5759 WILLOWBEND BLVD,Houston,TX</v>
      </c>
      <c r="D2674" s="23" t="s">
        <v>3958</v>
      </c>
      <c r="E2674" s="6" t="s">
        <v>25</v>
      </c>
      <c r="F2674" s="6" t="s">
        <v>1388</v>
      </c>
      <c r="G2674" s="31" t="s">
        <v>69</v>
      </c>
      <c r="H2674" s="23" t="s">
        <v>28</v>
      </c>
      <c r="I2674" s="37" t="str">
        <f>VLOOKUP(H2674,'Flow Location'!$A$1:$B$21,2,FALSE)</f>
        <v>Storm Sewer (not contained)</v>
      </c>
      <c r="J2674" s="28">
        <v>3434.0</v>
      </c>
      <c r="K2674" s="23" t="s">
        <v>29</v>
      </c>
      <c r="L2674" s="37" t="str">
        <f>VLOOKUP(K2674,'Structure type'!$A$1:$B$15,2,FALSE)</f>
        <v>Manhole</v>
      </c>
      <c r="M2674" s="23" t="s">
        <v>1174</v>
      </c>
      <c r="N2674" s="25" t="str">
        <f>VLOOKUP(M2674,'Excursion Cause'!$A$1:$B$34,2,FALSE)</f>
        <v>Collection system wet weather</v>
      </c>
      <c r="O2674" s="29">
        <v>45060.0</v>
      </c>
      <c r="P2674" s="30">
        <v>0.3645833333333333</v>
      </c>
      <c r="Q2674" s="32">
        <v>45061.0</v>
      </c>
      <c r="R2674" s="30">
        <v>0.5569444444444445</v>
      </c>
      <c r="S2674" s="23">
        <v>2.0</v>
      </c>
      <c r="T2674" s="23" t="s">
        <v>118</v>
      </c>
      <c r="U2674" s="32"/>
      <c r="V2674" s="6"/>
      <c r="W2674" s="35">
        <v>29.6661541</v>
      </c>
      <c r="X2674" s="35">
        <v>-95.4896198</v>
      </c>
      <c r="AA2674" s="33"/>
      <c r="AB2674" s="33"/>
      <c r="AC2674" s="39"/>
      <c r="AD2674" s="33"/>
      <c r="AE2674" s="33"/>
      <c r="AF2674" s="33"/>
      <c r="AG2674" s="33"/>
      <c r="AH2674" s="33"/>
      <c r="AI2674" s="33"/>
      <c r="AJ2674" s="33"/>
      <c r="AK2674" s="33"/>
      <c r="AL2674" s="33"/>
      <c r="AM2674" s="33"/>
      <c r="AN2674" s="33"/>
      <c r="AO2674" s="33"/>
    </row>
    <row r="2675" ht="15.75" customHeight="1">
      <c r="A2675" s="23">
        <v>52337.0</v>
      </c>
      <c r="B2675" s="23">
        <v>2023.0</v>
      </c>
      <c r="C2675" s="36" t="str">
        <f t="shared" si="7"/>
        <v>5326 DE MILO DR,Houston,TX</v>
      </c>
      <c r="D2675" s="23" t="s">
        <v>3959</v>
      </c>
      <c r="E2675" s="6" t="s">
        <v>25</v>
      </c>
      <c r="F2675" s="6" t="s">
        <v>1388</v>
      </c>
      <c r="G2675" s="31" t="s">
        <v>76</v>
      </c>
      <c r="H2675" s="23" t="s">
        <v>50</v>
      </c>
      <c r="I2675" s="37" t="str">
        <f>VLOOKUP(H2675,'Flow Location'!$A$1:$B$21,2,FALSE)</f>
        <v>Contained On Site, not within 5 ft. of Bayou/Surface Water/Drainage Ditch</v>
      </c>
      <c r="J2675" s="28">
        <v>3234.0</v>
      </c>
      <c r="K2675" s="23" t="s">
        <v>29</v>
      </c>
      <c r="L2675" s="37" t="str">
        <f>VLOOKUP(K2675,'Structure type'!$A$1:$B$15,2,FALSE)</f>
        <v>Manhole</v>
      </c>
      <c r="M2675" s="23" t="s">
        <v>81</v>
      </c>
      <c r="N2675" s="25" t="str">
        <f>VLOOKUP(M2675,'Excursion Cause'!$A$1:$B$34,2,FALSE)</f>
        <v>Collection system structural failure</v>
      </c>
      <c r="O2675" s="29">
        <v>45060.0</v>
      </c>
      <c r="P2675" s="30">
        <v>0.45555555555555555</v>
      </c>
      <c r="Q2675" s="32">
        <v>45062.0</v>
      </c>
      <c r="R2675" s="30">
        <v>0.7013888888888888</v>
      </c>
      <c r="S2675" s="23">
        <v>1.0</v>
      </c>
      <c r="T2675" s="23" t="s">
        <v>292</v>
      </c>
      <c r="U2675" s="32"/>
      <c r="V2675" s="6"/>
      <c r="W2675" s="35">
        <v>29.8342156</v>
      </c>
      <c r="X2675" s="35">
        <v>-95.4710435</v>
      </c>
      <c r="AA2675" s="33"/>
      <c r="AB2675" s="33"/>
      <c r="AC2675" s="39"/>
      <c r="AD2675" s="33"/>
      <c r="AE2675" s="33"/>
      <c r="AF2675" s="33"/>
      <c r="AG2675" s="33"/>
      <c r="AH2675" s="33"/>
      <c r="AI2675" s="33"/>
      <c r="AJ2675" s="33"/>
      <c r="AK2675" s="33"/>
      <c r="AL2675" s="33"/>
      <c r="AM2675" s="33"/>
      <c r="AN2675" s="33"/>
      <c r="AO2675" s="33"/>
    </row>
    <row r="2676" ht="15.75" customHeight="1">
      <c r="A2676" s="23">
        <v>52338.0</v>
      </c>
      <c r="B2676" s="23">
        <v>2023.0</v>
      </c>
      <c r="C2676" s="36" t="str">
        <f t="shared" si="7"/>
        <v>10315 CLIFFWOOD DR,Houston,TX</v>
      </c>
      <c r="D2676" s="23" t="s">
        <v>3960</v>
      </c>
      <c r="E2676" s="6" t="s">
        <v>25</v>
      </c>
      <c r="F2676" s="6" t="s">
        <v>1388</v>
      </c>
      <c r="G2676" s="31" t="s">
        <v>127</v>
      </c>
      <c r="H2676" s="23" t="s">
        <v>28</v>
      </c>
      <c r="I2676" s="37" t="str">
        <f>VLOOKUP(H2676,'Flow Location'!$A$1:$B$21,2,FALSE)</f>
        <v>Storm Sewer (not contained)</v>
      </c>
      <c r="J2676" s="28">
        <v>13768.0</v>
      </c>
      <c r="K2676" s="23" t="s">
        <v>29</v>
      </c>
      <c r="L2676" s="37" t="str">
        <f>VLOOKUP(K2676,'Structure type'!$A$1:$B$15,2,FALSE)</f>
        <v>Manhole</v>
      </c>
      <c r="M2676" s="23" t="s">
        <v>1174</v>
      </c>
      <c r="N2676" s="25" t="str">
        <f>VLOOKUP(M2676,'Excursion Cause'!$A$1:$B$34,2,FALSE)</f>
        <v>Collection system wet weather</v>
      </c>
      <c r="O2676" s="29">
        <v>45060.0</v>
      </c>
      <c r="P2676" s="30">
        <v>0.47847222222222224</v>
      </c>
      <c r="Q2676" s="32">
        <v>45061.0</v>
      </c>
      <c r="R2676" s="30">
        <v>0.6736111111111112</v>
      </c>
      <c r="S2676" s="23">
        <v>8.0</v>
      </c>
      <c r="T2676" s="23" t="s">
        <v>118</v>
      </c>
      <c r="U2676" s="32"/>
      <c r="V2676" s="6"/>
      <c r="W2676" s="35">
        <v>29.6693080999999</v>
      </c>
      <c r="X2676" s="35">
        <v>-95.4552369</v>
      </c>
      <c r="AA2676" s="33"/>
      <c r="AB2676" s="33"/>
      <c r="AC2676" s="39"/>
      <c r="AD2676" s="33"/>
      <c r="AE2676" s="33"/>
      <c r="AF2676" s="33"/>
      <c r="AG2676" s="33"/>
      <c r="AH2676" s="33"/>
      <c r="AI2676" s="33"/>
      <c r="AJ2676" s="33"/>
      <c r="AK2676" s="33"/>
      <c r="AL2676" s="33"/>
      <c r="AM2676" s="33"/>
      <c r="AN2676" s="33"/>
      <c r="AO2676" s="33"/>
    </row>
    <row r="2677" ht="15.75" customHeight="1">
      <c r="A2677" s="23">
        <v>52339.0</v>
      </c>
      <c r="B2677" s="23">
        <v>2023.0</v>
      </c>
      <c r="C2677" s="36" t="str">
        <f t="shared" si="7"/>
        <v>8007 CAPITOL ST,Houston,TX</v>
      </c>
      <c r="D2677" s="23" t="s">
        <v>1264</v>
      </c>
      <c r="E2677" s="6" t="s">
        <v>25</v>
      </c>
      <c r="F2677" s="6" t="s">
        <v>1388</v>
      </c>
      <c r="G2677" s="31" t="s">
        <v>365</v>
      </c>
      <c r="H2677" s="23" t="s">
        <v>28</v>
      </c>
      <c r="I2677" s="37" t="str">
        <f>VLOOKUP(H2677,'Flow Location'!$A$1:$B$21,2,FALSE)</f>
        <v>Storm Sewer (not contained)</v>
      </c>
      <c r="J2677" s="28">
        <v>1420.0</v>
      </c>
      <c r="K2677" s="23" t="s">
        <v>29</v>
      </c>
      <c r="L2677" s="37" t="str">
        <f>VLOOKUP(K2677,'Structure type'!$A$1:$B$15,2,FALSE)</f>
        <v>Manhole</v>
      </c>
      <c r="M2677" s="23" t="s">
        <v>96</v>
      </c>
      <c r="N2677" s="25" t="str">
        <f>VLOOKUP(M2677,'Excursion Cause'!$A$1:$B$34,2,FALSE)</f>
        <v>Collection system temporary blockage</v>
      </c>
      <c r="O2677" s="29">
        <v>45060.0</v>
      </c>
      <c r="P2677" s="30">
        <v>0.5263888888888889</v>
      </c>
      <c r="Q2677" s="32">
        <v>45060.0</v>
      </c>
      <c r="R2677" s="30">
        <v>0.625</v>
      </c>
      <c r="S2677" s="23">
        <v>10.0</v>
      </c>
      <c r="T2677" s="23" t="s">
        <v>3961</v>
      </c>
      <c r="U2677" s="32"/>
      <c r="V2677" s="6"/>
      <c r="W2677" s="35">
        <v>29.7281795</v>
      </c>
      <c r="X2677" s="35">
        <v>-95.2822578999999</v>
      </c>
      <c r="AA2677" s="33"/>
      <c r="AB2677" s="33"/>
      <c r="AC2677" s="39"/>
      <c r="AD2677" s="33"/>
      <c r="AE2677" s="33"/>
      <c r="AF2677" s="33"/>
      <c r="AG2677" s="33"/>
      <c r="AH2677" s="33"/>
      <c r="AI2677" s="33"/>
      <c r="AJ2677" s="33"/>
      <c r="AK2677" s="33"/>
      <c r="AL2677" s="33"/>
      <c r="AM2677" s="33"/>
      <c r="AN2677" s="33"/>
      <c r="AO2677" s="33"/>
    </row>
    <row r="2678" ht="15.75" customHeight="1">
      <c r="A2678" s="23">
        <v>52340.0</v>
      </c>
      <c r="B2678" s="23">
        <v>2023.0</v>
      </c>
      <c r="C2678" s="36" t="str">
        <f t="shared" si="7"/>
        <v>1308 WRIGHTWOOD ST,Houston,TX</v>
      </c>
      <c r="D2678" s="23" t="s">
        <v>3962</v>
      </c>
      <c r="E2678" s="6" t="s">
        <v>25</v>
      </c>
      <c r="F2678" s="6" t="s">
        <v>1388</v>
      </c>
      <c r="G2678" s="31" t="s">
        <v>161</v>
      </c>
      <c r="H2678" s="23" t="s">
        <v>28</v>
      </c>
      <c r="I2678" s="37" t="str">
        <f>VLOOKUP(H2678,'Flow Location'!$A$1:$B$21,2,FALSE)</f>
        <v>Storm Sewer (not contained)</v>
      </c>
      <c r="J2678" s="28">
        <v>1009.0</v>
      </c>
      <c r="K2678" s="23" t="s">
        <v>29</v>
      </c>
      <c r="L2678" s="37" t="str">
        <f>VLOOKUP(K2678,'Structure type'!$A$1:$B$15,2,FALSE)</f>
        <v>Manhole</v>
      </c>
      <c r="M2678" s="23" t="s">
        <v>1174</v>
      </c>
      <c r="N2678" s="25" t="str">
        <f>VLOOKUP(M2678,'Excursion Cause'!$A$1:$B$34,2,FALSE)</f>
        <v>Collection system wet weather</v>
      </c>
      <c r="O2678" s="29">
        <v>45060.0</v>
      </c>
      <c r="P2678" s="30">
        <v>0.5875</v>
      </c>
      <c r="Q2678" s="32">
        <v>45060.0</v>
      </c>
      <c r="R2678" s="30">
        <v>0.8013888888888889</v>
      </c>
      <c r="S2678" s="23">
        <v>3.0</v>
      </c>
      <c r="T2678" s="23" t="s">
        <v>3961</v>
      </c>
      <c r="U2678" s="32"/>
      <c r="V2678" s="6"/>
      <c r="W2678" s="35">
        <v>29.7812028</v>
      </c>
      <c r="X2678" s="35">
        <v>-95.3704037999999</v>
      </c>
      <c r="AA2678" s="33"/>
      <c r="AB2678" s="33"/>
      <c r="AC2678" s="39"/>
      <c r="AD2678" s="33"/>
      <c r="AE2678" s="33"/>
      <c r="AF2678" s="33"/>
      <c r="AG2678" s="33"/>
      <c r="AH2678" s="33"/>
      <c r="AI2678" s="33"/>
      <c r="AJ2678" s="33"/>
      <c r="AK2678" s="33"/>
      <c r="AL2678" s="33"/>
      <c r="AM2678" s="33"/>
      <c r="AN2678" s="33"/>
      <c r="AO2678" s="33"/>
    </row>
    <row r="2679" ht="15.75" customHeight="1">
      <c r="A2679" s="23">
        <v>52341.0</v>
      </c>
      <c r="B2679" s="23">
        <v>2023.0</v>
      </c>
      <c r="C2679" s="36" t="str">
        <f t="shared" si="7"/>
        <v>3203 LOCKE LN,Houston,TX</v>
      </c>
      <c r="D2679" s="23" t="s">
        <v>3963</v>
      </c>
      <c r="E2679" s="6" t="s">
        <v>25</v>
      </c>
      <c r="F2679" s="6" t="s">
        <v>1388</v>
      </c>
      <c r="G2679" s="31" t="s">
        <v>80</v>
      </c>
      <c r="H2679" s="23" t="s">
        <v>28</v>
      </c>
      <c r="I2679" s="37" t="str">
        <f>VLOOKUP(H2679,'Flow Location'!$A$1:$B$21,2,FALSE)</f>
        <v>Storm Sewer (not contained)</v>
      </c>
      <c r="J2679" s="28">
        <v>1281.0</v>
      </c>
      <c r="K2679" s="23" t="s">
        <v>29</v>
      </c>
      <c r="L2679" s="37" t="str">
        <f>VLOOKUP(K2679,'Structure type'!$A$1:$B$15,2,FALSE)</f>
        <v>Manhole</v>
      </c>
      <c r="M2679" s="23" t="s">
        <v>30</v>
      </c>
      <c r="N2679" s="25" t="str">
        <f>VLOOKUP(M2679,'Excursion Cause'!$A$1:$B$34,2,FALSE)</f>
        <v>Grease Blockage</v>
      </c>
      <c r="O2679" s="29">
        <v>45060.0</v>
      </c>
      <c r="P2679" s="30">
        <v>0.5618055555555556</v>
      </c>
      <c r="Q2679" s="32">
        <v>45061.0</v>
      </c>
      <c r="R2679" s="30">
        <v>0.4513888888888889</v>
      </c>
      <c r="S2679" s="23">
        <v>1.0</v>
      </c>
      <c r="T2679" s="23" t="s">
        <v>1462</v>
      </c>
      <c r="U2679" s="32"/>
      <c r="V2679" s="6"/>
      <c r="W2679" s="35">
        <v>29.7428133</v>
      </c>
      <c r="X2679" s="35">
        <v>-95.4231756</v>
      </c>
      <c r="AA2679" s="33"/>
      <c r="AB2679" s="33"/>
      <c r="AC2679" s="39"/>
      <c r="AD2679" s="33"/>
      <c r="AE2679" s="33"/>
      <c r="AF2679" s="33"/>
      <c r="AG2679" s="33"/>
      <c r="AH2679" s="33"/>
      <c r="AI2679" s="33"/>
      <c r="AJ2679" s="33"/>
      <c r="AK2679" s="33"/>
      <c r="AL2679" s="33"/>
      <c r="AM2679" s="33"/>
      <c r="AN2679" s="33"/>
      <c r="AO2679" s="33"/>
    </row>
    <row r="2680" ht="15.75" customHeight="1">
      <c r="A2680" s="23">
        <v>52342.0</v>
      </c>
      <c r="B2680" s="23">
        <v>2023.0</v>
      </c>
      <c r="C2680" s="36" t="str">
        <f t="shared" si="7"/>
        <v>4100 CLINTON DR,Houston,TX</v>
      </c>
      <c r="D2680" s="23" t="s">
        <v>3964</v>
      </c>
      <c r="E2680" s="6" t="s">
        <v>25</v>
      </c>
      <c r="F2680" s="6" t="s">
        <v>1388</v>
      </c>
      <c r="G2680" s="31" t="s">
        <v>86</v>
      </c>
      <c r="H2680" s="23" t="s">
        <v>28</v>
      </c>
      <c r="I2680" s="37" t="str">
        <f>VLOOKUP(H2680,'Flow Location'!$A$1:$B$21,2,FALSE)</f>
        <v>Storm Sewer (not contained)</v>
      </c>
      <c r="J2680" s="28">
        <v>21300.0</v>
      </c>
      <c r="K2680" s="23" t="s">
        <v>29</v>
      </c>
      <c r="L2680" s="37" t="str">
        <f>VLOOKUP(K2680,'Structure type'!$A$1:$B$15,2,FALSE)</f>
        <v>Manhole</v>
      </c>
      <c r="M2680" s="23" t="s">
        <v>1174</v>
      </c>
      <c r="N2680" s="25" t="str">
        <f>VLOOKUP(M2680,'Excursion Cause'!$A$1:$B$34,2,FALSE)</f>
        <v>Collection system wet weather</v>
      </c>
      <c r="O2680" s="29">
        <v>45060.0</v>
      </c>
      <c r="P2680" s="30">
        <v>0.6236111111111111</v>
      </c>
      <c r="Q2680" s="32">
        <v>45060.0</v>
      </c>
      <c r="R2680" s="30">
        <v>0.7715277777777778</v>
      </c>
      <c r="S2680" s="23">
        <v>100.0</v>
      </c>
      <c r="T2680" s="23" t="s">
        <v>3961</v>
      </c>
      <c r="U2680" s="32"/>
      <c r="V2680" s="6"/>
      <c r="W2680" s="35">
        <v>29.7647415</v>
      </c>
      <c r="X2680" s="35">
        <v>-95.3310427</v>
      </c>
      <c r="AA2680" s="33"/>
      <c r="AB2680" s="33"/>
      <c r="AC2680" s="39"/>
      <c r="AD2680" s="33"/>
      <c r="AE2680" s="33"/>
      <c r="AF2680" s="33"/>
      <c r="AG2680" s="33"/>
      <c r="AH2680" s="33"/>
      <c r="AI2680" s="33"/>
      <c r="AJ2680" s="33"/>
      <c r="AK2680" s="33"/>
      <c r="AL2680" s="33"/>
      <c r="AM2680" s="33"/>
      <c r="AN2680" s="33"/>
      <c r="AO2680" s="33"/>
    </row>
    <row r="2681" ht="15.75" customHeight="1">
      <c r="A2681" s="23">
        <v>52343.0</v>
      </c>
      <c r="B2681" s="23">
        <v>2023.0</v>
      </c>
      <c r="C2681" s="36" t="str">
        <f t="shared" si="7"/>
        <v>515 TAFT ST,Houston,TX</v>
      </c>
      <c r="D2681" s="23" t="s">
        <v>3965</v>
      </c>
      <c r="E2681" s="6" t="s">
        <v>25</v>
      </c>
      <c r="F2681" s="6" t="s">
        <v>1388</v>
      </c>
      <c r="G2681" s="31" t="s">
        <v>80</v>
      </c>
      <c r="H2681" s="23" t="s">
        <v>44</v>
      </c>
      <c r="I2681" s="37" t="str">
        <f>VLOOKUP(H2681,'Flow Location'!$A$1:$B$21,2,FALSE)</f>
        <v>Bayou/surface water/drainage ditch</v>
      </c>
      <c r="J2681" s="28">
        <v>32900.0</v>
      </c>
      <c r="K2681" s="23" t="s">
        <v>29</v>
      </c>
      <c r="L2681" s="37" t="str">
        <f>VLOOKUP(K2681,'Structure type'!$A$1:$B$15,2,FALSE)</f>
        <v>Manhole</v>
      </c>
      <c r="M2681" s="23" t="s">
        <v>1174</v>
      </c>
      <c r="N2681" s="25" t="str">
        <f>VLOOKUP(M2681,'Excursion Cause'!$A$1:$B$34,2,FALSE)</f>
        <v>Collection system wet weather</v>
      </c>
      <c r="O2681" s="29">
        <v>45060.0</v>
      </c>
      <c r="P2681" s="30">
        <v>0.5215277777777778</v>
      </c>
      <c r="Q2681" s="32">
        <v>45060.0</v>
      </c>
      <c r="R2681" s="30">
        <v>0.75</v>
      </c>
      <c r="S2681" s="23">
        <v>100.0</v>
      </c>
      <c r="T2681" s="23" t="s">
        <v>3961</v>
      </c>
      <c r="U2681" s="32"/>
      <c r="V2681" s="6"/>
      <c r="W2681" s="35">
        <v>29.7606549</v>
      </c>
      <c r="X2681" s="35">
        <v>-95.385504</v>
      </c>
      <c r="AA2681" s="33"/>
      <c r="AB2681" s="33"/>
      <c r="AC2681" s="39"/>
      <c r="AD2681" s="33"/>
      <c r="AE2681" s="33"/>
      <c r="AF2681" s="33"/>
      <c r="AG2681" s="33"/>
      <c r="AH2681" s="33"/>
      <c r="AI2681" s="33"/>
      <c r="AJ2681" s="33"/>
      <c r="AK2681" s="33"/>
      <c r="AL2681" s="33"/>
      <c r="AM2681" s="33"/>
      <c r="AN2681" s="33"/>
      <c r="AO2681" s="33"/>
    </row>
    <row r="2682" ht="15.75" customHeight="1">
      <c r="A2682" s="23">
        <v>52344.0</v>
      </c>
      <c r="B2682" s="23">
        <v>2023.0</v>
      </c>
      <c r="C2682" s="36" t="str">
        <f t="shared" si="7"/>
        <v>6612 SOUTHBROOK DR,Houston,TX</v>
      </c>
      <c r="D2682" s="23" t="s">
        <v>3966</v>
      </c>
      <c r="E2682" s="6" t="s">
        <v>25</v>
      </c>
      <c r="F2682" s="6" t="s">
        <v>1388</v>
      </c>
      <c r="G2682" s="31" t="s">
        <v>35</v>
      </c>
      <c r="H2682" s="23" t="s">
        <v>28</v>
      </c>
      <c r="I2682" s="37" t="str">
        <f>VLOOKUP(H2682,'Flow Location'!$A$1:$B$21,2,FALSE)</f>
        <v>Storm Sewer (not contained)</v>
      </c>
      <c r="J2682" s="28">
        <v>0.0</v>
      </c>
      <c r="K2682" s="23" t="s">
        <v>45</v>
      </c>
      <c r="L2682" s="37" t="str">
        <f>VLOOKUP(K2682,'Structure type'!$A$1:$B$15,2,FALSE)</f>
        <v>City Cleanout</v>
      </c>
      <c r="M2682" s="23" t="s">
        <v>56</v>
      </c>
      <c r="N2682" s="25" t="str">
        <f>VLOOKUP(M2682,'Excursion Cause'!$A$1:$B$34,2,FALSE)</f>
        <v>Rags/Wipes</v>
      </c>
      <c r="O2682" s="29">
        <v>45061.0</v>
      </c>
      <c r="P2682" s="30">
        <v>0.3729166666666667</v>
      </c>
      <c r="Q2682" s="32">
        <v>45061.0</v>
      </c>
      <c r="R2682" s="30">
        <v>0.3736111111111111</v>
      </c>
      <c r="S2682" s="23">
        <v>0.0</v>
      </c>
      <c r="T2682" s="23" t="s">
        <v>3756</v>
      </c>
      <c r="U2682" s="32"/>
      <c r="V2682" s="6"/>
      <c r="W2682" s="35">
        <v>29.6583026</v>
      </c>
      <c r="X2682" s="35">
        <v>-95.3097195</v>
      </c>
      <c r="AA2682" s="33"/>
      <c r="AB2682" s="33"/>
      <c r="AC2682" s="39"/>
      <c r="AD2682" s="33"/>
      <c r="AE2682" s="33"/>
      <c r="AF2682" s="33"/>
      <c r="AG2682" s="33"/>
      <c r="AH2682" s="33"/>
      <c r="AI2682" s="33"/>
      <c r="AJ2682" s="33"/>
      <c r="AK2682" s="33"/>
      <c r="AL2682" s="33"/>
      <c r="AM2682" s="33"/>
      <c r="AN2682" s="33"/>
      <c r="AO2682" s="33"/>
    </row>
    <row r="2683" ht="15.75" customHeight="1">
      <c r="A2683" s="23">
        <v>52348.0</v>
      </c>
      <c r="B2683" s="23">
        <v>2023.0</v>
      </c>
      <c r="C2683" s="36" t="str">
        <f t="shared" si="7"/>
        <v>5426 ACRES DR,Houston,TX</v>
      </c>
      <c r="D2683" s="23" t="s">
        <v>3967</v>
      </c>
      <c r="E2683" s="6" t="s">
        <v>25</v>
      </c>
      <c r="F2683" s="6" t="s">
        <v>1388</v>
      </c>
      <c r="G2683" s="31" t="s">
        <v>301</v>
      </c>
      <c r="H2683" s="23" t="s">
        <v>50</v>
      </c>
      <c r="I2683" s="37" t="str">
        <f>VLOOKUP(H2683,'Flow Location'!$A$1:$B$21,2,FALSE)</f>
        <v>Contained On Site, not within 5 ft. of Bayou/Surface Water/Drainage Ditch</v>
      </c>
      <c r="J2683" s="28">
        <v>0.0</v>
      </c>
      <c r="K2683" s="23" t="s">
        <v>29</v>
      </c>
      <c r="L2683" s="37" t="str">
        <f>VLOOKUP(K2683,'Structure type'!$A$1:$B$15,2,FALSE)</f>
        <v>Manhole</v>
      </c>
      <c r="M2683" s="23" t="s">
        <v>30</v>
      </c>
      <c r="N2683" s="25" t="str">
        <f>VLOOKUP(M2683,'Excursion Cause'!$A$1:$B$34,2,FALSE)</f>
        <v>Grease Blockage</v>
      </c>
      <c r="O2683" s="29">
        <v>45061.0</v>
      </c>
      <c r="P2683" s="30">
        <v>0.5347222222222222</v>
      </c>
      <c r="Q2683" s="32">
        <v>45061.0</v>
      </c>
      <c r="R2683" s="30">
        <v>0.5354166666666667</v>
      </c>
      <c r="S2683" s="23">
        <v>0.0</v>
      </c>
      <c r="T2683" s="23" t="s">
        <v>3749</v>
      </c>
      <c r="U2683" s="32"/>
      <c r="V2683" s="6"/>
      <c r="W2683" s="35">
        <v>29.6421147</v>
      </c>
      <c r="X2683" s="35">
        <v>-95.3391532</v>
      </c>
      <c r="AA2683" s="33"/>
      <c r="AB2683" s="33"/>
      <c r="AC2683" s="39"/>
      <c r="AD2683" s="33"/>
      <c r="AE2683" s="33"/>
      <c r="AF2683" s="33"/>
      <c r="AG2683" s="33"/>
      <c r="AH2683" s="33"/>
      <c r="AI2683" s="33"/>
      <c r="AJ2683" s="33"/>
      <c r="AK2683" s="33"/>
      <c r="AL2683" s="33"/>
      <c r="AM2683" s="33"/>
      <c r="AN2683" s="33"/>
      <c r="AO2683" s="33"/>
    </row>
    <row r="2684" ht="15.75" customHeight="1">
      <c r="A2684" s="23">
        <v>52349.0</v>
      </c>
      <c r="B2684" s="23">
        <v>2023.0</v>
      </c>
      <c r="C2684" s="36" t="str">
        <f t="shared" si="7"/>
        <v>1143 MITCHELL RD,Houston,TX</v>
      </c>
      <c r="D2684" s="23" t="s">
        <v>3968</v>
      </c>
      <c r="E2684" s="6" t="s">
        <v>25</v>
      </c>
      <c r="F2684" s="6" t="s">
        <v>1388</v>
      </c>
      <c r="G2684" s="31" t="s">
        <v>570</v>
      </c>
      <c r="H2684" s="23" t="s">
        <v>50</v>
      </c>
      <c r="I2684" s="37" t="str">
        <f>VLOOKUP(H2684,'Flow Location'!$A$1:$B$21,2,FALSE)</f>
        <v>Contained On Site, not within 5 ft. of Bayou/Surface Water/Drainage Ditch</v>
      </c>
      <c r="J2684" s="28">
        <v>0.0</v>
      </c>
      <c r="K2684" s="23" t="s">
        <v>51</v>
      </c>
      <c r="L2684" s="37" t="str">
        <f>VLOOKUP(K2684,'Structure type'!$A$1:$B$15,2,FALSE)</f>
        <v>Private Cleanout</v>
      </c>
      <c r="M2684" s="23" t="s">
        <v>56</v>
      </c>
      <c r="N2684" s="25" t="str">
        <f>VLOOKUP(M2684,'Excursion Cause'!$A$1:$B$34,2,FALSE)</f>
        <v>Rags/Wipes</v>
      </c>
      <c r="O2684" s="29">
        <v>45061.0</v>
      </c>
      <c r="P2684" s="30">
        <v>0.5340277777777778</v>
      </c>
      <c r="Q2684" s="32">
        <v>45061.0</v>
      </c>
      <c r="R2684" s="30">
        <v>0.5347222222222222</v>
      </c>
      <c r="S2684" s="23">
        <v>0.0</v>
      </c>
      <c r="T2684" s="23" t="s">
        <v>3749</v>
      </c>
      <c r="U2684" s="32"/>
      <c r="V2684" s="6"/>
      <c r="W2684" s="35">
        <v>29.8834899</v>
      </c>
      <c r="X2684" s="35">
        <v>-95.3741144</v>
      </c>
      <c r="AA2684" s="33"/>
      <c r="AB2684" s="33"/>
      <c r="AC2684" s="39"/>
      <c r="AD2684" s="33"/>
      <c r="AE2684" s="33"/>
      <c r="AF2684" s="33"/>
      <c r="AG2684" s="33"/>
      <c r="AH2684" s="33"/>
      <c r="AI2684" s="33"/>
      <c r="AJ2684" s="33"/>
      <c r="AK2684" s="33"/>
      <c r="AL2684" s="33"/>
      <c r="AM2684" s="33"/>
      <c r="AN2684" s="33"/>
      <c r="AO2684" s="33"/>
    </row>
    <row r="2685" ht="15.75" customHeight="1">
      <c r="A2685" s="23">
        <v>52353.0</v>
      </c>
      <c r="B2685" s="23">
        <v>2023.0</v>
      </c>
      <c r="C2685" s="36" t="str">
        <f t="shared" si="7"/>
        <v>5513 CAVALCADE ST,Houston,TX</v>
      </c>
      <c r="D2685" s="23" t="s">
        <v>3969</v>
      </c>
      <c r="E2685" s="6" t="s">
        <v>25</v>
      </c>
      <c r="F2685" s="6" t="s">
        <v>1388</v>
      </c>
      <c r="G2685" s="31" t="s">
        <v>43</v>
      </c>
      <c r="H2685" s="23" t="s">
        <v>28</v>
      </c>
      <c r="I2685" s="37" t="str">
        <f>VLOOKUP(H2685,'Flow Location'!$A$1:$B$21,2,FALSE)</f>
        <v>Storm Sewer (not contained)</v>
      </c>
      <c r="J2685" s="28">
        <v>0.0</v>
      </c>
      <c r="K2685" s="23" t="s">
        <v>51</v>
      </c>
      <c r="L2685" s="37" t="str">
        <f>VLOOKUP(K2685,'Structure type'!$A$1:$B$15,2,FALSE)</f>
        <v>Private Cleanout</v>
      </c>
      <c r="M2685" s="23" t="s">
        <v>56</v>
      </c>
      <c r="N2685" s="25" t="str">
        <f>VLOOKUP(M2685,'Excursion Cause'!$A$1:$B$34,2,FALSE)</f>
        <v>Rags/Wipes</v>
      </c>
      <c r="O2685" s="29">
        <v>45061.0</v>
      </c>
      <c r="P2685" s="30">
        <v>0.7493055555555556</v>
      </c>
      <c r="Q2685" s="32">
        <v>45061.0</v>
      </c>
      <c r="R2685" s="30">
        <v>0.75</v>
      </c>
      <c r="S2685" s="23">
        <v>0.0</v>
      </c>
      <c r="T2685" s="23" t="s">
        <v>3756</v>
      </c>
      <c r="U2685" s="32"/>
      <c r="V2685" s="6"/>
      <c r="W2685" s="35">
        <v>29.8009931</v>
      </c>
      <c r="X2685" s="35">
        <v>-95.3137833999999</v>
      </c>
      <c r="AA2685" s="33"/>
      <c r="AB2685" s="33"/>
      <c r="AC2685" s="39"/>
      <c r="AD2685" s="33"/>
      <c r="AE2685" s="33"/>
      <c r="AF2685" s="33"/>
      <c r="AG2685" s="33"/>
      <c r="AH2685" s="33"/>
      <c r="AI2685" s="33"/>
      <c r="AJ2685" s="33"/>
      <c r="AK2685" s="33"/>
      <c r="AL2685" s="33"/>
      <c r="AM2685" s="33"/>
      <c r="AN2685" s="33"/>
      <c r="AO2685" s="33"/>
    </row>
    <row r="2686" ht="15.75" customHeight="1">
      <c r="A2686" s="23">
        <v>52356.0</v>
      </c>
      <c r="B2686" s="23">
        <v>2023.0</v>
      </c>
      <c r="C2686" s="36" t="str">
        <f t="shared" si="7"/>
        <v>6154 ROCKY NOOK DR,Houston,TX</v>
      </c>
      <c r="D2686" s="23" t="s">
        <v>2525</v>
      </c>
      <c r="E2686" s="6" t="s">
        <v>25</v>
      </c>
      <c r="F2686" s="6" t="s">
        <v>1388</v>
      </c>
      <c r="G2686" s="31" t="s">
        <v>853</v>
      </c>
      <c r="H2686" s="23" t="s">
        <v>50</v>
      </c>
      <c r="I2686" s="37" t="str">
        <f>VLOOKUP(H2686,'Flow Location'!$A$1:$B$21,2,FALSE)</f>
        <v>Contained On Site, not within 5 ft. of Bayou/Surface Water/Drainage Ditch</v>
      </c>
      <c r="J2686" s="28">
        <v>0.0</v>
      </c>
      <c r="K2686" s="23" t="s">
        <v>51</v>
      </c>
      <c r="L2686" s="37" t="str">
        <f>VLOOKUP(K2686,'Structure type'!$A$1:$B$15,2,FALSE)</f>
        <v>Private Cleanout</v>
      </c>
      <c r="M2686" s="23" t="s">
        <v>56</v>
      </c>
      <c r="N2686" s="25" t="str">
        <f>VLOOKUP(M2686,'Excursion Cause'!$A$1:$B$34,2,FALSE)</f>
        <v>Rags/Wipes</v>
      </c>
      <c r="O2686" s="29">
        <v>45062.0</v>
      </c>
      <c r="P2686" s="30">
        <v>0.43472222222222223</v>
      </c>
      <c r="Q2686" s="32">
        <v>45062.0</v>
      </c>
      <c r="R2686" s="30">
        <v>0.4354166666666667</v>
      </c>
      <c r="S2686" s="23">
        <v>0.0</v>
      </c>
      <c r="T2686" s="23" t="s">
        <v>3743</v>
      </c>
      <c r="U2686" s="32"/>
      <c r="V2686" s="6"/>
      <c r="W2686" s="35">
        <v>29.9633698</v>
      </c>
      <c r="X2686" s="35">
        <v>-95.2955889</v>
      </c>
      <c r="AA2686" s="33"/>
      <c r="AB2686" s="33"/>
      <c r="AC2686" s="39"/>
      <c r="AD2686" s="33"/>
      <c r="AE2686" s="33"/>
      <c r="AF2686" s="33"/>
      <c r="AG2686" s="33"/>
      <c r="AH2686" s="33"/>
      <c r="AI2686" s="33"/>
      <c r="AJ2686" s="33"/>
      <c r="AK2686" s="33"/>
      <c r="AL2686" s="33"/>
      <c r="AM2686" s="33"/>
      <c r="AN2686" s="33"/>
      <c r="AO2686" s="33"/>
    </row>
    <row r="2687" ht="15.75" customHeight="1">
      <c r="A2687" s="23">
        <v>52357.0</v>
      </c>
      <c r="B2687" s="23">
        <v>2023.0</v>
      </c>
      <c r="C2687" s="36" t="str">
        <f t="shared" si="7"/>
        <v>4330 1/2 DACOMA ST,Houston,TX</v>
      </c>
      <c r="D2687" s="23" t="s">
        <v>3907</v>
      </c>
      <c r="E2687" s="6" t="s">
        <v>25</v>
      </c>
      <c r="F2687" s="6" t="s">
        <v>1388</v>
      </c>
      <c r="G2687" s="31" t="s">
        <v>76</v>
      </c>
      <c r="H2687" s="23" t="s">
        <v>28</v>
      </c>
      <c r="I2687" s="37" t="str">
        <f>VLOOKUP(H2687,'Flow Location'!$A$1:$B$21,2,FALSE)</f>
        <v>Storm Sewer (not contained)</v>
      </c>
      <c r="J2687" s="28">
        <v>345.0</v>
      </c>
      <c r="K2687" s="23" t="s">
        <v>29</v>
      </c>
      <c r="L2687" s="37" t="str">
        <f>VLOOKUP(K2687,'Structure type'!$A$1:$B$15,2,FALSE)</f>
        <v>Manhole</v>
      </c>
      <c r="M2687" s="23" t="s">
        <v>30</v>
      </c>
      <c r="N2687" s="25" t="str">
        <f>VLOOKUP(M2687,'Excursion Cause'!$A$1:$B$34,2,FALSE)</f>
        <v>Grease Blockage</v>
      </c>
      <c r="O2687" s="29">
        <v>45062.0</v>
      </c>
      <c r="P2687" s="30">
        <v>0.5076388888888889</v>
      </c>
      <c r="Q2687" s="32">
        <v>45062.0</v>
      </c>
      <c r="R2687" s="30">
        <v>0.5875</v>
      </c>
      <c r="S2687" s="23">
        <v>3.0</v>
      </c>
      <c r="T2687" s="23" t="s">
        <v>3749</v>
      </c>
      <c r="U2687" s="32"/>
      <c r="V2687" s="6"/>
      <c r="W2687" s="35">
        <v>29.8100037</v>
      </c>
      <c r="X2687" s="35">
        <v>-95.4520637999999</v>
      </c>
      <c r="AA2687" s="33"/>
      <c r="AB2687" s="33"/>
      <c r="AC2687" s="39"/>
      <c r="AD2687" s="33"/>
      <c r="AE2687" s="33"/>
      <c r="AF2687" s="33"/>
      <c r="AG2687" s="33"/>
      <c r="AH2687" s="33"/>
      <c r="AI2687" s="33"/>
      <c r="AJ2687" s="33"/>
      <c r="AK2687" s="33"/>
      <c r="AL2687" s="33"/>
      <c r="AM2687" s="33"/>
      <c r="AN2687" s="33"/>
      <c r="AO2687" s="33"/>
    </row>
    <row r="2688" ht="15.75" customHeight="1">
      <c r="A2688" s="23">
        <v>52360.0</v>
      </c>
      <c r="B2688" s="23">
        <v>2023.0</v>
      </c>
      <c r="C2688" s="36" t="str">
        <f t="shared" si="7"/>
        <v>9221 PARK SOUTH VIEW,Houston,TX</v>
      </c>
      <c r="D2688" s="23" t="s">
        <v>3970</v>
      </c>
      <c r="E2688" s="6" t="s">
        <v>25</v>
      </c>
      <c r="F2688" s="6" t="s">
        <v>1388</v>
      </c>
      <c r="G2688" s="31" t="s">
        <v>105</v>
      </c>
      <c r="H2688" s="23" t="s">
        <v>28</v>
      </c>
      <c r="I2688" s="37" t="str">
        <f>VLOOKUP(H2688,'Flow Location'!$A$1:$B$21,2,FALSE)</f>
        <v>Storm Sewer (not contained)</v>
      </c>
      <c r="J2688" s="28">
        <v>5645.0</v>
      </c>
      <c r="K2688" s="23" t="s">
        <v>51</v>
      </c>
      <c r="L2688" s="37" t="str">
        <f>VLOOKUP(K2688,'Structure type'!$A$1:$B$15,2,FALSE)</f>
        <v>Private Cleanout</v>
      </c>
      <c r="M2688" s="23" t="s">
        <v>96</v>
      </c>
      <c r="N2688" s="25" t="str">
        <f>VLOOKUP(M2688,'Excursion Cause'!$A$1:$B$34,2,FALSE)</f>
        <v>Collection system temporary blockage</v>
      </c>
      <c r="O2688" s="29">
        <v>45062.0</v>
      </c>
      <c r="P2688" s="30">
        <v>0.65</v>
      </c>
      <c r="Q2688" s="32">
        <v>45063.0</v>
      </c>
      <c r="R2688" s="30">
        <v>0.4340277777777778</v>
      </c>
      <c r="S2688" s="23">
        <v>5.0</v>
      </c>
      <c r="T2688" s="23" t="s">
        <v>118</v>
      </c>
      <c r="U2688" s="32"/>
      <c r="V2688" s="6"/>
      <c r="W2688" s="35">
        <v>29.6547938</v>
      </c>
      <c r="X2688" s="35">
        <v>-95.3823403999999</v>
      </c>
      <c r="AA2688" s="33"/>
      <c r="AB2688" s="33"/>
      <c r="AC2688" s="39"/>
      <c r="AD2688" s="33"/>
      <c r="AE2688" s="33"/>
      <c r="AF2688" s="33"/>
      <c r="AG2688" s="33"/>
      <c r="AH2688" s="33"/>
      <c r="AI2688" s="33"/>
      <c r="AJ2688" s="33"/>
      <c r="AK2688" s="33"/>
      <c r="AL2688" s="33"/>
      <c r="AM2688" s="33"/>
      <c r="AN2688" s="33"/>
      <c r="AO2688" s="33"/>
    </row>
    <row r="2689" ht="15.75" customHeight="1">
      <c r="A2689" s="23">
        <v>52361.0</v>
      </c>
      <c r="B2689" s="23">
        <v>2023.0</v>
      </c>
      <c r="C2689" s="36" t="str">
        <f t="shared" si="7"/>
        <v>3823 WILMER ST,Houston,TX</v>
      </c>
      <c r="D2689" s="23" t="s">
        <v>3971</v>
      </c>
      <c r="E2689" s="6" t="s">
        <v>25</v>
      </c>
      <c r="F2689" s="6" t="s">
        <v>1388</v>
      </c>
      <c r="G2689" s="31" t="s">
        <v>172</v>
      </c>
      <c r="H2689" s="23" t="s">
        <v>50</v>
      </c>
      <c r="I2689" s="37" t="str">
        <f>VLOOKUP(H2689,'Flow Location'!$A$1:$B$21,2,FALSE)</f>
        <v>Contained On Site, not within 5 ft. of Bayou/Surface Water/Drainage Ditch</v>
      </c>
      <c r="J2689" s="28">
        <v>0.0</v>
      </c>
      <c r="K2689" s="23" t="s">
        <v>198</v>
      </c>
      <c r="L2689" s="37" t="str">
        <f>VLOOKUP(K2689,'Structure type'!$A$1:$B$15,2,FALSE)</f>
        <v>Service Lateral</v>
      </c>
      <c r="M2689" s="23" t="s">
        <v>52</v>
      </c>
      <c r="N2689" s="25" t="str">
        <f>VLOOKUP(M2689,'Excursion Cause'!$A$1:$B$34,2,FALSE)</f>
        <v>Collection system structural blockage</v>
      </c>
      <c r="O2689" s="29">
        <v>45062.0</v>
      </c>
      <c r="P2689" s="30">
        <v>0.7104166666666667</v>
      </c>
      <c r="Q2689" s="32">
        <v>45062.0</v>
      </c>
      <c r="R2689" s="30">
        <v>0.7111111111111111</v>
      </c>
      <c r="S2689" s="23">
        <v>0.0</v>
      </c>
      <c r="T2689" s="23" t="s">
        <v>118</v>
      </c>
      <c r="U2689" s="32"/>
      <c r="V2689" s="6"/>
      <c r="W2689" s="35">
        <v>29.7468493</v>
      </c>
      <c r="X2689" s="35">
        <v>-95.3368177</v>
      </c>
      <c r="AA2689" s="33"/>
      <c r="AB2689" s="33"/>
      <c r="AC2689" s="39"/>
      <c r="AD2689" s="33"/>
      <c r="AE2689" s="33"/>
      <c r="AF2689" s="33"/>
      <c r="AG2689" s="33"/>
      <c r="AH2689" s="33"/>
      <c r="AI2689" s="33"/>
      <c r="AJ2689" s="33"/>
      <c r="AK2689" s="33"/>
      <c r="AL2689" s="33"/>
      <c r="AM2689" s="33"/>
      <c r="AN2689" s="33"/>
      <c r="AO2689" s="33"/>
    </row>
    <row r="2690" ht="15.75" customHeight="1">
      <c r="A2690" s="23">
        <v>52364.0</v>
      </c>
      <c r="B2690" s="23">
        <v>2023.0</v>
      </c>
      <c r="C2690" s="36" t="str">
        <f t="shared" si="7"/>
        <v>5537 CRANE ST,Houston,TX</v>
      </c>
      <c r="D2690" s="23" t="s">
        <v>3972</v>
      </c>
      <c r="E2690" s="6" t="s">
        <v>25</v>
      </c>
      <c r="F2690" s="6" t="s">
        <v>1388</v>
      </c>
      <c r="G2690" s="31" t="s">
        <v>43</v>
      </c>
      <c r="H2690" s="23" t="s">
        <v>50</v>
      </c>
      <c r="I2690" s="37" t="str">
        <f>VLOOKUP(H2690,'Flow Location'!$A$1:$B$21,2,FALSE)</f>
        <v>Contained On Site, not within 5 ft. of Bayou/Surface Water/Drainage Ditch</v>
      </c>
      <c r="J2690" s="28">
        <v>0.0</v>
      </c>
      <c r="K2690" s="23" t="s">
        <v>51</v>
      </c>
      <c r="L2690" s="37" t="str">
        <f>VLOOKUP(K2690,'Structure type'!$A$1:$B$15,2,FALSE)</f>
        <v>Private Cleanout</v>
      </c>
      <c r="M2690" s="23" t="s">
        <v>30</v>
      </c>
      <c r="N2690" s="25" t="str">
        <f>VLOOKUP(M2690,'Excursion Cause'!$A$1:$B$34,2,FALSE)</f>
        <v>Grease Blockage</v>
      </c>
      <c r="O2690" s="29">
        <v>45062.0</v>
      </c>
      <c r="P2690" s="30">
        <v>0.7673611111111112</v>
      </c>
      <c r="Q2690" s="32">
        <v>45062.0</v>
      </c>
      <c r="R2690" s="30">
        <v>0.7680555555555556</v>
      </c>
      <c r="S2690" s="23">
        <v>0.0</v>
      </c>
      <c r="T2690" s="23" t="s">
        <v>3749</v>
      </c>
      <c r="U2690" s="32"/>
      <c r="V2690" s="6"/>
      <c r="W2690" s="35">
        <v>29.7972707</v>
      </c>
      <c r="X2690" s="35">
        <v>-95.3134133</v>
      </c>
      <c r="AA2690" s="33"/>
      <c r="AB2690" s="33"/>
      <c r="AC2690" s="39"/>
      <c r="AD2690" s="33"/>
      <c r="AE2690" s="33"/>
      <c r="AF2690" s="33"/>
      <c r="AG2690" s="33"/>
      <c r="AH2690" s="33"/>
      <c r="AI2690" s="33"/>
      <c r="AJ2690" s="33"/>
      <c r="AK2690" s="33"/>
      <c r="AL2690" s="33"/>
      <c r="AM2690" s="33"/>
      <c r="AN2690" s="33"/>
      <c r="AO2690" s="33"/>
    </row>
    <row r="2691" ht="15.75" customHeight="1">
      <c r="A2691" s="23">
        <v>52366.0</v>
      </c>
      <c r="B2691" s="23">
        <v>2023.0</v>
      </c>
      <c r="C2691" s="36" t="str">
        <f t="shared" si="7"/>
        <v>8705 VARNER RD,Houston,TX</v>
      </c>
      <c r="D2691" s="23" t="s">
        <v>3973</v>
      </c>
      <c r="E2691" s="6" t="s">
        <v>25</v>
      </c>
      <c r="F2691" s="6" t="s">
        <v>1388</v>
      </c>
      <c r="G2691" s="31" t="s">
        <v>294</v>
      </c>
      <c r="H2691" s="23" t="s">
        <v>50</v>
      </c>
      <c r="I2691" s="37" t="str">
        <f>VLOOKUP(H2691,'Flow Location'!$A$1:$B$21,2,FALSE)</f>
        <v>Contained On Site, not within 5 ft. of Bayou/Surface Water/Drainage Ditch</v>
      </c>
      <c r="J2691" s="28">
        <v>0.0</v>
      </c>
      <c r="K2691" s="23" t="s">
        <v>198</v>
      </c>
      <c r="L2691" s="37" t="str">
        <f>VLOOKUP(K2691,'Structure type'!$A$1:$B$15,2,FALSE)</f>
        <v>Service Lateral</v>
      </c>
      <c r="M2691" s="23" t="s">
        <v>81</v>
      </c>
      <c r="N2691" s="25" t="str">
        <f>VLOOKUP(M2691,'Excursion Cause'!$A$1:$B$34,2,FALSE)</f>
        <v>Collection system structural failure</v>
      </c>
      <c r="O2691" s="29">
        <v>45063.0</v>
      </c>
      <c r="P2691" s="30">
        <v>0.38819444444444445</v>
      </c>
      <c r="Q2691" s="32">
        <v>45063.0</v>
      </c>
      <c r="R2691" s="30">
        <v>0.3888888888888889</v>
      </c>
      <c r="S2691" s="23">
        <v>0.0</v>
      </c>
      <c r="T2691" s="23" t="s">
        <v>3745</v>
      </c>
      <c r="U2691" s="32"/>
      <c r="V2691" s="6"/>
      <c r="W2691" s="35">
        <v>29.8052581</v>
      </c>
      <c r="X2691" s="35">
        <v>-95.5030385</v>
      </c>
      <c r="AA2691" s="33"/>
      <c r="AB2691" s="33"/>
      <c r="AC2691" s="39"/>
      <c r="AD2691" s="33"/>
      <c r="AE2691" s="33"/>
      <c r="AF2691" s="33"/>
      <c r="AG2691" s="33"/>
      <c r="AH2691" s="33"/>
      <c r="AI2691" s="33"/>
      <c r="AJ2691" s="33"/>
      <c r="AK2691" s="33"/>
      <c r="AL2691" s="33"/>
      <c r="AM2691" s="33"/>
      <c r="AN2691" s="33"/>
      <c r="AO2691" s="33"/>
    </row>
    <row r="2692" ht="15.75" customHeight="1">
      <c r="A2692" s="23">
        <v>52372.0</v>
      </c>
      <c r="B2692" s="23">
        <v>2023.0</v>
      </c>
      <c r="C2692" s="36" t="str">
        <f t="shared" si="7"/>
        <v>1489 SILVERADO DR,Houston,TX</v>
      </c>
      <c r="D2692" s="23" t="s">
        <v>3974</v>
      </c>
      <c r="E2692" s="6" t="s">
        <v>25</v>
      </c>
      <c r="F2692" s="6" t="s">
        <v>1388</v>
      </c>
      <c r="G2692" s="31" t="s">
        <v>347</v>
      </c>
      <c r="H2692" s="23" t="s">
        <v>28</v>
      </c>
      <c r="I2692" s="37" t="str">
        <f>VLOOKUP(H2692,'Flow Location'!$A$1:$B$21,2,FALSE)</f>
        <v>Storm Sewer (not contained)</v>
      </c>
      <c r="J2692" s="28">
        <v>171.0</v>
      </c>
      <c r="K2692" s="23" t="s">
        <v>29</v>
      </c>
      <c r="L2692" s="37" t="str">
        <f>VLOOKUP(K2692,'Structure type'!$A$1:$B$15,2,FALSE)</f>
        <v>Manhole</v>
      </c>
      <c r="M2692" s="23" t="s">
        <v>56</v>
      </c>
      <c r="N2692" s="25" t="str">
        <f>VLOOKUP(M2692,'Excursion Cause'!$A$1:$B$34,2,FALSE)</f>
        <v>Rags/Wipes</v>
      </c>
      <c r="O2692" s="29">
        <v>45063.0</v>
      </c>
      <c r="P2692" s="30">
        <v>0.5069444444444444</v>
      </c>
      <c r="Q2692" s="32">
        <v>45063.0</v>
      </c>
      <c r="R2692" s="30">
        <v>0.6256944444444444</v>
      </c>
      <c r="S2692" s="23">
        <v>1.0</v>
      </c>
      <c r="T2692" s="23" t="s">
        <v>1462</v>
      </c>
      <c r="U2692" s="32"/>
      <c r="V2692" s="6"/>
      <c r="W2692" s="35">
        <v>29.7548591</v>
      </c>
      <c r="X2692" s="35">
        <v>-95.6091237</v>
      </c>
      <c r="AA2692" s="33"/>
      <c r="AB2692" s="33"/>
      <c r="AC2692" s="39"/>
      <c r="AD2692" s="33"/>
      <c r="AE2692" s="33"/>
      <c r="AF2692" s="33"/>
      <c r="AG2692" s="33"/>
      <c r="AH2692" s="33"/>
      <c r="AI2692" s="33"/>
      <c r="AJ2692" s="33"/>
      <c r="AK2692" s="33"/>
      <c r="AL2692" s="33"/>
      <c r="AM2692" s="33"/>
      <c r="AN2692" s="33"/>
      <c r="AO2692" s="33"/>
    </row>
    <row r="2693" ht="15.75" customHeight="1">
      <c r="A2693" s="23">
        <v>52374.0</v>
      </c>
      <c r="B2693" s="23">
        <v>2023.0</v>
      </c>
      <c r="C2693" s="36" t="str">
        <f t="shared" si="7"/>
        <v>1203 MCNEIL ST,Houston,TX</v>
      </c>
      <c r="D2693" s="23" t="s">
        <v>3778</v>
      </c>
      <c r="E2693" s="6" t="s">
        <v>25</v>
      </c>
      <c r="F2693" s="6" t="s">
        <v>1388</v>
      </c>
      <c r="G2693" s="31" t="s">
        <v>161</v>
      </c>
      <c r="H2693" s="23" t="s">
        <v>50</v>
      </c>
      <c r="I2693" s="37" t="str">
        <f>VLOOKUP(H2693,'Flow Location'!$A$1:$B$21,2,FALSE)</f>
        <v>Contained On Site, not within 5 ft. of Bayou/Surface Water/Drainage Ditch</v>
      </c>
      <c r="J2693" s="28">
        <v>0.0</v>
      </c>
      <c r="K2693" s="23" t="s">
        <v>45</v>
      </c>
      <c r="L2693" s="37" t="str">
        <f>VLOOKUP(K2693,'Structure type'!$A$1:$B$15,2,FALSE)</f>
        <v>City Cleanout</v>
      </c>
      <c r="M2693" s="23" t="s">
        <v>52</v>
      </c>
      <c r="N2693" s="25" t="str">
        <f>VLOOKUP(M2693,'Excursion Cause'!$A$1:$B$34,2,FALSE)</f>
        <v>Collection system structural blockage</v>
      </c>
      <c r="O2693" s="29">
        <v>45063.0</v>
      </c>
      <c r="P2693" s="30">
        <v>0.6972222222222222</v>
      </c>
      <c r="Q2693" s="32">
        <v>45063.0</v>
      </c>
      <c r="R2693" s="30">
        <v>0.6979166666666666</v>
      </c>
      <c r="S2693" s="23">
        <v>0.0</v>
      </c>
      <c r="T2693" s="23" t="s">
        <v>3743</v>
      </c>
      <c r="U2693" s="32"/>
      <c r="V2693" s="6"/>
      <c r="W2693" s="35">
        <v>29.7873742</v>
      </c>
      <c r="X2693" s="35">
        <v>-95.355807</v>
      </c>
      <c r="AA2693" s="33"/>
      <c r="AB2693" s="33"/>
      <c r="AC2693" s="39"/>
      <c r="AD2693" s="33"/>
      <c r="AE2693" s="33"/>
      <c r="AF2693" s="33"/>
      <c r="AG2693" s="33"/>
      <c r="AH2693" s="33"/>
      <c r="AI2693" s="33"/>
      <c r="AJ2693" s="33"/>
      <c r="AK2693" s="33"/>
      <c r="AL2693" s="33"/>
      <c r="AM2693" s="33"/>
      <c r="AN2693" s="33"/>
      <c r="AO2693" s="33"/>
    </row>
    <row r="2694" ht="15.75" customHeight="1">
      <c r="A2694" s="23">
        <v>52380.0</v>
      </c>
      <c r="B2694" s="23">
        <v>2023.0</v>
      </c>
      <c r="C2694" s="36" t="str">
        <f t="shared" si="7"/>
        <v>6023 IRISH HILL DR,Houston,TX</v>
      </c>
      <c r="D2694" s="23" t="s">
        <v>2438</v>
      </c>
      <c r="E2694" s="6" t="s">
        <v>25</v>
      </c>
      <c r="F2694" s="6" t="s">
        <v>1388</v>
      </c>
      <c r="G2694" s="31" t="s">
        <v>517</v>
      </c>
      <c r="H2694" s="23" t="s">
        <v>28</v>
      </c>
      <c r="I2694" s="37" t="str">
        <f>VLOOKUP(H2694,'Flow Location'!$A$1:$B$21,2,FALSE)</f>
        <v>Storm Sewer (not contained)</v>
      </c>
      <c r="J2694" s="28">
        <v>0.0</v>
      </c>
      <c r="K2694" s="23" t="s">
        <v>29</v>
      </c>
      <c r="L2694" s="37" t="str">
        <f>VLOOKUP(K2694,'Structure type'!$A$1:$B$15,2,FALSE)</f>
        <v>Manhole</v>
      </c>
      <c r="M2694" s="23" t="s">
        <v>1174</v>
      </c>
      <c r="N2694" s="25" t="str">
        <f>VLOOKUP(M2694,'Excursion Cause'!$A$1:$B$34,2,FALSE)</f>
        <v>Collection system wet weather</v>
      </c>
      <c r="O2694" s="29">
        <v>45063.0</v>
      </c>
      <c r="P2694" s="30">
        <v>0.1840277777777778</v>
      </c>
      <c r="Q2694" s="32">
        <v>45063.0</v>
      </c>
      <c r="R2694" s="30">
        <v>0.18472222222222223</v>
      </c>
      <c r="S2694" s="23">
        <v>0.0</v>
      </c>
      <c r="T2694" s="23" t="s">
        <v>118</v>
      </c>
      <c r="U2694" s="32"/>
      <c r="V2694" s="6"/>
      <c r="W2694" s="35">
        <v>29.5992035</v>
      </c>
      <c r="X2694" s="35">
        <v>-95.4753381</v>
      </c>
      <c r="AA2694" s="33"/>
      <c r="AB2694" s="33"/>
      <c r="AC2694" s="39"/>
      <c r="AD2694" s="33"/>
      <c r="AE2694" s="33"/>
      <c r="AF2694" s="33"/>
      <c r="AG2694" s="33"/>
      <c r="AH2694" s="33"/>
      <c r="AI2694" s="33"/>
      <c r="AJ2694" s="33"/>
      <c r="AK2694" s="33"/>
      <c r="AL2694" s="33"/>
      <c r="AM2694" s="33"/>
      <c r="AN2694" s="33"/>
      <c r="AO2694" s="33"/>
    </row>
    <row r="2695" ht="15.75" customHeight="1">
      <c r="A2695" s="23">
        <v>52383.0</v>
      </c>
      <c r="B2695" s="23">
        <v>2023.0</v>
      </c>
      <c r="C2695" s="36" t="str">
        <f t="shared" si="7"/>
        <v>15702 SAMOA WAY,Houston,TX</v>
      </c>
      <c r="D2695" s="23" t="s">
        <v>3975</v>
      </c>
      <c r="E2695" s="6" t="s">
        <v>25</v>
      </c>
      <c r="F2695" s="6" t="s">
        <v>1388</v>
      </c>
      <c r="G2695" s="31" t="s">
        <v>517</v>
      </c>
      <c r="H2695" s="23" t="s">
        <v>50</v>
      </c>
      <c r="I2695" s="37" t="str">
        <f>VLOOKUP(H2695,'Flow Location'!$A$1:$B$21,2,FALSE)</f>
        <v>Contained On Site, not within 5 ft. of Bayou/Surface Water/Drainage Ditch</v>
      </c>
      <c r="J2695" s="28">
        <v>0.0</v>
      </c>
      <c r="K2695" s="23" t="s">
        <v>29</v>
      </c>
      <c r="L2695" s="37" t="str">
        <f>VLOOKUP(K2695,'Structure type'!$A$1:$B$15,2,FALSE)</f>
        <v>Manhole</v>
      </c>
      <c r="M2695" s="23" t="s">
        <v>1174</v>
      </c>
      <c r="N2695" s="25" t="str">
        <f>VLOOKUP(M2695,'Excursion Cause'!$A$1:$B$34,2,FALSE)</f>
        <v>Collection system wet weather</v>
      </c>
      <c r="O2695" s="29">
        <v>45061.0</v>
      </c>
      <c r="P2695" s="30">
        <v>0.50625</v>
      </c>
      <c r="Q2695" s="32">
        <v>45061.0</v>
      </c>
      <c r="R2695" s="30">
        <v>0.5069444444444444</v>
      </c>
      <c r="S2695" s="23">
        <v>0.0</v>
      </c>
      <c r="T2695" s="23" t="s">
        <v>118</v>
      </c>
      <c r="U2695" s="32"/>
      <c r="V2695" s="6"/>
      <c r="W2695" s="35">
        <v>29.5987321</v>
      </c>
      <c r="X2695" s="35">
        <v>-95.4725958</v>
      </c>
      <c r="AA2695" s="33"/>
      <c r="AB2695" s="33"/>
      <c r="AC2695" s="39"/>
      <c r="AD2695" s="33"/>
      <c r="AE2695" s="33"/>
      <c r="AF2695" s="33"/>
      <c r="AG2695" s="33"/>
      <c r="AH2695" s="33"/>
      <c r="AI2695" s="33"/>
      <c r="AJ2695" s="33"/>
      <c r="AK2695" s="33"/>
      <c r="AL2695" s="33"/>
      <c r="AM2695" s="33"/>
      <c r="AN2695" s="33"/>
      <c r="AO2695" s="33"/>
    </row>
    <row r="2696" ht="15.75" customHeight="1">
      <c r="A2696" s="23">
        <v>52386.0</v>
      </c>
      <c r="B2696" s="23">
        <v>2023.0</v>
      </c>
      <c r="C2696" s="36" t="str">
        <f t="shared" si="7"/>
        <v>8400 WESTGLEN DR,Houston,TX</v>
      </c>
      <c r="D2696" s="23" t="s">
        <v>3929</v>
      </c>
      <c r="E2696" s="6" t="s">
        <v>25</v>
      </c>
      <c r="F2696" s="6" t="s">
        <v>1388</v>
      </c>
      <c r="G2696" s="31" t="s">
        <v>482</v>
      </c>
      <c r="H2696" s="23" t="s">
        <v>50</v>
      </c>
      <c r="I2696" s="37" t="str">
        <f>VLOOKUP(H2696,'Flow Location'!$A$1:$B$21,2,FALSE)</f>
        <v>Contained On Site, not within 5 ft. of Bayou/Surface Water/Drainage Ditch</v>
      </c>
      <c r="J2696" s="28">
        <v>600.0</v>
      </c>
      <c r="K2696" s="23" t="s">
        <v>29</v>
      </c>
      <c r="L2696" s="37" t="str">
        <f>VLOOKUP(K2696,'Structure type'!$A$1:$B$15,2,FALSE)</f>
        <v>Manhole</v>
      </c>
      <c r="M2696" s="23" t="s">
        <v>30</v>
      </c>
      <c r="N2696" s="37" t="str">
        <f>VLOOKUP(M2696,'Excursion Cause'!$A$1:$B$34,2,FALSE)</f>
        <v>Grease Blockage</v>
      </c>
      <c r="O2696" s="29">
        <v>45064.0</v>
      </c>
      <c r="P2696" s="30">
        <v>0.6041666666666666</v>
      </c>
      <c r="Q2696" s="32">
        <v>45064.0</v>
      </c>
      <c r="R2696" s="30">
        <v>0.6875</v>
      </c>
      <c r="S2696" s="23">
        <v>5.0</v>
      </c>
      <c r="T2696" s="23" t="s">
        <v>1462</v>
      </c>
      <c r="U2696" s="32"/>
      <c r="V2696" s="6"/>
      <c r="W2696" s="35">
        <v>29.7250412</v>
      </c>
      <c r="X2696" s="35">
        <v>-95.5108327999999</v>
      </c>
      <c r="AA2696" s="33"/>
      <c r="AB2696" s="33"/>
      <c r="AC2696" s="39"/>
      <c r="AD2696" s="33"/>
      <c r="AE2696" s="33"/>
      <c r="AF2696" s="33"/>
      <c r="AG2696" s="33"/>
      <c r="AH2696" s="33"/>
      <c r="AI2696" s="33"/>
      <c r="AJ2696" s="33"/>
      <c r="AK2696" s="33"/>
      <c r="AL2696" s="33"/>
      <c r="AM2696" s="33"/>
      <c r="AN2696" s="33"/>
      <c r="AO2696" s="33"/>
    </row>
    <row r="2697" ht="15.75" customHeight="1">
      <c r="A2697" s="23">
        <v>52392.0</v>
      </c>
      <c r="B2697" s="23">
        <v>2023.0</v>
      </c>
      <c r="C2697" s="36" t="str">
        <f t="shared" si="7"/>
        <v>5014 HAYWOOD ST,Houston,TX</v>
      </c>
      <c r="D2697" s="23" t="s">
        <v>3976</v>
      </c>
      <c r="E2697" s="6" t="s">
        <v>25</v>
      </c>
      <c r="F2697" s="6" t="s">
        <v>1388</v>
      </c>
      <c r="G2697" s="31" t="s">
        <v>326</v>
      </c>
      <c r="H2697" s="23" t="s">
        <v>50</v>
      </c>
      <c r="I2697" s="37" t="str">
        <f>VLOOKUP(H2697,'Flow Location'!$A$1:$B$21,2,FALSE)</f>
        <v>Contained On Site, not within 5 ft. of Bayou/Surface Water/Drainage Ditch</v>
      </c>
      <c r="J2697" s="28">
        <v>0.0</v>
      </c>
      <c r="K2697" s="23" t="s">
        <v>45</v>
      </c>
      <c r="L2697" s="37" t="str">
        <f>VLOOKUP(K2697,'Structure type'!$A$1:$B$15,2,FALSE)</f>
        <v>City Cleanout</v>
      </c>
      <c r="M2697" s="23" t="s">
        <v>56</v>
      </c>
      <c r="N2697" s="37" t="str">
        <f>VLOOKUP(M2697,'Excursion Cause'!$A$1:$B$34,2,FALSE)</f>
        <v>Rags/Wipes</v>
      </c>
      <c r="O2697" s="29">
        <v>45065.0</v>
      </c>
      <c r="P2697" s="30">
        <v>0.6520833333333333</v>
      </c>
      <c r="Q2697" s="32">
        <v>45065.0</v>
      </c>
      <c r="R2697" s="30">
        <v>0.6527777777777778</v>
      </c>
      <c r="S2697" s="23">
        <v>0.0</v>
      </c>
      <c r="T2697" s="23" t="s">
        <v>1436</v>
      </c>
      <c r="U2697" s="32"/>
      <c r="V2697" s="6"/>
      <c r="W2697" s="35">
        <v>29.8585923</v>
      </c>
      <c r="X2697" s="35">
        <v>-95.3186439999999</v>
      </c>
      <c r="AA2697" s="33"/>
      <c r="AB2697" s="33"/>
      <c r="AC2697" s="39"/>
      <c r="AD2697" s="33"/>
      <c r="AE2697" s="33"/>
      <c r="AF2697" s="33"/>
      <c r="AG2697" s="33"/>
      <c r="AH2697" s="33"/>
      <c r="AI2697" s="33"/>
      <c r="AJ2697" s="33"/>
      <c r="AK2697" s="33"/>
      <c r="AL2697" s="33"/>
      <c r="AM2697" s="33"/>
      <c r="AN2697" s="33"/>
      <c r="AO2697" s="33"/>
    </row>
    <row r="2698" ht="15.75" customHeight="1">
      <c r="A2698" s="23">
        <v>52387.0</v>
      </c>
      <c r="B2698" s="23">
        <v>2023.0</v>
      </c>
      <c r="C2698" s="36" t="str">
        <f t="shared" si="7"/>
        <v>7225 CAROTHERS ST,Houston,TX</v>
      </c>
      <c r="D2698" s="23" t="s">
        <v>3977</v>
      </c>
      <c r="E2698" s="6" t="s">
        <v>25</v>
      </c>
      <c r="F2698" s="6" t="s">
        <v>1388</v>
      </c>
      <c r="G2698" s="31" t="s">
        <v>177</v>
      </c>
      <c r="H2698" s="23" t="s">
        <v>50</v>
      </c>
      <c r="I2698" s="37" t="str">
        <f>VLOOKUP(H2698,'Flow Location'!$A$1:$B$21,2,FALSE)</f>
        <v>Contained On Site, not within 5 ft. of Bayou/Surface Water/Drainage Ditch</v>
      </c>
      <c r="J2698" s="28">
        <v>0.0</v>
      </c>
      <c r="K2698" s="23" t="s">
        <v>51</v>
      </c>
      <c r="L2698" s="37" t="str">
        <f>VLOOKUP(K2698,'Structure type'!$A$1:$B$15,2,FALSE)</f>
        <v>Private Cleanout</v>
      </c>
      <c r="M2698" s="23" t="s">
        <v>52</v>
      </c>
      <c r="N2698" s="37" t="str">
        <f>VLOOKUP(M2698,'Excursion Cause'!$A$1:$B$34,2,FALSE)</f>
        <v>Collection system structural blockage</v>
      </c>
      <c r="O2698" s="29">
        <v>45065.0</v>
      </c>
      <c r="P2698" s="30">
        <v>0.4270833333333333</v>
      </c>
      <c r="Q2698" s="32">
        <v>45065.0</v>
      </c>
      <c r="R2698" s="30">
        <v>0.42777777777777776</v>
      </c>
      <c r="S2698" s="23">
        <v>0.0</v>
      </c>
      <c r="T2698" s="23" t="s">
        <v>118</v>
      </c>
      <c r="U2698" s="32"/>
      <c r="V2698" s="6"/>
      <c r="W2698" s="35">
        <v>29.8342103</v>
      </c>
      <c r="X2698" s="35">
        <v>-95.2983055</v>
      </c>
      <c r="AA2698" s="33"/>
      <c r="AB2698" s="33"/>
      <c r="AC2698" s="39"/>
      <c r="AD2698" s="33"/>
      <c r="AE2698" s="33"/>
      <c r="AF2698" s="33"/>
      <c r="AG2698" s="33"/>
      <c r="AH2698" s="33"/>
      <c r="AI2698" s="33"/>
      <c r="AJ2698" s="33"/>
      <c r="AK2698" s="33"/>
      <c r="AL2698" s="33"/>
      <c r="AM2698" s="33"/>
      <c r="AN2698" s="33"/>
      <c r="AO2698" s="33"/>
    </row>
    <row r="2699" ht="15.75" customHeight="1">
      <c r="A2699" s="23">
        <v>52398.0</v>
      </c>
      <c r="B2699" s="23">
        <v>2023.0</v>
      </c>
      <c r="C2699" s="36" t="str">
        <f t="shared" si="7"/>
        <v>2051 MAIN ST,Houston,TX</v>
      </c>
      <c r="D2699" s="23" t="s">
        <v>3978</v>
      </c>
      <c r="E2699" s="6" t="s">
        <v>25</v>
      </c>
      <c r="F2699" s="6" t="s">
        <v>1388</v>
      </c>
      <c r="G2699" s="31" t="s">
        <v>463</v>
      </c>
      <c r="H2699" s="23" t="s">
        <v>50</v>
      </c>
      <c r="I2699" s="37" t="str">
        <f>VLOOKUP(H2699,'Flow Location'!$A$1:$B$21,2,FALSE)</f>
        <v>Contained On Site, not within 5 ft. of Bayou/Surface Water/Drainage Ditch</v>
      </c>
      <c r="J2699" s="28">
        <v>0.0</v>
      </c>
      <c r="K2699" s="23" t="s">
        <v>290</v>
      </c>
      <c r="L2699" s="37" t="str">
        <f>VLOOKUP(K2699,'Structure type'!$A$1:$B$15,2,FALSE)</f>
        <v>Gravity Main</v>
      </c>
      <c r="M2699" s="23" t="s">
        <v>30</v>
      </c>
      <c r="N2699" s="37" t="str">
        <f>VLOOKUP(M2699,'Excursion Cause'!$A$1:$B$34,2,FALSE)</f>
        <v>Grease Blockage</v>
      </c>
      <c r="O2699" s="29">
        <v>45066.0</v>
      </c>
      <c r="P2699" s="30">
        <v>0.5131944444444444</v>
      </c>
      <c r="Q2699" s="32">
        <v>45066.0</v>
      </c>
      <c r="R2699" s="30">
        <v>0.5138888888888888</v>
      </c>
      <c r="S2699" s="23">
        <v>0.0</v>
      </c>
      <c r="T2699" s="23" t="s">
        <v>1462</v>
      </c>
      <c r="U2699" s="32"/>
      <c r="V2699" s="6"/>
      <c r="W2699" s="35">
        <v>29.7486320999999</v>
      </c>
      <c r="X2699" s="35">
        <v>-95.3710462</v>
      </c>
      <c r="AA2699" s="33"/>
      <c r="AB2699" s="33"/>
      <c r="AC2699" s="39"/>
      <c r="AD2699" s="33"/>
      <c r="AE2699" s="33"/>
      <c r="AF2699" s="33"/>
      <c r="AG2699" s="33"/>
      <c r="AH2699" s="33"/>
      <c r="AI2699" s="33"/>
      <c r="AJ2699" s="33"/>
      <c r="AK2699" s="33"/>
      <c r="AL2699" s="33"/>
      <c r="AM2699" s="33"/>
      <c r="AN2699" s="33"/>
      <c r="AO2699" s="33"/>
    </row>
    <row r="2700" ht="15.75" customHeight="1">
      <c r="A2700" s="23">
        <v>52401.0</v>
      </c>
      <c r="B2700" s="23">
        <v>2023.0</v>
      </c>
      <c r="C2700" s="36" t="str">
        <f t="shared" si="7"/>
        <v>3215 LOOP FWY,Houston,TX</v>
      </c>
      <c r="D2700" s="23" t="s">
        <v>3979</v>
      </c>
      <c r="E2700" s="6" t="s">
        <v>25</v>
      </c>
      <c r="F2700" s="6" t="s">
        <v>1388</v>
      </c>
      <c r="G2700" s="31" t="s">
        <v>247</v>
      </c>
      <c r="H2700" s="23" t="s">
        <v>50</v>
      </c>
      <c r="I2700" s="37" t="str">
        <f>VLOOKUP(H2700,'Flow Location'!$A$1:$B$21,2,FALSE)</f>
        <v>Contained On Site, not within 5 ft. of Bayou/Surface Water/Drainage Ditch</v>
      </c>
      <c r="J2700" s="28">
        <v>0.0</v>
      </c>
      <c r="K2700" s="23" t="s">
        <v>51</v>
      </c>
      <c r="L2700" s="37" t="str">
        <f>VLOOKUP(K2700,'Structure type'!$A$1:$B$15,2,FALSE)</f>
        <v>Private Cleanout</v>
      </c>
      <c r="M2700" s="23" t="s">
        <v>52</v>
      </c>
      <c r="N2700" s="37" t="str">
        <f>VLOOKUP(M2700,'Excursion Cause'!$A$1:$B$34,2,FALSE)</f>
        <v>Collection system structural blockage</v>
      </c>
      <c r="O2700" s="29">
        <v>45066.0</v>
      </c>
      <c r="P2700" s="30">
        <v>0.4847222222222222</v>
      </c>
      <c r="Q2700" s="32">
        <v>45066.0</v>
      </c>
      <c r="R2700" s="30">
        <v>0.48541666666666666</v>
      </c>
      <c r="S2700" s="23">
        <v>0.0</v>
      </c>
      <c r="T2700" s="23" t="s">
        <v>1391</v>
      </c>
      <c r="U2700" s="32"/>
      <c r="V2700" s="6"/>
      <c r="W2700" s="35">
        <v>29.7365402</v>
      </c>
      <c r="X2700" s="35">
        <v>-95.2662486</v>
      </c>
      <c r="AA2700" s="33"/>
      <c r="AB2700" s="33"/>
      <c r="AC2700" s="39"/>
      <c r="AD2700" s="33"/>
      <c r="AE2700" s="33"/>
      <c r="AF2700" s="33"/>
      <c r="AG2700" s="33"/>
      <c r="AH2700" s="33"/>
      <c r="AI2700" s="33"/>
      <c r="AJ2700" s="33"/>
      <c r="AK2700" s="33"/>
      <c r="AL2700" s="33"/>
      <c r="AM2700" s="33"/>
      <c r="AN2700" s="33"/>
      <c r="AO2700" s="33"/>
    </row>
    <row r="2701" ht="15.75" customHeight="1">
      <c r="A2701" s="23">
        <v>52388.0</v>
      </c>
      <c r="B2701" s="23">
        <v>2023.0</v>
      </c>
      <c r="C2701" s="36" t="str">
        <f t="shared" si="7"/>
        <v>10901 DEBRA RD,Houston,TX</v>
      </c>
      <c r="D2701" s="23" t="s">
        <v>3980</v>
      </c>
      <c r="E2701" s="6" t="s">
        <v>25</v>
      </c>
      <c r="F2701" s="6" t="s">
        <v>1388</v>
      </c>
      <c r="G2701" s="31" t="s">
        <v>656</v>
      </c>
      <c r="H2701" s="23" t="s">
        <v>87</v>
      </c>
      <c r="I2701" s="37" t="str">
        <f>VLOOKUP(H2701,'Flow Location'!$A$1:$B$21,2,FALSE)</f>
        <v>Within 5 ft. of Bayou/Surface Water/Drainage Ditch</v>
      </c>
      <c r="J2701" s="28">
        <v>0.0</v>
      </c>
      <c r="K2701" s="23" t="s">
        <v>45</v>
      </c>
      <c r="L2701" s="37" t="str">
        <f>VLOOKUP(K2701,'Structure type'!$A$1:$B$15,2,FALSE)</f>
        <v>City Cleanout</v>
      </c>
      <c r="M2701" s="23" t="s">
        <v>96</v>
      </c>
      <c r="N2701" s="37" t="str">
        <f>VLOOKUP(M2701,'Excursion Cause'!$A$1:$B$34,2,FALSE)</f>
        <v>Collection system temporary blockage</v>
      </c>
      <c r="O2701" s="29">
        <v>45066.0</v>
      </c>
      <c r="P2701" s="30">
        <v>0.4722222222222222</v>
      </c>
      <c r="Q2701" s="32">
        <v>45066.0</v>
      </c>
      <c r="R2701" s="30">
        <v>0.47291666666666665</v>
      </c>
      <c r="S2701" s="23">
        <v>0.0</v>
      </c>
      <c r="T2701" s="23" t="s">
        <v>3743</v>
      </c>
      <c r="U2701" s="32"/>
      <c r="V2701" s="6"/>
      <c r="W2701" s="35">
        <v>29.8054741</v>
      </c>
      <c r="X2701" s="35">
        <v>-95.2386384</v>
      </c>
      <c r="AA2701" s="33"/>
      <c r="AB2701" s="33"/>
      <c r="AC2701" s="39"/>
      <c r="AD2701" s="33"/>
      <c r="AE2701" s="33"/>
      <c r="AF2701" s="33"/>
      <c r="AG2701" s="33"/>
      <c r="AH2701" s="33"/>
      <c r="AI2701" s="33"/>
      <c r="AJ2701" s="33"/>
      <c r="AK2701" s="33"/>
      <c r="AL2701" s="33"/>
      <c r="AM2701" s="33"/>
      <c r="AN2701" s="33"/>
      <c r="AO2701" s="33"/>
    </row>
    <row r="2702" ht="15.75" customHeight="1">
      <c r="A2702" s="23">
        <v>52397.0</v>
      </c>
      <c r="B2702" s="23">
        <v>2023.0</v>
      </c>
      <c r="C2702" s="36" t="str">
        <f t="shared" si="7"/>
        <v>2705 SAM WILSON ST,Houston,TX</v>
      </c>
      <c r="D2702" s="23" t="s">
        <v>3981</v>
      </c>
      <c r="E2702" s="6" t="s">
        <v>25</v>
      </c>
      <c r="F2702" s="6" t="s">
        <v>1388</v>
      </c>
      <c r="G2702" s="31" t="s">
        <v>86</v>
      </c>
      <c r="H2702" s="23" t="s">
        <v>50</v>
      </c>
      <c r="I2702" s="37" t="str">
        <f>VLOOKUP(H2702,'Flow Location'!$A$1:$B$21,2,FALSE)</f>
        <v>Contained On Site, not within 5 ft. of Bayou/Surface Water/Drainage Ditch</v>
      </c>
      <c r="J2702" s="28">
        <v>0.0</v>
      </c>
      <c r="K2702" s="23" t="s">
        <v>45</v>
      </c>
      <c r="L2702" s="37" t="str">
        <f>VLOOKUP(K2702,'Structure type'!$A$1:$B$15,2,FALSE)</f>
        <v>City Cleanout</v>
      </c>
      <c r="M2702" s="23" t="s">
        <v>30</v>
      </c>
      <c r="N2702" s="37" t="str">
        <f>VLOOKUP(M2702,'Excursion Cause'!$A$1:$B$34,2,FALSE)</f>
        <v>Grease Blockage</v>
      </c>
      <c r="O2702" s="29">
        <v>45066.0</v>
      </c>
      <c r="P2702" s="30">
        <v>0.4583333333333333</v>
      </c>
      <c r="Q2702" s="32">
        <v>45066.0</v>
      </c>
      <c r="R2702" s="30">
        <v>0.45902777777777776</v>
      </c>
      <c r="S2702" s="23">
        <v>0.0</v>
      </c>
      <c r="T2702" s="23" t="s">
        <v>1436</v>
      </c>
      <c r="U2702" s="32"/>
      <c r="V2702" s="6"/>
      <c r="W2702" s="35">
        <v>29.7865773</v>
      </c>
      <c r="X2702" s="35">
        <v>-95.3145594</v>
      </c>
      <c r="AA2702" s="33"/>
      <c r="AB2702" s="33"/>
      <c r="AC2702" s="39"/>
      <c r="AD2702" s="33"/>
      <c r="AE2702" s="33"/>
      <c r="AF2702" s="33"/>
      <c r="AG2702" s="33"/>
      <c r="AH2702" s="33"/>
      <c r="AI2702" s="33"/>
      <c r="AJ2702" s="33"/>
      <c r="AK2702" s="33"/>
      <c r="AL2702" s="33"/>
      <c r="AM2702" s="33"/>
      <c r="AN2702" s="33"/>
      <c r="AO2702" s="33"/>
    </row>
    <row r="2703" ht="15.75" customHeight="1">
      <c r="A2703" s="23">
        <v>52393.0</v>
      </c>
      <c r="B2703" s="23">
        <v>2023.0</v>
      </c>
      <c r="C2703" s="36" t="str">
        <f t="shared" si="7"/>
        <v>7714 POINTER ST,Houston,TX</v>
      </c>
      <c r="D2703" s="23" t="s">
        <v>3982</v>
      </c>
      <c r="E2703" s="6" t="s">
        <v>25</v>
      </c>
      <c r="F2703" s="6" t="s">
        <v>1388</v>
      </c>
      <c r="G2703" s="31" t="s">
        <v>326</v>
      </c>
      <c r="H2703" s="23" t="s">
        <v>28</v>
      </c>
      <c r="I2703" s="37" t="str">
        <f>VLOOKUP(H2703,'Flow Location'!$A$1:$B$21,2,FALSE)</f>
        <v>Storm Sewer (not contained)</v>
      </c>
      <c r="J2703" s="28">
        <v>0.0</v>
      </c>
      <c r="K2703" s="23" t="s">
        <v>45</v>
      </c>
      <c r="L2703" s="37" t="str">
        <f>VLOOKUP(K2703,'Structure type'!$A$1:$B$15,2,FALSE)</f>
        <v>City Cleanout</v>
      </c>
      <c r="M2703" s="23" t="s">
        <v>52</v>
      </c>
      <c r="N2703" s="37" t="str">
        <f>VLOOKUP(M2703,'Excursion Cause'!$A$1:$B$34,2,FALSE)</f>
        <v>Collection system structural blockage</v>
      </c>
      <c r="O2703" s="29">
        <v>45066.0</v>
      </c>
      <c r="P2703" s="30">
        <v>0.4444444444444444</v>
      </c>
      <c r="Q2703" s="32">
        <v>45066.0</v>
      </c>
      <c r="R2703" s="30">
        <v>0.44513888888888886</v>
      </c>
      <c r="S2703" s="23">
        <v>0.0</v>
      </c>
      <c r="T2703" s="23" t="s">
        <v>3983</v>
      </c>
      <c r="U2703" s="32"/>
      <c r="V2703" s="6"/>
      <c r="W2703" s="35">
        <v>29.829929</v>
      </c>
      <c r="X2703" s="35">
        <v>-95.3241178999999</v>
      </c>
      <c r="AA2703" s="33"/>
      <c r="AB2703" s="33"/>
      <c r="AC2703" s="39"/>
      <c r="AD2703" s="33"/>
      <c r="AE2703" s="33"/>
      <c r="AF2703" s="33"/>
      <c r="AG2703" s="33"/>
      <c r="AH2703" s="33"/>
      <c r="AI2703" s="33"/>
      <c r="AJ2703" s="33"/>
      <c r="AK2703" s="33"/>
      <c r="AL2703" s="33"/>
      <c r="AM2703" s="33"/>
      <c r="AN2703" s="33"/>
      <c r="AO2703" s="33"/>
    </row>
    <row r="2704" ht="15.75" customHeight="1">
      <c r="A2704" s="23">
        <v>52405.0</v>
      </c>
      <c r="B2704" s="23">
        <v>2023.0</v>
      </c>
      <c r="C2704" s="36" t="str">
        <f t="shared" si="7"/>
        <v>1222 WRIGHTWOOD ST,Houston,TX</v>
      </c>
      <c r="D2704" s="23" t="s">
        <v>453</v>
      </c>
      <c r="E2704" s="6" t="s">
        <v>25</v>
      </c>
      <c r="F2704" s="6" t="s">
        <v>1388</v>
      </c>
      <c r="G2704" s="31" t="s">
        <v>161</v>
      </c>
      <c r="H2704" s="23" t="s">
        <v>50</v>
      </c>
      <c r="I2704" s="37" t="str">
        <f>VLOOKUP(H2704,'Flow Location'!$A$1:$B$21,2,FALSE)</f>
        <v>Contained On Site, not within 5 ft. of Bayou/Surface Water/Drainage Ditch</v>
      </c>
      <c r="J2704" s="28">
        <v>0.0</v>
      </c>
      <c r="K2704" s="23" t="s">
        <v>29</v>
      </c>
      <c r="L2704" s="37" t="str">
        <f>VLOOKUP(K2704,'Structure type'!$A$1:$B$15,2,FALSE)</f>
        <v>Manhole</v>
      </c>
      <c r="M2704" s="23" t="s">
        <v>52</v>
      </c>
      <c r="N2704" s="37" t="str">
        <f>VLOOKUP(M2704,'Excursion Cause'!$A$1:$B$34,2,FALSE)</f>
        <v>Collection system structural blockage</v>
      </c>
      <c r="O2704" s="29">
        <v>45067.0</v>
      </c>
      <c r="P2704" s="30">
        <v>0.5097222222222222</v>
      </c>
      <c r="Q2704" s="32">
        <v>45067.0</v>
      </c>
      <c r="R2704" s="30">
        <v>0.5104166666666666</v>
      </c>
      <c r="S2704" s="23">
        <v>0.0</v>
      </c>
      <c r="T2704" s="23" t="s">
        <v>292</v>
      </c>
      <c r="U2704" s="32"/>
      <c r="V2704" s="6"/>
      <c r="W2704" s="35">
        <v>29.7812087</v>
      </c>
      <c r="X2704" s="35">
        <v>-95.3698233</v>
      </c>
      <c r="AA2704" s="33"/>
      <c r="AB2704" s="33"/>
      <c r="AC2704" s="39"/>
      <c r="AD2704" s="33"/>
      <c r="AE2704" s="33"/>
      <c r="AF2704" s="33"/>
      <c r="AG2704" s="33"/>
      <c r="AH2704" s="33"/>
      <c r="AI2704" s="33"/>
      <c r="AJ2704" s="33"/>
      <c r="AK2704" s="33"/>
      <c r="AL2704" s="33"/>
      <c r="AM2704" s="33"/>
      <c r="AN2704" s="33"/>
      <c r="AO2704" s="33"/>
    </row>
    <row r="2705" ht="15.75" customHeight="1">
      <c r="A2705" s="23">
        <v>52416.0</v>
      </c>
      <c r="B2705" s="23">
        <v>2023.0</v>
      </c>
      <c r="C2705" s="36" t="str">
        <f t="shared" si="7"/>
        <v>1805 DAVIS ST,Houston,TX</v>
      </c>
      <c r="D2705" s="23" t="s">
        <v>3984</v>
      </c>
      <c r="E2705" s="6" t="s">
        <v>25</v>
      </c>
      <c r="F2705" s="6" t="s">
        <v>1388</v>
      </c>
      <c r="G2705" s="31" t="s">
        <v>43</v>
      </c>
      <c r="H2705" s="23" t="s">
        <v>1493</v>
      </c>
      <c r="I2705" s="37" t="str">
        <f>VLOOKUP(H2705,'Flow Location'!$A$1:$B$21,2,FALSE)</f>
        <v>Contained On Site, not within 5 ft. of Bayou/Surface Water/Drainage Ditch</v>
      </c>
      <c r="J2705" s="28">
        <v>0.0</v>
      </c>
      <c r="K2705" s="23" t="s">
        <v>45</v>
      </c>
      <c r="L2705" s="37" t="str">
        <f>VLOOKUP(K2705,'Structure type'!$A$1:$B$15,2,FALSE)</f>
        <v>City Cleanout</v>
      </c>
      <c r="M2705" s="23" t="s">
        <v>3250</v>
      </c>
      <c r="N2705" s="37" t="str">
        <f>VLOOKUP(M2705,'Excursion Cause'!$A$1:$B$34,2,FALSE)</f>
        <v>Collection system structural blockage</v>
      </c>
      <c r="O2705" s="29">
        <v>45068.0</v>
      </c>
      <c r="P2705" s="30">
        <v>0.7118055555555556</v>
      </c>
      <c r="Q2705" s="32">
        <v>45068.0</v>
      </c>
      <c r="R2705" s="30">
        <v>0.7125</v>
      </c>
      <c r="S2705" s="23">
        <v>0.0</v>
      </c>
      <c r="T2705" s="23" t="s">
        <v>3743</v>
      </c>
      <c r="U2705" s="32"/>
      <c r="V2705" s="6"/>
      <c r="W2705" s="35">
        <v>29.7778544</v>
      </c>
      <c r="X2705" s="35">
        <v>-95.3430762</v>
      </c>
      <c r="AA2705" s="33"/>
      <c r="AB2705" s="33"/>
      <c r="AC2705" s="39"/>
      <c r="AD2705" s="33"/>
      <c r="AE2705" s="33"/>
      <c r="AF2705" s="33"/>
      <c r="AG2705" s="33"/>
      <c r="AH2705" s="33"/>
      <c r="AI2705" s="33"/>
      <c r="AJ2705" s="33"/>
      <c r="AK2705" s="33"/>
      <c r="AL2705" s="33"/>
      <c r="AM2705" s="33"/>
      <c r="AN2705" s="33"/>
      <c r="AO2705" s="33"/>
    </row>
    <row r="2706" ht="15.75" customHeight="1">
      <c r="A2706" s="23">
        <v>52413.0</v>
      </c>
      <c r="B2706" s="23">
        <v>2023.0</v>
      </c>
      <c r="C2706" s="36" t="str">
        <f t="shared" si="7"/>
        <v>2011 MCKINNEY ST,Houston,TX</v>
      </c>
      <c r="D2706" s="23" t="s">
        <v>3985</v>
      </c>
      <c r="E2706" s="6" t="s">
        <v>25</v>
      </c>
      <c r="F2706" s="6" t="s">
        <v>1388</v>
      </c>
      <c r="G2706" s="31" t="s">
        <v>172</v>
      </c>
      <c r="H2706" s="23" t="s">
        <v>50</v>
      </c>
      <c r="I2706" s="37" t="str">
        <f>VLOOKUP(H2706,'Flow Location'!$A$1:$B$21,2,FALSE)</f>
        <v>Contained On Site, not within 5 ft. of Bayou/Surface Water/Drainage Ditch</v>
      </c>
      <c r="J2706" s="28">
        <v>0.0</v>
      </c>
      <c r="K2706" s="23" t="s">
        <v>51</v>
      </c>
      <c r="L2706" s="37" t="str">
        <f>VLOOKUP(K2706,'Structure type'!$A$1:$B$15,2,FALSE)</f>
        <v>Private Cleanout</v>
      </c>
      <c r="M2706" s="23" t="s">
        <v>52</v>
      </c>
      <c r="N2706" s="37" t="str">
        <f>VLOOKUP(M2706,'Excursion Cause'!$A$1:$B$34,2,FALSE)</f>
        <v>Collection system structural blockage</v>
      </c>
      <c r="O2706" s="29">
        <v>45068.0</v>
      </c>
      <c r="P2706" s="30">
        <v>0.5423611111111111</v>
      </c>
      <c r="Q2706" s="32">
        <v>45068.0</v>
      </c>
      <c r="R2706" s="30">
        <v>0.5430555555555555</v>
      </c>
      <c r="S2706" s="23">
        <v>0.0</v>
      </c>
      <c r="T2706" s="23" t="s">
        <v>3756</v>
      </c>
      <c r="U2706" s="32"/>
      <c r="V2706" s="6"/>
      <c r="W2706" s="35">
        <v>29.7518313</v>
      </c>
      <c r="X2706" s="35">
        <v>-95.3558415</v>
      </c>
      <c r="AA2706" s="33"/>
      <c r="AB2706" s="33"/>
      <c r="AC2706" s="39"/>
      <c r="AD2706" s="33"/>
      <c r="AE2706" s="33"/>
      <c r="AF2706" s="33"/>
      <c r="AG2706" s="33"/>
      <c r="AH2706" s="33"/>
      <c r="AI2706" s="33"/>
      <c r="AJ2706" s="33"/>
      <c r="AK2706" s="33"/>
      <c r="AL2706" s="33"/>
      <c r="AM2706" s="33"/>
      <c r="AN2706" s="33"/>
      <c r="AO2706" s="33"/>
    </row>
    <row r="2707" ht="15.75" customHeight="1">
      <c r="A2707" s="23">
        <v>52412.0</v>
      </c>
      <c r="B2707" s="23">
        <v>2023.0</v>
      </c>
      <c r="C2707" s="36" t="str">
        <f t="shared" si="7"/>
        <v>10830 NORTHWEST FWY,Houston,TX</v>
      </c>
      <c r="D2707" s="23" t="s">
        <v>3986</v>
      </c>
      <c r="E2707" s="6" t="s">
        <v>25</v>
      </c>
      <c r="F2707" s="6" t="s">
        <v>1388</v>
      </c>
      <c r="G2707" s="31" t="s">
        <v>76</v>
      </c>
      <c r="H2707" s="23" t="s">
        <v>28</v>
      </c>
      <c r="I2707" s="37" t="str">
        <f>VLOOKUP(H2707,'Flow Location'!$A$1:$B$21,2,FALSE)</f>
        <v>Storm Sewer (not contained)</v>
      </c>
      <c r="J2707" s="28">
        <v>0.0</v>
      </c>
      <c r="K2707" s="23" t="s">
        <v>29</v>
      </c>
      <c r="L2707" s="37" t="str">
        <f>VLOOKUP(K2707,'Structure type'!$A$1:$B$15,2,FALSE)</f>
        <v>Manhole</v>
      </c>
      <c r="M2707" s="23" t="s">
        <v>30</v>
      </c>
      <c r="N2707" s="37" t="str">
        <f>VLOOKUP(M2707,'Excursion Cause'!$A$1:$B$34,2,FALSE)</f>
        <v>Grease Blockage</v>
      </c>
      <c r="O2707" s="29">
        <v>45068.0</v>
      </c>
      <c r="P2707" s="30">
        <v>0.5034722222222222</v>
      </c>
      <c r="Q2707" s="32">
        <v>45068.0</v>
      </c>
      <c r="R2707" s="30">
        <v>0.5041666666666667</v>
      </c>
      <c r="S2707" s="23">
        <v>0.0</v>
      </c>
      <c r="T2707" s="23" t="s">
        <v>3749</v>
      </c>
      <c r="U2707" s="32"/>
      <c r="V2707" s="6"/>
      <c r="W2707" s="35">
        <v>29.8162029</v>
      </c>
      <c r="X2707" s="35">
        <v>-95.4640577</v>
      </c>
      <c r="AA2707" s="33"/>
      <c r="AB2707" s="33"/>
      <c r="AC2707" s="39"/>
      <c r="AD2707" s="33"/>
      <c r="AE2707" s="33"/>
      <c r="AF2707" s="33"/>
      <c r="AG2707" s="33"/>
      <c r="AH2707" s="33"/>
      <c r="AI2707" s="33"/>
      <c r="AJ2707" s="33"/>
      <c r="AK2707" s="33"/>
      <c r="AL2707" s="33"/>
      <c r="AM2707" s="33"/>
      <c r="AN2707" s="33"/>
      <c r="AO2707" s="33"/>
    </row>
    <row r="2708" ht="15.75" customHeight="1">
      <c r="A2708" s="23">
        <v>52410.0</v>
      </c>
      <c r="B2708" s="23">
        <v>2023.0</v>
      </c>
      <c r="C2708" s="36" t="str">
        <f t="shared" si="7"/>
        <v>2617 CANAL ST,Houston,TX</v>
      </c>
      <c r="D2708" s="23" t="s">
        <v>3742</v>
      </c>
      <c r="E2708" s="6" t="s">
        <v>25</v>
      </c>
      <c r="F2708" s="6" t="s">
        <v>1388</v>
      </c>
      <c r="G2708" s="31" t="s">
        <v>172</v>
      </c>
      <c r="H2708" s="23" t="s">
        <v>28</v>
      </c>
      <c r="I2708" s="37" t="str">
        <f>VLOOKUP(H2708,'Flow Location'!$A$1:$B$21,2,FALSE)</f>
        <v>Storm Sewer (not contained)</v>
      </c>
      <c r="J2708" s="28">
        <v>0.0</v>
      </c>
      <c r="K2708" s="23" t="s">
        <v>51</v>
      </c>
      <c r="L2708" s="37" t="str">
        <f>VLOOKUP(K2708,'Structure type'!$A$1:$B$15,2,FALSE)</f>
        <v>Private Cleanout</v>
      </c>
      <c r="M2708" s="23" t="s">
        <v>52</v>
      </c>
      <c r="N2708" s="37" t="str">
        <f>VLOOKUP(M2708,'Excursion Cause'!$A$1:$B$34,2,FALSE)</f>
        <v>Collection system structural blockage</v>
      </c>
      <c r="O2708" s="29">
        <v>45068.0</v>
      </c>
      <c r="P2708" s="30">
        <v>0.48541666666666666</v>
      </c>
      <c r="Q2708" s="32">
        <v>45068.0</v>
      </c>
      <c r="R2708" s="30">
        <v>0.4861111111111111</v>
      </c>
      <c r="S2708" s="23">
        <v>0.0</v>
      </c>
      <c r="T2708" s="23" t="s">
        <v>3756</v>
      </c>
      <c r="U2708" s="32"/>
      <c r="V2708" s="6"/>
      <c r="W2708" s="35">
        <v>29.7564126</v>
      </c>
      <c r="X2708" s="35">
        <v>-95.3437819999999</v>
      </c>
      <c r="AA2708" s="33"/>
      <c r="AB2708" s="33"/>
      <c r="AC2708" s="39"/>
      <c r="AD2708" s="33"/>
      <c r="AE2708" s="33"/>
      <c r="AF2708" s="33"/>
      <c r="AG2708" s="33"/>
      <c r="AH2708" s="33"/>
      <c r="AI2708" s="33"/>
      <c r="AJ2708" s="33"/>
      <c r="AK2708" s="33"/>
      <c r="AL2708" s="33"/>
      <c r="AM2708" s="33"/>
      <c r="AN2708" s="33"/>
      <c r="AO2708" s="33"/>
    </row>
    <row r="2709" ht="15.75" customHeight="1">
      <c r="A2709" s="23">
        <v>52409.0</v>
      </c>
      <c r="B2709" s="23">
        <v>2023.0</v>
      </c>
      <c r="C2709" s="36" t="str">
        <f t="shared" si="7"/>
        <v>4202 TOPPING ST,Houston,TX</v>
      </c>
      <c r="D2709" s="23" t="s">
        <v>3987</v>
      </c>
      <c r="E2709" s="6" t="s">
        <v>25</v>
      </c>
      <c r="F2709" s="6" t="s">
        <v>1388</v>
      </c>
      <c r="G2709" s="31" t="s">
        <v>109</v>
      </c>
      <c r="H2709" s="23" t="s">
        <v>87</v>
      </c>
      <c r="I2709" s="37" t="str">
        <f>VLOOKUP(H2709,'Flow Location'!$A$1:$B$21,2,FALSE)</f>
        <v>Within 5 ft. of Bayou/Surface Water/Drainage Ditch</v>
      </c>
      <c r="J2709" s="28">
        <v>0.0</v>
      </c>
      <c r="K2709" s="23" t="s">
        <v>51</v>
      </c>
      <c r="L2709" s="37" t="str">
        <f>VLOOKUP(K2709,'Structure type'!$A$1:$B$15,2,FALSE)</f>
        <v>Private Cleanout</v>
      </c>
      <c r="M2709" s="23" t="s">
        <v>52</v>
      </c>
      <c r="N2709" s="37" t="str">
        <f>VLOOKUP(M2709,'Excursion Cause'!$A$1:$B$34,2,FALSE)</f>
        <v>Collection system structural blockage</v>
      </c>
      <c r="O2709" s="29">
        <v>45068.0</v>
      </c>
      <c r="P2709" s="30">
        <v>0.4736111111111111</v>
      </c>
      <c r="Q2709" s="32">
        <v>45068.0</v>
      </c>
      <c r="R2709" s="30">
        <v>0.47430555555555554</v>
      </c>
      <c r="S2709" s="23">
        <v>0.0</v>
      </c>
      <c r="T2709" s="23" t="s">
        <v>1473</v>
      </c>
      <c r="U2709" s="32"/>
      <c r="V2709" s="6"/>
      <c r="W2709" s="35">
        <v>29.8540541</v>
      </c>
      <c r="X2709" s="35">
        <v>-95.3250166</v>
      </c>
      <c r="AA2709" s="33"/>
      <c r="AB2709" s="33"/>
      <c r="AC2709" s="39"/>
      <c r="AD2709" s="33"/>
      <c r="AE2709" s="33"/>
      <c r="AF2709" s="33"/>
      <c r="AG2709" s="33"/>
      <c r="AH2709" s="33"/>
      <c r="AI2709" s="33"/>
      <c r="AJ2709" s="33"/>
      <c r="AK2709" s="33"/>
      <c r="AL2709" s="33"/>
      <c r="AM2709" s="33"/>
      <c r="AN2709" s="33"/>
      <c r="AO2709" s="33"/>
    </row>
    <row r="2710" ht="15.75" customHeight="1">
      <c r="A2710" s="23">
        <v>52406.0</v>
      </c>
      <c r="B2710" s="23">
        <v>2023.0</v>
      </c>
      <c r="C2710" s="36" t="str">
        <f t="shared" si="7"/>
        <v>7519 JOPLIN ST,Houston,TX</v>
      </c>
      <c r="D2710" s="23" t="s">
        <v>3988</v>
      </c>
      <c r="E2710" s="6" t="s">
        <v>25</v>
      </c>
      <c r="F2710" s="6" t="s">
        <v>1388</v>
      </c>
      <c r="G2710" s="31" t="s">
        <v>35</v>
      </c>
      <c r="H2710" s="23" t="s">
        <v>50</v>
      </c>
      <c r="I2710" s="37" t="str">
        <f>VLOOKUP(H2710,'Flow Location'!$A$1:$B$21,2,FALSE)</f>
        <v>Contained On Site, not within 5 ft. of Bayou/Surface Water/Drainage Ditch</v>
      </c>
      <c r="J2710" s="28">
        <v>0.0</v>
      </c>
      <c r="K2710" s="23" t="s">
        <v>45</v>
      </c>
      <c r="L2710" s="37" t="str">
        <f>VLOOKUP(K2710,'Structure type'!$A$1:$B$15,2,FALSE)</f>
        <v>City Cleanout</v>
      </c>
      <c r="M2710" s="23" t="s">
        <v>52</v>
      </c>
      <c r="N2710" s="37" t="str">
        <f>VLOOKUP(M2710,'Excursion Cause'!$A$1:$B$34,2,FALSE)</f>
        <v>Collection system structural blockage</v>
      </c>
      <c r="O2710" s="29">
        <v>45068.0</v>
      </c>
      <c r="P2710" s="30">
        <v>0.41944444444444445</v>
      </c>
      <c r="Q2710" s="32">
        <v>45068.0</v>
      </c>
      <c r="R2710" s="30">
        <v>0.4201388888888889</v>
      </c>
      <c r="S2710" s="23">
        <v>0.0</v>
      </c>
      <c r="T2710" s="23" t="s">
        <v>3756</v>
      </c>
      <c r="U2710" s="32"/>
      <c r="V2710" s="6"/>
      <c r="W2710" s="35">
        <v>29.6890801</v>
      </c>
      <c r="X2710" s="35">
        <v>-95.2922624999999</v>
      </c>
      <c r="AA2710" s="33"/>
      <c r="AB2710" s="33"/>
      <c r="AC2710" s="39"/>
      <c r="AD2710" s="33"/>
      <c r="AE2710" s="33"/>
      <c r="AF2710" s="33"/>
      <c r="AG2710" s="33"/>
      <c r="AH2710" s="33"/>
      <c r="AI2710" s="33"/>
      <c r="AJ2710" s="33"/>
      <c r="AK2710" s="33"/>
      <c r="AL2710" s="33"/>
      <c r="AM2710" s="33"/>
      <c r="AN2710" s="33"/>
      <c r="AO2710" s="33"/>
    </row>
    <row r="2711" ht="15.75" customHeight="1">
      <c r="A2711" s="23">
        <v>52424.0</v>
      </c>
      <c r="B2711" s="23">
        <v>2023.0</v>
      </c>
      <c r="C2711" s="36" t="str">
        <f t="shared" si="7"/>
        <v>5525 BINGLE RD,Houston,TX</v>
      </c>
      <c r="D2711" s="23" t="s">
        <v>723</v>
      </c>
      <c r="E2711" s="6" t="s">
        <v>25</v>
      </c>
      <c r="F2711" s="6" t="s">
        <v>1388</v>
      </c>
      <c r="G2711" s="31" t="s">
        <v>76</v>
      </c>
      <c r="H2711" s="23" t="s">
        <v>50</v>
      </c>
      <c r="I2711" s="37" t="str">
        <f>VLOOKUP(H2711,'Flow Location'!$A$1:$B$21,2,FALSE)</f>
        <v>Contained On Site, not within 5 ft. of Bayou/Surface Water/Drainage Ditch</v>
      </c>
      <c r="J2711" s="28">
        <v>100.0</v>
      </c>
      <c r="K2711" s="23" t="s">
        <v>45</v>
      </c>
      <c r="L2711" s="37" t="str">
        <f>VLOOKUP(K2711,'Structure type'!$A$1:$B$15,2,FALSE)</f>
        <v>City Cleanout</v>
      </c>
      <c r="M2711" s="23" t="s">
        <v>56</v>
      </c>
      <c r="N2711" s="37" t="str">
        <f>VLOOKUP(M2711,'Excursion Cause'!$A$1:$B$34,2,FALSE)</f>
        <v>Rags/Wipes</v>
      </c>
      <c r="O2711" s="29">
        <v>45069.0</v>
      </c>
      <c r="P2711" s="30">
        <v>0.5715277777777777</v>
      </c>
      <c r="Q2711" s="32">
        <v>45069.0</v>
      </c>
      <c r="R2711" s="30">
        <v>0.7104166666666667</v>
      </c>
      <c r="S2711" s="23">
        <v>0.0</v>
      </c>
      <c r="T2711" s="23" t="s">
        <v>1462</v>
      </c>
      <c r="U2711" s="32"/>
      <c r="V2711" s="6"/>
      <c r="W2711" s="35">
        <v>29.8460485</v>
      </c>
      <c r="X2711" s="35">
        <v>-95.4894969</v>
      </c>
      <c r="AA2711" s="33"/>
      <c r="AB2711" s="33"/>
      <c r="AC2711" s="39"/>
      <c r="AD2711" s="33"/>
      <c r="AE2711" s="33"/>
      <c r="AF2711" s="33"/>
      <c r="AG2711" s="33"/>
      <c r="AH2711" s="33"/>
      <c r="AI2711" s="33"/>
      <c r="AJ2711" s="33"/>
      <c r="AK2711" s="33"/>
      <c r="AL2711" s="33"/>
      <c r="AM2711" s="33"/>
      <c r="AN2711" s="33"/>
      <c r="AO2711" s="33"/>
    </row>
    <row r="2712" ht="15.75" customHeight="1">
      <c r="A2712" s="23">
        <v>52423.0</v>
      </c>
      <c r="B2712" s="23">
        <v>2023.0</v>
      </c>
      <c r="C2712" s="36" t="str">
        <f t="shared" si="7"/>
        <v>1302 MARSHALL ST,Houston,TX</v>
      </c>
      <c r="D2712" s="23" t="s">
        <v>3989</v>
      </c>
      <c r="E2712" s="6" t="s">
        <v>25</v>
      </c>
      <c r="F2712" s="6" t="s">
        <v>1388</v>
      </c>
      <c r="G2712" s="31" t="s">
        <v>761</v>
      </c>
      <c r="H2712" s="23" t="s">
        <v>50</v>
      </c>
      <c r="I2712" s="37" t="str">
        <f>VLOOKUP(H2712,'Flow Location'!$A$1:$B$21,2,FALSE)</f>
        <v>Contained On Site, not within 5 ft. of Bayou/Surface Water/Drainage Ditch</v>
      </c>
      <c r="J2712" s="28">
        <v>0.0</v>
      </c>
      <c r="K2712" s="23" t="s">
        <v>29</v>
      </c>
      <c r="L2712" s="37" t="str">
        <f>VLOOKUP(K2712,'Structure type'!$A$1:$B$15,2,FALSE)</f>
        <v>Manhole</v>
      </c>
      <c r="M2712" s="23" t="s">
        <v>759</v>
      </c>
      <c r="N2712" s="37" t="str">
        <f>VLOOKUP(M2712,'Excursion Cause'!$A$1:$B$34,2,FALSE)</f>
        <v>Roots</v>
      </c>
      <c r="O2712" s="29">
        <v>45069.0</v>
      </c>
      <c r="P2712" s="30">
        <v>0.5590277777777778</v>
      </c>
      <c r="Q2712" s="32">
        <v>45069.0</v>
      </c>
      <c r="R2712" s="30">
        <v>0.5597222222222222</v>
      </c>
      <c r="S2712" s="23">
        <v>0.0</v>
      </c>
      <c r="T2712" s="23" t="s">
        <v>1391</v>
      </c>
      <c r="U2712" s="32"/>
      <c r="V2712" s="6"/>
      <c r="W2712" s="35">
        <v>29.7398231</v>
      </c>
      <c r="X2712" s="35">
        <v>-95.3950139999999</v>
      </c>
      <c r="AA2712" s="33"/>
      <c r="AB2712" s="33"/>
      <c r="AC2712" s="39"/>
      <c r="AD2712" s="33"/>
      <c r="AE2712" s="33"/>
      <c r="AF2712" s="33"/>
      <c r="AG2712" s="33"/>
      <c r="AH2712" s="33"/>
      <c r="AI2712" s="33"/>
      <c r="AJ2712" s="33"/>
      <c r="AK2712" s="33"/>
      <c r="AL2712" s="33"/>
      <c r="AM2712" s="33"/>
      <c r="AN2712" s="33"/>
      <c r="AO2712" s="33"/>
    </row>
    <row r="2713" ht="15.75" customHeight="1">
      <c r="A2713" s="23">
        <v>52421.0</v>
      </c>
      <c r="B2713" s="23">
        <v>2023.0</v>
      </c>
      <c r="C2713" s="36" t="str">
        <f t="shared" si="7"/>
        <v>8201 RICHMOND AVE,Houston,TX</v>
      </c>
      <c r="D2713" s="23" t="s">
        <v>880</v>
      </c>
      <c r="E2713" s="6" t="s">
        <v>25</v>
      </c>
      <c r="F2713" s="6" t="s">
        <v>1388</v>
      </c>
      <c r="G2713" s="31" t="s">
        <v>482</v>
      </c>
      <c r="H2713" s="23" t="s">
        <v>50</v>
      </c>
      <c r="I2713" s="37" t="str">
        <f>VLOOKUP(H2713,'Flow Location'!$A$1:$B$21,2,FALSE)</f>
        <v>Contained On Site, not within 5 ft. of Bayou/Surface Water/Drainage Ditch</v>
      </c>
      <c r="J2713" s="28">
        <v>38.0</v>
      </c>
      <c r="K2713" s="23" t="s">
        <v>45</v>
      </c>
      <c r="L2713" s="37" t="str">
        <f>VLOOKUP(K2713,'Structure type'!$A$1:$B$15,2,FALSE)</f>
        <v>City Cleanout</v>
      </c>
      <c r="M2713" s="23" t="s">
        <v>30</v>
      </c>
      <c r="N2713" s="37" t="str">
        <f>VLOOKUP(M2713,'Excursion Cause'!$A$1:$B$34,2,FALSE)</f>
        <v>Grease Blockage</v>
      </c>
      <c r="O2713" s="29">
        <v>45069.0</v>
      </c>
      <c r="P2713" s="30">
        <v>0.4736111111111111</v>
      </c>
      <c r="Q2713" s="32">
        <v>45069.0</v>
      </c>
      <c r="R2713" s="30">
        <v>0.5</v>
      </c>
      <c r="S2713" s="23">
        <v>1.0</v>
      </c>
      <c r="T2713" s="23" t="s">
        <v>3743</v>
      </c>
      <c r="U2713" s="32"/>
      <c r="V2713" s="6"/>
      <c r="W2713" s="35">
        <v>29.7282739</v>
      </c>
      <c r="X2713" s="35">
        <v>-95.5128105</v>
      </c>
      <c r="AA2713" s="33"/>
      <c r="AB2713" s="33"/>
      <c r="AC2713" s="39"/>
      <c r="AD2713" s="33"/>
      <c r="AE2713" s="33"/>
      <c r="AF2713" s="33"/>
      <c r="AG2713" s="33"/>
      <c r="AH2713" s="33"/>
      <c r="AI2713" s="33"/>
      <c r="AJ2713" s="33"/>
      <c r="AK2713" s="33"/>
      <c r="AL2713" s="33"/>
      <c r="AM2713" s="33"/>
      <c r="AN2713" s="33"/>
      <c r="AO2713" s="33"/>
    </row>
    <row r="2714" ht="15.75" customHeight="1">
      <c r="A2714" s="23">
        <v>52420.0</v>
      </c>
      <c r="B2714" s="23">
        <v>2023.0</v>
      </c>
      <c r="C2714" s="36" t="str">
        <f t="shared" si="7"/>
        <v>12505 GULF FWY,Houston,TX</v>
      </c>
      <c r="D2714" s="23" t="s">
        <v>3990</v>
      </c>
      <c r="E2714" s="6" t="s">
        <v>25</v>
      </c>
      <c r="F2714" s="6" t="s">
        <v>1388</v>
      </c>
      <c r="G2714" s="31" t="s">
        <v>49</v>
      </c>
      <c r="H2714" s="23" t="s">
        <v>50</v>
      </c>
      <c r="I2714" s="37" t="str">
        <f>VLOOKUP(H2714,'Flow Location'!$A$1:$B$21,2,FALSE)</f>
        <v>Contained On Site, not within 5 ft. of Bayou/Surface Water/Drainage Ditch</v>
      </c>
      <c r="J2714" s="28">
        <v>879.0</v>
      </c>
      <c r="K2714" s="23" t="s">
        <v>29</v>
      </c>
      <c r="L2714" s="37" t="str">
        <f>VLOOKUP(K2714,'Structure type'!$A$1:$B$15,2,FALSE)</f>
        <v>Manhole</v>
      </c>
      <c r="M2714" s="23" t="s">
        <v>56</v>
      </c>
      <c r="N2714" s="37" t="str">
        <f>VLOOKUP(M2714,'Excursion Cause'!$A$1:$B$34,2,FALSE)</f>
        <v>Rags/Wipes</v>
      </c>
      <c r="O2714" s="29">
        <v>45069.0</v>
      </c>
      <c r="P2714" s="30">
        <v>0.4618055555555556</v>
      </c>
      <c r="Q2714" s="32">
        <v>45069.0</v>
      </c>
      <c r="R2714" s="30">
        <v>0.6652777777777777</v>
      </c>
      <c r="S2714" s="23">
        <v>3.0</v>
      </c>
      <c r="T2714" s="23" t="s">
        <v>3749</v>
      </c>
      <c r="U2714" s="32"/>
      <c r="V2714" s="6"/>
      <c r="W2714" s="35">
        <v>29.6179747</v>
      </c>
      <c r="X2714" s="35">
        <v>-95.2162831999999</v>
      </c>
      <c r="AA2714" s="33"/>
      <c r="AB2714" s="33"/>
      <c r="AC2714" s="39"/>
      <c r="AD2714" s="33"/>
      <c r="AE2714" s="33"/>
      <c r="AF2714" s="33"/>
      <c r="AG2714" s="33"/>
      <c r="AH2714" s="33"/>
      <c r="AI2714" s="33"/>
      <c r="AJ2714" s="33"/>
      <c r="AK2714" s="33"/>
      <c r="AL2714" s="33"/>
      <c r="AM2714" s="33"/>
      <c r="AN2714" s="33"/>
      <c r="AO2714" s="33"/>
    </row>
    <row r="2715" ht="15.75" customHeight="1">
      <c r="A2715" s="23">
        <v>52422.0</v>
      </c>
      <c r="B2715" s="23">
        <v>2023.0</v>
      </c>
      <c r="C2715" s="36" t="str">
        <f t="shared" si="7"/>
        <v>21 BRIAR HOLLOW LN,Houston,TX</v>
      </c>
      <c r="D2715" s="23" t="s">
        <v>3991</v>
      </c>
      <c r="E2715" s="6" t="s">
        <v>25</v>
      </c>
      <c r="F2715" s="6" t="s">
        <v>1388</v>
      </c>
      <c r="G2715" s="31" t="s">
        <v>1621</v>
      </c>
      <c r="H2715" s="23" t="s">
        <v>1493</v>
      </c>
      <c r="I2715" s="37" t="str">
        <f>VLOOKUP(H2715,'Flow Location'!$A$1:$B$21,2,FALSE)</f>
        <v>Contained On Site, not within 5 ft. of Bayou/Surface Water/Drainage Ditch</v>
      </c>
      <c r="J2715" s="28">
        <v>0.0</v>
      </c>
      <c r="K2715" s="23" t="s">
        <v>29</v>
      </c>
      <c r="L2715" s="37" t="str">
        <f>VLOOKUP(K2715,'Structure type'!$A$1:$B$15,2,FALSE)</f>
        <v>Manhole</v>
      </c>
      <c r="M2715" s="23" t="s">
        <v>30</v>
      </c>
      <c r="N2715" s="37" t="str">
        <f>VLOOKUP(M2715,'Excursion Cause'!$A$1:$B$34,2,FALSE)</f>
        <v>Grease Blockage</v>
      </c>
      <c r="O2715" s="29">
        <v>45069.0</v>
      </c>
      <c r="P2715" s="30">
        <v>0.45</v>
      </c>
      <c r="Q2715" s="32">
        <v>45069.0</v>
      </c>
      <c r="R2715" s="30">
        <v>0.45069444444444445</v>
      </c>
      <c r="S2715" s="23">
        <v>0.0</v>
      </c>
      <c r="T2715" s="23" t="s">
        <v>3749</v>
      </c>
      <c r="U2715" s="32"/>
      <c r="V2715" s="6"/>
      <c r="W2715" s="35">
        <v>29.7522104</v>
      </c>
      <c r="X2715" s="35">
        <v>-95.4518346999999</v>
      </c>
      <c r="AA2715" s="33"/>
      <c r="AB2715" s="33"/>
      <c r="AC2715" s="39"/>
      <c r="AD2715" s="33"/>
      <c r="AE2715" s="33"/>
      <c r="AF2715" s="33"/>
      <c r="AG2715" s="33"/>
      <c r="AH2715" s="33"/>
      <c r="AI2715" s="33"/>
      <c r="AJ2715" s="33"/>
      <c r="AK2715" s="33"/>
      <c r="AL2715" s="33"/>
      <c r="AM2715" s="33"/>
      <c r="AN2715" s="33"/>
      <c r="AO2715" s="33"/>
    </row>
    <row r="2716" ht="15.75" customHeight="1">
      <c r="A2716" s="23">
        <v>52419.0</v>
      </c>
      <c r="B2716" s="23">
        <v>2023.0</v>
      </c>
      <c r="C2716" s="36" t="str">
        <f t="shared" si="7"/>
        <v>14403 STONE PARK RD,Houston,TX</v>
      </c>
      <c r="D2716" s="23" t="s">
        <v>3992</v>
      </c>
      <c r="E2716" s="6" t="s">
        <v>25</v>
      </c>
      <c r="F2716" s="6" t="s">
        <v>1388</v>
      </c>
      <c r="G2716" s="31" t="s">
        <v>166</v>
      </c>
      <c r="H2716" s="23" t="s">
        <v>50</v>
      </c>
      <c r="I2716" s="37" t="str">
        <f>VLOOKUP(H2716,'Flow Location'!$A$1:$B$21,2,FALSE)</f>
        <v>Contained On Site, not within 5 ft. of Bayou/Surface Water/Drainage Ditch</v>
      </c>
      <c r="J2716" s="28">
        <v>170.0</v>
      </c>
      <c r="K2716" s="23" t="s">
        <v>29</v>
      </c>
      <c r="L2716" s="37" t="str">
        <f>VLOOKUP(K2716,'Structure type'!$A$1:$B$15,2,FALSE)</f>
        <v>Manhole</v>
      </c>
      <c r="M2716" s="23" t="s">
        <v>30</v>
      </c>
      <c r="N2716" s="37" t="str">
        <f>VLOOKUP(M2716,'Excursion Cause'!$A$1:$B$34,2,FALSE)</f>
        <v>Grease Blockage</v>
      </c>
      <c r="O2716" s="29">
        <v>45069.0</v>
      </c>
      <c r="P2716" s="30">
        <v>0.4375</v>
      </c>
      <c r="Q2716" s="32">
        <v>45069.0</v>
      </c>
      <c r="R2716" s="30">
        <v>0.5555555555555556</v>
      </c>
      <c r="S2716" s="23">
        <v>1.0</v>
      </c>
      <c r="T2716" s="23" t="s">
        <v>1462</v>
      </c>
      <c r="U2716" s="32"/>
      <c r="V2716" s="6"/>
      <c r="W2716" s="35">
        <v>29.6134046</v>
      </c>
      <c r="X2716" s="35">
        <v>-95.4964414999999</v>
      </c>
      <c r="AA2716" s="33"/>
      <c r="AB2716" s="33"/>
      <c r="AC2716" s="39"/>
      <c r="AD2716" s="33"/>
      <c r="AE2716" s="33"/>
      <c r="AF2716" s="33"/>
      <c r="AG2716" s="33"/>
      <c r="AH2716" s="33"/>
      <c r="AI2716" s="33"/>
      <c r="AJ2716" s="33"/>
      <c r="AK2716" s="33"/>
      <c r="AL2716" s="33"/>
      <c r="AM2716" s="33"/>
      <c r="AN2716" s="33"/>
      <c r="AO2716" s="33"/>
    </row>
    <row r="2717" ht="15.75" customHeight="1">
      <c r="A2717" s="23">
        <v>52438.0</v>
      </c>
      <c r="B2717" s="23">
        <v>2023.0</v>
      </c>
      <c r="C2717" s="36" t="str">
        <f t="shared" si="7"/>
        <v>3003 TANGERINE ST,Houston,TX</v>
      </c>
      <c r="D2717" s="23" t="s">
        <v>3993</v>
      </c>
      <c r="E2717" s="6" t="s">
        <v>25</v>
      </c>
      <c r="F2717" s="6" t="s">
        <v>1388</v>
      </c>
      <c r="G2717" s="31" t="s">
        <v>105</v>
      </c>
      <c r="H2717" s="23" t="s">
        <v>50</v>
      </c>
      <c r="I2717" s="37" t="str">
        <f>VLOOKUP(H2717,'Flow Location'!$A$1:$B$21,2,FALSE)</f>
        <v>Contained On Site, not within 5 ft. of Bayou/Surface Water/Drainage Ditch</v>
      </c>
      <c r="J2717" s="28">
        <v>0.0</v>
      </c>
      <c r="K2717" s="23" t="s">
        <v>29</v>
      </c>
      <c r="L2717" s="37" t="str">
        <f>VLOOKUP(K2717,'Structure type'!$A$1:$B$15,2,FALSE)</f>
        <v>Manhole</v>
      </c>
      <c r="M2717" s="23" t="s">
        <v>30</v>
      </c>
      <c r="N2717" s="37" t="str">
        <f>VLOOKUP(M2717,'Excursion Cause'!$A$1:$B$34,2,FALSE)</f>
        <v>Grease Blockage</v>
      </c>
      <c r="O2717" s="29">
        <v>45070.0</v>
      </c>
      <c r="P2717" s="30">
        <v>0.7611111111111111</v>
      </c>
      <c r="Q2717" s="32">
        <v>45070.0</v>
      </c>
      <c r="R2717" s="30">
        <v>0.7618055555555555</v>
      </c>
      <c r="S2717" s="23">
        <v>0.0</v>
      </c>
      <c r="T2717" s="23" t="s">
        <v>3749</v>
      </c>
      <c r="U2717" s="32"/>
      <c r="V2717" s="6"/>
      <c r="W2717" s="35">
        <v>29.656712</v>
      </c>
      <c r="X2717" s="35">
        <v>-95.3801118</v>
      </c>
      <c r="AA2717" s="33"/>
      <c r="AB2717" s="33"/>
      <c r="AC2717" s="39"/>
      <c r="AD2717" s="33"/>
      <c r="AE2717" s="33"/>
      <c r="AF2717" s="33"/>
      <c r="AG2717" s="33"/>
      <c r="AH2717" s="33"/>
      <c r="AI2717" s="33"/>
      <c r="AJ2717" s="33"/>
      <c r="AK2717" s="33"/>
      <c r="AL2717" s="33"/>
      <c r="AM2717" s="33"/>
      <c r="AN2717" s="33"/>
      <c r="AO2717" s="33"/>
    </row>
    <row r="2718" ht="15.75" customHeight="1">
      <c r="A2718" s="23">
        <v>52439.0</v>
      </c>
      <c r="B2718" s="23">
        <v>2023.0</v>
      </c>
      <c r="C2718" s="36" t="str">
        <f t="shared" si="7"/>
        <v>18 RITTENHOUSE ST,Houston,TX</v>
      </c>
      <c r="D2718" s="23" t="s">
        <v>3994</v>
      </c>
      <c r="E2718" s="6" t="s">
        <v>25</v>
      </c>
      <c r="F2718" s="6" t="s">
        <v>1388</v>
      </c>
      <c r="G2718" s="31" t="s">
        <v>275</v>
      </c>
      <c r="H2718" s="23" t="s">
        <v>28</v>
      </c>
      <c r="I2718" s="37" t="str">
        <f>VLOOKUP(H2718,'Flow Location'!$A$1:$B$21,2,FALSE)</f>
        <v>Storm Sewer (not contained)</v>
      </c>
      <c r="J2718" s="28">
        <v>8099.0</v>
      </c>
      <c r="K2718" s="23" t="s">
        <v>290</v>
      </c>
      <c r="L2718" s="37" t="str">
        <f>VLOOKUP(K2718,'Structure type'!$A$1:$B$15,2,FALSE)</f>
        <v>Gravity Main</v>
      </c>
      <c r="M2718" s="23" t="s">
        <v>81</v>
      </c>
      <c r="N2718" s="37" t="str">
        <f>VLOOKUP(M2718,'Excursion Cause'!$A$1:$B$34,2,FALSE)</f>
        <v>Collection system structural failure</v>
      </c>
      <c r="O2718" s="29">
        <v>45070.0</v>
      </c>
      <c r="P2718" s="30">
        <v>0.7333333333333333</v>
      </c>
      <c r="Q2718" s="32">
        <v>45071.0</v>
      </c>
      <c r="R2718" s="30">
        <v>0.5368055555555555</v>
      </c>
      <c r="S2718" s="23">
        <v>7.0</v>
      </c>
      <c r="T2718" s="23" t="s">
        <v>1391</v>
      </c>
      <c r="U2718" s="32"/>
      <c r="V2718" s="6"/>
      <c r="W2718" s="35">
        <v>29.8640514</v>
      </c>
      <c r="X2718" s="35">
        <v>-95.3836899</v>
      </c>
      <c r="AA2718" s="33"/>
      <c r="AB2718" s="33"/>
      <c r="AC2718" s="39"/>
      <c r="AD2718" s="33"/>
      <c r="AE2718" s="33"/>
      <c r="AF2718" s="33"/>
      <c r="AG2718" s="33"/>
      <c r="AH2718" s="33"/>
      <c r="AI2718" s="33"/>
      <c r="AJ2718" s="33"/>
      <c r="AK2718" s="33"/>
      <c r="AL2718" s="33"/>
      <c r="AM2718" s="33"/>
      <c r="AN2718" s="33"/>
      <c r="AO2718" s="33"/>
    </row>
    <row r="2719" ht="15.75" customHeight="1">
      <c r="A2719" s="23">
        <v>52437.0</v>
      </c>
      <c r="B2719" s="23">
        <v>2023.0</v>
      </c>
      <c r="C2719" s="36" t="str">
        <f t="shared" si="7"/>
        <v>2019 CHAPMAN ST,Houston,TX</v>
      </c>
      <c r="D2719" s="23" t="s">
        <v>3995</v>
      </c>
      <c r="E2719" s="6" t="s">
        <v>25</v>
      </c>
      <c r="F2719" s="6" t="s">
        <v>1388</v>
      </c>
      <c r="G2719" s="31" t="s">
        <v>161</v>
      </c>
      <c r="H2719" s="23" t="s">
        <v>50</v>
      </c>
      <c r="I2719" s="37" t="str">
        <f>VLOOKUP(H2719,'Flow Location'!$A$1:$B$21,2,FALSE)</f>
        <v>Contained On Site, not within 5 ft. of Bayou/Surface Water/Drainage Ditch</v>
      </c>
      <c r="J2719" s="28">
        <v>0.0</v>
      </c>
      <c r="K2719" s="23" t="s">
        <v>45</v>
      </c>
      <c r="L2719" s="37" t="str">
        <f>VLOOKUP(K2719,'Structure type'!$A$1:$B$15,2,FALSE)</f>
        <v>City Cleanout</v>
      </c>
      <c r="M2719" s="23" t="s">
        <v>30</v>
      </c>
      <c r="N2719" s="37" t="str">
        <f>VLOOKUP(M2719,'Excursion Cause'!$A$1:$B$34,2,FALSE)</f>
        <v>Grease Blockage</v>
      </c>
      <c r="O2719" s="29">
        <v>45070.0</v>
      </c>
      <c r="P2719" s="30">
        <v>0.6972222222222222</v>
      </c>
      <c r="Q2719" s="32">
        <v>45070.0</v>
      </c>
      <c r="R2719" s="30">
        <v>0.6979166666666666</v>
      </c>
      <c r="S2719" s="23">
        <v>0.0</v>
      </c>
      <c r="T2719" s="23" t="s">
        <v>3743</v>
      </c>
      <c r="U2719" s="32"/>
      <c r="V2719" s="6"/>
      <c r="W2719" s="35">
        <v>29.7803023</v>
      </c>
      <c r="X2719" s="35">
        <v>-95.3540654</v>
      </c>
      <c r="AA2719" s="33"/>
      <c r="AB2719" s="33"/>
      <c r="AC2719" s="39"/>
      <c r="AD2719" s="33"/>
      <c r="AE2719" s="33"/>
      <c r="AF2719" s="33"/>
      <c r="AG2719" s="33"/>
      <c r="AH2719" s="33"/>
      <c r="AI2719" s="33"/>
      <c r="AJ2719" s="33"/>
      <c r="AK2719" s="33"/>
      <c r="AL2719" s="33"/>
      <c r="AM2719" s="33"/>
      <c r="AN2719" s="33"/>
      <c r="AO2719" s="33"/>
    </row>
    <row r="2720" ht="15.75" customHeight="1">
      <c r="A2720" s="23">
        <v>52435.0</v>
      </c>
      <c r="B2720" s="23">
        <v>2023.0</v>
      </c>
      <c r="C2720" s="36" t="str">
        <f t="shared" si="7"/>
        <v>4401 18TH ST,Houston,TX</v>
      </c>
      <c r="D2720" s="23" t="s">
        <v>3996</v>
      </c>
      <c r="E2720" s="6" t="s">
        <v>25</v>
      </c>
      <c r="F2720" s="6" t="s">
        <v>1388</v>
      </c>
      <c r="G2720" s="31" t="s">
        <v>76</v>
      </c>
      <c r="H2720" s="23" t="s">
        <v>50</v>
      </c>
      <c r="I2720" s="37" t="str">
        <f>VLOOKUP(H2720,'Flow Location'!$A$1:$B$21,2,FALSE)</f>
        <v>Contained On Site, not within 5 ft. of Bayou/Surface Water/Drainage Ditch</v>
      </c>
      <c r="J2720" s="28">
        <v>0.0</v>
      </c>
      <c r="K2720" s="23" t="s">
        <v>29</v>
      </c>
      <c r="L2720" s="37" t="str">
        <f>VLOOKUP(K2720,'Structure type'!$A$1:$B$15,2,FALSE)</f>
        <v>Manhole</v>
      </c>
      <c r="M2720" s="23" t="s">
        <v>56</v>
      </c>
      <c r="N2720" s="37" t="str">
        <f>VLOOKUP(M2720,'Excursion Cause'!$A$1:$B$34,2,FALSE)</f>
        <v>Rags/Wipes</v>
      </c>
      <c r="O2720" s="29">
        <v>45070.0</v>
      </c>
      <c r="P2720" s="30">
        <v>0.5958333333333333</v>
      </c>
      <c r="Q2720" s="32">
        <v>45070.0</v>
      </c>
      <c r="R2720" s="30">
        <v>0.5965277777777778</v>
      </c>
      <c r="S2720" s="23">
        <v>0.0</v>
      </c>
      <c r="T2720" s="23" t="s">
        <v>1462</v>
      </c>
      <c r="U2720" s="32"/>
      <c r="V2720" s="6"/>
      <c r="W2720" s="35">
        <v>29.8012174</v>
      </c>
      <c r="X2720" s="35">
        <v>-95.45277</v>
      </c>
      <c r="AA2720" s="33"/>
      <c r="AB2720" s="33"/>
      <c r="AC2720" s="39"/>
      <c r="AD2720" s="33"/>
      <c r="AE2720" s="33"/>
      <c r="AF2720" s="33"/>
      <c r="AG2720" s="33"/>
      <c r="AH2720" s="33"/>
      <c r="AI2720" s="33"/>
      <c r="AJ2720" s="33"/>
      <c r="AK2720" s="33"/>
      <c r="AL2720" s="33"/>
      <c r="AM2720" s="33"/>
      <c r="AN2720" s="33"/>
      <c r="AO2720" s="33"/>
    </row>
    <row r="2721" ht="15.75" customHeight="1">
      <c r="A2721" s="23">
        <v>52431.0</v>
      </c>
      <c r="B2721" s="23">
        <v>2023.0</v>
      </c>
      <c r="C2721" s="36" t="str">
        <f t="shared" si="7"/>
        <v>2214 HOSKINS DR,Houston,TX</v>
      </c>
      <c r="D2721" s="23" t="s">
        <v>2788</v>
      </c>
      <c r="E2721" s="6" t="s">
        <v>25</v>
      </c>
      <c r="F2721" s="6" t="s">
        <v>1388</v>
      </c>
      <c r="G2721" s="31" t="s">
        <v>294</v>
      </c>
      <c r="H2721" s="23" t="s">
        <v>50</v>
      </c>
      <c r="I2721" s="37" t="str">
        <f>VLOOKUP(H2721,'Flow Location'!$A$1:$B$21,2,FALSE)</f>
        <v>Contained On Site, not within 5 ft. of Bayou/Surface Water/Drainage Ditch</v>
      </c>
      <c r="J2721" s="28">
        <v>0.0</v>
      </c>
      <c r="K2721" s="23" t="s">
        <v>198</v>
      </c>
      <c r="L2721" s="37" t="str">
        <f>VLOOKUP(K2721,'Structure type'!$A$1:$B$15,2,FALSE)</f>
        <v>Service Lateral</v>
      </c>
      <c r="M2721" s="23" t="s">
        <v>52</v>
      </c>
      <c r="N2721" s="37" t="str">
        <f>VLOOKUP(M2721,'Excursion Cause'!$A$1:$B$34,2,FALSE)</f>
        <v>Collection system structural blockage</v>
      </c>
      <c r="O2721" s="29">
        <v>45070.0</v>
      </c>
      <c r="P2721" s="30">
        <v>0.4097222222222222</v>
      </c>
      <c r="Q2721" s="32">
        <v>45070.0</v>
      </c>
      <c r="R2721" s="30">
        <v>0.41041666666666665</v>
      </c>
      <c r="S2721" s="23">
        <v>0.0</v>
      </c>
      <c r="T2721" s="23" t="s">
        <v>3756</v>
      </c>
      <c r="U2721" s="32"/>
      <c r="V2721" s="6"/>
      <c r="W2721" s="35">
        <v>29.8125423</v>
      </c>
      <c r="X2721" s="35">
        <v>-95.5224131</v>
      </c>
      <c r="AA2721" s="33"/>
      <c r="AB2721" s="33"/>
      <c r="AC2721" s="39"/>
      <c r="AD2721" s="33"/>
      <c r="AE2721" s="33"/>
      <c r="AF2721" s="33"/>
      <c r="AG2721" s="33"/>
      <c r="AH2721" s="33"/>
      <c r="AI2721" s="33"/>
      <c r="AJ2721" s="33"/>
      <c r="AK2721" s="33"/>
      <c r="AL2721" s="33"/>
      <c r="AM2721" s="33"/>
      <c r="AN2721" s="33"/>
      <c r="AO2721" s="33"/>
    </row>
    <row r="2722" ht="15.75" customHeight="1">
      <c r="A2722" s="23">
        <v>52428.0</v>
      </c>
      <c r="B2722" s="23">
        <v>2023.0</v>
      </c>
      <c r="C2722" s="36" t="str">
        <f t="shared" si="7"/>
        <v>5325 LYNBROOK DR,Houston,TX</v>
      </c>
      <c r="D2722" s="23" t="s">
        <v>3997</v>
      </c>
      <c r="E2722" s="6" t="s">
        <v>25</v>
      </c>
      <c r="F2722" s="6" t="s">
        <v>1388</v>
      </c>
      <c r="G2722" s="31" t="s">
        <v>993</v>
      </c>
      <c r="H2722" s="23" t="s">
        <v>50</v>
      </c>
      <c r="I2722" s="37" t="str">
        <f>VLOOKUP(H2722,'Flow Location'!$A$1:$B$21,2,FALSE)</f>
        <v>Contained On Site, not within 5 ft. of Bayou/Surface Water/Drainage Ditch</v>
      </c>
      <c r="J2722" s="28">
        <v>0.0</v>
      </c>
      <c r="K2722" s="23" t="s">
        <v>29</v>
      </c>
      <c r="L2722" s="37" t="str">
        <f>VLOOKUP(K2722,'Structure type'!$A$1:$B$15,2,FALSE)</f>
        <v>Manhole</v>
      </c>
      <c r="M2722" s="23" t="s">
        <v>56</v>
      </c>
      <c r="N2722" s="37" t="str">
        <f>VLOOKUP(M2722,'Excursion Cause'!$A$1:$B$34,2,FALSE)</f>
        <v>Rags/Wipes</v>
      </c>
      <c r="O2722" s="29">
        <v>45070.0</v>
      </c>
      <c r="P2722" s="30">
        <v>0.34305555555555556</v>
      </c>
      <c r="Q2722" s="32">
        <v>45070.0</v>
      </c>
      <c r="R2722" s="30">
        <v>0.34375</v>
      </c>
      <c r="S2722" s="23">
        <v>0.0</v>
      </c>
      <c r="T2722" s="23" t="s">
        <v>1462</v>
      </c>
      <c r="U2722" s="32"/>
      <c r="V2722" s="6"/>
      <c r="W2722" s="35">
        <v>29.7581108</v>
      </c>
      <c r="X2722" s="35">
        <v>-95.4689138999999</v>
      </c>
      <c r="AA2722" s="33"/>
      <c r="AB2722" s="33"/>
      <c r="AC2722" s="39"/>
      <c r="AD2722" s="33"/>
      <c r="AE2722" s="33"/>
      <c r="AF2722" s="33"/>
      <c r="AG2722" s="33"/>
      <c r="AH2722" s="33"/>
      <c r="AI2722" s="33"/>
      <c r="AJ2722" s="33"/>
      <c r="AK2722" s="33"/>
      <c r="AL2722" s="33"/>
      <c r="AM2722" s="33"/>
      <c r="AN2722" s="33"/>
      <c r="AO2722" s="33"/>
    </row>
    <row r="2723" ht="15.75" customHeight="1">
      <c r="A2723" s="23">
        <v>52449.0</v>
      </c>
      <c r="B2723" s="23">
        <v>2023.0</v>
      </c>
      <c r="C2723" s="36" t="str">
        <f t="shared" si="7"/>
        <v>7701 POINTER ST,Houston,TX</v>
      </c>
      <c r="D2723" s="23" t="s">
        <v>3998</v>
      </c>
      <c r="E2723" s="6" t="s">
        <v>25</v>
      </c>
      <c r="F2723" s="6" t="s">
        <v>1388</v>
      </c>
      <c r="G2723" s="31" t="s">
        <v>326</v>
      </c>
      <c r="H2723" s="23" t="s">
        <v>1493</v>
      </c>
      <c r="I2723" s="37" t="str">
        <f>VLOOKUP(H2723,'Flow Location'!$A$1:$B$21,2,FALSE)</f>
        <v>Contained On Site, not within 5 ft. of Bayou/Surface Water/Drainage Ditch</v>
      </c>
      <c r="J2723" s="28">
        <v>0.0</v>
      </c>
      <c r="K2723" s="23" t="s">
        <v>51</v>
      </c>
      <c r="L2723" s="37" t="str">
        <f>VLOOKUP(K2723,'Structure type'!$A$1:$B$15,2,FALSE)</f>
        <v>Private Cleanout</v>
      </c>
      <c r="M2723" s="23" t="s">
        <v>81</v>
      </c>
      <c r="N2723" s="37" t="str">
        <f>VLOOKUP(M2723,'Excursion Cause'!$A$1:$B$34,2,FALSE)</f>
        <v>Collection system structural failure</v>
      </c>
      <c r="O2723" s="29">
        <v>45071.0</v>
      </c>
      <c r="P2723" s="30">
        <v>0.6402777777777777</v>
      </c>
      <c r="Q2723" s="32">
        <v>45071.0</v>
      </c>
      <c r="R2723" s="30">
        <v>0.6409722222222223</v>
      </c>
      <c r="S2723" s="23">
        <v>0.0</v>
      </c>
      <c r="T2723" s="23" t="s">
        <v>118</v>
      </c>
      <c r="U2723" s="32"/>
      <c r="V2723" s="6"/>
      <c r="W2723" s="35">
        <v>29.8295056</v>
      </c>
      <c r="X2723" s="35">
        <v>-95.3245338</v>
      </c>
      <c r="AA2723" s="33"/>
      <c r="AB2723" s="33"/>
      <c r="AC2723" s="39"/>
      <c r="AD2723" s="33"/>
      <c r="AE2723" s="33"/>
      <c r="AF2723" s="33"/>
      <c r="AG2723" s="33"/>
      <c r="AH2723" s="33"/>
      <c r="AI2723" s="33"/>
      <c r="AJ2723" s="33"/>
      <c r="AK2723" s="33"/>
      <c r="AL2723" s="33"/>
      <c r="AM2723" s="33"/>
      <c r="AN2723" s="33"/>
      <c r="AO2723" s="33"/>
    </row>
    <row r="2724" ht="15.75" customHeight="1">
      <c r="A2724" s="23">
        <v>52448.0</v>
      </c>
      <c r="B2724" s="23">
        <v>2023.0</v>
      </c>
      <c r="C2724" s="36" t="str">
        <f t="shared" si="7"/>
        <v>3507 SUNBEAM ST,Houston,TX</v>
      </c>
      <c r="D2724" s="23" t="s">
        <v>3999</v>
      </c>
      <c r="E2724" s="6" t="s">
        <v>25</v>
      </c>
      <c r="F2724" s="6" t="s">
        <v>1388</v>
      </c>
      <c r="G2724" s="31" t="s">
        <v>105</v>
      </c>
      <c r="H2724" s="23" t="s">
        <v>50</v>
      </c>
      <c r="I2724" s="37" t="str">
        <f>VLOOKUP(H2724,'Flow Location'!$A$1:$B$21,2,FALSE)</f>
        <v>Contained On Site, not within 5 ft. of Bayou/Surface Water/Drainage Ditch</v>
      </c>
      <c r="J2724" s="28">
        <v>0.0</v>
      </c>
      <c r="K2724" s="23" t="s">
        <v>45</v>
      </c>
      <c r="L2724" s="37" t="str">
        <f>VLOOKUP(K2724,'Structure type'!$A$1:$B$15,2,FALSE)</f>
        <v>City Cleanout</v>
      </c>
      <c r="M2724" s="23" t="s">
        <v>30</v>
      </c>
      <c r="N2724" s="37" t="str">
        <f>VLOOKUP(M2724,'Excursion Cause'!$A$1:$B$34,2,FALSE)</f>
        <v>Grease Blockage</v>
      </c>
      <c r="O2724" s="29">
        <v>45071.0</v>
      </c>
      <c r="P2724" s="30">
        <v>0.6104166666666667</v>
      </c>
      <c r="Q2724" s="32">
        <v>45071.0</v>
      </c>
      <c r="R2724" s="30">
        <v>0.6111111111111112</v>
      </c>
      <c r="S2724" s="23">
        <v>0.0</v>
      </c>
      <c r="T2724" s="23" t="s">
        <v>1436</v>
      </c>
      <c r="U2724" s="32"/>
      <c r="V2724" s="6"/>
      <c r="W2724" s="35">
        <v>29.6501252</v>
      </c>
      <c r="X2724" s="35">
        <v>-95.3712286999999</v>
      </c>
      <c r="AA2724" s="33"/>
      <c r="AB2724" s="33"/>
      <c r="AC2724" s="39"/>
      <c r="AD2724" s="33"/>
      <c r="AE2724" s="33"/>
      <c r="AF2724" s="33"/>
      <c r="AG2724" s="33"/>
      <c r="AH2724" s="33"/>
      <c r="AI2724" s="33"/>
      <c r="AJ2724" s="33"/>
      <c r="AK2724" s="33"/>
      <c r="AL2724" s="33"/>
      <c r="AM2724" s="33"/>
      <c r="AN2724" s="33"/>
      <c r="AO2724" s="33"/>
    </row>
    <row r="2725" ht="15.75" customHeight="1">
      <c r="A2725" s="23">
        <v>52447.0</v>
      </c>
      <c r="B2725" s="23">
        <v>2023.0</v>
      </c>
      <c r="C2725" s="36" t="str">
        <f t="shared" si="7"/>
        <v>226 CORONATION DR,Houston,TX</v>
      </c>
      <c r="D2725" s="23" t="s">
        <v>4000</v>
      </c>
      <c r="E2725" s="6" t="s">
        <v>25</v>
      </c>
      <c r="F2725" s="6" t="s">
        <v>1388</v>
      </c>
      <c r="G2725" s="31" t="s">
        <v>49</v>
      </c>
      <c r="H2725" s="23" t="s">
        <v>28</v>
      </c>
      <c r="I2725" s="37" t="str">
        <f>VLOOKUP(H2725,'Flow Location'!$A$1:$B$21,2,FALSE)</f>
        <v>Storm Sewer (not contained)</v>
      </c>
      <c r="J2725" s="28">
        <v>0.0</v>
      </c>
      <c r="K2725" s="23" t="s">
        <v>29</v>
      </c>
      <c r="L2725" s="37" t="str">
        <f>VLOOKUP(K2725,'Structure type'!$A$1:$B$15,2,FALSE)</f>
        <v>Manhole</v>
      </c>
      <c r="M2725" s="23" t="s">
        <v>52</v>
      </c>
      <c r="N2725" s="37" t="str">
        <f>VLOOKUP(M2725,'Excursion Cause'!$A$1:$B$34,2,FALSE)</f>
        <v>Collection system structural blockage</v>
      </c>
      <c r="O2725" s="29">
        <v>45071.0</v>
      </c>
      <c r="P2725" s="30">
        <v>0.5701388888888889</v>
      </c>
      <c r="Q2725" s="32">
        <v>45071.0</v>
      </c>
      <c r="R2725" s="30">
        <v>0.5708333333333333</v>
      </c>
      <c r="S2725" s="23">
        <v>0.0</v>
      </c>
      <c r="T2725" s="23" t="s">
        <v>1462</v>
      </c>
      <c r="U2725" s="32"/>
      <c r="V2725" s="6"/>
      <c r="W2725" s="35">
        <v>29.6460933</v>
      </c>
      <c r="X2725" s="35">
        <v>-95.2113504</v>
      </c>
      <c r="AA2725" s="33"/>
      <c r="AB2725" s="33"/>
      <c r="AC2725" s="39"/>
      <c r="AD2725" s="33"/>
      <c r="AE2725" s="33"/>
      <c r="AF2725" s="33"/>
      <c r="AG2725" s="33"/>
      <c r="AH2725" s="33"/>
      <c r="AI2725" s="33"/>
      <c r="AJ2725" s="33"/>
      <c r="AK2725" s="33"/>
      <c r="AL2725" s="33"/>
      <c r="AM2725" s="33"/>
      <c r="AN2725" s="33"/>
      <c r="AO2725" s="33"/>
    </row>
    <row r="2726" ht="15.75" customHeight="1">
      <c r="A2726" s="23">
        <v>52443.0</v>
      </c>
      <c r="B2726" s="23">
        <v>2023.0</v>
      </c>
      <c r="C2726" s="36" t="str">
        <f t="shared" si="7"/>
        <v>7511 JANAK DR,Houston,TX</v>
      </c>
      <c r="D2726" s="23" t="s">
        <v>4001</v>
      </c>
      <c r="E2726" s="6" t="s">
        <v>25</v>
      </c>
      <c r="F2726" s="6" t="s">
        <v>1388</v>
      </c>
      <c r="G2726" s="31" t="s">
        <v>27</v>
      </c>
      <c r="H2726" s="23" t="s">
        <v>50</v>
      </c>
      <c r="I2726" s="37" t="str">
        <f>VLOOKUP(H2726,'Flow Location'!$A$1:$B$21,2,FALSE)</f>
        <v>Contained On Site, not within 5 ft. of Bayou/Surface Water/Drainage Ditch</v>
      </c>
      <c r="J2726" s="28">
        <v>0.0</v>
      </c>
      <c r="K2726" s="23" t="s">
        <v>29</v>
      </c>
      <c r="L2726" s="37" t="str">
        <f>VLOOKUP(K2726,'Structure type'!$A$1:$B$15,2,FALSE)</f>
        <v>Manhole</v>
      </c>
      <c r="M2726" s="23" t="s">
        <v>30</v>
      </c>
      <c r="N2726" s="37" t="str">
        <f>VLOOKUP(M2726,'Excursion Cause'!$A$1:$B$34,2,FALSE)</f>
        <v>Grease Blockage</v>
      </c>
      <c r="O2726" s="29">
        <v>45071.0</v>
      </c>
      <c r="P2726" s="30">
        <v>0.5430555555555555</v>
      </c>
      <c r="Q2726" s="32">
        <v>45071.0</v>
      </c>
      <c r="R2726" s="30">
        <v>0.54375</v>
      </c>
      <c r="S2726" s="23">
        <v>0.0</v>
      </c>
      <c r="T2726" s="23" t="s">
        <v>1462</v>
      </c>
      <c r="U2726" s="32"/>
      <c r="V2726" s="6"/>
      <c r="W2726" s="35">
        <v>29.7994034</v>
      </c>
      <c r="X2726" s="35">
        <v>-95.4778834999999</v>
      </c>
      <c r="AA2726" s="33"/>
      <c r="AB2726" s="33"/>
      <c r="AC2726" s="39"/>
      <c r="AD2726" s="33"/>
      <c r="AE2726" s="33"/>
      <c r="AF2726" s="33"/>
      <c r="AG2726" s="33"/>
      <c r="AH2726" s="33"/>
      <c r="AI2726" s="33"/>
      <c r="AJ2726" s="33"/>
      <c r="AK2726" s="33"/>
      <c r="AL2726" s="33"/>
      <c r="AM2726" s="33"/>
      <c r="AN2726" s="33"/>
      <c r="AO2726" s="33"/>
    </row>
    <row r="2727" ht="15.75" customHeight="1">
      <c r="A2727" s="23">
        <v>52441.0</v>
      </c>
      <c r="B2727" s="23">
        <v>2023.0</v>
      </c>
      <c r="C2727" s="36" t="str">
        <f t="shared" si="7"/>
        <v>2505 MAYVIEW DR,Houston,TX</v>
      </c>
      <c r="D2727" s="23" t="s">
        <v>4002</v>
      </c>
      <c r="E2727" s="6" t="s">
        <v>25</v>
      </c>
      <c r="F2727" s="6" t="s">
        <v>1388</v>
      </c>
      <c r="G2727" s="31" t="s">
        <v>222</v>
      </c>
      <c r="H2727" s="23" t="s">
        <v>50</v>
      </c>
      <c r="I2727" s="37" t="str">
        <f>VLOOKUP(H2727,'Flow Location'!$A$1:$B$21,2,FALSE)</f>
        <v>Contained On Site, not within 5 ft. of Bayou/Surface Water/Drainage Ditch</v>
      </c>
      <c r="J2727" s="28">
        <v>0.0</v>
      </c>
      <c r="K2727" s="23" t="s">
        <v>198</v>
      </c>
      <c r="L2727" s="37" t="str">
        <f>VLOOKUP(K2727,'Structure type'!$A$1:$B$15,2,FALSE)</f>
        <v>Service Lateral</v>
      </c>
      <c r="M2727" s="23" t="s">
        <v>81</v>
      </c>
      <c r="N2727" s="37" t="str">
        <f>VLOOKUP(M2727,'Excursion Cause'!$A$1:$B$34,2,FALSE)</f>
        <v>Collection system structural failure</v>
      </c>
      <c r="O2727" s="29">
        <v>45071.0</v>
      </c>
      <c r="P2727" s="30">
        <v>0.3819444444444444</v>
      </c>
      <c r="Q2727" s="32">
        <v>45071.0</v>
      </c>
      <c r="R2727" s="30">
        <v>0.38263888888888886</v>
      </c>
      <c r="S2727" s="23">
        <v>0.0</v>
      </c>
      <c r="T2727" s="23" t="s">
        <v>1391</v>
      </c>
      <c r="U2727" s="32"/>
      <c r="V2727" s="6"/>
      <c r="W2727" s="35">
        <v>29.8614367</v>
      </c>
      <c r="X2727" s="35">
        <v>-95.4493306</v>
      </c>
      <c r="AA2727" s="33"/>
      <c r="AB2727" s="33"/>
      <c r="AC2727" s="39"/>
      <c r="AD2727" s="33"/>
      <c r="AE2727" s="33"/>
      <c r="AF2727" s="33"/>
      <c r="AG2727" s="33"/>
      <c r="AH2727" s="33"/>
      <c r="AI2727" s="33"/>
      <c r="AJ2727" s="33"/>
      <c r="AK2727" s="33"/>
      <c r="AL2727" s="33"/>
      <c r="AM2727" s="33"/>
      <c r="AN2727" s="33"/>
      <c r="AO2727" s="33"/>
    </row>
    <row r="2728" ht="15.75" customHeight="1">
      <c r="A2728" s="23">
        <v>52457.0</v>
      </c>
      <c r="B2728" s="23">
        <v>2023.0</v>
      </c>
      <c r="C2728" s="36" t="str">
        <f t="shared" si="7"/>
        <v>2626 YALE ST,Houston,TX</v>
      </c>
      <c r="D2728" s="23" t="s">
        <v>4003</v>
      </c>
      <c r="E2728" s="6" t="s">
        <v>25</v>
      </c>
      <c r="F2728" s="6" t="s">
        <v>1388</v>
      </c>
      <c r="G2728" s="31" t="s">
        <v>232</v>
      </c>
      <c r="H2728" s="23" t="s">
        <v>28</v>
      </c>
      <c r="I2728" s="37" t="str">
        <f>VLOOKUP(H2728,'Flow Location'!$A$1:$B$21,2,FALSE)</f>
        <v>Storm Sewer (not contained)</v>
      </c>
      <c r="J2728" s="28">
        <v>882.0</v>
      </c>
      <c r="K2728" s="23" t="s">
        <v>29</v>
      </c>
      <c r="L2728" s="37" t="str">
        <f>VLOOKUP(K2728,'Structure type'!$A$1:$B$15,2,FALSE)</f>
        <v>Manhole</v>
      </c>
      <c r="M2728" s="23" t="s">
        <v>30</v>
      </c>
      <c r="N2728" s="37" t="str">
        <f>VLOOKUP(M2728,'Excursion Cause'!$A$1:$B$34,2,FALSE)</f>
        <v>Grease Blockage</v>
      </c>
      <c r="O2728" s="29">
        <v>45072.0</v>
      </c>
      <c r="P2728" s="30">
        <v>0.7625</v>
      </c>
      <c r="Q2728" s="32">
        <v>45073.0</v>
      </c>
      <c r="R2728" s="30">
        <v>0.375</v>
      </c>
      <c r="S2728" s="23">
        <v>1.0</v>
      </c>
      <c r="T2728" s="23" t="s">
        <v>1462</v>
      </c>
      <c r="U2728" s="32"/>
      <c r="V2728" s="6"/>
      <c r="W2728" s="35">
        <v>29.8110523</v>
      </c>
      <c r="X2728" s="35">
        <v>-95.3990876</v>
      </c>
      <c r="AA2728" s="33"/>
      <c r="AB2728" s="33"/>
      <c r="AC2728" s="39"/>
      <c r="AD2728" s="33"/>
      <c r="AE2728" s="33"/>
      <c r="AF2728" s="33"/>
      <c r="AG2728" s="33"/>
      <c r="AH2728" s="33"/>
      <c r="AI2728" s="33"/>
      <c r="AJ2728" s="33"/>
      <c r="AK2728" s="33"/>
      <c r="AL2728" s="33"/>
      <c r="AM2728" s="33"/>
      <c r="AN2728" s="33"/>
      <c r="AO2728" s="33"/>
    </row>
    <row r="2729" ht="15.75" customHeight="1">
      <c r="A2729" s="23">
        <v>52453.0</v>
      </c>
      <c r="B2729" s="23">
        <v>2023.0</v>
      </c>
      <c r="C2729" s="36" t="str">
        <f t="shared" si="7"/>
        <v>1203 TRACE DR,Houston,TX</v>
      </c>
      <c r="D2729" s="23" t="s">
        <v>4004</v>
      </c>
      <c r="E2729" s="6" t="s">
        <v>25</v>
      </c>
      <c r="F2729" s="6" t="s">
        <v>1388</v>
      </c>
      <c r="G2729" s="31" t="s">
        <v>347</v>
      </c>
      <c r="H2729" s="23" t="s">
        <v>50</v>
      </c>
      <c r="I2729" s="37" t="str">
        <f>VLOOKUP(H2729,'Flow Location'!$A$1:$B$21,2,FALSE)</f>
        <v>Contained On Site, not within 5 ft. of Bayou/Surface Water/Drainage Ditch</v>
      </c>
      <c r="J2729" s="28">
        <v>0.0</v>
      </c>
      <c r="K2729" s="23" t="s">
        <v>198</v>
      </c>
      <c r="L2729" s="37" t="str">
        <f>VLOOKUP(K2729,'Structure type'!$A$1:$B$15,2,FALSE)</f>
        <v>Service Lateral</v>
      </c>
      <c r="M2729" s="23" t="s">
        <v>52</v>
      </c>
      <c r="N2729" s="37" t="str">
        <f>VLOOKUP(M2729,'Excursion Cause'!$A$1:$B$34,2,FALSE)</f>
        <v>Collection system structural blockage</v>
      </c>
      <c r="O2729" s="29">
        <v>45072.0</v>
      </c>
      <c r="P2729" s="30">
        <v>0.5152777777777777</v>
      </c>
      <c r="Q2729" s="32">
        <v>45072.0</v>
      </c>
      <c r="R2729" s="30">
        <v>0.5159722222222223</v>
      </c>
      <c r="S2729" s="23">
        <v>0.0</v>
      </c>
      <c r="T2729" s="23" t="s">
        <v>3745</v>
      </c>
      <c r="U2729" s="32"/>
      <c r="V2729" s="6"/>
      <c r="W2729" s="35">
        <v>29.7596903</v>
      </c>
      <c r="X2729" s="35">
        <v>-95.6102197</v>
      </c>
      <c r="AA2729" s="33"/>
      <c r="AB2729" s="33"/>
      <c r="AC2729" s="39"/>
      <c r="AD2729" s="33"/>
      <c r="AE2729" s="33"/>
      <c r="AF2729" s="33"/>
      <c r="AG2729" s="33"/>
      <c r="AH2729" s="33"/>
      <c r="AI2729" s="33"/>
      <c r="AJ2729" s="33"/>
      <c r="AK2729" s="33"/>
      <c r="AL2729" s="33"/>
      <c r="AM2729" s="33"/>
      <c r="AN2729" s="33"/>
      <c r="AO2729" s="33"/>
    </row>
    <row r="2730" ht="15.75" customHeight="1">
      <c r="A2730" s="23">
        <v>52452.0</v>
      </c>
      <c r="B2730" s="23">
        <v>2023.0</v>
      </c>
      <c r="C2730" s="36" t="str">
        <f t="shared" si="7"/>
        <v>8243 MISTY RIDGE LN,Houston,TX</v>
      </c>
      <c r="D2730" s="23" t="s">
        <v>4005</v>
      </c>
      <c r="E2730" s="6" t="s">
        <v>25</v>
      </c>
      <c r="F2730" s="6" t="s">
        <v>1388</v>
      </c>
      <c r="G2730" s="31" t="s">
        <v>148</v>
      </c>
      <c r="H2730" s="23" t="s">
        <v>50</v>
      </c>
      <c r="I2730" s="37" t="str">
        <f>VLOOKUP(H2730,'Flow Location'!$A$1:$B$21,2,FALSE)</f>
        <v>Contained On Site, not within 5 ft. of Bayou/Surface Water/Drainage Ditch</v>
      </c>
      <c r="J2730" s="28">
        <v>5941.0</v>
      </c>
      <c r="K2730" s="23" t="s">
        <v>29</v>
      </c>
      <c r="L2730" s="37" t="str">
        <f>VLOOKUP(K2730,'Structure type'!$A$1:$B$15,2,FALSE)</f>
        <v>Manhole</v>
      </c>
      <c r="M2730" s="23" t="s">
        <v>30</v>
      </c>
      <c r="N2730" s="37" t="str">
        <f>VLOOKUP(M2730,'Excursion Cause'!$A$1:$B$34,2,FALSE)</f>
        <v>Grease Blockage</v>
      </c>
      <c r="O2730" s="29">
        <v>45072.0</v>
      </c>
      <c r="P2730" s="30">
        <v>0.4527777777777778</v>
      </c>
      <c r="Q2730" s="32">
        <v>45076.0</v>
      </c>
      <c r="R2730" s="30">
        <v>0.5784722222222223</v>
      </c>
      <c r="S2730" s="23">
        <v>1.0</v>
      </c>
      <c r="T2730" s="23" t="s">
        <v>1462</v>
      </c>
      <c r="U2730" s="32"/>
      <c r="V2730" s="6"/>
      <c r="W2730" s="35">
        <v>29.6384024</v>
      </c>
      <c r="X2730" s="35">
        <v>-95.5250382999999</v>
      </c>
      <c r="AA2730" s="33"/>
      <c r="AB2730" s="33"/>
      <c r="AC2730" s="39"/>
      <c r="AD2730" s="33"/>
      <c r="AE2730" s="33"/>
      <c r="AF2730" s="33"/>
      <c r="AG2730" s="33"/>
      <c r="AH2730" s="33"/>
      <c r="AI2730" s="33"/>
      <c r="AJ2730" s="33"/>
      <c r="AK2730" s="33"/>
      <c r="AL2730" s="33"/>
      <c r="AM2730" s="33"/>
      <c r="AN2730" s="33"/>
      <c r="AO2730" s="33"/>
    </row>
    <row r="2731" ht="15.75" customHeight="1">
      <c r="A2731" s="23">
        <v>52460.0</v>
      </c>
      <c r="B2731" s="23">
        <v>2023.0</v>
      </c>
      <c r="C2731" s="36" t="str">
        <f t="shared" si="7"/>
        <v>7000 BRAES BLVD,Houston,TX</v>
      </c>
      <c r="D2731" s="23" t="s">
        <v>4006</v>
      </c>
      <c r="E2731" s="6" t="s">
        <v>25</v>
      </c>
      <c r="F2731" s="6" t="s">
        <v>1388</v>
      </c>
      <c r="G2731" s="31" t="s">
        <v>65</v>
      </c>
      <c r="H2731" s="23" t="s">
        <v>28</v>
      </c>
      <c r="I2731" s="37" t="str">
        <f>VLOOKUP(H2731,'Flow Location'!$A$1:$B$21,2,FALSE)</f>
        <v>Storm Sewer (not contained)</v>
      </c>
      <c r="J2731" s="28">
        <v>0.0</v>
      </c>
      <c r="K2731" s="23" t="s">
        <v>29</v>
      </c>
      <c r="L2731" s="37" t="str">
        <f>VLOOKUP(K2731,'Structure type'!$A$1:$B$15,2,FALSE)</f>
        <v>Manhole</v>
      </c>
      <c r="M2731" s="23" t="s">
        <v>30</v>
      </c>
      <c r="N2731" s="37" t="str">
        <f>VLOOKUP(M2731,'Excursion Cause'!$A$1:$B$34,2,FALSE)</f>
        <v>Grease Blockage</v>
      </c>
      <c r="O2731" s="29">
        <v>45073.0</v>
      </c>
      <c r="P2731" s="30">
        <v>0.5694444444444444</v>
      </c>
      <c r="Q2731" s="32">
        <v>45073.0</v>
      </c>
      <c r="R2731" s="30">
        <v>0.6111111111111112</v>
      </c>
      <c r="S2731" s="23">
        <v>0.0</v>
      </c>
      <c r="T2731" s="23" t="s">
        <v>1462</v>
      </c>
      <c r="U2731" s="32"/>
      <c r="V2731" s="6"/>
      <c r="W2731" s="35">
        <v>29.7024188</v>
      </c>
      <c r="X2731" s="35">
        <v>-95.4383907</v>
      </c>
      <c r="AA2731" s="33"/>
      <c r="AB2731" s="33"/>
      <c r="AC2731" s="39"/>
      <c r="AD2731" s="33"/>
      <c r="AE2731" s="33"/>
      <c r="AF2731" s="33"/>
      <c r="AG2731" s="33"/>
      <c r="AH2731" s="33"/>
      <c r="AI2731" s="33"/>
      <c r="AJ2731" s="33"/>
      <c r="AK2731" s="33"/>
      <c r="AL2731" s="33"/>
      <c r="AM2731" s="33"/>
      <c r="AN2731" s="33"/>
      <c r="AO2731" s="33"/>
    </row>
    <row r="2732" ht="15.75" customHeight="1">
      <c r="A2732" s="23">
        <v>52463.0</v>
      </c>
      <c r="B2732" s="23">
        <v>2023.0</v>
      </c>
      <c r="C2732" s="36" t="str">
        <f t="shared" si="7"/>
        <v>10631 HUNTINGTON ESTATES DR,Houston,TX</v>
      </c>
      <c r="D2732" s="23" t="s">
        <v>4007</v>
      </c>
      <c r="E2732" s="6" t="s">
        <v>25</v>
      </c>
      <c r="F2732" s="6" t="s">
        <v>1388</v>
      </c>
      <c r="G2732" s="31" t="s">
        <v>154</v>
      </c>
      <c r="H2732" s="23" t="s">
        <v>28</v>
      </c>
      <c r="I2732" s="37" t="str">
        <f>VLOOKUP(H2732,'Flow Location'!$A$1:$B$21,2,FALSE)</f>
        <v>Storm Sewer (not contained)</v>
      </c>
      <c r="J2732" s="28">
        <v>6830.0</v>
      </c>
      <c r="K2732" s="23" t="s">
        <v>29</v>
      </c>
      <c r="L2732" s="37" t="str">
        <f>VLOOKUP(K2732,'Structure type'!$A$1:$B$15,2,FALSE)</f>
        <v>Manhole</v>
      </c>
      <c r="M2732" s="23" t="s">
        <v>81</v>
      </c>
      <c r="N2732" s="37" t="str">
        <f>VLOOKUP(M2732,'Excursion Cause'!$A$1:$B$34,2,FALSE)</f>
        <v>Collection system structural failure</v>
      </c>
      <c r="O2732" s="29">
        <v>45073.0</v>
      </c>
      <c r="P2732" s="30">
        <v>0.5256944444444445</v>
      </c>
      <c r="Q2732" s="32">
        <v>45074.0</v>
      </c>
      <c r="R2732" s="30">
        <v>0.0</v>
      </c>
      <c r="S2732" s="23">
        <v>10.0</v>
      </c>
      <c r="T2732" s="23" t="s">
        <v>4008</v>
      </c>
      <c r="U2732" s="32"/>
      <c r="V2732" s="6"/>
      <c r="W2732" s="35">
        <v>29.6652406</v>
      </c>
      <c r="X2732" s="35">
        <v>-95.6104697999999</v>
      </c>
      <c r="AA2732" s="33"/>
      <c r="AB2732" s="33"/>
      <c r="AC2732" s="39"/>
      <c r="AD2732" s="33"/>
      <c r="AE2732" s="33"/>
      <c r="AF2732" s="33"/>
      <c r="AG2732" s="33"/>
      <c r="AH2732" s="33"/>
      <c r="AI2732" s="33"/>
      <c r="AJ2732" s="33"/>
      <c r="AK2732" s="33"/>
      <c r="AL2732" s="33"/>
      <c r="AM2732" s="33"/>
      <c r="AN2732" s="33"/>
      <c r="AO2732" s="33"/>
    </row>
    <row r="2733" ht="15.75" customHeight="1">
      <c r="A2733" s="23">
        <v>52486.0</v>
      </c>
      <c r="B2733" s="23">
        <v>2023.0</v>
      </c>
      <c r="C2733" s="36" t="str">
        <f t="shared" si="7"/>
        <v>10631 HUNTINGTON ESTATES DR,Houston,TX</v>
      </c>
      <c r="D2733" s="23" t="s">
        <v>4007</v>
      </c>
      <c r="E2733" s="6" t="s">
        <v>25</v>
      </c>
      <c r="F2733" s="6" t="s">
        <v>1388</v>
      </c>
      <c r="G2733" s="31" t="s">
        <v>154</v>
      </c>
      <c r="H2733" s="23" t="s">
        <v>28</v>
      </c>
      <c r="I2733" s="37" t="str">
        <f>VLOOKUP(H2733,'Flow Location'!$A$1:$B$21,2,FALSE)</f>
        <v>Storm Sewer (not contained)</v>
      </c>
      <c r="J2733" s="28">
        <v>6830.0</v>
      </c>
      <c r="K2733" s="23" t="s">
        <v>29</v>
      </c>
      <c r="L2733" s="37" t="str">
        <f>VLOOKUP(K2733,'Structure type'!$A$1:$B$15,2,FALSE)</f>
        <v>Manhole</v>
      </c>
      <c r="M2733" s="23" t="s">
        <v>81</v>
      </c>
      <c r="N2733" s="37" t="str">
        <f>VLOOKUP(M2733,'Excursion Cause'!$A$1:$B$34,2,FALSE)</f>
        <v>Collection system structural failure</v>
      </c>
      <c r="O2733" s="29">
        <v>45073.0</v>
      </c>
      <c r="P2733" s="30">
        <v>0.5256944444444445</v>
      </c>
      <c r="Q2733" s="32">
        <v>45074.0</v>
      </c>
      <c r="R2733" s="30">
        <v>0.0</v>
      </c>
      <c r="S2733" s="23">
        <v>10.0</v>
      </c>
      <c r="T2733" s="23" t="s">
        <v>4009</v>
      </c>
      <c r="U2733" s="32"/>
      <c r="V2733" s="6"/>
      <c r="W2733" s="35">
        <v>29.6652406</v>
      </c>
      <c r="X2733" s="35">
        <v>-95.6104697999999</v>
      </c>
      <c r="AA2733" s="33"/>
      <c r="AB2733" s="33"/>
      <c r="AC2733" s="39"/>
      <c r="AD2733" s="33"/>
      <c r="AE2733" s="33"/>
      <c r="AF2733" s="33"/>
      <c r="AG2733" s="33"/>
      <c r="AH2733" s="33"/>
      <c r="AI2733" s="33"/>
      <c r="AJ2733" s="33"/>
      <c r="AK2733" s="33"/>
      <c r="AL2733" s="33"/>
      <c r="AM2733" s="33"/>
      <c r="AN2733" s="33"/>
      <c r="AO2733" s="33"/>
    </row>
    <row r="2734" ht="15.75" customHeight="1">
      <c r="A2734" s="23">
        <v>52461.0</v>
      </c>
      <c r="B2734" s="23">
        <v>2023.0</v>
      </c>
      <c r="C2734" s="36" t="str">
        <f t="shared" si="7"/>
        <v>11479 NORTH FWY,Houston,TX</v>
      </c>
      <c r="D2734" s="23" t="s">
        <v>4010</v>
      </c>
      <c r="E2734" s="6" t="s">
        <v>25</v>
      </c>
      <c r="F2734" s="6" t="s">
        <v>1388</v>
      </c>
      <c r="G2734" s="31" t="s">
        <v>393</v>
      </c>
      <c r="H2734" s="23" t="s">
        <v>1493</v>
      </c>
      <c r="I2734" s="37" t="str">
        <f>VLOOKUP(H2734,'Flow Location'!$A$1:$B$21,2,FALSE)</f>
        <v>Contained On Site, not within 5 ft. of Bayou/Surface Water/Drainage Ditch</v>
      </c>
      <c r="J2734" s="28">
        <v>428.0</v>
      </c>
      <c r="K2734" s="23" t="s">
        <v>29</v>
      </c>
      <c r="L2734" s="37" t="str">
        <f>VLOOKUP(K2734,'Structure type'!$A$1:$B$15,2,FALSE)</f>
        <v>Manhole</v>
      </c>
      <c r="M2734" s="23" t="s">
        <v>3239</v>
      </c>
      <c r="N2734" s="37" t="str">
        <f>VLOOKUP(M2734,'Excursion Cause'!$A$1:$B$34,2,FALSE)</f>
        <v>Collection system temporary blockage</v>
      </c>
      <c r="O2734" s="29">
        <v>45073.0</v>
      </c>
      <c r="P2734" s="30">
        <v>0.4215277777777778</v>
      </c>
      <c r="Q2734" s="32">
        <v>45073.0</v>
      </c>
      <c r="R2734" s="30">
        <v>0.71875</v>
      </c>
      <c r="S2734" s="23">
        <v>1.0</v>
      </c>
      <c r="T2734" s="23" t="s">
        <v>4011</v>
      </c>
      <c r="U2734" s="32"/>
      <c r="V2734" s="6"/>
      <c r="W2734" s="35">
        <v>29.9329574</v>
      </c>
      <c r="X2734" s="35">
        <v>-95.4130591</v>
      </c>
      <c r="AA2734" s="33"/>
      <c r="AB2734" s="33"/>
      <c r="AC2734" s="39"/>
      <c r="AD2734" s="33"/>
      <c r="AE2734" s="33"/>
      <c r="AF2734" s="33"/>
      <c r="AG2734" s="33"/>
      <c r="AH2734" s="33"/>
      <c r="AI2734" s="33"/>
      <c r="AJ2734" s="33"/>
      <c r="AK2734" s="33"/>
      <c r="AL2734" s="33"/>
      <c r="AM2734" s="33"/>
      <c r="AN2734" s="33"/>
      <c r="AO2734" s="33"/>
    </row>
    <row r="2735" ht="15.75" customHeight="1">
      <c r="A2735" s="23">
        <v>52458.0</v>
      </c>
      <c r="B2735" s="23">
        <v>2023.0</v>
      </c>
      <c r="C2735" s="36" t="str">
        <f t="shared" si="7"/>
        <v>910 FAIR OAKS DR,Houston,TX</v>
      </c>
      <c r="D2735" s="23" t="s">
        <v>1033</v>
      </c>
      <c r="E2735" s="6" t="s">
        <v>25</v>
      </c>
      <c r="F2735" s="6" t="s">
        <v>1388</v>
      </c>
      <c r="G2735" s="31" t="s">
        <v>141</v>
      </c>
      <c r="H2735" s="23" t="s">
        <v>28</v>
      </c>
      <c r="I2735" s="37" t="str">
        <f>VLOOKUP(H2735,'Flow Location'!$A$1:$B$21,2,FALSE)</f>
        <v>Storm Sewer (not contained)</v>
      </c>
      <c r="J2735" s="28">
        <v>0.0</v>
      </c>
      <c r="K2735" s="23" t="s">
        <v>29</v>
      </c>
      <c r="L2735" s="37" t="str">
        <f>VLOOKUP(K2735,'Structure type'!$A$1:$B$15,2,FALSE)</f>
        <v>Manhole</v>
      </c>
      <c r="M2735" s="23" t="s">
        <v>30</v>
      </c>
      <c r="N2735" s="37" t="str">
        <f>VLOOKUP(M2735,'Excursion Cause'!$A$1:$B$34,2,FALSE)</f>
        <v>Grease Blockage</v>
      </c>
      <c r="O2735" s="29">
        <v>45073.0</v>
      </c>
      <c r="P2735" s="30">
        <v>0.3402777777777778</v>
      </c>
      <c r="Q2735" s="32">
        <v>45073.0</v>
      </c>
      <c r="R2735" s="30">
        <v>0.34097222222222223</v>
      </c>
      <c r="S2735" s="23">
        <v>0.0</v>
      </c>
      <c r="T2735" s="23" t="s">
        <v>1462</v>
      </c>
      <c r="U2735" s="32"/>
      <c r="V2735" s="6"/>
      <c r="W2735" s="35">
        <v>29.7305055999999</v>
      </c>
      <c r="X2735" s="35">
        <v>-95.3164179</v>
      </c>
      <c r="AA2735" s="33"/>
      <c r="AB2735" s="33"/>
      <c r="AC2735" s="39"/>
      <c r="AD2735" s="33"/>
      <c r="AE2735" s="33"/>
      <c r="AF2735" s="33"/>
      <c r="AG2735" s="33"/>
      <c r="AH2735" s="33"/>
      <c r="AI2735" s="33"/>
      <c r="AJ2735" s="33"/>
      <c r="AK2735" s="33"/>
      <c r="AL2735" s="33"/>
      <c r="AM2735" s="33"/>
      <c r="AN2735" s="33"/>
      <c r="AO2735" s="33"/>
    </row>
    <row r="2736" ht="15.75" customHeight="1">
      <c r="A2736" s="23">
        <v>52478.0</v>
      </c>
      <c r="B2736" s="23">
        <v>2023.0</v>
      </c>
      <c r="C2736" s="36" t="str">
        <f t="shared" si="7"/>
        <v>7426 BIGWOOD ST,Houston,TX</v>
      </c>
      <c r="D2736" s="23" t="s">
        <v>4012</v>
      </c>
      <c r="E2736" s="6" t="s">
        <v>25</v>
      </c>
      <c r="F2736" s="6" t="s">
        <v>1388</v>
      </c>
      <c r="G2736" s="31" t="s">
        <v>326</v>
      </c>
      <c r="H2736" s="23" t="s">
        <v>50</v>
      </c>
      <c r="I2736" s="37" t="str">
        <f>VLOOKUP(H2736,'Flow Location'!$A$1:$B$21,2,FALSE)</f>
        <v>Contained On Site, not within 5 ft. of Bayou/Surface Water/Drainage Ditch</v>
      </c>
      <c r="J2736" s="28">
        <v>0.0</v>
      </c>
      <c r="K2736" s="23" t="s">
        <v>51</v>
      </c>
      <c r="L2736" s="37" t="str">
        <f>VLOOKUP(K2736,'Structure type'!$A$1:$B$15,2,FALSE)</f>
        <v>Private Cleanout</v>
      </c>
      <c r="M2736" s="23" t="s">
        <v>52</v>
      </c>
      <c r="N2736" s="37" t="str">
        <f>VLOOKUP(M2736,'Excursion Cause'!$A$1:$B$34,2,FALSE)</f>
        <v>Collection system structural blockage</v>
      </c>
      <c r="O2736" s="29">
        <v>45076.0</v>
      </c>
      <c r="P2736" s="30">
        <v>0.43125</v>
      </c>
      <c r="Q2736" s="32">
        <v>45076.0</v>
      </c>
      <c r="R2736" s="30">
        <v>0.43194444444444446</v>
      </c>
      <c r="S2736" s="23">
        <v>0.0</v>
      </c>
      <c r="T2736" s="23" t="s">
        <v>1391</v>
      </c>
      <c r="U2736" s="32"/>
      <c r="V2736" s="6"/>
      <c r="W2736" s="35">
        <v>29.8560498</v>
      </c>
      <c r="X2736" s="35">
        <v>-95.2934609</v>
      </c>
      <c r="AA2736" s="33"/>
      <c r="AB2736" s="33"/>
      <c r="AC2736" s="39"/>
      <c r="AD2736" s="33"/>
      <c r="AE2736" s="33"/>
      <c r="AF2736" s="33"/>
      <c r="AG2736" s="33"/>
      <c r="AH2736" s="33"/>
      <c r="AI2736" s="33"/>
      <c r="AJ2736" s="33"/>
      <c r="AK2736" s="33"/>
      <c r="AL2736" s="33"/>
      <c r="AM2736" s="33"/>
      <c r="AN2736" s="33"/>
      <c r="AO2736" s="33"/>
    </row>
    <row r="2737" ht="15.75" customHeight="1">
      <c r="A2737" s="23">
        <v>52475.0</v>
      </c>
      <c r="B2737" s="23">
        <v>2023.0</v>
      </c>
      <c r="C2737" s="36" t="str">
        <f t="shared" si="7"/>
        <v>8010 FILLTOP ST,Houston,TX</v>
      </c>
      <c r="D2737" s="23" t="s">
        <v>1234</v>
      </c>
      <c r="E2737" s="6" t="s">
        <v>25</v>
      </c>
      <c r="F2737" s="6" t="s">
        <v>1388</v>
      </c>
      <c r="G2737" s="31" t="s">
        <v>177</v>
      </c>
      <c r="H2737" s="23" t="s">
        <v>50</v>
      </c>
      <c r="I2737" s="37" t="str">
        <f>VLOOKUP(H2737,'Flow Location'!$A$1:$B$21,2,FALSE)</f>
        <v>Contained On Site, not within 5 ft. of Bayou/Surface Water/Drainage Ditch</v>
      </c>
      <c r="J2737" s="28">
        <v>0.0</v>
      </c>
      <c r="K2737" s="23" t="s">
        <v>45</v>
      </c>
      <c r="L2737" s="37" t="str">
        <f>VLOOKUP(K2737,'Structure type'!$A$1:$B$15,2,FALSE)</f>
        <v>City Cleanout</v>
      </c>
      <c r="M2737" s="23" t="s">
        <v>56</v>
      </c>
      <c r="N2737" s="37" t="str">
        <f>VLOOKUP(M2737,'Excursion Cause'!$A$1:$B$34,2,FALSE)</f>
        <v>Rags/Wipes</v>
      </c>
      <c r="O2737" s="29">
        <v>45076.0</v>
      </c>
      <c r="P2737" s="30">
        <v>0.3611111111111111</v>
      </c>
      <c r="Q2737" s="32">
        <v>45076.0</v>
      </c>
      <c r="R2737" s="30">
        <v>0.36180555555555555</v>
      </c>
      <c r="S2737" s="23">
        <v>0.0</v>
      </c>
      <c r="T2737" s="23" t="s">
        <v>3743</v>
      </c>
      <c r="U2737" s="32"/>
      <c r="V2737" s="6"/>
      <c r="W2737" s="35">
        <v>29.8180488</v>
      </c>
      <c r="X2737" s="35">
        <v>-95.2804731</v>
      </c>
      <c r="AA2737" s="33"/>
      <c r="AB2737" s="33"/>
      <c r="AC2737" s="39"/>
      <c r="AD2737" s="33"/>
      <c r="AE2737" s="33"/>
      <c r="AF2737" s="33"/>
      <c r="AG2737" s="33"/>
      <c r="AH2737" s="33"/>
      <c r="AI2737" s="33"/>
      <c r="AJ2737" s="33"/>
      <c r="AK2737" s="33"/>
      <c r="AL2737" s="33"/>
      <c r="AM2737" s="33"/>
      <c r="AN2737" s="33"/>
      <c r="AO2737" s="33"/>
    </row>
    <row r="2738" ht="15.75" customHeight="1">
      <c r="A2738" s="23">
        <v>52485.0</v>
      </c>
      <c r="B2738" s="23">
        <v>2023.0</v>
      </c>
      <c r="C2738" s="36" t="str">
        <f t="shared" si="7"/>
        <v>1016 LUCKY ST,Houston,TX</v>
      </c>
      <c r="D2738" s="23" t="s">
        <v>4013</v>
      </c>
      <c r="E2738" s="6" t="s">
        <v>25</v>
      </c>
      <c r="F2738" s="6" t="s">
        <v>1388</v>
      </c>
      <c r="G2738" s="31" t="s">
        <v>502</v>
      </c>
      <c r="H2738" s="23" t="s">
        <v>50</v>
      </c>
      <c r="I2738" s="37" t="str">
        <f>VLOOKUP(H2738,'Flow Location'!$A$1:$B$21,2,FALSE)</f>
        <v>Contained On Site, not within 5 ft. of Bayou/Surface Water/Drainage Ditch</v>
      </c>
      <c r="J2738" s="28">
        <v>0.0</v>
      </c>
      <c r="K2738" s="23" t="s">
        <v>45</v>
      </c>
      <c r="L2738" s="37" t="str">
        <f>VLOOKUP(K2738,'Structure type'!$A$1:$B$15,2,FALSE)</f>
        <v>City Cleanout</v>
      </c>
      <c r="M2738" s="23" t="s">
        <v>52</v>
      </c>
      <c r="N2738" s="37" t="str">
        <f>VLOOKUP(M2738,'Excursion Cause'!$A$1:$B$34,2,FALSE)</f>
        <v>Collection system structural blockage</v>
      </c>
      <c r="O2738" s="29">
        <v>45077.0</v>
      </c>
      <c r="P2738" s="30">
        <v>0.5541666666666667</v>
      </c>
      <c r="Q2738" s="32">
        <v>45077.0</v>
      </c>
      <c r="R2738" s="30">
        <v>0.5548611111111111</v>
      </c>
      <c r="S2738" s="23">
        <v>0.0</v>
      </c>
      <c r="T2738" s="23" t="s">
        <v>1473</v>
      </c>
      <c r="U2738" s="32"/>
      <c r="V2738" s="6"/>
      <c r="W2738" s="35">
        <v>29.8702124</v>
      </c>
      <c r="X2738" s="35">
        <v>-95.4275651</v>
      </c>
      <c r="AA2738" s="33"/>
      <c r="AB2738" s="33"/>
      <c r="AC2738" s="39"/>
      <c r="AD2738" s="33"/>
      <c r="AE2738" s="33"/>
      <c r="AF2738" s="33"/>
      <c r="AG2738" s="33"/>
      <c r="AH2738" s="33"/>
      <c r="AI2738" s="33"/>
      <c r="AJ2738" s="33"/>
      <c r="AK2738" s="33"/>
      <c r="AL2738" s="33"/>
      <c r="AM2738" s="33"/>
      <c r="AN2738" s="33"/>
      <c r="AO2738" s="33"/>
    </row>
    <row r="2739" ht="15.75" customHeight="1">
      <c r="A2739" s="23">
        <v>52487.0</v>
      </c>
      <c r="B2739" s="23">
        <v>2023.0</v>
      </c>
      <c r="C2739" s="36" t="str">
        <f t="shared" si="7"/>
        <v>6030 RIDGEWAY DR,Houston,TX</v>
      </c>
      <c r="D2739" s="23" t="s">
        <v>1343</v>
      </c>
      <c r="E2739" s="23" t="s">
        <v>25</v>
      </c>
      <c r="F2739" s="23" t="s">
        <v>1388</v>
      </c>
      <c r="G2739" s="31" t="s">
        <v>27</v>
      </c>
      <c r="H2739" s="23" t="s">
        <v>50</v>
      </c>
      <c r="I2739" s="37" t="str">
        <f>VLOOKUP(H2739,'Flow Location'!$A$1:$B$21,2,FALSE)</f>
        <v>Contained On Site, not within 5 ft. of Bayou/Surface Water/Drainage Ditch</v>
      </c>
      <c r="J2739" s="28">
        <v>0.0</v>
      </c>
      <c r="K2739" s="23" t="s">
        <v>45</v>
      </c>
      <c r="L2739" s="37" t="str">
        <f>VLOOKUP(K2739,'Structure type'!$A$1:$B$15,2,FALSE)</f>
        <v>City Cleanout</v>
      </c>
      <c r="M2739" s="23" t="s">
        <v>56</v>
      </c>
      <c r="N2739" s="23" t="str">
        <f>VLOOKUP(M2739,'Excursion Cause'!$A$1:$B$34,2,FALSE)</f>
        <v>Rags/Wipes</v>
      </c>
      <c r="O2739" s="29">
        <v>45078.0</v>
      </c>
      <c r="P2739" s="30">
        <v>0.36875</v>
      </c>
      <c r="Q2739" s="29">
        <v>45078.0</v>
      </c>
      <c r="R2739" s="30">
        <v>0.36944444444444446</v>
      </c>
      <c r="S2739" s="28">
        <v>0.0</v>
      </c>
      <c r="T2739" s="23" t="s">
        <v>270</v>
      </c>
      <c r="U2739" s="6"/>
      <c r="V2739" s="6"/>
      <c r="W2739" s="35">
        <v>29.6680523</v>
      </c>
      <c r="X2739" s="35">
        <v>-95.3271817999999</v>
      </c>
      <c r="AA2739" s="33"/>
      <c r="AB2739" s="33"/>
      <c r="AC2739" s="33"/>
      <c r="AD2739" s="33"/>
      <c r="AE2739" s="33"/>
      <c r="AF2739" s="33"/>
      <c r="AG2739" s="33"/>
      <c r="AH2739" s="33"/>
      <c r="AI2739" s="33"/>
      <c r="AJ2739" s="33"/>
      <c r="AK2739" s="33"/>
      <c r="AL2739" s="33"/>
      <c r="AM2739" s="33"/>
      <c r="AN2739" s="33"/>
      <c r="AO2739" s="33"/>
    </row>
    <row r="2740" ht="15.75" customHeight="1">
      <c r="A2740" s="23">
        <v>52491.0</v>
      </c>
      <c r="B2740" s="23">
        <v>2023.0</v>
      </c>
      <c r="C2740" s="36" t="str">
        <f t="shared" si="7"/>
        <v>1015 VILLA DE MATEL RD,Houston,TX</v>
      </c>
      <c r="D2740" s="23" t="s">
        <v>4014</v>
      </c>
      <c r="E2740" s="23" t="s">
        <v>25</v>
      </c>
      <c r="F2740" s="23" t="s">
        <v>1388</v>
      </c>
      <c r="G2740" s="31" t="s">
        <v>35</v>
      </c>
      <c r="H2740" s="23" t="s">
        <v>1493</v>
      </c>
      <c r="I2740" s="37" t="str">
        <f>VLOOKUP(H2740,'Flow Location'!$A$1:$B$21,2,FALSE)</f>
        <v>Contained On Site, not within 5 ft. of Bayou/Surface Water/Drainage Ditch</v>
      </c>
      <c r="J2740" s="28">
        <v>0.0</v>
      </c>
      <c r="K2740" s="23" t="s">
        <v>29</v>
      </c>
      <c r="L2740" s="37" t="str">
        <f>VLOOKUP(K2740,'Structure type'!$A$1:$B$15,2,FALSE)</f>
        <v>Manhole</v>
      </c>
      <c r="M2740" s="23" t="s">
        <v>30</v>
      </c>
      <c r="N2740" s="23" t="str">
        <f>VLOOKUP(M2740,'Excursion Cause'!$A$1:$B$34,2,FALSE)</f>
        <v>Grease Blockage</v>
      </c>
      <c r="O2740" s="29">
        <v>45078.0</v>
      </c>
      <c r="P2740" s="30">
        <v>0.5423611111111111</v>
      </c>
      <c r="Q2740" s="29">
        <v>45078.0</v>
      </c>
      <c r="R2740" s="30">
        <v>0.5430555555555555</v>
      </c>
      <c r="S2740" s="28">
        <v>0.0</v>
      </c>
      <c r="T2740" s="23" t="s">
        <v>270</v>
      </c>
      <c r="U2740" s="6"/>
      <c r="V2740" s="6"/>
      <c r="W2740" s="35">
        <v>29.7279044</v>
      </c>
      <c r="X2740" s="35">
        <v>-95.3122003</v>
      </c>
      <c r="AA2740" s="33"/>
      <c r="AB2740" s="33"/>
      <c r="AC2740" s="33"/>
      <c r="AD2740" s="33"/>
      <c r="AE2740" s="33"/>
      <c r="AF2740" s="33"/>
      <c r="AG2740" s="33"/>
      <c r="AH2740" s="33"/>
      <c r="AI2740" s="33"/>
      <c r="AJ2740" s="33"/>
      <c r="AK2740" s="33"/>
      <c r="AL2740" s="33"/>
      <c r="AM2740" s="33"/>
      <c r="AN2740" s="33"/>
      <c r="AO2740" s="33"/>
    </row>
    <row r="2741" ht="15.75" customHeight="1">
      <c r="A2741" s="23">
        <v>52493.0</v>
      </c>
      <c r="B2741" s="23">
        <v>2023.0</v>
      </c>
      <c r="C2741" s="36" t="str">
        <f t="shared" si="7"/>
        <v>4920 AIRLINE DR,Houston,TX</v>
      </c>
      <c r="D2741" s="23" t="s">
        <v>3879</v>
      </c>
      <c r="E2741" s="23" t="s">
        <v>25</v>
      </c>
      <c r="F2741" s="23" t="s">
        <v>1388</v>
      </c>
      <c r="G2741" s="31" t="s">
        <v>39</v>
      </c>
      <c r="H2741" s="23" t="s">
        <v>28</v>
      </c>
      <c r="I2741" s="37" t="str">
        <f>VLOOKUP(H2741,'Flow Location'!$A$1:$B$21,2,FALSE)</f>
        <v>Storm Sewer (not contained)</v>
      </c>
      <c r="J2741" s="28">
        <v>53.0</v>
      </c>
      <c r="K2741" s="23" t="s">
        <v>198</v>
      </c>
      <c r="L2741" s="37" t="str">
        <f>VLOOKUP(K2741,'Structure type'!$A$1:$B$15,2,FALSE)</f>
        <v>Service Lateral</v>
      </c>
      <c r="M2741" s="23" t="s">
        <v>52</v>
      </c>
      <c r="N2741" s="23" t="str">
        <f>VLOOKUP(M2741,'Excursion Cause'!$A$1:$B$34,2,FALSE)</f>
        <v>Collection system structural blockage</v>
      </c>
      <c r="O2741" s="29">
        <v>45078.0</v>
      </c>
      <c r="P2741" s="30">
        <v>0.6270833333333333</v>
      </c>
      <c r="Q2741" s="29">
        <v>45078.0</v>
      </c>
      <c r="R2741" s="30">
        <v>0.6638888888888889</v>
      </c>
      <c r="S2741" s="28">
        <v>1.0</v>
      </c>
      <c r="T2741" s="23" t="s">
        <v>270</v>
      </c>
      <c r="U2741" s="6"/>
      <c r="V2741" s="6"/>
      <c r="W2741" s="35">
        <v>29.8383324</v>
      </c>
      <c r="X2741" s="35">
        <v>-95.3841626</v>
      </c>
      <c r="AA2741" s="33"/>
      <c r="AB2741" s="33"/>
      <c r="AC2741" s="33"/>
      <c r="AD2741" s="33"/>
      <c r="AE2741" s="33"/>
      <c r="AF2741" s="33"/>
      <c r="AG2741" s="33"/>
      <c r="AH2741" s="33"/>
      <c r="AI2741" s="33"/>
      <c r="AJ2741" s="33"/>
      <c r="AK2741" s="33"/>
      <c r="AL2741" s="33"/>
      <c r="AM2741" s="33"/>
      <c r="AN2741" s="33"/>
      <c r="AO2741" s="33"/>
    </row>
    <row r="2742" ht="15.75" customHeight="1">
      <c r="A2742" s="23">
        <v>52495.0</v>
      </c>
      <c r="B2742" s="23">
        <v>2023.0</v>
      </c>
      <c r="C2742" s="36" t="str">
        <f t="shared" si="7"/>
        <v>10150 WESTVIEW DR,Houston,TX</v>
      </c>
      <c r="D2742" s="23" t="s">
        <v>2123</v>
      </c>
      <c r="E2742" s="23" t="s">
        <v>25</v>
      </c>
      <c r="F2742" s="23" t="s">
        <v>1388</v>
      </c>
      <c r="G2742" s="31" t="s">
        <v>43</v>
      </c>
      <c r="H2742" s="23" t="s">
        <v>28</v>
      </c>
      <c r="I2742" s="37" t="str">
        <f>VLOOKUP(H2742,'Flow Location'!$A$1:$B$21,2,FALSE)</f>
        <v>Storm Sewer (not contained)</v>
      </c>
      <c r="J2742" s="28">
        <v>585.0</v>
      </c>
      <c r="K2742" s="23" t="s">
        <v>45</v>
      </c>
      <c r="L2742" s="37" t="str">
        <f>VLOOKUP(K2742,'Structure type'!$A$1:$B$15,2,FALSE)</f>
        <v>City Cleanout</v>
      </c>
      <c r="M2742" s="23" t="s">
        <v>96</v>
      </c>
      <c r="N2742" s="23" t="str">
        <f>VLOOKUP(M2742,'Excursion Cause'!$A$1:$B$34,2,FALSE)</f>
        <v>Collection system temporary blockage</v>
      </c>
      <c r="O2742" s="29">
        <v>45078.0</v>
      </c>
      <c r="P2742" s="30">
        <v>0.7215277777777778</v>
      </c>
      <c r="Q2742" s="29">
        <v>45079.0</v>
      </c>
      <c r="R2742" s="30">
        <v>0.5340277777777778</v>
      </c>
      <c r="S2742" s="28">
        <v>0.0</v>
      </c>
      <c r="T2742" s="23" t="s">
        <v>270</v>
      </c>
      <c r="U2742" s="6"/>
      <c r="V2742" s="6"/>
      <c r="W2742" s="35">
        <v>29.7911497</v>
      </c>
      <c r="X2742" s="35">
        <v>-95.5483776999999</v>
      </c>
      <c r="AA2742" s="33"/>
      <c r="AB2742" s="33"/>
      <c r="AC2742" s="33"/>
      <c r="AD2742" s="33"/>
      <c r="AE2742" s="33"/>
      <c r="AF2742" s="33"/>
      <c r="AG2742" s="33"/>
      <c r="AH2742" s="33"/>
      <c r="AI2742" s="33"/>
      <c r="AJ2742" s="33"/>
      <c r="AK2742" s="33"/>
      <c r="AL2742" s="33"/>
      <c r="AM2742" s="33"/>
      <c r="AN2742" s="33"/>
      <c r="AO2742" s="33"/>
    </row>
    <row r="2743" ht="15.75" customHeight="1">
      <c r="A2743" s="23">
        <v>52498.0</v>
      </c>
      <c r="B2743" s="23">
        <v>2023.0</v>
      </c>
      <c r="C2743" s="36" t="str">
        <f t="shared" si="7"/>
        <v>6013 TOWNSAN RD,Houston,TX</v>
      </c>
      <c r="D2743" s="23" t="s">
        <v>4015</v>
      </c>
      <c r="E2743" s="23" t="s">
        <v>25</v>
      </c>
      <c r="F2743" s="23" t="s">
        <v>1388</v>
      </c>
      <c r="G2743" s="31" t="s">
        <v>49</v>
      </c>
      <c r="H2743" s="23" t="s">
        <v>50</v>
      </c>
      <c r="I2743" s="37" t="str">
        <f>VLOOKUP(H2743,'Flow Location'!$A$1:$B$21,2,FALSE)</f>
        <v>Contained On Site, not within 5 ft. of Bayou/Surface Water/Drainage Ditch</v>
      </c>
      <c r="J2743" s="28">
        <v>0.0</v>
      </c>
      <c r="K2743" s="23" t="s">
        <v>51</v>
      </c>
      <c r="L2743" s="37" t="str">
        <f>VLOOKUP(K2743,'Structure type'!$A$1:$B$15,2,FALSE)</f>
        <v>Private Cleanout</v>
      </c>
      <c r="M2743" s="23" t="s">
        <v>56</v>
      </c>
      <c r="N2743" s="23" t="str">
        <f>VLOOKUP(M2743,'Excursion Cause'!$A$1:$B$34,2,FALSE)</f>
        <v>Rags/Wipes</v>
      </c>
      <c r="O2743" s="29">
        <v>45079.0</v>
      </c>
      <c r="P2743" s="30">
        <v>0.40069444444444446</v>
      </c>
      <c r="Q2743" s="29">
        <v>45079.0</v>
      </c>
      <c r="R2743" s="30">
        <v>0.4013888888888889</v>
      </c>
      <c r="S2743" s="28">
        <v>0.0</v>
      </c>
      <c r="T2743" s="23" t="s">
        <v>270</v>
      </c>
      <c r="U2743" s="6"/>
      <c r="V2743" s="6"/>
      <c r="W2743" s="35">
        <v>29.9587632</v>
      </c>
      <c r="X2743" s="35">
        <v>-95.3015314</v>
      </c>
      <c r="AA2743" s="33"/>
      <c r="AB2743" s="33"/>
      <c r="AC2743" s="33"/>
      <c r="AD2743" s="33"/>
      <c r="AE2743" s="33"/>
      <c r="AF2743" s="33"/>
      <c r="AG2743" s="33"/>
      <c r="AH2743" s="33"/>
      <c r="AI2743" s="33"/>
      <c r="AJ2743" s="33"/>
      <c r="AK2743" s="33"/>
      <c r="AL2743" s="33"/>
      <c r="AM2743" s="33"/>
      <c r="AN2743" s="33"/>
      <c r="AO2743" s="33"/>
    </row>
    <row r="2744" ht="15.75" customHeight="1">
      <c r="A2744" s="23">
        <v>52499.0</v>
      </c>
      <c r="B2744" s="23">
        <v>2023.0</v>
      </c>
      <c r="C2744" s="36" t="str">
        <f t="shared" si="7"/>
        <v>2002 WAYSIDE DR,Houston,TX</v>
      </c>
      <c r="D2744" s="23" t="s">
        <v>4016</v>
      </c>
      <c r="E2744" s="23" t="s">
        <v>25</v>
      </c>
      <c r="F2744" s="23" t="s">
        <v>1388</v>
      </c>
      <c r="G2744" s="31" t="s">
        <v>35</v>
      </c>
      <c r="H2744" s="23" t="s">
        <v>1493</v>
      </c>
      <c r="I2744" s="37" t="str">
        <f>VLOOKUP(H2744,'Flow Location'!$A$1:$B$21,2,FALSE)</f>
        <v>Contained On Site, not within 5 ft. of Bayou/Surface Water/Drainage Ditch</v>
      </c>
      <c r="J2744" s="28">
        <v>0.0</v>
      </c>
      <c r="K2744" s="23" t="s">
        <v>45</v>
      </c>
      <c r="L2744" s="37" t="str">
        <f>VLOOKUP(K2744,'Structure type'!$A$1:$B$15,2,FALSE)</f>
        <v>City Cleanout</v>
      </c>
      <c r="M2744" s="23" t="s">
        <v>30</v>
      </c>
      <c r="N2744" s="23" t="str">
        <f>VLOOKUP(M2744,'Excursion Cause'!$A$1:$B$34,2,FALSE)</f>
        <v>Grease Blockage</v>
      </c>
      <c r="O2744" s="29">
        <v>45079.0</v>
      </c>
      <c r="P2744" s="30">
        <v>0.5118055555555555</v>
      </c>
      <c r="Q2744" s="29">
        <v>45079.0</v>
      </c>
      <c r="R2744" s="30">
        <v>0.5125</v>
      </c>
      <c r="S2744" s="28">
        <v>0.0</v>
      </c>
      <c r="T2744" s="23" t="s">
        <v>270</v>
      </c>
      <c r="U2744" s="6"/>
      <c r="V2744" s="6"/>
      <c r="W2744" s="35">
        <v>29.7182977</v>
      </c>
      <c r="X2744" s="35">
        <v>-95.3138565</v>
      </c>
      <c r="AA2744" s="33"/>
      <c r="AB2744" s="33"/>
      <c r="AC2744" s="33"/>
      <c r="AD2744" s="33"/>
      <c r="AE2744" s="33"/>
      <c r="AF2744" s="33"/>
      <c r="AG2744" s="33"/>
      <c r="AH2744" s="33"/>
      <c r="AI2744" s="33"/>
      <c r="AJ2744" s="33"/>
      <c r="AK2744" s="33"/>
      <c r="AL2744" s="33"/>
      <c r="AM2744" s="33"/>
      <c r="AN2744" s="33"/>
      <c r="AO2744" s="33"/>
    </row>
    <row r="2745" ht="15.75" customHeight="1">
      <c r="A2745" s="23">
        <v>52501.0</v>
      </c>
      <c r="B2745" s="23">
        <v>2023.0</v>
      </c>
      <c r="C2745" s="36" t="str">
        <f t="shared" si="7"/>
        <v>5107 TREMPER ST,Houston,TX</v>
      </c>
      <c r="D2745" s="23" t="s">
        <v>3858</v>
      </c>
      <c r="E2745" s="23" t="s">
        <v>25</v>
      </c>
      <c r="F2745" s="23" t="s">
        <v>1388</v>
      </c>
      <c r="G2745" s="31" t="s">
        <v>61</v>
      </c>
      <c r="H2745" s="23" t="s">
        <v>50</v>
      </c>
      <c r="I2745" s="37" t="str">
        <f>VLOOKUP(H2745,'Flow Location'!$A$1:$B$21,2,FALSE)</f>
        <v>Contained On Site, not within 5 ft. of Bayou/Surface Water/Drainage Ditch</v>
      </c>
      <c r="J2745" s="28">
        <v>0.0</v>
      </c>
      <c r="K2745" s="23" t="s">
        <v>45</v>
      </c>
      <c r="L2745" s="37" t="str">
        <f>VLOOKUP(K2745,'Structure type'!$A$1:$B$15,2,FALSE)</f>
        <v>City Cleanout</v>
      </c>
      <c r="M2745" s="23" t="s">
        <v>56</v>
      </c>
      <c r="N2745" s="23" t="str">
        <f>VLOOKUP(M2745,'Excursion Cause'!$A$1:$B$34,2,FALSE)</f>
        <v>Rags/Wipes</v>
      </c>
      <c r="O2745" s="29">
        <v>45079.0</v>
      </c>
      <c r="P2745" s="30">
        <v>0.5576388888888889</v>
      </c>
      <c r="Q2745" s="29">
        <v>45079.0</v>
      </c>
      <c r="R2745" s="30">
        <v>0.5583333333333333</v>
      </c>
      <c r="S2745" s="28">
        <v>0.0</v>
      </c>
      <c r="T2745" s="23" t="s">
        <v>270</v>
      </c>
      <c r="U2745" s="6"/>
      <c r="V2745" s="6"/>
      <c r="W2745" s="35">
        <v>29.7748755</v>
      </c>
      <c r="X2745" s="35">
        <v>-95.3190321</v>
      </c>
      <c r="AA2745" s="33"/>
      <c r="AB2745" s="33"/>
      <c r="AC2745" s="33"/>
      <c r="AD2745" s="33"/>
      <c r="AE2745" s="33"/>
      <c r="AF2745" s="33"/>
      <c r="AG2745" s="33"/>
      <c r="AH2745" s="33"/>
      <c r="AI2745" s="33"/>
      <c r="AJ2745" s="33"/>
      <c r="AK2745" s="33"/>
      <c r="AL2745" s="33"/>
      <c r="AM2745" s="33"/>
      <c r="AN2745" s="33"/>
      <c r="AO2745" s="33"/>
    </row>
    <row r="2746" ht="15.75" customHeight="1">
      <c r="A2746" s="23">
        <v>52503.0</v>
      </c>
      <c r="B2746" s="23">
        <v>2023.0</v>
      </c>
      <c r="C2746" s="36" t="str">
        <f t="shared" si="7"/>
        <v>1348 SHEPHERD DR,Houston,TX</v>
      </c>
      <c r="D2746" s="23" t="s">
        <v>4017</v>
      </c>
      <c r="E2746" s="23" t="s">
        <v>25</v>
      </c>
      <c r="F2746" s="23" t="s">
        <v>1388</v>
      </c>
      <c r="G2746" s="31" t="s">
        <v>65</v>
      </c>
      <c r="H2746" s="23" t="s">
        <v>28</v>
      </c>
      <c r="I2746" s="37" t="str">
        <f>VLOOKUP(H2746,'Flow Location'!$A$1:$B$21,2,FALSE)</f>
        <v>Storm Sewer (not contained)</v>
      </c>
      <c r="J2746" s="28">
        <v>1289.0</v>
      </c>
      <c r="K2746" s="23" t="s">
        <v>198</v>
      </c>
      <c r="L2746" s="37" t="str">
        <f>VLOOKUP(K2746,'Structure type'!$A$1:$B$15,2,FALSE)</f>
        <v>Service Lateral</v>
      </c>
      <c r="M2746" s="23" t="s">
        <v>81</v>
      </c>
      <c r="N2746" s="23" t="str">
        <f>VLOOKUP(M2746,'Excursion Cause'!$A$1:$B$34,2,FALSE)</f>
        <v>Collection system structural failure</v>
      </c>
      <c r="O2746" s="29">
        <v>45079.0</v>
      </c>
      <c r="P2746" s="30">
        <v>0.6638888888888889</v>
      </c>
      <c r="Q2746" s="29">
        <v>45080.0</v>
      </c>
      <c r="R2746" s="30">
        <v>0.5590277777777778</v>
      </c>
      <c r="S2746" s="28">
        <v>1.0</v>
      </c>
      <c r="T2746" s="23" t="s">
        <v>270</v>
      </c>
      <c r="U2746" s="6"/>
      <c r="V2746" s="6"/>
      <c r="W2746" s="35">
        <v>29.7732418</v>
      </c>
      <c r="X2746" s="35">
        <v>-95.4094051</v>
      </c>
      <c r="AA2746" s="33"/>
      <c r="AB2746" s="33"/>
      <c r="AC2746" s="33"/>
      <c r="AD2746" s="33"/>
      <c r="AE2746" s="33"/>
      <c r="AF2746" s="33"/>
      <c r="AG2746" s="33"/>
      <c r="AH2746" s="33"/>
      <c r="AI2746" s="33"/>
      <c r="AJ2746" s="33"/>
      <c r="AK2746" s="33"/>
      <c r="AL2746" s="33"/>
      <c r="AM2746" s="33"/>
      <c r="AN2746" s="33"/>
      <c r="AO2746" s="33"/>
    </row>
    <row r="2747" ht="15.75" customHeight="1">
      <c r="A2747" s="23">
        <v>52512.0</v>
      </c>
      <c r="B2747" s="23">
        <v>2023.0</v>
      </c>
      <c r="C2747" s="36" t="str">
        <f t="shared" si="7"/>
        <v>234 JANISCH RD,Houston,TX</v>
      </c>
      <c r="D2747" s="23" t="s">
        <v>4018</v>
      </c>
      <c r="E2747" s="23" t="s">
        <v>25</v>
      </c>
      <c r="F2747" s="23" t="s">
        <v>1388</v>
      </c>
      <c r="G2747" s="31" t="s">
        <v>69</v>
      </c>
      <c r="H2747" s="23" t="s">
        <v>50</v>
      </c>
      <c r="I2747" s="37" t="str">
        <f>VLOOKUP(H2747,'Flow Location'!$A$1:$B$21,2,FALSE)</f>
        <v>Contained On Site, not within 5 ft. of Bayou/Surface Water/Drainage Ditch</v>
      </c>
      <c r="J2747" s="28">
        <v>0.0</v>
      </c>
      <c r="K2747" s="23" t="s">
        <v>29</v>
      </c>
      <c r="L2747" s="37" t="str">
        <f>VLOOKUP(K2747,'Structure type'!$A$1:$B$15,2,FALSE)</f>
        <v>Manhole</v>
      </c>
      <c r="M2747" s="23" t="s">
        <v>30</v>
      </c>
      <c r="N2747" s="23" t="str">
        <f>VLOOKUP(M2747,'Excursion Cause'!$A$1:$B$34,2,FALSE)</f>
        <v>Grease Blockage</v>
      </c>
      <c r="O2747" s="29">
        <v>45081.0</v>
      </c>
      <c r="P2747" s="30">
        <v>0.48194444444444445</v>
      </c>
      <c r="Q2747" s="29">
        <v>45081.0</v>
      </c>
      <c r="R2747" s="30">
        <v>0.4826388888888889</v>
      </c>
      <c r="S2747" s="28">
        <v>0.0</v>
      </c>
      <c r="T2747" s="23" t="s">
        <v>270</v>
      </c>
      <c r="U2747" s="6"/>
      <c r="V2747" s="6"/>
      <c r="W2747" s="35">
        <v>29.8371068</v>
      </c>
      <c r="X2747" s="35">
        <v>-95.398434</v>
      </c>
      <c r="AA2747" s="33"/>
      <c r="AB2747" s="33"/>
      <c r="AC2747" s="33"/>
      <c r="AD2747" s="33"/>
      <c r="AE2747" s="33"/>
      <c r="AF2747" s="33"/>
      <c r="AG2747" s="33"/>
      <c r="AH2747" s="33"/>
      <c r="AI2747" s="33"/>
      <c r="AJ2747" s="33"/>
      <c r="AK2747" s="33"/>
      <c r="AL2747" s="33"/>
      <c r="AM2747" s="33"/>
      <c r="AN2747" s="33"/>
      <c r="AO2747" s="33"/>
    </row>
    <row r="2748" ht="15.75" customHeight="1">
      <c r="A2748" s="23">
        <v>52514.0</v>
      </c>
      <c r="B2748" s="23">
        <v>2023.0</v>
      </c>
      <c r="C2748" s="36" t="str">
        <f t="shared" si="7"/>
        <v>8150 SNOWDEN ST,Houston,TX</v>
      </c>
      <c r="D2748" s="23" t="s">
        <v>3252</v>
      </c>
      <c r="E2748" s="23" t="s">
        <v>25</v>
      </c>
      <c r="F2748" s="23" t="s">
        <v>1388</v>
      </c>
      <c r="G2748" s="31" t="s">
        <v>27</v>
      </c>
      <c r="H2748" s="23" t="s">
        <v>1493</v>
      </c>
      <c r="I2748" s="37" t="str">
        <f>VLOOKUP(H2748,'Flow Location'!$A$1:$B$21,2,FALSE)</f>
        <v>Contained On Site, not within 5 ft. of Bayou/Surface Water/Drainage Ditch</v>
      </c>
      <c r="J2748" s="28">
        <v>0.0</v>
      </c>
      <c r="K2748" s="23" t="s">
        <v>45</v>
      </c>
      <c r="L2748" s="37" t="str">
        <f>VLOOKUP(K2748,'Structure type'!$A$1:$B$15,2,FALSE)</f>
        <v>City Cleanout</v>
      </c>
      <c r="M2748" s="23" t="s">
        <v>56</v>
      </c>
      <c r="N2748" s="23" t="str">
        <f>VLOOKUP(M2748,'Excursion Cause'!$A$1:$B$34,2,FALSE)</f>
        <v>Rags/Wipes</v>
      </c>
      <c r="O2748" s="29">
        <v>45082.0</v>
      </c>
      <c r="P2748" s="30">
        <v>0.4236111111111111</v>
      </c>
      <c r="Q2748" s="29">
        <v>45082.0</v>
      </c>
      <c r="R2748" s="30">
        <v>0.42430555555555555</v>
      </c>
      <c r="S2748" s="28">
        <v>0.0</v>
      </c>
      <c r="T2748" s="23" t="s">
        <v>270</v>
      </c>
      <c r="U2748" s="6"/>
      <c r="V2748" s="6"/>
      <c r="W2748" s="35">
        <v>29.8457075</v>
      </c>
      <c r="X2748" s="35">
        <v>-95.2782292999999</v>
      </c>
      <c r="AA2748" s="33"/>
      <c r="AB2748" s="33"/>
      <c r="AC2748" s="33"/>
      <c r="AD2748" s="33"/>
      <c r="AE2748" s="33"/>
      <c r="AF2748" s="33"/>
      <c r="AG2748" s="33"/>
      <c r="AH2748" s="33"/>
      <c r="AI2748" s="33"/>
      <c r="AJ2748" s="33"/>
      <c r="AK2748" s="33"/>
      <c r="AL2748" s="33"/>
      <c r="AM2748" s="33"/>
      <c r="AN2748" s="33"/>
      <c r="AO2748" s="33"/>
    </row>
    <row r="2749" ht="15.75" customHeight="1">
      <c r="A2749" s="23">
        <v>52517.0</v>
      </c>
      <c r="B2749" s="23">
        <v>2023.0</v>
      </c>
      <c r="C2749" s="36" t="str">
        <f t="shared" si="7"/>
        <v>7918 GLENHEATH ST,Houston,TX</v>
      </c>
      <c r="D2749" s="23" t="s">
        <v>4019</v>
      </c>
      <c r="E2749" s="23" t="s">
        <v>25</v>
      </c>
      <c r="F2749" s="23" t="s">
        <v>1388</v>
      </c>
      <c r="G2749" s="31" t="s">
        <v>76</v>
      </c>
      <c r="H2749" s="23" t="s">
        <v>50</v>
      </c>
      <c r="I2749" s="37" t="str">
        <f>VLOOKUP(H2749,'Flow Location'!$A$1:$B$21,2,FALSE)</f>
        <v>Contained On Site, not within 5 ft. of Bayou/Surface Water/Drainage Ditch</v>
      </c>
      <c r="J2749" s="28">
        <v>0.0</v>
      </c>
      <c r="K2749" s="23" t="s">
        <v>51</v>
      </c>
      <c r="L2749" s="37" t="str">
        <f>VLOOKUP(K2749,'Structure type'!$A$1:$B$15,2,FALSE)</f>
        <v>Private Cleanout</v>
      </c>
      <c r="M2749" s="23" t="s">
        <v>56</v>
      </c>
      <c r="N2749" s="23" t="str">
        <f>VLOOKUP(M2749,'Excursion Cause'!$A$1:$B$34,2,FALSE)</f>
        <v>Rags/Wipes</v>
      </c>
      <c r="O2749" s="29">
        <v>45082.0</v>
      </c>
      <c r="P2749" s="30">
        <v>0.4875</v>
      </c>
      <c r="Q2749" s="29">
        <v>45082.0</v>
      </c>
      <c r="R2749" s="30">
        <v>0.48819444444444443</v>
      </c>
      <c r="S2749" s="28">
        <v>0.0</v>
      </c>
      <c r="T2749" s="23" t="s">
        <v>270</v>
      </c>
      <c r="U2749" s="6"/>
      <c r="V2749" s="6"/>
      <c r="W2749" s="35">
        <v>29.6662035</v>
      </c>
      <c r="X2749" s="35">
        <v>-95.273974</v>
      </c>
      <c r="AA2749" s="33"/>
      <c r="AB2749" s="33"/>
      <c r="AC2749" s="33"/>
      <c r="AD2749" s="33"/>
      <c r="AE2749" s="33"/>
      <c r="AF2749" s="33"/>
      <c r="AG2749" s="33"/>
      <c r="AH2749" s="33"/>
      <c r="AI2749" s="33"/>
      <c r="AJ2749" s="33"/>
      <c r="AK2749" s="33"/>
      <c r="AL2749" s="33"/>
      <c r="AM2749" s="33"/>
      <c r="AN2749" s="33"/>
      <c r="AO2749" s="33"/>
    </row>
    <row r="2750" ht="15.75" customHeight="1">
      <c r="A2750" s="23">
        <v>52518.0</v>
      </c>
      <c r="B2750" s="23">
        <v>2023.0</v>
      </c>
      <c r="C2750" s="36" t="str">
        <f t="shared" si="7"/>
        <v>9674 AZEEM AVE,Houston,TX</v>
      </c>
      <c r="D2750" s="23" t="s">
        <v>4020</v>
      </c>
      <c r="E2750" s="23" t="s">
        <v>25</v>
      </c>
      <c r="F2750" s="23" t="s">
        <v>1388</v>
      </c>
      <c r="G2750" s="31" t="s">
        <v>80</v>
      </c>
      <c r="H2750" s="23" t="s">
        <v>50</v>
      </c>
      <c r="I2750" s="37" t="str">
        <f>VLOOKUP(H2750,'Flow Location'!$A$1:$B$21,2,FALSE)</f>
        <v>Contained On Site, not within 5 ft. of Bayou/Surface Water/Drainage Ditch</v>
      </c>
      <c r="J2750" s="28">
        <v>116.0</v>
      </c>
      <c r="K2750" s="23" t="s">
        <v>51</v>
      </c>
      <c r="L2750" s="37" t="str">
        <f>VLOOKUP(K2750,'Structure type'!$A$1:$B$15,2,FALSE)</f>
        <v>Private Cleanout</v>
      </c>
      <c r="M2750" s="23" t="s">
        <v>52</v>
      </c>
      <c r="N2750" s="23" t="str">
        <f>VLOOKUP(M2750,'Excursion Cause'!$A$1:$B$34,2,FALSE)</f>
        <v>Collection system structural blockage</v>
      </c>
      <c r="O2750" s="29">
        <v>45082.0</v>
      </c>
      <c r="P2750" s="30">
        <v>0.5256944444444445</v>
      </c>
      <c r="Q2750" s="29">
        <v>45082.0</v>
      </c>
      <c r="R2750" s="30">
        <v>0.5659722222222222</v>
      </c>
      <c r="S2750" s="28">
        <v>2.0</v>
      </c>
      <c r="T2750" s="23" t="s">
        <v>270</v>
      </c>
      <c r="U2750" s="6"/>
      <c r="V2750" s="6"/>
      <c r="W2750" s="35">
        <v>29.6735361</v>
      </c>
      <c r="X2750" s="35">
        <v>-95.5900995</v>
      </c>
      <c r="AA2750" s="33"/>
      <c r="AB2750" s="33"/>
      <c r="AC2750" s="33"/>
      <c r="AD2750" s="33"/>
      <c r="AE2750" s="33"/>
      <c r="AF2750" s="33"/>
      <c r="AG2750" s="33"/>
      <c r="AH2750" s="33"/>
      <c r="AI2750" s="33"/>
      <c r="AJ2750" s="33"/>
      <c r="AK2750" s="33"/>
      <c r="AL2750" s="33"/>
      <c r="AM2750" s="33"/>
      <c r="AN2750" s="33"/>
      <c r="AO2750" s="33"/>
    </row>
    <row r="2751" ht="15.75" customHeight="1">
      <c r="A2751" s="23">
        <v>52521.0</v>
      </c>
      <c r="B2751" s="23">
        <v>2023.0</v>
      </c>
      <c r="C2751" s="36" t="str">
        <f t="shared" si="7"/>
        <v>1348 SHEPHERD DR,Houston,TX</v>
      </c>
      <c r="D2751" s="23" t="s">
        <v>4017</v>
      </c>
      <c r="E2751" s="23" t="s">
        <v>25</v>
      </c>
      <c r="F2751" s="23" t="s">
        <v>1388</v>
      </c>
      <c r="G2751" s="31" t="s">
        <v>86</v>
      </c>
      <c r="H2751" s="23" t="s">
        <v>50</v>
      </c>
      <c r="I2751" s="37" t="str">
        <f>VLOOKUP(H2751,'Flow Location'!$A$1:$B$21,2,FALSE)</f>
        <v>Contained On Site, not within 5 ft. of Bayou/Surface Water/Drainage Ditch</v>
      </c>
      <c r="J2751" s="28">
        <v>0.0</v>
      </c>
      <c r="K2751" s="23" t="s">
        <v>198</v>
      </c>
      <c r="L2751" s="37" t="str">
        <f>VLOOKUP(K2751,'Structure type'!$A$1:$B$15,2,FALSE)</f>
        <v>Service Lateral</v>
      </c>
      <c r="M2751" s="23" t="s">
        <v>81</v>
      </c>
      <c r="N2751" s="23" t="str">
        <f>VLOOKUP(M2751,'Excursion Cause'!$A$1:$B$34,2,FALSE)</f>
        <v>Collection system structural failure</v>
      </c>
      <c r="O2751" s="29">
        <v>45082.0</v>
      </c>
      <c r="P2751" s="30">
        <v>0.6916666666666667</v>
      </c>
      <c r="Q2751" s="29">
        <v>45082.0</v>
      </c>
      <c r="R2751" s="30">
        <v>0.6923611111111111</v>
      </c>
      <c r="S2751" s="28">
        <v>0.0</v>
      </c>
      <c r="T2751" s="23" t="s">
        <v>270</v>
      </c>
      <c r="U2751" s="6"/>
      <c r="V2751" s="6"/>
      <c r="W2751" s="35">
        <v>29.7732418</v>
      </c>
      <c r="X2751" s="35">
        <v>-95.4094051</v>
      </c>
      <c r="AA2751" s="33"/>
      <c r="AB2751" s="33"/>
      <c r="AC2751" s="33"/>
      <c r="AD2751" s="33"/>
      <c r="AE2751" s="33"/>
      <c r="AF2751" s="33"/>
      <c r="AG2751" s="33"/>
      <c r="AH2751" s="33"/>
      <c r="AI2751" s="33"/>
      <c r="AJ2751" s="33"/>
      <c r="AK2751" s="33"/>
      <c r="AL2751" s="33"/>
      <c r="AM2751" s="33"/>
      <c r="AN2751" s="33"/>
      <c r="AO2751" s="33"/>
    </row>
    <row r="2752" ht="15.75" customHeight="1">
      <c r="A2752" s="23">
        <v>52544.0</v>
      </c>
      <c r="B2752" s="23">
        <v>2023.0</v>
      </c>
      <c r="C2752" s="36" t="str">
        <f t="shared" si="7"/>
        <v>1201 SPRING ST,Houston,TX</v>
      </c>
      <c r="D2752" s="23" t="s">
        <v>4021</v>
      </c>
      <c r="E2752" s="23" t="s">
        <v>25</v>
      </c>
      <c r="F2752" s="23" t="s">
        <v>1388</v>
      </c>
      <c r="G2752" s="31" t="s">
        <v>91</v>
      </c>
      <c r="H2752" s="23" t="s">
        <v>50</v>
      </c>
      <c r="I2752" s="37" t="str">
        <f>VLOOKUP(H2752,'Flow Location'!$A$1:$B$21,2,FALSE)</f>
        <v>Contained On Site, not within 5 ft. of Bayou/Surface Water/Drainage Ditch</v>
      </c>
      <c r="J2752" s="28">
        <v>0.0</v>
      </c>
      <c r="K2752" s="23" t="s">
        <v>29</v>
      </c>
      <c r="L2752" s="37" t="str">
        <f>VLOOKUP(K2752,'Structure type'!$A$1:$B$15,2,FALSE)</f>
        <v>Manhole</v>
      </c>
      <c r="M2752" s="23" t="s">
        <v>96</v>
      </c>
      <c r="N2752" s="23" t="str">
        <f>VLOOKUP(M2752,'Excursion Cause'!$A$1:$B$34,2,FALSE)</f>
        <v>Collection system temporary blockage</v>
      </c>
      <c r="O2752" s="29">
        <v>45082.0</v>
      </c>
      <c r="P2752" s="30">
        <v>0.4340277777777778</v>
      </c>
      <c r="Q2752" s="29">
        <v>45082.0</v>
      </c>
      <c r="R2752" s="30">
        <v>0.43472222222222223</v>
      </c>
      <c r="S2752" s="28">
        <v>0.0</v>
      </c>
      <c r="T2752" s="23" t="s">
        <v>270</v>
      </c>
      <c r="U2752" s="6"/>
      <c r="V2752" s="6"/>
      <c r="W2752" s="35">
        <v>29.7750217999999</v>
      </c>
      <c r="X2752" s="35">
        <v>-95.3692033</v>
      </c>
      <c r="AA2752" s="33"/>
      <c r="AB2752" s="33"/>
      <c r="AC2752" s="33"/>
      <c r="AD2752" s="33"/>
      <c r="AE2752" s="33"/>
      <c r="AF2752" s="33"/>
      <c r="AG2752" s="33"/>
      <c r="AH2752" s="33"/>
      <c r="AI2752" s="33"/>
      <c r="AJ2752" s="33"/>
      <c r="AK2752" s="33"/>
      <c r="AL2752" s="33"/>
      <c r="AM2752" s="33"/>
      <c r="AN2752" s="33"/>
      <c r="AO2752" s="33"/>
    </row>
    <row r="2753" ht="15.75" customHeight="1">
      <c r="A2753" s="23">
        <v>52523.0</v>
      </c>
      <c r="B2753" s="23">
        <v>2023.0</v>
      </c>
      <c r="C2753" s="36" t="str">
        <f t="shared" si="7"/>
        <v>12662 COULSON ST,Houston,TX</v>
      </c>
      <c r="D2753" s="23" t="s">
        <v>4022</v>
      </c>
      <c r="E2753" s="23" t="s">
        <v>25</v>
      </c>
      <c r="F2753" s="23" t="s">
        <v>1388</v>
      </c>
      <c r="G2753" s="31" t="s">
        <v>95</v>
      </c>
      <c r="H2753" s="23" t="s">
        <v>144</v>
      </c>
      <c r="I2753" s="37" t="str">
        <f>VLOOKUP(H2753,'Flow Location'!$A$1:$B$21,2,FALSE)</f>
        <v>Storm Sewer - contained</v>
      </c>
      <c r="J2753" s="28">
        <v>0.0</v>
      </c>
      <c r="K2753" s="23" t="s">
        <v>198</v>
      </c>
      <c r="L2753" s="37" t="str">
        <f>VLOOKUP(K2753,'Structure type'!$A$1:$B$15,2,FALSE)</f>
        <v>Service Lateral</v>
      </c>
      <c r="M2753" s="23" t="s">
        <v>81</v>
      </c>
      <c r="N2753" s="23" t="str">
        <f>VLOOKUP(M2753,'Excursion Cause'!$A$1:$B$34,2,FALSE)</f>
        <v>Collection system structural failure</v>
      </c>
      <c r="O2753" s="29">
        <v>45083.0</v>
      </c>
      <c r="P2753" s="30">
        <v>0.37916666666666665</v>
      </c>
      <c r="Q2753" s="29">
        <v>45083.0</v>
      </c>
      <c r="R2753" s="30">
        <v>0.3798611111111111</v>
      </c>
      <c r="S2753" s="28">
        <v>0.0</v>
      </c>
      <c r="T2753" s="23" t="s">
        <v>270</v>
      </c>
      <c r="U2753" s="6"/>
      <c r="V2753" s="6"/>
      <c r="W2753" s="35">
        <v>29.7624973</v>
      </c>
      <c r="X2753" s="35">
        <v>-95.2100119</v>
      </c>
      <c r="AA2753" s="33"/>
      <c r="AB2753" s="33"/>
      <c r="AC2753" s="33"/>
      <c r="AD2753" s="33"/>
      <c r="AE2753" s="33"/>
      <c r="AF2753" s="33"/>
      <c r="AG2753" s="33"/>
      <c r="AH2753" s="33"/>
      <c r="AI2753" s="33"/>
      <c r="AJ2753" s="33"/>
      <c r="AK2753" s="33"/>
      <c r="AL2753" s="33"/>
      <c r="AM2753" s="33"/>
      <c r="AN2753" s="33"/>
      <c r="AO2753" s="33"/>
    </row>
    <row r="2754" ht="15.75" customHeight="1">
      <c r="A2754" s="23">
        <v>52526.0</v>
      </c>
      <c r="B2754" s="23">
        <v>2023.0</v>
      </c>
      <c r="C2754" s="36" t="str">
        <f t="shared" si="7"/>
        <v>6819 MORROW ST,Houston,TX</v>
      </c>
      <c r="D2754" s="23" t="s">
        <v>4023</v>
      </c>
      <c r="E2754" s="23" t="s">
        <v>25</v>
      </c>
      <c r="F2754" s="23" t="s">
        <v>1388</v>
      </c>
      <c r="G2754" s="31" t="s">
        <v>100</v>
      </c>
      <c r="H2754" s="23" t="s">
        <v>50</v>
      </c>
      <c r="I2754" s="37" t="str">
        <f>VLOOKUP(H2754,'Flow Location'!$A$1:$B$21,2,FALSE)</f>
        <v>Contained On Site, not within 5 ft. of Bayou/Surface Water/Drainage Ditch</v>
      </c>
      <c r="J2754" s="28">
        <v>106.0</v>
      </c>
      <c r="K2754" s="23" t="s">
        <v>45</v>
      </c>
      <c r="L2754" s="37" t="str">
        <f>VLOOKUP(K2754,'Structure type'!$A$1:$B$15,2,FALSE)</f>
        <v>City Cleanout</v>
      </c>
      <c r="M2754" s="23" t="s">
        <v>30</v>
      </c>
      <c r="N2754" s="23" t="str">
        <f>VLOOKUP(M2754,'Excursion Cause'!$A$1:$B$34,2,FALSE)</f>
        <v>Grease Blockage</v>
      </c>
      <c r="O2754" s="29">
        <v>45083.0</v>
      </c>
      <c r="P2754" s="30">
        <v>0.5097222222222222</v>
      </c>
      <c r="Q2754" s="29">
        <v>45083.0</v>
      </c>
      <c r="R2754" s="30">
        <v>0.5833333333333334</v>
      </c>
      <c r="S2754" s="28">
        <v>1.0</v>
      </c>
      <c r="T2754" s="23" t="s">
        <v>270</v>
      </c>
      <c r="U2754" s="6"/>
      <c r="V2754" s="6"/>
      <c r="W2754" s="35">
        <v>29.8589409</v>
      </c>
      <c r="X2754" s="35">
        <v>-95.4209978</v>
      </c>
      <c r="AA2754" s="33"/>
      <c r="AB2754" s="33"/>
      <c r="AC2754" s="33"/>
      <c r="AD2754" s="33"/>
      <c r="AE2754" s="33"/>
      <c r="AF2754" s="33"/>
      <c r="AG2754" s="33"/>
      <c r="AH2754" s="33"/>
      <c r="AI2754" s="33"/>
      <c r="AJ2754" s="33"/>
      <c r="AK2754" s="33"/>
      <c r="AL2754" s="33"/>
      <c r="AM2754" s="33"/>
      <c r="AN2754" s="33"/>
      <c r="AO2754" s="33"/>
    </row>
    <row r="2755" ht="15.75" customHeight="1">
      <c r="A2755" s="23">
        <v>52530.0</v>
      </c>
      <c r="B2755" s="23">
        <v>2023.0</v>
      </c>
      <c r="C2755" s="36" t="str">
        <f t="shared" si="7"/>
        <v>7710 LITTLE YORK RD,Houston,TX</v>
      </c>
      <c r="D2755" s="23" t="s">
        <v>4024</v>
      </c>
      <c r="E2755" s="23" t="s">
        <v>25</v>
      </c>
      <c r="F2755" s="23" t="s">
        <v>1388</v>
      </c>
      <c r="G2755" s="31" t="s">
        <v>76</v>
      </c>
      <c r="H2755" s="23" t="s">
        <v>28</v>
      </c>
      <c r="I2755" s="37" t="str">
        <f>VLOOKUP(H2755,'Flow Location'!$A$1:$B$21,2,FALSE)</f>
        <v>Storm Sewer (not contained)</v>
      </c>
      <c r="J2755" s="28">
        <v>80.0</v>
      </c>
      <c r="K2755" s="23" t="s">
        <v>29</v>
      </c>
      <c r="L2755" s="37" t="str">
        <f>VLOOKUP(K2755,'Structure type'!$A$1:$B$15,2,FALSE)</f>
        <v>Manhole</v>
      </c>
      <c r="M2755" s="23" t="s">
        <v>30</v>
      </c>
      <c r="N2755" s="23" t="str">
        <f>VLOOKUP(M2755,'Excursion Cause'!$A$1:$B$34,2,FALSE)</f>
        <v>Grease Blockage</v>
      </c>
      <c r="O2755" s="29">
        <v>45084.0</v>
      </c>
      <c r="P2755" s="30">
        <v>0.4625</v>
      </c>
      <c r="Q2755" s="29">
        <v>45084.0</v>
      </c>
      <c r="R2755" s="30">
        <v>0.5729166666666666</v>
      </c>
      <c r="S2755" s="28">
        <v>1.0</v>
      </c>
      <c r="T2755" s="23" t="s">
        <v>270</v>
      </c>
      <c r="U2755" s="6"/>
      <c r="V2755" s="6"/>
      <c r="W2755" s="35">
        <v>29.865298</v>
      </c>
      <c r="X2755" s="35">
        <v>-95.5062069999999</v>
      </c>
      <c r="AA2755" s="33"/>
      <c r="AB2755" s="33"/>
      <c r="AC2755" s="33"/>
      <c r="AD2755" s="33"/>
      <c r="AE2755" s="33"/>
      <c r="AF2755" s="33"/>
      <c r="AG2755" s="33"/>
      <c r="AH2755" s="33"/>
      <c r="AI2755" s="33"/>
      <c r="AJ2755" s="33"/>
      <c r="AK2755" s="33"/>
      <c r="AL2755" s="33"/>
      <c r="AM2755" s="33"/>
      <c r="AN2755" s="33"/>
      <c r="AO2755" s="33"/>
    </row>
    <row r="2756" ht="15.75" customHeight="1">
      <c r="A2756" s="23">
        <v>52533.0</v>
      </c>
      <c r="B2756" s="23">
        <v>2023.0</v>
      </c>
      <c r="C2756" s="36" t="str">
        <f t="shared" si="7"/>
        <v>8037 SNOWDEN ST,Houston,TX</v>
      </c>
      <c r="D2756" s="23" t="s">
        <v>4025</v>
      </c>
      <c r="E2756" s="23" t="s">
        <v>25</v>
      </c>
      <c r="F2756" s="23" t="s">
        <v>1388</v>
      </c>
      <c r="G2756" s="31" t="s">
        <v>105</v>
      </c>
      <c r="H2756" s="23" t="s">
        <v>50</v>
      </c>
      <c r="I2756" s="37" t="str">
        <f>VLOOKUP(H2756,'Flow Location'!$A$1:$B$21,2,FALSE)</f>
        <v>Contained On Site, not within 5 ft. of Bayou/Surface Water/Drainage Ditch</v>
      </c>
      <c r="J2756" s="28">
        <v>0.0</v>
      </c>
      <c r="K2756" s="23" t="s">
        <v>198</v>
      </c>
      <c r="L2756" s="37" t="str">
        <f>VLOOKUP(K2756,'Structure type'!$A$1:$B$15,2,FALSE)</f>
        <v>Service Lateral</v>
      </c>
      <c r="M2756" s="23" t="s">
        <v>366</v>
      </c>
      <c r="N2756" s="23" t="str">
        <f>VLOOKUP(M2756,'Excursion Cause'!$A$1:$B$34,2,FALSE)</f>
        <v>Collection system structural blockage</v>
      </c>
      <c r="O2756" s="29">
        <v>45084.0</v>
      </c>
      <c r="P2756" s="30">
        <v>0.6979166666666666</v>
      </c>
      <c r="Q2756" s="29">
        <v>45084.0</v>
      </c>
      <c r="R2756" s="30">
        <v>0.6986111111111111</v>
      </c>
      <c r="S2756" s="28">
        <v>0.0</v>
      </c>
      <c r="T2756" s="23" t="s">
        <v>270</v>
      </c>
      <c r="U2756" s="6"/>
      <c r="V2756" s="6"/>
      <c r="W2756" s="35">
        <v>29.8460915</v>
      </c>
      <c r="X2756" s="35">
        <v>-95.2807498999999</v>
      </c>
      <c r="AA2756" s="33"/>
      <c r="AB2756" s="33"/>
      <c r="AC2756" s="33"/>
      <c r="AD2756" s="33"/>
      <c r="AE2756" s="33"/>
      <c r="AF2756" s="33"/>
      <c r="AG2756" s="33"/>
      <c r="AH2756" s="33"/>
      <c r="AI2756" s="33"/>
      <c r="AJ2756" s="33"/>
      <c r="AK2756" s="33"/>
      <c r="AL2756" s="33"/>
      <c r="AM2756" s="33"/>
      <c r="AN2756" s="33"/>
      <c r="AO2756" s="33"/>
    </row>
    <row r="2757" ht="15.75" customHeight="1">
      <c r="A2757" s="23">
        <v>52534.0</v>
      </c>
      <c r="B2757" s="23">
        <v>2023.0</v>
      </c>
      <c r="C2757" s="36" t="str">
        <f t="shared" si="7"/>
        <v>5709 LOS ANGELES ST,Houston,TX</v>
      </c>
      <c r="D2757" s="23" t="s">
        <v>4026</v>
      </c>
      <c r="E2757" s="23" t="s">
        <v>25</v>
      </c>
      <c r="F2757" s="23" t="s">
        <v>1388</v>
      </c>
      <c r="G2757" s="31" t="s">
        <v>109</v>
      </c>
      <c r="H2757" s="23" t="s">
        <v>28</v>
      </c>
      <c r="I2757" s="37" t="str">
        <f>VLOOKUP(H2757,'Flow Location'!$A$1:$B$21,2,FALSE)</f>
        <v>Storm Sewer (not contained)</v>
      </c>
      <c r="J2757" s="28">
        <v>0.0</v>
      </c>
      <c r="K2757" s="23" t="s">
        <v>198</v>
      </c>
      <c r="L2757" s="37" t="str">
        <f>VLOOKUP(K2757,'Structure type'!$A$1:$B$15,2,FALSE)</f>
        <v>Service Lateral</v>
      </c>
      <c r="M2757" s="23" t="s">
        <v>52</v>
      </c>
      <c r="N2757" s="23" t="str">
        <f>VLOOKUP(M2757,'Excursion Cause'!$A$1:$B$34,2,FALSE)</f>
        <v>Collection system structural blockage</v>
      </c>
      <c r="O2757" s="29">
        <v>45084.0</v>
      </c>
      <c r="P2757" s="30">
        <v>0.7215277777777778</v>
      </c>
      <c r="Q2757" s="29">
        <v>45084.0</v>
      </c>
      <c r="R2757" s="30">
        <v>0.7222222222222222</v>
      </c>
      <c r="S2757" s="28">
        <v>0.0</v>
      </c>
      <c r="T2757" s="23" t="s">
        <v>270</v>
      </c>
      <c r="U2757" s="6"/>
      <c r="V2757" s="6"/>
      <c r="W2757" s="35">
        <v>29.8116705</v>
      </c>
      <c r="X2757" s="35">
        <v>-95.3274962999999</v>
      </c>
      <c r="AA2757" s="33"/>
      <c r="AB2757" s="33"/>
      <c r="AC2757" s="33"/>
      <c r="AD2757" s="33"/>
      <c r="AE2757" s="33"/>
      <c r="AF2757" s="33"/>
      <c r="AG2757" s="33"/>
      <c r="AH2757" s="33"/>
      <c r="AI2757" s="33"/>
      <c r="AJ2757" s="33"/>
      <c r="AK2757" s="33"/>
      <c r="AL2757" s="33"/>
      <c r="AM2757" s="33"/>
      <c r="AN2757" s="33"/>
      <c r="AO2757" s="33"/>
    </row>
    <row r="2758" ht="15.75" customHeight="1">
      <c r="A2758" s="23">
        <v>52539.0</v>
      </c>
      <c r="B2758" s="23">
        <v>2023.0</v>
      </c>
      <c r="C2758" s="36" t="str">
        <f t="shared" si="7"/>
        <v>8100 MAPLECREST DR,Houston,TX</v>
      </c>
      <c r="D2758" s="23" t="s">
        <v>4027</v>
      </c>
      <c r="E2758" s="23" t="s">
        <v>25</v>
      </c>
      <c r="F2758" s="23" t="s">
        <v>1388</v>
      </c>
      <c r="G2758" s="31" t="s">
        <v>112</v>
      </c>
      <c r="H2758" s="23" t="s">
        <v>50</v>
      </c>
      <c r="I2758" s="37" t="str">
        <f>VLOOKUP(H2758,'Flow Location'!$A$1:$B$21,2,FALSE)</f>
        <v>Contained On Site, not within 5 ft. of Bayou/Surface Water/Drainage Ditch</v>
      </c>
      <c r="J2758" s="28">
        <v>1575.0</v>
      </c>
      <c r="K2758" s="23" t="s">
        <v>29</v>
      </c>
      <c r="L2758" s="37" t="str">
        <f>VLOOKUP(K2758,'Structure type'!$A$1:$B$15,2,FALSE)</f>
        <v>Manhole</v>
      </c>
      <c r="M2758" s="23" t="s">
        <v>30</v>
      </c>
      <c r="N2758" s="23" t="str">
        <f>VLOOKUP(M2758,'Excursion Cause'!$A$1:$B$34,2,FALSE)</f>
        <v>Grease Blockage</v>
      </c>
      <c r="O2758" s="29">
        <v>45085.0</v>
      </c>
      <c r="P2758" s="30">
        <v>0.6145833333333334</v>
      </c>
      <c r="Q2758" s="29">
        <v>45086.0</v>
      </c>
      <c r="R2758" s="30">
        <v>0.7083333333333334</v>
      </c>
      <c r="S2758" s="28">
        <v>1.0</v>
      </c>
      <c r="T2758" s="23" t="s">
        <v>270</v>
      </c>
      <c r="U2758" s="6"/>
      <c r="V2758" s="6"/>
      <c r="W2758" s="35">
        <v>29.6917836</v>
      </c>
      <c r="X2758" s="35">
        <v>-95.5675938999999</v>
      </c>
      <c r="AA2758" s="33"/>
      <c r="AB2758" s="33"/>
      <c r="AC2758" s="33"/>
      <c r="AD2758" s="33"/>
      <c r="AE2758" s="33"/>
      <c r="AF2758" s="33"/>
      <c r="AG2758" s="33"/>
      <c r="AH2758" s="33"/>
      <c r="AI2758" s="33"/>
      <c r="AJ2758" s="33"/>
      <c r="AK2758" s="33"/>
      <c r="AL2758" s="33"/>
      <c r="AM2758" s="33"/>
      <c r="AN2758" s="33"/>
      <c r="AO2758" s="33"/>
    </row>
    <row r="2759" ht="15.75" customHeight="1">
      <c r="A2759" s="23">
        <v>52540.0</v>
      </c>
      <c r="B2759" s="23">
        <v>2023.0</v>
      </c>
      <c r="C2759" s="36" t="str">
        <f t="shared" si="7"/>
        <v>4107 TURNBERRY CIR,Houston,TX</v>
      </c>
      <c r="D2759" s="23" t="s">
        <v>4028</v>
      </c>
      <c r="E2759" s="23" t="s">
        <v>25</v>
      </c>
      <c r="F2759" s="23" t="s">
        <v>1388</v>
      </c>
      <c r="G2759" s="31" t="s">
        <v>35</v>
      </c>
      <c r="H2759" s="23" t="s">
        <v>50</v>
      </c>
      <c r="I2759" s="37" t="str">
        <f>VLOOKUP(H2759,'Flow Location'!$A$1:$B$21,2,FALSE)</f>
        <v>Contained On Site, not within 5 ft. of Bayou/Surface Water/Drainage Ditch</v>
      </c>
      <c r="J2759" s="28">
        <v>0.0</v>
      </c>
      <c r="K2759" s="23" t="s">
        <v>45</v>
      </c>
      <c r="L2759" s="37" t="str">
        <f>VLOOKUP(K2759,'Structure type'!$A$1:$B$15,2,FALSE)</f>
        <v>City Cleanout</v>
      </c>
      <c r="M2759" s="23" t="s">
        <v>56</v>
      </c>
      <c r="N2759" s="23" t="str">
        <f>VLOOKUP(M2759,'Excursion Cause'!$A$1:$B$34,2,FALSE)</f>
        <v>Rags/Wipes</v>
      </c>
      <c r="O2759" s="29">
        <v>45085.0</v>
      </c>
      <c r="P2759" s="30">
        <v>0.7083333333333334</v>
      </c>
      <c r="Q2759" s="29">
        <v>45085.0</v>
      </c>
      <c r="R2759" s="30">
        <v>0.7090277777777778</v>
      </c>
      <c r="S2759" s="28">
        <v>0.0</v>
      </c>
      <c r="T2759" s="23" t="s">
        <v>270</v>
      </c>
      <c r="U2759" s="6"/>
      <c r="V2759" s="6"/>
      <c r="W2759" s="35">
        <v>29.7003697999999</v>
      </c>
      <c r="X2759" s="35">
        <v>-95.4434473</v>
      </c>
      <c r="AA2759" s="33"/>
      <c r="AB2759" s="33"/>
      <c r="AC2759" s="33"/>
      <c r="AD2759" s="33"/>
      <c r="AE2759" s="33"/>
      <c r="AF2759" s="33"/>
      <c r="AG2759" s="33"/>
      <c r="AH2759" s="33"/>
      <c r="AI2759" s="33"/>
      <c r="AJ2759" s="33"/>
      <c r="AK2759" s="33"/>
      <c r="AL2759" s="33"/>
      <c r="AM2759" s="33"/>
      <c r="AN2759" s="33"/>
      <c r="AO2759" s="33"/>
    </row>
    <row r="2760" ht="15.75" customHeight="1">
      <c r="A2760" s="23">
        <v>52543.0</v>
      </c>
      <c r="B2760" s="23">
        <v>2023.0</v>
      </c>
      <c r="C2760" s="36" t="str">
        <f t="shared" si="7"/>
        <v>2011 SAGO LN,Houston,TX</v>
      </c>
      <c r="D2760" s="23" t="s">
        <v>4029</v>
      </c>
      <c r="E2760" s="23" t="s">
        <v>25</v>
      </c>
      <c r="F2760" s="23" t="s">
        <v>1388</v>
      </c>
      <c r="G2760" s="31" t="s">
        <v>120</v>
      </c>
      <c r="H2760" s="23" t="s">
        <v>1493</v>
      </c>
      <c r="I2760" s="37" t="str">
        <f>VLOOKUP(H2760,'Flow Location'!$A$1:$B$21,2,FALSE)</f>
        <v>Contained On Site, not within 5 ft. of Bayou/Surface Water/Drainage Ditch</v>
      </c>
      <c r="J2760" s="28">
        <v>0.0</v>
      </c>
      <c r="K2760" s="23" t="s">
        <v>51</v>
      </c>
      <c r="L2760" s="37" t="str">
        <f>VLOOKUP(K2760,'Structure type'!$A$1:$B$15,2,FALSE)</f>
        <v>Private Cleanout</v>
      </c>
      <c r="M2760" s="23" t="s">
        <v>3250</v>
      </c>
      <c r="N2760" s="23" t="str">
        <f>VLOOKUP(M2760,'Excursion Cause'!$A$1:$B$34,2,FALSE)</f>
        <v>Collection system structural blockage</v>
      </c>
      <c r="O2760" s="29">
        <v>45086.0</v>
      </c>
      <c r="P2760" s="30">
        <v>0.3763888888888889</v>
      </c>
      <c r="Q2760" s="29">
        <v>45086.0</v>
      </c>
      <c r="R2760" s="30">
        <v>0.3770833333333333</v>
      </c>
      <c r="S2760" s="28">
        <v>0.0</v>
      </c>
      <c r="T2760" s="23" t="s">
        <v>270</v>
      </c>
      <c r="U2760" s="6"/>
      <c r="V2760" s="6"/>
      <c r="W2760" s="35">
        <v>29.7979017</v>
      </c>
      <c r="X2760" s="35">
        <v>-95.6857156</v>
      </c>
      <c r="AA2760" s="33"/>
      <c r="AB2760" s="33"/>
      <c r="AC2760" s="33"/>
      <c r="AD2760" s="33"/>
      <c r="AE2760" s="33"/>
      <c r="AF2760" s="33"/>
      <c r="AG2760" s="33"/>
      <c r="AH2760" s="33"/>
      <c r="AI2760" s="33"/>
      <c r="AJ2760" s="33"/>
      <c r="AK2760" s="33"/>
      <c r="AL2760" s="33"/>
      <c r="AM2760" s="33"/>
      <c r="AN2760" s="33"/>
      <c r="AO2760" s="33"/>
    </row>
    <row r="2761" ht="15.75" customHeight="1">
      <c r="A2761" s="23">
        <v>52545.0</v>
      </c>
      <c r="B2761" s="23">
        <v>2023.0</v>
      </c>
      <c r="C2761" s="36" t="str">
        <f t="shared" si="7"/>
        <v>8717 WOODRUFF ST,Houston,TX</v>
      </c>
      <c r="D2761" s="23" t="s">
        <v>4030</v>
      </c>
      <c r="E2761" s="23" t="s">
        <v>25</v>
      </c>
      <c r="F2761" s="23" t="s">
        <v>1388</v>
      </c>
      <c r="G2761" s="31" t="s">
        <v>123</v>
      </c>
      <c r="H2761" s="23" t="s">
        <v>44</v>
      </c>
      <c r="I2761" s="37" t="str">
        <f>VLOOKUP(H2761,'Flow Location'!$A$1:$B$21,2,FALSE)</f>
        <v>Bayou/surface water/drainage ditch</v>
      </c>
      <c r="J2761" s="28">
        <v>127.0</v>
      </c>
      <c r="K2761" s="23" t="s">
        <v>198</v>
      </c>
      <c r="L2761" s="37" t="str">
        <f>VLOOKUP(K2761,'Structure type'!$A$1:$B$15,2,FALSE)</f>
        <v>Service Lateral</v>
      </c>
      <c r="M2761" s="23" t="s">
        <v>81</v>
      </c>
      <c r="N2761" s="23" t="str">
        <f>VLOOKUP(M2761,'Excursion Cause'!$A$1:$B$34,2,FALSE)</f>
        <v>Collection system structural failure</v>
      </c>
      <c r="O2761" s="29">
        <v>45086.0</v>
      </c>
      <c r="P2761" s="30">
        <v>0.4166666666666667</v>
      </c>
      <c r="Q2761" s="29">
        <v>45086.0</v>
      </c>
      <c r="R2761" s="30">
        <v>0.5048611111111111</v>
      </c>
      <c r="S2761" s="28">
        <v>1.0</v>
      </c>
      <c r="T2761" s="23" t="s">
        <v>270</v>
      </c>
      <c r="U2761" s="6"/>
      <c r="V2761" s="6"/>
      <c r="W2761" s="35">
        <v>29.7121971</v>
      </c>
      <c r="X2761" s="35">
        <v>-95.2703824</v>
      </c>
      <c r="AA2761" s="33"/>
      <c r="AB2761" s="33"/>
      <c r="AC2761" s="33"/>
      <c r="AD2761" s="33"/>
      <c r="AE2761" s="33"/>
      <c r="AF2761" s="33"/>
      <c r="AG2761" s="33"/>
      <c r="AH2761" s="33"/>
      <c r="AI2761" s="33"/>
      <c r="AJ2761" s="33"/>
      <c r="AK2761" s="33"/>
      <c r="AL2761" s="33"/>
      <c r="AM2761" s="33"/>
      <c r="AN2761" s="33"/>
      <c r="AO2761" s="33"/>
    </row>
    <row r="2762" ht="15.75" customHeight="1">
      <c r="A2762" s="23">
        <v>52546.0</v>
      </c>
      <c r="B2762" s="23">
        <v>2023.0</v>
      </c>
      <c r="C2762" s="36" t="str">
        <f t="shared" si="7"/>
        <v>12096 KIMBERLEY LN,Houston,TX</v>
      </c>
      <c r="D2762" s="23" t="s">
        <v>4031</v>
      </c>
      <c r="E2762" s="23" t="s">
        <v>25</v>
      </c>
      <c r="F2762" s="23" t="s">
        <v>1388</v>
      </c>
      <c r="G2762" s="31" t="s">
        <v>127</v>
      </c>
      <c r="H2762" s="23" t="s">
        <v>28</v>
      </c>
      <c r="I2762" s="37" t="str">
        <f>VLOOKUP(H2762,'Flow Location'!$A$1:$B$21,2,FALSE)</f>
        <v>Storm Sewer (not contained)</v>
      </c>
      <c r="J2762" s="28">
        <v>186.0</v>
      </c>
      <c r="K2762" s="23" t="s">
        <v>29</v>
      </c>
      <c r="L2762" s="37" t="str">
        <f>VLOOKUP(K2762,'Structure type'!$A$1:$B$15,2,FALSE)</f>
        <v>Manhole</v>
      </c>
      <c r="M2762" s="23" t="s">
        <v>30</v>
      </c>
      <c r="N2762" s="23" t="str">
        <f>VLOOKUP(M2762,'Excursion Cause'!$A$1:$B$34,2,FALSE)</f>
        <v>Grease Blockage</v>
      </c>
      <c r="O2762" s="29">
        <v>45086.0</v>
      </c>
      <c r="P2762" s="30">
        <v>0.4423611111111111</v>
      </c>
      <c r="Q2762" s="29">
        <v>45086.0</v>
      </c>
      <c r="R2762" s="30">
        <v>0.5715277777777777</v>
      </c>
      <c r="S2762" s="28">
        <v>1.0</v>
      </c>
      <c r="T2762" s="23" t="s">
        <v>270</v>
      </c>
      <c r="U2762" s="6"/>
      <c r="V2762" s="6"/>
      <c r="W2762" s="35">
        <v>29.7758179</v>
      </c>
      <c r="X2762" s="35">
        <v>-95.5392955</v>
      </c>
      <c r="AA2762" s="33"/>
      <c r="AB2762" s="33"/>
      <c r="AC2762" s="33"/>
      <c r="AD2762" s="33"/>
      <c r="AE2762" s="33"/>
      <c r="AF2762" s="33"/>
      <c r="AG2762" s="33"/>
      <c r="AH2762" s="33"/>
      <c r="AI2762" s="33"/>
      <c r="AJ2762" s="33"/>
      <c r="AK2762" s="33"/>
      <c r="AL2762" s="33"/>
      <c r="AM2762" s="33"/>
      <c r="AN2762" s="33"/>
      <c r="AO2762" s="33"/>
    </row>
    <row r="2763" ht="15.75" customHeight="1">
      <c r="A2763" s="23">
        <v>52556.0</v>
      </c>
      <c r="B2763" s="23">
        <v>2023.0</v>
      </c>
      <c r="C2763" s="36" t="str">
        <f t="shared" si="7"/>
        <v>1507 HAMBLEN ST,Houston,TX</v>
      </c>
      <c r="D2763" s="23" t="s">
        <v>4032</v>
      </c>
      <c r="E2763" s="23" t="s">
        <v>25</v>
      </c>
      <c r="F2763" s="23" t="s">
        <v>1388</v>
      </c>
      <c r="G2763" s="31" t="s">
        <v>120</v>
      </c>
      <c r="H2763" s="23" t="s">
        <v>28</v>
      </c>
      <c r="I2763" s="37" t="str">
        <f>VLOOKUP(H2763,'Flow Location'!$A$1:$B$21,2,FALSE)</f>
        <v>Storm Sewer (not contained)</v>
      </c>
      <c r="J2763" s="28">
        <v>0.0</v>
      </c>
      <c r="K2763" s="23" t="s">
        <v>29</v>
      </c>
      <c r="L2763" s="37" t="str">
        <f>VLOOKUP(K2763,'Structure type'!$A$1:$B$15,2,FALSE)</f>
        <v>Manhole</v>
      </c>
      <c r="M2763" s="23" t="s">
        <v>30</v>
      </c>
      <c r="N2763" s="23" t="str">
        <f>VLOOKUP(M2763,'Excursion Cause'!$A$1:$B$34,2,FALSE)</f>
        <v>Grease Blockage</v>
      </c>
      <c r="O2763" s="29">
        <v>45087.0</v>
      </c>
      <c r="P2763" s="30">
        <v>0.5402777777777777</v>
      </c>
      <c r="Q2763" s="29">
        <v>45087.0</v>
      </c>
      <c r="R2763" s="30">
        <v>0.5409722222222222</v>
      </c>
      <c r="S2763" s="28">
        <v>0.0</v>
      </c>
      <c r="T2763" s="23" t="s">
        <v>270</v>
      </c>
      <c r="U2763" s="6"/>
      <c r="V2763" s="6"/>
      <c r="W2763" s="35">
        <v>29.807004</v>
      </c>
      <c r="X2763" s="35">
        <v>-95.3528911</v>
      </c>
      <c r="AA2763" s="33"/>
      <c r="AB2763" s="33"/>
      <c r="AC2763" s="33"/>
      <c r="AD2763" s="33"/>
      <c r="AE2763" s="33"/>
      <c r="AF2763" s="33"/>
      <c r="AG2763" s="33"/>
      <c r="AH2763" s="33"/>
      <c r="AI2763" s="33"/>
      <c r="AJ2763" s="33"/>
      <c r="AK2763" s="33"/>
      <c r="AL2763" s="33"/>
      <c r="AM2763" s="33"/>
      <c r="AN2763" s="33"/>
      <c r="AO2763" s="33"/>
    </row>
    <row r="2764" ht="15.75" customHeight="1">
      <c r="A2764" s="23">
        <v>52558.0</v>
      </c>
      <c r="B2764" s="23">
        <v>2023.0</v>
      </c>
      <c r="C2764" s="36" t="str">
        <f t="shared" si="7"/>
        <v>3502 DARLINGHURST DR,Houston,TX</v>
      </c>
      <c r="D2764" s="23" t="s">
        <v>38</v>
      </c>
      <c r="E2764" s="23" t="s">
        <v>25</v>
      </c>
      <c r="F2764" s="23" t="s">
        <v>1388</v>
      </c>
      <c r="G2764" s="31" t="s">
        <v>112</v>
      </c>
      <c r="H2764" s="23" t="s">
        <v>50</v>
      </c>
      <c r="I2764" s="37" t="str">
        <f>VLOOKUP(H2764,'Flow Location'!$A$1:$B$21,2,FALSE)</f>
        <v>Contained On Site, not within 5 ft. of Bayou/Surface Water/Drainage Ditch</v>
      </c>
      <c r="J2764" s="28">
        <v>60.0</v>
      </c>
      <c r="K2764" s="23" t="s">
        <v>29</v>
      </c>
      <c r="L2764" s="37" t="str">
        <f>VLOOKUP(K2764,'Structure type'!$A$1:$B$15,2,FALSE)</f>
        <v>Manhole</v>
      </c>
      <c r="M2764" s="23" t="s">
        <v>30</v>
      </c>
      <c r="N2764" s="23" t="str">
        <f>VLOOKUP(M2764,'Excursion Cause'!$A$1:$B$34,2,FALSE)</f>
        <v>Grease Blockage</v>
      </c>
      <c r="O2764" s="29">
        <v>45087.0</v>
      </c>
      <c r="P2764" s="30">
        <v>0.5277777777777778</v>
      </c>
      <c r="Q2764" s="29">
        <v>45087.0</v>
      </c>
      <c r="R2764" s="30">
        <v>0.5486111111111112</v>
      </c>
      <c r="S2764" s="28">
        <v>2.0</v>
      </c>
      <c r="T2764" s="23" t="s">
        <v>270</v>
      </c>
      <c r="U2764" s="6"/>
      <c r="V2764" s="6"/>
      <c r="W2764" s="35">
        <v>29.6236652</v>
      </c>
      <c r="X2764" s="35">
        <v>-95.4269815</v>
      </c>
      <c r="AA2764" s="33"/>
      <c r="AB2764" s="33"/>
      <c r="AC2764" s="33"/>
      <c r="AD2764" s="33"/>
      <c r="AE2764" s="33"/>
      <c r="AF2764" s="33"/>
      <c r="AG2764" s="33"/>
      <c r="AH2764" s="33"/>
      <c r="AI2764" s="33"/>
      <c r="AJ2764" s="33"/>
      <c r="AK2764" s="33"/>
      <c r="AL2764" s="33"/>
      <c r="AM2764" s="33"/>
      <c r="AN2764" s="33"/>
      <c r="AO2764" s="33"/>
    </row>
    <row r="2765" ht="15.75" customHeight="1">
      <c r="A2765" s="23">
        <v>52560.0</v>
      </c>
      <c r="B2765" s="23">
        <v>2023.0</v>
      </c>
      <c r="C2765" s="36" t="str">
        <f t="shared" si="7"/>
        <v>2000 WILLOWBROOK MALL,Houston,TX</v>
      </c>
      <c r="D2765" s="23" t="s">
        <v>1460</v>
      </c>
      <c r="E2765" s="23" t="s">
        <v>25</v>
      </c>
      <c r="F2765" s="23" t="s">
        <v>1388</v>
      </c>
      <c r="G2765" s="31" t="s">
        <v>135</v>
      </c>
      <c r="H2765" s="23" t="s">
        <v>1493</v>
      </c>
      <c r="I2765" s="37" t="str">
        <f>VLOOKUP(H2765,'Flow Location'!$A$1:$B$21,2,FALSE)</f>
        <v>Contained On Site, not within 5 ft. of Bayou/Surface Water/Drainage Ditch</v>
      </c>
      <c r="J2765" s="28">
        <v>208.0</v>
      </c>
      <c r="K2765" s="23" t="s">
        <v>29</v>
      </c>
      <c r="L2765" s="37" t="str">
        <f>VLOOKUP(K2765,'Structure type'!$A$1:$B$15,2,FALSE)</f>
        <v>Manhole</v>
      </c>
      <c r="M2765" s="23" t="s">
        <v>56</v>
      </c>
      <c r="N2765" s="23" t="str">
        <f>VLOOKUP(M2765,'Excursion Cause'!$A$1:$B$34,2,FALSE)</f>
        <v>Rags/Wipes</v>
      </c>
      <c r="O2765" s="29">
        <v>45088.0</v>
      </c>
      <c r="P2765" s="30">
        <v>0.43125</v>
      </c>
      <c r="Q2765" s="29">
        <v>45088.0</v>
      </c>
      <c r="R2765" s="30">
        <v>0.5756944444444444</v>
      </c>
      <c r="S2765" s="28">
        <v>1.0</v>
      </c>
      <c r="T2765" s="23" t="s">
        <v>270</v>
      </c>
      <c r="U2765" s="6"/>
      <c r="V2765" s="6"/>
      <c r="W2765" s="35">
        <v>29.9601115</v>
      </c>
      <c r="X2765" s="35">
        <v>-95.5390898</v>
      </c>
      <c r="AA2765" s="33"/>
      <c r="AB2765" s="33"/>
      <c r="AC2765" s="33"/>
      <c r="AD2765" s="33"/>
      <c r="AE2765" s="33"/>
      <c r="AF2765" s="33"/>
      <c r="AG2765" s="33"/>
      <c r="AH2765" s="33"/>
      <c r="AI2765" s="33"/>
      <c r="AJ2765" s="33"/>
      <c r="AK2765" s="33"/>
      <c r="AL2765" s="33"/>
      <c r="AM2765" s="33"/>
      <c r="AN2765" s="33"/>
      <c r="AO2765" s="33"/>
    </row>
    <row r="2766" ht="15.75" customHeight="1">
      <c r="A2766" s="23">
        <v>52562.0</v>
      </c>
      <c r="B2766" s="23">
        <v>2023.0</v>
      </c>
      <c r="C2766" s="36" t="str">
        <f t="shared" si="7"/>
        <v>9807 BUCROFT ST,Houston,TX</v>
      </c>
      <c r="D2766" s="23" t="s">
        <v>4033</v>
      </c>
      <c r="E2766" s="23" t="s">
        <v>25</v>
      </c>
      <c r="F2766" s="23" t="s">
        <v>1388</v>
      </c>
      <c r="G2766" s="31" t="s">
        <v>80</v>
      </c>
      <c r="H2766" s="23" t="s">
        <v>50</v>
      </c>
      <c r="I2766" s="37" t="str">
        <f>VLOOKUP(H2766,'Flow Location'!$A$1:$B$21,2,FALSE)</f>
        <v>Contained On Site, not within 5 ft. of Bayou/Surface Water/Drainage Ditch</v>
      </c>
      <c r="J2766" s="28">
        <v>0.0</v>
      </c>
      <c r="K2766" s="23" t="s">
        <v>198</v>
      </c>
      <c r="L2766" s="37" t="str">
        <f>VLOOKUP(K2766,'Structure type'!$A$1:$B$15,2,FALSE)</f>
        <v>Service Lateral</v>
      </c>
      <c r="M2766" s="23" t="s">
        <v>52</v>
      </c>
      <c r="N2766" s="23" t="str">
        <f>VLOOKUP(M2766,'Excursion Cause'!$A$1:$B$34,2,FALSE)</f>
        <v>Collection system structural blockage</v>
      </c>
      <c r="O2766" s="29">
        <v>45089.0</v>
      </c>
      <c r="P2766" s="30">
        <v>0.37083333333333335</v>
      </c>
      <c r="Q2766" s="29">
        <v>45089.0</v>
      </c>
      <c r="R2766" s="30">
        <v>0.7173611111111111</v>
      </c>
      <c r="S2766" s="28">
        <v>0.0</v>
      </c>
      <c r="T2766" s="23" t="s">
        <v>270</v>
      </c>
      <c r="U2766" s="6"/>
      <c r="V2766" s="6"/>
      <c r="W2766" s="35">
        <v>29.7576896</v>
      </c>
      <c r="X2766" s="35">
        <v>-95.2554567999999</v>
      </c>
      <c r="AA2766" s="33"/>
      <c r="AB2766" s="33"/>
      <c r="AC2766" s="33"/>
      <c r="AD2766" s="33"/>
      <c r="AE2766" s="33"/>
      <c r="AF2766" s="33"/>
      <c r="AG2766" s="33"/>
      <c r="AH2766" s="33"/>
      <c r="AI2766" s="33"/>
      <c r="AJ2766" s="33"/>
      <c r="AK2766" s="33"/>
      <c r="AL2766" s="33"/>
      <c r="AM2766" s="33"/>
      <c r="AN2766" s="33"/>
      <c r="AO2766" s="33"/>
    </row>
    <row r="2767" ht="15.75" customHeight="1">
      <c r="A2767" s="23">
        <v>52564.0</v>
      </c>
      <c r="B2767" s="23">
        <v>2023.0</v>
      </c>
      <c r="C2767" s="36" t="str">
        <f t="shared" si="7"/>
        <v>4402 TALINA WAY,Houston,TX</v>
      </c>
      <c r="D2767" s="23" t="s">
        <v>4034</v>
      </c>
      <c r="E2767" s="23" t="s">
        <v>25</v>
      </c>
      <c r="F2767" s="23" t="s">
        <v>1388</v>
      </c>
      <c r="G2767" s="31" t="s">
        <v>141</v>
      </c>
      <c r="H2767" s="23" t="s">
        <v>28</v>
      </c>
      <c r="I2767" s="37" t="str">
        <f>VLOOKUP(H2767,'Flow Location'!$A$1:$B$21,2,FALSE)</f>
        <v>Storm Sewer (not contained)</v>
      </c>
      <c r="J2767" s="28">
        <v>0.0</v>
      </c>
      <c r="K2767" s="23" t="s">
        <v>29</v>
      </c>
      <c r="L2767" s="37" t="str">
        <f>VLOOKUP(K2767,'Structure type'!$A$1:$B$15,2,FALSE)</f>
        <v>Manhole</v>
      </c>
      <c r="M2767" s="23" t="s">
        <v>30</v>
      </c>
      <c r="N2767" s="23" t="str">
        <f>VLOOKUP(M2767,'Excursion Cause'!$A$1:$B$34,2,FALSE)</f>
        <v>Grease Blockage</v>
      </c>
      <c r="O2767" s="29">
        <v>45089.0</v>
      </c>
      <c r="P2767" s="30">
        <v>0.4909722222222222</v>
      </c>
      <c r="Q2767" s="29">
        <v>45089.0</v>
      </c>
      <c r="R2767" s="30">
        <v>0.49166666666666664</v>
      </c>
      <c r="S2767" s="28">
        <v>0.0</v>
      </c>
      <c r="T2767" s="23" t="s">
        <v>270</v>
      </c>
      <c r="U2767" s="6"/>
      <c r="V2767" s="6"/>
      <c r="W2767" s="35">
        <v>29.834192</v>
      </c>
      <c r="X2767" s="35">
        <v>-95.5436412999999</v>
      </c>
      <c r="AA2767" s="33"/>
      <c r="AB2767" s="33"/>
      <c r="AC2767" s="33"/>
      <c r="AD2767" s="33"/>
      <c r="AE2767" s="33"/>
      <c r="AF2767" s="33"/>
      <c r="AG2767" s="33"/>
      <c r="AH2767" s="33"/>
      <c r="AI2767" s="33"/>
      <c r="AJ2767" s="33"/>
      <c r="AK2767" s="33"/>
      <c r="AL2767" s="33"/>
      <c r="AM2767" s="33"/>
      <c r="AN2767" s="33"/>
      <c r="AO2767" s="33"/>
    </row>
    <row r="2768" ht="15.75" customHeight="1">
      <c r="A2768" s="23">
        <v>52597.0</v>
      </c>
      <c r="B2768" s="23">
        <v>2023.0</v>
      </c>
      <c r="C2768" s="36" t="str">
        <f t="shared" si="7"/>
        <v>5715 GARDEN POINT DR,Houston,TX</v>
      </c>
      <c r="D2768" s="23" t="s">
        <v>3409</v>
      </c>
      <c r="E2768" s="23" t="s">
        <v>25</v>
      </c>
      <c r="F2768" s="23" t="s">
        <v>1388</v>
      </c>
      <c r="G2768" s="31" t="s">
        <v>100</v>
      </c>
      <c r="H2768" s="23" t="s">
        <v>50</v>
      </c>
      <c r="I2768" s="37" t="str">
        <f>VLOOKUP(H2768,'Flow Location'!$A$1:$B$21,2,FALSE)</f>
        <v>Contained On Site, not within 5 ft. of Bayou/Surface Water/Drainage Ditch</v>
      </c>
      <c r="J2768" s="28">
        <v>0.0</v>
      </c>
      <c r="K2768" s="23" t="s">
        <v>51</v>
      </c>
      <c r="L2768" s="37" t="str">
        <f>VLOOKUP(K2768,'Structure type'!$A$1:$B$15,2,FALSE)</f>
        <v>Private Cleanout</v>
      </c>
      <c r="M2768" s="23" t="s">
        <v>81</v>
      </c>
      <c r="N2768" s="23" t="str">
        <f>VLOOKUP(M2768,'Excursion Cause'!$A$1:$B$34,2,FALSE)</f>
        <v>Collection system structural failure</v>
      </c>
      <c r="O2768" s="29">
        <v>45089.0</v>
      </c>
      <c r="P2768" s="30">
        <v>0.8326388888888889</v>
      </c>
      <c r="Q2768" s="29">
        <v>45089.0</v>
      </c>
      <c r="R2768" s="30">
        <v>0.8333333333333334</v>
      </c>
      <c r="S2768" s="28">
        <v>0.0</v>
      </c>
      <c r="T2768" s="23" t="s">
        <v>270</v>
      </c>
      <c r="U2768" s="6"/>
      <c r="V2768" s="6"/>
      <c r="W2768" s="35">
        <v>30.0531551</v>
      </c>
      <c r="X2768" s="35">
        <v>-95.1597833</v>
      </c>
      <c r="AA2768" s="33"/>
      <c r="AB2768" s="33"/>
      <c r="AC2768" s="33"/>
      <c r="AD2768" s="33"/>
      <c r="AE2768" s="33"/>
      <c r="AF2768" s="33"/>
      <c r="AG2768" s="33"/>
      <c r="AH2768" s="33"/>
      <c r="AI2768" s="33"/>
      <c r="AJ2768" s="33"/>
      <c r="AK2768" s="33"/>
      <c r="AL2768" s="33"/>
      <c r="AM2768" s="33"/>
      <c r="AN2768" s="33"/>
      <c r="AO2768" s="33"/>
    </row>
    <row r="2769" ht="15.75" customHeight="1">
      <c r="A2769" s="23">
        <v>52573.0</v>
      </c>
      <c r="B2769" s="23">
        <v>2023.0</v>
      </c>
      <c r="C2769" s="36" t="str">
        <f t="shared" si="7"/>
        <v>5112 LELIA ST,Houston,TX</v>
      </c>
      <c r="D2769" s="23" t="s">
        <v>4035</v>
      </c>
      <c r="E2769" s="23" t="s">
        <v>25</v>
      </c>
      <c r="F2769" s="23" t="s">
        <v>1388</v>
      </c>
      <c r="G2769" s="31" t="s">
        <v>148</v>
      </c>
      <c r="H2769" s="23" t="s">
        <v>50</v>
      </c>
      <c r="I2769" s="37" t="str">
        <f>VLOOKUP(H2769,'Flow Location'!$A$1:$B$21,2,FALSE)</f>
        <v>Contained On Site, not within 5 ft. of Bayou/Surface Water/Drainage Ditch</v>
      </c>
      <c r="J2769" s="28">
        <v>0.0</v>
      </c>
      <c r="K2769" s="23" t="s">
        <v>45</v>
      </c>
      <c r="L2769" s="37" t="str">
        <f>VLOOKUP(K2769,'Structure type'!$A$1:$B$15,2,FALSE)</f>
        <v>City Cleanout</v>
      </c>
      <c r="M2769" s="23" t="s">
        <v>30</v>
      </c>
      <c r="N2769" s="23" t="str">
        <f>VLOOKUP(M2769,'Excursion Cause'!$A$1:$B$34,2,FALSE)</f>
        <v>Grease Blockage</v>
      </c>
      <c r="O2769" s="29">
        <v>45090.0</v>
      </c>
      <c r="P2769" s="30">
        <v>0.4625</v>
      </c>
      <c r="Q2769" s="29">
        <v>45090.0</v>
      </c>
      <c r="R2769" s="30">
        <v>0.46319444444444446</v>
      </c>
      <c r="S2769" s="28">
        <v>0.0</v>
      </c>
      <c r="T2769" s="23" t="s">
        <v>270</v>
      </c>
      <c r="U2769" s="6"/>
      <c r="V2769" s="6"/>
      <c r="W2769" s="35">
        <v>29.7890191</v>
      </c>
      <c r="X2769" s="35">
        <v>-95.3188890999999</v>
      </c>
      <c r="AA2769" s="33"/>
      <c r="AB2769" s="33"/>
      <c r="AC2769" s="33"/>
      <c r="AD2769" s="33"/>
      <c r="AE2769" s="33"/>
      <c r="AF2769" s="33"/>
      <c r="AG2769" s="33"/>
      <c r="AH2769" s="33"/>
      <c r="AI2769" s="33"/>
      <c r="AJ2769" s="33"/>
      <c r="AK2769" s="33"/>
      <c r="AL2769" s="33"/>
      <c r="AM2769" s="33"/>
      <c r="AN2769" s="33"/>
      <c r="AO2769" s="33"/>
    </row>
    <row r="2770" ht="15.75" customHeight="1">
      <c r="A2770" s="23">
        <v>52577.0</v>
      </c>
      <c r="B2770" s="23">
        <v>2023.0</v>
      </c>
      <c r="C2770" s="36" t="str">
        <f t="shared" si="7"/>
        <v>7320 ANTOINE DR,Houston,TX</v>
      </c>
      <c r="D2770" s="23" t="s">
        <v>4036</v>
      </c>
      <c r="E2770" s="23" t="s">
        <v>25</v>
      </c>
      <c r="F2770" s="23" t="s">
        <v>1388</v>
      </c>
      <c r="G2770" s="31" t="s">
        <v>69</v>
      </c>
      <c r="H2770" s="23" t="s">
        <v>50</v>
      </c>
      <c r="I2770" s="37" t="str">
        <f>VLOOKUP(H2770,'Flow Location'!$A$1:$B$21,2,FALSE)</f>
        <v>Contained On Site, not within 5 ft. of Bayou/Surface Water/Drainage Ditch</v>
      </c>
      <c r="J2770" s="28">
        <v>954.0</v>
      </c>
      <c r="K2770" s="23" t="s">
        <v>782</v>
      </c>
      <c r="L2770" s="37" t="str">
        <f>VLOOKUP(K2770,'Structure type'!$A$1:$B$15,2,FALSE)</f>
        <v>Private Sample Well</v>
      </c>
      <c r="M2770" s="23" t="s">
        <v>56</v>
      </c>
      <c r="N2770" s="23" t="str">
        <f>VLOOKUP(M2770,'Excursion Cause'!$A$1:$B$34,2,FALSE)</f>
        <v>Rags/Wipes</v>
      </c>
      <c r="O2770" s="29">
        <v>45090.0</v>
      </c>
      <c r="P2770" s="30">
        <v>0.7138888888888889</v>
      </c>
      <c r="Q2770" s="29">
        <v>45091.0</v>
      </c>
      <c r="R2770" s="30">
        <v>0.3763888888888889</v>
      </c>
      <c r="S2770" s="28">
        <v>1.0</v>
      </c>
      <c r="T2770" s="23" t="s">
        <v>270</v>
      </c>
      <c r="U2770" s="6"/>
      <c r="V2770" s="6"/>
      <c r="W2770" s="35">
        <v>29.8682985</v>
      </c>
      <c r="X2770" s="35">
        <v>-95.4723746</v>
      </c>
      <c r="AA2770" s="33"/>
      <c r="AB2770" s="33"/>
      <c r="AC2770" s="33"/>
      <c r="AD2770" s="33"/>
      <c r="AE2770" s="33"/>
      <c r="AF2770" s="33"/>
      <c r="AG2770" s="33"/>
      <c r="AH2770" s="33"/>
      <c r="AI2770" s="33"/>
      <c r="AJ2770" s="33"/>
      <c r="AK2770" s="33"/>
      <c r="AL2770" s="33"/>
      <c r="AM2770" s="33"/>
      <c r="AN2770" s="33"/>
      <c r="AO2770" s="33"/>
    </row>
    <row r="2771" ht="15.75" customHeight="1">
      <c r="A2771" s="23">
        <v>52578.0</v>
      </c>
      <c r="B2771" s="23">
        <v>2023.0</v>
      </c>
      <c r="C2771" s="36" t="str">
        <f t="shared" si="7"/>
        <v>5815 BELLAIRE BLVD,Houston,TX</v>
      </c>
      <c r="D2771" s="23" t="s">
        <v>4037</v>
      </c>
      <c r="E2771" s="23" t="s">
        <v>25</v>
      </c>
      <c r="F2771" s="23" t="s">
        <v>1388</v>
      </c>
      <c r="G2771" s="31" t="s">
        <v>154</v>
      </c>
      <c r="H2771" s="23" t="s">
        <v>28</v>
      </c>
      <c r="I2771" s="37" t="str">
        <f>VLOOKUP(H2771,'Flow Location'!$A$1:$B$21,2,FALSE)</f>
        <v>Storm Sewer (not contained)</v>
      </c>
      <c r="J2771" s="28">
        <v>528.0</v>
      </c>
      <c r="K2771" s="23" t="s">
        <v>29</v>
      </c>
      <c r="L2771" s="37" t="str">
        <f>VLOOKUP(K2771,'Structure type'!$A$1:$B$15,2,FALSE)</f>
        <v>Manhole</v>
      </c>
      <c r="M2771" s="23" t="s">
        <v>30</v>
      </c>
      <c r="N2771" s="23" t="str">
        <f>VLOOKUP(M2771,'Excursion Cause'!$A$1:$B$34,2,FALSE)</f>
        <v>Grease Blockage</v>
      </c>
      <c r="O2771" s="29">
        <v>45090.0</v>
      </c>
      <c r="P2771" s="30">
        <v>0.7486111111111111</v>
      </c>
      <c r="Q2771" s="29">
        <v>45090.0</v>
      </c>
      <c r="R2771" s="30">
        <v>0.8402777777777778</v>
      </c>
      <c r="S2771" s="28">
        <v>4.0</v>
      </c>
      <c r="T2771" s="23" t="s">
        <v>270</v>
      </c>
      <c r="U2771" s="6"/>
      <c r="V2771" s="6"/>
      <c r="W2771" s="35">
        <v>29.7050453</v>
      </c>
      <c r="X2771" s="35">
        <v>-95.4839159</v>
      </c>
      <c r="AA2771" s="33"/>
      <c r="AB2771" s="33"/>
      <c r="AC2771" s="33"/>
      <c r="AD2771" s="33"/>
      <c r="AE2771" s="33"/>
      <c r="AF2771" s="33"/>
      <c r="AG2771" s="33"/>
      <c r="AH2771" s="33"/>
      <c r="AI2771" s="33"/>
      <c r="AJ2771" s="33"/>
      <c r="AK2771" s="33"/>
      <c r="AL2771" s="33"/>
      <c r="AM2771" s="33"/>
      <c r="AN2771" s="33"/>
      <c r="AO2771" s="33"/>
    </row>
    <row r="2772" ht="15.75" customHeight="1">
      <c r="A2772" s="23">
        <v>52599.0</v>
      </c>
      <c r="B2772" s="23">
        <v>2023.0</v>
      </c>
      <c r="C2772" s="36" t="str">
        <f t="shared" si="7"/>
        <v>5801 BELLAIRE BLVD,Houston,TX</v>
      </c>
      <c r="D2772" s="23" t="s">
        <v>4038</v>
      </c>
      <c r="E2772" s="23" t="s">
        <v>25</v>
      </c>
      <c r="F2772" s="23" t="s">
        <v>1388</v>
      </c>
      <c r="G2772" s="31" t="s">
        <v>158</v>
      </c>
      <c r="H2772" s="23" t="s">
        <v>28</v>
      </c>
      <c r="I2772" s="37" t="str">
        <f>VLOOKUP(H2772,'Flow Location'!$A$1:$B$21,2,FALSE)</f>
        <v>Storm Sewer (not contained)</v>
      </c>
      <c r="J2772" s="28">
        <v>528.0</v>
      </c>
      <c r="K2772" s="23" t="s">
        <v>29</v>
      </c>
      <c r="L2772" s="37" t="str">
        <f>VLOOKUP(K2772,'Structure type'!$A$1:$B$15,2,FALSE)</f>
        <v>Manhole</v>
      </c>
      <c r="M2772" s="23" t="s">
        <v>30</v>
      </c>
      <c r="N2772" s="23" t="str">
        <f>VLOOKUP(M2772,'Excursion Cause'!$A$1:$B$34,2,FALSE)</f>
        <v>Grease Blockage</v>
      </c>
      <c r="O2772" s="29">
        <v>45090.0</v>
      </c>
      <c r="P2772" s="30">
        <v>0.7486111111111111</v>
      </c>
      <c r="Q2772" s="29">
        <v>45090.0</v>
      </c>
      <c r="R2772" s="30">
        <v>0.8402777777777778</v>
      </c>
      <c r="S2772" s="28">
        <v>4.0</v>
      </c>
      <c r="T2772" s="23" t="s">
        <v>270</v>
      </c>
      <c r="U2772" s="6"/>
      <c r="V2772" s="6"/>
      <c r="W2772" s="35">
        <v>29.7052499</v>
      </c>
      <c r="X2772" s="35">
        <v>-95.4827399</v>
      </c>
      <c r="AA2772" s="33"/>
      <c r="AB2772" s="33"/>
      <c r="AC2772" s="33"/>
      <c r="AD2772" s="33"/>
      <c r="AE2772" s="33"/>
      <c r="AF2772" s="33"/>
      <c r="AG2772" s="33"/>
      <c r="AH2772" s="33"/>
      <c r="AI2772" s="33"/>
      <c r="AJ2772" s="33"/>
      <c r="AK2772" s="33"/>
      <c r="AL2772" s="33"/>
      <c r="AM2772" s="33"/>
      <c r="AN2772" s="33"/>
      <c r="AO2772" s="33"/>
    </row>
    <row r="2773" ht="15.75" customHeight="1">
      <c r="A2773" s="23">
        <v>52580.0</v>
      </c>
      <c r="B2773" s="23">
        <v>2023.0</v>
      </c>
      <c r="C2773" s="36" t="str">
        <f t="shared" si="7"/>
        <v>12023 BISSONNET ST,Houston,TX</v>
      </c>
      <c r="D2773" s="23" t="s">
        <v>153</v>
      </c>
      <c r="E2773" s="23" t="s">
        <v>25</v>
      </c>
      <c r="F2773" s="23" t="s">
        <v>1388</v>
      </c>
      <c r="G2773" s="31" t="s">
        <v>161</v>
      </c>
      <c r="H2773" s="23" t="s">
        <v>28</v>
      </c>
      <c r="I2773" s="37" t="str">
        <f>VLOOKUP(H2773,'Flow Location'!$A$1:$B$21,2,FALSE)</f>
        <v>Storm Sewer (not contained)</v>
      </c>
      <c r="J2773" s="28">
        <v>780.0</v>
      </c>
      <c r="K2773" s="23" t="s">
        <v>29</v>
      </c>
      <c r="L2773" s="37" t="str">
        <f>VLOOKUP(K2773,'Structure type'!$A$1:$B$15,2,FALSE)</f>
        <v>Manhole</v>
      </c>
      <c r="M2773" s="23" t="s">
        <v>30</v>
      </c>
      <c r="N2773" s="23" t="str">
        <f>VLOOKUP(M2773,'Excursion Cause'!$A$1:$B$34,2,FALSE)</f>
        <v>Grease Blockage</v>
      </c>
      <c r="O2773" s="29">
        <v>45091.0</v>
      </c>
      <c r="P2773" s="30">
        <v>0.3638888888888889</v>
      </c>
      <c r="Q2773" s="29">
        <v>45091.0</v>
      </c>
      <c r="R2773" s="30">
        <v>0.4722222222222222</v>
      </c>
      <c r="S2773" s="28">
        <v>5.0</v>
      </c>
      <c r="T2773" s="23" t="s">
        <v>270</v>
      </c>
      <c r="U2773" s="6"/>
      <c r="V2773" s="6"/>
      <c r="W2773" s="35">
        <v>29.674508</v>
      </c>
      <c r="X2773" s="35">
        <v>-95.5905918999999</v>
      </c>
      <c r="AA2773" s="33"/>
      <c r="AB2773" s="33"/>
      <c r="AC2773" s="33"/>
      <c r="AD2773" s="33"/>
      <c r="AE2773" s="33"/>
      <c r="AF2773" s="33"/>
      <c r="AG2773" s="33"/>
      <c r="AH2773" s="33"/>
      <c r="AI2773" s="33"/>
      <c r="AJ2773" s="33"/>
      <c r="AK2773" s="33"/>
      <c r="AL2773" s="33"/>
      <c r="AM2773" s="33"/>
      <c r="AN2773" s="33"/>
      <c r="AO2773" s="33"/>
    </row>
    <row r="2774" ht="15.75" customHeight="1">
      <c r="A2774" s="23">
        <v>52585.0</v>
      </c>
      <c r="B2774" s="23">
        <v>2023.0</v>
      </c>
      <c r="C2774" s="36" t="str">
        <f t="shared" si="7"/>
        <v>777 BRISBANE ST,Houston,TX</v>
      </c>
      <c r="D2774" s="23" t="s">
        <v>4039</v>
      </c>
      <c r="E2774" s="23" t="s">
        <v>25</v>
      </c>
      <c r="F2774" s="23" t="s">
        <v>1388</v>
      </c>
      <c r="G2774" s="31" t="s">
        <v>27</v>
      </c>
      <c r="H2774" s="23" t="s">
        <v>50</v>
      </c>
      <c r="I2774" s="37" t="str">
        <f>VLOOKUP(H2774,'Flow Location'!$A$1:$B$21,2,FALSE)</f>
        <v>Contained On Site, not within 5 ft. of Bayou/Surface Water/Drainage Ditch</v>
      </c>
      <c r="J2774" s="28">
        <v>0.0</v>
      </c>
      <c r="K2774" s="23" t="s">
        <v>45</v>
      </c>
      <c r="L2774" s="37" t="str">
        <f>VLOOKUP(K2774,'Structure type'!$A$1:$B$15,2,FALSE)</f>
        <v>City Cleanout</v>
      </c>
      <c r="M2774" s="23" t="s">
        <v>56</v>
      </c>
      <c r="N2774" s="23" t="str">
        <f>VLOOKUP(M2774,'Excursion Cause'!$A$1:$B$34,2,FALSE)</f>
        <v>Rags/Wipes</v>
      </c>
      <c r="O2774" s="29">
        <v>45092.0</v>
      </c>
      <c r="P2774" s="30">
        <v>0.49930555555555556</v>
      </c>
      <c r="Q2774" s="29">
        <v>45092.0</v>
      </c>
      <c r="R2774" s="30">
        <v>0.5</v>
      </c>
      <c r="S2774" s="28">
        <v>0.0</v>
      </c>
      <c r="T2774" s="23" t="s">
        <v>270</v>
      </c>
      <c r="U2774" s="6"/>
      <c r="V2774" s="6"/>
      <c r="W2774" s="35">
        <v>29.6389009</v>
      </c>
      <c r="X2774" s="35">
        <v>-95.3015927</v>
      </c>
      <c r="AA2774" s="33"/>
      <c r="AB2774" s="33"/>
      <c r="AC2774" s="33"/>
      <c r="AD2774" s="33"/>
      <c r="AE2774" s="33"/>
      <c r="AF2774" s="33"/>
      <c r="AG2774" s="33"/>
      <c r="AH2774" s="33"/>
      <c r="AI2774" s="33"/>
      <c r="AJ2774" s="33"/>
      <c r="AK2774" s="33"/>
      <c r="AL2774" s="33"/>
      <c r="AM2774" s="33"/>
      <c r="AN2774" s="33"/>
      <c r="AO2774" s="33"/>
    </row>
    <row r="2775" ht="15.75" customHeight="1">
      <c r="A2775" s="23">
        <v>52587.0</v>
      </c>
      <c r="B2775" s="23">
        <v>2023.0</v>
      </c>
      <c r="C2775" s="36" t="str">
        <f t="shared" si="7"/>
        <v>7816 CORINTH ST,Houston,TX</v>
      </c>
      <c r="D2775" s="23" t="s">
        <v>4040</v>
      </c>
      <c r="E2775" s="23" t="s">
        <v>25</v>
      </c>
      <c r="F2775" s="23" t="s">
        <v>1388</v>
      </c>
      <c r="G2775" s="31" t="s">
        <v>166</v>
      </c>
      <c r="H2775" s="23" t="s">
        <v>1493</v>
      </c>
      <c r="I2775" s="37" t="str">
        <f>VLOOKUP(H2775,'Flow Location'!$A$1:$B$21,2,FALSE)</f>
        <v>Contained On Site, not within 5 ft. of Bayou/Surface Water/Drainage Ditch</v>
      </c>
      <c r="J2775" s="28">
        <v>0.0</v>
      </c>
      <c r="K2775" s="23" t="s">
        <v>45</v>
      </c>
      <c r="L2775" s="37" t="str">
        <f>VLOOKUP(K2775,'Structure type'!$A$1:$B$15,2,FALSE)</f>
        <v>City Cleanout</v>
      </c>
      <c r="M2775" s="23" t="s">
        <v>56</v>
      </c>
      <c r="N2775" s="23" t="str">
        <f>VLOOKUP(M2775,'Excursion Cause'!$A$1:$B$34,2,FALSE)</f>
        <v>Rags/Wipes</v>
      </c>
      <c r="O2775" s="29">
        <v>45092.0</v>
      </c>
      <c r="P2775" s="30">
        <v>0.5243055555555556</v>
      </c>
      <c r="Q2775" s="29">
        <v>45092.0</v>
      </c>
      <c r="R2775" s="30">
        <v>0.525</v>
      </c>
      <c r="S2775" s="28">
        <v>0.0</v>
      </c>
      <c r="T2775" s="23" t="s">
        <v>270</v>
      </c>
      <c r="U2775" s="6"/>
      <c r="V2775" s="6"/>
      <c r="W2775" s="35">
        <v>29.6765959</v>
      </c>
      <c r="X2775" s="35">
        <v>-95.3715666</v>
      </c>
      <c r="AA2775" s="33"/>
      <c r="AB2775" s="33"/>
      <c r="AC2775" s="33"/>
      <c r="AD2775" s="33"/>
      <c r="AE2775" s="33"/>
      <c r="AF2775" s="33"/>
      <c r="AG2775" s="33"/>
      <c r="AH2775" s="33"/>
      <c r="AI2775" s="33"/>
      <c r="AJ2775" s="33"/>
      <c r="AK2775" s="33"/>
      <c r="AL2775" s="33"/>
      <c r="AM2775" s="33"/>
      <c r="AN2775" s="33"/>
      <c r="AO2775" s="33"/>
    </row>
    <row r="2776" ht="15.75" customHeight="1">
      <c r="A2776" s="23">
        <v>52589.0</v>
      </c>
      <c r="B2776" s="23">
        <v>2023.0</v>
      </c>
      <c r="C2776" s="36" t="str">
        <f t="shared" si="7"/>
        <v>7627 ATHLONE DR,Houston,TX</v>
      </c>
      <c r="D2776" s="23" t="s">
        <v>4041</v>
      </c>
      <c r="E2776" s="23" t="s">
        <v>25</v>
      </c>
      <c r="F2776" s="23" t="s">
        <v>1388</v>
      </c>
      <c r="G2776" s="31" t="s">
        <v>105</v>
      </c>
      <c r="H2776" s="23" t="s">
        <v>50</v>
      </c>
      <c r="I2776" s="37" t="str">
        <f>VLOOKUP(H2776,'Flow Location'!$A$1:$B$21,2,FALSE)</f>
        <v>Contained On Site, not within 5 ft. of Bayou/Surface Water/Drainage Ditch</v>
      </c>
      <c r="J2776" s="28">
        <v>0.0</v>
      </c>
      <c r="K2776" s="23" t="s">
        <v>45</v>
      </c>
      <c r="L2776" s="37" t="str">
        <f>VLOOKUP(K2776,'Structure type'!$A$1:$B$15,2,FALSE)</f>
        <v>City Cleanout</v>
      </c>
      <c r="M2776" s="23" t="s">
        <v>366</v>
      </c>
      <c r="N2776" s="23" t="str">
        <f>VLOOKUP(M2776,'Excursion Cause'!$A$1:$B$34,2,FALSE)</f>
        <v>Collection system structural blockage</v>
      </c>
      <c r="O2776" s="29">
        <v>45092.0</v>
      </c>
      <c r="P2776" s="30">
        <v>0.5847222222222223</v>
      </c>
      <c r="Q2776" s="29">
        <v>45092.0</v>
      </c>
      <c r="R2776" s="30">
        <v>0.5854166666666667</v>
      </c>
      <c r="S2776" s="28">
        <v>0.0</v>
      </c>
      <c r="T2776" s="23" t="s">
        <v>270</v>
      </c>
      <c r="U2776" s="6"/>
      <c r="V2776" s="6"/>
      <c r="W2776" s="35">
        <v>29.875397</v>
      </c>
      <c r="X2776" s="35">
        <v>-95.4625253999999</v>
      </c>
      <c r="AA2776" s="33"/>
      <c r="AB2776" s="33"/>
      <c r="AC2776" s="33"/>
      <c r="AD2776" s="33"/>
      <c r="AE2776" s="33"/>
      <c r="AF2776" s="33"/>
      <c r="AG2776" s="33"/>
      <c r="AH2776" s="33"/>
      <c r="AI2776" s="33"/>
      <c r="AJ2776" s="33"/>
      <c r="AK2776" s="33"/>
      <c r="AL2776" s="33"/>
      <c r="AM2776" s="33"/>
      <c r="AN2776" s="33"/>
      <c r="AO2776" s="33"/>
    </row>
    <row r="2777" ht="15.75" customHeight="1">
      <c r="A2777" s="23">
        <v>52590.0</v>
      </c>
      <c r="B2777" s="23">
        <v>2023.0</v>
      </c>
      <c r="C2777" s="36" t="str">
        <f t="shared" si="7"/>
        <v>7616 AVENUE J,Houston,TX</v>
      </c>
      <c r="D2777" s="23" t="s">
        <v>4042</v>
      </c>
      <c r="E2777" s="23" t="s">
        <v>25</v>
      </c>
      <c r="F2777" s="23" t="s">
        <v>1388</v>
      </c>
      <c r="G2777" s="31" t="s">
        <v>172</v>
      </c>
      <c r="H2777" s="23" t="s">
        <v>50</v>
      </c>
      <c r="I2777" s="37" t="str">
        <f>VLOOKUP(H2777,'Flow Location'!$A$1:$B$21,2,FALSE)</f>
        <v>Contained On Site, not within 5 ft. of Bayou/Surface Water/Drainage Ditch</v>
      </c>
      <c r="J2777" s="28">
        <v>0.0</v>
      </c>
      <c r="K2777" s="23" t="s">
        <v>51</v>
      </c>
      <c r="L2777" s="37" t="str">
        <f>VLOOKUP(K2777,'Structure type'!$A$1:$B$15,2,FALSE)</f>
        <v>Private Cleanout</v>
      </c>
      <c r="M2777" s="23" t="s">
        <v>81</v>
      </c>
      <c r="N2777" s="23" t="str">
        <f>VLOOKUP(M2777,'Excursion Cause'!$A$1:$B$34,2,FALSE)</f>
        <v>Collection system structural failure</v>
      </c>
      <c r="O2777" s="29">
        <v>45092.0</v>
      </c>
      <c r="P2777" s="30">
        <v>0.625</v>
      </c>
      <c r="Q2777" s="29">
        <v>45092.0</v>
      </c>
      <c r="R2777" s="30">
        <v>0.6256944444444444</v>
      </c>
      <c r="S2777" s="28">
        <v>0.0</v>
      </c>
      <c r="T2777" s="23" t="s">
        <v>270</v>
      </c>
      <c r="U2777" s="6"/>
      <c r="V2777" s="6"/>
      <c r="W2777" s="35">
        <v>29.7376198</v>
      </c>
      <c r="X2777" s="35">
        <v>-95.2869360999999</v>
      </c>
      <c r="AA2777" s="33"/>
      <c r="AB2777" s="33"/>
      <c r="AC2777" s="33"/>
      <c r="AD2777" s="33"/>
      <c r="AE2777" s="33"/>
      <c r="AF2777" s="33"/>
      <c r="AG2777" s="33"/>
      <c r="AH2777" s="33"/>
      <c r="AI2777" s="33"/>
      <c r="AJ2777" s="33"/>
      <c r="AK2777" s="33"/>
      <c r="AL2777" s="33"/>
      <c r="AM2777" s="33"/>
      <c r="AN2777" s="33"/>
      <c r="AO2777" s="33"/>
    </row>
    <row r="2778" ht="15.75" customHeight="1">
      <c r="A2778" s="23">
        <v>52591.0</v>
      </c>
      <c r="B2778" s="23">
        <v>2023.0</v>
      </c>
      <c r="C2778" s="36" t="str">
        <f t="shared" si="7"/>
        <v>3514 LOVE ST,Houston,TX</v>
      </c>
      <c r="D2778" s="23" t="s">
        <v>4043</v>
      </c>
      <c r="E2778" s="23" t="s">
        <v>25</v>
      </c>
      <c r="F2778" s="23" t="s">
        <v>1388</v>
      </c>
      <c r="G2778" s="31" t="s">
        <v>141</v>
      </c>
      <c r="H2778" s="23" t="s">
        <v>50</v>
      </c>
      <c r="I2778" s="37" t="str">
        <f>VLOOKUP(H2778,'Flow Location'!$A$1:$B$21,2,FALSE)</f>
        <v>Contained On Site, not within 5 ft. of Bayou/Surface Water/Drainage Ditch</v>
      </c>
      <c r="J2778" s="28">
        <v>0.0</v>
      </c>
      <c r="K2778" s="23" t="s">
        <v>45</v>
      </c>
      <c r="L2778" s="37" t="str">
        <f>VLOOKUP(K2778,'Structure type'!$A$1:$B$15,2,FALSE)</f>
        <v>City Cleanout</v>
      </c>
      <c r="M2778" s="23" t="s">
        <v>56</v>
      </c>
      <c r="N2778" s="23" t="str">
        <f>VLOOKUP(M2778,'Excursion Cause'!$A$1:$B$34,2,FALSE)</f>
        <v>Rags/Wipes</v>
      </c>
      <c r="O2778" s="29">
        <v>45092.0</v>
      </c>
      <c r="P2778" s="30">
        <v>0.6479166666666667</v>
      </c>
      <c r="Q2778" s="29">
        <v>45092.0</v>
      </c>
      <c r="R2778" s="30">
        <v>0.6486111111111111</v>
      </c>
      <c r="S2778" s="28">
        <v>0.0</v>
      </c>
      <c r="T2778" s="23" t="s">
        <v>270</v>
      </c>
      <c r="U2778" s="6"/>
      <c r="V2778" s="6"/>
      <c r="W2778" s="35">
        <v>29.7941324</v>
      </c>
      <c r="X2778" s="35">
        <v>-95.3285600999999</v>
      </c>
      <c r="AA2778" s="33"/>
      <c r="AB2778" s="33"/>
      <c r="AC2778" s="33"/>
      <c r="AD2778" s="33"/>
      <c r="AE2778" s="33"/>
      <c r="AF2778" s="33"/>
      <c r="AG2778" s="33"/>
      <c r="AH2778" s="33"/>
      <c r="AI2778" s="33"/>
      <c r="AJ2778" s="33"/>
      <c r="AK2778" s="33"/>
      <c r="AL2778" s="33"/>
      <c r="AM2778" s="33"/>
      <c r="AN2778" s="33"/>
      <c r="AO2778" s="33"/>
    </row>
    <row r="2779" ht="15.75" customHeight="1">
      <c r="A2779" s="23">
        <v>52595.0</v>
      </c>
      <c r="B2779" s="23">
        <v>2023.0</v>
      </c>
      <c r="C2779" s="36" t="str">
        <f t="shared" si="7"/>
        <v>10306 CAXTON ST,Houston,TX</v>
      </c>
      <c r="D2779" s="23" t="s">
        <v>4044</v>
      </c>
      <c r="E2779" s="23" t="s">
        <v>25</v>
      </c>
      <c r="F2779" s="23" t="s">
        <v>1388</v>
      </c>
      <c r="G2779" s="31" t="s">
        <v>177</v>
      </c>
      <c r="H2779" s="23" t="s">
        <v>50</v>
      </c>
      <c r="I2779" s="37" t="str">
        <f>VLOOKUP(H2779,'Flow Location'!$A$1:$B$21,2,FALSE)</f>
        <v>Contained On Site, not within 5 ft. of Bayou/Surface Water/Drainage Ditch</v>
      </c>
      <c r="J2779" s="28">
        <v>0.0</v>
      </c>
      <c r="K2779" s="23" t="s">
        <v>198</v>
      </c>
      <c r="L2779" s="37" t="str">
        <f>VLOOKUP(K2779,'Structure type'!$A$1:$B$15,2,FALSE)</f>
        <v>Service Lateral</v>
      </c>
      <c r="M2779" s="23" t="s">
        <v>81</v>
      </c>
      <c r="N2779" s="23" t="str">
        <f>VLOOKUP(M2779,'Excursion Cause'!$A$1:$B$34,2,FALSE)</f>
        <v>Collection system structural failure</v>
      </c>
      <c r="O2779" s="29">
        <v>45092.0</v>
      </c>
      <c r="P2779" s="30">
        <v>0.7069444444444445</v>
      </c>
      <c r="Q2779" s="29">
        <v>45092.0</v>
      </c>
      <c r="R2779" s="30">
        <v>0.7076388888888889</v>
      </c>
      <c r="S2779" s="28">
        <v>0.0</v>
      </c>
      <c r="T2779" s="23" t="s">
        <v>270</v>
      </c>
      <c r="U2779" s="6"/>
      <c r="V2779" s="6"/>
      <c r="W2779" s="35">
        <v>29.8605571</v>
      </c>
      <c r="X2779" s="35">
        <v>-95.3123227</v>
      </c>
      <c r="AA2779" s="33"/>
      <c r="AB2779" s="33"/>
      <c r="AC2779" s="33"/>
      <c r="AD2779" s="33"/>
      <c r="AE2779" s="33"/>
      <c r="AF2779" s="33"/>
      <c r="AG2779" s="33"/>
      <c r="AH2779" s="33"/>
      <c r="AI2779" s="33"/>
      <c r="AJ2779" s="33"/>
      <c r="AK2779" s="33"/>
      <c r="AL2779" s="33"/>
      <c r="AM2779" s="33"/>
      <c r="AN2779" s="33"/>
      <c r="AO2779" s="33"/>
    </row>
    <row r="2780" ht="15.75" customHeight="1">
      <c r="A2780" s="23">
        <v>52600.0</v>
      </c>
      <c r="B2780" s="23">
        <v>2023.0</v>
      </c>
      <c r="C2780" s="36" t="str">
        <f t="shared" si="7"/>
        <v>2801 ROLIDO DR,Houston,TX</v>
      </c>
      <c r="D2780" s="23" t="s">
        <v>3102</v>
      </c>
      <c r="E2780" s="23" t="s">
        <v>25</v>
      </c>
      <c r="F2780" s="23" t="s">
        <v>1388</v>
      </c>
      <c r="G2780" s="31" t="s">
        <v>148</v>
      </c>
      <c r="H2780" s="23" t="s">
        <v>28</v>
      </c>
      <c r="I2780" s="37" t="str">
        <f>VLOOKUP(H2780,'Flow Location'!$A$1:$B$21,2,FALSE)</f>
        <v>Storm Sewer (not contained)</v>
      </c>
      <c r="J2780" s="28">
        <v>1170.0</v>
      </c>
      <c r="K2780" s="23" t="s">
        <v>29</v>
      </c>
      <c r="L2780" s="37" t="str">
        <f>VLOOKUP(K2780,'Structure type'!$A$1:$B$15,2,FALSE)</f>
        <v>Manhole</v>
      </c>
      <c r="M2780" s="23" t="s">
        <v>3250</v>
      </c>
      <c r="N2780" s="23" t="str">
        <f>VLOOKUP(M2780,'Excursion Cause'!$A$1:$B$34,2,FALSE)</f>
        <v>Collection system structural blockage</v>
      </c>
      <c r="O2780" s="29">
        <v>45093.0</v>
      </c>
      <c r="P2780" s="30">
        <v>0.34444444444444444</v>
      </c>
      <c r="Q2780" s="29">
        <v>45093.0</v>
      </c>
      <c r="R2780" s="30">
        <v>0.5069444444444444</v>
      </c>
      <c r="S2780" s="28">
        <v>5.0</v>
      </c>
      <c r="T2780" s="23" t="s">
        <v>270</v>
      </c>
      <c r="U2780" s="6"/>
      <c r="V2780" s="6"/>
      <c r="W2780" s="35">
        <v>29.734846</v>
      </c>
      <c r="X2780" s="35">
        <v>-95.51494</v>
      </c>
      <c r="AA2780" s="33"/>
      <c r="AB2780" s="33"/>
      <c r="AC2780" s="33"/>
      <c r="AD2780" s="33"/>
      <c r="AE2780" s="33"/>
      <c r="AF2780" s="33"/>
      <c r="AG2780" s="33"/>
      <c r="AH2780" s="33"/>
      <c r="AI2780" s="33"/>
      <c r="AJ2780" s="33"/>
      <c r="AK2780" s="33"/>
      <c r="AL2780" s="33"/>
      <c r="AM2780" s="33"/>
      <c r="AN2780" s="33"/>
      <c r="AO2780" s="33"/>
    </row>
    <row r="2781" ht="15.75" customHeight="1">
      <c r="A2781" s="23">
        <v>52601.0</v>
      </c>
      <c r="B2781" s="23">
        <v>2023.0</v>
      </c>
      <c r="C2781" s="36" t="str">
        <f t="shared" si="7"/>
        <v>2617 CANAL ST,Houston,TX</v>
      </c>
      <c r="D2781" s="23" t="s">
        <v>3742</v>
      </c>
      <c r="E2781" s="23" t="s">
        <v>25</v>
      </c>
      <c r="F2781" s="23" t="s">
        <v>1388</v>
      </c>
      <c r="G2781" s="31" t="s">
        <v>76</v>
      </c>
      <c r="H2781" s="23" t="s">
        <v>50</v>
      </c>
      <c r="I2781" s="37" t="str">
        <f>VLOOKUP(H2781,'Flow Location'!$A$1:$B$21,2,FALSE)</f>
        <v>Contained On Site, not within 5 ft. of Bayou/Surface Water/Drainage Ditch</v>
      </c>
      <c r="J2781" s="28">
        <v>0.0</v>
      </c>
      <c r="K2781" s="23" t="s">
        <v>45</v>
      </c>
      <c r="L2781" s="37" t="str">
        <f>VLOOKUP(K2781,'Structure type'!$A$1:$B$15,2,FALSE)</f>
        <v>City Cleanout</v>
      </c>
      <c r="M2781" s="23" t="s">
        <v>52</v>
      </c>
      <c r="N2781" s="23" t="str">
        <f>VLOOKUP(M2781,'Excursion Cause'!$A$1:$B$34,2,FALSE)</f>
        <v>Collection system structural blockage</v>
      </c>
      <c r="O2781" s="29">
        <v>45093.0</v>
      </c>
      <c r="P2781" s="30">
        <v>0.41180555555555554</v>
      </c>
      <c r="Q2781" s="29">
        <v>45093.0</v>
      </c>
      <c r="R2781" s="30">
        <v>0.4125</v>
      </c>
      <c r="S2781" s="28">
        <v>0.0</v>
      </c>
      <c r="T2781" s="23" t="s">
        <v>270</v>
      </c>
      <c r="U2781" s="6"/>
      <c r="V2781" s="6"/>
      <c r="W2781" s="35">
        <v>29.7564126</v>
      </c>
      <c r="X2781" s="35">
        <v>-95.3437819999999</v>
      </c>
      <c r="AA2781" s="33"/>
      <c r="AB2781" s="33"/>
      <c r="AC2781" s="33"/>
      <c r="AD2781" s="33"/>
      <c r="AE2781" s="33"/>
      <c r="AF2781" s="33"/>
      <c r="AG2781" s="33"/>
      <c r="AH2781" s="33"/>
      <c r="AI2781" s="33"/>
      <c r="AJ2781" s="33"/>
      <c r="AK2781" s="33"/>
      <c r="AL2781" s="33"/>
      <c r="AM2781" s="33"/>
      <c r="AN2781" s="33"/>
      <c r="AO2781" s="33"/>
    </row>
    <row r="2782" ht="15.75" customHeight="1">
      <c r="A2782" s="23">
        <v>52606.0</v>
      </c>
      <c r="B2782" s="23">
        <v>2023.0</v>
      </c>
      <c r="C2782" s="36" t="str">
        <f t="shared" si="7"/>
        <v>414 LINDALE ST,Houston,TX</v>
      </c>
      <c r="D2782" s="23" t="s">
        <v>4045</v>
      </c>
      <c r="E2782" s="23" t="s">
        <v>25</v>
      </c>
      <c r="F2782" s="23" t="s">
        <v>1388</v>
      </c>
      <c r="G2782" s="31" t="s">
        <v>109</v>
      </c>
      <c r="H2782" s="23" t="s">
        <v>50</v>
      </c>
      <c r="I2782" s="37" t="str">
        <f>VLOOKUP(H2782,'Flow Location'!$A$1:$B$21,2,FALSE)</f>
        <v>Contained On Site, not within 5 ft. of Bayou/Surface Water/Drainage Ditch</v>
      </c>
      <c r="J2782" s="28">
        <v>0.0</v>
      </c>
      <c r="K2782" s="23" t="s">
        <v>198</v>
      </c>
      <c r="L2782" s="37" t="str">
        <f>VLOOKUP(K2782,'Structure type'!$A$1:$B$15,2,FALSE)</f>
        <v>Service Lateral</v>
      </c>
      <c r="M2782" s="23" t="s">
        <v>81</v>
      </c>
      <c r="N2782" s="23" t="str">
        <f>VLOOKUP(M2782,'Excursion Cause'!$A$1:$B$34,2,FALSE)</f>
        <v>Collection system structural failure</v>
      </c>
      <c r="O2782" s="29">
        <v>45093.0</v>
      </c>
      <c r="P2782" s="30">
        <v>0.6215277777777778</v>
      </c>
      <c r="Q2782" s="29">
        <v>45093.0</v>
      </c>
      <c r="R2782" s="30">
        <v>0.6222222222222222</v>
      </c>
      <c r="S2782" s="28">
        <v>0.0</v>
      </c>
      <c r="T2782" s="23" t="s">
        <v>270</v>
      </c>
      <c r="U2782" s="6"/>
      <c r="V2782" s="6"/>
      <c r="W2782" s="35">
        <v>29.8178157</v>
      </c>
      <c r="X2782" s="35">
        <v>-95.3665073</v>
      </c>
      <c r="AA2782" s="33"/>
      <c r="AB2782" s="33"/>
      <c r="AC2782" s="33"/>
      <c r="AD2782" s="33"/>
      <c r="AE2782" s="33"/>
      <c r="AF2782" s="33"/>
      <c r="AG2782" s="33"/>
      <c r="AH2782" s="33"/>
      <c r="AI2782" s="33"/>
      <c r="AJ2782" s="33"/>
      <c r="AK2782" s="33"/>
      <c r="AL2782" s="33"/>
      <c r="AM2782" s="33"/>
      <c r="AN2782" s="33"/>
      <c r="AO2782" s="33"/>
    </row>
    <row r="2783" ht="15.75" customHeight="1">
      <c r="A2783" s="23">
        <v>52608.0</v>
      </c>
      <c r="B2783" s="23">
        <v>2023.0</v>
      </c>
      <c r="C2783" s="36" t="str">
        <f t="shared" si="7"/>
        <v>7210 LOOP FWY,Houston,TX</v>
      </c>
      <c r="D2783" s="23" t="s">
        <v>4046</v>
      </c>
      <c r="E2783" s="23" t="s">
        <v>25</v>
      </c>
      <c r="F2783" s="23" t="s">
        <v>1388</v>
      </c>
      <c r="G2783" s="31" t="s">
        <v>189</v>
      </c>
      <c r="H2783" s="23" t="s">
        <v>28</v>
      </c>
      <c r="I2783" s="37" t="str">
        <f>VLOOKUP(H2783,'Flow Location'!$A$1:$B$21,2,FALSE)</f>
        <v>Storm Sewer (not contained)</v>
      </c>
      <c r="J2783" s="28">
        <v>2894.0</v>
      </c>
      <c r="K2783" s="23" t="s">
        <v>29</v>
      </c>
      <c r="L2783" s="37" t="str">
        <f>VLOOKUP(K2783,'Structure type'!$A$1:$B$15,2,FALSE)</f>
        <v>Manhole</v>
      </c>
      <c r="M2783" s="23" t="s">
        <v>81</v>
      </c>
      <c r="N2783" s="23" t="str">
        <f>VLOOKUP(M2783,'Excursion Cause'!$A$1:$B$34,2,FALSE)</f>
        <v>Collection system structural failure</v>
      </c>
      <c r="O2783" s="29">
        <v>45093.0</v>
      </c>
      <c r="P2783" s="30">
        <v>0.7006944444444444</v>
      </c>
      <c r="Q2783" s="29">
        <v>45094.0</v>
      </c>
      <c r="R2783" s="30">
        <v>0.7055555555555556</v>
      </c>
      <c r="S2783" s="28">
        <v>2.0</v>
      </c>
      <c r="T2783" s="23" t="s">
        <v>270</v>
      </c>
      <c r="U2783" s="6"/>
      <c r="V2783" s="6"/>
      <c r="W2783" s="35">
        <v>29.7365402</v>
      </c>
      <c r="X2783" s="35">
        <v>-95.2662486</v>
      </c>
      <c r="AA2783" s="33"/>
      <c r="AB2783" s="33"/>
      <c r="AC2783" s="33"/>
      <c r="AD2783" s="33"/>
      <c r="AE2783" s="33"/>
      <c r="AF2783" s="33"/>
      <c r="AG2783" s="33"/>
      <c r="AH2783" s="33"/>
      <c r="AI2783" s="33"/>
      <c r="AJ2783" s="33"/>
      <c r="AK2783" s="33"/>
      <c r="AL2783" s="33"/>
      <c r="AM2783" s="33"/>
      <c r="AN2783" s="33"/>
      <c r="AO2783" s="33"/>
    </row>
    <row r="2784" ht="15.75" customHeight="1">
      <c r="A2784" s="23">
        <v>52610.0</v>
      </c>
      <c r="B2784" s="23">
        <v>2023.0</v>
      </c>
      <c r="C2784" s="36" t="str">
        <f t="shared" si="7"/>
        <v>872 BETTINA CT,Houston,TX</v>
      </c>
      <c r="D2784" s="23" t="s">
        <v>4047</v>
      </c>
      <c r="E2784" s="23" t="s">
        <v>25</v>
      </c>
      <c r="F2784" s="23" t="s">
        <v>1388</v>
      </c>
      <c r="G2784" s="31" t="s">
        <v>141</v>
      </c>
      <c r="H2784" s="23" t="s">
        <v>1493</v>
      </c>
      <c r="I2784" s="37" t="str">
        <f>VLOOKUP(H2784,'Flow Location'!$A$1:$B$21,2,FALSE)</f>
        <v>Contained On Site, not within 5 ft. of Bayou/Surface Water/Drainage Ditch</v>
      </c>
      <c r="J2784" s="28">
        <v>172.0</v>
      </c>
      <c r="K2784" s="23" t="s">
        <v>29</v>
      </c>
      <c r="L2784" s="37" t="str">
        <f>VLOOKUP(K2784,'Structure type'!$A$1:$B$15,2,FALSE)</f>
        <v>Manhole</v>
      </c>
      <c r="M2784" s="23" t="s">
        <v>30</v>
      </c>
      <c r="N2784" s="23" t="str">
        <f>VLOOKUP(M2784,'Excursion Cause'!$A$1:$B$34,2,FALSE)</f>
        <v>Grease Blockage</v>
      </c>
      <c r="O2784" s="29">
        <v>45094.0</v>
      </c>
      <c r="P2784" s="30">
        <v>0.5444444444444444</v>
      </c>
      <c r="Q2784" s="29">
        <v>45094.0</v>
      </c>
      <c r="R2784" s="30">
        <v>0.6041666666666666</v>
      </c>
      <c r="S2784" s="28">
        <v>2.0</v>
      </c>
      <c r="T2784" s="23" t="s">
        <v>270</v>
      </c>
      <c r="U2784" s="6"/>
      <c r="V2784" s="6"/>
      <c r="W2784" s="35">
        <v>29.7763776</v>
      </c>
      <c r="X2784" s="35">
        <v>-95.5388437</v>
      </c>
      <c r="AA2784" s="33"/>
      <c r="AB2784" s="33"/>
      <c r="AC2784" s="33"/>
      <c r="AD2784" s="33"/>
      <c r="AE2784" s="33"/>
      <c r="AF2784" s="33"/>
      <c r="AG2784" s="33"/>
      <c r="AH2784" s="33"/>
      <c r="AI2784" s="33"/>
      <c r="AJ2784" s="33"/>
      <c r="AK2784" s="33"/>
      <c r="AL2784" s="33"/>
      <c r="AM2784" s="33"/>
      <c r="AN2784" s="33"/>
      <c r="AO2784" s="33"/>
    </row>
    <row r="2785" ht="15.75" customHeight="1">
      <c r="A2785" s="23">
        <v>52613.0</v>
      </c>
      <c r="B2785" s="23">
        <v>2023.0</v>
      </c>
      <c r="C2785" s="36" t="str">
        <f t="shared" si="7"/>
        <v>6121 FUQUA ST,Houston,TX</v>
      </c>
      <c r="D2785" s="23" t="s">
        <v>4048</v>
      </c>
      <c r="E2785" s="23" t="s">
        <v>25</v>
      </c>
      <c r="F2785" s="23" t="s">
        <v>1388</v>
      </c>
      <c r="G2785" s="31" t="s">
        <v>161</v>
      </c>
      <c r="H2785" s="23" t="s">
        <v>50</v>
      </c>
      <c r="I2785" s="37" t="str">
        <f>VLOOKUP(H2785,'Flow Location'!$A$1:$B$21,2,FALSE)</f>
        <v>Contained On Site, not within 5 ft. of Bayou/Surface Water/Drainage Ditch</v>
      </c>
      <c r="J2785" s="28">
        <v>0.0</v>
      </c>
      <c r="K2785" s="23" t="s">
        <v>45</v>
      </c>
      <c r="L2785" s="37" t="str">
        <f>VLOOKUP(K2785,'Structure type'!$A$1:$B$15,2,FALSE)</f>
        <v>City Cleanout</v>
      </c>
      <c r="M2785" s="23" t="s">
        <v>56</v>
      </c>
      <c r="N2785" s="23" t="str">
        <f>VLOOKUP(M2785,'Excursion Cause'!$A$1:$B$34,2,FALSE)</f>
        <v>Rags/Wipes</v>
      </c>
      <c r="O2785" s="29">
        <v>45094.0</v>
      </c>
      <c r="P2785" s="30">
        <v>0.3659722222222222</v>
      </c>
      <c r="Q2785" s="29">
        <v>45094.0</v>
      </c>
      <c r="R2785" s="30">
        <v>0.36666666666666664</v>
      </c>
      <c r="S2785" s="28">
        <v>0.0</v>
      </c>
      <c r="T2785" s="23" t="s">
        <v>270</v>
      </c>
      <c r="U2785" s="6"/>
      <c r="V2785" s="6"/>
      <c r="W2785" s="35">
        <v>29.6123854</v>
      </c>
      <c r="X2785" s="35">
        <v>-95.313177</v>
      </c>
      <c r="AA2785" s="33"/>
      <c r="AB2785" s="33"/>
      <c r="AC2785" s="33"/>
      <c r="AD2785" s="33"/>
      <c r="AE2785" s="33"/>
      <c r="AF2785" s="33"/>
      <c r="AG2785" s="33"/>
      <c r="AH2785" s="33"/>
      <c r="AI2785" s="33"/>
      <c r="AJ2785" s="33"/>
      <c r="AK2785" s="33"/>
      <c r="AL2785" s="33"/>
      <c r="AM2785" s="33"/>
      <c r="AN2785" s="33"/>
      <c r="AO2785" s="33"/>
    </row>
    <row r="2786" ht="15.75" customHeight="1">
      <c r="A2786" s="23">
        <v>52612.0</v>
      </c>
      <c r="B2786" s="23">
        <v>2023.0</v>
      </c>
      <c r="C2786" s="36" t="str">
        <f t="shared" si="7"/>
        <v>4910 ALLENDALE RD,Houston,TX</v>
      </c>
      <c r="D2786" s="23" t="s">
        <v>1034</v>
      </c>
      <c r="E2786" s="23" t="s">
        <v>25</v>
      </c>
      <c r="F2786" s="23" t="s">
        <v>1388</v>
      </c>
      <c r="G2786" s="31" t="s">
        <v>158</v>
      </c>
      <c r="H2786" s="23" t="s">
        <v>50</v>
      </c>
      <c r="I2786" s="37" t="str">
        <f>VLOOKUP(H2786,'Flow Location'!$A$1:$B$21,2,FALSE)</f>
        <v>Contained On Site, not within 5 ft. of Bayou/Surface Water/Drainage Ditch</v>
      </c>
      <c r="J2786" s="28">
        <v>459.0</v>
      </c>
      <c r="K2786" s="23" t="s">
        <v>29</v>
      </c>
      <c r="L2786" s="37" t="str">
        <f>VLOOKUP(K2786,'Structure type'!$A$1:$B$15,2,FALSE)</f>
        <v>Manhole</v>
      </c>
      <c r="M2786" s="23" t="s">
        <v>56</v>
      </c>
      <c r="N2786" s="23" t="str">
        <f>VLOOKUP(M2786,'Excursion Cause'!$A$1:$B$34,2,FALSE)</f>
        <v>Rags/Wipes</v>
      </c>
      <c r="O2786" s="29">
        <v>45095.0</v>
      </c>
      <c r="P2786" s="30">
        <v>0.38125</v>
      </c>
      <c r="Q2786" s="29">
        <v>45095.0</v>
      </c>
      <c r="R2786" s="30">
        <v>0.4875</v>
      </c>
      <c r="S2786" s="28">
        <v>3.0</v>
      </c>
      <c r="T2786" s="23" t="s">
        <v>270</v>
      </c>
      <c r="U2786" s="6"/>
      <c r="V2786" s="6"/>
      <c r="W2786" s="35">
        <v>29.6805485</v>
      </c>
      <c r="X2786" s="35">
        <v>-95.248531</v>
      </c>
      <c r="AA2786" s="33"/>
      <c r="AB2786" s="33"/>
      <c r="AC2786" s="33"/>
      <c r="AD2786" s="33"/>
      <c r="AE2786" s="33"/>
      <c r="AF2786" s="33"/>
      <c r="AG2786" s="33"/>
      <c r="AH2786" s="33"/>
      <c r="AI2786" s="33"/>
      <c r="AJ2786" s="33"/>
      <c r="AK2786" s="33"/>
      <c r="AL2786" s="33"/>
      <c r="AM2786" s="33"/>
      <c r="AN2786" s="33"/>
      <c r="AO2786" s="33"/>
    </row>
    <row r="2787" ht="15.75" customHeight="1">
      <c r="A2787" s="23">
        <v>52615.0</v>
      </c>
      <c r="B2787" s="23">
        <v>2023.0</v>
      </c>
      <c r="C2787" s="36" t="str">
        <f t="shared" si="7"/>
        <v>10940 MEADOWGLEN LN,Houston,TX</v>
      </c>
      <c r="D2787" s="23" t="s">
        <v>4049</v>
      </c>
      <c r="E2787" s="23" t="s">
        <v>25</v>
      </c>
      <c r="F2787" s="23" t="s">
        <v>1388</v>
      </c>
      <c r="G2787" s="31" t="s">
        <v>76</v>
      </c>
      <c r="H2787" s="23" t="s">
        <v>28</v>
      </c>
      <c r="I2787" s="37" t="str">
        <f>VLOOKUP(H2787,'Flow Location'!$A$1:$B$21,2,FALSE)</f>
        <v>Storm Sewer (not contained)</v>
      </c>
      <c r="J2787" s="28">
        <v>312.0</v>
      </c>
      <c r="K2787" s="23" t="s">
        <v>198</v>
      </c>
      <c r="L2787" s="37" t="str">
        <f>VLOOKUP(K2787,'Structure type'!$A$1:$B$15,2,FALSE)</f>
        <v>Service Lateral</v>
      </c>
      <c r="M2787" s="23" t="s">
        <v>30</v>
      </c>
      <c r="N2787" s="23" t="str">
        <f>VLOOKUP(M2787,'Excursion Cause'!$A$1:$B$34,2,FALSE)</f>
        <v>Grease Blockage</v>
      </c>
      <c r="O2787" s="29">
        <v>45095.0</v>
      </c>
      <c r="P2787" s="30">
        <v>0.5229166666666667</v>
      </c>
      <c r="Q2787" s="29">
        <v>45095.0</v>
      </c>
      <c r="R2787" s="30">
        <v>0.5770833333333333</v>
      </c>
      <c r="S2787" s="28">
        <v>4.0</v>
      </c>
      <c r="T2787" s="23" t="s">
        <v>270</v>
      </c>
      <c r="U2787" s="6"/>
      <c r="V2787" s="6"/>
      <c r="W2787" s="35">
        <v>29.7336531</v>
      </c>
      <c r="X2787" s="35">
        <v>-95.569481</v>
      </c>
      <c r="AA2787" s="33"/>
      <c r="AB2787" s="33"/>
      <c r="AC2787" s="33"/>
      <c r="AD2787" s="33"/>
      <c r="AE2787" s="33"/>
      <c r="AF2787" s="33"/>
      <c r="AG2787" s="33"/>
      <c r="AH2787" s="33"/>
      <c r="AI2787" s="33"/>
      <c r="AJ2787" s="33"/>
      <c r="AK2787" s="33"/>
      <c r="AL2787" s="33"/>
      <c r="AM2787" s="33"/>
      <c r="AN2787" s="33"/>
      <c r="AO2787" s="33"/>
    </row>
    <row r="2788" ht="15.75" customHeight="1">
      <c r="A2788" s="23">
        <v>52625.0</v>
      </c>
      <c r="B2788" s="23">
        <v>2023.0</v>
      </c>
      <c r="C2788" s="36" t="str">
        <f t="shared" si="7"/>
        <v>6768 RENWICK DR,Houston,TX</v>
      </c>
      <c r="D2788" s="23" t="s">
        <v>1231</v>
      </c>
      <c r="E2788" s="23" t="s">
        <v>25</v>
      </c>
      <c r="F2788" s="23" t="s">
        <v>1388</v>
      </c>
      <c r="G2788" s="31" t="s">
        <v>109</v>
      </c>
      <c r="H2788" s="23" t="s">
        <v>50</v>
      </c>
      <c r="I2788" s="37" t="str">
        <f>VLOOKUP(H2788,'Flow Location'!$A$1:$B$21,2,FALSE)</f>
        <v>Contained On Site, not within 5 ft. of Bayou/Surface Water/Drainage Ditch</v>
      </c>
      <c r="J2788" s="28">
        <v>0.0</v>
      </c>
      <c r="K2788" s="23" t="s">
        <v>45</v>
      </c>
      <c r="L2788" s="37" t="str">
        <f>VLOOKUP(K2788,'Structure type'!$A$1:$B$15,2,FALSE)</f>
        <v>City Cleanout</v>
      </c>
      <c r="M2788" s="23" t="s">
        <v>30</v>
      </c>
      <c r="N2788" s="23" t="str">
        <f>VLOOKUP(M2788,'Excursion Cause'!$A$1:$B$34,2,FALSE)</f>
        <v>Grease Blockage</v>
      </c>
      <c r="O2788" s="29">
        <v>45097.0</v>
      </c>
      <c r="P2788" s="30">
        <v>0.4125</v>
      </c>
      <c r="Q2788" s="29">
        <v>45097.0</v>
      </c>
      <c r="R2788" s="30">
        <v>0.4131944444444444</v>
      </c>
      <c r="S2788" s="28">
        <v>0.0</v>
      </c>
      <c r="T2788" s="23" t="s">
        <v>270</v>
      </c>
      <c r="U2788" s="6"/>
      <c r="V2788" s="6"/>
      <c r="W2788" s="35">
        <v>29.7060684</v>
      </c>
      <c r="X2788" s="35">
        <v>-95.4850929999999</v>
      </c>
      <c r="AA2788" s="33"/>
      <c r="AB2788" s="33"/>
      <c r="AC2788" s="33"/>
      <c r="AD2788" s="33"/>
      <c r="AE2788" s="33"/>
      <c r="AF2788" s="33"/>
      <c r="AG2788" s="33"/>
      <c r="AH2788" s="33"/>
      <c r="AI2788" s="33"/>
      <c r="AJ2788" s="33"/>
      <c r="AK2788" s="33"/>
      <c r="AL2788" s="33"/>
      <c r="AM2788" s="33"/>
      <c r="AN2788" s="33"/>
      <c r="AO2788" s="33"/>
    </row>
    <row r="2789" ht="15.75" customHeight="1">
      <c r="A2789" s="23">
        <v>52631.0</v>
      </c>
      <c r="B2789" s="23">
        <v>2023.0</v>
      </c>
      <c r="C2789" s="36" t="str">
        <f t="shared" si="7"/>
        <v>405 WOOLWORTH ST,Houston,TX</v>
      </c>
      <c r="D2789" s="23" t="s">
        <v>4050</v>
      </c>
      <c r="E2789" s="23" t="s">
        <v>25</v>
      </c>
      <c r="F2789" s="23" t="s">
        <v>1388</v>
      </c>
      <c r="G2789" s="31" t="s">
        <v>161</v>
      </c>
      <c r="H2789" s="23" t="s">
        <v>50</v>
      </c>
      <c r="I2789" s="37" t="str">
        <f>VLOOKUP(H2789,'Flow Location'!$A$1:$B$21,2,FALSE)</f>
        <v>Contained On Site, not within 5 ft. of Bayou/Surface Water/Drainage Ditch</v>
      </c>
      <c r="J2789" s="28">
        <v>0.0</v>
      </c>
      <c r="K2789" s="23" t="s">
        <v>45</v>
      </c>
      <c r="L2789" s="37" t="str">
        <f>VLOOKUP(K2789,'Structure type'!$A$1:$B$15,2,FALSE)</f>
        <v>City Cleanout</v>
      </c>
      <c r="M2789" s="23" t="s">
        <v>56</v>
      </c>
      <c r="N2789" s="23" t="str">
        <f>VLOOKUP(M2789,'Excursion Cause'!$A$1:$B$34,2,FALSE)</f>
        <v>Rags/Wipes</v>
      </c>
      <c r="O2789" s="29">
        <v>45097.0</v>
      </c>
      <c r="P2789" s="30">
        <v>0.6645833333333333</v>
      </c>
      <c r="Q2789" s="29">
        <v>45097.0</v>
      </c>
      <c r="R2789" s="30">
        <v>0.6652777777777777</v>
      </c>
      <c r="S2789" s="28">
        <v>0.0</v>
      </c>
      <c r="T2789" s="23" t="s">
        <v>270</v>
      </c>
      <c r="U2789" s="6"/>
      <c r="V2789" s="6"/>
      <c r="W2789" s="35">
        <v>29.7817022</v>
      </c>
      <c r="X2789" s="35">
        <v>-95.3082161999999</v>
      </c>
      <c r="AA2789" s="33"/>
      <c r="AB2789" s="33"/>
      <c r="AC2789" s="33"/>
      <c r="AD2789" s="33"/>
      <c r="AE2789" s="33"/>
      <c r="AF2789" s="33"/>
      <c r="AG2789" s="33"/>
      <c r="AH2789" s="33"/>
      <c r="AI2789" s="33"/>
      <c r="AJ2789" s="33"/>
      <c r="AK2789" s="33"/>
      <c r="AL2789" s="33"/>
      <c r="AM2789" s="33"/>
      <c r="AN2789" s="33"/>
      <c r="AO2789" s="33"/>
    </row>
    <row r="2790" ht="15.75" customHeight="1">
      <c r="A2790" s="23">
        <v>52633.0</v>
      </c>
      <c r="B2790" s="23">
        <v>2023.0</v>
      </c>
      <c r="C2790" s="36" t="str">
        <f t="shared" si="7"/>
        <v>8502 GREENBUSH ST,Houston,TX</v>
      </c>
      <c r="D2790" s="23" t="s">
        <v>4051</v>
      </c>
      <c r="E2790" s="23" t="s">
        <v>25</v>
      </c>
      <c r="F2790" s="23" t="s">
        <v>1388</v>
      </c>
      <c r="G2790" s="31" t="s">
        <v>211</v>
      </c>
      <c r="H2790" s="23" t="s">
        <v>50</v>
      </c>
      <c r="I2790" s="37" t="str">
        <f>VLOOKUP(H2790,'Flow Location'!$A$1:$B$21,2,FALSE)</f>
        <v>Contained On Site, not within 5 ft. of Bayou/Surface Water/Drainage Ditch</v>
      </c>
      <c r="J2790" s="28">
        <v>424.0</v>
      </c>
      <c r="K2790" s="23" t="s">
        <v>29</v>
      </c>
      <c r="L2790" s="37" t="str">
        <f>VLOOKUP(K2790,'Structure type'!$A$1:$B$15,2,FALSE)</f>
        <v>Manhole</v>
      </c>
      <c r="M2790" s="23" t="s">
        <v>52</v>
      </c>
      <c r="N2790" s="23" t="str">
        <f>VLOOKUP(M2790,'Excursion Cause'!$A$1:$B$34,2,FALSE)</f>
        <v>Collection system structural blockage</v>
      </c>
      <c r="O2790" s="29">
        <v>45098.0</v>
      </c>
      <c r="P2790" s="30">
        <v>0.34930555555555554</v>
      </c>
      <c r="Q2790" s="29">
        <v>45098.0</v>
      </c>
      <c r="R2790" s="30">
        <v>0.4965277777777778</v>
      </c>
      <c r="S2790" s="28">
        <v>2.0</v>
      </c>
      <c r="T2790" s="23" t="s">
        <v>270</v>
      </c>
      <c r="U2790" s="6"/>
      <c r="V2790" s="6"/>
      <c r="W2790" s="35">
        <v>29.689305</v>
      </c>
      <c r="X2790" s="35">
        <v>-95.4245838</v>
      </c>
      <c r="AA2790" s="33"/>
      <c r="AB2790" s="33"/>
      <c r="AC2790" s="33"/>
      <c r="AD2790" s="33"/>
      <c r="AE2790" s="33"/>
      <c r="AF2790" s="33"/>
      <c r="AG2790" s="33"/>
      <c r="AH2790" s="33"/>
      <c r="AI2790" s="33"/>
      <c r="AJ2790" s="33"/>
      <c r="AK2790" s="33"/>
      <c r="AL2790" s="33"/>
      <c r="AM2790" s="33"/>
      <c r="AN2790" s="33"/>
      <c r="AO2790" s="33"/>
    </row>
    <row r="2791" ht="15.75" customHeight="1">
      <c r="A2791" s="23">
        <v>52640.0</v>
      </c>
      <c r="B2791" s="23">
        <v>2023.0</v>
      </c>
      <c r="C2791" s="36" t="str">
        <f t="shared" si="7"/>
        <v>6000 GULF FWY,Houston,TX</v>
      </c>
      <c r="D2791" s="23" t="s">
        <v>3800</v>
      </c>
      <c r="E2791" s="23" t="s">
        <v>25</v>
      </c>
      <c r="F2791" s="23" t="s">
        <v>1388</v>
      </c>
      <c r="G2791" s="31" t="s">
        <v>214</v>
      </c>
      <c r="H2791" s="23" t="s">
        <v>28</v>
      </c>
      <c r="I2791" s="37" t="str">
        <f>VLOOKUP(H2791,'Flow Location'!$A$1:$B$21,2,FALSE)</f>
        <v>Storm Sewer (not contained)</v>
      </c>
      <c r="J2791" s="28">
        <v>296.0</v>
      </c>
      <c r="K2791" s="23" t="s">
        <v>51</v>
      </c>
      <c r="L2791" s="37" t="str">
        <f>VLOOKUP(K2791,'Structure type'!$A$1:$B$15,2,FALSE)</f>
        <v>Private Cleanout</v>
      </c>
      <c r="M2791" s="23" t="s">
        <v>81</v>
      </c>
      <c r="N2791" s="23" t="str">
        <f>VLOOKUP(M2791,'Excursion Cause'!$A$1:$B$34,2,FALSE)</f>
        <v>Collection system structural failure</v>
      </c>
      <c r="O2791" s="29">
        <v>45098.0</v>
      </c>
      <c r="P2791" s="30">
        <v>0.6666666666666666</v>
      </c>
      <c r="Q2791" s="29">
        <v>45098.0</v>
      </c>
      <c r="R2791" s="30">
        <v>0.7694444444444445</v>
      </c>
      <c r="S2791" s="28">
        <v>2.0</v>
      </c>
      <c r="T2791" s="23" t="s">
        <v>270</v>
      </c>
      <c r="U2791" s="6"/>
      <c r="V2791" s="6"/>
      <c r="W2791" s="35">
        <v>29.7128475</v>
      </c>
      <c r="X2791" s="35">
        <v>-95.3134769999999</v>
      </c>
      <c r="AA2791" s="33"/>
      <c r="AB2791" s="33"/>
      <c r="AC2791" s="33"/>
      <c r="AD2791" s="33"/>
      <c r="AE2791" s="33"/>
      <c r="AF2791" s="33"/>
      <c r="AG2791" s="33"/>
      <c r="AH2791" s="33"/>
      <c r="AI2791" s="33"/>
      <c r="AJ2791" s="33"/>
      <c r="AK2791" s="33"/>
      <c r="AL2791" s="33"/>
      <c r="AM2791" s="33"/>
      <c r="AN2791" s="33"/>
      <c r="AO2791" s="33"/>
    </row>
    <row r="2792" ht="15.75" customHeight="1">
      <c r="A2792" s="23">
        <v>52664.0</v>
      </c>
      <c r="B2792" s="23">
        <v>2023.0</v>
      </c>
      <c r="C2792" s="36" t="str">
        <f t="shared" si="7"/>
        <v>4119 TAVENOR LN,Houston,TX</v>
      </c>
      <c r="D2792" s="23" t="s">
        <v>4052</v>
      </c>
      <c r="E2792" s="23" t="s">
        <v>25</v>
      </c>
      <c r="F2792" s="23" t="s">
        <v>1388</v>
      </c>
      <c r="G2792" s="31" t="s">
        <v>218</v>
      </c>
      <c r="H2792" s="23" t="s">
        <v>50</v>
      </c>
      <c r="I2792" s="37" t="str">
        <f>VLOOKUP(H2792,'Flow Location'!$A$1:$B$21,2,FALSE)</f>
        <v>Contained On Site, not within 5 ft. of Bayou/Surface Water/Drainage Ditch</v>
      </c>
      <c r="J2792" s="28">
        <v>0.0</v>
      </c>
      <c r="K2792" s="23" t="s">
        <v>45</v>
      </c>
      <c r="L2792" s="37" t="str">
        <f>VLOOKUP(K2792,'Structure type'!$A$1:$B$15,2,FALSE)</f>
        <v>City Cleanout</v>
      </c>
      <c r="M2792" s="23" t="s">
        <v>56</v>
      </c>
      <c r="N2792" s="23" t="str">
        <f>VLOOKUP(M2792,'Excursion Cause'!$A$1:$B$34,2,FALSE)</f>
        <v>Rags/Wipes</v>
      </c>
      <c r="O2792" s="29">
        <v>45098.0</v>
      </c>
      <c r="P2792" s="30">
        <v>0.5326388888888889</v>
      </c>
      <c r="Q2792" s="29">
        <v>45098.0</v>
      </c>
      <c r="R2792" s="30">
        <v>0.5333333333333333</v>
      </c>
      <c r="S2792" s="28">
        <v>0.0</v>
      </c>
      <c r="T2792" s="23" t="s">
        <v>270</v>
      </c>
      <c r="U2792" s="6"/>
      <c r="V2792" s="6"/>
      <c r="W2792" s="35">
        <v>29.6339641</v>
      </c>
      <c r="X2792" s="35">
        <v>-95.3622042</v>
      </c>
      <c r="AA2792" s="33"/>
      <c r="AB2792" s="33"/>
      <c r="AC2792" s="33"/>
      <c r="AD2792" s="33"/>
      <c r="AE2792" s="33"/>
      <c r="AF2792" s="33"/>
      <c r="AG2792" s="33"/>
      <c r="AH2792" s="33"/>
      <c r="AI2792" s="33"/>
      <c r="AJ2792" s="33"/>
      <c r="AK2792" s="33"/>
      <c r="AL2792" s="33"/>
      <c r="AM2792" s="33"/>
      <c r="AN2792" s="33"/>
      <c r="AO2792" s="33"/>
    </row>
    <row r="2793" ht="15.75" customHeight="1">
      <c r="A2793" s="23">
        <v>52642.0</v>
      </c>
      <c r="B2793" s="23">
        <v>2023.0</v>
      </c>
      <c r="C2793" s="36" t="str">
        <f t="shared" si="7"/>
        <v>11717 KIRKWOOD RD,Houston,TX</v>
      </c>
      <c r="D2793" s="23" t="s">
        <v>4053</v>
      </c>
      <c r="E2793" s="23" t="s">
        <v>25</v>
      </c>
      <c r="F2793" s="23" t="s">
        <v>1388</v>
      </c>
      <c r="G2793" s="31" t="s">
        <v>222</v>
      </c>
      <c r="H2793" s="23" t="s">
        <v>28</v>
      </c>
      <c r="I2793" s="37" t="str">
        <f>VLOOKUP(H2793,'Flow Location'!$A$1:$B$21,2,FALSE)</f>
        <v>Storm Sewer (not contained)</v>
      </c>
      <c r="J2793" s="28">
        <v>660.0</v>
      </c>
      <c r="K2793" s="23" t="s">
        <v>29</v>
      </c>
      <c r="L2793" s="37" t="str">
        <f>VLOOKUP(K2793,'Structure type'!$A$1:$B$15,2,FALSE)</f>
        <v>Manhole</v>
      </c>
      <c r="M2793" s="23" t="s">
        <v>30</v>
      </c>
      <c r="N2793" s="23" t="str">
        <f>VLOOKUP(M2793,'Excursion Cause'!$A$1:$B$34,2,FALSE)</f>
        <v>Grease Blockage</v>
      </c>
      <c r="O2793" s="29">
        <v>45099.0</v>
      </c>
      <c r="P2793" s="30">
        <v>0.42777777777777776</v>
      </c>
      <c r="Q2793" s="29">
        <v>45099.0</v>
      </c>
      <c r="R2793" s="30">
        <v>0.6569444444444444</v>
      </c>
      <c r="S2793" s="28">
        <v>2.0</v>
      </c>
      <c r="T2793" s="23" t="s">
        <v>270</v>
      </c>
      <c r="U2793" s="6"/>
      <c r="V2793" s="6"/>
      <c r="W2793" s="35">
        <v>29.6551886</v>
      </c>
      <c r="X2793" s="35">
        <v>-95.5825279</v>
      </c>
      <c r="AA2793" s="33"/>
      <c r="AB2793" s="33"/>
      <c r="AC2793" s="33"/>
      <c r="AD2793" s="33"/>
      <c r="AE2793" s="33"/>
      <c r="AF2793" s="33"/>
      <c r="AG2793" s="33"/>
      <c r="AH2793" s="33"/>
      <c r="AI2793" s="33"/>
      <c r="AJ2793" s="33"/>
      <c r="AK2793" s="33"/>
      <c r="AL2793" s="33"/>
      <c r="AM2793" s="33"/>
      <c r="AN2793" s="33"/>
      <c r="AO2793" s="33"/>
    </row>
    <row r="2794" ht="15.75" customHeight="1">
      <c r="A2794" s="23">
        <v>52651.0</v>
      </c>
      <c r="B2794" s="23">
        <v>2023.0</v>
      </c>
      <c r="C2794" s="36" t="str">
        <f t="shared" si="7"/>
        <v>6314 HARTWICK RD,Houston,TX</v>
      </c>
      <c r="D2794" s="23" t="s">
        <v>4054</v>
      </c>
      <c r="E2794" s="23" t="s">
        <v>25</v>
      </c>
      <c r="F2794" s="23" t="s">
        <v>1388</v>
      </c>
      <c r="G2794" s="31" t="s">
        <v>127</v>
      </c>
      <c r="H2794" s="23" t="s">
        <v>50</v>
      </c>
      <c r="I2794" s="37" t="str">
        <f>VLOOKUP(H2794,'Flow Location'!$A$1:$B$21,2,FALSE)</f>
        <v>Contained On Site, not within 5 ft. of Bayou/Surface Water/Drainage Ditch</v>
      </c>
      <c r="J2794" s="28">
        <v>0.0</v>
      </c>
      <c r="K2794" s="23" t="s">
        <v>198</v>
      </c>
      <c r="L2794" s="37" t="str">
        <f>VLOOKUP(K2794,'Structure type'!$A$1:$B$15,2,FALSE)</f>
        <v>Service Lateral</v>
      </c>
      <c r="M2794" s="23" t="s">
        <v>366</v>
      </c>
      <c r="N2794" s="23" t="str">
        <f>VLOOKUP(M2794,'Excursion Cause'!$A$1:$B$34,2,FALSE)</f>
        <v>Collection system structural blockage</v>
      </c>
      <c r="O2794" s="29">
        <v>45099.0</v>
      </c>
      <c r="P2794" s="30">
        <v>0.6833333333333333</v>
      </c>
      <c r="Q2794" s="29">
        <v>45099.0</v>
      </c>
      <c r="R2794" s="30">
        <v>0.6840277777777778</v>
      </c>
      <c r="S2794" s="28">
        <v>0.0</v>
      </c>
      <c r="T2794" s="23" t="s">
        <v>270</v>
      </c>
      <c r="U2794" s="6"/>
      <c r="V2794" s="6"/>
      <c r="W2794" s="35">
        <v>29.8849462</v>
      </c>
      <c r="X2794" s="35">
        <v>-95.2953247</v>
      </c>
      <c r="AA2794" s="33"/>
      <c r="AB2794" s="33"/>
      <c r="AC2794" s="33"/>
      <c r="AD2794" s="33"/>
      <c r="AE2794" s="33"/>
      <c r="AF2794" s="33"/>
      <c r="AG2794" s="33"/>
      <c r="AH2794" s="33"/>
      <c r="AI2794" s="33"/>
      <c r="AJ2794" s="33"/>
      <c r="AK2794" s="33"/>
      <c r="AL2794" s="33"/>
      <c r="AM2794" s="33"/>
      <c r="AN2794" s="33"/>
      <c r="AO2794" s="33"/>
    </row>
    <row r="2795" ht="15.75" customHeight="1">
      <c r="A2795" s="23">
        <v>52653.0</v>
      </c>
      <c r="B2795" s="23">
        <v>2023.0</v>
      </c>
      <c r="C2795" s="36" t="str">
        <f t="shared" si="7"/>
        <v>6521 HILLSBORO ST,Houston,TX</v>
      </c>
      <c r="D2795" s="23" t="s">
        <v>4055</v>
      </c>
      <c r="E2795" s="23" t="s">
        <v>25</v>
      </c>
      <c r="F2795" s="23" t="s">
        <v>1388</v>
      </c>
      <c r="G2795" s="31" t="s">
        <v>227</v>
      </c>
      <c r="H2795" s="23" t="s">
        <v>44</v>
      </c>
      <c r="I2795" s="37" t="str">
        <f>VLOOKUP(H2795,'Flow Location'!$A$1:$B$21,2,FALSE)</f>
        <v>Bayou/surface water/drainage ditch</v>
      </c>
      <c r="J2795" s="28">
        <v>0.0</v>
      </c>
      <c r="K2795" s="23" t="s">
        <v>198</v>
      </c>
      <c r="L2795" s="37" t="str">
        <f>VLOOKUP(K2795,'Structure type'!$A$1:$B$15,2,FALSE)</f>
        <v>Service Lateral</v>
      </c>
      <c r="M2795" s="23" t="s">
        <v>52</v>
      </c>
      <c r="N2795" s="23" t="str">
        <f>VLOOKUP(M2795,'Excursion Cause'!$A$1:$B$34,2,FALSE)</f>
        <v>Collection system structural blockage</v>
      </c>
      <c r="O2795" s="29">
        <v>45099.0</v>
      </c>
      <c r="P2795" s="30">
        <v>0.7319444444444444</v>
      </c>
      <c r="Q2795" s="29">
        <v>45099.0</v>
      </c>
      <c r="R2795" s="30">
        <v>0.7326388888888888</v>
      </c>
      <c r="S2795" s="28">
        <v>0.0</v>
      </c>
      <c r="T2795" s="23" t="s">
        <v>270</v>
      </c>
      <c r="U2795" s="6"/>
      <c r="V2795" s="6"/>
      <c r="W2795" s="35">
        <v>29.7803591</v>
      </c>
      <c r="X2795" s="35">
        <v>-95.3044657</v>
      </c>
      <c r="AA2795" s="33"/>
      <c r="AB2795" s="33"/>
      <c r="AC2795" s="33"/>
      <c r="AD2795" s="33"/>
      <c r="AE2795" s="33"/>
      <c r="AF2795" s="33"/>
      <c r="AG2795" s="33"/>
      <c r="AH2795" s="33"/>
      <c r="AI2795" s="33"/>
      <c r="AJ2795" s="33"/>
      <c r="AK2795" s="33"/>
      <c r="AL2795" s="33"/>
      <c r="AM2795" s="33"/>
      <c r="AN2795" s="33"/>
      <c r="AO2795" s="33"/>
    </row>
    <row r="2796" ht="15.75" customHeight="1">
      <c r="A2796" s="23">
        <v>52654.0</v>
      </c>
      <c r="B2796" s="23">
        <v>2023.0</v>
      </c>
      <c r="C2796" s="36" t="str">
        <f t="shared" si="7"/>
        <v>13155 KATY FWY,Houston,TX</v>
      </c>
      <c r="D2796" s="23" t="s">
        <v>4056</v>
      </c>
      <c r="E2796" s="23" t="s">
        <v>25</v>
      </c>
      <c r="F2796" s="23" t="s">
        <v>1388</v>
      </c>
      <c r="G2796" s="31" t="s">
        <v>120</v>
      </c>
      <c r="H2796" s="23" t="s">
        <v>50</v>
      </c>
      <c r="I2796" s="37" t="str">
        <f>VLOOKUP(H2796,'Flow Location'!$A$1:$B$21,2,FALSE)</f>
        <v>Contained On Site, not within 5 ft. of Bayou/Surface Water/Drainage Ditch</v>
      </c>
      <c r="J2796" s="28">
        <v>0.0</v>
      </c>
      <c r="K2796" s="23" t="s">
        <v>45</v>
      </c>
      <c r="L2796" s="37" t="str">
        <f>VLOOKUP(K2796,'Structure type'!$A$1:$B$15,2,FALSE)</f>
        <v>City Cleanout</v>
      </c>
      <c r="M2796" s="23" t="s">
        <v>56</v>
      </c>
      <c r="N2796" s="23" t="str">
        <f>VLOOKUP(M2796,'Excursion Cause'!$A$1:$B$34,2,FALSE)</f>
        <v>Rags/Wipes</v>
      </c>
      <c r="O2796" s="29">
        <v>45099.0</v>
      </c>
      <c r="P2796" s="30">
        <v>0.7368055555555556</v>
      </c>
      <c r="Q2796" s="29">
        <v>45099.0</v>
      </c>
      <c r="R2796" s="30">
        <v>0.7375</v>
      </c>
      <c r="S2796" s="28">
        <v>0.0</v>
      </c>
      <c r="T2796" s="23" t="s">
        <v>270</v>
      </c>
      <c r="U2796" s="6"/>
      <c r="V2796" s="6"/>
      <c r="W2796" s="35">
        <v>29.7839367</v>
      </c>
      <c r="X2796" s="35">
        <v>-95.6174322999999</v>
      </c>
      <c r="AA2796" s="33"/>
      <c r="AB2796" s="33"/>
      <c r="AC2796" s="33"/>
      <c r="AD2796" s="33"/>
      <c r="AE2796" s="33"/>
      <c r="AF2796" s="33"/>
      <c r="AG2796" s="33"/>
      <c r="AH2796" s="33"/>
      <c r="AI2796" s="33"/>
      <c r="AJ2796" s="33"/>
      <c r="AK2796" s="33"/>
      <c r="AL2796" s="33"/>
      <c r="AM2796" s="33"/>
      <c r="AN2796" s="33"/>
      <c r="AO2796" s="33"/>
    </row>
    <row r="2797" ht="15.75" customHeight="1">
      <c r="A2797" s="23">
        <v>52655.0</v>
      </c>
      <c r="B2797" s="23">
        <v>2023.0</v>
      </c>
      <c r="C2797" s="36" t="str">
        <f t="shared" si="7"/>
        <v>1655 WOODVINE DR,Houston,TX</v>
      </c>
      <c r="D2797" s="23" t="s">
        <v>4057</v>
      </c>
      <c r="E2797" s="23" t="s">
        <v>25</v>
      </c>
      <c r="F2797" s="23" t="s">
        <v>1388</v>
      </c>
      <c r="G2797" s="31" t="s">
        <v>232</v>
      </c>
      <c r="H2797" s="23" t="s">
        <v>28</v>
      </c>
      <c r="I2797" s="37" t="str">
        <f>VLOOKUP(H2797,'Flow Location'!$A$1:$B$21,2,FALSE)</f>
        <v>Storm Sewer (not contained)</v>
      </c>
      <c r="J2797" s="28">
        <v>494.0</v>
      </c>
      <c r="K2797" s="23" t="s">
        <v>29</v>
      </c>
      <c r="L2797" s="37" t="str">
        <f>VLOOKUP(K2797,'Structure type'!$A$1:$B$15,2,FALSE)</f>
        <v>Manhole</v>
      </c>
      <c r="M2797" s="23" t="s">
        <v>30</v>
      </c>
      <c r="N2797" s="23" t="str">
        <f>VLOOKUP(M2797,'Excursion Cause'!$A$1:$B$34,2,FALSE)</f>
        <v>Grease Blockage</v>
      </c>
      <c r="O2797" s="29">
        <v>45100.0</v>
      </c>
      <c r="P2797" s="30">
        <v>0.3770833333333333</v>
      </c>
      <c r="Q2797" s="29">
        <v>45100.0</v>
      </c>
      <c r="R2797" s="30">
        <v>0.7208333333333333</v>
      </c>
      <c r="S2797" s="28">
        <v>1.0</v>
      </c>
      <c r="T2797" s="23" t="s">
        <v>270</v>
      </c>
      <c r="U2797" s="6"/>
      <c r="V2797" s="6"/>
      <c r="W2797" s="35">
        <v>29.8007142</v>
      </c>
      <c r="X2797" s="35">
        <v>-95.4791176</v>
      </c>
      <c r="AA2797" s="33"/>
      <c r="AB2797" s="33"/>
      <c r="AC2797" s="33"/>
      <c r="AD2797" s="33"/>
      <c r="AE2797" s="33"/>
      <c r="AF2797" s="33"/>
      <c r="AG2797" s="33"/>
      <c r="AH2797" s="33"/>
      <c r="AI2797" s="33"/>
      <c r="AJ2797" s="33"/>
      <c r="AK2797" s="33"/>
      <c r="AL2797" s="33"/>
      <c r="AM2797" s="33"/>
      <c r="AN2797" s="33"/>
      <c r="AO2797" s="33"/>
    </row>
    <row r="2798" ht="15.75" customHeight="1">
      <c r="A2798" s="23">
        <v>52656.0</v>
      </c>
      <c r="B2798" s="23">
        <v>2023.0</v>
      </c>
      <c r="C2798" s="36" t="str">
        <f t="shared" si="7"/>
        <v>6811 KIRBY DR,Houston,TX</v>
      </c>
      <c r="D2798" s="23" t="s">
        <v>4058</v>
      </c>
      <c r="E2798" s="23" t="s">
        <v>25</v>
      </c>
      <c r="F2798" s="23" t="s">
        <v>1388</v>
      </c>
      <c r="G2798" s="31" t="s">
        <v>172</v>
      </c>
      <c r="H2798" s="23" t="s">
        <v>50</v>
      </c>
      <c r="I2798" s="37" t="str">
        <f>VLOOKUP(H2798,'Flow Location'!$A$1:$B$21,2,FALSE)</f>
        <v>Contained On Site, not within 5 ft. of Bayou/Surface Water/Drainage Ditch</v>
      </c>
      <c r="J2798" s="28">
        <v>208.0</v>
      </c>
      <c r="K2798" s="23" t="s">
        <v>29</v>
      </c>
      <c r="L2798" s="37" t="str">
        <f>VLOOKUP(K2798,'Structure type'!$A$1:$B$15,2,FALSE)</f>
        <v>Manhole</v>
      </c>
      <c r="M2798" s="23" t="s">
        <v>30</v>
      </c>
      <c r="N2798" s="23" t="str">
        <f>VLOOKUP(M2798,'Excursion Cause'!$A$1:$B$34,2,FALSE)</f>
        <v>Grease Blockage</v>
      </c>
      <c r="O2798" s="29">
        <v>45100.0</v>
      </c>
      <c r="P2798" s="30">
        <v>0.4875</v>
      </c>
      <c r="Q2798" s="29">
        <v>45100.0</v>
      </c>
      <c r="R2798" s="30">
        <v>0.6319444444444444</v>
      </c>
      <c r="S2798" s="28">
        <v>1.0</v>
      </c>
      <c r="T2798" s="23" t="s">
        <v>270</v>
      </c>
      <c r="U2798" s="6"/>
      <c r="V2798" s="6"/>
      <c r="W2798" s="35">
        <v>29.705468</v>
      </c>
      <c r="X2798" s="35">
        <v>-95.4178872</v>
      </c>
      <c r="AA2798" s="33"/>
      <c r="AB2798" s="33"/>
      <c r="AC2798" s="33"/>
      <c r="AD2798" s="33"/>
      <c r="AE2798" s="33"/>
      <c r="AF2798" s="33"/>
      <c r="AG2798" s="33"/>
      <c r="AH2798" s="33"/>
      <c r="AI2798" s="33"/>
      <c r="AJ2798" s="33"/>
      <c r="AK2798" s="33"/>
      <c r="AL2798" s="33"/>
      <c r="AM2798" s="33"/>
      <c r="AN2798" s="33"/>
      <c r="AO2798" s="33"/>
    </row>
    <row r="2799" ht="15.75" customHeight="1">
      <c r="A2799" s="23">
        <v>52657.0</v>
      </c>
      <c r="B2799" s="23">
        <v>2023.0</v>
      </c>
      <c r="C2799" s="36" t="str">
        <f t="shared" si="7"/>
        <v>7031 AVENUE P,Houston,TX</v>
      </c>
      <c r="D2799" s="23" t="s">
        <v>4059</v>
      </c>
      <c r="E2799" s="23" t="s">
        <v>25</v>
      </c>
      <c r="F2799" s="23" t="s">
        <v>1388</v>
      </c>
      <c r="G2799" s="31" t="s">
        <v>238</v>
      </c>
      <c r="H2799" s="23" t="s">
        <v>50</v>
      </c>
      <c r="I2799" s="37" t="str">
        <f>VLOOKUP(H2799,'Flow Location'!$A$1:$B$21,2,FALSE)</f>
        <v>Contained On Site, not within 5 ft. of Bayou/Surface Water/Drainage Ditch</v>
      </c>
      <c r="J2799" s="28">
        <v>0.0</v>
      </c>
      <c r="K2799" s="23" t="s">
        <v>51</v>
      </c>
      <c r="L2799" s="37" t="str">
        <f>VLOOKUP(K2799,'Structure type'!$A$1:$B$15,2,FALSE)</f>
        <v>Private Cleanout</v>
      </c>
      <c r="M2799" s="23" t="s">
        <v>52</v>
      </c>
      <c r="N2799" s="23" t="str">
        <f>VLOOKUP(M2799,'Excursion Cause'!$A$1:$B$34,2,FALSE)</f>
        <v>Collection system structural blockage</v>
      </c>
      <c r="O2799" s="29">
        <v>45100.0</v>
      </c>
      <c r="P2799" s="30">
        <v>0.5770833333333333</v>
      </c>
      <c r="Q2799" s="29">
        <v>45100.0</v>
      </c>
      <c r="R2799" s="30">
        <v>0.5777777777777777</v>
      </c>
      <c r="S2799" s="28">
        <v>0.0</v>
      </c>
      <c r="T2799" s="23" t="s">
        <v>270</v>
      </c>
      <c r="U2799" s="6"/>
      <c r="V2799" s="6"/>
      <c r="W2799" s="35">
        <v>29.7455315</v>
      </c>
      <c r="X2799" s="35">
        <v>-95.2966665</v>
      </c>
      <c r="AA2799" s="33"/>
      <c r="AB2799" s="33"/>
      <c r="AC2799" s="33"/>
      <c r="AD2799" s="33"/>
      <c r="AE2799" s="33"/>
      <c r="AF2799" s="33"/>
      <c r="AG2799" s="33"/>
      <c r="AH2799" s="33"/>
      <c r="AI2799" s="33"/>
      <c r="AJ2799" s="33"/>
      <c r="AK2799" s="33"/>
      <c r="AL2799" s="33"/>
      <c r="AM2799" s="33"/>
      <c r="AN2799" s="33"/>
      <c r="AO2799" s="33"/>
    </row>
    <row r="2800" ht="15.75" customHeight="1">
      <c r="A2800" s="23">
        <v>52667.0</v>
      </c>
      <c r="B2800" s="23">
        <v>2023.0</v>
      </c>
      <c r="C2800" s="36" t="str">
        <f t="shared" si="7"/>
        <v>2902 KIRBY DR,Houston,TX</v>
      </c>
      <c r="D2800" s="23" t="s">
        <v>4060</v>
      </c>
      <c r="E2800" s="23" t="s">
        <v>25</v>
      </c>
      <c r="F2800" s="23" t="s">
        <v>1388</v>
      </c>
      <c r="G2800" s="31" t="s">
        <v>43</v>
      </c>
      <c r="H2800" s="23" t="s">
        <v>50</v>
      </c>
      <c r="I2800" s="37" t="str">
        <f>VLOOKUP(H2800,'Flow Location'!$A$1:$B$21,2,FALSE)</f>
        <v>Contained On Site, not within 5 ft. of Bayou/Surface Water/Drainage Ditch</v>
      </c>
      <c r="J2800" s="28">
        <v>306.0</v>
      </c>
      <c r="K2800" s="23" t="s">
        <v>51</v>
      </c>
      <c r="L2800" s="37" t="str">
        <f>VLOOKUP(K2800,'Structure type'!$A$1:$B$15,2,FALSE)</f>
        <v>Private Cleanout</v>
      </c>
      <c r="M2800" s="23" t="s">
        <v>366</v>
      </c>
      <c r="N2800" s="23" t="str">
        <f>VLOOKUP(M2800,'Excursion Cause'!$A$1:$B$34,2,FALSE)</f>
        <v>Collection system structural blockage</v>
      </c>
      <c r="O2800" s="29">
        <v>45101.0</v>
      </c>
      <c r="P2800" s="30">
        <v>0.5513888888888889</v>
      </c>
      <c r="Q2800" s="29">
        <v>45102.0</v>
      </c>
      <c r="R2800" s="30">
        <v>0.4027777777777778</v>
      </c>
      <c r="S2800" s="28">
        <v>0.0</v>
      </c>
      <c r="T2800" s="23" t="s">
        <v>270</v>
      </c>
      <c r="U2800" s="6"/>
      <c r="V2800" s="6"/>
      <c r="W2800" s="35">
        <v>29.7398157</v>
      </c>
      <c r="X2800" s="35">
        <v>-95.4190943</v>
      </c>
      <c r="AA2800" s="33"/>
      <c r="AB2800" s="33"/>
      <c r="AC2800" s="33"/>
      <c r="AD2800" s="33"/>
      <c r="AE2800" s="33"/>
      <c r="AF2800" s="33"/>
      <c r="AG2800" s="33"/>
      <c r="AH2800" s="33"/>
      <c r="AI2800" s="33"/>
      <c r="AJ2800" s="33"/>
      <c r="AK2800" s="33"/>
      <c r="AL2800" s="33"/>
      <c r="AM2800" s="33"/>
      <c r="AN2800" s="33"/>
      <c r="AO2800" s="33"/>
    </row>
    <row r="2801" ht="15.75" customHeight="1">
      <c r="A2801" s="23">
        <v>52678.0</v>
      </c>
      <c r="B2801" s="23">
        <v>2023.0</v>
      </c>
      <c r="C2801" s="36" t="str">
        <f t="shared" si="7"/>
        <v>5137 INGOMAR WAY,Houston,TX</v>
      </c>
      <c r="D2801" s="23" t="s">
        <v>4061</v>
      </c>
      <c r="E2801" s="23" t="s">
        <v>25</v>
      </c>
      <c r="F2801" s="23" t="s">
        <v>1388</v>
      </c>
      <c r="G2801" s="31" t="s">
        <v>100</v>
      </c>
      <c r="H2801" s="23" t="s">
        <v>1493</v>
      </c>
      <c r="I2801" s="37" t="str">
        <f>VLOOKUP(H2801,'Flow Location'!$A$1:$B$21,2,FALSE)</f>
        <v>Contained On Site, not within 5 ft. of Bayou/Surface Water/Drainage Ditch</v>
      </c>
      <c r="J2801" s="28">
        <v>0.0</v>
      </c>
      <c r="K2801" s="23" t="s">
        <v>45</v>
      </c>
      <c r="L2801" s="37" t="str">
        <f>VLOOKUP(K2801,'Structure type'!$A$1:$B$15,2,FALSE)</f>
        <v>City Cleanout</v>
      </c>
      <c r="M2801" s="23" t="s">
        <v>759</v>
      </c>
      <c r="N2801" s="23" t="str">
        <f>VLOOKUP(M2801,'Excursion Cause'!$A$1:$B$34,2,FALSE)</f>
        <v>Roots</v>
      </c>
      <c r="O2801" s="29">
        <v>45103.0</v>
      </c>
      <c r="P2801" s="30">
        <v>0.7243055555555555</v>
      </c>
      <c r="Q2801" s="29">
        <v>45103.0</v>
      </c>
      <c r="R2801" s="30">
        <v>0.725</v>
      </c>
      <c r="S2801" s="28">
        <v>0.0</v>
      </c>
      <c r="T2801" s="23" t="s">
        <v>270</v>
      </c>
      <c r="U2801" s="6"/>
      <c r="V2801" s="6"/>
      <c r="W2801" s="35">
        <v>29.6005157</v>
      </c>
      <c r="X2801" s="35">
        <v>-95.4578062</v>
      </c>
      <c r="AA2801" s="33"/>
      <c r="AB2801" s="33"/>
      <c r="AC2801" s="33"/>
      <c r="AD2801" s="33"/>
      <c r="AE2801" s="33"/>
      <c r="AF2801" s="33"/>
      <c r="AG2801" s="33"/>
      <c r="AH2801" s="33"/>
      <c r="AI2801" s="33"/>
      <c r="AJ2801" s="33"/>
      <c r="AK2801" s="33"/>
      <c r="AL2801" s="33"/>
      <c r="AM2801" s="33"/>
      <c r="AN2801" s="33"/>
      <c r="AO2801" s="33"/>
    </row>
    <row r="2802" ht="15.75" customHeight="1">
      <c r="A2802" s="23">
        <v>52683.0</v>
      </c>
      <c r="B2802" s="23">
        <v>2023.0</v>
      </c>
      <c r="C2802" s="36" t="str">
        <f t="shared" si="7"/>
        <v>9850 GOODYEAR DR,Houston,TX</v>
      </c>
      <c r="D2802" s="23" t="s">
        <v>4062</v>
      </c>
      <c r="E2802" s="23" t="s">
        <v>25</v>
      </c>
      <c r="F2802" s="23" t="s">
        <v>1388</v>
      </c>
      <c r="G2802" s="31" t="s">
        <v>247</v>
      </c>
      <c r="H2802" s="23" t="s">
        <v>44</v>
      </c>
      <c r="I2802" s="37" t="str">
        <f>VLOOKUP(H2802,'Flow Location'!$A$1:$B$21,2,FALSE)</f>
        <v>Bayou/surface water/drainage ditch</v>
      </c>
      <c r="J2802" s="28">
        <v>1900.0</v>
      </c>
      <c r="K2802" s="23" t="s">
        <v>190</v>
      </c>
      <c r="L2802" s="37" t="str">
        <f>VLOOKUP(K2802,'Structure type'!$A$1:$B$15,2,FALSE)</f>
        <v>Force Main</v>
      </c>
      <c r="M2802" s="23" t="s">
        <v>81</v>
      </c>
      <c r="N2802" s="23" t="str">
        <f>VLOOKUP(M2802,'Excursion Cause'!$A$1:$B$34,2,FALSE)</f>
        <v>Collection system structural failure</v>
      </c>
      <c r="O2802" s="29">
        <v>45103.0</v>
      </c>
      <c r="P2802" s="30">
        <v>0.5902777777777778</v>
      </c>
      <c r="Q2802" s="29">
        <v>45103.0</v>
      </c>
      <c r="R2802" s="30">
        <v>0.65625</v>
      </c>
      <c r="S2802" s="28">
        <v>20.0</v>
      </c>
      <c r="T2802" s="23" t="s">
        <v>270</v>
      </c>
      <c r="U2802" s="6"/>
      <c r="V2802" s="6"/>
      <c r="W2802" s="35">
        <v>29.7013133</v>
      </c>
      <c r="X2802" s="35">
        <v>-95.257853</v>
      </c>
      <c r="AA2802" s="33"/>
      <c r="AB2802" s="33"/>
      <c r="AC2802" s="33"/>
      <c r="AD2802" s="33"/>
      <c r="AE2802" s="33"/>
      <c r="AF2802" s="33"/>
      <c r="AG2802" s="33"/>
      <c r="AH2802" s="33"/>
      <c r="AI2802" s="33"/>
      <c r="AJ2802" s="33"/>
      <c r="AK2802" s="33"/>
      <c r="AL2802" s="33"/>
      <c r="AM2802" s="33"/>
      <c r="AN2802" s="33"/>
      <c r="AO2802" s="33"/>
    </row>
    <row r="2803" ht="15.75" customHeight="1">
      <c r="A2803" s="23">
        <v>52681.0</v>
      </c>
      <c r="B2803" s="23">
        <v>2023.0</v>
      </c>
      <c r="C2803" s="36" t="str">
        <f t="shared" si="7"/>
        <v>4621 ALVIN ST,Houston,TX</v>
      </c>
      <c r="D2803" s="23" t="s">
        <v>4063</v>
      </c>
      <c r="E2803" s="23" t="s">
        <v>25</v>
      </c>
      <c r="F2803" s="23" t="s">
        <v>1388</v>
      </c>
      <c r="G2803" s="31" t="s">
        <v>158</v>
      </c>
      <c r="H2803" s="23" t="s">
        <v>50</v>
      </c>
      <c r="I2803" s="37" t="str">
        <f>VLOOKUP(H2803,'Flow Location'!$A$1:$B$21,2,FALSE)</f>
        <v>Contained On Site, not within 5 ft. of Bayou/Surface Water/Drainage Ditch</v>
      </c>
      <c r="J2803" s="28">
        <v>0.0</v>
      </c>
      <c r="K2803" s="23" t="s">
        <v>45</v>
      </c>
      <c r="L2803" s="37" t="str">
        <f>VLOOKUP(K2803,'Structure type'!$A$1:$B$15,2,FALSE)</f>
        <v>City Cleanout</v>
      </c>
      <c r="M2803" s="23" t="s">
        <v>52</v>
      </c>
      <c r="N2803" s="23" t="str">
        <f>VLOOKUP(M2803,'Excursion Cause'!$A$1:$B$34,2,FALSE)</f>
        <v>Collection system structural blockage</v>
      </c>
      <c r="O2803" s="29">
        <v>45104.0</v>
      </c>
      <c r="P2803" s="30">
        <v>0.3402777777777778</v>
      </c>
      <c r="Q2803" s="29">
        <v>45104.0</v>
      </c>
      <c r="R2803" s="30">
        <v>0.34097222222222223</v>
      </c>
      <c r="S2803" s="28">
        <v>0.0</v>
      </c>
      <c r="T2803" s="23" t="s">
        <v>270</v>
      </c>
      <c r="U2803" s="6"/>
      <c r="V2803" s="6"/>
      <c r="W2803" s="35">
        <v>29.6645307</v>
      </c>
      <c r="X2803" s="35">
        <v>-95.3577526999999</v>
      </c>
      <c r="AA2803" s="33"/>
      <c r="AB2803" s="33"/>
      <c r="AC2803" s="33"/>
      <c r="AD2803" s="33"/>
      <c r="AE2803" s="33"/>
      <c r="AF2803" s="33"/>
      <c r="AG2803" s="33"/>
      <c r="AH2803" s="33"/>
      <c r="AI2803" s="33"/>
      <c r="AJ2803" s="33"/>
      <c r="AK2803" s="33"/>
      <c r="AL2803" s="33"/>
      <c r="AM2803" s="33"/>
      <c r="AN2803" s="33"/>
      <c r="AO2803" s="33"/>
    </row>
    <row r="2804" ht="15.75" customHeight="1">
      <c r="A2804" s="23">
        <v>52685.0</v>
      </c>
      <c r="B2804" s="23">
        <v>2023.0</v>
      </c>
      <c r="C2804" s="36" t="str">
        <f t="shared" si="7"/>
        <v>13502 NORTHBOROUGH DR,Houston,TX</v>
      </c>
      <c r="D2804" s="23" t="s">
        <v>4064</v>
      </c>
      <c r="E2804" s="23" t="s">
        <v>25</v>
      </c>
      <c r="F2804" s="23" t="s">
        <v>1388</v>
      </c>
      <c r="G2804" s="31" t="s">
        <v>253</v>
      </c>
      <c r="H2804" s="23" t="s">
        <v>28</v>
      </c>
      <c r="I2804" s="37" t="str">
        <f>VLOOKUP(H2804,'Flow Location'!$A$1:$B$21,2,FALSE)</f>
        <v>Storm Sewer (not contained)</v>
      </c>
      <c r="J2804" s="28">
        <v>0.0</v>
      </c>
      <c r="K2804" s="23" t="s">
        <v>51</v>
      </c>
      <c r="L2804" s="37" t="str">
        <f>VLOOKUP(K2804,'Structure type'!$A$1:$B$15,2,FALSE)</f>
        <v>Private Cleanout</v>
      </c>
      <c r="M2804" s="23" t="s">
        <v>3329</v>
      </c>
      <c r="N2804" s="23" t="str">
        <f>VLOOKUP(M2804,'Excursion Cause'!$A$1:$B$34,2,FALSE)</f>
        <v>Collection system temporary blockage</v>
      </c>
      <c r="O2804" s="29">
        <v>45104.0</v>
      </c>
      <c r="P2804" s="30">
        <v>0.5493055555555556</v>
      </c>
      <c r="Q2804" s="29">
        <v>45104.0</v>
      </c>
      <c r="R2804" s="30">
        <v>0.55</v>
      </c>
      <c r="S2804" s="28">
        <v>0.0</v>
      </c>
      <c r="T2804" s="23" t="s">
        <v>270</v>
      </c>
      <c r="U2804" s="6"/>
      <c r="V2804" s="6"/>
      <c r="W2804" s="35">
        <v>29.9626162</v>
      </c>
      <c r="X2804" s="35">
        <v>-95.425331</v>
      </c>
      <c r="AA2804" s="33"/>
      <c r="AB2804" s="33"/>
      <c r="AC2804" s="33"/>
      <c r="AD2804" s="33"/>
      <c r="AE2804" s="33"/>
      <c r="AF2804" s="33"/>
      <c r="AG2804" s="33"/>
      <c r="AH2804" s="33"/>
      <c r="AI2804" s="33"/>
      <c r="AJ2804" s="33"/>
      <c r="AK2804" s="33"/>
      <c r="AL2804" s="33"/>
      <c r="AM2804" s="33"/>
      <c r="AN2804" s="33"/>
      <c r="AO2804" s="33"/>
    </row>
    <row r="2805" ht="15.75" customHeight="1">
      <c r="A2805" s="23">
        <v>52689.0</v>
      </c>
      <c r="B2805" s="23">
        <v>2023.0</v>
      </c>
      <c r="C2805" s="36" t="str">
        <f t="shared" si="7"/>
        <v>10940 MEADOWGLEN LN,Houston,TX</v>
      </c>
      <c r="D2805" s="23" t="s">
        <v>4049</v>
      </c>
      <c r="E2805" s="23" t="s">
        <v>25</v>
      </c>
      <c r="F2805" s="23" t="s">
        <v>1388</v>
      </c>
      <c r="G2805" s="31" t="s">
        <v>69</v>
      </c>
      <c r="H2805" s="23" t="s">
        <v>50</v>
      </c>
      <c r="I2805" s="37" t="str">
        <f>VLOOKUP(H2805,'Flow Location'!$A$1:$B$21,2,FALSE)</f>
        <v>Contained On Site, not within 5 ft. of Bayou/Surface Water/Drainage Ditch</v>
      </c>
      <c r="J2805" s="28">
        <v>2242.0</v>
      </c>
      <c r="K2805" s="23" t="s">
        <v>51</v>
      </c>
      <c r="L2805" s="37" t="str">
        <f>VLOOKUP(K2805,'Structure type'!$A$1:$B$15,2,FALSE)</f>
        <v>Private Cleanout</v>
      </c>
      <c r="M2805" s="23" t="s">
        <v>30</v>
      </c>
      <c r="N2805" s="23" t="str">
        <f>VLOOKUP(M2805,'Excursion Cause'!$A$1:$B$34,2,FALSE)</f>
        <v>Grease Blockage</v>
      </c>
      <c r="O2805" s="29">
        <v>45104.0</v>
      </c>
      <c r="P2805" s="30">
        <v>0.69375</v>
      </c>
      <c r="Q2805" s="29">
        <v>45105.0</v>
      </c>
      <c r="R2805" s="30">
        <v>0.4722222222222222</v>
      </c>
      <c r="S2805" s="28">
        <v>2.0</v>
      </c>
      <c r="T2805" s="23" t="s">
        <v>270</v>
      </c>
      <c r="U2805" s="6"/>
      <c r="V2805" s="6"/>
      <c r="W2805" s="35">
        <v>29.7336531</v>
      </c>
      <c r="X2805" s="35">
        <v>-95.569481</v>
      </c>
      <c r="AA2805" s="33"/>
      <c r="AB2805" s="33"/>
      <c r="AC2805" s="33"/>
      <c r="AD2805" s="33"/>
      <c r="AE2805" s="33"/>
      <c r="AF2805" s="33"/>
      <c r="AG2805" s="33"/>
      <c r="AH2805" s="33"/>
      <c r="AI2805" s="33"/>
      <c r="AJ2805" s="33"/>
      <c r="AK2805" s="33"/>
      <c r="AL2805" s="33"/>
      <c r="AM2805" s="33"/>
      <c r="AN2805" s="33"/>
      <c r="AO2805" s="33"/>
    </row>
    <row r="2806" ht="15.75" customHeight="1">
      <c r="A2806" s="23">
        <v>52701.0</v>
      </c>
      <c r="B2806" s="23">
        <v>2023.0</v>
      </c>
      <c r="C2806" s="36" t="str">
        <f t="shared" si="7"/>
        <v>3306 CLOVERDALE ST,Houston,TX</v>
      </c>
      <c r="D2806" s="23" t="s">
        <v>4065</v>
      </c>
      <c r="E2806" s="23" t="s">
        <v>25</v>
      </c>
      <c r="F2806" s="23" t="s">
        <v>1388</v>
      </c>
      <c r="G2806" s="31" t="s">
        <v>161</v>
      </c>
      <c r="H2806" s="23" t="s">
        <v>50</v>
      </c>
      <c r="I2806" s="37" t="str">
        <f>VLOOKUP(H2806,'Flow Location'!$A$1:$B$21,2,FALSE)</f>
        <v>Contained On Site, not within 5 ft. of Bayou/Surface Water/Drainage Ditch</v>
      </c>
      <c r="J2806" s="28">
        <v>0.0</v>
      </c>
      <c r="K2806" s="23" t="s">
        <v>198</v>
      </c>
      <c r="L2806" s="37" t="str">
        <f>VLOOKUP(K2806,'Structure type'!$A$1:$B$15,2,FALSE)</f>
        <v>Service Lateral</v>
      </c>
      <c r="M2806" s="23" t="s">
        <v>81</v>
      </c>
      <c r="N2806" s="23" t="str">
        <f>VLOOKUP(M2806,'Excursion Cause'!$A$1:$B$34,2,FALSE)</f>
        <v>Collection system structural failure</v>
      </c>
      <c r="O2806" s="29">
        <v>45104.0</v>
      </c>
      <c r="P2806" s="30">
        <v>0.5270833333333333</v>
      </c>
      <c r="Q2806" s="29">
        <v>45104.0</v>
      </c>
      <c r="R2806" s="30">
        <v>0.5277777777777778</v>
      </c>
      <c r="S2806" s="28">
        <v>0.0</v>
      </c>
      <c r="T2806" s="23" t="s">
        <v>270</v>
      </c>
      <c r="U2806" s="6"/>
      <c r="V2806" s="6"/>
      <c r="W2806" s="35">
        <v>29.6834581</v>
      </c>
      <c r="X2806" s="35">
        <v>-95.4292842999999</v>
      </c>
      <c r="AA2806" s="33"/>
      <c r="AB2806" s="33"/>
      <c r="AC2806" s="33"/>
      <c r="AD2806" s="33"/>
      <c r="AE2806" s="33"/>
      <c r="AF2806" s="33"/>
      <c r="AG2806" s="33"/>
      <c r="AH2806" s="33"/>
      <c r="AI2806" s="33"/>
      <c r="AJ2806" s="33"/>
      <c r="AK2806" s="33"/>
      <c r="AL2806" s="33"/>
      <c r="AM2806" s="33"/>
      <c r="AN2806" s="33"/>
      <c r="AO2806" s="33"/>
    </row>
    <row r="2807" ht="15.75" customHeight="1">
      <c r="A2807" s="23">
        <v>52692.0</v>
      </c>
      <c r="B2807" s="23">
        <v>2023.0</v>
      </c>
      <c r="C2807" s="36" t="str">
        <f t="shared" si="7"/>
        <v>736 LINK RD,Houston,TX</v>
      </c>
      <c r="D2807" s="23" t="s">
        <v>4066</v>
      </c>
      <c r="E2807" s="23" t="s">
        <v>25</v>
      </c>
      <c r="F2807" s="23" t="s">
        <v>1388</v>
      </c>
      <c r="G2807" s="31" t="s">
        <v>161</v>
      </c>
      <c r="H2807" s="23" t="s">
        <v>50</v>
      </c>
      <c r="I2807" s="37" t="str">
        <f>VLOOKUP(H2807,'Flow Location'!$A$1:$B$21,2,FALSE)</f>
        <v>Contained On Site, not within 5 ft. of Bayou/Surface Water/Drainage Ditch</v>
      </c>
      <c r="J2807" s="28">
        <v>496.0</v>
      </c>
      <c r="K2807" s="23" t="s">
        <v>45</v>
      </c>
      <c r="L2807" s="37" t="str">
        <f>VLOOKUP(K2807,'Structure type'!$A$1:$B$15,2,FALSE)</f>
        <v>City Cleanout</v>
      </c>
      <c r="M2807" s="23" t="s">
        <v>56</v>
      </c>
      <c r="N2807" s="23" t="str">
        <f>VLOOKUP(M2807,'Excursion Cause'!$A$1:$B$34,2,FALSE)</f>
        <v>Rags/Wipes</v>
      </c>
      <c r="O2807" s="29">
        <v>45105.0</v>
      </c>
      <c r="P2807" s="30">
        <v>0.3819444444444444</v>
      </c>
      <c r="Q2807" s="29">
        <v>45105.0</v>
      </c>
      <c r="R2807" s="30">
        <v>0.7263888888888889</v>
      </c>
      <c r="S2807" s="28">
        <v>1.0</v>
      </c>
      <c r="T2807" s="23" t="s">
        <v>270</v>
      </c>
      <c r="U2807" s="6"/>
      <c r="V2807" s="6"/>
      <c r="W2807" s="35">
        <v>29.8088111</v>
      </c>
      <c r="X2807" s="35">
        <v>-95.3802484</v>
      </c>
      <c r="AA2807" s="33"/>
      <c r="AB2807" s="33"/>
      <c r="AC2807" s="33"/>
      <c r="AD2807" s="33"/>
      <c r="AE2807" s="33"/>
      <c r="AF2807" s="33"/>
      <c r="AG2807" s="33"/>
      <c r="AH2807" s="33"/>
      <c r="AI2807" s="33"/>
      <c r="AJ2807" s="33"/>
      <c r="AK2807" s="33"/>
      <c r="AL2807" s="33"/>
      <c r="AM2807" s="33"/>
      <c r="AN2807" s="33"/>
      <c r="AO2807" s="33"/>
    </row>
    <row r="2808" ht="15.75" customHeight="1">
      <c r="A2808" s="23">
        <v>52694.0</v>
      </c>
      <c r="B2808" s="23">
        <v>2023.0</v>
      </c>
      <c r="C2808" s="36" t="str">
        <f t="shared" si="7"/>
        <v>4506 BLUE BONNET DR,Houston,TX</v>
      </c>
      <c r="D2808" s="23" t="s">
        <v>3456</v>
      </c>
      <c r="E2808" s="23" t="s">
        <v>25</v>
      </c>
      <c r="F2808" s="23" t="s">
        <v>1388</v>
      </c>
      <c r="G2808" s="31" t="s">
        <v>166</v>
      </c>
      <c r="H2808" s="23" t="s">
        <v>50</v>
      </c>
      <c r="I2808" s="37" t="str">
        <f>VLOOKUP(H2808,'Flow Location'!$A$1:$B$21,2,FALSE)</f>
        <v>Contained On Site, not within 5 ft. of Bayou/Surface Water/Drainage Ditch</v>
      </c>
      <c r="J2808" s="28">
        <v>0.0</v>
      </c>
      <c r="K2808" s="23" t="s">
        <v>198</v>
      </c>
      <c r="L2808" s="37" t="str">
        <f>VLOOKUP(K2808,'Structure type'!$A$1:$B$15,2,FALSE)</f>
        <v>Service Lateral</v>
      </c>
      <c r="M2808" s="23" t="s">
        <v>52</v>
      </c>
      <c r="N2808" s="23" t="str">
        <f>VLOOKUP(M2808,'Excursion Cause'!$A$1:$B$34,2,FALSE)</f>
        <v>Collection system structural blockage</v>
      </c>
      <c r="O2808" s="29">
        <v>45105.0</v>
      </c>
      <c r="P2808" s="30">
        <v>0.4861111111111111</v>
      </c>
      <c r="Q2808" s="29">
        <v>45105.0</v>
      </c>
      <c r="R2808" s="30">
        <v>0.48680555555555555</v>
      </c>
      <c r="S2808" s="28">
        <v>0.0</v>
      </c>
      <c r="T2808" s="23" t="s">
        <v>270</v>
      </c>
      <c r="U2808" s="6"/>
      <c r="V2808" s="6"/>
      <c r="W2808" s="35">
        <v>29.5880952</v>
      </c>
      <c r="X2808" s="35">
        <v>-95.4472009999999</v>
      </c>
      <c r="AA2808" s="33"/>
      <c r="AB2808" s="33"/>
      <c r="AC2808" s="33"/>
      <c r="AD2808" s="33"/>
      <c r="AE2808" s="33"/>
      <c r="AF2808" s="33"/>
      <c r="AG2808" s="33"/>
      <c r="AH2808" s="33"/>
      <c r="AI2808" s="33"/>
      <c r="AJ2808" s="33"/>
      <c r="AK2808" s="33"/>
      <c r="AL2808" s="33"/>
      <c r="AM2808" s="33"/>
      <c r="AN2808" s="33"/>
      <c r="AO2808" s="33"/>
    </row>
    <row r="2809" ht="15.75" customHeight="1">
      <c r="A2809" s="23">
        <v>52696.0</v>
      </c>
      <c r="B2809" s="23">
        <v>2023.0</v>
      </c>
      <c r="C2809" s="36" t="str">
        <f t="shared" si="7"/>
        <v>2011 SAGO LN,Houston,TX</v>
      </c>
      <c r="D2809" s="23" t="s">
        <v>4029</v>
      </c>
      <c r="E2809" s="23" t="s">
        <v>25</v>
      </c>
      <c r="F2809" s="23" t="s">
        <v>1388</v>
      </c>
      <c r="G2809" s="31" t="s">
        <v>227</v>
      </c>
      <c r="H2809" s="23" t="s">
        <v>50</v>
      </c>
      <c r="I2809" s="37" t="str">
        <f>VLOOKUP(H2809,'Flow Location'!$A$1:$B$21,2,FALSE)</f>
        <v>Contained On Site, not within 5 ft. of Bayou/Surface Water/Drainage Ditch</v>
      </c>
      <c r="J2809" s="28">
        <v>0.0</v>
      </c>
      <c r="K2809" s="23" t="s">
        <v>45</v>
      </c>
      <c r="L2809" s="37" t="str">
        <f>VLOOKUP(K2809,'Structure type'!$A$1:$B$15,2,FALSE)</f>
        <v>City Cleanout</v>
      </c>
      <c r="M2809" s="23" t="s">
        <v>30</v>
      </c>
      <c r="N2809" s="23" t="str">
        <f>VLOOKUP(M2809,'Excursion Cause'!$A$1:$B$34,2,FALSE)</f>
        <v>Grease Blockage</v>
      </c>
      <c r="O2809" s="29">
        <v>45105.0</v>
      </c>
      <c r="P2809" s="30">
        <v>0.4930555555555556</v>
      </c>
      <c r="Q2809" s="29">
        <v>45105.0</v>
      </c>
      <c r="R2809" s="30">
        <v>0.49375</v>
      </c>
      <c r="S2809" s="28">
        <v>0.0</v>
      </c>
      <c r="T2809" s="23" t="s">
        <v>270</v>
      </c>
      <c r="U2809" s="6"/>
      <c r="V2809" s="6"/>
      <c r="W2809" s="35">
        <v>29.7979017</v>
      </c>
      <c r="X2809" s="35">
        <v>-95.6857156</v>
      </c>
      <c r="AA2809" s="33"/>
      <c r="AB2809" s="33"/>
      <c r="AC2809" s="33"/>
      <c r="AD2809" s="33"/>
      <c r="AE2809" s="33"/>
      <c r="AF2809" s="33"/>
      <c r="AG2809" s="33"/>
      <c r="AH2809" s="33"/>
      <c r="AI2809" s="33"/>
      <c r="AJ2809" s="33"/>
      <c r="AK2809" s="33"/>
      <c r="AL2809" s="33"/>
      <c r="AM2809" s="33"/>
      <c r="AN2809" s="33"/>
      <c r="AO2809" s="33"/>
    </row>
    <row r="2810" ht="15.75" customHeight="1">
      <c r="A2810" s="23">
        <v>52700.0</v>
      </c>
      <c r="B2810" s="23">
        <v>2023.0</v>
      </c>
      <c r="C2810" s="36" t="str">
        <f t="shared" si="7"/>
        <v>803 SSGT MACARIO GARCIA DR,Houston,TX</v>
      </c>
      <c r="D2810" s="23" t="s">
        <v>4067</v>
      </c>
      <c r="E2810" s="23" t="s">
        <v>25</v>
      </c>
      <c r="F2810" s="23" t="s">
        <v>1388</v>
      </c>
      <c r="G2810" s="31" t="s">
        <v>161</v>
      </c>
      <c r="H2810" s="23" t="s">
        <v>50</v>
      </c>
      <c r="I2810" s="37" t="str">
        <f>VLOOKUP(H2810,'Flow Location'!$A$1:$B$21,2,FALSE)</f>
        <v>Contained On Site, not within 5 ft. of Bayou/Surface Water/Drainage Ditch</v>
      </c>
      <c r="J2810" s="28">
        <v>1330.0</v>
      </c>
      <c r="K2810" s="23" t="s">
        <v>45</v>
      </c>
      <c r="L2810" s="37" t="str">
        <f>VLOOKUP(K2810,'Structure type'!$A$1:$B$15,2,FALSE)</f>
        <v>City Cleanout</v>
      </c>
      <c r="M2810" s="23" t="s">
        <v>56</v>
      </c>
      <c r="N2810" s="23" t="str">
        <f>VLOOKUP(M2810,'Excursion Cause'!$A$1:$B$34,2,FALSE)</f>
        <v>Rags/Wipes</v>
      </c>
      <c r="O2810" s="29">
        <v>45105.0</v>
      </c>
      <c r="P2810" s="30">
        <v>0.7006944444444444</v>
      </c>
      <c r="Q2810" s="29">
        <v>45107.0</v>
      </c>
      <c r="R2810" s="30">
        <v>0.5472222222222223</v>
      </c>
      <c r="S2810" s="28">
        <v>1.0</v>
      </c>
      <c r="T2810" s="23" t="s">
        <v>270</v>
      </c>
      <c r="U2810" s="6"/>
      <c r="V2810" s="6"/>
      <c r="W2810" s="35">
        <v>29.7415284999999</v>
      </c>
      <c r="X2810" s="35">
        <v>-95.30247</v>
      </c>
      <c r="AA2810" s="33"/>
      <c r="AB2810" s="33"/>
      <c r="AC2810" s="33"/>
      <c r="AD2810" s="33"/>
      <c r="AE2810" s="33"/>
      <c r="AF2810" s="33"/>
      <c r="AG2810" s="33"/>
      <c r="AH2810" s="33"/>
      <c r="AI2810" s="33"/>
      <c r="AJ2810" s="33"/>
      <c r="AK2810" s="33"/>
      <c r="AL2810" s="33"/>
      <c r="AM2810" s="33"/>
      <c r="AN2810" s="33"/>
      <c r="AO2810" s="33"/>
    </row>
    <row r="2811" ht="15.75" customHeight="1">
      <c r="A2811" s="23">
        <v>52706.0</v>
      </c>
      <c r="B2811" s="23">
        <v>2023.0</v>
      </c>
      <c r="C2811" s="36" t="str">
        <f t="shared" si="7"/>
        <v>904 ALLSTON ST,Houston,TX</v>
      </c>
      <c r="D2811" s="23" t="s">
        <v>4068</v>
      </c>
      <c r="E2811" s="23" t="s">
        <v>25</v>
      </c>
      <c r="F2811" s="23" t="s">
        <v>1388</v>
      </c>
      <c r="G2811" s="31" t="s">
        <v>247</v>
      </c>
      <c r="H2811" s="23" t="s">
        <v>50</v>
      </c>
      <c r="I2811" s="37" t="str">
        <f>VLOOKUP(H2811,'Flow Location'!$A$1:$B$21,2,FALSE)</f>
        <v>Contained On Site, not within 5 ft. of Bayou/Surface Water/Drainage Ditch</v>
      </c>
      <c r="J2811" s="28">
        <v>202.0</v>
      </c>
      <c r="K2811" s="23" t="s">
        <v>45</v>
      </c>
      <c r="L2811" s="37" t="str">
        <f>VLOOKUP(K2811,'Structure type'!$A$1:$B$15,2,FALSE)</f>
        <v>City Cleanout</v>
      </c>
      <c r="M2811" s="23" t="s">
        <v>81</v>
      </c>
      <c r="N2811" s="23" t="str">
        <f>VLOOKUP(M2811,'Excursion Cause'!$A$1:$B$34,2,FALSE)</f>
        <v>Collection system structural failure</v>
      </c>
      <c r="O2811" s="29">
        <v>45106.0</v>
      </c>
      <c r="P2811" s="30">
        <v>0.5958333333333333</v>
      </c>
      <c r="Q2811" s="29">
        <v>45106.0</v>
      </c>
      <c r="R2811" s="30">
        <v>0.7361111111111112</v>
      </c>
      <c r="S2811" s="28">
        <v>1.0</v>
      </c>
      <c r="T2811" s="23" t="s">
        <v>270</v>
      </c>
      <c r="U2811" s="6"/>
      <c r="V2811" s="6"/>
      <c r="W2811" s="35">
        <v>29.7872786</v>
      </c>
      <c r="X2811" s="35">
        <v>-95.3998247</v>
      </c>
      <c r="AA2811" s="33"/>
      <c r="AB2811" s="33"/>
      <c r="AC2811" s="33"/>
      <c r="AD2811" s="33"/>
      <c r="AE2811" s="33"/>
      <c r="AF2811" s="33"/>
      <c r="AG2811" s="33"/>
      <c r="AH2811" s="33"/>
      <c r="AI2811" s="33"/>
      <c r="AJ2811" s="33"/>
      <c r="AK2811" s="33"/>
      <c r="AL2811" s="33"/>
      <c r="AM2811" s="33"/>
      <c r="AN2811" s="33"/>
      <c r="AO2811" s="33"/>
    </row>
    <row r="2812" ht="15.75" customHeight="1">
      <c r="A2812" s="23">
        <v>52711.0</v>
      </c>
      <c r="B2812" s="23">
        <v>2023.0</v>
      </c>
      <c r="C2812" s="36" t="str">
        <f t="shared" si="7"/>
        <v>6768 RENWICK DR,Houston,TX</v>
      </c>
      <c r="D2812" s="23" t="s">
        <v>1231</v>
      </c>
      <c r="E2812" s="23" t="s">
        <v>25</v>
      </c>
      <c r="F2812" s="23" t="s">
        <v>1388</v>
      </c>
      <c r="G2812" s="31" t="s">
        <v>222</v>
      </c>
      <c r="H2812" s="23" t="s">
        <v>50</v>
      </c>
      <c r="I2812" s="37" t="str">
        <f>VLOOKUP(H2812,'Flow Location'!$A$1:$B$21,2,FALSE)</f>
        <v>Contained On Site, not within 5 ft. of Bayou/Surface Water/Drainage Ditch</v>
      </c>
      <c r="J2812" s="28">
        <v>0.0</v>
      </c>
      <c r="K2812" s="23" t="s">
        <v>45</v>
      </c>
      <c r="L2812" s="37" t="str">
        <f>VLOOKUP(K2812,'Structure type'!$A$1:$B$15,2,FALSE)</f>
        <v>City Cleanout</v>
      </c>
      <c r="M2812" s="23" t="s">
        <v>56</v>
      </c>
      <c r="N2812" s="23" t="str">
        <f>VLOOKUP(M2812,'Excursion Cause'!$A$1:$B$34,2,FALSE)</f>
        <v>Rags/Wipes</v>
      </c>
      <c r="O2812" s="29">
        <v>45106.0</v>
      </c>
      <c r="P2812" s="30">
        <v>0.6986111111111111</v>
      </c>
      <c r="Q2812" s="29">
        <v>45106.0</v>
      </c>
      <c r="R2812" s="30">
        <v>0.6993055555555555</v>
      </c>
      <c r="S2812" s="28">
        <v>0.0</v>
      </c>
      <c r="T2812" s="23" t="s">
        <v>270</v>
      </c>
      <c r="U2812" s="6"/>
      <c r="V2812" s="6"/>
      <c r="W2812" s="35">
        <v>29.7060684</v>
      </c>
      <c r="X2812" s="35">
        <v>-95.4850929999999</v>
      </c>
      <c r="AA2812" s="33"/>
      <c r="AB2812" s="33"/>
      <c r="AC2812" s="33"/>
      <c r="AD2812" s="33"/>
      <c r="AE2812" s="33"/>
      <c r="AF2812" s="33"/>
      <c r="AG2812" s="33"/>
      <c r="AH2812" s="33"/>
      <c r="AI2812" s="33"/>
      <c r="AJ2812" s="33"/>
      <c r="AK2812" s="33"/>
      <c r="AL2812" s="33"/>
      <c r="AM2812" s="33"/>
      <c r="AN2812" s="33"/>
      <c r="AO2812" s="33"/>
    </row>
    <row r="2813" ht="15.75" customHeight="1">
      <c r="A2813" s="23">
        <v>52712.0</v>
      </c>
      <c r="B2813" s="23">
        <v>2023.0</v>
      </c>
      <c r="C2813" s="36" t="str">
        <f t="shared" si="7"/>
        <v>8308 LA PORTE RD,Houston,TX</v>
      </c>
      <c r="D2813" s="23" t="s">
        <v>4069</v>
      </c>
      <c r="E2813" s="23" t="s">
        <v>25</v>
      </c>
      <c r="F2813" s="23" t="s">
        <v>1388</v>
      </c>
      <c r="G2813" s="31" t="s">
        <v>275</v>
      </c>
      <c r="H2813" s="23" t="s">
        <v>28</v>
      </c>
      <c r="I2813" s="37" t="str">
        <f>VLOOKUP(H2813,'Flow Location'!$A$1:$B$21,2,FALSE)</f>
        <v>Storm Sewer (not contained)</v>
      </c>
      <c r="J2813" s="28">
        <v>1055.0</v>
      </c>
      <c r="K2813" s="23" t="s">
        <v>45</v>
      </c>
      <c r="L2813" s="37" t="str">
        <f>VLOOKUP(K2813,'Structure type'!$A$1:$B$15,2,FALSE)</f>
        <v>City Cleanout</v>
      </c>
      <c r="M2813" s="23" t="s">
        <v>52</v>
      </c>
      <c r="N2813" s="23" t="str">
        <f>VLOOKUP(M2813,'Excursion Cause'!$A$1:$B$34,2,FALSE)</f>
        <v>Collection system structural blockage</v>
      </c>
      <c r="O2813" s="29">
        <v>45106.0</v>
      </c>
      <c r="P2813" s="30">
        <v>0.7013888888888888</v>
      </c>
      <c r="Q2813" s="29">
        <v>45107.0</v>
      </c>
      <c r="R2813" s="30">
        <v>0.4340277777777778</v>
      </c>
      <c r="S2813" s="28">
        <v>1.0</v>
      </c>
      <c r="T2813" s="23" t="s">
        <v>270</v>
      </c>
      <c r="U2813" s="6"/>
      <c r="V2813" s="6"/>
      <c r="W2813" s="35">
        <v>29.7145778</v>
      </c>
      <c r="X2813" s="35">
        <v>-95.2752881999999</v>
      </c>
      <c r="AA2813" s="33"/>
      <c r="AB2813" s="33"/>
      <c r="AC2813" s="33"/>
      <c r="AD2813" s="33"/>
      <c r="AE2813" s="33"/>
      <c r="AF2813" s="33"/>
      <c r="AG2813" s="33"/>
      <c r="AH2813" s="33"/>
      <c r="AI2813" s="33"/>
      <c r="AJ2813" s="33"/>
      <c r="AK2813" s="33"/>
      <c r="AL2813" s="33"/>
      <c r="AM2813" s="33"/>
      <c r="AN2813" s="33"/>
      <c r="AO2813" s="33"/>
    </row>
    <row r="2814" ht="15.75" customHeight="1">
      <c r="A2814" s="23">
        <v>52719.0</v>
      </c>
      <c r="B2814" s="23">
        <v>2023.0</v>
      </c>
      <c r="C2814" s="36" t="str">
        <f t="shared" si="7"/>
        <v>6700 CHIMNEY ROCK RD,Houston,TX</v>
      </c>
      <c r="D2814" s="23" t="s">
        <v>3078</v>
      </c>
      <c r="E2814" s="23" t="s">
        <v>25</v>
      </c>
      <c r="F2814" s="23" t="s">
        <v>1388</v>
      </c>
      <c r="G2814" s="31" t="s">
        <v>39</v>
      </c>
      <c r="H2814" s="23" t="s">
        <v>50</v>
      </c>
      <c r="I2814" s="37" t="str">
        <f>VLOOKUP(H2814,'Flow Location'!$A$1:$B$21,2,FALSE)</f>
        <v>Contained On Site, not within 5 ft. of Bayou/Surface Water/Drainage Ditch</v>
      </c>
      <c r="J2814" s="28">
        <v>0.0</v>
      </c>
      <c r="K2814" s="23" t="s">
        <v>45</v>
      </c>
      <c r="L2814" s="37" t="str">
        <f>VLOOKUP(K2814,'Structure type'!$A$1:$B$15,2,FALSE)</f>
        <v>City Cleanout</v>
      </c>
      <c r="M2814" s="23" t="s">
        <v>30</v>
      </c>
      <c r="N2814" s="23" t="str">
        <f>VLOOKUP(M2814,'Excursion Cause'!$A$1:$B$34,2,FALSE)</f>
        <v>Grease Blockage</v>
      </c>
      <c r="O2814" s="29">
        <v>45106.0</v>
      </c>
      <c r="P2814" s="30">
        <v>0.6256944444444444</v>
      </c>
      <c r="Q2814" s="29">
        <v>45106.0</v>
      </c>
      <c r="R2814" s="30">
        <v>0.6263888888888889</v>
      </c>
      <c r="S2814" s="28">
        <v>0.0</v>
      </c>
      <c r="T2814" s="23" t="s">
        <v>270</v>
      </c>
      <c r="U2814" s="6"/>
      <c r="V2814" s="6"/>
      <c r="W2814" s="35">
        <v>29.7069859</v>
      </c>
      <c r="X2814" s="35">
        <v>-95.476599</v>
      </c>
      <c r="AA2814" s="33"/>
      <c r="AB2814" s="33"/>
      <c r="AC2814" s="33"/>
      <c r="AD2814" s="33"/>
      <c r="AE2814" s="33"/>
      <c r="AF2814" s="33"/>
      <c r="AG2814" s="33"/>
      <c r="AH2814" s="33"/>
      <c r="AI2814" s="33"/>
      <c r="AJ2814" s="33"/>
      <c r="AK2814" s="33"/>
      <c r="AL2814" s="33"/>
      <c r="AM2814" s="33"/>
      <c r="AN2814" s="33"/>
      <c r="AO2814" s="33"/>
    </row>
    <row r="2815" ht="15.75" customHeight="1">
      <c r="A2815" s="23">
        <v>52715.0</v>
      </c>
      <c r="B2815" s="23">
        <v>2023.0</v>
      </c>
      <c r="C2815" s="36" t="str">
        <f t="shared" si="7"/>
        <v>8869 CHATSWORTH DR,Houston,TX</v>
      </c>
      <c r="D2815" s="23" t="s">
        <v>4070</v>
      </c>
      <c r="E2815" s="23" t="s">
        <v>25</v>
      </c>
      <c r="F2815" s="23" t="s">
        <v>1388</v>
      </c>
      <c r="G2815" s="31" t="s">
        <v>154</v>
      </c>
      <c r="H2815" s="23" t="s">
        <v>50</v>
      </c>
      <c r="I2815" s="37" t="str">
        <f>VLOOKUP(H2815,'Flow Location'!$A$1:$B$21,2,FALSE)</f>
        <v>Contained On Site, not within 5 ft. of Bayou/Surface Water/Drainage Ditch</v>
      </c>
      <c r="J2815" s="28">
        <v>310.0</v>
      </c>
      <c r="K2815" s="23" t="s">
        <v>198</v>
      </c>
      <c r="L2815" s="37" t="str">
        <f>VLOOKUP(K2815,'Structure type'!$A$1:$B$15,2,FALSE)</f>
        <v>Service Lateral</v>
      </c>
      <c r="M2815" s="23" t="s">
        <v>81</v>
      </c>
      <c r="N2815" s="23" t="str">
        <f>VLOOKUP(M2815,'Excursion Cause'!$A$1:$B$34,2,FALSE)</f>
        <v>Collection system structural failure</v>
      </c>
      <c r="O2815" s="29">
        <v>45107.0</v>
      </c>
      <c r="P2815" s="30">
        <v>0.4097222222222222</v>
      </c>
      <c r="Q2815" s="29">
        <v>45107.0</v>
      </c>
      <c r="R2815" s="30">
        <v>0.625</v>
      </c>
      <c r="S2815" s="28">
        <v>1.0</v>
      </c>
      <c r="T2815" s="23" t="s">
        <v>270</v>
      </c>
      <c r="U2815" s="6"/>
      <c r="V2815" s="6"/>
      <c r="W2815" s="35">
        <v>29.7799215</v>
      </c>
      <c r="X2815" s="35">
        <v>-95.4605189999999</v>
      </c>
      <c r="AA2815" s="33"/>
      <c r="AB2815" s="33"/>
      <c r="AC2815" s="33"/>
      <c r="AD2815" s="33"/>
      <c r="AE2815" s="33"/>
      <c r="AF2815" s="33"/>
      <c r="AG2815" s="33"/>
      <c r="AH2815" s="33"/>
      <c r="AI2815" s="33"/>
      <c r="AJ2815" s="33"/>
      <c r="AK2815" s="33"/>
      <c r="AL2815" s="33"/>
      <c r="AM2815" s="33"/>
      <c r="AN2815" s="33"/>
      <c r="AO2815" s="33"/>
    </row>
    <row r="2816" ht="15.75" customHeight="1">
      <c r="A2816" s="23">
        <v>52716.0</v>
      </c>
      <c r="B2816" s="23">
        <v>2023.0</v>
      </c>
      <c r="C2816" s="36" t="str">
        <f t="shared" si="7"/>
        <v>11865 NORTH FWY,Houston,TX</v>
      </c>
      <c r="D2816" s="23" t="s">
        <v>4071</v>
      </c>
      <c r="E2816" s="23" t="s">
        <v>25</v>
      </c>
      <c r="F2816" s="23" t="s">
        <v>1388</v>
      </c>
      <c r="G2816" s="31" t="s">
        <v>247</v>
      </c>
      <c r="H2816" s="23" t="s">
        <v>28</v>
      </c>
      <c r="I2816" s="37" t="str">
        <f>VLOOKUP(H2816,'Flow Location'!$A$1:$B$21,2,FALSE)</f>
        <v>Storm Sewer (not contained)</v>
      </c>
      <c r="J2816" s="28">
        <v>0.0</v>
      </c>
      <c r="K2816" s="23" t="s">
        <v>29</v>
      </c>
      <c r="L2816" s="37" t="str">
        <f>VLOOKUP(K2816,'Structure type'!$A$1:$B$15,2,FALSE)</f>
        <v>Manhole</v>
      </c>
      <c r="M2816" s="23" t="s">
        <v>3239</v>
      </c>
      <c r="N2816" s="23" t="str">
        <f>VLOOKUP(M2816,'Excursion Cause'!$A$1:$B$34,2,FALSE)</f>
        <v>Collection system temporary blockage</v>
      </c>
      <c r="O2816" s="29">
        <v>45107.0</v>
      </c>
      <c r="P2816" s="30">
        <v>6.944444444444445E-4</v>
      </c>
      <c r="Q2816" s="29">
        <v>45107.0</v>
      </c>
      <c r="R2816" s="30">
        <v>0.2916666666666667</v>
      </c>
      <c r="S2816" s="28">
        <v>0.0</v>
      </c>
      <c r="T2816" s="23" t="s">
        <v>270</v>
      </c>
      <c r="U2816" s="6"/>
      <c r="V2816" s="6"/>
      <c r="W2816" s="35">
        <v>30.0418444</v>
      </c>
      <c r="X2816" s="35">
        <v>-95.4297343</v>
      </c>
      <c r="AA2816" s="33"/>
      <c r="AB2816" s="33"/>
      <c r="AC2816" s="33"/>
      <c r="AD2816" s="33"/>
      <c r="AE2816" s="33"/>
      <c r="AF2816" s="33"/>
      <c r="AG2816" s="33"/>
      <c r="AH2816" s="33"/>
      <c r="AI2816" s="33"/>
      <c r="AJ2816" s="33"/>
      <c r="AK2816" s="33"/>
      <c r="AL2816" s="33"/>
      <c r="AM2816" s="33"/>
      <c r="AN2816" s="33"/>
      <c r="AO2816" s="33"/>
    </row>
    <row r="2817" ht="15.75" customHeight="1">
      <c r="A2817" s="23">
        <v>52718.0</v>
      </c>
      <c r="B2817" s="23">
        <v>2023.0</v>
      </c>
      <c r="C2817" s="36" t="str">
        <f t="shared" si="7"/>
        <v>10210 SHADOW WOOD DR,Houston,TX</v>
      </c>
      <c r="D2817" s="23" t="s">
        <v>4072</v>
      </c>
      <c r="E2817" s="23" t="s">
        <v>25</v>
      </c>
      <c r="F2817" s="23" t="s">
        <v>1388</v>
      </c>
      <c r="G2817" s="31" t="s">
        <v>27</v>
      </c>
      <c r="H2817" s="23" t="s">
        <v>50</v>
      </c>
      <c r="I2817" s="37" t="str">
        <f>VLOOKUP(H2817,'Flow Location'!$A$1:$B$21,2,FALSE)</f>
        <v>Contained On Site, not within 5 ft. of Bayou/Surface Water/Drainage Ditch</v>
      </c>
      <c r="J2817" s="28">
        <v>0.0</v>
      </c>
      <c r="K2817" s="23" t="s">
        <v>198</v>
      </c>
      <c r="L2817" s="37" t="str">
        <f>VLOOKUP(K2817,'Structure type'!$A$1:$B$15,2,FALSE)</f>
        <v>Service Lateral</v>
      </c>
      <c r="M2817" s="23" t="s">
        <v>52</v>
      </c>
      <c r="N2817" s="23" t="str">
        <f>VLOOKUP(M2817,'Excursion Cause'!$A$1:$B$34,2,FALSE)</f>
        <v>Collection system structural blockage</v>
      </c>
      <c r="O2817" s="29">
        <v>45107.0</v>
      </c>
      <c r="P2817" s="30">
        <v>0.6277777777777778</v>
      </c>
      <c r="Q2817" s="29">
        <v>45107.0</v>
      </c>
      <c r="R2817" s="30">
        <v>0.6284722222222222</v>
      </c>
      <c r="S2817" s="28">
        <v>0.0</v>
      </c>
      <c r="T2817" s="23" t="s">
        <v>270</v>
      </c>
      <c r="U2817" s="6"/>
      <c r="V2817" s="6"/>
      <c r="W2817" s="35">
        <v>29.8051684</v>
      </c>
      <c r="X2817" s="35">
        <v>-95.550755</v>
      </c>
      <c r="AA2817" s="33"/>
      <c r="AB2817" s="33"/>
      <c r="AC2817" s="33"/>
      <c r="AD2817" s="33"/>
      <c r="AE2817" s="33"/>
      <c r="AF2817" s="33"/>
      <c r="AG2817" s="33"/>
      <c r="AH2817" s="33"/>
      <c r="AI2817" s="33"/>
      <c r="AJ2817" s="33"/>
      <c r="AK2817" s="33"/>
      <c r="AL2817" s="33"/>
      <c r="AM2817" s="33"/>
      <c r="AN2817" s="33"/>
      <c r="AO2817" s="33"/>
    </row>
    <row r="2818" ht="15.75" customHeight="1">
      <c r="A2818" s="23">
        <v>52721.0</v>
      </c>
      <c r="B2818" s="23">
        <v>2023.0</v>
      </c>
      <c r="C2818" s="36" t="str">
        <f t="shared" si="7"/>
        <v>8100 MAPLECREST DR,Houston,TX</v>
      </c>
      <c r="D2818" s="23" t="s">
        <v>4027</v>
      </c>
      <c r="E2818" s="23" t="s">
        <v>25</v>
      </c>
      <c r="F2818" s="23" t="s">
        <v>1388</v>
      </c>
      <c r="G2818" s="31" t="s">
        <v>166</v>
      </c>
      <c r="H2818" s="23" t="s">
        <v>50</v>
      </c>
      <c r="I2818" s="37" t="str">
        <f>VLOOKUP(H2818,'Flow Location'!$A$1:$B$21,2,FALSE)</f>
        <v>Contained On Site, not within 5 ft. of Bayou/Surface Water/Drainage Ditch</v>
      </c>
      <c r="J2818" s="28">
        <v>0.0</v>
      </c>
      <c r="K2818" s="23" t="s">
        <v>29</v>
      </c>
      <c r="L2818" s="37" t="str">
        <f>VLOOKUP(K2818,'Structure type'!$A$1:$B$15,2,FALSE)</f>
        <v>Manhole</v>
      </c>
      <c r="M2818" s="23" t="s">
        <v>30</v>
      </c>
      <c r="N2818" s="23" t="str">
        <f>VLOOKUP(M2818,'Excursion Cause'!$A$1:$B$34,2,FALSE)</f>
        <v>Grease Blockage</v>
      </c>
      <c r="O2818" s="29">
        <v>45107.0</v>
      </c>
      <c r="P2818" s="30">
        <v>0.3715277777777778</v>
      </c>
      <c r="Q2818" s="29">
        <v>45107.0</v>
      </c>
      <c r="R2818" s="30">
        <v>0.37222222222222223</v>
      </c>
      <c r="S2818" s="28">
        <v>0.0</v>
      </c>
      <c r="T2818" s="23" t="s">
        <v>270</v>
      </c>
      <c r="U2818" s="6"/>
      <c r="V2818" s="6"/>
      <c r="W2818" s="35">
        <v>29.6917836</v>
      </c>
      <c r="X2818" s="35">
        <v>-95.5675938999999</v>
      </c>
      <c r="AA2818" s="33"/>
      <c r="AB2818" s="33"/>
      <c r="AC2818" s="33"/>
      <c r="AD2818" s="33"/>
      <c r="AE2818" s="33"/>
      <c r="AF2818" s="33"/>
      <c r="AG2818" s="33"/>
      <c r="AH2818" s="33"/>
      <c r="AI2818" s="33"/>
      <c r="AJ2818" s="33"/>
      <c r="AK2818" s="33"/>
      <c r="AL2818" s="33"/>
      <c r="AM2818" s="33"/>
      <c r="AN2818" s="33"/>
      <c r="AO2818" s="33"/>
    </row>
    <row r="2819" ht="15.75" customHeight="1">
      <c r="A2819" s="23">
        <v>52722.0</v>
      </c>
      <c r="B2819" s="23">
        <v>2023.0</v>
      </c>
      <c r="C2819" s="36" t="str">
        <f t="shared" si="7"/>
        <v>7149 CAROTHERS ST,Houston,TX</v>
      </c>
      <c r="D2819" s="23" t="s">
        <v>4073</v>
      </c>
      <c r="E2819" s="23" t="s">
        <v>25</v>
      </c>
      <c r="F2819" s="23" t="s">
        <v>1388</v>
      </c>
      <c r="G2819" s="31" t="s">
        <v>177</v>
      </c>
      <c r="H2819" s="23" t="s">
        <v>50</v>
      </c>
      <c r="I2819" s="37" t="str">
        <f>VLOOKUP(H2819,'Flow Location'!$A$1:$B$21,2,FALSE)</f>
        <v>Contained On Site, not within 5 ft. of Bayou/Surface Water/Drainage Ditch</v>
      </c>
      <c r="J2819" s="28">
        <v>0.0</v>
      </c>
      <c r="K2819" s="23" t="s">
        <v>51</v>
      </c>
      <c r="L2819" s="37" t="str">
        <f>VLOOKUP(K2819,'Structure type'!$A$1:$B$15,2,FALSE)</f>
        <v>Private Cleanout</v>
      </c>
      <c r="M2819" s="23" t="s">
        <v>30</v>
      </c>
      <c r="N2819" s="23" t="str">
        <f>VLOOKUP(M2819,'Excursion Cause'!$A$1:$B$34,2,FALSE)</f>
        <v>Grease Blockage</v>
      </c>
      <c r="O2819" s="29">
        <v>45108.0</v>
      </c>
      <c r="P2819" s="30">
        <v>0.4152777777777778</v>
      </c>
      <c r="Q2819" s="29">
        <v>45108.0</v>
      </c>
      <c r="R2819" s="30">
        <v>0.41597222222222224</v>
      </c>
      <c r="S2819" s="28">
        <v>0.0</v>
      </c>
      <c r="T2819" s="23" t="s">
        <v>1473</v>
      </c>
      <c r="U2819" s="6"/>
      <c r="V2819" s="6"/>
      <c r="W2819" s="35">
        <v>29.8342318</v>
      </c>
      <c r="X2819" s="35">
        <v>-95.3000205</v>
      </c>
      <c r="AA2819" s="33"/>
      <c r="AB2819" s="33"/>
      <c r="AC2819" s="33"/>
      <c r="AD2819" s="33"/>
      <c r="AE2819" s="33"/>
      <c r="AF2819" s="33"/>
      <c r="AG2819" s="33"/>
      <c r="AH2819" s="33"/>
      <c r="AI2819" s="33"/>
      <c r="AJ2819" s="33"/>
      <c r="AK2819" s="33"/>
      <c r="AL2819" s="33"/>
      <c r="AM2819" s="33"/>
      <c r="AN2819" s="33"/>
      <c r="AO2819" s="33"/>
    </row>
    <row r="2820" ht="15.75" customHeight="1">
      <c r="A2820" s="23">
        <v>52724.0</v>
      </c>
      <c r="B2820" s="23">
        <v>2023.0</v>
      </c>
      <c r="C2820" s="36" t="str">
        <f t="shared" si="7"/>
        <v>6151 ALMEDA RD,Houston,TX</v>
      </c>
      <c r="D2820" s="23" t="s">
        <v>4074</v>
      </c>
      <c r="E2820" s="23" t="s">
        <v>25</v>
      </c>
      <c r="F2820" s="23" t="s">
        <v>1388</v>
      </c>
      <c r="G2820" s="31" t="s">
        <v>238</v>
      </c>
      <c r="H2820" s="23" t="s">
        <v>28</v>
      </c>
      <c r="I2820" s="37" t="str">
        <f>VLOOKUP(H2820,'Flow Location'!$A$1:$B$21,2,FALSE)</f>
        <v>Storm Sewer (not contained)</v>
      </c>
      <c r="J2820" s="28">
        <v>484.0</v>
      </c>
      <c r="K2820" s="23" t="s">
        <v>29</v>
      </c>
      <c r="L2820" s="37" t="str">
        <f>VLOOKUP(K2820,'Structure type'!$A$1:$B$15,2,FALSE)</f>
        <v>Manhole</v>
      </c>
      <c r="M2820" s="23" t="s">
        <v>30</v>
      </c>
      <c r="N2820" s="23" t="str">
        <f>VLOOKUP(M2820,'Excursion Cause'!$A$1:$B$34,2,FALSE)</f>
        <v>Grease Blockage</v>
      </c>
      <c r="O2820" s="29">
        <v>45108.0</v>
      </c>
      <c r="P2820" s="30">
        <v>0.49236111111111114</v>
      </c>
      <c r="Q2820" s="29">
        <v>45108.0</v>
      </c>
      <c r="R2820" s="30">
        <v>0.5763888888888888</v>
      </c>
      <c r="S2820" s="28">
        <v>4.0</v>
      </c>
      <c r="T2820" s="23" t="s">
        <v>3749</v>
      </c>
      <c r="U2820" s="6"/>
      <c r="V2820" s="6"/>
      <c r="W2820" s="35">
        <v>29.7118531</v>
      </c>
      <c r="X2820" s="35">
        <v>-95.3823051</v>
      </c>
      <c r="AA2820" s="33"/>
      <c r="AB2820" s="33"/>
      <c r="AC2820" s="33"/>
      <c r="AD2820" s="33"/>
      <c r="AE2820" s="33"/>
      <c r="AF2820" s="33"/>
      <c r="AG2820" s="33"/>
      <c r="AH2820" s="33"/>
      <c r="AI2820" s="33"/>
      <c r="AJ2820" s="33"/>
      <c r="AK2820" s="33"/>
      <c r="AL2820" s="33"/>
      <c r="AM2820" s="33"/>
      <c r="AN2820" s="33"/>
      <c r="AO2820" s="33"/>
    </row>
    <row r="2821" ht="15.75" customHeight="1">
      <c r="A2821" s="23">
        <v>52725.0</v>
      </c>
      <c r="B2821" s="23">
        <v>2023.0</v>
      </c>
      <c r="C2821" s="36" t="str">
        <f t="shared" si="7"/>
        <v>1520 TELEPHONE RD,Houston,TX</v>
      </c>
      <c r="D2821" s="23" t="s">
        <v>4075</v>
      </c>
      <c r="E2821" s="23" t="s">
        <v>25</v>
      </c>
      <c r="F2821" s="23" t="s">
        <v>1388</v>
      </c>
      <c r="G2821" s="31" t="s">
        <v>141</v>
      </c>
      <c r="H2821" s="23" t="s">
        <v>50</v>
      </c>
      <c r="I2821" s="37" t="str">
        <f>VLOOKUP(H2821,'Flow Location'!$A$1:$B$21,2,FALSE)</f>
        <v>Contained On Site, not within 5 ft. of Bayou/Surface Water/Drainage Ditch</v>
      </c>
      <c r="J2821" s="28">
        <v>0.0</v>
      </c>
      <c r="K2821" s="23" t="s">
        <v>51</v>
      </c>
      <c r="L2821" s="37" t="str">
        <f>VLOOKUP(K2821,'Structure type'!$A$1:$B$15,2,FALSE)</f>
        <v>Private Cleanout</v>
      </c>
      <c r="M2821" s="23" t="s">
        <v>30</v>
      </c>
      <c r="N2821" s="23" t="str">
        <f>VLOOKUP(M2821,'Excursion Cause'!$A$1:$B$34,2,FALSE)</f>
        <v>Grease Blockage</v>
      </c>
      <c r="O2821" s="29">
        <v>45108.0</v>
      </c>
      <c r="P2821" s="30">
        <v>0.5138888888888888</v>
      </c>
      <c r="Q2821" s="29">
        <v>45109.0</v>
      </c>
      <c r="R2821" s="30">
        <v>0.5145833333333333</v>
      </c>
      <c r="S2821" s="28">
        <v>0.0</v>
      </c>
      <c r="T2821" s="23" t="s">
        <v>3749</v>
      </c>
      <c r="U2821" s="6"/>
      <c r="V2821" s="6"/>
      <c r="W2821" s="35">
        <v>29.728655</v>
      </c>
      <c r="X2821" s="35">
        <v>-95.3263729999999</v>
      </c>
      <c r="AA2821" s="33"/>
      <c r="AB2821" s="33"/>
      <c r="AC2821" s="33"/>
      <c r="AD2821" s="33"/>
      <c r="AE2821" s="33"/>
      <c r="AF2821" s="33"/>
      <c r="AG2821" s="33"/>
      <c r="AH2821" s="33"/>
      <c r="AI2821" s="33"/>
      <c r="AJ2821" s="33"/>
      <c r="AK2821" s="33"/>
      <c r="AL2821" s="33"/>
      <c r="AM2821" s="33"/>
      <c r="AN2821" s="33"/>
      <c r="AO2821" s="33"/>
    </row>
    <row r="2822" ht="15.75" customHeight="1">
      <c r="A2822" s="23">
        <v>52729.0</v>
      </c>
      <c r="B2822" s="23">
        <v>2023.0</v>
      </c>
      <c r="C2822" s="36" t="str">
        <f t="shared" si="7"/>
        <v>667 SEMINAR DR,Houston,TX</v>
      </c>
      <c r="D2822" s="23" t="s">
        <v>3883</v>
      </c>
      <c r="E2822" s="23" t="s">
        <v>25</v>
      </c>
      <c r="F2822" s="23" t="s">
        <v>1388</v>
      </c>
      <c r="G2822" s="31" t="s">
        <v>393</v>
      </c>
      <c r="H2822" s="23" t="s">
        <v>50</v>
      </c>
      <c r="I2822" s="37" t="str">
        <f>VLOOKUP(H2822,'Flow Location'!$A$1:$B$21,2,FALSE)</f>
        <v>Contained On Site, not within 5 ft. of Bayou/Surface Water/Drainage Ditch</v>
      </c>
      <c r="J2822" s="28">
        <v>0.0</v>
      </c>
      <c r="K2822" s="23" t="s">
        <v>29</v>
      </c>
      <c r="L2822" s="37" t="str">
        <f>VLOOKUP(K2822,'Structure type'!$A$1:$B$15,2,FALSE)</f>
        <v>Manhole</v>
      </c>
      <c r="M2822" s="23" t="s">
        <v>96</v>
      </c>
      <c r="N2822" s="23" t="str">
        <f>VLOOKUP(M2822,'Excursion Cause'!$A$1:$B$34,2,FALSE)</f>
        <v>Collection system temporary blockage</v>
      </c>
      <c r="O2822" s="29">
        <v>45109.0</v>
      </c>
      <c r="P2822" s="30">
        <v>0.65</v>
      </c>
      <c r="Q2822" s="29">
        <v>45109.0</v>
      </c>
      <c r="R2822" s="30">
        <v>0.6506944444444445</v>
      </c>
      <c r="S2822" s="28">
        <v>0.0</v>
      </c>
      <c r="T2822" s="23" t="s">
        <v>118</v>
      </c>
      <c r="U2822" s="6"/>
      <c r="V2822" s="6"/>
      <c r="W2822" s="35">
        <v>29.948697</v>
      </c>
      <c r="X2822" s="35">
        <v>-95.3887726</v>
      </c>
      <c r="AA2822" s="33"/>
      <c r="AB2822" s="33"/>
      <c r="AC2822" s="33"/>
      <c r="AD2822" s="33"/>
      <c r="AE2822" s="33"/>
      <c r="AF2822" s="33"/>
      <c r="AG2822" s="33"/>
      <c r="AH2822" s="33"/>
      <c r="AI2822" s="33"/>
      <c r="AJ2822" s="33"/>
      <c r="AK2822" s="33"/>
      <c r="AL2822" s="33"/>
      <c r="AM2822" s="33"/>
      <c r="AN2822" s="33"/>
      <c r="AO2822" s="33"/>
    </row>
    <row r="2823" ht="15.75" customHeight="1">
      <c r="A2823" s="23">
        <v>52734.0</v>
      </c>
      <c r="B2823" s="23">
        <v>2023.0</v>
      </c>
      <c r="C2823" s="36" t="str">
        <f t="shared" si="7"/>
        <v>11234 REBEL RD,Houston,TX</v>
      </c>
      <c r="D2823" s="23" t="s">
        <v>4076</v>
      </c>
      <c r="E2823" s="23" t="s">
        <v>25</v>
      </c>
      <c r="F2823" s="23" t="s">
        <v>1388</v>
      </c>
      <c r="G2823" s="31" t="s">
        <v>326</v>
      </c>
      <c r="H2823" s="23" t="s">
        <v>50</v>
      </c>
      <c r="I2823" s="37" t="str">
        <f>VLOOKUP(H2823,'Flow Location'!$A$1:$B$21,2,FALSE)</f>
        <v>Contained On Site, not within 5 ft. of Bayou/Surface Water/Drainage Ditch</v>
      </c>
      <c r="J2823" s="28">
        <v>0.0</v>
      </c>
      <c r="K2823" s="23" t="s">
        <v>51</v>
      </c>
      <c r="L2823" s="37" t="str">
        <f>VLOOKUP(K2823,'Structure type'!$A$1:$B$15,2,FALSE)</f>
        <v>Private Cleanout</v>
      </c>
      <c r="M2823" s="23" t="s">
        <v>30</v>
      </c>
      <c r="N2823" s="23" t="str">
        <f>VLOOKUP(M2823,'Excursion Cause'!$A$1:$B$34,2,FALSE)</f>
        <v>Grease Blockage</v>
      </c>
      <c r="O2823" s="29">
        <v>45110.0</v>
      </c>
      <c r="P2823" s="30">
        <v>0.6465277777777778</v>
      </c>
      <c r="Q2823" s="29">
        <v>45110.0</v>
      </c>
      <c r="R2823" s="30">
        <v>0.6472222222222223</v>
      </c>
      <c r="S2823" s="28">
        <v>0.0</v>
      </c>
      <c r="T2823" s="23" t="s">
        <v>1462</v>
      </c>
      <c r="U2823" s="6"/>
      <c r="V2823" s="6"/>
      <c r="W2823" s="35">
        <v>29.882459</v>
      </c>
      <c r="X2823" s="35">
        <v>-95.2910376</v>
      </c>
      <c r="AA2823" s="33"/>
      <c r="AB2823" s="33"/>
      <c r="AC2823" s="33"/>
      <c r="AD2823" s="33"/>
      <c r="AE2823" s="33"/>
      <c r="AF2823" s="33"/>
      <c r="AG2823" s="33"/>
      <c r="AH2823" s="33"/>
      <c r="AI2823" s="33"/>
      <c r="AJ2823" s="33"/>
      <c r="AK2823" s="33"/>
      <c r="AL2823" s="33"/>
      <c r="AM2823" s="33"/>
      <c r="AN2823" s="33"/>
      <c r="AO2823" s="33"/>
    </row>
    <row r="2824" ht="15.75" customHeight="1">
      <c r="A2824" s="23">
        <v>52739.0</v>
      </c>
      <c r="B2824" s="23">
        <v>2023.0</v>
      </c>
      <c r="C2824" s="36" t="str">
        <f t="shared" si="7"/>
        <v>12126 COULSON CIR,Houston,TX</v>
      </c>
      <c r="D2824" s="23" t="s">
        <v>4077</v>
      </c>
      <c r="E2824" s="23" t="s">
        <v>25</v>
      </c>
      <c r="F2824" s="23" t="s">
        <v>1388</v>
      </c>
      <c r="G2824" s="31" t="s">
        <v>623</v>
      </c>
      <c r="H2824" s="23" t="s">
        <v>50</v>
      </c>
      <c r="I2824" s="37" t="str">
        <f>VLOOKUP(H2824,'Flow Location'!$A$1:$B$21,2,FALSE)</f>
        <v>Contained On Site, not within 5 ft. of Bayou/Surface Water/Drainage Ditch</v>
      </c>
      <c r="J2824" s="28">
        <v>0.0</v>
      </c>
      <c r="K2824" s="23" t="s">
        <v>29</v>
      </c>
      <c r="L2824" s="37" t="str">
        <f>VLOOKUP(K2824,'Structure type'!$A$1:$B$15,2,FALSE)</f>
        <v>Manhole</v>
      </c>
      <c r="M2824" s="23" t="s">
        <v>30</v>
      </c>
      <c r="N2824" s="23" t="str">
        <f>VLOOKUP(M2824,'Excursion Cause'!$A$1:$B$34,2,FALSE)</f>
        <v>Grease Blockage</v>
      </c>
      <c r="O2824" s="29">
        <v>45111.0</v>
      </c>
      <c r="P2824" s="30">
        <v>0.3458333333333333</v>
      </c>
      <c r="Q2824" s="29">
        <v>45111.0</v>
      </c>
      <c r="R2824" s="30">
        <v>0.34652777777777777</v>
      </c>
      <c r="S2824" s="28">
        <v>0.0</v>
      </c>
      <c r="T2824" s="23" t="s">
        <v>1462</v>
      </c>
      <c r="U2824" s="6"/>
      <c r="V2824" s="6"/>
      <c r="W2824" s="35">
        <v>29.7658017</v>
      </c>
      <c r="X2824" s="35">
        <v>-95.2199507999999</v>
      </c>
      <c r="AA2824" s="33"/>
      <c r="AB2824" s="33"/>
      <c r="AC2824" s="33"/>
      <c r="AD2824" s="33"/>
      <c r="AE2824" s="33"/>
      <c r="AF2824" s="33"/>
      <c r="AG2824" s="33"/>
      <c r="AH2824" s="33"/>
      <c r="AI2824" s="33"/>
      <c r="AJ2824" s="33"/>
      <c r="AK2824" s="33"/>
      <c r="AL2824" s="33"/>
      <c r="AM2824" s="33"/>
      <c r="AN2824" s="33"/>
      <c r="AO2824" s="33"/>
    </row>
    <row r="2825" ht="15.75" customHeight="1">
      <c r="A2825" s="23">
        <v>52740.0</v>
      </c>
      <c r="B2825" s="23">
        <v>2023.0</v>
      </c>
      <c r="C2825" s="36" t="str">
        <f t="shared" si="7"/>
        <v>13307 AGARITA LN,Houston,TX</v>
      </c>
      <c r="D2825" s="23" t="s">
        <v>4078</v>
      </c>
      <c r="E2825" s="23" t="s">
        <v>25</v>
      </c>
      <c r="F2825" s="23" t="s">
        <v>1388</v>
      </c>
      <c r="G2825" s="31" t="s">
        <v>1218</v>
      </c>
      <c r="H2825" s="23" t="s">
        <v>50</v>
      </c>
      <c r="I2825" s="37" t="str">
        <f>VLOOKUP(H2825,'Flow Location'!$A$1:$B$21,2,FALSE)</f>
        <v>Contained On Site, not within 5 ft. of Bayou/Surface Water/Drainage Ditch</v>
      </c>
      <c r="J2825" s="28">
        <v>0.0</v>
      </c>
      <c r="K2825" s="23" t="s">
        <v>45</v>
      </c>
      <c r="L2825" s="37" t="str">
        <f>VLOOKUP(K2825,'Structure type'!$A$1:$B$15,2,FALSE)</f>
        <v>City Cleanout</v>
      </c>
      <c r="M2825" s="23" t="s">
        <v>56</v>
      </c>
      <c r="N2825" s="23" t="str">
        <f>VLOOKUP(M2825,'Excursion Cause'!$A$1:$B$34,2,FALSE)</f>
        <v>Rags/Wipes</v>
      </c>
      <c r="O2825" s="29">
        <v>45112.0</v>
      </c>
      <c r="P2825" s="30">
        <v>0.3715277777777778</v>
      </c>
      <c r="Q2825" s="29">
        <v>45112.0</v>
      </c>
      <c r="R2825" s="30">
        <v>0.37222222222222223</v>
      </c>
      <c r="S2825" s="28">
        <v>0.0</v>
      </c>
      <c r="T2825" s="23" t="s">
        <v>1473</v>
      </c>
      <c r="U2825" s="6"/>
      <c r="V2825" s="6"/>
      <c r="W2825" s="35">
        <v>29.7080138</v>
      </c>
      <c r="X2825" s="35">
        <v>-95.6175574</v>
      </c>
      <c r="AA2825" s="33"/>
      <c r="AB2825" s="33"/>
      <c r="AC2825" s="33"/>
      <c r="AD2825" s="33"/>
      <c r="AE2825" s="33"/>
      <c r="AF2825" s="33"/>
      <c r="AG2825" s="33"/>
      <c r="AH2825" s="33"/>
      <c r="AI2825" s="33"/>
      <c r="AJ2825" s="33"/>
      <c r="AK2825" s="33"/>
      <c r="AL2825" s="33"/>
      <c r="AM2825" s="33"/>
      <c r="AN2825" s="33"/>
      <c r="AO2825" s="33"/>
    </row>
    <row r="2826" ht="15.75" customHeight="1">
      <c r="A2826" s="23">
        <v>52742.0</v>
      </c>
      <c r="B2826" s="23">
        <v>2023.0</v>
      </c>
      <c r="C2826" s="36" t="str">
        <f t="shared" si="7"/>
        <v>6301 BELLFORT AVE,Houston,TX</v>
      </c>
      <c r="D2826" s="23" t="s">
        <v>4079</v>
      </c>
      <c r="E2826" s="23" t="s">
        <v>25</v>
      </c>
      <c r="F2826" s="23" t="s">
        <v>1388</v>
      </c>
      <c r="G2826" s="31" t="s">
        <v>35</v>
      </c>
      <c r="H2826" s="23" t="s">
        <v>28</v>
      </c>
      <c r="I2826" s="37" t="str">
        <f>VLOOKUP(H2826,'Flow Location'!$A$1:$B$21,2,FALSE)</f>
        <v>Storm Sewer (not contained)</v>
      </c>
      <c r="J2826" s="28">
        <v>0.0</v>
      </c>
      <c r="K2826" s="23" t="s">
        <v>29</v>
      </c>
      <c r="L2826" s="37" t="str">
        <f>VLOOKUP(K2826,'Structure type'!$A$1:$B$15,2,FALSE)</f>
        <v>Manhole</v>
      </c>
      <c r="M2826" s="23" t="s">
        <v>56</v>
      </c>
      <c r="N2826" s="23" t="str">
        <f>VLOOKUP(M2826,'Excursion Cause'!$A$1:$B$34,2,FALSE)</f>
        <v>Rags/Wipes</v>
      </c>
      <c r="O2826" s="29">
        <v>45112.0</v>
      </c>
      <c r="P2826" s="30">
        <v>0.4166666666666667</v>
      </c>
      <c r="Q2826" s="29">
        <v>45112.0</v>
      </c>
      <c r="R2826" s="30">
        <v>0.4173611111111111</v>
      </c>
      <c r="S2826" s="28">
        <v>0.0</v>
      </c>
      <c r="T2826" s="23" t="s">
        <v>3749</v>
      </c>
      <c r="U2826" s="6"/>
      <c r="V2826" s="6"/>
      <c r="W2826" s="35">
        <v>29.6669406</v>
      </c>
      <c r="X2826" s="35">
        <v>-95.3164554</v>
      </c>
      <c r="AA2826" s="33"/>
      <c r="AB2826" s="33"/>
      <c r="AC2826" s="33"/>
      <c r="AD2826" s="33"/>
      <c r="AE2826" s="33"/>
      <c r="AF2826" s="33"/>
      <c r="AG2826" s="33"/>
      <c r="AH2826" s="33"/>
      <c r="AI2826" s="33"/>
      <c r="AJ2826" s="33"/>
      <c r="AK2826" s="33"/>
      <c r="AL2826" s="33"/>
      <c r="AM2826" s="33"/>
      <c r="AN2826" s="33"/>
      <c r="AO2826" s="33"/>
    </row>
    <row r="2827" ht="15.75" customHeight="1">
      <c r="A2827" s="23">
        <v>52753.0</v>
      </c>
      <c r="B2827" s="23">
        <v>2023.0</v>
      </c>
      <c r="C2827" s="36" t="str">
        <f t="shared" si="7"/>
        <v>5033 PAULA ST,Houston,TX</v>
      </c>
      <c r="D2827" s="23" t="s">
        <v>1850</v>
      </c>
      <c r="E2827" s="23" t="s">
        <v>25</v>
      </c>
      <c r="F2827" s="23" t="s">
        <v>1388</v>
      </c>
      <c r="G2827" s="31" t="s">
        <v>120</v>
      </c>
      <c r="H2827" s="23" t="s">
        <v>50</v>
      </c>
      <c r="I2827" s="37" t="str">
        <f>VLOOKUP(H2827,'Flow Location'!$A$1:$B$21,2,FALSE)</f>
        <v>Contained On Site, not within 5 ft. of Bayou/Surface Water/Drainage Ditch</v>
      </c>
      <c r="J2827" s="28">
        <v>0.0</v>
      </c>
      <c r="K2827" s="23" t="s">
        <v>198</v>
      </c>
      <c r="L2827" s="37" t="str">
        <f>VLOOKUP(K2827,'Structure type'!$A$1:$B$15,2,FALSE)</f>
        <v>Service Lateral</v>
      </c>
      <c r="M2827" s="23" t="s">
        <v>56</v>
      </c>
      <c r="N2827" s="23" t="str">
        <f>VLOOKUP(M2827,'Excursion Cause'!$A$1:$B$34,2,FALSE)</f>
        <v>Rags/Wipes</v>
      </c>
      <c r="O2827" s="29">
        <v>45113.0</v>
      </c>
      <c r="P2827" s="30">
        <v>0.46458333333333335</v>
      </c>
      <c r="Q2827" s="29">
        <v>45113.0</v>
      </c>
      <c r="R2827" s="30">
        <v>0.4652777777777778</v>
      </c>
      <c r="S2827" s="28">
        <v>0.0</v>
      </c>
      <c r="T2827" s="23" t="s">
        <v>1473</v>
      </c>
      <c r="U2827" s="6"/>
      <c r="V2827" s="6"/>
      <c r="W2827" s="35">
        <v>29.6548959</v>
      </c>
      <c r="X2827" s="35">
        <v>-95.3468359</v>
      </c>
      <c r="AA2827" s="33"/>
      <c r="AB2827" s="33"/>
      <c r="AC2827" s="33"/>
      <c r="AD2827" s="33"/>
      <c r="AE2827" s="33"/>
      <c r="AF2827" s="33"/>
      <c r="AG2827" s="33"/>
      <c r="AH2827" s="33"/>
      <c r="AI2827" s="33"/>
      <c r="AJ2827" s="33"/>
      <c r="AK2827" s="33"/>
      <c r="AL2827" s="33"/>
      <c r="AM2827" s="33"/>
      <c r="AN2827" s="33"/>
      <c r="AO2827" s="33"/>
    </row>
    <row r="2828" ht="15.75" customHeight="1">
      <c r="A2828" s="23">
        <v>52756.0</v>
      </c>
      <c r="B2828" s="23">
        <v>2023.0</v>
      </c>
      <c r="C2828" s="36" t="str">
        <f t="shared" si="7"/>
        <v>3217 IOLA ST,Houston,TX</v>
      </c>
      <c r="D2828" s="23" t="s">
        <v>4080</v>
      </c>
      <c r="E2828" s="23" t="s">
        <v>25</v>
      </c>
      <c r="F2828" s="23" t="s">
        <v>1388</v>
      </c>
      <c r="G2828" s="31" t="s">
        <v>135</v>
      </c>
      <c r="H2828" s="23" t="s">
        <v>50</v>
      </c>
      <c r="I2828" s="37" t="str">
        <f>VLOOKUP(H2828,'Flow Location'!$A$1:$B$21,2,FALSE)</f>
        <v>Contained On Site, not within 5 ft. of Bayou/Surface Water/Drainage Ditch</v>
      </c>
      <c r="J2828" s="28">
        <v>0.0</v>
      </c>
      <c r="K2828" s="23" t="s">
        <v>45</v>
      </c>
      <c r="L2828" s="37" t="str">
        <f>VLOOKUP(K2828,'Structure type'!$A$1:$B$15,2,FALSE)</f>
        <v>City Cleanout</v>
      </c>
      <c r="M2828" s="23" t="s">
        <v>30</v>
      </c>
      <c r="N2828" s="23" t="str">
        <f>VLOOKUP(M2828,'Excursion Cause'!$A$1:$B$34,2,FALSE)</f>
        <v>Grease Blockage</v>
      </c>
      <c r="O2828" s="29">
        <v>45113.0</v>
      </c>
      <c r="P2828" s="30">
        <v>0.6451388888888889</v>
      </c>
      <c r="Q2828" s="29">
        <v>45113.0</v>
      </c>
      <c r="R2828" s="30">
        <v>0.6458333333333334</v>
      </c>
      <c r="S2828" s="28">
        <v>0.0</v>
      </c>
      <c r="T2828" s="23" t="s">
        <v>1436</v>
      </c>
      <c r="U2828" s="6"/>
      <c r="V2828" s="6"/>
      <c r="W2828" s="35">
        <v>29.6941873</v>
      </c>
      <c r="X2828" s="35">
        <v>-95.2716476</v>
      </c>
      <c r="AA2828" s="33"/>
      <c r="AB2828" s="33"/>
      <c r="AC2828" s="33"/>
      <c r="AD2828" s="33"/>
      <c r="AE2828" s="33"/>
      <c r="AF2828" s="33"/>
      <c r="AG2828" s="33"/>
      <c r="AH2828" s="33"/>
      <c r="AI2828" s="33"/>
      <c r="AJ2828" s="33"/>
      <c r="AK2828" s="33"/>
      <c r="AL2828" s="33"/>
      <c r="AM2828" s="33"/>
      <c r="AN2828" s="33"/>
      <c r="AO2828" s="33"/>
    </row>
    <row r="2829" ht="15.75" customHeight="1">
      <c r="A2829" s="23">
        <v>52757.0</v>
      </c>
      <c r="B2829" s="23">
        <v>2023.0</v>
      </c>
      <c r="C2829" s="36" t="str">
        <f t="shared" si="7"/>
        <v>2212 POLK ST,Houston,TX</v>
      </c>
      <c r="D2829" s="23" t="s">
        <v>4081</v>
      </c>
      <c r="E2829" s="23" t="s">
        <v>25</v>
      </c>
      <c r="F2829" s="23" t="s">
        <v>1388</v>
      </c>
      <c r="G2829" s="31" t="s">
        <v>172</v>
      </c>
      <c r="H2829" s="23" t="s">
        <v>50</v>
      </c>
      <c r="I2829" s="37" t="str">
        <f>VLOOKUP(H2829,'Flow Location'!$A$1:$B$21,2,FALSE)</f>
        <v>Contained On Site, not within 5 ft. of Bayou/Surface Water/Drainage Ditch</v>
      </c>
      <c r="J2829" s="28">
        <v>0.0</v>
      </c>
      <c r="K2829" s="23" t="s">
        <v>45</v>
      </c>
      <c r="L2829" s="37" t="str">
        <f>VLOOKUP(K2829,'Structure type'!$A$1:$B$15,2,FALSE)</f>
        <v>City Cleanout</v>
      </c>
      <c r="M2829" s="23" t="s">
        <v>56</v>
      </c>
      <c r="N2829" s="23" t="str">
        <f>VLOOKUP(M2829,'Excursion Cause'!$A$1:$B$34,2,FALSE)</f>
        <v>Rags/Wipes</v>
      </c>
      <c r="O2829" s="29">
        <v>45113.0</v>
      </c>
      <c r="P2829" s="30">
        <v>0.6909722222222222</v>
      </c>
      <c r="Q2829" s="29">
        <v>45113.0</v>
      </c>
      <c r="R2829" s="30">
        <v>0.6916666666666667</v>
      </c>
      <c r="S2829" s="28">
        <v>0.0</v>
      </c>
      <c r="T2829" s="23" t="s">
        <v>1436</v>
      </c>
      <c r="U2829" s="6"/>
      <c r="V2829" s="6"/>
      <c r="W2829" s="35">
        <v>29.7479496</v>
      </c>
      <c r="X2829" s="35">
        <v>-95.3562130999999</v>
      </c>
      <c r="AA2829" s="33"/>
      <c r="AB2829" s="33"/>
      <c r="AC2829" s="33"/>
      <c r="AD2829" s="33"/>
      <c r="AE2829" s="33"/>
      <c r="AF2829" s="33"/>
      <c r="AG2829" s="33"/>
      <c r="AH2829" s="33"/>
      <c r="AI2829" s="33"/>
      <c r="AJ2829" s="33"/>
      <c r="AK2829" s="33"/>
      <c r="AL2829" s="33"/>
      <c r="AM2829" s="33"/>
      <c r="AN2829" s="33"/>
      <c r="AO2829" s="33"/>
    </row>
    <row r="2830" ht="15.75" customHeight="1">
      <c r="A2830" s="23">
        <v>52758.0</v>
      </c>
      <c r="B2830" s="23">
        <v>2023.0</v>
      </c>
      <c r="C2830" s="36" t="str">
        <f t="shared" si="7"/>
        <v>12500 AMELIA DR,Houston,TX</v>
      </c>
      <c r="D2830" s="23" t="s">
        <v>4082</v>
      </c>
      <c r="E2830" s="23" t="s">
        <v>25</v>
      </c>
      <c r="F2830" s="23" t="s">
        <v>1388</v>
      </c>
      <c r="G2830" s="31" t="s">
        <v>39</v>
      </c>
      <c r="H2830" s="23" t="s">
        <v>28</v>
      </c>
      <c r="I2830" s="37" t="str">
        <f>VLOOKUP(H2830,'Flow Location'!$A$1:$B$21,2,FALSE)</f>
        <v>Storm Sewer (not contained)</v>
      </c>
      <c r="J2830" s="28">
        <v>328.0</v>
      </c>
      <c r="K2830" s="23" t="s">
        <v>29</v>
      </c>
      <c r="L2830" s="37" t="str">
        <f>VLOOKUP(K2830,'Structure type'!$A$1:$B$15,2,FALSE)</f>
        <v>Manhole</v>
      </c>
      <c r="M2830" s="23" t="s">
        <v>81</v>
      </c>
      <c r="N2830" s="23" t="str">
        <f>VLOOKUP(M2830,'Excursion Cause'!$A$1:$B$34,2,FALSE)</f>
        <v>Collection system structural failure</v>
      </c>
      <c r="O2830" s="29">
        <v>45113.0</v>
      </c>
      <c r="P2830" s="30">
        <v>0.6513888888888889</v>
      </c>
      <c r="Q2830" s="29">
        <v>45113.0</v>
      </c>
      <c r="R2830" s="30">
        <v>0.7083333333333334</v>
      </c>
      <c r="S2830" s="28">
        <v>4.0</v>
      </c>
      <c r="T2830" s="23" t="s">
        <v>3749</v>
      </c>
      <c r="U2830" s="6"/>
      <c r="V2830" s="6"/>
      <c r="W2830" s="35">
        <v>29.631783</v>
      </c>
      <c r="X2830" s="35">
        <v>-95.4021358999999</v>
      </c>
      <c r="AA2830" s="33"/>
      <c r="AB2830" s="33"/>
      <c r="AC2830" s="33"/>
      <c r="AD2830" s="33"/>
      <c r="AE2830" s="33"/>
      <c r="AF2830" s="33"/>
      <c r="AG2830" s="33"/>
      <c r="AH2830" s="33"/>
      <c r="AI2830" s="33"/>
      <c r="AJ2830" s="33"/>
      <c r="AK2830" s="33"/>
      <c r="AL2830" s="33"/>
      <c r="AM2830" s="33"/>
      <c r="AN2830" s="33"/>
      <c r="AO2830" s="33"/>
    </row>
    <row r="2831" ht="15.75" customHeight="1">
      <c r="A2831" s="23">
        <v>52760.0</v>
      </c>
      <c r="B2831" s="23">
        <v>2023.0</v>
      </c>
      <c r="C2831" s="36" t="str">
        <f t="shared" si="7"/>
        <v>5700 THOUSAND OAKS CIR,Houston,TX</v>
      </c>
      <c r="D2831" s="23" t="s">
        <v>2743</v>
      </c>
      <c r="E2831" s="23" t="s">
        <v>25</v>
      </c>
      <c r="F2831" s="23" t="s">
        <v>1388</v>
      </c>
      <c r="G2831" s="31" t="s">
        <v>76</v>
      </c>
      <c r="H2831" s="23" t="s">
        <v>28</v>
      </c>
      <c r="I2831" s="37" t="str">
        <f>VLOOKUP(H2831,'Flow Location'!$A$1:$B$21,2,FALSE)</f>
        <v>Storm Sewer (not contained)</v>
      </c>
      <c r="J2831" s="28">
        <v>4418.0</v>
      </c>
      <c r="K2831" s="23" t="s">
        <v>29</v>
      </c>
      <c r="L2831" s="37" t="str">
        <f>VLOOKUP(K2831,'Structure type'!$A$1:$B$15,2,FALSE)</f>
        <v>Manhole</v>
      </c>
      <c r="M2831" s="23" t="s">
        <v>30</v>
      </c>
      <c r="N2831" s="23" t="str">
        <f>VLOOKUP(M2831,'Excursion Cause'!$A$1:$B$34,2,FALSE)</f>
        <v>Grease Blockage</v>
      </c>
      <c r="O2831" s="29">
        <v>45114.0</v>
      </c>
      <c r="P2831" s="30">
        <v>0.49166666666666664</v>
      </c>
      <c r="Q2831" s="29">
        <v>45117.0</v>
      </c>
      <c r="R2831" s="30">
        <v>0.5597222222222222</v>
      </c>
      <c r="S2831" s="28">
        <v>1.0</v>
      </c>
      <c r="T2831" s="23" t="s">
        <v>1462</v>
      </c>
      <c r="U2831" s="6"/>
      <c r="V2831" s="6"/>
      <c r="W2831" s="35">
        <v>29.8173822</v>
      </c>
      <c r="X2831" s="35">
        <v>-95.4748116</v>
      </c>
      <c r="AA2831" s="33"/>
      <c r="AB2831" s="33"/>
      <c r="AC2831" s="33"/>
      <c r="AD2831" s="33"/>
      <c r="AE2831" s="33"/>
      <c r="AF2831" s="33"/>
      <c r="AG2831" s="33"/>
      <c r="AH2831" s="33"/>
      <c r="AI2831" s="33"/>
      <c r="AJ2831" s="33"/>
      <c r="AK2831" s="33"/>
      <c r="AL2831" s="33"/>
      <c r="AM2831" s="33"/>
      <c r="AN2831" s="33"/>
      <c r="AO2831" s="33"/>
    </row>
    <row r="2832" ht="15.75" customHeight="1">
      <c r="A2832" s="23">
        <v>52763.0</v>
      </c>
      <c r="B2832" s="23">
        <v>2023.0</v>
      </c>
      <c r="C2832" s="36" t="str">
        <f t="shared" si="7"/>
        <v>5727 WESTHEIMER RD,Houston,TX</v>
      </c>
      <c r="D2832" s="23" t="s">
        <v>4083</v>
      </c>
      <c r="E2832" s="23" t="s">
        <v>25</v>
      </c>
      <c r="F2832" s="23" t="s">
        <v>1388</v>
      </c>
      <c r="G2832" s="31" t="s">
        <v>689</v>
      </c>
      <c r="H2832" s="23" t="s">
        <v>28</v>
      </c>
      <c r="I2832" s="37" t="str">
        <f>VLOOKUP(H2832,'Flow Location'!$A$1:$B$21,2,FALSE)</f>
        <v>Storm Sewer (not contained)</v>
      </c>
      <c r="J2832" s="28">
        <v>4381.0</v>
      </c>
      <c r="K2832" s="23" t="s">
        <v>198</v>
      </c>
      <c r="L2832" s="37" t="str">
        <f>VLOOKUP(K2832,'Structure type'!$A$1:$B$15,2,FALSE)</f>
        <v>Service Lateral</v>
      </c>
      <c r="M2832" s="23" t="s">
        <v>81</v>
      </c>
      <c r="N2832" s="23" t="str">
        <f>VLOOKUP(M2832,'Excursion Cause'!$A$1:$B$34,2,FALSE)</f>
        <v>Collection system structural failure</v>
      </c>
      <c r="O2832" s="29">
        <v>45114.0</v>
      </c>
      <c r="P2832" s="30">
        <v>0.6986111111111111</v>
      </c>
      <c r="Q2832" s="29">
        <v>45117.0</v>
      </c>
      <c r="R2832" s="30">
        <v>0.7409722222222223</v>
      </c>
      <c r="S2832" s="28">
        <v>1.0</v>
      </c>
      <c r="T2832" s="23" t="s">
        <v>1391</v>
      </c>
      <c r="U2832" s="6"/>
      <c r="V2832" s="6"/>
      <c r="W2832" s="35">
        <v>29.7369006</v>
      </c>
      <c r="X2832" s="35">
        <v>-95.477243</v>
      </c>
      <c r="AA2832" s="33"/>
      <c r="AB2832" s="33"/>
      <c r="AC2832" s="33"/>
      <c r="AD2832" s="33"/>
      <c r="AE2832" s="33"/>
      <c r="AF2832" s="33"/>
      <c r="AG2832" s="33"/>
      <c r="AH2832" s="33"/>
      <c r="AI2832" s="33"/>
      <c r="AJ2832" s="33"/>
      <c r="AK2832" s="33"/>
      <c r="AL2832" s="33"/>
      <c r="AM2832" s="33"/>
      <c r="AN2832" s="33"/>
      <c r="AO2832" s="33"/>
    </row>
    <row r="2833" ht="15.75" customHeight="1">
      <c r="A2833" s="23">
        <v>52765.0</v>
      </c>
      <c r="B2833" s="23">
        <v>2023.0</v>
      </c>
      <c r="C2833" s="36" t="str">
        <f t="shared" si="7"/>
        <v>6322 TULSA RD,Houston,TX</v>
      </c>
      <c r="D2833" s="23" t="s">
        <v>4084</v>
      </c>
      <c r="E2833" s="23" t="s">
        <v>25</v>
      </c>
      <c r="F2833" s="23" t="s">
        <v>1388</v>
      </c>
      <c r="G2833" s="31" t="s">
        <v>76</v>
      </c>
      <c r="H2833" s="23" t="s">
        <v>44</v>
      </c>
      <c r="I2833" s="37" t="str">
        <f>VLOOKUP(H2833,'Flow Location'!$A$1:$B$21,2,FALSE)</f>
        <v>Bayou/surface water/drainage ditch</v>
      </c>
      <c r="J2833" s="28">
        <v>0.0</v>
      </c>
      <c r="K2833" s="23" t="s">
        <v>29</v>
      </c>
      <c r="L2833" s="37" t="str">
        <f>VLOOKUP(K2833,'Structure type'!$A$1:$B$15,2,FALSE)</f>
        <v>Manhole</v>
      </c>
      <c r="M2833" s="23" t="s">
        <v>30</v>
      </c>
      <c r="N2833" s="23" t="str">
        <f>VLOOKUP(M2833,'Excursion Cause'!$A$1:$B$34,2,FALSE)</f>
        <v>Grease Blockage</v>
      </c>
      <c r="O2833" s="29">
        <v>45115.0</v>
      </c>
      <c r="P2833" s="30">
        <v>0.4875</v>
      </c>
      <c r="Q2833" s="29">
        <v>45115.0</v>
      </c>
      <c r="R2833" s="30">
        <v>0.48819444444444443</v>
      </c>
      <c r="S2833" s="28">
        <v>0.0</v>
      </c>
      <c r="T2833" s="23" t="s">
        <v>1462</v>
      </c>
      <c r="U2833" s="6"/>
      <c r="V2833" s="6"/>
      <c r="W2833" s="35">
        <v>29.8211570999999</v>
      </c>
      <c r="X2833" s="35">
        <v>-95.482717</v>
      </c>
      <c r="AA2833" s="33"/>
      <c r="AB2833" s="33"/>
      <c r="AC2833" s="33"/>
      <c r="AD2833" s="33"/>
      <c r="AE2833" s="33"/>
      <c r="AF2833" s="33"/>
      <c r="AG2833" s="33"/>
      <c r="AH2833" s="33"/>
      <c r="AI2833" s="33"/>
      <c r="AJ2833" s="33"/>
      <c r="AK2833" s="33"/>
      <c r="AL2833" s="33"/>
      <c r="AM2833" s="33"/>
      <c r="AN2833" s="33"/>
      <c r="AO2833" s="33"/>
    </row>
    <row r="2834" ht="15.75" customHeight="1">
      <c r="A2834" s="23">
        <v>52767.0</v>
      </c>
      <c r="B2834" s="23">
        <v>2023.0</v>
      </c>
      <c r="C2834" s="36" t="str">
        <f t="shared" si="7"/>
        <v>3046 GOLFCREST BLVD,Houston,TX</v>
      </c>
      <c r="D2834" s="23" t="s">
        <v>4085</v>
      </c>
      <c r="E2834" s="23" t="s">
        <v>25</v>
      </c>
      <c r="F2834" s="23" t="s">
        <v>1388</v>
      </c>
      <c r="G2834" s="31" t="s">
        <v>35</v>
      </c>
      <c r="H2834" s="23" t="s">
        <v>28</v>
      </c>
      <c r="I2834" s="37" t="str">
        <f>VLOOKUP(H2834,'Flow Location'!$A$1:$B$21,2,FALSE)</f>
        <v>Storm Sewer (not contained)</v>
      </c>
      <c r="J2834" s="28">
        <v>225.0</v>
      </c>
      <c r="K2834" s="23" t="s">
        <v>51</v>
      </c>
      <c r="L2834" s="37" t="str">
        <f>VLOOKUP(K2834,'Structure type'!$A$1:$B$15,2,FALSE)</f>
        <v>Private Cleanout</v>
      </c>
      <c r="M2834" s="23" t="s">
        <v>30</v>
      </c>
      <c r="N2834" s="23" t="str">
        <f>VLOOKUP(M2834,'Excursion Cause'!$A$1:$B$34,2,FALSE)</f>
        <v>Grease Blockage</v>
      </c>
      <c r="O2834" s="29">
        <v>45116.0</v>
      </c>
      <c r="P2834" s="30">
        <v>0.48194444444444445</v>
      </c>
      <c r="Q2834" s="29">
        <v>45116.0</v>
      </c>
      <c r="R2834" s="30">
        <v>0.6381944444444444</v>
      </c>
      <c r="S2834" s="28">
        <v>1.0</v>
      </c>
      <c r="T2834" s="23" t="s">
        <v>3756</v>
      </c>
      <c r="U2834" s="6"/>
      <c r="V2834" s="6"/>
      <c r="W2834" s="35">
        <v>29.6982101</v>
      </c>
      <c r="X2834" s="35">
        <v>-95.3065951999999</v>
      </c>
      <c r="AA2834" s="33"/>
      <c r="AB2834" s="33"/>
      <c r="AC2834" s="33"/>
      <c r="AD2834" s="33"/>
      <c r="AE2834" s="33"/>
      <c r="AF2834" s="33"/>
      <c r="AG2834" s="33"/>
      <c r="AH2834" s="33"/>
      <c r="AI2834" s="33"/>
      <c r="AJ2834" s="33"/>
      <c r="AK2834" s="33"/>
      <c r="AL2834" s="33"/>
      <c r="AM2834" s="33"/>
      <c r="AN2834" s="33"/>
      <c r="AO2834" s="33"/>
    </row>
    <row r="2835" ht="15.75" customHeight="1">
      <c r="A2835" s="23">
        <v>52775.0</v>
      </c>
      <c r="B2835" s="23">
        <v>2023.0</v>
      </c>
      <c r="C2835" s="36" t="str">
        <f t="shared" si="7"/>
        <v>2610 CAMPBELL RD,Houston,TX</v>
      </c>
      <c r="D2835" s="23" t="s">
        <v>4086</v>
      </c>
      <c r="E2835" s="23" t="s">
        <v>25</v>
      </c>
      <c r="F2835" s="23" t="s">
        <v>1388</v>
      </c>
      <c r="G2835" s="31" t="s">
        <v>294</v>
      </c>
      <c r="H2835" s="23" t="s">
        <v>44</v>
      </c>
      <c r="I2835" s="37" t="str">
        <f>VLOOKUP(H2835,'Flow Location'!$A$1:$B$21,2,FALSE)</f>
        <v>Bayou/surface water/drainage ditch</v>
      </c>
      <c r="J2835" s="28">
        <v>0.0</v>
      </c>
      <c r="K2835" s="23" t="s">
        <v>198</v>
      </c>
      <c r="L2835" s="37" t="str">
        <f>VLOOKUP(K2835,'Structure type'!$A$1:$B$15,2,FALSE)</f>
        <v>Service Lateral</v>
      </c>
      <c r="M2835" s="23" t="s">
        <v>81</v>
      </c>
      <c r="N2835" s="23" t="str">
        <f>VLOOKUP(M2835,'Excursion Cause'!$A$1:$B$34,2,FALSE)</f>
        <v>Collection system structural failure</v>
      </c>
      <c r="O2835" s="29">
        <v>45117.0</v>
      </c>
      <c r="P2835" s="30">
        <v>0.6520833333333333</v>
      </c>
      <c r="Q2835" s="29">
        <v>45117.0</v>
      </c>
      <c r="R2835" s="30">
        <v>0.6527777777777778</v>
      </c>
      <c r="S2835" s="28">
        <v>0.0</v>
      </c>
      <c r="T2835" s="23" t="s">
        <v>1391</v>
      </c>
      <c r="U2835" s="6"/>
      <c r="V2835" s="6"/>
      <c r="W2835" s="35">
        <v>29.7823281</v>
      </c>
      <c r="X2835" s="35">
        <v>-95.3434741999999</v>
      </c>
      <c r="AA2835" s="33"/>
      <c r="AB2835" s="33"/>
      <c r="AC2835" s="33"/>
      <c r="AD2835" s="33"/>
      <c r="AE2835" s="33"/>
      <c r="AF2835" s="33"/>
      <c r="AG2835" s="33"/>
      <c r="AH2835" s="33"/>
      <c r="AI2835" s="33"/>
      <c r="AJ2835" s="33"/>
      <c r="AK2835" s="33"/>
      <c r="AL2835" s="33"/>
      <c r="AM2835" s="33"/>
      <c r="AN2835" s="33"/>
      <c r="AO2835" s="33"/>
    </row>
    <row r="2836" ht="15.75" customHeight="1">
      <c r="A2836" s="23">
        <v>52776.0</v>
      </c>
      <c r="B2836" s="23">
        <v>2023.0</v>
      </c>
      <c r="C2836" s="36" t="str">
        <f t="shared" si="7"/>
        <v>10841 GREENWILLOW DR,Houston,TX</v>
      </c>
      <c r="D2836" s="23" t="s">
        <v>2836</v>
      </c>
      <c r="E2836" s="23" t="s">
        <v>25</v>
      </c>
      <c r="F2836" s="23" t="s">
        <v>1388</v>
      </c>
      <c r="G2836" s="31" t="s">
        <v>69</v>
      </c>
      <c r="H2836" s="23" t="s">
        <v>50</v>
      </c>
      <c r="I2836" s="37" t="str">
        <f>VLOOKUP(H2836,'Flow Location'!$A$1:$B$21,2,FALSE)</f>
        <v>Contained On Site, not within 5 ft. of Bayou/Surface Water/Drainage Ditch</v>
      </c>
      <c r="J2836" s="28">
        <v>0.0</v>
      </c>
      <c r="K2836" s="23" t="s">
        <v>29</v>
      </c>
      <c r="L2836" s="37" t="str">
        <f>VLOOKUP(K2836,'Structure type'!$A$1:$B$15,2,FALSE)</f>
        <v>Manhole</v>
      </c>
      <c r="M2836" s="23" t="s">
        <v>30</v>
      </c>
      <c r="N2836" s="23" t="str">
        <f>VLOOKUP(M2836,'Excursion Cause'!$A$1:$B$34,2,FALSE)</f>
        <v>Grease Blockage</v>
      </c>
      <c r="O2836" s="29">
        <v>45117.0</v>
      </c>
      <c r="P2836" s="30">
        <v>0.33541666666666664</v>
      </c>
      <c r="Q2836" s="29">
        <v>45117.0</v>
      </c>
      <c r="R2836" s="30">
        <v>0.33611111111111114</v>
      </c>
      <c r="S2836" s="28">
        <v>0.0</v>
      </c>
      <c r="T2836" s="23" t="s">
        <v>1462</v>
      </c>
      <c r="U2836" s="6"/>
      <c r="V2836" s="6"/>
      <c r="W2836" s="35">
        <v>29.6744415</v>
      </c>
      <c r="X2836" s="35">
        <v>-95.4489797999999</v>
      </c>
      <c r="AA2836" s="33"/>
      <c r="AB2836" s="33"/>
      <c r="AC2836" s="33"/>
      <c r="AD2836" s="33"/>
      <c r="AE2836" s="33"/>
      <c r="AF2836" s="33"/>
      <c r="AG2836" s="33"/>
      <c r="AH2836" s="33"/>
      <c r="AI2836" s="33"/>
      <c r="AJ2836" s="33"/>
      <c r="AK2836" s="33"/>
      <c r="AL2836" s="33"/>
      <c r="AM2836" s="33"/>
      <c r="AN2836" s="33"/>
      <c r="AO2836" s="33"/>
    </row>
    <row r="2837" ht="15.75" customHeight="1">
      <c r="A2837" s="23">
        <v>52785.0</v>
      </c>
      <c r="B2837" s="23">
        <v>2023.0</v>
      </c>
      <c r="C2837" s="36" t="str">
        <f t="shared" si="7"/>
        <v>10916 MEADOWGLEN LN,Houston,TX</v>
      </c>
      <c r="D2837" s="23" t="s">
        <v>4087</v>
      </c>
      <c r="E2837" s="23" t="s">
        <v>25</v>
      </c>
      <c r="F2837" s="23" t="s">
        <v>1388</v>
      </c>
      <c r="G2837" s="31" t="s">
        <v>401</v>
      </c>
      <c r="H2837" s="23" t="s">
        <v>28</v>
      </c>
      <c r="I2837" s="37" t="str">
        <f>VLOOKUP(H2837,'Flow Location'!$A$1:$B$21,2,FALSE)</f>
        <v>Storm Sewer (not contained)</v>
      </c>
      <c r="J2837" s="28">
        <v>660.0</v>
      </c>
      <c r="K2837" s="23" t="s">
        <v>29</v>
      </c>
      <c r="L2837" s="37" t="str">
        <f>VLOOKUP(K2837,'Structure type'!$A$1:$B$15,2,FALSE)</f>
        <v>Manhole</v>
      </c>
      <c r="M2837" s="23" t="s">
        <v>30</v>
      </c>
      <c r="N2837" s="23" t="str">
        <f>VLOOKUP(M2837,'Excursion Cause'!$A$1:$B$34,2,FALSE)</f>
        <v>Grease Blockage</v>
      </c>
      <c r="O2837" s="29">
        <v>45119.0</v>
      </c>
      <c r="P2837" s="30">
        <v>0.3680555555555556</v>
      </c>
      <c r="Q2837" s="29">
        <v>45119.0</v>
      </c>
      <c r="R2837" s="30">
        <v>0.5208333333333334</v>
      </c>
      <c r="S2837" s="28">
        <v>3.0</v>
      </c>
      <c r="T2837" s="23" t="s">
        <v>3749</v>
      </c>
      <c r="U2837" s="6"/>
      <c r="V2837" s="6"/>
      <c r="W2837" s="35">
        <v>29.7328286</v>
      </c>
      <c r="X2837" s="35">
        <v>-95.5680296</v>
      </c>
      <c r="AA2837" s="33"/>
      <c r="AB2837" s="33"/>
      <c r="AC2837" s="33"/>
      <c r="AD2837" s="33"/>
      <c r="AE2837" s="33"/>
      <c r="AF2837" s="33"/>
      <c r="AG2837" s="33"/>
      <c r="AH2837" s="33"/>
      <c r="AI2837" s="33"/>
      <c r="AJ2837" s="33"/>
      <c r="AK2837" s="33"/>
      <c r="AL2837" s="33"/>
      <c r="AM2837" s="33"/>
      <c r="AN2837" s="33"/>
      <c r="AO2837" s="33"/>
    </row>
    <row r="2838" ht="15.75" customHeight="1">
      <c r="A2838" s="23">
        <v>52788.0</v>
      </c>
      <c r="B2838" s="23">
        <v>2023.0</v>
      </c>
      <c r="C2838" s="36" t="str">
        <f t="shared" si="7"/>
        <v>2101 POLK ST,Houston,TX</v>
      </c>
      <c r="D2838" s="23" t="s">
        <v>4088</v>
      </c>
      <c r="E2838" s="23" t="s">
        <v>25</v>
      </c>
      <c r="F2838" s="23" t="s">
        <v>1388</v>
      </c>
      <c r="G2838" s="31" t="s">
        <v>172</v>
      </c>
      <c r="H2838" s="23" t="s">
        <v>50</v>
      </c>
      <c r="I2838" s="37" t="str">
        <f>VLOOKUP(H2838,'Flow Location'!$A$1:$B$21,2,FALSE)</f>
        <v>Contained On Site, not within 5 ft. of Bayou/Surface Water/Drainage Ditch</v>
      </c>
      <c r="J2838" s="28">
        <v>169.0</v>
      </c>
      <c r="K2838" s="23" t="s">
        <v>45</v>
      </c>
      <c r="L2838" s="37" t="str">
        <f>VLOOKUP(K2838,'Structure type'!$A$1:$B$15,2,FALSE)</f>
        <v>City Cleanout</v>
      </c>
      <c r="M2838" s="23" t="s">
        <v>56</v>
      </c>
      <c r="N2838" s="23" t="str">
        <f>VLOOKUP(M2838,'Excursion Cause'!$A$1:$B$34,2,FALSE)</f>
        <v>Rags/Wipes</v>
      </c>
      <c r="O2838" s="29">
        <v>45119.0</v>
      </c>
      <c r="P2838" s="30">
        <v>0.39652777777777776</v>
      </c>
      <c r="Q2838" s="29">
        <v>45119.0</v>
      </c>
      <c r="R2838" s="30">
        <v>0.5138888888888888</v>
      </c>
      <c r="S2838" s="28">
        <v>1.0</v>
      </c>
      <c r="T2838" s="23" t="s">
        <v>1473</v>
      </c>
      <c r="U2838" s="6"/>
      <c r="V2838" s="6"/>
      <c r="W2838" s="35">
        <v>29.7489221</v>
      </c>
      <c r="X2838" s="35">
        <v>-95.3566896999999</v>
      </c>
      <c r="AA2838" s="33"/>
      <c r="AB2838" s="33"/>
      <c r="AC2838" s="33"/>
      <c r="AD2838" s="33"/>
      <c r="AE2838" s="33"/>
      <c r="AF2838" s="33"/>
      <c r="AG2838" s="33"/>
      <c r="AH2838" s="33"/>
      <c r="AI2838" s="33"/>
      <c r="AJ2838" s="33"/>
      <c r="AK2838" s="33"/>
      <c r="AL2838" s="33"/>
      <c r="AM2838" s="33"/>
      <c r="AN2838" s="33"/>
      <c r="AO2838" s="33"/>
    </row>
    <row r="2839" ht="15.75" customHeight="1">
      <c r="A2839" s="23">
        <v>52792.0</v>
      </c>
      <c r="B2839" s="23">
        <v>2023.0</v>
      </c>
      <c r="C2839" s="36" t="str">
        <f t="shared" si="7"/>
        <v>10922 SOUTHVIEW ST,Houston,TX</v>
      </c>
      <c r="D2839" s="23" t="s">
        <v>4089</v>
      </c>
      <c r="E2839" s="23" t="s">
        <v>25</v>
      </c>
      <c r="F2839" s="23" t="s">
        <v>1388</v>
      </c>
      <c r="G2839" s="31" t="s">
        <v>419</v>
      </c>
      <c r="H2839" s="23" t="s">
        <v>28</v>
      </c>
      <c r="I2839" s="37" t="str">
        <f>VLOOKUP(H2839,'Flow Location'!$A$1:$B$21,2,FALSE)</f>
        <v>Storm Sewer (not contained)</v>
      </c>
      <c r="J2839" s="28">
        <v>0.0</v>
      </c>
      <c r="K2839" s="23" t="s">
        <v>29</v>
      </c>
      <c r="L2839" s="37" t="str">
        <f>VLOOKUP(K2839,'Structure type'!$A$1:$B$15,2,FALSE)</f>
        <v>Manhole</v>
      </c>
      <c r="M2839" s="23" t="s">
        <v>30</v>
      </c>
      <c r="N2839" s="23" t="str">
        <f>VLOOKUP(M2839,'Excursion Cause'!$A$1:$B$34,2,FALSE)</f>
        <v>Grease Blockage</v>
      </c>
      <c r="O2839" s="29">
        <v>45120.0</v>
      </c>
      <c r="P2839" s="30">
        <v>0.3347222222222222</v>
      </c>
      <c r="Q2839" s="29">
        <v>45120.0</v>
      </c>
      <c r="R2839" s="30">
        <v>0.33541666666666664</v>
      </c>
      <c r="S2839" s="28">
        <v>0.0</v>
      </c>
      <c r="T2839" s="23" t="s">
        <v>3749</v>
      </c>
      <c r="U2839" s="6"/>
      <c r="V2839" s="6"/>
      <c r="W2839" s="35">
        <v>29.6403407</v>
      </c>
      <c r="X2839" s="35">
        <v>-95.3655146</v>
      </c>
      <c r="AA2839" s="33"/>
      <c r="AB2839" s="33"/>
      <c r="AC2839" s="33"/>
      <c r="AD2839" s="33"/>
      <c r="AE2839" s="33"/>
      <c r="AF2839" s="33"/>
      <c r="AG2839" s="33"/>
      <c r="AH2839" s="33"/>
      <c r="AI2839" s="33"/>
      <c r="AJ2839" s="33"/>
      <c r="AK2839" s="33"/>
      <c r="AL2839" s="33"/>
      <c r="AM2839" s="33"/>
      <c r="AN2839" s="33"/>
      <c r="AO2839" s="33"/>
    </row>
    <row r="2840" ht="15.75" customHeight="1">
      <c r="A2840" s="23">
        <v>52800.0</v>
      </c>
      <c r="B2840" s="23">
        <v>2023.0</v>
      </c>
      <c r="C2840" s="36" t="str">
        <f t="shared" si="7"/>
        <v>5727 WESTHEIMER RD,Houston,TX</v>
      </c>
      <c r="D2840" s="23" t="s">
        <v>4083</v>
      </c>
      <c r="E2840" s="23" t="s">
        <v>25</v>
      </c>
      <c r="F2840" s="23" t="s">
        <v>1388</v>
      </c>
      <c r="G2840" s="31" t="s">
        <v>689</v>
      </c>
      <c r="H2840" s="23" t="s">
        <v>28</v>
      </c>
      <c r="I2840" s="37" t="str">
        <f>VLOOKUP(H2840,'Flow Location'!$A$1:$B$21,2,FALSE)</f>
        <v>Storm Sewer (not contained)</v>
      </c>
      <c r="J2840" s="28">
        <v>0.0</v>
      </c>
      <c r="K2840" s="23" t="s">
        <v>198</v>
      </c>
      <c r="L2840" s="37" t="str">
        <f>VLOOKUP(K2840,'Structure type'!$A$1:$B$15,2,FALSE)</f>
        <v>Service Lateral</v>
      </c>
      <c r="M2840" s="23" t="s">
        <v>81</v>
      </c>
      <c r="N2840" s="23" t="str">
        <f>VLOOKUP(M2840,'Excursion Cause'!$A$1:$B$34,2,FALSE)</f>
        <v>Collection system structural failure</v>
      </c>
      <c r="O2840" s="29">
        <v>45117.0</v>
      </c>
      <c r="P2840" s="30">
        <v>0.7409722222222223</v>
      </c>
      <c r="Q2840" s="29">
        <v>45117.0</v>
      </c>
      <c r="R2840" s="30">
        <v>0.7416666666666667</v>
      </c>
      <c r="S2840" s="28">
        <v>0.0</v>
      </c>
      <c r="T2840" s="23" t="s">
        <v>292</v>
      </c>
      <c r="U2840" s="6"/>
      <c r="V2840" s="6"/>
      <c r="W2840" s="35">
        <v>29.7369006</v>
      </c>
      <c r="X2840" s="35">
        <v>-95.477243</v>
      </c>
      <c r="AA2840" s="33"/>
      <c r="AB2840" s="33"/>
      <c r="AC2840" s="33"/>
      <c r="AD2840" s="33"/>
      <c r="AE2840" s="33"/>
      <c r="AF2840" s="33"/>
      <c r="AG2840" s="33"/>
      <c r="AH2840" s="33"/>
      <c r="AI2840" s="33"/>
      <c r="AJ2840" s="33"/>
      <c r="AK2840" s="33"/>
      <c r="AL2840" s="33"/>
      <c r="AM2840" s="33"/>
      <c r="AN2840" s="33"/>
      <c r="AO2840" s="33"/>
    </row>
    <row r="2841" ht="15.75" customHeight="1">
      <c r="A2841" s="23">
        <v>52801.0</v>
      </c>
      <c r="B2841" s="23">
        <v>2023.0</v>
      </c>
      <c r="C2841" s="36" t="str">
        <f t="shared" si="7"/>
        <v>5350 GULF BANK RD,Houston,TX</v>
      </c>
      <c r="D2841" s="23" t="s">
        <v>4090</v>
      </c>
      <c r="E2841" s="23" t="s">
        <v>25</v>
      </c>
      <c r="F2841" s="23" t="s">
        <v>1388</v>
      </c>
      <c r="G2841" s="31" t="s">
        <v>502</v>
      </c>
      <c r="H2841" s="23" t="s">
        <v>28</v>
      </c>
      <c r="I2841" s="37" t="str">
        <f>VLOOKUP(H2841,'Flow Location'!$A$1:$B$21,2,FALSE)</f>
        <v>Storm Sewer (not contained)</v>
      </c>
      <c r="J2841" s="28">
        <v>94.0</v>
      </c>
      <c r="K2841" s="23" t="s">
        <v>29</v>
      </c>
      <c r="L2841" s="37" t="str">
        <f>VLOOKUP(K2841,'Structure type'!$A$1:$B$15,2,FALSE)</f>
        <v>Manhole</v>
      </c>
      <c r="M2841" s="23" t="s">
        <v>30</v>
      </c>
      <c r="N2841" s="23" t="str">
        <f>VLOOKUP(M2841,'Excursion Cause'!$A$1:$B$34,2,FALSE)</f>
        <v>Grease Blockage</v>
      </c>
      <c r="O2841" s="29">
        <v>45120.0</v>
      </c>
      <c r="P2841" s="30">
        <v>0.7006944444444444</v>
      </c>
      <c r="Q2841" s="29">
        <v>45120.0</v>
      </c>
      <c r="R2841" s="30">
        <v>0.7333333333333333</v>
      </c>
      <c r="S2841" s="28">
        <v>2.0</v>
      </c>
      <c r="T2841" s="23" t="s">
        <v>1462</v>
      </c>
      <c r="U2841" s="6"/>
      <c r="V2841" s="6"/>
      <c r="W2841" s="35">
        <v>29.8840363</v>
      </c>
      <c r="X2841" s="35">
        <v>-95.4659674999999</v>
      </c>
      <c r="AA2841" s="33"/>
      <c r="AB2841" s="33"/>
      <c r="AC2841" s="33"/>
      <c r="AD2841" s="33"/>
      <c r="AE2841" s="33"/>
      <c r="AF2841" s="33"/>
      <c r="AG2841" s="33"/>
      <c r="AH2841" s="33"/>
      <c r="AI2841" s="33"/>
      <c r="AJ2841" s="33"/>
      <c r="AK2841" s="33"/>
      <c r="AL2841" s="33"/>
      <c r="AM2841" s="33"/>
      <c r="AN2841" s="33"/>
      <c r="AO2841" s="33"/>
    </row>
    <row r="2842" ht="15.75" customHeight="1">
      <c r="A2842" s="23">
        <v>52802.0</v>
      </c>
      <c r="B2842" s="23">
        <v>2023.0</v>
      </c>
      <c r="C2842" s="36" t="str">
        <f t="shared" si="7"/>
        <v>10903 LONG GATE DR,Houston,TX</v>
      </c>
      <c r="D2842" s="23" t="s">
        <v>4091</v>
      </c>
      <c r="E2842" s="23" t="s">
        <v>25</v>
      </c>
      <c r="F2842" s="23" t="s">
        <v>1388</v>
      </c>
      <c r="G2842" s="31" t="s">
        <v>419</v>
      </c>
      <c r="H2842" s="23" t="s">
        <v>50</v>
      </c>
      <c r="I2842" s="37" t="str">
        <f>VLOOKUP(H2842,'Flow Location'!$A$1:$B$21,2,FALSE)</f>
        <v>Contained On Site, not within 5 ft. of Bayou/Surface Water/Drainage Ditch</v>
      </c>
      <c r="J2842" s="28">
        <v>0.0</v>
      </c>
      <c r="K2842" s="23" t="s">
        <v>29</v>
      </c>
      <c r="L2842" s="37" t="str">
        <f>VLOOKUP(K2842,'Structure type'!$A$1:$B$15,2,FALSE)</f>
        <v>Manhole</v>
      </c>
      <c r="M2842" s="23" t="s">
        <v>30</v>
      </c>
      <c r="N2842" s="23" t="str">
        <f>VLOOKUP(M2842,'Excursion Cause'!$A$1:$B$34,2,FALSE)</f>
        <v>Grease Blockage</v>
      </c>
      <c r="O2842" s="29">
        <v>45120.0</v>
      </c>
      <c r="P2842" s="30">
        <v>0.8743055555555556</v>
      </c>
      <c r="Q2842" s="29">
        <v>45120.0</v>
      </c>
      <c r="R2842" s="30">
        <v>0.875</v>
      </c>
      <c r="S2842" s="28">
        <v>0.0</v>
      </c>
      <c r="T2842" s="23" t="s">
        <v>1462</v>
      </c>
      <c r="U2842" s="6"/>
      <c r="V2842" s="6"/>
      <c r="W2842" s="35">
        <v>29.6410816</v>
      </c>
      <c r="X2842" s="35">
        <v>-95.3659242</v>
      </c>
      <c r="AA2842" s="33"/>
      <c r="AB2842" s="33"/>
      <c r="AC2842" s="33"/>
      <c r="AD2842" s="33"/>
      <c r="AE2842" s="33"/>
      <c r="AF2842" s="33"/>
      <c r="AG2842" s="33"/>
      <c r="AH2842" s="33"/>
      <c r="AI2842" s="33"/>
      <c r="AJ2842" s="33"/>
      <c r="AK2842" s="33"/>
      <c r="AL2842" s="33"/>
      <c r="AM2842" s="33"/>
      <c r="AN2842" s="33"/>
      <c r="AO2842" s="33"/>
    </row>
    <row r="2843" ht="15.75" customHeight="1">
      <c r="A2843" s="23">
        <v>52804.0</v>
      </c>
      <c r="B2843" s="23">
        <v>2023.0</v>
      </c>
      <c r="C2843" s="36" t="str">
        <f t="shared" si="7"/>
        <v>8626 SCOTT ST,Houston,TX</v>
      </c>
      <c r="D2843" s="23" t="s">
        <v>4092</v>
      </c>
      <c r="E2843" s="23" t="s">
        <v>25</v>
      </c>
      <c r="F2843" s="23" t="s">
        <v>1388</v>
      </c>
      <c r="G2843" s="31" t="s">
        <v>105</v>
      </c>
      <c r="H2843" s="23" t="s">
        <v>28</v>
      </c>
      <c r="I2843" s="37" t="str">
        <f>VLOOKUP(H2843,'Flow Location'!$A$1:$B$21,2,FALSE)</f>
        <v>Storm Sewer (not contained)</v>
      </c>
      <c r="J2843" s="28">
        <v>209.0</v>
      </c>
      <c r="K2843" s="23" t="s">
        <v>45</v>
      </c>
      <c r="L2843" s="37" t="str">
        <f>VLOOKUP(K2843,'Structure type'!$A$1:$B$15,2,FALSE)</f>
        <v>City Cleanout</v>
      </c>
      <c r="M2843" s="23" t="s">
        <v>81</v>
      </c>
      <c r="N2843" s="23" t="str">
        <f>VLOOKUP(M2843,'Excursion Cause'!$A$1:$B$34,2,FALSE)</f>
        <v>Collection system structural failure</v>
      </c>
      <c r="O2843" s="29">
        <v>45121.0</v>
      </c>
      <c r="P2843" s="30">
        <v>0.4652777777777778</v>
      </c>
      <c r="Q2843" s="29">
        <v>45121.0</v>
      </c>
      <c r="R2843" s="30">
        <v>0.6104166666666667</v>
      </c>
      <c r="S2843" s="28">
        <v>1.0</v>
      </c>
      <c r="T2843" s="23" t="s">
        <v>118</v>
      </c>
      <c r="U2843" s="6"/>
      <c r="V2843" s="6"/>
      <c r="W2843" s="35">
        <v>29.6671655</v>
      </c>
      <c r="X2843" s="35">
        <v>-95.3686</v>
      </c>
      <c r="AA2843" s="33"/>
      <c r="AB2843" s="33"/>
      <c r="AC2843" s="33"/>
      <c r="AD2843" s="33"/>
      <c r="AE2843" s="33"/>
      <c r="AF2843" s="33"/>
      <c r="AG2843" s="33"/>
      <c r="AH2843" s="33"/>
      <c r="AI2843" s="33"/>
      <c r="AJ2843" s="33"/>
      <c r="AK2843" s="33"/>
      <c r="AL2843" s="33"/>
      <c r="AM2843" s="33"/>
      <c r="AN2843" s="33"/>
      <c r="AO2843" s="33"/>
    </row>
    <row r="2844" ht="15.75" customHeight="1">
      <c r="A2844" s="23">
        <v>52805.0</v>
      </c>
      <c r="B2844" s="23">
        <v>2023.0</v>
      </c>
      <c r="C2844" s="36" t="str">
        <f t="shared" si="7"/>
        <v>1313 B 25TH ST,Houston,TX</v>
      </c>
      <c r="D2844" s="23" t="s">
        <v>4093</v>
      </c>
      <c r="E2844" s="23" t="s">
        <v>25</v>
      </c>
      <c r="F2844" s="23" t="s">
        <v>1388</v>
      </c>
      <c r="G2844" s="31" t="s">
        <v>232</v>
      </c>
      <c r="H2844" s="23" t="s">
        <v>50</v>
      </c>
      <c r="I2844" s="37" t="str">
        <f>VLOOKUP(H2844,'Flow Location'!$A$1:$B$21,2,FALSE)</f>
        <v>Contained On Site, not within 5 ft. of Bayou/Surface Water/Drainage Ditch</v>
      </c>
      <c r="J2844" s="28">
        <v>0.0</v>
      </c>
      <c r="K2844" s="23" t="s">
        <v>45</v>
      </c>
      <c r="L2844" s="37" t="str">
        <f>VLOOKUP(K2844,'Structure type'!$A$1:$B$15,2,FALSE)</f>
        <v>City Cleanout</v>
      </c>
      <c r="M2844" s="23" t="s">
        <v>56</v>
      </c>
      <c r="N2844" s="23" t="str">
        <f>VLOOKUP(M2844,'Excursion Cause'!$A$1:$B$34,2,FALSE)</f>
        <v>Rags/Wipes</v>
      </c>
      <c r="O2844" s="29">
        <v>45121.0</v>
      </c>
      <c r="P2844" s="30">
        <v>0.4847222222222222</v>
      </c>
      <c r="Q2844" s="29">
        <v>45121.0</v>
      </c>
      <c r="R2844" s="30">
        <v>0.48541666666666666</v>
      </c>
      <c r="S2844" s="28">
        <v>0.0</v>
      </c>
      <c r="T2844" s="23" t="s">
        <v>1473</v>
      </c>
      <c r="U2844" s="6"/>
      <c r="V2844" s="6"/>
      <c r="W2844" s="35">
        <v>29.8089679</v>
      </c>
      <c r="X2844" s="35">
        <v>-95.4229407999999</v>
      </c>
      <c r="AA2844" s="33"/>
      <c r="AB2844" s="33"/>
      <c r="AC2844" s="33"/>
      <c r="AD2844" s="33"/>
      <c r="AE2844" s="33"/>
      <c r="AF2844" s="33"/>
      <c r="AG2844" s="33"/>
      <c r="AH2844" s="33"/>
      <c r="AI2844" s="33"/>
      <c r="AJ2844" s="33"/>
      <c r="AK2844" s="33"/>
      <c r="AL2844" s="33"/>
      <c r="AM2844" s="33"/>
      <c r="AN2844" s="33"/>
      <c r="AO2844" s="33"/>
    </row>
    <row r="2845" ht="15.75" customHeight="1">
      <c r="A2845" s="23">
        <v>52810.0</v>
      </c>
      <c r="B2845" s="23">
        <v>2023.0</v>
      </c>
      <c r="C2845" s="36" t="str">
        <f t="shared" si="7"/>
        <v>16014 CHIMNEY ROCK RD,Houston,TX</v>
      </c>
      <c r="D2845" s="23" t="s">
        <v>4094</v>
      </c>
      <c r="E2845" s="23" t="s">
        <v>25</v>
      </c>
      <c r="F2845" s="23" t="s">
        <v>1388</v>
      </c>
      <c r="G2845" s="31" t="s">
        <v>166</v>
      </c>
      <c r="H2845" s="23" t="s">
        <v>50</v>
      </c>
      <c r="I2845" s="37" t="str">
        <f>VLOOKUP(H2845,'Flow Location'!$A$1:$B$21,2,FALSE)</f>
        <v>Contained On Site, not within 5 ft. of Bayou/Surface Water/Drainage Ditch</v>
      </c>
      <c r="J2845" s="28">
        <v>0.0</v>
      </c>
      <c r="K2845" s="23" t="s">
        <v>45</v>
      </c>
      <c r="L2845" s="37" t="str">
        <f>VLOOKUP(K2845,'Structure type'!$A$1:$B$15,2,FALSE)</f>
        <v>City Cleanout</v>
      </c>
      <c r="M2845" s="23" t="s">
        <v>30</v>
      </c>
      <c r="N2845" s="23" t="str">
        <f>VLOOKUP(M2845,'Excursion Cause'!$A$1:$B$34,2,FALSE)</f>
        <v>Grease Blockage</v>
      </c>
      <c r="O2845" s="29">
        <v>45122.0</v>
      </c>
      <c r="P2845" s="30">
        <v>0.3729166666666667</v>
      </c>
      <c r="Q2845" s="29">
        <v>45122.0</v>
      </c>
      <c r="R2845" s="30">
        <v>0.3736111111111111</v>
      </c>
      <c r="S2845" s="28">
        <v>0.0</v>
      </c>
      <c r="T2845" s="23" t="s">
        <v>1473</v>
      </c>
      <c r="U2845" s="6"/>
      <c r="V2845" s="6"/>
      <c r="W2845" s="35">
        <v>29.5924426</v>
      </c>
      <c r="X2845" s="35">
        <v>-95.4837287</v>
      </c>
      <c r="AA2845" s="33"/>
      <c r="AB2845" s="33"/>
      <c r="AC2845" s="33"/>
      <c r="AD2845" s="33"/>
      <c r="AE2845" s="33"/>
      <c r="AF2845" s="33"/>
      <c r="AG2845" s="33"/>
      <c r="AH2845" s="33"/>
      <c r="AI2845" s="33"/>
      <c r="AJ2845" s="33"/>
      <c r="AK2845" s="33"/>
      <c r="AL2845" s="33"/>
      <c r="AM2845" s="33"/>
      <c r="AN2845" s="33"/>
      <c r="AO2845" s="33"/>
    </row>
    <row r="2846" ht="15.75" customHeight="1">
      <c r="A2846" s="23">
        <v>52811.0</v>
      </c>
      <c r="B2846" s="23">
        <v>2023.0</v>
      </c>
      <c r="C2846" s="36" t="str">
        <f t="shared" si="7"/>
        <v>8150 SNOWDEN ST,Houston,TX</v>
      </c>
      <c r="D2846" s="23" t="s">
        <v>3252</v>
      </c>
      <c r="E2846" s="23" t="s">
        <v>25</v>
      </c>
      <c r="F2846" s="23" t="s">
        <v>1388</v>
      </c>
      <c r="G2846" s="31" t="s">
        <v>177</v>
      </c>
      <c r="H2846" s="23" t="s">
        <v>87</v>
      </c>
      <c r="I2846" s="37" t="str">
        <f>VLOOKUP(H2846,'Flow Location'!$A$1:$B$21,2,FALSE)</f>
        <v>Within 5 ft. of Bayou/Surface Water/Drainage Ditch</v>
      </c>
      <c r="J2846" s="28">
        <v>0.0</v>
      </c>
      <c r="K2846" s="23" t="s">
        <v>45</v>
      </c>
      <c r="L2846" s="37" t="str">
        <f>VLOOKUP(K2846,'Structure type'!$A$1:$B$15,2,FALSE)</f>
        <v>City Cleanout</v>
      </c>
      <c r="M2846" s="23" t="s">
        <v>30</v>
      </c>
      <c r="N2846" s="23" t="str">
        <f>VLOOKUP(M2846,'Excursion Cause'!$A$1:$B$34,2,FALSE)</f>
        <v>Grease Blockage</v>
      </c>
      <c r="O2846" s="29">
        <v>45122.0</v>
      </c>
      <c r="P2846" s="30">
        <v>0.39791666666666664</v>
      </c>
      <c r="Q2846" s="29">
        <v>45122.0</v>
      </c>
      <c r="R2846" s="30">
        <v>0.39861111111111114</v>
      </c>
      <c r="S2846" s="28">
        <v>0.0</v>
      </c>
      <c r="T2846" s="23" t="s">
        <v>3756</v>
      </c>
      <c r="U2846" s="6"/>
      <c r="V2846" s="6"/>
      <c r="W2846" s="35">
        <v>29.8456966</v>
      </c>
      <c r="X2846" s="35">
        <v>-95.2782191</v>
      </c>
      <c r="AA2846" s="33"/>
      <c r="AB2846" s="33"/>
      <c r="AC2846" s="33"/>
      <c r="AD2846" s="33"/>
      <c r="AE2846" s="33"/>
      <c r="AF2846" s="33"/>
      <c r="AG2846" s="33"/>
      <c r="AH2846" s="33"/>
      <c r="AI2846" s="33"/>
      <c r="AJ2846" s="33"/>
      <c r="AK2846" s="33"/>
      <c r="AL2846" s="33"/>
      <c r="AM2846" s="33"/>
      <c r="AN2846" s="33"/>
      <c r="AO2846" s="33"/>
    </row>
    <row r="2847" ht="15.75" customHeight="1">
      <c r="A2847" s="23">
        <v>52816.0</v>
      </c>
      <c r="B2847" s="23">
        <v>2023.0</v>
      </c>
      <c r="C2847" s="36" t="str">
        <f t="shared" si="7"/>
        <v>8625 WINKLER DR,Houston,TX</v>
      </c>
      <c r="D2847" s="23" t="s">
        <v>1054</v>
      </c>
      <c r="E2847" s="23" t="s">
        <v>25</v>
      </c>
      <c r="F2847" s="23" t="s">
        <v>1388</v>
      </c>
      <c r="G2847" s="31" t="s">
        <v>135</v>
      </c>
      <c r="H2847" s="23" t="s">
        <v>50</v>
      </c>
      <c r="I2847" s="37" t="str">
        <f>VLOOKUP(H2847,'Flow Location'!$A$1:$B$21,2,FALSE)</f>
        <v>Contained On Site, not within 5 ft. of Bayou/Surface Water/Drainage Ditch</v>
      </c>
      <c r="J2847" s="28">
        <v>1329.0</v>
      </c>
      <c r="K2847" s="23" t="s">
        <v>29</v>
      </c>
      <c r="L2847" s="37" t="str">
        <f>VLOOKUP(K2847,'Structure type'!$A$1:$B$15,2,FALSE)</f>
        <v>Manhole</v>
      </c>
      <c r="M2847" s="23" t="s">
        <v>52</v>
      </c>
      <c r="N2847" s="23" t="str">
        <f>VLOOKUP(M2847,'Excursion Cause'!$A$1:$B$34,2,FALSE)</f>
        <v>Collection system structural blockage</v>
      </c>
      <c r="O2847" s="29">
        <v>45122.0</v>
      </c>
      <c r="P2847" s="30">
        <v>0.5548611111111111</v>
      </c>
      <c r="Q2847" s="29">
        <v>45123.0</v>
      </c>
      <c r="R2847" s="30">
        <v>0.4777777777777778</v>
      </c>
      <c r="S2847" s="28">
        <v>1.0</v>
      </c>
      <c r="T2847" s="23" t="s">
        <v>1462</v>
      </c>
      <c r="U2847" s="6"/>
      <c r="V2847" s="6"/>
      <c r="W2847" s="35">
        <v>29.6711435</v>
      </c>
      <c r="X2847" s="35">
        <v>-95.2599073999999</v>
      </c>
      <c r="AA2847" s="33"/>
      <c r="AB2847" s="33"/>
      <c r="AC2847" s="33"/>
      <c r="AD2847" s="33"/>
      <c r="AE2847" s="33"/>
      <c r="AF2847" s="33"/>
      <c r="AG2847" s="33"/>
      <c r="AH2847" s="33"/>
      <c r="AI2847" s="33"/>
      <c r="AJ2847" s="33"/>
      <c r="AK2847" s="33"/>
      <c r="AL2847" s="33"/>
      <c r="AM2847" s="33"/>
      <c r="AN2847" s="33"/>
      <c r="AO2847" s="33"/>
    </row>
    <row r="2848" ht="15.75" customHeight="1">
      <c r="A2848" s="23">
        <v>52818.0</v>
      </c>
      <c r="B2848" s="23">
        <v>2023.0</v>
      </c>
      <c r="C2848" s="36" t="str">
        <f t="shared" si="7"/>
        <v>7867 GREEN LAWN DR,Houston,TX</v>
      </c>
      <c r="D2848" s="23" t="s">
        <v>4095</v>
      </c>
      <c r="E2848" s="23" t="s">
        <v>25</v>
      </c>
      <c r="F2848" s="23" t="s">
        <v>1388</v>
      </c>
      <c r="G2848" s="31" t="s">
        <v>502</v>
      </c>
      <c r="H2848" s="23" t="s">
        <v>50</v>
      </c>
      <c r="I2848" s="37" t="str">
        <f>VLOOKUP(H2848,'Flow Location'!$A$1:$B$21,2,FALSE)</f>
        <v>Contained On Site, not within 5 ft. of Bayou/Surface Water/Drainage Ditch</v>
      </c>
      <c r="J2848" s="28">
        <v>0.0</v>
      </c>
      <c r="K2848" s="23" t="s">
        <v>45</v>
      </c>
      <c r="L2848" s="37" t="str">
        <f>VLOOKUP(K2848,'Structure type'!$A$1:$B$15,2,FALSE)</f>
        <v>City Cleanout</v>
      </c>
      <c r="M2848" s="23" t="s">
        <v>30</v>
      </c>
      <c r="N2848" s="23" t="str">
        <f>VLOOKUP(M2848,'Excursion Cause'!$A$1:$B$34,2,FALSE)</f>
        <v>Grease Blockage</v>
      </c>
      <c r="O2848" s="29">
        <v>45123.0</v>
      </c>
      <c r="P2848" s="30">
        <v>0.46875</v>
      </c>
      <c r="Q2848" s="29">
        <v>45123.0</v>
      </c>
      <c r="R2848" s="30">
        <v>0.46944444444444444</v>
      </c>
      <c r="S2848" s="28">
        <v>0.0</v>
      </c>
      <c r="T2848" s="23" t="s">
        <v>1462</v>
      </c>
      <c r="U2848" s="6"/>
      <c r="V2848" s="6"/>
      <c r="W2848" s="35">
        <v>29.8795063</v>
      </c>
      <c r="X2848" s="35">
        <v>-95.4794405</v>
      </c>
      <c r="AA2848" s="33"/>
      <c r="AB2848" s="33"/>
      <c r="AC2848" s="33"/>
      <c r="AD2848" s="33"/>
      <c r="AE2848" s="33"/>
      <c r="AF2848" s="33"/>
      <c r="AG2848" s="33"/>
      <c r="AH2848" s="33"/>
      <c r="AI2848" s="33"/>
      <c r="AJ2848" s="33"/>
      <c r="AK2848" s="33"/>
      <c r="AL2848" s="33"/>
      <c r="AM2848" s="33"/>
      <c r="AN2848" s="33"/>
      <c r="AO2848" s="33"/>
    </row>
    <row r="2849" ht="15.75" customHeight="1">
      <c r="A2849" s="23">
        <v>52819.0</v>
      </c>
      <c r="B2849" s="23">
        <v>2023.0</v>
      </c>
      <c r="C2849" s="36" t="str">
        <f t="shared" si="7"/>
        <v>10603 SCOTT ST,Houston,TX</v>
      </c>
      <c r="D2849" s="23" t="s">
        <v>3824</v>
      </c>
      <c r="E2849" s="23" t="s">
        <v>25</v>
      </c>
      <c r="F2849" s="23" t="s">
        <v>1388</v>
      </c>
      <c r="G2849" s="31" t="s">
        <v>105</v>
      </c>
      <c r="H2849" s="23" t="s">
        <v>28</v>
      </c>
      <c r="I2849" s="37" t="str">
        <f>VLOOKUP(H2849,'Flow Location'!$A$1:$B$21,2,FALSE)</f>
        <v>Storm Sewer (not contained)</v>
      </c>
      <c r="J2849" s="28">
        <v>2272.0</v>
      </c>
      <c r="K2849" s="23" t="s">
        <v>29</v>
      </c>
      <c r="L2849" s="37" t="str">
        <f>VLOOKUP(K2849,'Structure type'!$A$1:$B$15,2,FALSE)</f>
        <v>Manhole</v>
      </c>
      <c r="M2849" s="23" t="s">
        <v>56</v>
      </c>
      <c r="N2849" s="23" t="str">
        <f>VLOOKUP(M2849,'Excursion Cause'!$A$1:$B$34,2,FALSE)</f>
        <v>Rags/Wipes</v>
      </c>
      <c r="O2849" s="29">
        <v>45123.0</v>
      </c>
      <c r="P2849" s="30">
        <v>0.6138888888888889</v>
      </c>
      <c r="Q2849" s="29">
        <v>45124.0</v>
      </c>
      <c r="R2849" s="30">
        <v>0.4027777777777778</v>
      </c>
      <c r="S2849" s="28">
        <v>2.0</v>
      </c>
      <c r="T2849" s="23" t="s">
        <v>3749</v>
      </c>
      <c r="U2849" s="6"/>
      <c r="V2849" s="6"/>
      <c r="W2849" s="35">
        <v>29.6448758</v>
      </c>
      <c r="X2849" s="35">
        <v>-95.3679708999999</v>
      </c>
      <c r="AA2849" s="33"/>
      <c r="AB2849" s="33"/>
      <c r="AC2849" s="33"/>
      <c r="AD2849" s="33"/>
      <c r="AE2849" s="33"/>
      <c r="AF2849" s="33"/>
      <c r="AG2849" s="33"/>
      <c r="AH2849" s="33"/>
      <c r="AI2849" s="33"/>
      <c r="AJ2849" s="33"/>
      <c r="AK2849" s="33"/>
      <c r="AL2849" s="33"/>
      <c r="AM2849" s="33"/>
      <c r="AN2849" s="33"/>
      <c r="AO2849" s="33"/>
    </row>
    <row r="2850" ht="15.75" customHeight="1">
      <c r="A2850" s="23">
        <v>52822.0</v>
      </c>
      <c r="B2850" s="23">
        <v>2023.0</v>
      </c>
      <c r="C2850" s="36" t="str">
        <f t="shared" si="7"/>
        <v>4306 WILMER ST,Houston,TX</v>
      </c>
      <c r="D2850" s="23" t="s">
        <v>4096</v>
      </c>
      <c r="E2850" s="23" t="s">
        <v>25</v>
      </c>
      <c r="F2850" s="23" t="s">
        <v>1388</v>
      </c>
      <c r="G2850" s="31" t="s">
        <v>172</v>
      </c>
      <c r="H2850" s="23" t="s">
        <v>50</v>
      </c>
      <c r="I2850" s="37" t="str">
        <f>VLOOKUP(H2850,'Flow Location'!$A$1:$B$21,2,FALSE)</f>
        <v>Contained On Site, not within 5 ft. of Bayou/Surface Water/Drainage Ditch</v>
      </c>
      <c r="J2850" s="28">
        <v>0.0</v>
      </c>
      <c r="K2850" s="23" t="s">
        <v>45</v>
      </c>
      <c r="L2850" s="37" t="str">
        <f>VLOOKUP(K2850,'Structure type'!$A$1:$B$15,2,FALSE)</f>
        <v>City Cleanout</v>
      </c>
      <c r="M2850" s="23" t="s">
        <v>96</v>
      </c>
      <c r="N2850" s="23" t="str">
        <f>VLOOKUP(M2850,'Excursion Cause'!$A$1:$B$34,2,FALSE)</f>
        <v>Collection system temporary blockage</v>
      </c>
      <c r="O2850" s="29">
        <v>45124.0</v>
      </c>
      <c r="P2850" s="30">
        <v>0.4388888888888889</v>
      </c>
      <c r="Q2850" s="29">
        <v>45124.0</v>
      </c>
      <c r="R2850" s="30">
        <v>0.4395833333333333</v>
      </c>
      <c r="S2850" s="28">
        <v>0.0</v>
      </c>
      <c r="T2850" s="23" t="s">
        <v>1473</v>
      </c>
      <c r="U2850" s="6"/>
      <c r="V2850" s="6"/>
      <c r="W2850" s="35">
        <v>29.7450819</v>
      </c>
      <c r="X2850" s="35">
        <v>-95.3325747999999</v>
      </c>
      <c r="AA2850" s="33"/>
      <c r="AB2850" s="33"/>
      <c r="AC2850" s="33"/>
      <c r="AD2850" s="33"/>
      <c r="AE2850" s="33"/>
      <c r="AF2850" s="33"/>
      <c r="AG2850" s="33"/>
      <c r="AH2850" s="33"/>
      <c r="AI2850" s="33"/>
      <c r="AJ2850" s="33"/>
      <c r="AK2850" s="33"/>
      <c r="AL2850" s="33"/>
      <c r="AM2850" s="33"/>
      <c r="AN2850" s="33"/>
      <c r="AO2850" s="33"/>
    </row>
    <row r="2851" ht="15.75" customHeight="1">
      <c r="A2851" s="23">
        <v>52824.0</v>
      </c>
      <c r="B2851" s="23">
        <v>2023.0</v>
      </c>
      <c r="C2851" s="36" t="str">
        <f t="shared" si="7"/>
        <v>8355 WHITECASTLE LN,Houston,TX</v>
      </c>
      <c r="D2851" s="23" t="s">
        <v>4097</v>
      </c>
      <c r="E2851" s="23" t="s">
        <v>25</v>
      </c>
      <c r="F2851" s="23" t="s">
        <v>1388</v>
      </c>
      <c r="G2851" s="31" t="s">
        <v>502</v>
      </c>
      <c r="H2851" s="23" t="s">
        <v>50</v>
      </c>
      <c r="I2851" s="37" t="str">
        <f>VLOOKUP(H2851,'Flow Location'!$A$1:$B$21,2,FALSE)</f>
        <v>Contained On Site, not within 5 ft. of Bayou/Surface Water/Drainage Ditch</v>
      </c>
      <c r="J2851" s="28">
        <v>0.0</v>
      </c>
      <c r="K2851" s="23" t="s">
        <v>51</v>
      </c>
      <c r="L2851" s="37" t="str">
        <f>VLOOKUP(K2851,'Structure type'!$A$1:$B$15,2,FALSE)</f>
        <v>Private Cleanout</v>
      </c>
      <c r="M2851" s="23" t="s">
        <v>52</v>
      </c>
      <c r="N2851" s="23" t="str">
        <f>VLOOKUP(M2851,'Excursion Cause'!$A$1:$B$34,2,FALSE)</f>
        <v>Collection system structural blockage</v>
      </c>
      <c r="O2851" s="29">
        <v>45124.0</v>
      </c>
      <c r="P2851" s="30">
        <v>0.4618055555555556</v>
      </c>
      <c r="Q2851" s="29">
        <v>45124.0</v>
      </c>
      <c r="R2851" s="30">
        <v>0.4625</v>
      </c>
      <c r="S2851" s="28">
        <v>0.0</v>
      </c>
      <c r="T2851" s="23" t="s">
        <v>118</v>
      </c>
      <c r="U2851" s="6"/>
      <c r="V2851" s="6"/>
      <c r="W2851" s="35">
        <v>29.8820537999999</v>
      </c>
      <c r="X2851" s="35">
        <v>-95.4179099</v>
      </c>
      <c r="AA2851" s="33"/>
      <c r="AB2851" s="33"/>
      <c r="AC2851" s="33"/>
      <c r="AD2851" s="33"/>
      <c r="AE2851" s="33"/>
      <c r="AF2851" s="33"/>
      <c r="AG2851" s="33"/>
      <c r="AH2851" s="33"/>
      <c r="AI2851" s="33"/>
      <c r="AJ2851" s="33"/>
      <c r="AK2851" s="33"/>
      <c r="AL2851" s="33"/>
      <c r="AM2851" s="33"/>
      <c r="AN2851" s="33"/>
      <c r="AO2851" s="33"/>
    </row>
    <row r="2852" ht="15.75" customHeight="1">
      <c r="A2852" s="23">
        <v>52830.0</v>
      </c>
      <c r="B2852" s="23">
        <v>2023.0</v>
      </c>
      <c r="C2852" s="36" t="str">
        <f t="shared" si="7"/>
        <v>900 WINSTON ST,Houston,TX</v>
      </c>
      <c r="D2852" s="23" t="s">
        <v>4098</v>
      </c>
      <c r="E2852" s="23" t="s">
        <v>25</v>
      </c>
      <c r="F2852" s="23" t="s">
        <v>1388</v>
      </c>
      <c r="G2852" s="31" t="s">
        <v>161</v>
      </c>
      <c r="H2852" s="23" t="s">
        <v>28</v>
      </c>
      <c r="I2852" s="37" t="str">
        <f>VLOOKUP(H2852,'Flow Location'!$A$1:$B$21,2,FALSE)</f>
        <v>Storm Sewer (not contained)</v>
      </c>
      <c r="J2852" s="28">
        <v>989.0</v>
      </c>
      <c r="K2852" s="23" t="s">
        <v>29</v>
      </c>
      <c r="L2852" s="37" t="str">
        <f>VLOOKUP(K2852,'Structure type'!$A$1:$B$15,2,FALSE)</f>
        <v>Manhole</v>
      </c>
      <c r="M2852" s="23" t="s">
        <v>30</v>
      </c>
      <c r="N2852" s="23" t="str">
        <f>VLOOKUP(M2852,'Excursion Cause'!$A$1:$B$34,2,FALSE)</f>
        <v>Grease Blockage</v>
      </c>
      <c r="O2852" s="29">
        <v>45124.0</v>
      </c>
      <c r="P2852" s="30">
        <v>0.7298611111111111</v>
      </c>
      <c r="Q2852" s="29">
        <v>45125.0</v>
      </c>
      <c r="R2852" s="30">
        <v>0.4166666666666667</v>
      </c>
      <c r="S2852" s="28">
        <v>1.0</v>
      </c>
      <c r="T2852" s="23" t="s">
        <v>3749</v>
      </c>
      <c r="U2852" s="6"/>
      <c r="V2852" s="6"/>
      <c r="W2852" s="35">
        <v>29.8010171</v>
      </c>
      <c r="X2852" s="35">
        <v>-95.3825093</v>
      </c>
      <c r="AA2852" s="33"/>
      <c r="AB2852" s="33"/>
      <c r="AC2852" s="33"/>
      <c r="AD2852" s="33"/>
      <c r="AE2852" s="33"/>
      <c r="AF2852" s="33"/>
      <c r="AG2852" s="33"/>
      <c r="AH2852" s="33"/>
      <c r="AI2852" s="33"/>
      <c r="AJ2852" s="33"/>
      <c r="AK2852" s="33"/>
      <c r="AL2852" s="33"/>
      <c r="AM2852" s="33"/>
      <c r="AN2852" s="33"/>
      <c r="AO2852" s="33"/>
    </row>
    <row r="2853" ht="15.75" customHeight="1">
      <c r="A2853" s="23">
        <v>52831.0</v>
      </c>
      <c r="B2853" s="23">
        <v>2023.0</v>
      </c>
      <c r="C2853" s="36" t="str">
        <f t="shared" si="7"/>
        <v>16014 CHIMNEY ROCK RD,Houston,TX</v>
      </c>
      <c r="D2853" s="23" t="s">
        <v>4094</v>
      </c>
      <c r="E2853" s="23" t="s">
        <v>25</v>
      </c>
      <c r="F2853" s="23" t="s">
        <v>1388</v>
      </c>
      <c r="G2853" s="31" t="s">
        <v>166</v>
      </c>
      <c r="H2853" s="23" t="s">
        <v>50</v>
      </c>
      <c r="I2853" s="37" t="str">
        <f>VLOOKUP(H2853,'Flow Location'!$A$1:$B$21,2,FALSE)</f>
        <v>Contained On Site, not within 5 ft. of Bayou/Surface Water/Drainage Ditch</v>
      </c>
      <c r="J2853" s="28">
        <v>0.0</v>
      </c>
      <c r="K2853" s="23" t="s">
        <v>45</v>
      </c>
      <c r="L2853" s="37" t="str">
        <f>VLOOKUP(K2853,'Structure type'!$A$1:$B$15,2,FALSE)</f>
        <v>City Cleanout</v>
      </c>
      <c r="M2853" s="23" t="s">
        <v>56</v>
      </c>
      <c r="N2853" s="23" t="str">
        <f>VLOOKUP(M2853,'Excursion Cause'!$A$1:$B$34,2,FALSE)</f>
        <v>Rags/Wipes</v>
      </c>
      <c r="O2853" s="29">
        <v>45125.0</v>
      </c>
      <c r="P2853" s="30">
        <v>0.4791666666666667</v>
      </c>
      <c r="Q2853" s="29">
        <v>45125.0</v>
      </c>
      <c r="R2853" s="30">
        <v>0.4798611111111111</v>
      </c>
      <c r="S2853" s="28">
        <v>0.0</v>
      </c>
      <c r="T2853" s="23" t="s">
        <v>3743</v>
      </c>
      <c r="U2853" s="6"/>
      <c r="V2853" s="6"/>
      <c r="W2853" s="35">
        <v>29.5924426</v>
      </c>
      <c r="X2853" s="35">
        <v>-95.4837287</v>
      </c>
      <c r="AA2853" s="33"/>
      <c r="AB2853" s="33"/>
      <c r="AC2853" s="33"/>
      <c r="AD2853" s="33"/>
      <c r="AE2853" s="33"/>
      <c r="AF2853" s="33"/>
      <c r="AG2853" s="33"/>
      <c r="AH2853" s="33"/>
      <c r="AI2853" s="33"/>
      <c r="AJ2853" s="33"/>
      <c r="AK2853" s="33"/>
      <c r="AL2853" s="33"/>
      <c r="AM2853" s="33"/>
      <c r="AN2853" s="33"/>
      <c r="AO2853" s="33"/>
    </row>
    <row r="2854" ht="15.75" customHeight="1">
      <c r="A2854" s="23">
        <v>52834.0</v>
      </c>
      <c r="B2854" s="23">
        <v>2023.0</v>
      </c>
      <c r="C2854" s="36" t="str">
        <f t="shared" si="7"/>
        <v>3813 WIPPRECHT ST,Houston,TX</v>
      </c>
      <c r="D2854" s="23" t="s">
        <v>4099</v>
      </c>
      <c r="E2854" s="23" t="s">
        <v>25</v>
      </c>
      <c r="F2854" s="23" t="s">
        <v>1388</v>
      </c>
      <c r="G2854" s="31" t="s">
        <v>43</v>
      </c>
      <c r="H2854" s="23" t="s">
        <v>50</v>
      </c>
      <c r="I2854" s="37" t="str">
        <f>VLOOKUP(H2854,'Flow Location'!$A$1:$B$21,2,FALSE)</f>
        <v>Contained On Site, not within 5 ft. of Bayou/Surface Water/Drainage Ditch</v>
      </c>
      <c r="J2854" s="28">
        <v>0.0</v>
      </c>
      <c r="K2854" s="23" t="s">
        <v>45</v>
      </c>
      <c r="L2854" s="37" t="str">
        <f>VLOOKUP(K2854,'Structure type'!$A$1:$B$15,2,FALSE)</f>
        <v>City Cleanout</v>
      </c>
      <c r="M2854" s="23" t="s">
        <v>56</v>
      </c>
      <c r="N2854" s="23" t="str">
        <f>VLOOKUP(M2854,'Excursion Cause'!$A$1:$B$34,2,FALSE)</f>
        <v>Rags/Wipes</v>
      </c>
      <c r="O2854" s="29">
        <v>45125.0</v>
      </c>
      <c r="P2854" s="30">
        <v>0.5048611111111111</v>
      </c>
      <c r="Q2854" s="29">
        <v>45125.0</v>
      </c>
      <c r="R2854" s="30">
        <v>0.5055555555555555</v>
      </c>
      <c r="S2854" s="28">
        <v>0.0</v>
      </c>
      <c r="T2854" s="23" t="s">
        <v>3743</v>
      </c>
      <c r="U2854" s="6"/>
      <c r="V2854" s="6"/>
      <c r="W2854" s="35">
        <v>29.7945877</v>
      </c>
      <c r="X2854" s="35">
        <v>-95.3225981</v>
      </c>
      <c r="AA2854" s="33"/>
      <c r="AB2854" s="33"/>
      <c r="AC2854" s="33"/>
      <c r="AD2854" s="33"/>
      <c r="AE2854" s="33"/>
      <c r="AF2854" s="33"/>
      <c r="AG2854" s="33"/>
      <c r="AH2854" s="33"/>
      <c r="AI2854" s="33"/>
      <c r="AJ2854" s="33"/>
      <c r="AK2854" s="33"/>
      <c r="AL2854" s="33"/>
      <c r="AM2854" s="33"/>
      <c r="AN2854" s="33"/>
      <c r="AO2854" s="33"/>
    </row>
    <row r="2855" ht="15.75" customHeight="1">
      <c r="A2855" s="23">
        <v>52842.0</v>
      </c>
      <c r="B2855" s="23">
        <v>2023.0</v>
      </c>
      <c r="C2855" s="36" t="str">
        <f t="shared" si="7"/>
        <v>8363 LEAWOOD BLVD,Houston,TX</v>
      </c>
      <c r="D2855" s="23" t="s">
        <v>4100</v>
      </c>
      <c r="E2855" s="23" t="s">
        <v>25</v>
      </c>
      <c r="F2855" s="23" t="s">
        <v>1388</v>
      </c>
      <c r="G2855" s="31" t="s">
        <v>91</v>
      </c>
      <c r="H2855" s="23" t="s">
        <v>50</v>
      </c>
      <c r="I2855" s="37" t="str">
        <f>VLOOKUP(H2855,'Flow Location'!$A$1:$B$21,2,FALSE)</f>
        <v>Contained On Site, not within 5 ft. of Bayou/Surface Water/Drainage Ditch</v>
      </c>
      <c r="J2855" s="28">
        <v>0.0</v>
      </c>
      <c r="K2855" s="23" t="s">
        <v>29</v>
      </c>
      <c r="L2855" s="37" t="str">
        <f>VLOOKUP(K2855,'Structure type'!$A$1:$B$15,2,FALSE)</f>
        <v>Manhole</v>
      </c>
      <c r="M2855" s="23" t="s">
        <v>56</v>
      </c>
      <c r="N2855" s="23" t="str">
        <f>VLOOKUP(M2855,'Excursion Cause'!$A$1:$B$34,2,FALSE)</f>
        <v>Rags/Wipes</v>
      </c>
      <c r="O2855" s="29">
        <v>45127.0</v>
      </c>
      <c r="P2855" s="30">
        <v>0.5625</v>
      </c>
      <c r="Q2855" s="29">
        <v>45127.0</v>
      </c>
      <c r="R2855" s="30">
        <v>0.5631944444444444</v>
      </c>
      <c r="S2855" s="28">
        <v>0.0</v>
      </c>
      <c r="T2855" s="23" t="s">
        <v>1462</v>
      </c>
      <c r="U2855" s="6"/>
      <c r="V2855" s="6"/>
      <c r="W2855" s="35">
        <v>29.6868372</v>
      </c>
      <c r="X2855" s="35">
        <v>-95.5776217</v>
      </c>
      <c r="AA2855" s="33"/>
      <c r="AB2855" s="33"/>
      <c r="AC2855" s="33"/>
      <c r="AD2855" s="33"/>
      <c r="AE2855" s="33"/>
      <c r="AF2855" s="33"/>
      <c r="AG2855" s="33"/>
      <c r="AH2855" s="33"/>
      <c r="AI2855" s="33"/>
      <c r="AJ2855" s="33"/>
      <c r="AK2855" s="33"/>
      <c r="AL2855" s="33"/>
      <c r="AM2855" s="33"/>
      <c r="AN2855" s="33"/>
      <c r="AO2855" s="33"/>
    </row>
    <row r="2856" ht="15.75" customHeight="1">
      <c r="A2856" s="23">
        <v>52846.0</v>
      </c>
      <c r="B2856" s="23">
        <v>2023.0</v>
      </c>
      <c r="C2856" s="36" t="str">
        <f t="shared" si="7"/>
        <v>8422 BRAES BLVD,Houston,TX</v>
      </c>
      <c r="D2856" s="23" t="s">
        <v>3802</v>
      </c>
      <c r="E2856" s="23" t="s">
        <v>25</v>
      </c>
      <c r="F2856" s="23" t="s">
        <v>1388</v>
      </c>
      <c r="G2856" s="31" t="s">
        <v>65</v>
      </c>
      <c r="H2856" s="23" t="s">
        <v>28</v>
      </c>
      <c r="I2856" s="37" t="str">
        <f>VLOOKUP(H2856,'Flow Location'!$A$1:$B$21,2,FALSE)</f>
        <v>Storm Sewer (not contained)</v>
      </c>
      <c r="J2856" s="28">
        <v>159.0</v>
      </c>
      <c r="K2856" s="23" t="s">
        <v>29</v>
      </c>
      <c r="L2856" s="37" t="str">
        <f>VLOOKUP(K2856,'Structure type'!$A$1:$B$15,2,FALSE)</f>
        <v>Manhole</v>
      </c>
      <c r="M2856" s="23" t="s">
        <v>30</v>
      </c>
      <c r="N2856" s="23" t="str">
        <f>VLOOKUP(M2856,'Excursion Cause'!$A$1:$B$34,2,FALSE)</f>
        <v>Grease Blockage</v>
      </c>
      <c r="O2856" s="29">
        <v>45127.0</v>
      </c>
      <c r="P2856" s="30">
        <v>0.41388888888888886</v>
      </c>
      <c r="Q2856" s="29">
        <v>45127.0</v>
      </c>
      <c r="R2856" s="30">
        <v>0.5243055555555556</v>
      </c>
      <c r="S2856" s="28">
        <v>1.0</v>
      </c>
      <c r="T2856" s="23" t="s">
        <v>1462</v>
      </c>
      <c r="U2856" s="6"/>
      <c r="V2856" s="6"/>
      <c r="W2856" s="35">
        <v>29.6928924</v>
      </c>
      <c r="X2856" s="35">
        <v>-95.4368966999999</v>
      </c>
      <c r="AA2856" s="33"/>
      <c r="AB2856" s="33"/>
      <c r="AC2856" s="33"/>
      <c r="AD2856" s="33"/>
      <c r="AE2856" s="33"/>
      <c r="AF2856" s="33"/>
      <c r="AG2856" s="33"/>
      <c r="AH2856" s="33"/>
      <c r="AI2856" s="33"/>
      <c r="AJ2856" s="33"/>
      <c r="AK2856" s="33"/>
      <c r="AL2856" s="33"/>
      <c r="AM2856" s="33"/>
      <c r="AN2856" s="33"/>
      <c r="AO2856" s="33"/>
    </row>
    <row r="2857" ht="15.75" customHeight="1">
      <c r="A2857" s="23">
        <v>52854.0</v>
      </c>
      <c r="B2857" s="23">
        <v>2023.0</v>
      </c>
      <c r="C2857" s="36" t="str">
        <f t="shared" si="7"/>
        <v>8447 PARK PLACE BLVD,Houston,TX</v>
      </c>
      <c r="D2857" s="23" t="s">
        <v>3272</v>
      </c>
      <c r="E2857" s="23" t="s">
        <v>25</v>
      </c>
      <c r="F2857" s="23" t="s">
        <v>1388</v>
      </c>
      <c r="G2857" s="31" t="s">
        <v>135</v>
      </c>
      <c r="H2857" s="23" t="s">
        <v>28</v>
      </c>
      <c r="I2857" s="37" t="str">
        <f>VLOOKUP(H2857,'Flow Location'!$A$1:$B$21,2,FALSE)</f>
        <v>Storm Sewer (not contained)</v>
      </c>
      <c r="J2857" s="28">
        <v>0.0</v>
      </c>
      <c r="K2857" s="23" t="s">
        <v>45</v>
      </c>
      <c r="L2857" s="37" t="str">
        <f>VLOOKUP(K2857,'Structure type'!$A$1:$B$15,2,FALSE)</f>
        <v>City Cleanout</v>
      </c>
      <c r="M2857" s="23" t="s">
        <v>56</v>
      </c>
      <c r="N2857" s="23" t="str">
        <f>VLOOKUP(M2857,'Excursion Cause'!$A$1:$B$34,2,FALSE)</f>
        <v>Rags/Wipes</v>
      </c>
      <c r="O2857" s="29">
        <v>45127.0</v>
      </c>
      <c r="P2857" s="30">
        <v>0.7069444444444445</v>
      </c>
      <c r="Q2857" s="29">
        <v>45127.0</v>
      </c>
      <c r="R2857" s="30">
        <v>0.7076388888888889</v>
      </c>
      <c r="S2857" s="28">
        <v>0.0</v>
      </c>
      <c r="T2857" s="23" t="s">
        <v>3743</v>
      </c>
      <c r="U2857" s="6"/>
      <c r="V2857" s="6"/>
      <c r="W2857" s="35">
        <v>29.6946864</v>
      </c>
      <c r="X2857" s="35">
        <v>-95.2658931</v>
      </c>
      <c r="AA2857" s="33"/>
      <c r="AB2857" s="33"/>
      <c r="AC2857" s="33"/>
      <c r="AD2857" s="33"/>
      <c r="AE2857" s="33"/>
      <c r="AF2857" s="33"/>
      <c r="AG2857" s="33"/>
      <c r="AH2857" s="33"/>
      <c r="AI2857" s="33"/>
      <c r="AJ2857" s="33"/>
      <c r="AK2857" s="33"/>
      <c r="AL2857" s="33"/>
      <c r="AM2857" s="33"/>
      <c r="AN2857" s="33"/>
      <c r="AO2857" s="33"/>
    </row>
    <row r="2858" ht="15.75" customHeight="1">
      <c r="A2858" s="23">
        <v>52856.0</v>
      </c>
      <c r="B2858" s="23">
        <v>2023.0</v>
      </c>
      <c r="C2858" s="36" t="str">
        <f t="shared" si="7"/>
        <v>10247 FIELD STONE DR,Houston,TX</v>
      </c>
      <c r="D2858" s="23" t="s">
        <v>3950</v>
      </c>
      <c r="E2858" s="23" t="s">
        <v>25</v>
      </c>
      <c r="F2858" s="23" t="s">
        <v>1388</v>
      </c>
      <c r="G2858" s="31" t="s">
        <v>344</v>
      </c>
      <c r="H2858" s="23" t="s">
        <v>50</v>
      </c>
      <c r="I2858" s="37" t="str">
        <f>VLOOKUP(H2858,'Flow Location'!$A$1:$B$21,2,FALSE)</f>
        <v>Contained On Site, not within 5 ft. of Bayou/Surface Water/Drainage Ditch</v>
      </c>
      <c r="J2858" s="28">
        <v>465.0</v>
      </c>
      <c r="K2858" s="23" t="s">
        <v>29</v>
      </c>
      <c r="L2858" s="37" t="str">
        <f>VLOOKUP(K2858,'Structure type'!$A$1:$B$15,2,FALSE)</f>
        <v>Manhole</v>
      </c>
      <c r="M2858" s="23" t="s">
        <v>30</v>
      </c>
      <c r="N2858" s="23" t="str">
        <f>VLOOKUP(M2858,'Excursion Cause'!$A$1:$B$34,2,FALSE)</f>
        <v>Grease Blockage</v>
      </c>
      <c r="O2858" s="29">
        <v>45128.0</v>
      </c>
      <c r="P2858" s="30">
        <v>0.40625</v>
      </c>
      <c r="Q2858" s="29">
        <v>45128.0</v>
      </c>
      <c r="R2858" s="30">
        <v>0.7291666666666666</v>
      </c>
      <c r="S2858" s="28">
        <v>1.0</v>
      </c>
      <c r="T2858" s="23" t="s">
        <v>3749</v>
      </c>
      <c r="U2858" s="6"/>
      <c r="V2858" s="6"/>
      <c r="W2858" s="35">
        <v>29.8340573</v>
      </c>
      <c r="X2858" s="35">
        <v>-95.5473935</v>
      </c>
      <c r="AA2858" s="33"/>
      <c r="AB2858" s="33"/>
      <c r="AC2858" s="33"/>
      <c r="AD2858" s="33"/>
      <c r="AE2858" s="33"/>
      <c r="AF2858" s="33"/>
      <c r="AG2858" s="33"/>
      <c r="AH2858" s="33"/>
      <c r="AI2858" s="33"/>
      <c r="AJ2858" s="33"/>
      <c r="AK2858" s="33"/>
      <c r="AL2858" s="33"/>
      <c r="AM2858" s="33"/>
      <c r="AN2858" s="33"/>
      <c r="AO2858" s="33"/>
    </row>
    <row r="2859" ht="15.75" customHeight="1">
      <c r="A2859" s="23">
        <v>52857.0</v>
      </c>
      <c r="B2859" s="23">
        <v>2023.0</v>
      </c>
      <c r="C2859" s="36" t="str">
        <f t="shared" si="7"/>
        <v>715 ROUSE ST,Houston,TX</v>
      </c>
      <c r="D2859" s="23" t="s">
        <v>338</v>
      </c>
      <c r="E2859" s="23" t="s">
        <v>25</v>
      </c>
      <c r="F2859" s="23" t="s">
        <v>1388</v>
      </c>
      <c r="G2859" s="31" t="s">
        <v>86</v>
      </c>
      <c r="H2859" s="23" t="s">
        <v>50</v>
      </c>
      <c r="I2859" s="37" t="str">
        <f>VLOOKUP(H2859,'Flow Location'!$A$1:$B$21,2,FALSE)</f>
        <v>Contained On Site, not within 5 ft. of Bayou/Surface Water/Drainage Ditch</v>
      </c>
      <c r="J2859" s="28">
        <v>0.0</v>
      </c>
      <c r="K2859" s="23" t="s">
        <v>45</v>
      </c>
      <c r="L2859" s="37" t="str">
        <f>VLOOKUP(K2859,'Structure type'!$A$1:$B$15,2,FALSE)</f>
        <v>City Cleanout</v>
      </c>
      <c r="M2859" s="23" t="s">
        <v>30</v>
      </c>
      <c r="N2859" s="23" t="str">
        <f>VLOOKUP(M2859,'Excursion Cause'!$A$1:$B$34,2,FALSE)</f>
        <v>Grease Blockage</v>
      </c>
      <c r="O2859" s="29">
        <v>45128.0</v>
      </c>
      <c r="P2859" s="30">
        <v>0.45555555555555555</v>
      </c>
      <c r="Q2859" s="29">
        <v>45128.0</v>
      </c>
      <c r="R2859" s="30">
        <v>0.45625</v>
      </c>
      <c r="S2859" s="28">
        <v>0.0</v>
      </c>
      <c r="T2859" s="23" t="s">
        <v>3756</v>
      </c>
      <c r="U2859" s="6"/>
      <c r="V2859" s="6"/>
      <c r="W2859" s="35">
        <v>29.7759575</v>
      </c>
      <c r="X2859" s="35">
        <v>-95.3050844999999</v>
      </c>
      <c r="AA2859" s="33"/>
      <c r="AB2859" s="33"/>
      <c r="AC2859" s="33"/>
      <c r="AD2859" s="33"/>
      <c r="AE2859" s="33"/>
      <c r="AF2859" s="33"/>
      <c r="AG2859" s="33"/>
      <c r="AH2859" s="33"/>
      <c r="AI2859" s="33"/>
      <c r="AJ2859" s="33"/>
      <c r="AK2859" s="33"/>
      <c r="AL2859" s="33"/>
      <c r="AM2859" s="33"/>
      <c r="AN2859" s="33"/>
      <c r="AO2859" s="33"/>
    </row>
    <row r="2860" ht="15.75" customHeight="1">
      <c r="A2860" s="23">
        <v>52861.0</v>
      </c>
      <c r="B2860" s="23">
        <v>2023.0</v>
      </c>
      <c r="C2860" s="36" t="str">
        <f t="shared" si="7"/>
        <v>3604 TUAM ST,Houston,TX</v>
      </c>
      <c r="D2860" s="23" t="s">
        <v>4101</v>
      </c>
      <c r="E2860" s="23" t="s">
        <v>25</v>
      </c>
      <c r="F2860" s="23" t="s">
        <v>1388</v>
      </c>
      <c r="G2860" s="31" t="s">
        <v>308</v>
      </c>
      <c r="H2860" s="23" t="s">
        <v>50</v>
      </c>
      <c r="I2860" s="37" t="str">
        <f>VLOOKUP(H2860,'Flow Location'!$A$1:$B$21,2,FALSE)</f>
        <v>Contained On Site, not within 5 ft. of Bayou/Surface Water/Drainage Ditch</v>
      </c>
      <c r="J2860" s="28">
        <v>0.0</v>
      </c>
      <c r="K2860" s="23" t="s">
        <v>45</v>
      </c>
      <c r="L2860" s="37" t="str">
        <f>VLOOKUP(K2860,'Structure type'!$A$1:$B$15,2,FALSE)</f>
        <v>City Cleanout</v>
      </c>
      <c r="M2860" s="23" t="s">
        <v>30</v>
      </c>
      <c r="N2860" s="23" t="str">
        <f>VLOOKUP(M2860,'Excursion Cause'!$A$1:$B$34,2,FALSE)</f>
        <v>Grease Blockage</v>
      </c>
      <c r="O2860" s="29">
        <v>45128.0</v>
      </c>
      <c r="P2860" s="30">
        <v>0.53125</v>
      </c>
      <c r="Q2860" s="29">
        <v>45128.0</v>
      </c>
      <c r="R2860" s="30">
        <v>0.5319444444444444</v>
      </c>
      <c r="S2860" s="28">
        <v>0.0</v>
      </c>
      <c r="T2860" s="23" t="s">
        <v>3749</v>
      </c>
      <c r="U2860" s="6"/>
      <c r="V2860" s="6"/>
      <c r="W2860" s="35">
        <v>29.7301133999999</v>
      </c>
      <c r="X2860" s="35">
        <v>-95.3480618999999</v>
      </c>
      <c r="AA2860" s="33"/>
      <c r="AB2860" s="33"/>
      <c r="AC2860" s="33"/>
      <c r="AD2860" s="33"/>
      <c r="AE2860" s="33"/>
      <c r="AF2860" s="33"/>
      <c r="AG2860" s="33"/>
      <c r="AH2860" s="33"/>
      <c r="AI2860" s="33"/>
      <c r="AJ2860" s="33"/>
      <c r="AK2860" s="33"/>
      <c r="AL2860" s="33"/>
      <c r="AM2860" s="33"/>
      <c r="AN2860" s="33"/>
      <c r="AO2860" s="33"/>
    </row>
    <row r="2861" ht="15.75" customHeight="1">
      <c r="A2861" s="23">
        <v>52863.0</v>
      </c>
      <c r="B2861" s="23">
        <v>2023.0</v>
      </c>
      <c r="C2861" s="36" t="str">
        <f t="shared" si="7"/>
        <v>5646 WINDING WAY DR,Houston,TX</v>
      </c>
      <c r="D2861" s="23" t="s">
        <v>4102</v>
      </c>
      <c r="E2861" s="23" t="s">
        <v>25</v>
      </c>
      <c r="F2861" s="23" t="s">
        <v>1388</v>
      </c>
      <c r="G2861" s="31" t="s">
        <v>222</v>
      </c>
      <c r="H2861" s="23" t="s">
        <v>50</v>
      </c>
      <c r="I2861" s="37" t="str">
        <f>VLOOKUP(H2861,'Flow Location'!$A$1:$B$21,2,FALSE)</f>
        <v>Contained On Site, not within 5 ft. of Bayou/Surface Water/Drainage Ditch</v>
      </c>
      <c r="J2861" s="28">
        <v>0.0</v>
      </c>
      <c r="K2861" s="23" t="s">
        <v>45</v>
      </c>
      <c r="L2861" s="37" t="str">
        <f>VLOOKUP(K2861,'Structure type'!$A$1:$B$15,2,FALSE)</f>
        <v>City Cleanout</v>
      </c>
      <c r="M2861" s="23" t="s">
        <v>56</v>
      </c>
      <c r="N2861" s="23" t="str">
        <f>VLOOKUP(M2861,'Excursion Cause'!$A$1:$B$34,2,FALSE)</f>
        <v>Rags/Wipes</v>
      </c>
      <c r="O2861" s="29">
        <v>45128.0</v>
      </c>
      <c r="P2861" s="30">
        <v>0.5659722222222222</v>
      </c>
      <c r="Q2861" s="29">
        <v>45130.0</v>
      </c>
      <c r="R2861" s="30">
        <v>0.47152777777777777</v>
      </c>
      <c r="S2861" s="28">
        <v>0.0</v>
      </c>
      <c r="T2861" s="23" t="s">
        <v>3756</v>
      </c>
      <c r="U2861" s="6"/>
      <c r="V2861" s="6"/>
      <c r="W2861" s="35">
        <v>29.8596031</v>
      </c>
      <c r="X2861" s="35">
        <v>-95.4723337</v>
      </c>
      <c r="AA2861" s="33"/>
      <c r="AB2861" s="33"/>
      <c r="AC2861" s="33"/>
      <c r="AD2861" s="33"/>
      <c r="AE2861" s="33"/>
      <c r="AF2861" s="33"/>
      <c r="AG2861" s="33"/>
      <c r="AH2861" s="33"/>
      <c r="AI2861" s="33"/>
      <c r="AJ2861" s="33"/>
      <c r="AK2861" s="33"/>
      <c r="AL2861" s="33"/>
      <c r="AM2861" s="33"/>
      <c r="AN2861" s="33"/>
      <c r="AO2861" s="33"/>
    </row>
    <row r="2862" ht="15.75" customHeight="1">
      <c r="A2862" s="23">
        <v>52865.0</v>
      </c>
      <c r="B2862" s="23">
        <v>2023.0</v>
      </c>
      <c r="C2862" s="36" t="str">
        <f t="shared" si="7"/>
        <v>1011 LA RUE ST,Houston,TX</v>
      </c>
      <c r="D2862" s="23" t="s">
        <v>4103</v>
      </c>
      <c r="E2862" s="23" t="s">
        <v>25</v>
      </c>
      <c r="F2862" s="23" t="s">
        <v>1388</v>
      </c>
      <c r="G2862" s="31" t="s">
        <v>80</v>
      </c>
      <c r="H2862" s="23" t="s">
        <v>50</v>
      </c>
      <c r="I2862" s="37" t="str">
        <f>VLOOKUP(H2862,'Flow Location'!$A$1:$B$21,2,FALSE)</f>
        <v>Contained On Site, not within 5 ft. of Bayou/Surface Water/Drainage Ditch</v>
      </c>
      <c r="J2862" s="28">
        <v>0.0</v>
      </c>
      <c r="K2862" s="23" t="s">
        <v>45</v>
      </c>
      <c r="L2862" s="37" t="str">
        <f>VLOOKUP(K2862,'Structure type'!$A$1:$B$15,2,FALSE)</f>
        <v>City Cleanout</v>
      </c>
      <c r="M2862" s="23" t="s">
        <v>759</v>
      </c>
      <c r="N2862" s="23" t="str">
        <f>VLOOKUP(M2862,'Excursion Cause'!$A$1:$B$34,2,FALSE)</f>
        <v>Roots</v>
      </c>
      <c r="O2862" s="29">
        <v>45128.0</v>
      </c>
      <c r="P2862" s="30">
        <v>0.7</v>
      </c>
      <c r="Q2862" s="29">
        <v>45128.0</v>
      </c>
      <c r="R2862" s="30">
        <v>0.7006944444444444</v>
      </c>
      <c r="S2862" s="28">
        <v>0.0</v>
      </c>
      <c r="T2862" s="23" t="s">
        <v>118</v>
      </c>
      <c r="U2862" s="6"/>
      <c r="V2862" s="6"/>
      <c r="W2862" s="35">
        <v>29.7568675</v>
      </c>
      <c r="X2862" s="35">
        <v>-95.3954541999999</v>
      </c>
      <c r="AA2862" s="33"/>
      <c r="AB2862" s="33"/>
      <c r="AC2862" s="33"/>
      <c r="AD2862" s="33"/>
      <c r="AE2862" s="33"/>
      <c r="AF2862" s="33"/>
      <c r="AG2862" s="33"/>
      <c r="AH2862" s="33"/>
      <c r="AI2862" s="33"/>
      <c r="AJ2862" s="33"/>
      <c r="AK2862" s="33"/>
      <c r="AL2862" s="33"/>
      <c r="AM2862" s="33"/>
      <c r="AN2862" s="33"/>
      <c r="AO2862" s="33"/>
    </row>
    <row r="2863" ht="15.75" customHeight="1">
      <c r="A2863" s="23">
        <v>52872.0</v>
      </c>
      <c r="B2863" s="23">
        <v>2023.0</v>
      </c>
      <c r="C2863" s="36" t="str">
        <f t="shared" si="7"/>
        <v>2540 TIMES BLVD,Houston,TX</v>
      </c>
      <c r="D2863" s="23" t="s">
        <v>4104</v>
      </c>
      <c r="E2863" s="23" t="s">
        <v>25</v>
      </c>
      <c r="F2863" s="23" t="s">
        <v>1388</v>
      </c>
      <c r="G2863" s="31" t="s">
        <v>3158</v>
      </c>
      <c r="H2863" s="23" t="s">
        <v>50</v>
      </c>
      <c r="I2863" s="37" t="str">
        <f>VLOOKUP(H2863,'Flow Location'!$A$1:$B$21,2,FALSE)</f>
        <v>Contained On Site, not within 5 ft. of Bayou/Surface Water/Drainage Ditch</v>
      </c>
      <c r="J2863" s="28">
        <v>0.0</v>
      </c>
      <c r="K2863" s="23" t="s">
        <v>29</v>
      </c>
      <c r="L2863" s="37" t="str">
        <f>VLOOKUP(K2863,'Structure type'!$A$1:$B$15,2,FALSE)</f>
        <v>Manhole</v>
      </c>
      <c r="M2863" s="23" t="s">
        <v>30</v>
      </c>
      <c r="N2863" s="23" t="str">
        <f>VLOOKUP(M2863,'Excursion Cause'!$A$1:$B$34,2,FALSE)</f>
        <v>Grease Blockage</v>
      </c>
      <c r="O2863" s="29">
        <v>45130.0</v>
      </c>
      <c r="P2863" s="30">
        <v>0.3784722222222222</v>
      </c>
      <c r="Q2863" s="29">
        <v>45130.0</v>
      </c>
      <c r="R2863" s="30">
        <v>0.37916666666666665</v>
      </c>
      <c r="S2863" s="28">
        <v>0.0</v>
      </c>
      <c r="T2863" s="23" t="s">
        <v>1462</v>
      </c>
      <c r="U2863" s="6"/>
      <c r="V2863" s="6"/>
      <c r="W2863" s="35">
        <v>29.7168422</v>
      </c>
      <c r="X2863" s="35">
        <v>-95.4179200999999</v>
      </c>
      <c r="AA2863" s="33"/>
      <c r="AB2863" s="33"/>
      <c r="AC2863" s="33"/>
      <c r="AD2863" s="33"/>
      <c r="AE2863" s="33"/>
      <c r="AF2863" s="33"/>
      <c r="AG2863" s="33"/>
      <c r="AH2863" s="33"/>
      <c r="AI2863" s="33"/>
      <c r="AJ2863" s="33"/>
      <c r="AK2863" s="33"/>
      <c r="AL2863" s="33"/>
      <c r="AM2863" s="33"/>
      <c r="AN2863" s="33"/>
      <c r="AO2863" s="33"/>
    </row>
    <row r="2864" ht="15.75" customHeight="1">
      <c r="A2864" s="23">
        <v>52875.0</v>
      </c>
      <c r="B2864" s="23">
        <v>2023.0</v>
      </c>
      <c r="C2864" s="36" t="str">
        <f t="shared" si="7"/>
        <v>6923 ANTOINE DR,Houston,TX</v>
      </c>
      <c r="D2864" s="23" t="s">
        <v>4105</v>
      </c>
      <c r="E2864" s="23" t="s">
        <v>25</v>
      </c>
      <c r="F2864" s="23" t="s">
        <v>1388</v>
      </c>
      <c r="G2864" s="31" t="s">
        <v>222</v>
      </c>
      <c r="H2864" s="23" t="s">
        <v>50</v>
      </c>
      <c r="I2864" s="37" t="str">
        <f>VLOOKUP(H2864,'Flow Location'!$A$1:$B$21,2,FALSE)</f>
        <v>Contained On Site, not within 5 ft. of Bayou/Surface Water/Drainage Ditch</v>
      </c>
      <c r="J2864" s="28">
        <v>1473.0</v>
      </c>
      <c r="K2864" s="23" t="s">
        <v>45</v>
      </c>
      <c r="L2864" s="37" t="str">
        <f>VLOOKUP(K2864,'Structure type'!$A$1:$B$15,2,FALSE)</f>
        <v>City Cleanout</v>
      </c>
      <c r="M2864" s="23" t="s">
        <v>56</v>
      </c>
      <c r="N2864" s="23" t="str">
        <f>VLOOKUP(M2864,'Excursion Cause'!$A$1:$B$34,2,FALSE)</f>
        <v>Rags/Wipes</v>
      </c>
      <c r="O2864" s="29">
        <v>45129.0</v>
      </c>
      <c r="P2864" s="30">
        <v>0.4979166666666667</v>
      </c>
      <c r="Q2864" s="29">
        <v>45130.0</v>
      </c>
      <c r="R2864" s="30">
        <v>0.5208333333333334</v>
      </c>
      <c r="S2864" s="28">
        <v>1.0</v>
      </c>
      <c r="T2864" s="23" t="s">
        <v>3756</v>
      </c>
      <c r="U2864" s="6"/>
      <c r="V2864" s="6"/>
      <c r="W2864" s="35">
        <v>29.8629568</v>
      </c>
      <c r="X2864" s="35">
        <v>-95.4740539</v>
      </c>
      <c r="AA2864" s="33"/>
      <c r="AB2864" s="33"/>
      <c r="AC2864" s="33"/>
      <c r="AD2864" s="33"/>
      <c r="AE2864" s="33"/>
      <c r="AF2864" s="33"/>
      <c r="AG2864" s="33"/>
      <c r="AH2864" s="33"/>
      <c r="AI2864" s="33"/>
      <c r="AJ2864" s="33"/>
      <c r="AK2864" s="33"/>
      <c r="AL2864" s="33"/>
      <c r="AM2864" s="33"/>
      <c r="AN2864" s="33"/>
      <c r="AO2864" s="33"/>
    </row>
    <row r="2865" ht="15.75" customHeight="1">
      <c r="A2865" s="23">
        <v>52876.0</v>
      </c>
      <c r="B2865" s="23">
        <v>2023.0</v>
      </c>
      <c r="C2865" s="36" t="str">
        <f t="shared" si="7"/>
        <v>919 ENCLAVE LAKE DR,Houston,TX</v>
      </c>
      <c r="D2865" s="23" t="s">
        <v>4106</v>
      </c>
      <c r="E2865" s="23" t="s">
        <v>25</v>
      </c>
      <c r="F2865" s="23" t="s">
        <v>1388</v>
      </c>
      <c r="G2865" s="31" t="s">
        <v>347</v>
      </c>
      <c r="H2865" s="23" t="s">
        <v>28</v>
      </c>
      <c r="I2865" s="37" t="str">
        <f>VLOOKUP(H2865,'Flow Location'!$A$1:$B$21,2,FALSE)</f>
        <v>Storm Sewer (not contained)</v>
      </c>
      <c r="J2865" s="28">
        <v>1220.0</v>
      </c>
      <c r="K2865" s="23" t="s">
        <v>29</v>
      </c>
      <c r="L2865" s="37" t="str">
        <f>VLOOKUP(K2865,'Structure type'!$A$1:$B$15,2,FALSE)</f>
        <v>Manhole</v>
      </c>
      <c r="M2865" s="23" t="s">
        <v>96</v>
      </c>
      <c r="N2865" s="23" t="str">
        <f>VLOOKUP(M2865,'Excursion Cause'!$A$1:$B$34,2,FALSE)</f>
        <v>Collection system temporary blockage</v>
      </c>
      <c r="O2865" s="29">
        <v>45130.0</v>
      </c>
      <c r="P2865" s="30">
        <v>0.49722222222222223</v>
      </c>
      <c r="Q2865" s="29">
        <v>45130.0</v>
      </c>
      <c r="R2865" s="30">
        <v>0.6666666666666666</v>
      </c>
      <c r="S2865" s="28">
        <v>5.0</v>
      </c>
      <c r="T2865" s="23" t="s">
        <v>118</v>
      </c>
      <c r="U2865" s="6"/>
      <c r="V2865" s="6"/>
      <c r="W2865" s="35">
        <v>29.771323</v>
      </c>
      <c r="X2865" s="35">
        <v>-95.6257</v>
      </c>
      <c r="AA2865" s="33"/>
      <c r="AB2865" s="33"/>
      <c r="AC2865" s="33"/>
      <c r="AD2865" s="33"/>
      <c r="AE2865" s="33"/>
      <c r="AF2865" s="33"/>
      <c r="AG2865" s="33"/>
      <c r="AH2865" s="33"/>
      <c r="AI2865" s="33"/>
      <c r="AJ2865" s="33"/>
      <c r="AK2865" s="33"/>
      <c r="AL2865" s="33"/>
      <c r="AM2865" s="33"/>
      <c r="AN2865" s="33"/>
      <c r="AO2865" s="33"/>
    </row>
    <row r="2866" ht="15.75" customHeight="1">
      <c r="A2866" s="23">
        <v>52880.0</v>
      </c>
      <c r="B2866" s="23">
        <v>2023.0</v>
      </c>
      <c r="C2866" s="36" t="str">
        <f t="shared" si="7"/>
        <v>6618 INWOOD WEST DR,Houston,TX</v>
      </c>
      <c r="D2866" s="23" t="s">
        <v>1422</v>
      </c>
      <c r="E2866" s="23" t="s">
        <v>25</v>
      </c>
      <c r="F2866" s="23" t="s">
        <v>1388</v>
      </c>
      <c r="G2866" s="31" t="s">
        <v>502</v>
      </c>
      <c r="H2866" s="23" t="s">
        <v>50</v>
      </c>
      <c r="I2866" s="37" t="str">
        <f>VLOOKUP(H2866,'Flow Location'!$A$1:$B$21,2,FALSE)</f>
        <v>Contained On Site, not within 5 ft. of Bayou/Surface Water/Drainage Ditch</v>
      </c>
      <c r="J2866" s="28">
        <v>0.0</v>
      </c>
      <c r="K2866" s="23" t="s">
        <v>29</v>
      </c>
      <c r="L2866" s="37" t="str">
        <f>VLOOKUP(K2866,'Structure type'!$A$1:$B$15,2,FALSE)</f>
        <v>Manhole</v>
      </c>
      <c r="M2866" s="23" t="s">
        <v>30</v>
      </c>
      <c r="N2866" s="23" t="str">
        <f>VLOOKUP(M2866,'Excursion Cause'!$A$1:$B$34,2,FALSE)</f>
        <v>Grease Blockage</v>
      </c>
      <c r="O2866" s="29">
        <v>45131.0</v>
      </c>
      <c r="P2866" s="30">
        <v>0.4284722222222222</v>
      </c>
      <c r="Q2866" s="29">
        <v>45131.0</v>
      </c>
      <c r="R2866" s="30">
        <v>0.42916666666666664</v>
      </c>
      <c r="S2866" s="28">
        <v>0.0</v>
      </c>
      <c r="T2866" s="23" t="s">
        <v>3749</v>
      </c>
      <c r="U2866" s="6"/>
      <c r="V2866" s="6"/>
      <c r="W2866" s="35">
        <v>29.8864088</v>
      </c>
      <c r="X2866" s="35">
        <v>-95.4882064</v>
      </c>
      <c r="AA2866" s="33"/>
      <c r="AB2866" s="33"/>
      <c r="AC2866" s="33"/>
      <c r="AD2866" s="33"/>
      <c r="AE2866" s="33"/>
      <c r="AF2866" s="33"/>
      <c r="AG2866" s="33"/>
      <c r="AH2866" s="33"/>
      <c r="AI2866" s="33"/>
      <c r="AJ2866" s="33"/>
      <c r="AK2866" s="33"/>
      <c r="AL2866" s="33"/>
      <c r="AM2866" s="33"/>
      <c r="AN2866" s="33"/>
      <c r="AO2866" s="33"/>
    </row>
    <row r="2867" ht="15.75" customHeight="1">
      <c r="A2867" s="23">
        <v>52896.0</v>
      </c>
      <c r="B2867" s="23">
        <v>2023.0</v>
      </c>
      <c r="C2867" s="36" t="str">
        <f t="shared" si="7"/>
        <v>6805 COHN ST,Houston,TX</v>
      </c>
      <c r="D2867" s="23" t="s">
        <v>3219</v>
      </c>
      <c r="E2867" s="23" t="s">
        <v>25</v>
      </c>
      <c r="F2867" s="23" t="s">
        <v>1388</v>
      </c>
      <c r="G2867" s="31" t="s">
        <v>222</v>
      </c>
      <c r="H2867" s="23" t="s">
        <v>44</v>
      </c>
      <c r="I2867" s="37" t="str">
        <f>VLOOKUP(H2867,'Flow Location'!$A$1:$B$21,2,FALSE)</f>
        <v>Bayou/surface water/drainage ditch</v>
      </c>
      <c r="J2867" s="28">
        <v>0.0</v>
      </c>
      <c r="K2867" s="23" t="s">
        <v>45</v>
      </c>
      <c r="L2867" s="37" t="str">
        <f>VLOOKUP(K2867,'Structure type'!$A$1:$B$15,2,FALSE)</f>
        <v>City Cleanout</v>
      </c>
      <c r="M2867" s="23" t="s">
        <v>52</v>
      </c>
      <c r="N2867" s="23" t="str">
        <f>VLOOKUP(M2867,'Excursion Cause'!$A$1:$B$34,2,FALSE)</f>
        <v>Collection system structural blockage</v>
      </c>
      <c r="O2867" s="29">
        <v>45133.0</v>
      </c>
      <c r="P2867" s="30">
        <v>0.3541666666666667</v>
      </c>
      <c r="Q2867" s="29">
        <v>45133.0</v>
      </c>
      <c r="R2867" s="30">
        <v>0.3548611111111111</v>
      </c>
      <c r="S2867" s="28">
        <v>0.0</v>
      </c>
      <c r="T2867" s="23" t="s">
        <v>1473</v>
      </c>
      <c r="U2867" s="6"/>
      <c r="V2867" s="6"/>
      <c r="W2867" s="35">
        <v>29.8623921</v>
      </c>
      <c r="X2867" s="35">
        <v>-95.4237591999999</v>
      </c>
      <c r="AA2867" s="33"/>
      <c r="AB2867" s="33"/>
      <c r="AC2867" s="33"/>
      <c r="AD2867" s="33"/>
      <c r="AE2867" s="33"/>
      <c r="AF2867" s="33"/>
      <c r="AG2867" s="33"/>
      <c r="AH2867" s="33"/>
      <c r="AI2867" s="33"/>
      <c r="AJ2867" s="33"/>
      <c r="AK2867" s="33"/>
      <c r="AL2867" s="33"/>
      <c r="AM2867" s="33"/>
      <c r="AN2867" s="33"/>
      <c r="AO2867" s="33"/>
    </row>
    <row r="2868" ht="15.75" customHeight="1">
      <c r="A2868" s="23">
        <v>52898.0</v>
      </c>
      <c r="B2868" s="23">
        <v>2023.0</v>
      </c>
      <c r="C2868" s="36" t="str">
        <f t="shared" si="7"/>
        <v>4618 RIDGECREEK DR,Houston,TX</v>
      </c>
      <c r="D2868" s="23" t="s">
        <v>4107</v>
      </c>
      <c r="E2868" s="23" t="s">
        <v>25</v>
      </c>
      <c r="F2868" s="23" t="s">
        <v>1388</v>
      </c>
      <c r="G2868" s="31" t="s">
        <v>517</v>
      </c>
      <c r="H2868" s="23" t="s">
        <v>50</v>
      </c>
      <c r="I2868" s="37" t="str">
        <f>VLOOKUP(H2868,'Flow Location'!$A$1:$B$21,2,FALSE)</f>
        <v>Contained On Site, not within 5 ft. of Bayou/Surface Water/Drainage Ditch</v>
      </c>
      <c r="J2868" s="28">
        <v>0.0</v>
      </c>
      <c r="K2868" s="23" t="s">
        <v>29</v>
      </c>
      <c r="L2868" s="37" t="str">
        <f>VLOOKUP(K2868,'Structure type'!$A$1:$B$15,2,FALSE)</f>
        <v>Manhole</v>
      </c>
      <c r="M2868" s="23" t="s">
        <v>56</v>
      </c>
      <c r="N2868" s="23" t="str">
        <f>VLOOKUP(M2868,'Excursion Cause'!$A$1:$B$34,2,FALSE)</f>
        <v>Rags/Wipes</v>
      </c>
      <c r="O2868" s="29">
        <v>45133.0</v>
      </c>
      <c r="P2868" s="30">
        <v>0.44305555555555554</v>
      </c>
      <c r="Q2868" s="29">
        <v>45133.0</v>
      </c>
      <c r="R2868" s="30">
        <v>0.44375</v>
      </c>
      <c r="S2868" s="28">
        <v>0.0</v>
      </c>
      <c r="T2868" s="23" t="s">
        <v>1462</v>
      </c>
      <c r="U2868" s="6"/>
      <c r="V2868" s="6"/>
      <c r="W2868" s="35">
        <v>29.5892347</v>
      </c>
      <c r="X2868" s="35">
        <v>-95.4485634</v>
      </c>
      <c r="AA2868" s="33"/>
      <c r="AB2868" s="33"/>
      <c r="AC2868" s="33"/>
      <c r="AD2868" s="33"/>
      <c r="AE2868" s="33"/>
      <c r="AF2868" s="33"/>
      <c r="AG2868" s="33"/>
      <c r="AH2868" s="33"/>
      <c r="AI2868" s="33"/>
      <c r="AJ2868" s="33"/>
      <c r="AK2868" s="33"/>
      <c r="AL2868" s="33"/>
      <c r="AM2868" s="33"/>
      <c r="AN2868" s="33"/>
      <c r="AO2868" s="33"/>
    </row>
    <row r="2869" ht="15.75" customHeight="1">
      <c r="A2869" s="23">
        <v>52903.0</v>
      </c>
      <c r="B2869" s="23">
        <v>2023.0</v>
      </c>
      <c r="C2869" s="36" t="str">
        <f t="shared" si="7"/>
        <v>1110 ENCLAVE SQ,Houston,TX</v>
      </c>
      <c r="D2869" s="23" t="s">
        <v>4108</v>
      </c>
      <c r="E2869" s="23" t="s">
        <v>25</v>
      </c>
      <c r="F2869" s="23" t="s">
        <v>1388</v>
      </c>
      <c r="G2869" s="31" t="s">
        <v>347</v>
      </c>
      <c r="H2869" s="23" t="s">
        <v>28</v>
      </c>
      <c r="I2869" s="37" t="str">
        <f>VLOOKUP(H2869,'Flow Location'!$A$1:$B$21,2,FALSE)</f>
        <v>Storm Sewer (not contained)</v>
      </c>
      <c r="J2869" s="28">
        <v>1220.0</v>
      </c>
      <c r="K2869" s="23" t="s">
        <v>29</v>
      </c>
      <c r="L2869" s="37" t="str">
        <f>VLOOKUP(K2869,'Structure type'!$A$1:$B$15,2,FALSE)</f>
        <v>Manhole</v>
      </c>
      <c r="M2869" s="23" t="s">
        <v>96</v>
      </c>
      <c r="N2869" s="23" t="str">
        <f>VLOOKUP(M2869,'Excursion Cause'!$A$1:$B$34,2,FALSE)</f>
        <v>Collection system temporary blockage</v>
      </c>
      <c r="O2869" s="29">
        <v>45130.0</v>
      </c>
      <c r="P2869" s="30">
        <v>0.49722222222222223</v>
      </c>
      <c r="Q2869" s="29">
        <v>45130.0</v>
      </c>
      <c r="R2869" s="30">
        <v>0.6666666666666666</v>
      </c>
      <c r="S2869" s="28">
        <v>5.0</v>
      </c>
      <c r="T2869" s="23" t="s">
        <v>118</v>
      </c>
      <c r="U2869" s="6"/>
      <c r="V2869" s="6"/>
      <c r="W2869" s="35">
        <v>29.76857</v>
      </c>
      <c r="X2869" s="35">
        <v>-95.6267791</v>
      </c>
      <c r="AA2869" s="33"/>
      <c r="AB2869" s="33"/>
      <c r="AC2869" s="33"/>
      <c r="AD2869" s="33"/>
      <c r="AE2869" s="33"/>
      <c r="AF2869" s="33"/>
      <c r="AG2869" s="33"/>
      <c r="AH2869" s="33"/>
      <c r="AI2869" s="33"/>
      <c r="AJ2869" s="33"/>
      <c r="AK2869" s="33"/>
      <c r="AL2869" s="33"/>
      <c r="AM2869" s="33"/>
      <c r="AN2869" s="33"/>
      <c r="AO2869" s="33"/>
    </row>
    <row r="2870" ht="15.75" customHeight="1">
      <c r="A2870" s="23">
        <v>52904.0</v>
      </c>
      <c r="B2870" s="23">
        <v>2023.0</v>
      </c>
      <c r="C2870" s="36" t="str">
        <f t="shared" si="7"/>
        <v>1110 ENCLAVE SQ,Houston,TX</v>
      </c>
      <c r="D2870" s="23" t="s">
        <v>4108</v>
      </c>
      <c r="E2870" s="23" t="s">
        <v>25</v>
      </c>
      <c r="F2870" s="23" t="s">
        <v>1388</v>
      </c>
      <c r="G2870" s="31" t="s">
        <v>347</v>
      </c>
      <c r="H2870" s="23" t="s">
        <v>28</v>
      </c>
      <c r="I2870" s="37" t="str">
        <f>VLOOKUP(H2870,'Flow Location'!$A$1:$B$21,2,FALSE)</f>
        <v>Storm Sewer (not contained)</v>
      </c>
      <c r="J2870" s="28">
        <v>1220.0</v>
      </c>
      <c r="K2870" s="23" t="s">
        <v>29</v>
      </c>
      <c r="L2870" s="37" t="str">
        <f>VLOOKUP(K2870,'Structure type'!$A$1:$B$15,2,FALSE)</f>
        <v>Manhole</v>
      </c>
      <c r="M2870" s="23" t="s">
        <v>96</v>
      </c>
      <c r="N2870" s="23" t="str">
        <f>VLOOKUP(M2870,'Excursion Cause'!$A$1:$B$34,2,FALSE)</f>
        <v>Collection system temporary blockage</v>
      </c>
      <c r="O2870" s="29">
        <v>45130.0</v>
      </c>
      <c r="P2870" s="30">
        <v>0.49722222222222223</v>
      </c>
      <c r="Q2870" s="29">
        <v>45130.0</v>
      </c>
      <c r="R2870" s="30">
        <v>0.6666666666666666</v>
      </c>
      <c r="S2870" s="28">
        <v>5.0</v>
      </c>
      <c r="T2870" s="23" t="s">
        <v>118</v>
      </c>
      <c r="U2870" s="6"/>
      <c r="V2870" s="6"/>
      <c r="W2870" s="35">
        <v>29.76857</v>
      </c>
      <c r="X2870" s="35">
        <v>-95.6267791</v>
      </c>
      <c r="AA2870" s="33"/>
      <c r="AB2870" s="33"/>
      <c r="AC2870" s="33"/>
      <c r="AD2870" s="33"/>
      <c r="AE2870" s="33"/>
      <c r="AF2870" s="33"/>
      <c r="AG2870" s="33"/>
      <c r="AH2870" s="33"/>
      <c r="AI2870" s="33"/>
      <c r="AJ2870" s="33"/>
      <c r="AK2870" s="33"/>
      <c r="AL2870" s="33"/>
      <c r="AM2870" s="33"/>
      <c r="AN2870" s="33"/>
      <c r="AO2870" s="33"/>
    </row>
    <row r="2871" ht="15.75" customHeight="1">
      <c r="A2871" s="23">
        <v>52906.0</v>
      </c>
      <c r="B2871" s="23">
        <v>2023.0</v>
      </c>
      <c r="C2871" s="36" t="str">
        <f t="shared" si="7"/>
        <v>2312 CROCKER ST,Houston,TX</v>
      </c>
      <c r="D2871" s="23" t="s">
        <v>4109</v>
      </c>
      <c r="E2871" s="23" t="s">
        <v>25</v>
      </c>
      <c r="F2871" s="23" t="s">
        <v>1388</v>
      </c>
      <c r="G2871" s="31" t="s">
        <v>761</v>
      </c>
      <c r="H2871" s="23" t="s">
        <v>50</v>
      </c>
      <c r="I2871" s="37" t="str">
        <f>VLOOKUP(H2871,'Flow Location'!$A$1:$B$21,2,FALSE)</f>
        <v>Contained On Site, not within 5 ft. of Bayou/Surface Water/Drainage Ditch</v>
      </c>
      <c r="J2871" s="28">
        <v>1449.0</v>
      </c>
      <c r="K2871" s="23" t="s">
        <v>51</v>
      </c>
      <c r="L2871" s="37" t="str">
        <f>VLOOKUP(K2871,'Structure type'!$A$1:$B$15,2,FALSE)</f>
        <v>Private Cleanout</v>
      </c>
      <c r="M2871" s="23" t="s">
        <v>52</v>
      </c>
      <c r="N2871" s="23" t="str">
        <f>VLOOKUP(M2871,'Excursion Cause'!$A$1:$B$34,2,FALSE)</f>
        <v>Collection system structural blockage</v>
      </c>
      <c r="O2871" s="29">
        <v>45134.0</v>
      </c>
      <c r="P2871" s="30">
        <v>0.5527777777777778</v>
      </c>
      <c r="Q2871" s="29">
        <v>45135.0</v>
      </c>
      <c r="R2871" s="30">
        <v>0.5590277777777778</v>
      </c>
      <c r="S2871" s="28">
        <v>1.0</v>
      </c>
      <c r="T2871" s="23" t="s">
        <v>3756</v>
      </c>
      <c r="U2871" s="6"/>
      <c r="V2871" s="6"/>
      <c r="W2871" s="35">
        <v>29.7485379</v>
      </c>
      <c r="X2871" s="35">
        <v>-95.3899208</v>
      </c>
      <c r="AA2871" s="33"/>
      <c r="AB2871" s="33"/>
      <c r="AC2871" s="33"/>
      <c r="AD2871" s="33"/>
      <c r="AE2871" s="33"/>
      <c r="AF2871" s="33"/>
      <c r="AG2871" s="33"/>
      <c r="AH2871" s="33"/>
      <c r="AI2871" s="33"/>
      <c r="AJ2871" s="33"/>
      <c r="AK2871" s="33"/>
      <c r="AL2871" s="33"/>
      <c r="AM2871" s="33"/>
      <c r="AN2871" s="33"/>
      <c r="AO2871" s="33"/>
    </row>
    <row r="2872" ht="15.75" customHeight="1">
      <c r="A2872" s="23">
        <v>52908.0</v>
      </c>
      <c r="B2872" s="23">
        <v>2023.0</v>
      </c>
      <c r="C2872" s="36" t="str">
        <f t="shared" si="7"/>
        <v>9712 LOCKWOOD DR,Houston,TX</v>
      </c>
      <c r="D2872" s="23" t="s">
        <v>4110</v>
      </c>
      <c r="E2872" s="23" t="s">
        <v>25</v>
      </c>
      <c r="F2872" s="23" t="s">
        <v>1388</v>
      </c>
      <c r="G2872" s="31" t="s">
        <v>326</v>
      </c>
      <c r="H2872" s="23" t="s">
        <v>1977</v>
      </c>
      <c r="I2872" s="37" t="str">
        <f>VLOOKUP(H2872,'Flow Location'!$A$1:$B$21,2,FALSE)</f>
        <v>Bayou/surface water/drainage ditch</v>
      </c>
      <c r="J2872" s="28">
        <v>0.0</v>
      </c>
      <c r="K2872" s="23" t="s">
        <v>51</v>
      </c>
      <c r="L2872" s="37" t="str">
        <f>VLOOKUP(K2872,'Structure type'!$A$1:$B$15,2,FALSE)</f>
        <v>Private Cleanout</v>
      </c>
      <c r="M2872" s="23" t="s">
        <v>56</v>
      </c>
      <c r="N2872" s="23" t="str">
        <f>VLOOKUP(M2872,'Excursion Cause'!$A$1:$B$34,2,FALSE)</f>
        <v>Rags/Wipes</v>
      </c>
      <c r="O2872" s="29">
        <v>45135.0</v>
      </c>
      <c r="P2872" s="30">
        <v>0.40347222222222223</v>
      </c>
      <c r="Q2872" s="29">
        <v>45135.0</v>
      </c>
      <c r="R2872" s="30">
        <v>0.4041666666666667</v>
      </c>
      <c r="S2872" s="28">
        <v>0.0</v>
      </c>
      <c r="T2872" s="23" t="s">
        <v>3749</v>
      </c>
      <c r="U2872" s="6"/>
      <c r="V2872" s="6"/>
      <c r="W2872" s="35">
        <v>29.850157</v>
      </c>
      <c r="X2872" s="35">
        <v>-95.3188074</v>
      </c>
      <c r="AA2872" s="33"/>
      <c r="AB2872" s="33"/>
      <c r="AC2872" s="33"/>
      <c r="AD2872" s="33"/>
      <c r="AE2872" s="33"/>
      <c r="AF2872" s="33"/>
      <c r="AG2872" s="33"/>
      <c r="AH2872" s="33"/>
      <c r="AI2872" s="33"/>
      <c r="AJ2872" s="33"/>
      <c r="AK2872" s="33"/>
      <c r="AL2872" s="33"/>
      <c r="AM2872" s="33"/>
      <c r="AN2872" s="33"/>
      <c r="AO2872" s="33"/>
    </row>
    <row r="2873" ht="15.75" customHeight="1">
      <c r="A2873" s="23">
        <v>52910.0</v>
      </c>
      <c r="B2873" s="23">
        <v>2023.0</v>
      </c>
      <c r="C2873" s="36" t="str">
        <f t="shared" si="7"/>
        <v>2715 LA BRANCH ST,Houston,TX</v>
      </c>
      <c r="D2873" s="23" t="s">
        <v>4111</v>
      </c>
      <c r="E2873" s="23" t="s">
        <v>25</v>
      </c>
      <c r="F2873" s="23" t="s">
        <v>1388</v>
      </c>
      <c r="G2873" s="31" t="s">
        <v>308</v>
      </c>
      <c r="H2873" s="23" t="s">
        <v>50</v>
      </c>
      <c r="I2873" s="37" t="str">
        <f>VLOOKUP(H2873,'Flow Location'!$A$1:$B$21,2,FALSE)</f>
        <v>Contained On Site, not within 5 ft. of Bayou/Surface Water/Drainage Ditch</v>
      </c>
      <c r="J2873" s="28">
        <v>0.0</v>
      </c>
      <c r="K2873" s="23" t="s">
        <v>3805</v>
      </c>
      <c r="L2873" s="37" t="str">
        <f>VLOOKUP(K2873,'Structure type'!$A$1:$B$15,2,FALSE)</f>
        <v>Building Backup</v>
      </c>
      <c r="M2873" s="23" t="s">
        <v>52</v>
      </c>
      <c r="N2873" s="23" t="str">
        <f>VLOOKUP(M2873,'Excursion Cause'!$A$1:$B$34,2,FALSE)</f>
        <v>Collection system structural blockage</v>
      </c>
      <c r="O2873" s="29">
        <v>45135.0</v>
      </c>
      <c r="P2873" s="30">
        <v>0.41944444444444445</v>
      </c>
      <c r="Q2873" s="29">
        <v>45135.0</v>
      </c>
      <c r="R2873" s="30">
        <v>0.4201388888888889</v>
      </c>
      <c r="S2873" s="28">
        <v>0.0</v>
      </c>
      <c r="T2873" s="23" t="s">
        <v>1436</v>
      </c>
      <c r="U2873" s="6"/>
      <c r="V2873" s="6"/>
      <c r="W2873" s="35">
        <v>29.7416339</v>
      </c>
      <c r="X2873" s="35">
        <v>-95.3703402</v>
      </c>
      <c r="AA2873" s="33"/>
      <c r="AB2873" s="33"/>
      <c r="AC2873" s="33"/>
      <c r="AD2873" s="33"/>
      <c r="AE2873" s="33"/>
      <c r="AF2873" s="33"/>
      <c r="AG2873" s="33"/>
      <c r="AH2873" s="33"/>
      <c r="AI2873" s="33"/>
      <c r="AJ2873" s="33"/>
      <c r="AK2873" s="33"/>
      <c r="AL2873" s="33"/>
      <c r="AM2873" s="33"/>
      <c r="AN2873" s="33"/>
      <c r="AO2873" s="33"/>
    </row>
    <row r="2874" ht="15.75" customHeight="1">
      <c r="A2874" s="23">
        <v>52915.0</v>
      </c>
      <c r="B2874" s="23">
        <v>2023.0</v>
      </c>
      <c r="C2874" s="36" t="str">
        <f t="shared" si="7"/>
        <v>1013 MAXEY RD,Houston,TX</v>
      </c>
      <c r="D2874" s="23" t="s">
        <v>4112</v>
      </c>
      <c r="E2874" s="23" t="s">
        <v>25</v>
      </c>
      <c r="F2874" s="23" t="s">
        <v>1388</v>
      </c>
      <c r="G2874" s="31" t="s">
        <v>623</v>
      </c>
      <c r="H2874" s="23" t="s">
        <v>50</v>
      </c>
      <c r="I2874" s="37" t="str">
        <f>VLOOKUP(H2874,'Flow Location'!$A$1:$B$21,2,FALSE)</f>
        <v>Contained On Site, not within 5 ft. of Bayou/Surface Water/Drainage Ditch</v>
      </c>
      <c r="J2874" s="28">
        <v>0.0</v>
      </c>
      <c r="K2874" s="23" t="s">
        <v>29</v>
      </c>
      <c r="L2874" s="37" t="str">
        <f>VLOOKUP(K2874,'Structure type'!$A$1:$B$15,2,FALSE)</f>
        <v>Manhole</v>
      </c>
      <c r="M2874" s="23" t="s">
        <v>30</v>
      </c>
      <c r="N2874" s="23" t="str">
        <f>VLOOKUP(M2874,'Excursion Cause'!$A$1:$B$34,2,FALSE)</f>
        <v>Grease Blockage</v>
      </c>
      <c r="O2874" s="29">
        <v>45135.0</v>
      </c>
      <c r="P2874" s="30">
        <v>0.7506944444444444</v>
      </c>
      <c r="Q2874" s="29">
        <v>45135.0</v>
      </c>
      <c r="R2874" s="30">
        <v>0.7513888888888889</v>
      </c>
      <c r="S2874" s="28">
        <v>0.0</v>
      </c>
      <c r="T2874" s="23" t="s">
        <v>3749</v>
      </c>
      <c r="U2874" s="6"/>
      <c r="V2874" s="6"/>
      <c r="W2874" s="35">
        <v>29.7722167</v>
      </c>
      <c r="X2874" s="35">
        <v>-95.2179816</v>
      </c>
      <c r="AA2874" s="33"/>
      <c r="AB2874" s="33"/>
      <c r="AC2874" s="33"/>
      <c r="AD2874" s="33"/>
      <c r="AE2874" s="33"/>
      <c r="AF2874" s="33"/>
      <c r="AG2874" s="33"/>
      <c r="AH2874" s="33"/>
      <c r="AI2874" s="33"/>
      <c r="AJ2874" s="33"/>
      <c r="AK2874" s="33"/>
      <c r="AL2874" s="33"/>
      <c r="AM2874" s="33"/>
      <c r="AN2874" s="33"/>
      <c r="AO2874" s="33"/>
    </row>
    <row r="2875" ht="15.75" customHeight="1">
      <c r="A2875" s="23">
        <v>52916.0</v>
      </c>
      <c r="B2875" s="23">
        <v>2023.0</v>
      </c>
      <c r="C2875" s="36" t="str">
        <f t="shared" si="7"/>
        <v>2101 POLK ST,Houston,TX</v>
      </c>
      <c r="D2875" s="23" t="s">
        <v>4088</v>
      </c>
      <c r="E2875" s="23" t="s">
        <v>25</v>
      </c>
      <c r="F2875" s="23" t="s">
        <v>1388</v>
      </c>
      <c r="G2875" s="31" t="s">
        <v>172</v>
      </c>
      <c r="H2875" s="23" t="s">
        <v>50</v>
      </c>
      <c r="I2875" s="37" t="str">
        <f>VLOOKUP(H2875,'Flow Location'!$A$1:$B$21,2,FALSE)</f>
        <v>Contained On Site, not within 5 ft. of Bayou/Surface Water/Drainage Ditch</v>
      </c>
      <c r="J2875" s="28">
        <v>0.0</v>
      </c>
      <c r="K2875" s="23" t="s">
        <v>51</v>
      </c>
      <c r="L2875" s="37" t="str">
        <f>VLOOKUP(K2875,'Structure type'!$A$1:$B$15,2,FALSE)</f>
        <v>Private Cleanout</v>
      </c>
      <c r="M2875" s="23" t="s">
        <v>81</v>
      </c>
      <c r="N2875" s="23" t="str">
        <f>VLOOKUP(M2875,'Excursion Cause'!$A$1:$B$34,2,FALSE)</f>
        <v>Collection system structural failure</v>
      </c>
      <c r="O2875" s="29">
        <v>45136.0</v>
      </c>
      <c r="P2875" s="30">
        <v>0.35833333333333334</v>
      </c>
      <c r="Q2875" s="29">
        <v>45136.0</v>
      </c>
      <c r="R2875" s="30">
        <v>0.7229166666666667</v>
      </c>
      <c r="S2875" s="28">
        <v>0.0</v>
      </c>
      <c r="T2875" s="23" t="s">
        <v>3749</v>
      </c>
      <c r="U2875" s="6"/>
      <c r="V2875" s="6"/>
      <c r="W2875" s="35">
        <v>29.7489221</v>
      </c>
      <c r="X2875" s="35">
        <v>-95.3566896999999</v>
      </c>
      <c r="AA2875" s="33"/>
      <c r="AB2875" s="33"/>
      <c r="AC2875" s="33"/>
      <c r="AD2875" s="33"/>
      <c r="AE2875" s="33"/>
      <c r="AF2875" s="33"/>
      <c r="AG2875" s="33"/>
      <c r="AH2875" s="33"/>
      <c r="AI2875" s="33"/>
      <c r="AJ2875" s="33"/>
      <c r="AK2875" s="33"/>
      <c r="AL2875" s="33"/>
      <c r="AM2875" s="33"/>
      <c r="AN2875" s="33"/>
      <c r="AO2875" s="33"/>
    </row>
    <row r="2876" ht="15.75" customHeight="1">
      <c r="A2876" s="23">
        <v>52918.0</v>
      </c>
      <c r="B2876" s="23">
        <v>2023.0</v>
      </c>
      <c r="C2876" s="36" t="str">
        <f t="shared" si="7"/>
        <v>8010 FILLTOP ST,Houston,TX</v>
      </c>
      <c r="D2876" s="23" t="s">
        <v>1234</v>
      </c>
      <c r="E2876" s="23" t="s">
        <v>25</v>
      </c>
      <c r="F2876" s="23" t="s">
        <v>1388</v>
      </c>
      <c r="G2876" s="31" t="s">
        <v>177</v>
      </c>
      <c r="H2876" s="23" t="s">
        <v>50</v>
      </c>
      <c r="I2876" s="37" t="str">
        <f>VLOOKUP(H2876,'Flow Location'!$A$1:$B$21,2,FALSE)</f>
        <v>Contained On Site, not within 5 ft. of Bayou/Surface Water/Drainage Ditch</v>
      </c>
      <c r="J2876" s="28">
        <v>0.0</v>
      </c>
      <c r="K2876" s="23" t="s">
        <v>45</v>
      </c>
      <c r="L2876" s="37" t="str">
        <f>VLOOKUP(K2876,'Structure type'!$A$1:$B$15,2,FALSE)</f>
        <v>City Cleanout</v>
      </c>
      <c r="M2876" s="23" t="s">
        <v>56</v>
      </c>
      <c r="N2876" s="23" t="str">
        <f>VLOOKUP(M2876,'Excursion Cause'!$A$1:$B$34,2,FALSE)</f>
        <v>Rags/Wipes</v>
      </c>
      <c r="O2876" s="29">
        <v>45136.0</v>
      </c>
      <c r="P2876" s="30">
        <v>0.5125</v>
      </c>
      <c r="Q2876" s="29">
        <v>45136.0</v>
      </c>
      <c r="R2876" s="30">
        <v>0.5131944444444444</v>
      </c>
      <c r="S2876" s="28">
        <v>0.0</v>
      </c>
      <c r="T2876" s="23" t="s">
        <v>4113</v>
      </c>
      <c r="U2876" s="6"/>
      <c r="V2876" s="6"/>
      <c r="W2876" s="35">
        <v>29.8180488</v>
      </c>
      <c r="X2876" s="35">
        <v>-95.2804731</v>
      </c>
      <c r="AA2876" s="33"/>
      <c r="AB2876" s="33"/>
      <c r="AC2876" s="33"/>
      <c r="AD2876" s="33"/>
      <c r="AE2876" s="33"/>
      <c r="AF2876" s="33"/>
      <c r="AG2876" s="33"/>
      <c r="AH2876" s="33"/>
      <c r="AI2876" s="33"/>
      <c r="AJ2876" s="33"/>
      <c r="AK2876" s="33"/>
      <c r="AL2876" s="33"/>
      <c r="AM2876" s="33"/>
      <c r="AN2876" s="33"/>
      <c r="AO2876" s="33"/>
    </row>
    <row r="2877" ht="15.75" customHeight="1">
      <c r="A2877" s="23">
        <v>52920.0</v>
      </c>
      <c r="B2877" s="23">
        <v>2023.0</v>
      </c>
      <c r="C2877" s="36" t="str">
        <f t="shared" si="7"/>
        <v>904 ALLSTON ST,Houston,TX</v>
      </c>
      <c r="D2877" s="35" t="s">
        <v>4068</v>
      </c>
      <c r="E2877" s="23" t="s">
        <v>25</v>
      </c>
      <c r="F2877" s="23" t="s">
        <v>1388</v>
      </c>
      <c r="G2877" s="31" t="s">
        <v>232</v>
      </c>
      <c r="H2877" s="23" t="s">
        <v>50</v>
      </c>
      <c r="I2877" s="37" t="str">
        <f>VLOOKUP(H2877,'Flow Location'!$A$1:$B$21,2,FALSE)</f>
        <v>Contained On Site, not within 5 ft. of Bayou/Surface Water/Drainage Ditch</v>
      </c>
      <c r="J2877" s="28">
        <v>0.0</v>
      </c>
      <c r="K2877" s="23" t="s">
        <v>45</v>
      </c>
      <c r="L2877" s="37" t="str">
        <f>VLOOKUP(K2877,'Structure type'!$A$1:$B$15,2,FALSE)</f>
        <v>City Cleanout</v>
      </c>
      <c r="M2877" s="23" t="s">
        <v>30</v>
      </c>
      <c r="N2877" s="23" t="str">
        <f>VLOOKUP(M2877,'Excursion Cause'!$A$1:$B$34,2,FALSE)</f>
        <v>Grease Blockage</v>
      </c>
      <c r="O2877" s="29">
        <v>45137.0</v>
      </c>
      <c r="P2877" s="30">
        <v>0.3472222222222222</v>
      </c>
      <c r="Q2877" s="29">
        <v>45137.0</v>
      </c>
      <c r="R2877" s="30">
        <v>0.5618055555555556</v>
      </c>
      <c r="S2877" s="28">
        <v>0.0</v>
      </c>
      <c r="T2877" s="23" t="s">
        <v>3745</v>
      </c>
      <c r="U2877" s="6"/>
      <c r="V2877" s="6"/>
      <c r="W2877" s="35">
        <v>29.7872786</v>
      </c>
      <c r="X2877" s="35">
        <v>-95.3998247</v>
      </c>
      <c r="AA2877" s="33"/>
      <c r="AB2877" s="33"/>
      <c r="AC2877" s="33"/>
      <c r="AD2877" s="33"/>
      <c r="AE2877" s="33"/>
      <c r="AF2877" s="33"/>
      <c r="AG2877" s="33"/>
      <c r="AH2877" s="33"/>
      <c r="AI2877" s="33"/>
      <c r="AJ2877" s="33"/>
      <c r="AK2877" s="33"/>
      <c r="AL2877" s="33"/>
      <c r="AM2877" s="33"/>
      <c r="AN2877" s="33"/>
      <c r="AO2877" s="33"/>
    </row>
    <row r="2878" ht="15.75" customHeight="1">
      <c r="A2878" s="23">
        <v>52927.0</v>
      </c>
      <c r="B2878" s="23">
        <v>2023.0</v>
      </c>
      <c r="C2878" s="36" t="str">
        <f t="shared" si="7"/>
        <v>1305 MARSHALL ST,Houston,TX</v>
      </c>
      <c r="D2878" s="35" t="s">
        <v>4114</v>
      </c>
      <c r="E2878" s="23" t="s">
        <v>25</v>
      </c>
      <c r="F2878" s="23" t="s">
        <v>1388</v>
      </c>
      <c r="G2878" s="31" t="s">
        <v>761</v>
      </c>
      <c r="H2878" s="23" t="s">
        <v>50</v>
      </c>
      <c r="I2878" s="37" t="str">
        <f>VLOOKUP(H2878,'Flow Location'!$A$1:$B$21,2,FALSE)</f>
        <v>Contained On Site, not within 5 ft. of Bayou/Surface Water/Drainage Ditch</v>
      </c>
      <c r="J2878" s="28">
        <v>0.0</v>
      </c>
      <c r="K2878" s="23" t="s">
        <v>51</v>
      </c>
      <c r="L2878" s="37" t="str">
        <f>VLOOKUP(K2878,'Structure type'!$A$1:$B$15,2,FALSE)</f>
        <v>Private Cleanout</v>
      </c>
      <c r="M2878" s="23" t="s">
        <v>81</v>
      </c>
      <c r="N2878" s="23" t="str">
        <f>VLOOKUP(M2878,'Excursion Cause'!$A$1:$B$34,2,FALSE)</f>
        <v>Collection system structural failure</v>
      </c>
      <c r="O2878" s="29">
        <v>45138.0</v>
      </c>
      <c r="P2878" s="30">
        <v>0.5354166666666667</v>
      </c>
      <c r="Q2878" s="29">
        <v>45138.0</v>
      </c>
      <c r="R2878" s="30">
        <v>0.5361111111111111</v>
      </c>
      <c r="S2878" s="28">
        <v>0.0</v>
      </c>
      <c r="T2878" s="23" t="s">
        <v>3745</v>
      </c>
      <c r="U2878" s="6"/>
      <c r="V2878" s="6"/>
      <c r="W2878" s="35">
        <v>29.7393932</v>
      </c>
      <c r="X2878" s="35">
        <v>-95.3951617</v>
      </c>
      <c r="AA2878" s="33"/>
      <c r="AB2878" s="33"/>
      <c r="AC2878" s="33"/>
      <c r="AD2878" s="33"/>
      <c r="AE2878" s="33"/>
      <c r="AF2878" s="33"/>
      <c r="AG2878" s="33"/>
      <c r="AH2878" s="33"/>
      <c r="AI2878" s="33"/>
      <c r="AJ2878" s="33"/>
      <c r="AK2878" s="33"/>
      <c r="AL2878" s="33"/>
      <c r="AM2878" s="33"/>
      <c r="AN2878" s="33"/>
      <c r="AO2878" s="33"/>
    </row>
    <row r="2879" ht="15.75" customHeight="1">
      <c r="A2879" s="23">
        <v>52928.0</v>
      </c>
      <c r="B2879" s="23">
        <v>2023.0</v>
      </c>
      <c r="C2879" s="36" t="str">
        <f t="shared" si="7"/>
        <v>2120 WALKER ST,Houston,TX</v>
      </c>
      <c r="D2879" s="35" t="s">
        <v>2129</v>
      </c>
      <c r="E2879" s="23" t="s">
        <v>25</v>
      </c>
      <c r="F2879" s="23" t="s">
        <v>1388</v>
      </c>
      <c r="G2879" s="31" t="s">
        <v>172</v>
      </c>
      <c r="H2879" s="23" t="s">
        <v>50</v>
      </c>
      <c r="I2879" s="37" t="str">
        <f>VLOOKUP(H2879,'Flow Location'!$A$1:$B$21,2,FALSE)</f>
        <v>Contained On Site, not within 5 ft. of Bayou/Surface Water/Drainage Ditch</v>
      </c>
      <c r="J2879" s="28">
        <v>0.0</v>
      </c>
      <c r="K2879" s="23" t="s">
        <v>45</v>
      </c>
      <c r="L2879" s="37" t="str">
        <f>VLOOKUP(K2879,'Structure type'!$A$1:$B$15,2,FALSE)</f>
        <v>City Cleanout</v>
      </c>
      <c r="M2879" s="23" t="s">
        <v>56</v>
      </c>
      <c r="N2879" s="23" t="str">
        <f>VLOOKUP(M2879,'Excursion Cause'!$A$1:$B$34,2,FALSE)</f>
        <v>Rags/Wipes</v>
      </c>
      <c r="O2879" s="29">
        <v>45138.0</v>
      </c>
      <c r="P2879" s="30">
        <v>0.4798611111111111</v>
      </c>
      <c r="Q2879" s="29">
        <v>45138.0</v>
      </c>
      <c r="R2879" s="30">
        <v>0.48055555555555557</v>
      </c>
      <c r="S2879" s="28">
        <v>0.0</v>
      </c>
      <c r="T2879" s="23" t="s">
        <v>3743</v>
      </c>
      <c r="U2879" s="6"/>
      <c r="V2879" s="6"/>
      <c r="W2879" s="35">
        <v>29.7516517</v>
      </c>
      <c r="X2879" s="35">
        <v>-95.3548005999999</v>
      </c>
      <c r="AA2879" s="33"/>
      <c r="AB2879" s="33"/>
      <c r="AC2879" s="33"/>
      <c r="AD2879" s="33"/>
      <c r="AE2879" s="33"/>
      <c r="AF2879" s="33"/>
      <c r="AG2879" s="33"/>
      <c r="AH2879" s="33"/>
      <c r="AI2879" s="33"/>
      <c r="AJ2879" s="33"/>
      <c r="AK2879" s="33"/>
      <c r="AL2879" s="33"/>
      <c r="AM2879" s="33"/>
      <c r="AN2879" s="33"/>
      <c r="AO2879" s="33"/>
    </row>
    <row r="2880" ht="15.75" customHeight="1">
      <c r="A2880" s="23">
        <v>52930.0</v>
      </c>
      <c r="B2880" s="23">
        <v>2023.0</v>
      </c>
      <c r="C2880" s="36" t="str">
        <f t="shared" si="7"/>
        <v>5402 THRUSH DR,Houston,TX</v>
      </c>
      <c r="D2880" s="35" t="s">
        <v>4115</v>
      </c>
      <c r="E2880" s="23" t="s">
        <v>25</v>
      </c>
      <c r="F2880" s="23" t="s">
        <v>1388</v>
      </c>
      <c r="G2880" s="31" t="s">
        <v>120</v>
      </c>
      <c r="H2880" s="23" t="s">
        <v>50</v>
      </c>
      <c r="I2880" s="37" t="str">
        <f>VLOOKUP(H2880,'Flow Location'!$A$1:$B$21,2,FALSE)</f>
        <v>Contained On Site, not within 5 ft. of Bayou/Surface Water/Drainage Ditch</v>
      </c>
      <c r="J2880" s="28">
        <v>0.0</v>
      </c>
      <c r="K2880" s="23" t="s">
        <v>45</v>
      </c>
      <c r="L2880" s="37" t="str">
        <f>VLOOKUP(K2880,'Structure type'!$A$1:$B$15,2,FALSE)</f>
        <v>City Cleanout</v>
      </c>
      <c r="M2880" s="23" t="s">
        <v>56</v>
      </c>
      <c r="N2880" s="23" t="str">
        <f>VLOOKUP(M2880,'Excursion Cause'!$A$1:$B$34,2,FALSE)</f>
        <v>Rags/Wipes</v>
      </c>
      <c r="O2880" s="29">
        <v>45138.0</v>
      </c>
      <c r="P2880" s="30">
        <v>0.7708333333333334</v>
      </c>
      <c r="Q2880" s="29">
        <v>45138.0</v>
      </c>
      <c r="R2880" s="30">
        <v>0.7715277777777778</v>
      </c>
      <c r="S2880" s="28">
        <v>0.0</v>
      </c>
      <c r="T2880" s="23" t="s">
        <v>3743</v>
      </c>
      <c r="U2880" s="6"/>
      <c r="V2880" s="6"/>
      <c r="W2880" s="35">
        <v>29.6597133</v>
      </c>
      <c r="X2880" s="35">
        <v>-95.3429278999999</v>
      </c>
      <c r="AA2880" s="33"/>
      <c r="AB2880" s="33"/>
      <c r="AC2880" s="33"/>
      <c r="AD2880" s="33"/>
      <c r="AE2880" s="33"/>
      <c r="AF2880" s="33"/>
      <c r="AG2880" s="33"/>
      <c r="AH2880" s="33"/>
      <c r="AI2880" s="33"/>
      <c r="AJ2880" s="33"/>
      <c r="AK2880" s="33"/>
      <c r="AL2880" s="33"/>
      <c r="AM2880" s="33"/>
      <c r="AN2880" s="33"/>
      <c r="AO2880" s="33"/>
    </row>
    <row r="2881" ht="15.75" customHeight="1">
      <c r="A2881" s="23">
        <v>52934.0</v>
      </c>
      <c r="B2881" s="23">
        <v>2023.0</v>
      </c>
      <c r="C2881" s="36" t="str">
        <f t="shared" si="7"/>
        <v>6698 PINEMONT DR,Houston,TX</v>
      </c>
      <c r="D2881" s="23" t="s">
        <v>4116</v>
      </c>
      <c r="E2881" s="23" t="s">
        <v>25</v>
      </c>
      <c r="F2881" s="23" t="s">
        <v>1388</v>
      </c>
      <c r="G2881" s="31" t="s">
        <v>76</v>
      </c>
      <c r="H2881" s="23" t="s">
        <v>50</v>
      </c>
      <c r="I2881" s="37" t="str">
        <f>VLOOKUP(H2881,'Flow Location'!$A$1:$B$21,2,FALSE)</f>
        <v>Contained On Site, not within 5 ft. of Bayou/Surface Water/Drainage Ditch</v>
      </c>
      <c r="J2881" s="28">
        <v>188.0</v>
      </c>
      <c r="K2881" s="23" t="s">
        <v>29</v>
      </c>
      <c r="L2881" s="37" t="str">
        <f>VLOOKUP(K2881,'Structure type'!$A$1:$B$15,2,FALSE)</f>
        <v>Manhole</v>
      </c>
      <c r="M2881" s="23" t="s">
        <v>30</v>
      </c>
      <c r="N2881" s="23" t="str">
        <f>VLOOKUP(M2881,'Excursion Cause'!$A$1:$B$34,2,FALSE)</f>
        <v>Grease Blockage</v>
      </c>
      <c r="O2881" s="29">
        <v>45139.0</v>
      </c>
      <c r="P2881" s="30">
        <v>0.475</v>
      </c>
      <c r="Q2881" s="32">
        <v>45139.0</v>
      </c>
      <c r="R2881" s="30">
        <v>0.5402777777777777</v>
      </c>
      <c r="S2881" s="23">
        <v>2.0</v>
      </c>
      <c r="T2881" s="40" t="s">
        <v>1462</v>
      </c>
      <c r="U2881" s="6"/>
      <c r="V2881" s="6"/>
      <c r="W2881" s="35">
        <v>29.8418957</v>
      </c>
      <c r="X2881" s="35">
        <v>-95.4885315</v>
      </c>
      <c r="AB2881" s="33"/>
      <c r="AC2881" s="33"/>
      <c r="AD2881" s="33"/>
      <c r="AE2881" s="33"/>
      <c r="AF2881" s="33"/>
      <c r="AG2881" s="33"/>
      <c r="AH2881" s="33"/>
      <c r="AI2881" s="33"/>
      <c r="AJ2881" s="33"/>
      <c r="AK2881" s="33"/>
      <c r="AL2881" s="33"/>
      <c r="AM2881" s="33"/>
      <c r="AN2881" s="33"/>
      <c r="AO2881" s="33"/>
    </row>
    <row r="2882" ht="15.75" customHeight="1">
      <c r="A2882" s="23">
        <v>52935.0</v>
      </c>
      <c r="B2882" s="23">
        <v>2023.0</v>
      </c>
      <c r="C2882" s="36" t="str">
        <f t="shared" si="7"/>
        <v>1406 SHEPHERD DR,Houston,TX</v>
      </c>
      <c r="D2882" s="23" t="s">
        <v>4117</v>
      </c>
      <c r="E2882" s="23" t="s">
        <v>25</v>
      </c>
      <c r="F2882" s="23" t="s">
        <v>1388</v>
      </c>
      <c r="G2882" s="31" t="s">
        <v>158</v>
      </c>
      <c r="H2882" s="23" t="s">
        <v>50</v>
      </c>
      <c r="I2882" s="37" t="str">
        <f>VLOOKUP(H2882,'Flow Location'!$A$1:$B$21,2,FALSE)</f>
        <v>Contained On Site, not within 5 ft. of Bayou/Surface Water/Drainage Ditch</v>
      </c>
      <c r="J2882" s="28">
        <v>128.0</v>
      </c>
      <c r="K2882" s="23" t="s">
        <v>29</v>
      </c>
      <c r="L2882" s="37" t="str">
        <f>VLOOKUP(K2882,'Structure type'!$A$1:$B$15,2,FALSE)</f>
        <v>Manhole</v>
      </c>
      <c r="M2882" s="23" t="s">
        <v>30</v>
      </c>
      <c r="N2882" s="23" t="str">
        <f>VLOOKUP(M2882,'Excursion Cause'!$A$1:$B$34,2,FALSE)</f>
        <v>Grease Blockage</v>
      </c>
      <c r="O2882" s="29">
        <v>45139.0</v>
      </c>
      <c r="P2882" s="30">
        <v>0.6194444444444445</v>
      </c>
      <c r="Q2882" s="32">
        <v>45139.0</v>
      </c>
      <c r="R2882" s="30">
        <v>0.7083333333333334</v>
      </c>
      <c r="S2882" s="23">
        <v>1.0</v>
      </c>
      <c r="T2882" s="40" t="s">
        <v>3749</v>
      </c>
      <c r="U2882" s="6"/>
      <c r="V2882" s="6"/>
      <c r="W2882" s="35">
        <v>29.7737772</v>
      </c>
      <c r="X2882" s="35">
        <v>-95.4095447</v>
      </c>
      <c r="AB2882" s="33"/>
      <c r="AC2882" s="33"/>
      <c r="AD2882" s="33"/>
      <c r="AE2882" s="33"/>
      <c r="AF2882" s="33"/>
      <c r="AG2882" s="33"/>
      <c r="AH2882" s="33"/>
      <c r="AI2882" s="33"/>
      <c r="AJ2882" s="33"/>
      <c r="AK2882" s="33"/>
      <c r="AL2882" s="33"/>
      <c r="AM2882" s="33"/>
      <c r="AN2882" s="33"/>
      <c r="AO2882" s="33"/>
    </row>
    <row r="2883" ht="15.75" customHeight="1">
      <c r="A2883" s="23">
        <v>52941.0</v>
      </c>
      <c r="B2883" s="23">
        <v>2023.0</v>
      </c>
      <c r="C2883" s="36" t="str">
        <f t="shared" si="7"/>
        <v>10902 STABLER LN,Houston,TX</v>
      </c>
      <c r="D2883" s="23" t="s">
        <v>4118</v>
      </c>
      <c r="E2883" s="23" t="s">
        <v>25</v>
      </c>
      <c r="F2883" s="23" t="s">
        <v>1388</v>
      </c>
      <c r="G2883" s="31" t="s">
        <v>275</v>
      </c>
      <c r="H2883" s="23" t="s">
        <v>50</v>
      </c>
      <c r="I2883" s="37" t="str">
        <f>VLOOKUP(H2883,'Flow Location'!$A$1:$B$21,2,FALSE)</f>
        <v>Contained On Site, not within 5 ft. of Bayou/Surface Water/Drainage Ditch</v>
      </c>
      <c r="J2883" s="28">
        <v>0.0</v>
      </c>
      <c r="K2883" s="23" t="s">
        <v>45</v>
      </c>
      <c r="L2883" s="37" t="str">
        <f>VLOOKUP(K2883,'Structure type'!$A$1:$B$15,2,FALSE)</f>
        <v>City Cleanout</v>
      </c>
      <c r="M2883" s="23" t="s">
        <v>56</v>
      </c>
      <c r="N2883" s="23" t="str">
        <f>VLOOKUP(M2883,'Excursion Cause'!$A$1:$B$34,2,FALSE)</f>
        <v>Rags/Wipes</v>
      </c>
      <c r="O2883" s="29">
        <v>45140.0</v>
      </c>
      <c r="P2883" s="30">
        <v>0.6548611111111111</v>
      </c>
      <c r="Q2883" s="32">
        <v>45140.0</v>
      </c>
      <c r="R2883" s="30">
        <v>0.6555555555555556</v>
      </c>
      <c r="S2883" s="23">
        <v>0.0</v>
      </c>
      <c r="T2883" s="40" t="s">
        <v>1473</v>
      </c>
      <c r="U2883" s="6"/>
      <c r="V2883" s="6"/>
      <c r="W2883" s="35">
        <v>29.8614693</v>
      </c>
      <c r="X2883" s="35">
        <v>-95.3740397</v>
      </c>
      <c r="AB2883" s="33"/>
      <c r="AC2883" s="33"/>
      <c r="AD2883" s="33"/>
      <c r="AE2883" s="33"/>
      <c r="AF2883" s="33"/>
      <c r="AG2883" s="33"/>
      <c r="AH2883" s="33"/>
      <c r="AI2883" s="33"/>
      <c r="AJ2883" s="33"/>
      <c r="AK2883" s="33"/>
      <c r="AL2883" s="33"/>
      <c r="AM2883" s="33"/>
      <c r="AN2883" s="33"/>
      <c r="AO2883" s="33"/>
    </row>
    <row r="2884" ht="15.75" customHeight="1">
      <c r="A2884" s="23">
        <v>52943.0</v>
      </c>
      <c r="B2884" s="23">
        <v>2023.0</v>
      </c>
      <c r="C2884" s="36" t="str">
        <f t="shared" si="7"/>
        <v>1308 ALABAMA ST,Houston,TX</v>
      </c>
      <c r="D2884" s="23" t="s">
        <v>4119</v>
      </c>
      <c r="E2884" s="23" t="s">
        <v>25</v>
      </c>
      <c r="F2884" s="23" t="s">
        <v>1388</v>
      </c>
      <c r="G2884" s="31" t="s">
        <v>308</v>
      </c>
      <c r="H2884" s="23" t="s">
        <v>50</v>
      </c>
      <c r="I2884" s="37" t="str">
        <f>VLOOKUP(H2884,'Flow Location'!$A$1:$B$21,2,FALSE)</f>
        <v>Contained On Site, not within 5 ft. of Bayou/Surface Water/Drainage Ditch</v>
      </c>
      <c r="J2884" s="28">
        <v>0.0</v>
      </c>
      <c r="K2884" s="23" t="s">
        <v>290</v>
      </c>
      <c r="L2884" s="37" t="str">
        <f>VLOOKUP(K2884,'Structure type'!$A$1:$B$15,2,FALSE)</f>
        <v>Gravity Main</v>
      </c>
      <c r="M2884" s="23" t="s">
        <v>52</v>
      </c>
      <c r="N2884" s="23" t="str">
        <f>VLOOKUP(M2884,'Excursion Cause'!$A$1:$B$34,2,FALSE)</f>
        <v>Collection system structural blockage</v>
      </c>
      <c r="O2884" s="29">
        <v>45140.0</v>
      </c>
      <c r="P2884" s="30">
        <v>0.7034722222222223</v>
      </c>
      <c r="Q2884" s="32">
        <v>45140.0</v>
      </c>
      <c r="R2884" s="30">
        <v>0.7041666666666667</v>
      </c>
      <c r="S2884" s="23">
        <v>0.0</v>
      </c>
      <c r="T2884" s="40" t="s">
        <v>3749</v>
      </c>
      <c r="U2884" s="6"/>
      <c r="V2884" s="6"/>
      <c r="W2884" s="35">
        <v>29.7359774</v>
      </c>
      <c r="X2884" s="35">
        <v>-95.3773344</v>
      </c>
      <c r="AB2884" s="33"/>
      <c r="AC2884" s="33"/>
      <c r="AD2884" s="33"/>
      <c r="AE2884" s="33"/>
      <c r="AF2884" s="33"/>
      <c r="AG2884" s="33"/>
      <c r="AH2884" s="33"/>
      <c r="AI2884" s="33"/>
      <c r="AJ2884" s="33"/>
      <c r="AK2884" s="33"/>
      <c r="AL2884" s="33"/>
      <c r="AM2884" s="33"/>
      <c r="AN2884" s="33"/>
      <c r="AO2884" s="33"/>
    </row>
    <row r="2885" ht="15.75" customHeight="1">
      <c r="A2885" s="23">
        <v>52947.0</v>
      </c>
      <c r="B2885" s="23">
        <v>2023.0</v>
      </c>
      <c r="C2885" s="36" t="str">
        <f t="shared" si="7"/>
        <v>1103 BLUE WILLOW DR,Houston,TX</v>
      </c>
      <c r="D2885" s="23" t="s">
        <v>4120</v>
      </c>
      <c r="E2885" s="23" t="s">
        <v>25</v>
      </c>
      <c r="F2885" s="23" t="s">
        <v>1388</v>
      </c>
      <c r="G2885" s="31" t="s">
        <v>401</v>
      </c>
      <c r="H2885" s="23" t="s">
        <v>50</v>
      </c>
      <c r="I2885" s="37" t="str">
        <f>VLOOKUP(H2885,'Flow Location'!$A$1:$B$21,2,FALSE)</f>
        <v>Contained On Site, not within 5 ft. of Bayou/Surface Water/Drainage Ditch</v>
      </c>
      <c r="J2885" s="28">
        <v>0.0</v>
      </c>
      <c r="K2885" s="23" t="s">
        <v>198</v>
      </c>
      <c r="L2885" s="37" t="str">
        <f>VLOOKUP(K2885,'Structure type'!$A$1:$B$15,2,FALSE)</f>
        <v>Service Lateral</v>
      </c>
      <c r="M2885" s="23" t="s">
        <v>81</v>
      </c>
      <c r="N2885" s="23" t="str">
        <f>VLOOKUP(M2885,'Excursion Cause'!$A$1:$B$34,2,FALSE)</f>
        <v>Collection system structural failure</v>
      </c>
      <c r="O2885" s="29">
        <v>45141.0</v>
      </c>
      <c r="P2885" s="30">
        <v>0.55</v>
      </c>
      <c r="Q2885" s="32">
        <v>45141.0</v>
      </c>
      <c r="R2885" s="30">
        <v>0.5506944444444445</v>
      </c>
      <c r="S2885" s="23">
        <v>0.0</v>
      </c>
      <c r="T2885" s="40" t="s">
        <v>118</v>
      </c>
      <c r="U2885" s="6"/>
      <c r="V2885" s="6"/>
      <c r="W2885" s="35">
        <v>29.7509935</v>
      </c>
      <c r="X2885" s="35">
        <v>-95.56302</v>
      </c>
      <c r="AB2885" s="33"/>
      <c r="AC2885" s="33"/>
      <c r="AD2885" s="33"/>
      <c r="AE2885" s="33"/>
      <c r="AF2885" s="33"/>
      <c r="AG2885" s="33"/>
      <c r="AH2885" s="33"/>
      <c r="AI2885" s="33"/>
      <c r="AJ2885" s="33"/>
      <c r="AK2885" s="33"/>
      <c r="AL2885" s="33"/>
      <c r="AM2885" s="33"/>
      <c r="AN2885" s="33"/>
      <c r="AO2885" s="33"/>
    </row>
    <row r="2886" ht="15.75" customHeight="1">
      <c r="A2886" s="23">
        <v>52953.0</v>
      </c>
      <c r="B2886" s="23">
        <v>2023.0</v>
      </c>
      <c r="C2886" s="36" t="str">
        <f t="shared" si="7"/>
        <v>2400 NAVIGATION BLVD,Houston,TX</v>
      </c>
      <c r="D2886" s="23" t="s">
        <v>4121</v>
      </c>
      <c r="E2886" s="23" t="s">
        <v>25</v>
      </c>
      <c r="F2886" s="23" t="s">
        <v>1388</v>
      </c>
      <c r="G2886" s="31" t="s">
        <v>172</v>
      </c>
      <c r="H2886" s="23" t="s">
        <v>50</v>
      </c>
      <c r="I2886" s="37" t="str">
        <f>VLOOKUP(H2886,'Flow Location'!$A$1:$B$21,2,FALSE)</f>
        <v>Contained On Site, not within 5 ft. of Bayou/Surface Water/Drainage Ditch</v>
      </c>
      <c r="J2886" s="28">
        <v>0.0</v>
      </c>
      <c r="K2886" s="23" t="s">
        <v>29</v>
      </c>
      <c r="L2886" s="37" t="str">
        <f>VLOOKUP(K2886,'Structure type'!$A$1:$B$15,2,FALSE)</f>
        <v>Manhole</v>
      </c>
      <c r="M2886" s="23" t="s">
        <v>2550</v>
      </c>
      <c r="N2886" s="23" t="str">
        <f>VLOOKUP(M2886,'Excursion Cause'!$A$1:$B$34,2,FALSE)</f>
        <v>Cross-connection to Storm Sewer</v>
      </c>
      <c r="O2886" s="29">
        <v>45142.0</v>
      </c>
      <c r="P2886" s="30">
        <v>0.43125</v>
      </c>
      <c r="Q2886" s="32">
        <v>45142.0</v>
      </c>
      <c r="R2886" s="30">
        <v>0.43194444444444446</v>
      </c>
      <c r="S2886" s="23">
        <v>0.0</v>
      </c>
      <c r="T2886" s="40" t="s">
        <v>4122</v>
      </c>
      <c r="U2886" s="6"/>
      <c r="V2886" s="6"/>
      <c r="W2886" s="35">
        <v>29.7589834</v>
      </c>
      <c r="X2886" s="35">
        <v>-95.3443941</v>
      </c>
      <c r="AB2886" s="33"/>
      <c r="AC2886" s="33"/>
      <c r="AD2886" s="33"/>
      <c r="AE2886" s="33"/>
      <c r="AF2886" s="33"/>
      <c r="AG2886" s="33"/>
      <c r="AH2886" s="33"/>
      <c r="AI2886" s="33"/>
      <c r="AJ2886" s="33"/>
      <c r="AK2886" s="33"/>
      <c r="AL2886" s="33"/>
      <c r="AM2886" s="33"/>
      <c r="AN2886" s="33"/>
      <c r="AO2886" s="33"/>
    </row>
    <row r="2887" ht="15.75" customHeight="1">
      <c r="A2887" s="23">
        <v>52958.0</v>
      </c>
      <c r="B2887" s="23">
        <v>2023.0</v>
      </c>
      <c r="C2887" s="36" t="str">
        <f t="shared" si="7"/>
        <v>12802 COULSON ST,Houston,TX</v>
      </c>
      <c r="D2887" s="23" t="s">
        <v>4123</v>
      </c>
      <c r="E2887" s="23" t="s">
        <v>25</v>
      </c>
      <c r="F2887" s="23" t="s">
        <v>1388</v>
      </c>
      <c r="G2887" s="31" t="s">
        <v>623</v>
      </c>
      <c r="H2887" s="23" t="s">
        <v>44</v>
      </c>
      <c r="I2887" s="37" t="str">
        <f>VLOOKUP(H2887,'Flow Location'!$A$1:$B$21,2,FALSE)</f>
        <v>Bayou/surface water/drainage ditch</v>
      </c>
      <c r="J2887" s="28">
        <v>0.0</v>
      </c>
      <c r="K2887" s="23" t="s">
        <v>198</v>
      </c>
      <c r="L2887" s="37" t="str">
        <f>VLOOKUP(K2887,'Structure type'!$A$1:$B$15,2,FALSE)</f>
        <v>Service Lateral</v>
      </c>
      <c r="M2887" s="23" t="s">
        <v>81</v>
      </c>
      <c r="N2887" s="23" t="str">
        <f>VLOOKUP(M2887,'Excursion Cause'!$A$1:$B$34,2,FALSE)</f>
        <v>Collection system structural failure</v>
      </c>
      <c r="O2887" s="29">
        <v>45143.0</v>
      </c>
      <c r="P2887" s="30">
        <v>0.50625</v>
      </c>
      <c r="Q2887" s="32">
        <v>45143.0</v>
      </c>
      <c r="R2887" s="30">
        <v>0.5069444444444444</v>
      </c>
      <c r="S2887" s="23">
        <v>0.0</v>
      </c>
      <c r="T2887" s="40" t="s">
        <v>3756</v>
      </c>
      <c r="U2887" s="6"/>
      <c r="V2887" s="6"/>
      <c r="W2887" s="35">
        <v>29.7634444</v>
      </c>
      <c r="X2887" s="35">
        <v>-95.205491</v>
      </c>
      <c r="AB2887" s="33"/>
      <c r="AC2887" s="33"/>
      <c r="AD2887" s="33"/>
      <c r="AE2887" s="33"/>
      <c r="AF2887" s="33"/>
      <c r="AG2887" s="33"/>
      <c r="AH2887" s="33"/>
      <c r="AI2887" s="33"/>
      <c r="AJ2887" s="33"/>
      <c r="AK2887" s="33"/>
      <c r="AL2887" s="33"/>
      <c r="AM2887" s="33"/>
      <c r="AN2887" s="33"/>
      <c r="AO2887" s="33"/>
    </row>
    <row r="2888" ht="15.75" customHeight="1">
      <c r="A2888" s="23">
        <v>52959.0</v>
      </c>
      <c r="B2888" s="23">
        <v>2023.0</v>
      </c>
      <c r="C2888" s="36" t="str">
        <f t="shared" si="7"/>
        <v>1307 MARSHALL ST,Houston,TX</v>
      </c>
      <c r="D2888" s="23" t="s">
        <v>4124</v>
      </c>
      <c r="E2888" s="23" t="s">
        <v>25</v>
      </c>
      <c r="F2888" s="23" t="s">
        <v>1388</v>
      </c>
      <c r="G2888" s="31" t="s">
        <v>761</v>
      </c>
      <c r="H2888" s="23" t="s">
        <v>50</v>
      </c>
      <c r="I2888" s="37" t="str">
        <f>VLOOKUP(H2888,'Flow Location'!$A$1:$B$21,2,FALSE)</f>
        <v>Contained On Site, not within 5 ft. of Bayou/Surface Water/Drainage Ditch</v>
      </c>
      <c r="J2888" s="28">
        <v>0.0</v>
      </c>
      <c r="K2888" s="23" t="s">
        <v>290</v>
      </c>
      <c r="L2888" s="37" t="str">
        <f>VLOOKUP(K2888,'Structure type'!$A$1:$B$15,2,FALSE)</f>
        <v>Gravity Main</v>
      </c>
      <c r="M2888" s="23" t="s">
        <v>81</v>
      </c>
      <c r="N2888" s="23" t="str">
        <f>VLOOKUP(M2888,'Excursion Cause'!$A$1:$B$34,2,FALSE)</f>
        <v>Collection system structural failure</v>
      </c>
      <c r="O2888" s="29">
        <v>45143.0</v>
      </c>
      <c r="P2888" s="30">
        <v>0.5708333333333333</v>
      </c>
      <c r="Q2888" s="32">
        <v>45143.0</v>
      </c>
      <c r="R2888" s="30">
        <v>0.5715277777777777</v>
      </c>
      <c r="S2888" s="23">
        <v>0.0</v>
      </c>
      <c r="T2888" s="40" t="s">
        <v>1462</v>
      </c>
      <c r="U2888" s="6"/>
      <c r="V2888" s="6"/>
      <c r="W2888" s="35">
        <v>29.7393295</v>
      </c>
      <c r="X2888" s="35">
        <v>-95.3953719</v>
      </c>
      <c r="AB2888" s="33"/>
      <c r="AC2888" s="33"/>
      <c r="AD2888" s="33"/>
      <c r="AE2888" s="33"/>
      <c r="AF2888" s="33"/>
      <c r="AG2888" s="33"/>
      <c r="AH2888" s="33"/>
      <c r="AI2888" s="33"/>
      <c r="AJ2888" s="33"/>
      <c r="AK2888" s="33"/>
      <c r="AL2888" s="33"/>
      <c r="AM2888" s="33"/>
      <c r="AN2888" s="33"/>
      <c r="AO2888" s="33"/>
    </row>
    <row r="2889" ht="15.75" customHeight="1">
      <c r="A2889" s="23">
        <v>52961.0</v>
      </c>
      <c r="B2889" s="23">
        <v>2023.0</v>
      </c>
      <c r="C2889" s="36" t="str">
        <f t="shared" si="7"/>
        <v>2101 POLK ST,Houston,TX</v>
      </c>
      <c r="D2889" s="23" t="s">
        <v>4088</v>
      </c>
      <c r="E2889" s="23" t="s">
        <v>25</v>
      </c>
      <c r="F2889" s="23" t="s">
        <v>1388</v>
      </c>
      <c r="G2889" s="31" t="s">
        <v>172</v>
      </c>
      <c r="H2889" s="23" t="s">
        <v>28</v>
      </c>
      <c r="I2889" s="37" t="str">
        <f>VLOOKUP(H2889,'Flow Location'!$A$1:$B$21,2,FALSE)</f>
        <v>Storm Sewer (not contained)</v>
      </c>
      <c r="J2889" s="28">
        <v>0.0</v>
      </c>
      <c r="K2889" s="23" t="s">
        <v>51</v>
      </c>
      <c r="L2889" s="37" t="str">
        <f>VLOOKUP(K2889,'Structure type'!$A$1:$B$15,2,FALSE)</f>
        <v>Private Cleanout</v>
      </c>
      <c r="M2889" s="23" t="s">
        <v>81</v>
      </c>
      <c r="N2889" s="23" t="str">
        <f>VLOOKUP(M2889,'Excursion Cause'!$A$1:$B$34,2,FALSE)</f>
        <v>Collection system structural failure</v>
      </c>
      <c r="O2889" s="29">
        <v>45144.0</v>
      </c>
      <c r="P2889" s="30">
        <v>0.4125</v>
      </c>
      <c r="Q2889" s="32">
        <v>45144.0</v>
      </c>
      <c r="R2889" s="30">
        <v>0.4131944444444444</v>
      </c>
      <c r="S2889" s="23">
        <v>0.0</v>
      </c>
      <c r="T2889" s="40" t="s">
        <v>3756</v>
      </c>
      <c r="U2889" s="6"/>
      <c r="V2889" s="6"/>
      <c r="W2889" s="35">
        <v>29.7489221</v>
      </c>
      <c r="X2889" s="35">
        <v>-95.3566896999999</v>
      </c>
      <c r="AB2889" s="33"/>
      <c r="AC2889" s="33"/>
      <c r="AD2889" s="33"/>
      <c r="AE2889" s="33"/>
      <c r="AF2889" s="33"/>
      <c r="AG2889" s="33"/>
      <c r="AH2889" s="33"/>
      <c r="AI2889" s="33"/>
      <c r="AJ2889" s="33"/>
      <c r="AK2889" s="33"/>
      <c r="AL2889" s="33"/>
      <c r="AM2889" s="33"/>
      <c r="AN2889" s="33"/>
      <c r="AO2889" s="33"/>
    </row>
    <row r="2890" ht="15.75" customHeight="1">
      <c r="A2890" s="23">
        <v>52964.0</v>
      </c>
      <c r="B2890" s="23">
        <v>2023.0</v>
      </c>
      <c r="C2890" s="36" t="str">
        <f t="shared" si="7"/>
        <v>6226 CAVALIER ST,Houston,TX</v>
      </c>
      <c r="D2890" s="23" t="s">
        <v>4125</v>
      </c>
      <c r="E2890" s="23" t="s">
        <v>25</v>
      </c>
      <c r="F2890" s="23" t="s">
        <v>1388</v>
      </c>
      <c r="G2890" s="31" t="s">
        <v>35</v>
      </c>
      <c r="H2890" s="23" t="s">
        <v>50</v>
      </c>
      <c r="I2890" s="37" t="str">
        <f>VLOOKUP(H2890,'Flow Location'!$A$1:$B$21,2,FALSE)</f>
        <v>Contained On Site, not within 5 ft. of Bayou/Surface Water/Drainage Ditch</v>
      </c>
      <c r="J2890" s="28">
        <v>0.0</v>
      </c>
      <c r="K2890" s="23" t="s">
        <v>198</v>
      </c>
      <c r="L2890" s="37" t="str">
        <f>VLOOKUP(K2890,'Structure type'!$A$1:$B$15,2,FALSE)</f>
        <v>Service Lateral</v>
      </c>
      <c r="M2890" s="23" t="s">
        <v>81</v>
      </c>
      <c r="N2890" s="23" t="str">
        <f>VLOOKUP(M2890,'Excursion Cause'!$A$1:$B$34,2,FALSE)</f>
        <v>Collection system structural failure</v>
      </c>
      <c r="O2890" s="29">
        <v>45144.0</v>
      </c>
      <c r="P2890" s="30">
        <v>0.5902777777777778</v>
      </c>
      <c r="Q2890" s="32">
        <v>45145.0</v>
      </c>
      <c r="R2890" s="30">
        <v>0.6604166666666667</v>
      </c>
      <c r="S2890" s="23">
        <v>0.0</v>
      </c>
      <c r="T2890" s="40" t="s">
        <v>118</v>
      </c>
      <c r="U2890" s="6"/>
      <c r="V2890" s="6"/>
      <c r="W2890" s="35">
        <v>29.6857984</v>
      </c>
      <c r="X2890" s="35">
        <v>-95.3181558</v>
      </c>
      <c r="AB2890" s="33"/>
      <c r="AC2890" s="33"/>
      <c r="AD2890" s="33"/>
      <c r="AE2890" s="33"/>
      <c r="AF2890" s="33"/>
      <c r="AG2890" s="33"/>
      <c r="AH2890" s="33"/>
      <c r="AI2890" s="33"/>
      <c r="AJ2890" s="33"/>
      <c r="AK2890" s="33"/>
      <c r="AL2890" s="33"/>
      <c r="AM2890" s="33"/>
      <c r="AN2890" s="33"/>
      <c r="AO2890" s="33"/>
    </row>
    <row r="2891" ht="15.75" customHeight="1">
      <c r="A2891" s="23">
        <v>52966.0</v>
      </c>
      <c r="B2891" s="23">
        <v>2023.0</v>
      </c>
      <c r="C2891" s="36" t="str">
        <f t="shared" si="7"/>
        <v>220 MEADOWFERN DR,Houston,TX</v>
      </c>
      <c r="D2891" s="23" t="s">
        <v>2791</v>
      </c>
      <c r="E2891" s="23" t="s">
        <v>25</v>
      </c>
      <c r="F2891" s="23" t="s">
        <v>1388</v>
      </c>
      <c r="G2891" s="31" t="s">
        <v>2203</v>
      </c>
      <c r="H2891" s="23" t="s">
        <v>28</v>
      </c>
      <c r="I2891" s="37" t="str">
        <f>VLOOKUP(H2891,'Flow Location'!$A$1:$B$21,2,FALSE)</f>
        <v>Storm Sewer (not contained)</v>
      </c>
      <c r="J2891" s="28">
        <v>39375.0</v>
      </c>
      <c r="K2891" s="23" t="s">
        <v>29</v>
      </c>
      <c r="L2891" s="37" t="str">
        <f>VLOOKUP(K2891,'Structure type'!$A$1:$B$15,2,FALSE)</f>
        <v>Manhole</v>
      </c>
      <c r="M2891" s="23" t="s">
        <v>977</v>
      </c>
      <c r="N2891" s="23" t="str">
        <f>VLOOKUP(M2891,'Excursion Cause'!$A$1:$B$34,2,FALSE)</f>
        <v>Pump/Lift Station Electrical Failure</v>
      </c>
      <c r="O2891" s="29">
        <v>45143.0</v>
      </c>
      <c r="P2891" s="30">
        <v>0.8576388888888888</v>
      </c>
      <c r="Q2891" s="32">
        <v>45146.0</v>
      </c>
      <c r="R2891" s="30">
        <v>0.5069444444444444</v>
      </c>
      <c r="S2891" s="23">
        <v>10.0</v>
      </c>
      <c r="T2891" s="40" t="s">
        <v>4126</v>
      </c>
      <c r="U2891" s="6"/>
      <c r="V2891" s="6"/>
      <c r="W2891" s="35">
        <v>29.9550481</v>
      </c>
      <c r="X2891" s="35">
        <v>-95.4202196</v>
      </c>
      <c r="AB2891" s="33"/>
      <c r="AC2891" s="33"/>
      <c r="AD2891" s="33"/>
      <c r="AE2891" s="33"/>
      <c r="AF2891" s="33"/>
      <c r="AG2891" s="33"/>
      <c r="AH2891" s="33"/>
      <c r="AI2891" s="33"/>
      <c r="AJ2891" s="33"/>
      <c r="AK2891" s="33"/>
      <c r="AL2891" s="33"/>
      <c r="AM2891" s="33"/>
      <c r="AN2891" s="33"/>
      <c r="AO2891" s="33"/>
    </row>
    <row r="2892" ht="15.75" customHeight="1">
      <c r="A2892" s="23">
        <v>52972.0</v>
      </c>
      <c r="B2892" s="23">
        <v>2023.0</v>
      </c>
      <c r="C2892" s="36" t="str">
        <f t="shared" si="7"/>
        <v>4511 WIPPRECHT ST,Houston,TX</v>
      </c>
      <c r="D2892" s="23" t="s">
        <v>4127</v>
      </c>
      <c r="E2892" s="23" t="s">
        <v>25</v>
      </c>
      <c r="F2892" s="23" t="s">
        <v>1388</v>
      </c>
      <c r="G2892" s="31" t="s">
        <v>43</v>
      </c>
      <c r="H2892" s="23" t="s">
        <v>50</v>
      </c>
      <c r="I2892" s="37" t="str">
        <f>VLOOKUP(H2892,'Flow Location'!$A$1:$B$21,2,FALSE)</f>
        <v>Contained On Site, not within 5 ft. of Bayou/Surface Water/Drainage Ditch</v>
      </c>
      <c r="J2892" s="28">
        <v>0.0</v>
      </c>
      <c r="K2892" s="23" t="s">
        <v>45</v>
      </c>
      <c r="L2892" s="37" t="str">
        <f>VLOOKUP(K2892,'Structure type'!$A$1:$B$15,2,FALSE)</f>
        <v>City Cleanout</v>
      </c>
      <c r="M2892" s="23" t="s">
        <v>30</v>
      </c>
      <c r="N2892" s="23" t="str">
        <f>VLOOKUP(M2892,'Excursion Cause'!$A$1:$B$34,2,FALSE)</f>
        <v>Grease Blockage</v>
      </c>
      <c r="O2892" s="29">
        <v>45145.0</v>
      </c>
      <c r="P2892" s="30">
        <v>0.4701388888888889</v>
      </c>
      <c r="Q2892" s="32">
        <v>45145.0</v>
      </c>
      <c r="R2892" s="30">
        <v>0.4708333333333333</v>
      </c>
      <c r="S2892" s="23">
        <v>0.0</v>
      </c>
      <c r="T2892" s="40" t="s">
        <v>3743</v>
      </c>
      <c r="U2892" s="6"/>
      <c r="V2892" s="6"/>
      <c r="W2892" s="35">
        <v>29.8017563</v>
      </c>
      <c r="X2892" s="35">
        <v>-95.3228515</v>
      </c>
      <c r="AB2892" s="33"/>
      <c r="AC2892" s="33"/>
      <c r="AD2892" s="33"/>
      <c r="AE2892" s="33"/>
      <c r="AF2892" s="33"/>
      <c r="AG2892" s="33"/>
      <c r="AH2892" s="33"/>
      <c r="AI2892" s="33"/>
      <c r="AJ2892" s="33"/>
      <c r="AK2892" s="33"/>
      <c r="AL2892" s="33"/>
      <c r="AM2892" s="33"/>
      <c r="AN2892" s="33"/>
      <c r="AO2892" s="33"/>
    </row>
    <row r="2893" ht="15.75" customHeight="1">
      <c r="A2893" s="23">
        <v>52979.0</v>
      </c>
      <c r="B2893" s="23">
        <v>2023.0</v>
      </c>
      <c r="C2893" s="36" t="str">
        <f t="shared" si="7"/>
        <v>3327 STASSEN ST,Houston,TX</v>
      </c>
      <c r="D2893" s="23" t="s">
        <v>4128</v>
      </c>
      <c r="E2893" s="23" t="s">
        <v>25</v>
      </c>
      <c r="F2893" s="23" t="s">
        <v>1388</v>
      </c>
      <c r="G2893" s="31" t="s">
        <v>105</v>
      </c>
      <c r="H2893" s="23" t="s">
        <v>50</v>
      </c>
      <c r="I2893" s="37" t="str">
        <f>VLOOKUP(H2893,'Flow Location'!$A$1:$B$21,2,FALSE)</f>
        <v>Contained On Site, not within 5 ft. of Bayou/Surface Water/Drainage Ditch</v>
      </c>
      <c r="J2893" s="28">
        <v>116.0</v>
      </c>
      <c r="K2893" s="23" t="s">
        <v>51</v>
      </c>
      <c r="L2893" s="37" t="str">
        <f>VLOOKUP(K2893,'Structure type'!$A$1:$B$15,2,FALSE)</f>
        <v>Private Cleanout</v>
      </c>
      <c r="M2893" s="23" t="s">
        <v>30</v>
      </c>
      <c r="N2893" s="23" t="str">
        <f>VLOOKUP(M2893,'Excursion Cause'!$A$1:$B$34,2,FALSE)</f>
        <v>Grease Blockage</v>
      </c>
      <c r="O2893" s="29">
        <v>45146.0</v>
      </c>
      <c r="P2893" s="30">
        <v>0.6875</v>
      </c>
      <c r="Q2893" s="32">
        <v>45146.0</v>
      </c>
      <c r="R2893" s="30">
        <v>0.7680555555555556</v>
      </c>
      <c r="S2893" s="23">
        <v>1.0</v>
      </c>
      <c r="T2893" s="40" t="s">
        <v>1462</v>
      </c>
      <c r="U2893" s="6"/>
      <c r="V2893" s="6"/>
      <c r="W2893" s="35">
        <v>29.6732569</v>
      </c>
      <c r="X2893" s="35">
        <v>-95.3761045999999</v>
      </c>
      <c r="AB2893" s="33"/>
      <c r="AC2893" s="33"/>
      <c r="AD2893" s="33"/>
      <c r="AE2893" s="33"/>
      <c r="AF2893" s="33"/>
      <c r="AG2893" s="33"/>
      <c r="AH2893" s="33"/>
      <c r="AI2893" s="33"/>
      <c r="AJ2893" s="33"/>
      <c r="AK2893" s="33"/>
      <c r="AL2893" s="33"/>
      <c r="AM2893" s="33"/>
      <c r="AN2893" s="33"/>
      <c r="AO2893" s="33"/>
    </row>
    <row r="2894" ht="15.75" customHeight="1">
      <c r="A2894" s="23">
        <v>52980.0</v>
      </c>
      <c r="B2894" s="23">
        <v>2023.0</v>
      </c>
      <c r="C2894" s="36" t="str">
        <f t="shared" si="7"/>
        <v>9959 TELEPHONE RD,Houston,TX</v>
      </c>
      <c r="D2894" s="23" t="s">
        <v>4129</v>
      </c>
      <c r="E2894" s="23" t="s">
        <v>25</v>
      </c>
      <c r="F2894" s="23" t="s">
        <v>1388</v>
      </c>
      <c r="G2894" s="31" t="s">
        <v>95</v>
      </c>
      <c r="H2894" s="23" t="s">
        <v>28</v>
      </c>
      <c r="I2894" s="37" t="str">
        <f>VLOOKUP(H2894,'Flow Location'!$A$1:$B$21,2,FALSE)</f>
        <v>Storm Sewer (not contained)</v>
      </c>
      <c r="J2894" s="28">
        <v>248.0</v>
      </c>
      <c r="K2894" s="23" t="s">
        <v>29</v>
      </c>
      <c r="L2894" s="37" t="str">
        <f>VLOOKUP(K2894,'Structure type'!$A$1:$B$15,2,FALSE)</f>
        <v>Manhole</v>
      </c>
      <c r="M2894" s="23" t="s">
        <v>30</v>
      </c>
      <c r="N2894" s="23" t="str">
        <f>VLOOKUP(M2894,'Excursion Cause'!$A$1:$B$34,2,FALSE)</f>
        <v>Grease Blockage</v>
      </c>
      <c r="O2894" s="29">
        <v>45147.0</v>
      </c>
      <c r="P2894" s="30">
        <v>0.3784722222222222</v>
      </c>
      <c r="Q2894" s="32">
        <v>45147.0</v>
      </c>
      <c r="R2894" s="30">
        <v>0.46458333333333335</v>
      </c>
      <c r="S2894" s="23">
        <v>2.0</v>
      </c>
      <c r="T2894" s="40" t="s">
        <v>1462</v>
      </c>
      <c r="U2894" s="6"/>
      <c r="V2894" s="6"/>
      <c r="W2894" s="35">
        <v>29.6206845</v>
      </c>
      <c r="X2894" s="35">
        <v>-95.2845189999999</v>
      </c>
      <c r="AB2894" s="33"/>
      <c r="AC2894" s="33"/>
      <c r="AD2894" s="33"/>
      <c r="AE2894" s="33"/>
      <c r="AF2894" s="33"/>
      <c r="AG2894" s="33"/>
      <c r="AH2894" s="33"/>
      <c r="AI2894" s="33"/>
      <c r="AJ2894" s="33"/>
      <c r="AK2894" s="33"/>
      <c r="AL2894" s="33"/>
      <c r="AM2894" s="33"/>
      <c r="AN2894" s="33"/>
      <c r="AO2894" s="33"/>
    </row>
    <row r="2895" ht="15.75" customHeight="1">
      <c r="A2895" s="23">
        <v>52985.0</v>
      </c>
      <c r="B2895" s="23">
        <v>2023.0</v>
      </c>
      <c r="C2895" s="36" t="str">
        <f t="shared" si="7"/>
        <v>9305 SAM HOUSTON PKWY,Houston,TX</v>
      </c>
      <c r="D2895" s="23" t="s">
        <v>4130</v>
      </c>
      <c r="E2895" s="23" t="s">
        <v>25</v>
      </c>
      <c r="F2895" s="23" t="s">
        <v>1388</v>
      </c>
      <c r="G2895" s="31" t="s">
        <v>95</v>
      </c>
      <c r="H2895" s="23" t="s">
        <v>28</v>
      </c>
      <c r="I2895" s="37" t="str">
        <f>VLOOKUP(H2895,'Flow Location'!$A$1:$B$21,2,FALSE)</f>
        <v>Storm Sewer (not contained)</v>
      </c>
      <c r="J2895" s="28">
        <v>226.0</v>
      </c>
      <c r="K2895" s="23" t="s">
        <v>29</v>
      </c>
      <c r="L2895" s="37" t="str">
        <f>VLOOKUP(K2895,'Structure type'!$A$1:$B$15,2,FALSE)</f>
        <v>Manhole</v>
      </c>
      <c r="M2895" s="23" t="s">
        <v>30</v>
      </c>
      <c r="N2895" s="23" t="str">
        <f>VLOOKUP(M2895,'Excursion Cause'!$A$1:$B$34,2,FALSE)</f>
        <v>Grease Blockage</v>
      </c>
      <c r="O2895" s="29">
        <v>45147.0</v>
      </c>
      <c r="P2895" s="30">
        <v>0.7027777777777777</v>
      </c>
      <c r="Q2895" s="32">
        <v>45147.0</v>
      </c>
      <c r="R2895" s="30">
        <v>0.78125</v>
      </c>
      <c r="S2895" s="23">
        <v>2.0</v>
      </c>
      <c r="T2895" s="40" t="s">
        <v>1462</v>
      </c>
      <c r="U2895" s="6"/>
      <c r="V2895" s="6"/>
      <c r="W2895" s="35">
        <v>29.6009625</v>
      </c>
      <c r="X2895" s="35">
        <v>-95.2508197</v>
      </c>
      <c r="AB2895" s="33"/>
      <c r="AC2895" s="33"/>
      <c r="AD2895" s="33"/>
      <c r="AE2895" s="33"/>
      <c r="AF2895" s="33"/>
      <c r="AG2895" s="33"/>
      <c r="AH2895" s="33"/>
      <c r="AI2895" s="33"/>
      <c r="AJ2895" s="33"/>
      <c r="AK2895" s="33"/>
      <c r="AL2895" s="33"/>
      <c r="AM2895" s="33"/>
      <c r="AN2895" s="33"/>
      <c r="AO2895" s="33"/>
    </row>
    <row r="2896" ht="15.75" customHeight="1">
      <c r="A2896" s="23">
        <v>52987.0</v>
      </c>
      <c r="B2896" s="23">
        <v>2023.0</v>
      </c>
      <c r="C2896" s="36" t="str">
        <f t="shared" si="7"/>
        <v>13711 LUDGATE PASS,Houston,TX</v>
      </c>
      <c r="D2896" s="23" t="s">
        <v>4131</v>
      </c>
      <c r="E2896" s="23" t="s">
        <v>25</v>
      </c>
      <c r="F2896" s="23" t="s">
        <v>1388</v>
      </c>
      <c r="G2896" s="31" t="s">
        <v>49</v>
      </c>
      <c r="H2896" s="23" t="s">
        <v>50</v>
      </c>
      <c r="I2896" s="37" t="str">
        <f>VLOOKUP(H2896,'Flow Location'!$A$1:$B$21,2,FALSE)</f>
        <v>Contained On Site, not within 5 ft. of Bayou/Surface Water/Drainage Ditch</v>
      </c>
      <c r="J2896" s="28">
        <v>147.0</v>
      </c>
      <c r="K2896" s="23" t="s">
        <v>29</v>
      </c>
      <c r="L2896" s="37" t="str">
        <f>VLOOKUP(K2896,'Structure type'!$A$1:$B$15,2,FALSE)</f>
        <v>Manhole</v>
      </c>
      <c r="M2896" s="23" t="s">
        <v>30</v>
      </c>
      <c r="N2896" s="23" t="str">
        <f>VLOOKUP(M2896,'Excursion Cause'!$A$1:$B$34,2,FALSE)</f>
        <v>Grease Blockage</v>
      </c>
      <c r="O2896" s="29">
        <v>45148.0</v>
      </c>
      <c r="P2896" s="30">
        <v>0.42916666666666664</v>
      </c>
      <c r="Q2896" s="32">
        <v>45148.0</v>
      </c>
      <c r="R2896" s="30">
        <v>0.53125</v>
      </c>
      <c r="S2896" s="23">
        <v>1.0</v>
      </c>
      <c r="T2896" s="40" t="s">
        <v>1462</v>
      </c>
      <c r="U2896" s="6"/>
      <c r="V2896" s="6"/>
      <c r="W2896" s="35">
        <v>29.5965435</v>
      </c>
      <c r="X2896" s="35">
        <v>-95.1855763</v>
      </c>
      <c r="AB2896" s="33"/>
      <c r="AC2896" s="33"/>
      <c r="AD2896" s="33"/>
      <c r="AE2896" s="33"/>
      <c r="AF2896" s="33"/>
      <c r="AG2896" s="33"/>
      <c r="AH2896" s="33"/>
      <c r="AI2896" s="33"/>
      <c r="AJ2896" s="33"/>
      <c r="AK2896" s="33"/>
      <c r="AL2896" s="33"/>
      <c r="AM2896" s="33"/>
      <c r="AN2896" s="33"/>
      <c r="AO2896" s="33"/>
    </row>
    <row r="2897" ht="15.75" customHeight="1">
      <c r="A2897" s="23">
        <v>52989.0</v>
      </c>
      <c r="B2897" s="23">
        <v>2023.0</v>
      </c>
      <c r="C2897" s="36" t="str">
        <f t="shared" si="7"/>
        <v>14558 CHADBOURNE DR,Houston,TX</v>
      </c>
      <c r="D2897" s="23" t="s">
        <v>4132</v>
      </c>
      <c r="E2897" s="23" t="s">
        <v>25</v>
      </c>
      <c r="F2897" s="23" t="s">
        <v>1388</v>
      </c>
      <c r="G2897" s="31" t="s">
        <v>520</v>
      </c>
      <c r="H2897" s="23" t="s">
        <v>28</v>
      </c>
      <c r="I2897" s="37" t="str">
        <f>VLOOKUP(H2897,'Flow Location'!$A$1:$B$21,2,FALSE)</f>
        <v>Storm Sewer (not contained)</v>
      </c>
      <c r="J2897" s="28">
        <v>78.0</v>
      </c>
      <c r="K2897" s="23" t="s">
        <v>29</v>
      </c>
      <c r="L2897" s="37" t="str">
        <f>VLOOKUP(K2897,'Structure type'!$A$1:$B$15,2,FALSE)</f>
        <v>Manhole</v>
      </c>
      <c r="M2897" s="23" t="s">
        <v>30</v>
      </c>
      <c r="N2897" s="23" t="str">
        <f>VLOOKUP(M2897,'Excursion Cause'!$A$1:$B$34,2,FALSE)</f>
        <v>Grease Blockage</v>
      </c>
      <c r="O2897" s="29">
        <v>45148.0</v>
      </c>
      <c r="P2897" s="30">
        <v>0.5097222222222222</v>
      </c>
      <c r="Q2897" s="32">
        <v>45148.0</v>
      </c>
      <c r="R2897" s="30">
        <v>0.5638888888888889</v>
      </c>
      <c r="S2897" s="23">
        <v>1.0</v>
      </c>
      <c r="T2897" s="40" t="s">
        <v>3749</v>
      </c>
      <c r="U2897" s="6"/>
      <c r="V2897" s="6"/>
      <c r="W2897" s="35">
        <v>29.7692502</v>
      </c>
      <c r="X2897" s="35">
        <v>-95.6059425999999</v>
      </c>
      <c r="AB2897" s="33"/>
      <c r="AC2897" s="33"/>
      <c r="AD2897" s="33"/>
      <c r="AE2897" s="33"/>
      <c r="AF2897" s="33"/>
      <c r="AG2897" s="33"/>
      <c r="AH2897" s="33"/>
      <c r="AI2897" s="33"/>
      <c r="AJ2897" s="33"/>
      <c r="AK2897" s="33"/>
      <c r="AL2897" s="33"/>
      <c r="AM2897" s="33"/>
      <c r="AN2897" s="33"/>
      <c r="AO2897" s="33"/>
    </row>
    <row r="2898" ht="15.75" customHeight="1">
      <c r="A2898" s="23">
        <v>52991.0</v>
      </c>
      <c r="B2898" s="23">
        <v>2023.0</v>
      </c>
      <c r="C2898" s="36" t="str">
        <f t="shared" si="7"/>
        <v>100 GLENBOROUGH DR,Houston,TX</v>
      </c>
      <c r="D2898" s="23" t="s">
        <v>1118</v>
      </c>
      <c r="E2898" s="23" t="s">
        <v>25</v>
      </c>
      <c r="F2898" s="23" t="s">
        <v>1388</v>
      </c>
      <c r="G2898" s="31" t="s">
        <v>393</v>
      </c>
      <c r="H2898" s="23" t="s">
        <v>28</v>
      </c>
      <c r="I2898" s="37" t="str">
        <f>VLOOKUP(H2898,'Flow Location'!$A$1:$B$21,2,FALSE)</f>
        <v>Storm Sewer (not contained)</v>
      </c>
      <c r="J2898" s="28">
        <v>240.0</v>
      </c>
      <c r="K2898" s="23" t="s">
        <v>29</v>
      </c>
      <c r="L2898" s="37" t="str">
        <f>VLOOKUP(K2898,'Structure type'!$A$1:$B$15,2,FALSE)</f>
        <v>Manhole</v>
      </c>
      <c r="M2898" s="23" t="s">
        <v>30</v>
      </c>
      <c r="N2898" s="23" t="str">
        <f>VLOOKUP(M2898,'Excursion Cause'!$A$1:$B$34,2,FALSE)</f>
        <v>Grease Blockage</v>
      </c>
      <c r="O2898" s="29">
        <v>45148.0</v>
      </c>
      <c r="P2898" s="30">
        <v>0.5388888888888889</v>
      </c>
      <c r="Q2898" s="32">
        <v>45148.0</v>
      </c>
      <c r="R2898" s="30">
        <v>0.7055555555555556</v>
      </c>
      <c r="S2898" s="23">
        <v>1.0</v>
      </c>
      <c r="T2898" s="40" t="s">
        <v>1462</v>
      </c>
      <c r="U2898" s="6"/>
      <c r="V2898" s="6"/>
      <c r="W2898" s="35">
        <v>29.9517699</v>
      </c>
      <c r="X2898" s="35">
        <v>-95.4196085999999</v>
      </c>
      <c r="AB2898" s="33"/>
      <c r="AC2898" s="33"/>
      <c r="AD2898" s="33"/>
      <c r="AE2898" s="33"/>
      <c r="AF2898" s="33"/>
      <c r="AG2898" s="33"/>
      <c r="AH2898" s="33"/>
      <c r="AI2898" s="33"/>
      <c r="AJ2898" s="33"/>
      <c r="AK2898" s="33"/>
      <c r="AL2898" s="33"/>
      <c r="AM2898" s="33"/>
      <c r="AN2898" s="33"/>
      <c r="AO2898" s="33"/>
    </row>
    <row r="2899" ht="15.75" customHeight="1">
      <c r="A2899" s="23">
        <v>52993.0</v>
      </c>
      <c r="B2899" s="23">
        <v>2023.0</v>
      </c>
      <c r="C2899" s="36" t="str">
        <f t="shared" si="7"/>
        <v>9305 SAM HOUSTON PKWY,Houston,TX</v>
      </c>
      <c r="D2899" s="23" t="s">
        <v>4130</v>
      </c>
      <c r="E2899" s="23" t="s">
        <v>25</v>
      </c>
      <c r="F2899" s="23" t="s">
        <v>1388</v>
      </c>
      <c r="G2899" s="31" t="s">
        <v>95</v>
      </c>
      <c r="H2899" s="23" t="s">
        <v>28</v>
      </c>
      <c r="I2899" s="37" t="str">
        <f>VLOOKUP(H2899,'Flow Location'!$A$1:$B$21,2,FALSE)</f>
        <v>Storm Sewer (not contained)</v>
      </c>
      <c r="J2899" s="28">
        <v>226.0</v>
      </c>
      <c r="K2899" s="23" t="s">
        <v>29</v>
      </c>
      <c r="L2899" s="37" t="str">
        <f>VLOOKUP(K2899,'Structure type'!$A$1:$B$15,2,FALSE)</f>
        <v>Manhole</v>
      </c>
      <c r="M2899" s="23" t="s">
        <v>30</v>
      </c>
      <c r="N2899" s="23" t="str">
        <f>VLOOKUP(M2899,'Excursion Cause'!$A$1:$B$34,2,FALSE)</f>
        <v>Grease Blockage</v>
      </c>
      <c r="O2899" s="29">
        <v>45147.0</v>
      </c>
      <c r="P2899" s="30">
        <v>0.7027777777777777</v>
      </c>
      <c r="Q2899" s="32">
        <v>45147.0</v>
      </c>
      <c r="R2899" s="30">
        <v>0.78125</v>
      </c>
      <c r="S2899" s="23">
        <v>2.0</v>
      </c>
      <c r="T2899" s="40" t="s">
        <v>1462</v>
      </c>
      <c r="U2899" s="6"/>
      <c r="V2899" s="6"/>
      <c r="W2899" s="35">
        <v>29.6009625</v>
      </c>
      <c r="X2899" s="35">
        <v>-95.2508197</v>
      </c>
      <c r="AB2899" s="33"/>
      <c r="AC2899" s="33"/>
      <c r="AD2899" s="33"/>
      <c r="AE2899" s="33"/>
      <c r="AF2899" s="33"/>
      <c r="AG2899" s="33"/>
      <c r="AH2899" s="33"/>
      <c r="AI2899" s="33"/>
      <c r="AJ2899" s="33"/>
      <c r="AK2899" s="33"/>
      <c r="AL2899" s="33"/>
      <c r="AM2899" s="33"/>
      <c r="AN2899" s="33"/>
      <c r="AO2899" s="33"/>
    </row>
    <row r="2900" ht="15.75" customHeight="1">
      <c r="A2900" s="23">
        <v>53000.0</v>
      </c>
      <c r="B2900" s="23">
        <v>2023.0</v>
      </c>
      <c r="C2900" s="36" t="str">
        <f t="shared" si="7"/>
        <v>10635 WICKERSHAM LN,Houston,TX</v>
      </c>
      <c r="D2900" s="23" t="s">
        <v>4133</v>
      </c>
      <c r="E2900" s="23" t="s">
        <v>25</v>
      </c>
      <c r="F2900" s="23" t="s">
        <v>1388</v>
      </c>
      <c r="G2900" s="31" t="s">
        <v>401</v>
      </c>
      <c r="H2900" s="23" t="s">
        <v>50</v>
      </c>
      <c r="I2900" s="37" t="str">
        <f>VLOOKUP(H2900,'Flow Location'!$A$1:$B$21,2,FALSE)</f>
        <v>Contained On Site, not within 5 ft. of Bayou/Surface Water/Drainage Ditch</v>
      </c>
      <c r="J2900" s="28">
        <v>0.0</v>
      </c>
      <c r="K2900" s="23" t="s">
        <v>198</v>
      </c>
      <c r="L2900" s="37" t="str">
        <f>VLOOKUP(K2900,'Structure type'!$A$1:$B$15,2,FALSE)</f>
        <v>Service Lateral</v>
      </c>
      <c r="M2900" s="23" t="s">
        <v>81</v>
      </c>
      <c r="N2900" s="23" t="str">
        <f>VLOOKUP(M2900,'Excursion Cause'!$A$1:$B$34,2,FALSE)</f>
        <v>Collection system structural failure</v>
      </c>
      <c r="O2900" s="29">
        <v>45150.0</v>
      </c>
      <c r="P2900" s="30">
        <v>0.7277777777777777</v>
      </c>
      <c r="Q2900" s="32">
        <v>45150.0</v>
      </c>
      <c r="R2900" s="30">
        <v>0.7284722222222222</v>
      </c>
      <c r="S2900" s="23">
        <v>0.0</v>
      </c>
      <c r="T2900" s="40" t="s">
        <v>118</v>
      </c>
      <c r="U2900" s="6"/>
      <c r="V2900" s="6"/>
      <c r="W2900" s="35">
        <v>29.7381562</v>
      </c>
      <c r="X2900" s="35">
        <v>-95.565074</v>
      </c>
      <c r="AB2900" s="33"/>
      <c r="AC2900" s="33"/>
      <c r="AD2900" s="33"/>
      <c r="AE2900" s="33"/>
      <c r="AF2900" s="33"/>
      <c r="AG2900" s="33"/>
      <c r="AH2900" s="33"/>
      <c r="AI2900" s="33"/>
      <c r="AJ2900" s="33"/>
      <c r="AK2900" s="33"/>
      <c r="AL2900" s="33"/>
      <c r="AM2900" s="33"/>
      <c r="AN2900" s="33"/>
      <c r="AO2900" s="33"/>
    </row>
    <row r="2901" ht="15.75" customHeight="1">
      <c r="A2901" s="23">
        <v>53002.0</v>
      </c>
      <c r="B2901" s="23">
        <v>2023.0</v>
      </c>
      <c r="C2901" s="36" t="str">
        <f t="shared" si="7"/>
        <v>13118 ENSLEY WOOD DR,Houston,TX</v>
      </c>
      <c r="D2901" s="23" t="s">
        <v>4134</v>
      </c>
      <c r="E2901" s="23" t="s">
        <v>25</v>
      </c>
      <c r="F2901" s="23" t="s">
        <v>1388</v>
      </c>
      <c r="G2901" s="31" t="s">
        <v>313</v>
      </c>
      <c r="H2901" s="23" t="s">
        <v>50</v>
      </c>
      <c r="I2901" s="37" t="str">
        <f>VLOOKUP(H2901,'Flow Location'!$A$1:$B$21,2,FALSE)</f>
        <v>Contained On Site, not within 5 ft. of Bayou/Surface Water/Drainage Ditch</v>
      </c>
      <c r="J2901" s="28">
        <v>0.0</v>
      </c>
      <c r="K2901" s="23" t="s">
        <v>45</v>
      </c>
      <c r="L2901" s="37" t="str">
        <f>VLOOKUP(K2901,'Structure type'!$A$1:$B$15,2,FALSE)</f>
        <v>City Cleanout</v>
      </c>
      <c r="M2901" s="23" t="s">
        <v>56</v>
      </c>
      <c r="N2901" s="23" t="str">
        <f>VLOOKUP(M2901,'Excursion Cause'!$A$1:$B$34,2,FALSE)</f>
        <v>Rags/Wipes</v>
      </c>
      <c r="O2901" s="29">
        <v>45151.0</v>
      </c>
      <c r="P2901" s="30">
        <v>0.41458333333333336</v>
      </c>
      <c r="Q2901" s="32">
        <v>45151.0</v>
      </c>
      <c r="R2901" s="30">
        <v>0.4152777777777778</v>
      </c>
      <c r="S2901" s="23">
        <v>0.0</v>
      </c>
      <c r="T2901" s="40" t="s">
        <v>3756</v>
      </c>
      <c r="U2901" s="6"/>
      <c r="V2901" s="6"/>
      <c r="W2901" s="35">
        <v>29.7192392</v>
      </c>
      <c r="X2901" s="35">
        <v>-95.6187521</v>
      </c>
      <c r="AB2901" s="33"/>
      <c r="AC2901" s="33"/>
      <c r="AD2901" s="33"/>
      <c r="AE2901" s="33"/>
      <c r="AF2901" s="33"/>
      <c r="AG2901" s="33"/>
      <c r="AH2901" s="33"/>
      <c r="AI2901" s="33"/>
      <c r="AJ2901" s="33"/>
      <c r="AK2901" s="33"/>
      <c r="AL2901" s="33"/>
      <c r="AM2901" s="33"/>
      <c r="AN2901" s="33"/>
      <c r="AO2901" s="33"/>
    </row>
    <row r="2902" ht="15.75" customHeight="1">
      <c r="A2902" s="23">
        <v>53004.0</v>
      </c>
      <c r="B2902" s="23">
        <v>2023.0</v>
      </c>
      <c r="C2902" s="36" t="str">
        <f t="shared" si="7"/>
        <v>3925 MCCARTY ST,Houston,TX</v>
      </c>
      <c r="D2902" s="23" t="s">
        <v>4135</v>
      </c>
      <c r="E2902" s="23" t="s">
        <v>25</v>
      </c>
      <c r="F2902" s="23" t="s">
        <v>1388</v>
      </c>
      <c r="G2902" s="31" t="s">
        <v>656</v>
      </c>
      <c r="H2902" s="23" t="s">
        <v>50</v>
      </c>
      <c r="I2902" s="37" t="str">
        <f>VLOOKUP(H2902,'Flow Location'!$A$1:$B$21,2,FALSE)</f>
        <v>Contained On Site, not within 5 ft. of Bayou/Surface Water/Drainage Ditch</v>
      </c>
      <c r="J2902" s="28">
        <v>0.0</v>
      </c>
      <c r="K2902" s="23" t="s">
        <v>190</v>
      </c>
      <c r="L2902" s="37" t="str">
        <f>VLOOKUP(K2902,'Structure type'!$A$1:$B$15,2,FALSE)</f>
        <v>Force Main</v>
      </c>
      <c r="M2902" s="23" t="s">
        <v>81</v>
      </c>
      <c r="N2902" s="23" t="str">
        <f>VLOOKUP(M2902,'Excursion Cause'!$A$1:$B$34,2,FALSE)</f>
        <v>Collection system structural failure</v>
      </c>
      <c r="O2902" s="29">
        <v>45151.0</v>
      </c>
      <c r="P2902" s="30">
        <v>0.7354166666666667</v>
      </c>
      <c r="Q2902" s="32">
        <v>45151.0</v>
      </c>
      <c r="R2902" s="30">
        <v>0.7423611111111111</v>
      </c>
      <c r="S2902" s="23">
        <v>0.0</v>
      </c>
      <c r="T2902" s="40" t="s">
        <v>118</v>
      </c>
      <c r="U2902" s="6"/>
      <c r="V2902" s="6"/>
      <c r="W2902" s="35">
        <v>29.7981023</v>
      </c>
      <c r="X2902" s="35">
        <v>-95.2711609</v>
      </c>
      <c r="AB2902" s="33"/>
      <c r="AC2902" s="33"/>
      <c r="AD2902" s="33"/>
      <c r="AE2902" s="33"/>
      <c r="AF2902" s="33"/>
      <c r="AG2902" s="33"/>
      <c r="AH2902" s="33"/>
      <c r="AI2902" s="33"/>
      <c r="AJ2902" s="33"/>
      <c r="AK2902" s="33"/>
      <c r="AL2902" s="33"/>
      <c r="AM2902" s="33"/>
      <c r="AN2902" s="33"/>
      <c r="AO2902" s="33"/>
    </row>
    <row r="2903" ht="15.75" customHeight="1">
      <c r="A2903" s="23">
        <v>53005.0</v>
      </c>
      <c r="B2903" s="23">
        <v>2023.0</v>
      </c>
      <c r="C2903" s="36" t="str">
        <f t="shared" si="7"/>
        <v>5337 ELM ST,Houston,TX</v>
      </c>
      <c r="D2903" s="23" t="s">
        <v>4136</v>
      </c>
      <c r="E2903" s="23" t="s">
        <v>25</v>
      </c>
      <c r="F2903" s="23" t="s">
        <v>1388</v>
      </c>
      <c r="G2903" s="31" t="s">
        <v>287</v>
      </c>
      <c r="H2903" s="23" t="s">
        <v>28</v>
      </c>
      <c r="I2903" s="37" t="str">
        <f>VLOOKUP(H2903,'Flow Location'!$A$1:$B$21,2,FALSE)</f>
        <v>Storm Sewer (not contained)</v>
      </c>
      <c r="J2903" s="28">
        <v>228.0</v>
      </c>
      <c r="K2903" s="23" t="s">
        <v>29</v>
      </c>
      <c r="L2903" s="37" t="str">
        <f>VLOOKUP(K2903,'Structure type'!$A$1:$B$15,2,FALSE)</f>
        <v>Manhole</v>
      </c>
      <c r="M2903" s="23" t="s">
        <v>56</v>
      </c>
      <c r="N2903" s="23" t="str">
        <f>VLOOKUP(M2903,'Excursion Cause'!$A$1:$B$34,2,FALSE)</f>
        <v>Rags/Wipes</v>
      </c>
      <c r="O2903" s="29">
        <v>45152.0</v>
      </c>
      <c r="P2903" s="30">
        <v>0.3347222222222222</v>
      </c>
      <c r="Q2903" s="32">
        <v>45152.0</v>
      </c>
      <c r="R2903" s="30">
        <v>0.4930555555555556</v>
      </c>
      <c r="S2903" s="23">
        <v>1.0</v>
      </c>
      <c r="T2903" s="40" t="s">
        <v>3749</v>
      </c>
      <c r="U2903" s="6"/>
      <c r="V2903" s="6"/>
      <c r="W2903" s="35">
        <v>29.7126789</v>
      </c>
      <c r="X2903" s="35">
        <v>-95.4735828</v>
      </c>
      <c r="AB2903" s="33"/>
      <c r="AC2903" s="33"/>
      <c r="AD2903" s="33"/>
      <c r="AE2903" s="33"/>
      <c r="AF2903" s="33"/>
      <c r="AG2903" s="33"/>
      <c r="AH2903" s="33"/>
      <c r="AI2903" s="33"/>
      <c r="AJ2903" s="33"/>
      <c r="AK2903" s="33"/>
      <c r="AL2903" s="33"/>
      <c r="AM2903" s="33"/>
      <c r="AN2903" s="33"/>
      <c r="AO2903" s="33"/>
    </row>
    <row r="2904" ht="15.75" customHeight="1">
      <c r="A2904" s="23">
        <v>53006.0</v>
      </c>
      <c r="B2904" s="23">
        <v>2023.0</v>
      </c>
      <c r="C2904" s="36" t="str">
        <f t="shared" si="7"/>
        <v>6522 GAINESVILLE ST,Houston,TX</v>
      </c>
      <c r="D2904" s="23" t="s">
        <v>4137</v>
      </c>
      <c r="E2904" s="23" t="s">
        <v>25</v>
      </c>
      <c r="F2904" s="23" t="s">
        <v>1388</v>
      </c>
      <c r="G2904" s="31" t="s">
        <v>86</v>
      </c>
      <c r="H2904" s="23" t="s">
        <v>50</v>
      </c>
      <c r="I2904" s="37" t="str">
        <f>VLOOKUP(H2904,'Flow Location'!$A$1:$B$21,2,FALSE)</f>
        <v>Contained On Site, not within 5 ft. of Bayou/Surface Water/Drainage Ditch</v>
      </c>
      <c r="J2904" s="28">
        <v>0.0</v>
      </c>
      <c r="K2904" s="23" t="s">
        <v>45</v>
      </c>
      <c r="L2904" s="37" t="str">
        <f>VLOOKUP(K2904,'Structure type'!$A$1:$B$15,2,FALSE)</f>
        <v>City Cleanout</v>
      </c>
      <c r="M2904" s="23" t="s">
        <v>30</v>
      </c>
      <c r="N2904" s="23" t="str">
        <f>VLOOKUP(M2904,'Excursion Cause'!$A$1:$B$34,2,FALSE)</f>
        <v>Grease Blockage</v>
      </c>
      <c r="O2904" s="29">
        <v>45152.0</v>
      </c>
      <c r="P2904" s="30">
        <v>0.3972222222222222</v>
      </c>
      <c r="Q2904" s="32">
        <v>45152.0</v>
      </c>
      <c r="R2904" s="30">
        <v>0.39791666666666664</v>
      </c>
      <c r="S2904" s="23">
        <v>0.0</v>
      </c>
      <c r="T2904" s="40" t="s">
        <v>1473</v>
      </c>
      <c r="U2904" s="6"/>
      <c r="V2904" s="6"/>
      <c r="W2904" s="35">
        <v>29.7854146</v>
      </c>
      <c r="X2904" s="35">
        <v>-95.3043082</v>
      </c>
      <c r="AB2904" s="33"/>
      <c r="AC2904" s="33"/>
      <c r="AD2904" s="33"/>
      <c r="AE2904" s="33"/>
      <c r="AF2904" s="33"/>
      <c r="AG2904" s="33"/>
      <c r="AH2904" s="33"/>
      <c r="AI2904" s="33"/>
      <c r="AJ2904" s="33"/>
      <c r="AK2904" s="33"/>
      <c r="AL2904" s="33"/>
      <c r="AM2904" s="33"/>
      <c r="AN2904" s="33"/>
      <c r="AO2904" s="33"/>
    </row>
    <row r="2905" ht="15.75" customHeight="1">
      <c r="A2905" s="23">
        <v>53012.0</v>
      </c>
      <c r="B2905" s="23">
        <v>2023.0</v>
      </c>
      <c r="C2905" s="36" t="str">
        <f t="shared" si="7"/>
        <v>100 GLENBOROUGH DR,Houston,TX</v>
      </c>
      <c r="D2905" s="23" t="s">
        <v>1118</v>
      </c>
      <c r="E2905" s="23" t="s">
        <v>25</v>
      </c>
      <c r="F2905" s="23" t="s">
        <v>1388</v>
      </c>
      <c r="G2905" s="31" t="s">
        <v>393</v>
      </c>
      <c r="H2905" s="23" t="s">
        <v>28</v>
      </c>
      <c r="I2905" s="37" t="str">
        <f>VLOOKUP(H2905,'Flow Location'!$A$1:$B$21,2,FALSE)</f>
        <v>Storm Sewer (not contained)</v>
      </c>
      <c r="J2905" s="28">
        <v>665.0</v>
      </c>
      <c r="K2905" s="23" t="s">
        <v>29</v>
      </c>
      <c r="L2905" s="37" t="str">
        <f>VLOOKUP(K2905,'Structure type'!$A$1:$B$15,2,FALSE)</f>
        <v>Manhole</v>
      </c>
      <c r="M2905" s="23" t="s">
        <v>30</v>
      </c>
      <c r="N2905" s="23" t="str">
        <f>VLOOKUP(M2905,'Excursion Cause'!$A$1:$B$34,2,FALSE)</f>
        <v>Grease Blockage</v>
      </c>
      <c r="O2905" s="29">
        <v>45152.0</v>
      </c>
      <c r="P2905" s="30">
        <v>0.6784722222222223</v>
      </c>
      <c r="Q2905" s="32">
        <v>45152.0</v>
      </c>
      <c r="R2905" s="30">
        <v>0.7708333333333334</v>
      </c>
      <c r="S2905" s="23">
        <v>5.0</v>
      </c>
      <c r="T2905" s="40" t="s">
        <v>1462</v>
      </c>
      <c r="U2905" s="6"/>
      <c r="V2905" s="6"/>
      <c r="W2905" s="35">
        <v>29.9517699</v>
      </c>
      <c r="X2905" s="35">
        <v>-95.4196085999999</v>
      </c>
      <c r="AB2905" s="33"/>
      <c r="AC2905" s="33"/>
      <c r="AD2905" s="33"/>
      <c r="AE2905" s="33"/>
      <c r="AF2905" s="33"/>
      <c r="AG2905" s="33"/>
      <c r="AH2905" s="33"/>
      <c r="AI2905" s="33"/>
      <c r="AJ2905" s="33"/>
      <c r="AK2905" s="33"/>
      <c r="AL2905" s="33"/>
      <c r="AM2905" s="33"/>
      <c r="AN2905" s="33"/>
      <c r="AO2905" s="33"/>
    </row>
    <row r="2906" ht="15.75" customHeight="1">
      <c r="A2906" s="23">
        <v>53014.0</v>
      </c>
      <c r="B2906" s="23">
        <v>2023.0</v>
      </c>
      <c r="C2906" s="36" t="str">
        <f t="shared" si="7"/>
        <v>11406 SHARPCREST ST,Houston,TX</v>
      </c>
      <c r="D2906" s="23" t="s">
        <v>4138</v>
      </c>
      <c r="E2906" s="23" t="s">
        <v>25</v>
      </c>
      <c r="F2906" s="23" t="s">
        <v>1388</v>
      </c>
      <c r="G2906" s="31" t="s">
        <v>91</v>
      </c>
      <c r="H2906" s="23" t="s">
        <v>50</v>
      </c>
      <c r="I2906" s="37" t="str">
        <f>VLOOKUP(H2906,'Flow Location'!$A$1:$B$21,2,FALSE)</f>
        <v>Contained On Site, not within 5 ft. of Bayou/Surface Water/Drainage Ditch</v>
      </c>
      <c r="J2906" s="28">
        <v>0.0</v>
      </c>
      <c r="K2906" s="23" t="s">
        <v>198</v>
      </c>
      <c r="L2906" s="37" t="str">
        <f>VLOOKUP(K2906,'Structure type'!$A$1:$B$15,2,FALSE)</f>
        <v>Service Lateral</v>
      </c>
      <c r="M2906" s="23" t="s">
        <v>81</v>
      </c>
      <c r="N2906" s="23" t="str">
        <f>VLOOKUP(M2906,'Excursion Cause'!$A$1:$B$34,2,FALSE)</f>
        <v>Collection system structural failure</v>
      </c>
      <c r="O2906" s="29">
        <v>45153.0</v>
      </c>
      <c r="P2906" s="30">
        <v>0.4673611111111111</v>
      </c>
      <c r="Q2906" s="32">
        <v>45153.0</v>
      </c>
      <c r="R2906" s="30">
        <v>0.46805555555555556</v>
      </c>
      <c r="S2906" s="23">
        <v>0.0</v>
      </c>
      <c r="T2906" s="40" t="s">
        <v>118</v>
      </c>
      <c r="U2906" s="6"/>
      <c r="V2906" s="6"/>
      <c r="W2906" s="35">
        <v>29.6929021</v>
      </c>
      <c r="X2906" s="35">
        <v>-95.5801688999999</v>
      </c>
      <c r="AB2906" s="33"/>
      <c r="AC2906" s="33"/>
      <c r="AD2906" s="33"/>
      <c r="AE2906" s="33"/>
      <c r="AF2906" s="33"/>
      <c r="AG2906" s="33"/>
      <c r="AH2906" s="33"/>
      <c r="AI2906" s="33"/>
      <c r="AJ2906" s="33"/>
      <c r="AK2906" s="33"/>
      <c r="AL2906" s="33"/>
      <c r="AM2906" s="33"/>
      <c r="AN2906" s="33"/>
      <c r="AO2906" s="33"/>
    </row>
    <row r="2907" ht="15.75" customHeight="1">
      <c r="A2907" s="23">
        <v>53017.0</v>
      </c>
      <c r="B2907" s="23">
        <v>2023.0</v>
      </c>
      <c r="C2907" s="36" t="str">
        <f t="shared" si="7"/>
        <v>777 COOLWOOD DR,Houston,TX</v>
      </c>
      <c r="D2907" s="23" t="s">
        <v>1328</v>
      </c>
      <c r="E2907" s="23" t="s">
        <v>25</v>
      </c>
      <c r="F2907" s="23" t="s">
        <v>1388</v>
      </c>
      <c r="G2907" s="31" t="s">
        <v>656</v>
      </c>
      <c r="H2907" s="23" t="s">
        <v>28</v>
      </c>
      <c r="I2907" s="37" t="str">
        <f>VLOOKUP(H2907,'Flow Location'!$A$1:$B$21,2,FALSE)</f>
        <v>Storm Sewer (not contained)</v>
      </c>
      <c r="J2907" s="28">
        <v>400.0</v>
      </c>
      <c r="K2907" s="23" t="s">
        <v>29</v>
      </c>
      <c r="L2907" s="37" t="str">
        <f>VLOOKUP(K2907,'Structure type'!$A$1:$B$15,2,FALSE)</f>
        <v>Manhole</v>
      </c>
      <c r="M2907" s="23" t="s">
        <v>30</v>
      </c>
      <c r="N2907" s="23" t="str">
        <f>VLOOKUP(M2907,'Excursion Cause'!$A$1:$B$34,2,FALSE)</f>
        <v>Grease Blockage</v>
      </c>
      <c r="O2907" s="29">
        <v>45153.0</v>
      </c>
      <c r="P2907" s="30">
        <v>0.6284722222222222</v>
      </c>
      <c r="Q2907" s="32">
        <v>45153.0</v>
      </c>
      <c r="R2907" s="30">
        <v>0.7673611111111112</v>
      </c>
      <c r="S2907" s="23">
        <v>2.0</v>
      </c>
      <c r="T2907" s="40" t="s">
        <v>1462</v>
      </c>
      <c r="U2907" s="6"/>
      <c r="V2907" s="6"/>
      <c r="W2907" s="35">
        <v>29.776617</v>
      </c>
      <c r="X2907" s="35">
        <v>-95.2233541</v>
      </c>
      <c r="AB2907" s="33"/>
      <c r="AC2907" s="33"/>
      <c r="AD2907" s="33"/>
      <c r="AE2907" s="33"/>
      <c r="AF2907" s="33"/>
      <c r="AG2907" s="33"/>
      <c r="AH2907" s="33"/>
      <c r="AI2907" s="33"/>
      <c r="AJ2907" s="33"/>
      <c r="AK2907" s="33"/>
      <c r="AL2907" s="33"/>
      <c r="AM2907" s="33"/>
      <c r="AN2907" s="33"/>
      <c r="AO2907" s="33"/>
    </row>
    <row r="2908" ht="15.75" customHeight="1">
      <c r="A2908" s="23">
        <v>53018.0</v>
      </c>
      <c r="B2908" s="23">
        <v>2023.0</v>
      </c>
      <c r="C2908" s="36" t="str">
        <f t="shared" si="7"/>
        <v>5846 SOUTHINGTON ST,Houston,TX</v>
      </c>
      <c r="D2908" s="23" t="s">
        <v>4139</v>
      </c>
      <c r="E2908" s="23" t="s">
        <v>25</v>
      </c>
      <c r="F2908" s="23" t="s">
        <v>1388</v>
      </c>
      <c r="G2908" s="31" t="s">
        <v>120</v>
      </c>
      <c r="H2908" s="23" t="s">
        <v>50</v>
      </c>
      <c r="I2908" s="37" t="str">
        <f>VLOOKUP(H2908,'Flow Location'!$A$1:$B$21,2,FALSE)</f>
        <v>Contained On Site, not within 5 ft. of Bayou/Surface Water/Drainage Ditch</v>
      </c>
      <c r="J2908" s="28">
        <v>0.0</v>
      </c>
      <c r="K2908" s="23" t="s">
        <v>45</v>
      </c>
      <c r="L2908" s="37" t="str">
        <f>VLOOKUP(K2908,'Structure type'!$A$1:$B$15,2,FALSE)</f>
        <v>City Cleanout</v>
      </c>
      <c r="M2908" s="23" t="s">
        <v>52</v>
      </c>
      <c r="N2908" s="23" t="str">
        <f>VLOOKUP(M2908,'Excursion Cause'!$A$1:$B$34,2,FALSE)</f>
        <v>Collection system structural blockage</v>
      </c>
      <c r="O2908" s="29">
        <v>45153.0</v>
      </c>
      <c r="P2908" s="30">
        <v>0.7090277777777778</v>
      </c>
      <c r="Q2908" s="32">
        <v>45153.0</v>
      </c>
      <c r="R2908" s="30">
        <v>0.7097222222222223</v>
      </c>
      <c r="S2908" s="23">
        <v>0.0</v>
      </c>
      <c r="T2908" s="40" t="s">
        <v>3756</v>
      </c>
      <c r="U2908" s="6"/>
      <c r="V2908" s="6"/>
      <c r="W2908" s="35">
        <v>29.6800031</v>
      </c>
      <c r="X2908" s="35">
        <v>-95.3330242</v>
      </c>
      <c r="AB2908" s="33"/>
      <c r="AC2908" s="33"/>
      <c r="AD2908" s="33"/>
      <c r="AE2908" s="33"/>
      <c r="AF2908" s="33"/>
      <c r="AG2908" s="33"/>
      <c r="AH2908" s="33"/>
      <c r="AI2908" s="33"/>
      <c r="AJ2908" s="33"/>
      <c r="AK2908" s="33"/>
      <c r="AL2908" s="33"/>
      <c r="AM2908" s="33"/>
      <c r="AN2908" s="33"/>
      <c r="AO2908" s="33"/>
    </row>
    <row r="2909" ht="15.75" customHeight="1">
      <c r="A2909" s="23">
        <v>53020.0</v>
      </c>
      <c r="B2909" s="23">
        <v>2023.0</v>
      </c>
      <c r="C2909" s="36" t="str">
        <f t="shared" si="7"/>
        <v>10702 SAGEDOWNE LN,Houston,TX</v>
      </c>
      <c r="D2909" s="23" t="s">
        <v>4140</v>
      </c>
      <c r="E2909" s="23" t="s">
        <v>25</v>
      </c>
      <c r="F2909" s="23" t="s">
        <v>1388</v>
      </c>
      <c r="G2909" s="31" t="s">
        <v>477</v>
      </c>
      <c r="H2909" s="23" t="s">
        <v>50</v>
      </c>
      <c r="I2909" s="37" t="str">
        <f>VLOOKUP(H2909,'Flow Location'!$A$1:$B$21,2,FALSE)</f>
        <v>Contained On Site, not within 5 ft. of Bayou/Surface Water/Drainage Ditch</v>
      </c>
      <c r="J2909" s="28">
        <v>0.0</v>
      </c>
      <c r="K2909" s="23" t="s">
        <v>45</v>
      </c>
      <c r="L2909" s="37" t="str">
        <f>VLOOKUP(K2909,'Structure type'!$A$1:$B$15,2,FALSE)</f>
        <v>City Cleanout</v>
      </c>
      <c r="M2909" s="23" t="s">
        <v>56</v>
      </c>
      <c r="N2909" s="23" t="str">
        <f>VLOOKUP(M2909,'Excursion Cause'!$A$1:$B$34,2,FALSE)</f>
        <v>Rags/Wipes</v>
      </c>
      <c r="O2909" s="29">
        <v>45154.0</v>
      </c>
      <c r="P2909" s="30">
        <v>0.3840277777777778</v>
      </c>
      <c r="Q2909" s="32">
        <v>45154.0</v>
      </c>
      <c r="R2909" s="30">
        <v>0.38472222222222224</v>
      </c>
      <c r="S2909" s="23">
        <v>0.0</v>
      </c>
      <c r="T2909" s="40" t="s">
        <v>1473</v>
      </c>
      <c r="U2909" s="6"/>
      <c r="V2909" s="6"/>
      <c r="W2909" s="35">
        <v>29.5878024</v>
      </c>
      <c r="X2909" s="35">
        <v>-95.2221192</v>
      </c>
      <c r="AB2909" s="33"/>
      <c r="AC2909" s="33"/>
      <c r="AD2909" s="33"/>
      <c r="AE2909" s="33"/>
      <c r="AF2909" s="33"/>
      <c r="AG2909" s="33"/>
      <c r="AH2909" s="33"/>
      <c r="AI2909" s="33"/>
      <c r="AJ2909" s="33"/>
      <c r="AK2909" s="33"/>
      <c r="AL2909" s="33"/>
      <c r="AM2909" s="33"/>
      <c r="AN2909" s="33"/>
      <c r="AO2909" s="33"/>
    </row>
    <row r="2910" ht="15.75" customHeight="1">
      <c r="A2910" s="23">
        <v>53022.0</v>
      </c>
      <c r="B2910" s="23">
        <v>2023.0</v>
      </c>
      <c r="C2910" s="36" t="str">
        <f t="shared" si="7"/>
        <v>4444 MACGREGOR WAY,Houston,TX</v>
      </c>
      <c r="D2910" s="23" t="s">
        <v>4141</v>
      </c>
      <c r="E2910" s="23" t="s">
        <v>25</v>
      </c>
      <c r="F2910" s="23" t="s">
        <v>1388</v>
      </c>
      <c r="G2910" s="31" t="s">
        <v>238</v>
      </c>
      <c r="H2910" s="23" t="s">
        <v>28</v>
      </c>
      <c r="I2910" s="37" t="str">
        <f>VLOOKUP(H2910,'Flow Location'!$A$1:$B$21,2,FALSE)</f>
        <v>Storm Sewer (not contained)</v>
      </c>
      <c r="J2910" s="28">
        <v>250.0</v>
      </c>
      <c r="K2910" s="23" t="s">
        <v>29</v>
      </c>
      <c r="L2910" s="37" t="str">
        <f>VLOOKUP(K2910,'Structure type'!$A$1:$B$15,2,FALSE)</f>
        <v>Manhole</v>
      </c>
      <c r="M2910" s="23" t="s">
        <v>56</v>
      </c>
      <c r="N2910" s="23" t="str">
        <f>VLOOKUP(M2910,'Excursion Cause'!$A$1:$B$34,2,FALSE)</f>
        <v>Rags/Wipes</v>
      </c>
      <c r="O2910" s="29">
        <v>45154.0</v>
      </c>
      <c r="P2910" s="30">
        <v>0.5208333333333334</v>
      </c>
      <c r="Q2910" s="32">
        <v>45154.0</v>
      </c>
      <c r="R2910" s="30">
        <v>0.5902777777777778</v>
      </c>
      <c r="S2910" s="23">
        <v>2.0</v>
      </c>
      <c r="T2910" s="40" t="s">
        <v>1462</v>
      </c>
      <c r="U2910" s="6"/>
      <c r="V2910" s="6"/>
      <c r="W2910" s="35">
        <v>29.7113827</v>
      </c>
      <c r="X2910" s="35">
        <v>-95.3432192</v>
      </c>
      <c r="AB2910" s="33"/>
      <c r="AC2910" s="33"/>
      <c r="AD2910" s="33"/>
      <c r="AE2910" s="33"/>
      <c r="AF2910" s="33"/>
      <c r="AG2910" s="33"/>
      <c r="AH2910" s="33"/>
      <c r="AI2910" s="33"/>
      <c r="AJ2910" s="33"/>
      <c r="AK2910" s="33"/>
      <c r="AL2910" s="33"/>
      <c r="AM2910" s="33"/>
      <c r="AN2910" s="33"/>
      <c r="AO2910" s="33"/>
    </row>
    <row r="2911" ht="15.75" customHeight="1">
      <c r="A2911" s="23">
        <v>53029.0</v>
      </c>
      <c r="B2911" s="23">
        <v>2023.0</v>
      </c>
      <c r="C2911" s="36" t="str">
        <f t="shared" si="7"/>
        <v>7040 AIRLINE DR,Houston,TX</v>
      </c>
      <c r="D2911" s="23" t="s">
        <v>4142</v>
      </c>
      <c r="E2911" s="23" t="s">
        <v>25</v>
      </c>
      <c r="F2911" s="23" t="s">
        <v>1388</v>
      </c>
      <c r="G2911" s="31" t="s">
        <v>275</v>
      </c>
      <c r="H2911" s="23" t="s">
        <v>44</v>
      </c>
      <c r="I2911" s="37" t="str">
        <f>VLOOKUP(H2911,'Flow Location'!$A$1:$B$21,2,FALSE)</f>
        <v>Bayou/surface water/drainage ditch</v>
      </c>
      <c r="J2911" s="28">
        <v>0.0</v>
      </c>
      <c r="K2911" s="23" t="s">
        <v>290</v>
      </c>
      <c r="L2911" s="37" t="str">
        <f>VLOOKUP(K2911,'Structure type'!$A$1:$B$15,2,FALSE)</f>
        <v>Gravity Main</v>
      </c>
      <c r="M2911" s="23" t="s">
        <v>81</v>
      </c>
      <c r="N2911" s="23" t="str">
        <f>VLOOKUP(M2911,'Excursion Cause'!$A$1:$B$34,2,FALSE)</f>
        <v>Collection system structural failure</v>
      </c>
      <c r="O2911" s="29">
        <v>45155.0</v>
      </c>
      <c r="P2911" s="30">
        <v>0.6291666666666667</v>
      </c>
      <c r="Q2911" s="32">
        <v>45155.0</v>
      </c>
      <c r="R2911" s="30">
        <v>0.6298611111111111</v>
      </c>
      <c r="S2911" s="23">
        <v>0.0</v>
      </c>
      <c r="T2911" s="40" t="s">
        <v>3745</v>
      </c>
      <c r="U2911" s="6"/>
      <c r="V2911" s="6"/>
      <c r="W2911" s="35">
        <v>29.8641883</v>
      </c>
      <c r="X2911" s="35">
        <v>-95.3842011</v>
      </c>
      <c r="AB2911" s="33"/>
      <c r="AC2911" s="33"/>
      <c r="AD2911" s="33"/>
      <c r="AE2911" s="33"/>
      <c r="AF2911" s="33"/>
      <c r="AG2911" s="33"/>
      <c r="AH2911" s="33"/>
      <c r="AI2911" s="33"/>
      <c r="AJ2911" s="33"/>
      <c r="AK2911" s="33"/>
      <c r="AL2911" s="33"/>
      <c r="AM2911" s="33"/>
      <c r="AN2911" s="33"/>
      <c r="AO2911" s="33"/>
    </row>
    <row r="2912" ht="15.75" customHeight="1">
      <c r="A2912" s="23">
        <v>53031.0</v>
      </c>
      <c r="B2912" s="23">
        <v>2023.0</v>
      </c>
      <c r="C2912" s="36" t="str">
        <f t="shared" si="7"/>
        <v>8800 GUSTINE LN,Houston,TX</v>
      </c>
      <c r="D2912" s="23" t="s">
        <v>2896</v>
      </c>
      <c r="E2912" s="23" t="s">
        <v>25</v>
      </c>
      <c r="F2912" s="23" t="s">
        <v>1388</v>
      </c>
      <c r="G2912" s="31" t="s">
        <v>214</v>
      </c>
      <c r="H2912" s="23" t="s">
        <v>28</v>
      </c>
      <c r="I2912" s="37" t="str">
        <f>VLOOKUP(H2912,'Flow Location'!$A$1:$B$21,2,FALSE)</f>
        <v>Storm Sewer (not contained)</v>
      </c>
      <c r="J2912" s="28">
        <v>348.0</v>
      </c>
      <c r="K2912" s="23" t="s">
        <v>29</v>
      </c>
      <c r="L2912" s="37" t="str">
        <f>VLOOKUP(K2912,'Structure type'!$A$1:$B$15,2,FALSE)</f>
        <v>Manhole</v>
      </c>
      <c r="M2912" s="23" t="s">
        <v>30</v>
      </c>
      <c r="N2912" s="23" t="str">
        <f>VLOOKUP(M2912,'Excursion Cause'!$A$1:$B$34,2,FALSE)</f>
        <v>Grease Blockage</v>
      </c>
      <c r="O2912" s="29">
        <v>45155.0</v>
      </c>
      <c r="P2912" s="30">
        <v>0.6861111111111111</v>
      </c>
      <c r="Q2912" s="32">
        <v>45155.0</v>
      </c>
      <c r="R2912" s="30">
        <v>0.7465277777777778</v>
      </c>
      <c r="S2912" s="23">
        <v>4.0</v>
      </c>
      <c r="T2912" s="40" t="s">
        <v>3749</v>
      </c>
      <c r="U2912" s="6"/>
      <c r="V2912" s="6"/>
      <c r="W2912" s="35">
        <v>29.6696517</v>
      </c>
      <c r="X2912" s="35">
        <v>-95.5357600999999</v>
      </c>
      <c r="AB2912" s="33"/>
      <c r="AC2912" s="33"/>
      <c r="AD2912" s="33"/>
      <c r="AE2912" s="33"/>
      <c r="AF2912" s="33"/>
      <c r="AG2912" s="33"/>
      <c r="AH2912" s="33"/>
      <c r="AI2912" s="33"/>
      <c r="AJ2912" s="33"/>
      <c r="AK2912" s="33"/>
      <c r="AL2912" s="33"/>
      <c r="AM2912" s="33"/>
      <c r="AN2912" s="33"/>
      <c r="AO2912" s="33"/>
    </row>
    <row r="2913" ht="15.75" customHeight="1">
      <c r="A2913" s="23">
        <v>53034.0</v>
      </c>
      <c r="B2913" s="23">
        <v>2023.0</v>
      </c>
      <c r="C2913" s="36" t="str">
        <f t="shared" si="7"/>
        <v>275 GELLHORN DR,Houston,TX</v>
      </c>
      <c r="D2913" s="23" t="s">
        <v>4143</v>
      </c>
      <c r="E2913" s="23" t="s">
        <v>25</v>
      </c>
      <c r="F2913" s="23" t="s">
        <v>1388</v>
      </c>
      <c r="G2913" s="31" t="s">
        <v>656</v>
      </c>
      <c r="H2913" s="23" t="s">
        <v>50</v>
      </c>
      <c r="I2913" s="37" t="str">
        <f>VLOOKUP(H2913,'Flow Location'!$A$1:$B$21,2,FALSE)</f>
        <v>Contained On Site, not within 5 ft. of Bayou/Surface Water/Drainage Ditch</v>
      </c>
      <c r="J2913" s="28">
        <v>26700.0</v>
      </c>
      <c r="K2913" s="23" t="s">
        <v>190</v>
      </c>
      <c r="L2913" s="37" t="str">
        <f>VLOOKUP(K2913,'Structure type'!$A$1:$B$15,2,FALSE)</f>
        <v>Force Main</v>
      </c>
      <c r="M2913" s="23" t="s">
        <v>81</v>
      </c>
      <c r="N2913" s="23" t="str">
        <f>VLOOKUP(M2913,'Excursion Cause'!$A$1:$B$34,2,FALSE)</f>
        <v>Collection system structural failure</v>
      </c>
      <c r="O2913" s="29">
        <v>45156.0</v>
      </c>
      <c r="P2913" s="30">
        <v>0.26458333333333334</v>
      </c>
      <c r="Q2913" s="32">
        <v>45162.0</v>
      </c>
      <c r="R2913" s="30">
        <v>0.6395833333333333</v>
      </c>
      <c r="S2913" s="23">
        <v>3.0</v>
      </c>
      <c r="T2913" s="40" t="s">
        <v>4144</v>
      </c>
      <c r="U2913" s="6"/>
      <c r="V2913" s="6"/>
      <c r="W2913" s="35">
        <v>29.785459</v>
      </c>
      <c r="X2913" s="35">
        <v>-95.2605131999999</v>
      </c>
      <c r="AB2913" s="33"/>
      <c r="AC2913" s="33"/>
      <c r="AD2913" s="33"/>
      <c r="AE2913" s="33"/>
      <c r="AF2913" s="33"/>
      <c r="AG2913" s="33"/>
      <c r="AH2913" s="33"/>
      <c r="AI2913" s="33"/>
      <c r="AJ2913" s="33"/>
      <c r="AK2913" s="33"/>
      <c r="AL2913" s="33"/>
      <c r="AM2913" s="33"/>
      <c r="AN2913" s="33"/>
      <c r="AO2913" s="33"/>
    </row>
    <row r="2914" ht="15.75" customHeight="1">
      <c r="A2914" s="23">
        <v>53035.0</v>
      </c>
      <c r="B2914" s="23">
        <v>2023.0</v>
      </c>
      <c r="C2914" s="36" t="str">
        <f t="shared" si="7"/>
        <v>702 40TH 1/2 ST,Houston,TX</v>
      </c>
      <c r="D2914" s="23" t="s">
        <v>4145</v>
      </c>
      <c r="E2914" s="23" t="s">
        <v>25</v>
      </c>
      <c r="F2914" s="23" t="s">
        <v>1388</v>
      </c>
      <c r="G2914" s="31" t="s">
        <v>653</v>
      </c>
      <c r="H2914" s="23" t="s">
        <v>50</v>
      </c>
      <c r="I2914" s="37" t="str">
        <f>VLOOKUP(H2914,'Flow Location'!$A$1:$B$21,2,FALSE)</f>
        <v>Contained On Site, not within 5 ft. of Bayou/Surface Water/Drainage Ditch</v>
      </c>
      <c r="J2914" s="28">
        <v>0.0</v>
      </c>
      <c r="K2914" s="23" t="s">
        <v>198</v>
      </c>
      <c r="L2914" s="37" t="str">
        <f>VLOOKUP(K2914,'Structure type'!$A$1:$B$15,2,FALSE)</f>
        <v>Service Lateral</v>
      </c>
      <c r="M2914" s="23" t="s">
        <v>81</v>
      </c>
      <c r="N2914" s="23" t="str">
        <f>VLOOKUP(M2914,'Excursion Cause'!$A$1:$B$34,2,FALSE)</f>
        <v>Collection system structural failure</v>
      </c>
      <c r="O2914" s="29">
        <v>45156.0</v>
      </c>
      <c r="P2914" s="30">
        <v>0.6423611111111112</v>
      </c>
      <c r="Q2914" s="32">
        <v>45156.0</v>
      </c>
      <c r="R2914" s="30">
        <v>0.6430555555555556</v>
      </c>
      <c r="S2914" s="23">
        <v>0.0</v>
      </c>
      <c r="T2914" s="40" t="s">
        <v>118</v>
      </c>
      <c r="U2914" s="6"/>
      <c r="V2914" s="6"/>
      <c r="W2914" s="35">
        <v>29.8227283</v>
      </c>
      <c r="X2914" s="35">
        <v>-95.3912148</v>
      </c>
      <c r="AB2914" s="33"/>
      <c r="AC2914" s="33"/>
      <c r="AD2914" s="33"/>
      <c r="AE2914" s="33"/>
      <c r="AF2914" s="33"/>
      <c r="AG2914" s="33"/>
      <c r="AH2914" s="33"/>
      <c r="AI2914" s="33"/>
      <c r="AJ2914" s="33"/>
      <c r="AK2914" s="33"/>
      <c r="AL2914" s="33"/>
      <c r="AM2914" s="33"/>
      <c r="AN2914" s="33"/>
      <c r="AO2914" s="33"/>
    </row>
    <row r="2915" ht="15.75" customHeight="1">
      <c r="A2915" s="23">
        <v>53038.0</v>
      </c>
      <c r="B2915" s="23">
        <v>2023.0</v>
      </c>
      <c r="C2915" s="36" t="str">
        <f t="shared" si="7"/>
        <v>1270 MORRIS ST,Houston,TX</v>
      </c>
      <c r="D2915" s="23" t="s">
        <v>4146</v>
      </c>
      <c r="E2915" s="23" t="s">
        <v>25</v>
      </c>
      <c r="F2915" s="23" t="s">
        <v>1388</v>
      </c>
      <c r="G2915" s="31" t="s">
        <v>161</v>
      </c>
      <c r="H2915" s="23" t="s">
        <v>50</v>
      </c>
      <c r="I2915" s="37" t="str">
        <f>VLOOKUP(H2915,'Flow Location'!$A$1:$B$21,2,FALSE)</f>
        <v>Contained On Site, not within 5 ft. of Bayou/Surface Water/Drainage Ditch</v>
      </c>
      <c r="J2915" s="28">
        <v>0.0</v>
      </c>
      <c r="K2915" s="23" t="s">
        <v>198</v>
      </c>
      <c r="L2915" s="37" t="str">
        <f>VLOOKUP(K2915,'Structure type'!$A$1:$B$15,2,FALSE)</f>
        <v>Service Lateral</v>
      </c>
      <c r="M2915" s="23" t="s">
        <v>52</v>
      </c>
      <c r="N2915" s="23" t="str">
        <f>VLOOKUP(M2915,'Excursion Cause'!$A$1:$B$34,2,FALSE)</f>
        <v>Collection system structural blockage</v>
      </c>
      <c r="O2915" s="29">
        <v>45156.0</v>
      </c>
      <c r="P2915" s="30">
        <v>0.3888888888888889</v>
      </c>
      <c r="Q2915" s="32">
        <v>45157.0</v>
      </c>
      <c r="R2915" s="30">
        <v>0.7756944444444445</v>
      </c>
      <c r="S2915" s="23">
        <v>0.0</v>
      </c>
      <c r="T2915" s="40" t="s">
        <v>118</v>
      </c>
      <c r="U2915" s="6"/>
      <c r="V2915" s="6"/>
      <c r="W2915" s="35">
        <v>29.7841239</v>
      </c>
      <c r="X2915" s="35">
        <v>-95.3553369999999</v>
      </c>
      <c r="AB2915" s="33"/>
      <c r="AC2915" s="33"/>
      <c r="AD2915" s="33"/>
      <c r="AE2915" s="33"/>
      <c r="AF2915" s="33"/>
      <c r="AG2915" s="33"/>
      <c r="AH2915" s="33"/>
      <c r="AI2915" s="33"/>
      <c r="AJ2915" s="33"/>
      <c r="AK2915" s="33"/>
      <c r="AL2915" s="33"/>
      <c r="AM2915" s="33"/>
      <c r="AN2915" s="33"/>
      <c r="AO2915" s="33"/>
    </row>
    <row r="2916" ht="15.75" customHeight="1">
      <c r="A2916" s="23">
        <v>53040.0</v>
      </c>
      <c r="B2916" s="23">
        <v>2023.0</v>
      </c>
      <c r="C2916" s="36" t="str">
        <f t="shared" si="7"/>
        <v>3406 BAYOU DR,Houston,TX</v>
      </c>
      <c r="D2916" s="23" t="s">
        <v>4147</v>
      </c>
      <c r="E2916" s="23" t="s">
        <v>25</v>
      </c>
      <c r="F2916" s="23" t="s">
        <v>1388</v>
      </c>
      <c r="G2916" s="31" t="s">
        <v>653</v>
      </c>
      <c r="H2916" s="23" t="s">
        <v>50</v>
      </c>
      <c r="I2916" s="37" t="str">
        <f>VLOOKUP(H2916,'Flow Location'!$A$1:$B$21,2,FALSE)</f>
        <v>Contained On Site, not within 5 ft. of Bayou/Surface Water/Drainage Ditch</v>
      </c>
      <c r="J2916" s="28">
        <v>0.0</v>
      </c>
      <c r="K2916" s="23" t="s">
        <v>45</v>
      </c>
      <c r="L2916" s="37" t="str">
        <f>VLOOKUP(K2916,'Structure type'!$A$1:$B$15,2,FALSE)</f>
        <v>City Cleanout</v>
      </c>
      <c r="M2916" s="23" t="s">
        <v>52</v>
      </c>
      <c r="N2916" s="23" t="str">
        <f>VLOOKUP(M2916,'Excursion Cause'!$A$1:$B$34,2,FALSE)</f>
        <v>Collection system structural blockage</v>
      </c>
      <c r="O2916" s="29">
        <v>45158.0</v>
      </c>
      <c r="P2916" s="30">
        <v>0.3638888888888889</v>
      </c>
      <c r="Q2916" s="32">
        <v>45158.0</v>
      </c>
      <c r="R2916" s="30">
        <v>0.3645833333333333</v>
      </c>
      <c r="S2916" s="23">
        <v>0.0</v>
      </c>
      <c r="T2916" s="40" t="s">
        <v>3756</v>
      </c>
      <c r="U2916" s="6"/>
      <c r="V2916" s="6"/>
      <c r="W2916" s="35">
        <v>29.8176271</v>
      </c>
      <c r="X2916" s="35">
        <v>-95.3786397</v>
      </c>
      <c r="AB2916" s="33"/>
      <c r="AC2916" s="33"/>
      <c r="AD2916" s="33"/>
      <c r="AE2916" s="33"/>
      <c r="AF2916" s="33"/>
      <c r="AG2916" s="33"/>
      <c r="AH2916" s="33"/>
      <c r="AI2916" s="33"/>
      <c r="AJ2916" s="33"/>
      <c r="AK2916" s="33"/>
      <c r="AL2916" s="33"/>
      <c r="AM2916" s="33"/>
      <c r="AN2916" s="33"/>
      <c r="AO2916" s="33"/>
    </row>
    <row r="2917" ht="15.75" customHeight="1">
      <c r="A2917" s="23">
        <v>53043.0</v>
      </c>
      <c r="B2917" s="23">
        <v>2023.0</v>
      </c>
      <c r="C2917" s="36" t="str">
        <f t="shared" si="7"/>
        <v>9002 STERLINGSHIRE ST,Houston,TX</v>
      </c>
      <c r="D2917" s="23" t="s">
        <v>2771</v>
      </c>
      <c r="E2917" s="23" t="s">
        <v>25</v>
      </c>
      <c r="F2917" s="23" t="s">
        <v>1388</v>
      </c>
      <c r="G2917" s="31" t="s">
        <v>387</v>
      </c>
      <c r="H2917" s="23" t="s">
        <v>28</v>
      </c>
      <c r="I2917" s="37" t="str">
        <f>VLOOKUP(H2917,'Flow Location'!$A$1:$B$21,2,FALSE)</f>
        <v>Storm Sewer (not contained)</v>
      </c>
      <c r="J2917" s="28">
        <v>862.0</v>
      </c>
      <c r="K2917" s="23" t="s">
        <v>29</v>
      </c>
      <c r="L2917" s="37" t="str">
        <f>VLOOKUP(K2917,'Structure type'!$A$1:$B$15,2,FALSE)</f>
        <v>Manhole</v>
      </c>
      <c r="M2917" s="23" t="s">
        <v>30</v>
      </c>
      <c r="N2917" s="23" t="str">
        <f>VLOOKUP(M2917,'Excursion Cause'!$A$1:$B$34,2,FALSE)</f>
        <v>Grease Blockage</v>
      </c>
      <c r="O2917" s="29">
        <v>45158.0</v>
      </c>
      <c r="P2917" s="30">
        <v>0.36736111111111114</v>
      </c>
      <c r="Q2917" s="32">
        <v>45158.0</v>
      </c>
      <c r="R2917" s="30">
        <v>0.6666666666666666</v>
      </c>
      <c r="S2917" s="23">
        <v>2.0</v>
      </c>
      <c r="T2917" s="40" t="s">
        <v>118</v>
      </c>
      <c r="U2917" s="6"/>
      <c r="V2917" s="6"/>
      <c r="W2917" s="35">
        <v>29.85408</v>
      </c>
      <c r="X2917" s="35">
        <v>-95.258461</v>
      </c>
      <c r="AB2917" s="33"/>
      <c r="AC2917" s="33"/>
      <c r="AD2917" s="33"/>
      <c r="AE2917" s="33"/>
      <c r="AF2917" s="33"/>
      <c r="AG2917" s="33"/>
      <c r="AH2917" s="33"/>
      <c r="AI2917" s="33"/>
      <c r="AJ2917" s="33"/>
      <c r="AK2917" s="33"/>
      <c r="AL2917" s="33"/>
      <c r="AM2917" s="33"/>
      <c r="AN2917" s="33"/>
      <c r="AO2917" s="33"/>
    </row>
    <row r="2918">
      <c r="A2918" s="23">
        <v>53046.0</v>
      </c>
      <c r="B2918" s="23">
        <v>2023.0</v>
      </c>
      <c r="C2918" s="36" t="str">
        <f t="shared" si="7"/>
        <v>6550 HILLCROFT AVE,Houston,TX</v>
      </c>
      <c r="D2918" s="23" t="s">
        <v>4148</v>
      </c>
      <c r="E2918" s="23" t="s">
        <v>25</v>
      </c>
      <c r="F2918" s="23" t="s">
        <v>1388</v>
      </c>
      <c r="G2918" s="31" t="s">
        <v>287</v>
      </c>
      <c r="H2918" s="23" t="s">
        <v>28</v>
      </c>
      <c r="I2918" s="37" t="str">
        <f>VLOOKUP(H2918,'Flow Location'!$A$1:$B$21,2,FALSE)</f>
        <v>Storm Sewer (not contained)</v>
      </c>
      <c r="J2918" s="28">
        <v>351.0</v>
      </c>
      <c r="K2918" s="23" t="s">
        <v>29</v>
      </c>
      <c r="L2918" s="37" t="str">
        <f>VLOOKUP(K2918,'Structure type'!$A$1:$B$15,2,FALSE)</f>
        <v>Manhole</v>
      </c>
      <c r="M2918" s="23" t="s">
        <v>30</v>
      </c>
      <c r="N2918" s="23" t="str">
        <f>VLOOKUP(M2918,'Excursion Cause'!$A$1:$B$34,2,FALSE)</f>
        <v>Grease Blockage</v>
      </c>
      <c r="O2918" s="29">
        <v>45158.0</v>
      </c>
      <c r="P2918" s="30">
        <v>0.39791666666666664</v>
      </c>
      <c r="Q2918" s="32">
        <v>45158.0</v>
      </c>
      <c r="R2918" s="30">
        <v>0.4791666666666667</v>
      </c>
      <c r="S2918" s="23">
        <v>3.0</v>
      </c>
      <c r="T2918" s="40" t="s">
        <v>3749</v>
      </c>
      <c r="U2918" s="6"/>
      <c r="V2918" s="6"/>
      <c r="W2918" s="35">
        <v>29.7096893</v>
      </c>
      <c r="X2918" s="35">
        <v>-95.4942142</v>
      </c>
      <c r="AB2918" s="33"/>
      <c r="AC2918" s="33"/>
      <c r="AD2918" s="33"/>
      <c r="AE2918" s="33"/>
      <c r="AF2918" s="33"/>
      <c r="AG2918" s="33"/>
      <c r="AH2918" s="33"/>
      <c r="AI2918" s="33"/>
      <c r="AJ2918" s="33"/>
      <c r="AK2918" s="33"/>
      <c r="AL2918" s="33"/>
      <c r="AM2918" s="33"/>
      <c r="AN2918" s="33"/>
      <c r="AO2918" s="33"/>
    </row>
    <row r="2919">
      <c r="A2919" s="23">
        <v>53047.0</v>
      </c>
      <c r="B2919" s="23">
        <v>2023.0</v>
      </c>
      <c r="C2919" s="36" t="str">
        <f t="shared" si="7"/>
        <v>6602 KELLER ST,Houston,TX</v>
      </c>
      <c r="D2919" s="23" t="s">
        <v>4149</v>
      </c>
      <c r="E2919" s="23" t="s">
        <v>25</v>
      </c>
      <c r="F2919" s="23" t="s">
        <v>1388</v>
      </c>
      <c r="G2919" s="31" t="s">
        <v>35</v>
      </c>
      <c r="H2919" s="23" t="s">
        <v>50</v>
      </c>
      <c r="I2919" s="37" t="str">
        <f>VLOOKUP(H2919,'Flow Location'!$A$1:$B$21,2,FALSE)</f>
        <v>Contained On Site, not within 5 ft. of Bayou/Surface Water/Drainage Ditch</v>
      </c>
      <c r="J2919" s="28">
        <v>0.0</v>
      </c>
      <c r="K2919" s="23" t="s">
        <v>29</v>
      </c>
      <c r="L2919" s="37" t="str">
        <f>VLOOKUP(K2919,'Structure type'!$A$1:$B$15,2,FALSE)</f>
        <v>Manhole</v>
      </c>
      <c r="M2919" s="23" t="s">
        <v>30</v>
      </c>
      <c r="N2919" s="23" t="str">
        <f>VLOOKUP(M2919,'Excursion Cause'!$A$1:$B$34,2,FALSE)</f>
        <v>Grease Blockage</v>
      </c>
      <c r="O2919" s="29">
        <v>45158.0</v>
      </c>
      <c r="P2919" s="30">
        <v>0.41805555555555557</v>
      </c>
      <c r="Q2919" s="32">
        <v>45158.0</v>
      </c>
      <c r="R2919" s="30">
        <v>0.41875</v>
      </c>
      <c r="S2919" s="23">
        <v>0.0</v>
      </c>
      <c r="T2919" s="40" t="s">
        <v>1462</v>
      </c>
      <c r="U2919" s="6"/>
      <c r="V2919" s="6"/>
      <c r="W2919" s="35">
        <v>29.7056746</v>
      </c>
      <c r="X2919" s="35">
        <v>-95.3004697</v>
      </c>
      <c r="AB2919" s="33"/>
      <c r="AC2919" s="33"/>
      <c r="AD2919" s="33"/>
      <c r="AE2919" s="33"/>
      <c r="AF2919" s="33"/>
      <c r="AG2919" s="33"/>
      <c r="AH2919" s="33"/>
      <c r="AI2919" s="33"/>
      <c r="AJ2919" s="33"/>
      <c r="AK2919" s="33"/>
      <c r="AL2919" s="33"/>
      <c r="AM2919" s="33"/>
      <c r="AN2919" s="33"/>
      <c r="AO2919" s="33"/>
    </row>
    <row r="2920" ht="15.75" customHeight="1">
      <c r="A2920" s="23">
        <v>53048.0</v>
      </c>
      <c r="B2920" s="23">
        <v>2023.0</v>
      </c>
      <c r="C2920" s="36" t="str">
        <f t="shared" si="7"/>
        <v>3000 HIGHWAY 6,Houston,TX</v>
      </c>
      <c r="D2920" s="23" t="s">
        <v>4150</v>
      </c>
      <c r="E2920" s="23" t="s">
        <v>25</v>
      </c>
      <c r="F2920" s="23" t="s">
        <v>1388</v>
      </c>
      <c r="G2920" s="31" t="s">
        <v>313</v>
      </c>
      <c r="H2920" s="23" t="s">
        <v>50</v>
      </c>
      <c r="I2920" s="37" t="str">
        <f>VLOOKUP(H2920,'Flow Location'!$A$1:$B$21,2,FALSE)</f>
        <v>Contained On Site, not within 5 ft. of Bayou/Surface Water/Drainage Ditch</v>
      </c>
      <c r="J2920" s="28">
        <v>354.0</v>
      </c>
      <c r="K2920" s="23" t="s">
        <v>29</v>
      </c>
      <c r="L2920" s="37" t="str">
        <f>VLOOKUP(K2920,'Structure type'!$A$1:$B$15,2,FALSE)</f>
        <v>Manhole</v>
      </c>
      <c r="M2920" s="23" t="s">
        <v>30</v>
      </c>
      <c r="N2920" s="23" t="str">
        <f>VLOOKUP(M2920,'Excursion Cause'!$A$1:$B$34,2,FALSE)</f>
        <v>Grease Blockage</v>
      </c>
      <c r="O2920" s="29">
        <v>45158.0</v>
      </c>
      <c r="P2920" s="30">
        <v>0.4666666666666667</v>
      </c>
      <c r="Q2920" s="32">
        <v>45158.0</v>
      </c>
      <c r="R2920" s="30">
        <v>0.5895833333333333</v>
      </c>
      <c r="S2920" s="23">
        <v>2.0</v>
      </c>
      <c r="T2920" s="40" t="s">
        <v>3749</v>
      </c>
      <c r="U2920" s="6"/>
      <c r="V2920" s="6"/>
      <c r="W2920" s="35">
        <v>29.726313</v>
      </c>
      <c r="X2920" s="35">
        <v>-95.6445965</v>
      </c>
      <c r="AB2920" s="33"/>
      <c r="AC2920" s="33"/>
      <c r="AD2920" s="33"/>
      <c r="AE2920" s="33"/>
      <c r="AF2920" s="33"/>
      <c r="AG2920" s="33"/>
      <c r="AH2920" s="33"/>
      <c r="AI2920" s="33"/>
      <c r="AJ2920" s="33"/>
      <c r="AK2920" s="33"/>
      <c r="AL2920" s="33"/>
      <c r="AM2920" s="33"/>
      <c r="AN2920" s="33"/>
      <c r="AO2920" s="33"/>
    </row>
    <row r="2921" ht="15.75" customHeight="1">
      <c r="A2921" s="23">
        <v>53063.0</v>
      </c>
      <c r="B2921" s="23">
        <v>2023.0</v>
      </c>
      <c r="C2921" s="36" t="str">
        <f t="shared" si="7"/>
        <v>4102 MANGUM RD,Houston,TX</v>
      </c>
      <c r="D2921" s="23" t="s">
        <v>4151</v>
      </c>
      <c r="E2921" s="23" t="s">
        <v>25</v>
      </c>
      <c r="F2921" s="23" t="s">
        <v>1388</v>
      </c>
      <c r="G2921" s="31" t="s">
        <v>76</v>
      </c>
      <c r="H2921" s="23" t="s">
        <v>50</v>
      </c>
      <c r="I2921" s="37" t="str">
        <f>VLOOKUP(H2921,'Flow Location'!$A$1:$B$21,2,FALSE)</f>
        <v>Contained On Site, not within 5 ft. of Bayou/Surface Water/Drainage Ditch</v>
      </c>
      <c r="J2921" s="28">
        <v>0.0</v>
      </c>
      <c r="K2921" s="23" t="s">
        <v>45</v>
      </c>
      <c r="L2921" s="37" t="str">
        <f>VLOOKUP(K2921,'Structure type'!$A$1:$B$15,2,FALSE)</f>
        <v>City Cleanout</v>
      </c>
      <c r="M2921" s="23" t="s">
        <v>56</v>
      </c>
      <c r="N2921" s="23" t="str">
        <f>VLOOKUP(M2921,'Excursion Cause'!$A$1:$B$34,2,FALSE)</f>
        <v>Rags/Wipes</v>
      </c>
      <c r="O2921" s="29">
        <v>45160.0</v>
      </c>
      <c r="P2921" s="30">
        <v>0.7222222222222222</v>
      </c>
      <c r="Q2921" s="32">
        <v>45160.0</v>
      </c>
      <c r="R2921" s="30">
        <v>0.7229166666666667</v>
      </c>
      <c r="S2921" s="23">
        <v>0.0</v>
      </c>
      <c r="T2921" s="40" t="s">
        <v>1436</v>
      </c>
      <c r="U2921" s="6"/>
      <c r="V2921" s="6"/>
      <c r="W2921" s="35">
        <v>29.8279639</v>
      </c>
      <c r="X2921" s="35">
        <v>-95.4614402999999</v>
      </c>
      <c r="AB2921" s="33"/>
      <c r="AC2921" s="33"/>
      <c r="AD2921" s="33"/>
      <c r="AE2921" s="33"/>
      <c r="AF2921" s="33"/>
      <c r="AG2921" s="33"/>
      <c r="AH2921" s="33"/>
      <c r="AI2921" s="33"/>
      <c r="AJ2921" s="33"/>
      <c r="AK2921" s="33"/>
      <c r="AL2921" s="33"/>
      <c r="AM2921" s="33"/>
      <c r="AN2921" s="33"/>
      <c r="AO2921" s="33"/>
    </row>
    <row r="2922" ht="15.75" customHeight="1">
      <c r="A2922" s="23">
        <v>53074.0</v>
      </c>
      <c r="B2922" s="23">
        <v>2023.0</v>
      </c>
      <c r="C2922" s="36" t="str">
        <f t="shared" si="7"/>
        <v>4410 MACGREGOR WAY,Houston,TX</v>
      </c>
      <c r="D2922" s="23" t="s">
        <v>4152</v>
      </c>
      <c r="E2922" s="23" t="s">
        <v>25</v>
      </c>
      <c r="F2922" s="23" t="s">
        <v>1388</v>
      </c>
      <c r="G2922" s="31" t="s">
        <v>238</v>
      </c>
      <c r="H2922" s="23" t="s">
        <v>28</v>
      </c>
      <c r="I2922" s="37" t="str">
        <f>VLOOKUP(H2922,'Flow Location'!$A$1:$B$21,2,FALSE)</f>
        <v>Storm Sewer (not contained)</v>
      </c>
      <c r="J2922" s="28">
        <v>352.0</v>
      </c>
      <c r="K2922" s="23" t="s">
        <v>29</v>
      </c>
      <c r="L2922" s="37" t="str">
        <f>VLOOKUP(K2922,'Structure type'!$A$1:$B$15,2,FALSE)</f>
        <v>Manhole</v>
      </c>
      <c r="M2922" s="23" t="s">
        <v>30</v>
      </c>
      <c r="N2922" s="23" t="str">
        <f>VLOOKUP(M2922,'Excursion Cause'!$A$1:$B$34,2,FALSE)</f>
        <v>Grease Blockage</v>
      </c>
      <c r="O2922" s="29">
        <v>45162.0</v>
      </c>
      <c r="P2922" s="30">
        <v>0.3659722222222222</v>
      </c>
      <c r="Q2922" s="32">
        <v>45162.0</v>
      </c>
      <c r="R2922" s="30">
        <v>0.4270833333333333</v>
      </c>
      <c r="S2922" s="23">
        <v>4.0</v>
      </c>
      <c r="T2922" s="40" t="s">
        <v>3749</v>
      </c>
      <c r="U2922" s="6"/>
      <c r="V2922" s="6"/>
      <c r="W2922" s="35">
        <v>29.7111563</v>
      </c>
      <c r="X2922" s="35">
        <v>-95.3446393</v>
      </c>
      <c r="AB2922" s="33"/>
      <c r="AC2922" s="33"/>
      <c r="AD2922" s="33"/>
      <c r="AE2922" s="33"/>
      <c r="AF2922" s="33"/>
      <c r="AG2922" s="33"/>
      <c r="AH2922" s="33"/>
      <c r="AI2922" s="33"/>
      <c r="AJ2922" s="33"/>
      <c r="AK2922" s="33"/>
      <c r="AL2922" s="33"/>
      <c r="AM2922" s="33"/>
      <c r="AN2922" s="33"/>
      <c r="AO2922" s="33"/>
    </row>
    <row r="2923" ht="15.75" customHeight="1">
      <c r="A2923" s="23">
        <v>53079.0</v>
      </c>
      <c r="B2923" s="23">
        <v>2023.0</v>
      </c>
      <c r="C2923" s="36" t="str">
        <f t="shared" si="7"/>
        <v>10901 BELLAIRE BLVD,Houston,TX</v>
      </c>
      <c r="D2923" s="23" t="s">
        <v>4153</v>
      </c>
      <c r="E2923" s="23" t="s">
        <v>25</v>
      </c>
      <c r="F2923" s="23" t="s">
        <v>1388</v>
      </c>
      <c r="G2923" s="31" t="s">
        <v>91</v>
      </c>
      <c r="H2923" s="23" t="s">
        <v>28</v>
      </c>
      <c r="I2923" s="37" t="str">
        <f>VLOOKUP(H2923,'Flow Location'!$A$1:$B$21,2,FALSE)</f>
        <v>Storm Sewer (not contained)</v>
      </c>
      <c r="J2923" s="28">
        <v>909.0</v>
      </c>
      <c r="K2923" s="23" t="s">
        <v>29</v>
      </c>
      <c r="L2923" s="37" t="str">
        <f>VLOOKUP(K2923,'Structure type'!$A$1:$B$15,2,FALSE)</f>
        <v>Manhole</v>
      </c>
      <c r="M2923" s="23" t="s">
        <v>30</v>
      </c>
      <c r="N2923" s="23" t="str">
        <f>VLOOKUP(M2923,'Excursion Cause'!$A$1:$B$34,2,FALSE)</f>
        <v>Grease Blockage</v>
      </c>
      <c r="O2923" s="29">
        <v>45162.0</v>
      </c>
      <c r="P2923" s="30">
        <v>0.5631944444444444</v>
      </c>
      <c r="Q2923" s="32">
        <v>45162.0</v>
      </c>
      <c r="R2923" s="30">
        <v>0.7736111111111111</v>
      </c>
      <c r="S2923" s="23">
        <v>3.0</v>
      </c>
      <c r="T2923" s="40" t="s">
        <v>3749</v>
      </c>
      <c r="U2923" s="6"/>
      <c r="V2923" s="6"/>
      <c r="W2923" s="35">
        <v>29.7036183</v>
      </c>
      <c r="X2923" s="35">
        <v>-95.5715235999999</v>
      </c>
      <c r="AB2923" s="33"/>
      <c r="AC2923" s="33"/>
      <c r="AD2923" s="33"/>
      <c r="AE2923" s="33"/>
      <c r="AF2923" s="33"/>
      <c r="AG2923" s="33"/>
      <c r="AH2923" s="33"/>
      <c r="AI2923" s="33"/>
      <c r="AJ2923" s="33"/>
      <c r="AK2923" s="33"/>
      <c r="AL2923" s="33"/>
      <c r="AM2923" s="33"/>
      <c r="AN2923" s="33"/>
      <c r="AO2923" s="33"/>
    </row>
    <row r="2924" ht="15.75" customHeight="1">
      <c r="A2924" s="23">
        <v>53080.0</v>
      </c>
      <c r="B2924" s="23">
        <v>2023.0</v>
      </c>
      <c r="C2924" s="36" t="str">
        <f t="shared" si="7"/>
        <v>10110 FORUM WEST DR,Houston,TX</v>
      </c>
      <c r="D2924" s="23" t="s">
        <v>4154</v>
      </c>
      <c r="E2924" s="23" t="s">
        <v>25</v>
      </c>
      <c r="F2924" s="23" t="s">
        <v>1388</v>
      </c>
      <c r="G2924" s="31" t="s">
        <v>100</v>
      </c>
      <c r="H2924" s="23" t="s">
        <v>28</v>
      </c>
      <c r="I2924" s="37" t="str">
        <f>VLOOKUP(H2924,'Flow Location'!$A$1:$B$21,2,FALSE)</f>
        <v>Storm Sewer (not contained)</v>
      </c>
      <c r="J2924" s="28">
        <v>459.0</v>
      </c>
      <c r="K2924" s="23" t="s">
        <v>29</v>
      </c>
      <c r="L2924" s="37" t="str">
        <f>VLOOKUP(K2924,'Structure type'!$A$1:$B$15,2,FALSE)</f>
        <v>Manhole</v>
      </c>
      <c r="M2924" s="23" t="s">
        <v>30</v>
      </c>
      <c r="N2924" s="23" t="str">
        <f>VLOOKUP(M2924,'Excursion Cause'!$A$1:$B$34,2,FALSE)</f>
        <v>Grease Blockage</v>
      </c>
      <c r="O2924" s="29">
        <v>45162.0</v>
      </c>
      <c r="P2924" s="30">
        <v>0.5916666666666667</v>
      </c>
      <c r="Q2924" s="32">
        <v>45162.0</v>
      </c>
      <c r="R2924" s="30">
        <v>0.6979166666666666</v>
      </c>
      <c r="S2924" s="23">
        <v>3.0</v>
      </c>
      <c r="T2924" s="40" t="s">
        <v>3749</v>
      </c>
      <c r="U2924" s="6"/>
      <c r="V2924" s="6"/>
      <c r="W2924" s="35">
        <v>29.6682088</v>
      </c>
      <c r="X2924" s="35">
        <v>-95.5553061</v>
      </c>
      <c r="AB2924" s="33"/>
      <c r="AC2924" s="33"/>
      <c r="AD2924" s="33"/>
      <c r="AE2924" s="33"/>
      <c r="AF2924" s="33"/>
      <c r="AG2924" s="33"/>
      <c r="AH2924" s="33"/>
      <c r="AI2924" s="33"/>
      <c r="AJ2924" s="33"/>
      <c r="AK2924" s="33"/>
      <c r="AL2924" s="33"/>
      <c r="AM2924" s="33"/>
      <c r="AN2924" s="33"/>
      <c r="AO2924" s="33"/>
    </row>
    <row r="2925" ht="15.75" customHeight="1">
      <c r="A2925" s="23">
        <v>53084.0</v>
      </c>
      <c r="B2925" s="23">
        <v>2023.0</v>
      </c>
      <c r="C2925" s="36" t="str">
        <f t="shared" si="7"/>
        <v>915 MARLEEN ST,Houston,TX</v>
      </c>
      <c r="D2925" s="23" t="s">
        <v>4155</v>
      </c>
      <c r="E2925" s="23" t="s">
        <v>25</v>
      </c>
      <c r="F2925" s="23" t="s">
        <v>1388</v>
      </c>
      <c r="G2925" s="31" t="s">
        <v>4156</v>
      </c>
      <c r="H2925" s="23" t="s">
        <v>50</v>
      </c>
      <c r="I2925" s="37" t="str">
        <f>VLOOKUP(H2925,'Flow Location'!$A$1:$B$21,2,FALSE)</f>
        <v>Contained On Site, not within 5 ft. of Bayou/Surface Water/Drainage Ditch</v>
      </c>
      <c r="J2925" s="28">
        <v>0.0</v>
      </c>
      <c r="K2925" s="23" t="s">
        <v>45</v>
      </c>
      <c r="L2925" s="37" t="str">
        <f>VLOOKUP(K2925,'Structure type'!$A$1:$B$15,2,FALSE)</f>
        <v>City Cleanout</v>
      </c>
      <c r="M2925" s="23" t="s">
        <v>56</v>
      </c>
      <c r="N2925" s="23" t="str">
        <f>VLOOKUP(M2925,'Excursion Cause'!$A$1:$B$34,2,FALSE)</f>
        <v>Rags/Wipes</v>
      </c>
      <c r="O2925" s="29">
        <v>45163.0</v>
      </c>
      <c r="P2925" s="30">
        <v>0.5986111111111111</v>
      </c>
      <c r="Q2925" s="32">
        <v>45163.0</v>
      </c>
      <c r="R2925" s="30">
        <v>0.5993055555555555</v>
      </c>
      <c r="S2925" s="23">
        <v>0.0</v>
      </c>
      <c r="T2925" s="40" t="s">
        <v>1436</v>
      </c>
      <c r="U2925" s="6"/>
      <c r="V2925" s="6"/>
      <c r="W2925" s="35">
        <v>29.6519555</v>
      </c>
      <c r="X2925" s="35">
        <v>-95.2359054</v>
      </c>
      <c r="AB2925" s="33"/>
      <c r="AC2925" s="33"/>
      <c r="AD2925" s="33"/>
      <c r="AE2925" s="33"/>
      <c r="AF2925" s="33"/>
      <c r="AG2925" s="33"/>
      <c r="AH2925" s="33"/>
      <c r="AI2925" s="33"/>
      <c r="AJ2925" s="33"/>
      <c r="AK2925" s="33"/>
      <c r="AL2925" s="33"/>
      <c r="AM2925" s="33"/>
      <c r="AN2925" s="33"/>
      <c r="AO2925" s="33"/>
    </row>
    <row r="2926" ht="15.75" customHeight="1">
      <c r="A2926" s="23">
        <v>53085.0</v>
      </c>
      <c r="B2926" s="23">
        <v>2023.0</v>
      </c>
      <c r="C2926" s="36" t="str">
        <f t="shared" si="7"/>
        <v>6301 BELLFORT AVE,Houston,TX</v>
      </c>
      <c r="D2926" s="23" t="s">
        <v>4079</v>
      </c>
      <c r="E2926" s="23" t="s">
        <v>25</v>
      </c>
      <c r="F2926" s="23" t="s">
        <v>1388</v>
      </c>
      <c r="G2926" s="31" t="s">
        <v>35</v>
      </c>
      <c r="H2926" s="23" t="s">
        <v>50</v>
      </c>
      <c r="I2926" s="37" t="str">
        <f>VLOOKUP(H2926,'Flow Location'!$A$1:$B$21,2,FALSE)</f>
        <v>Contained On Site, not within 5 ft. of Bayou/Surface Water/Drainage Ditch</v>
      </c>
      <c r="J2926" s="28">
        <v>130.0</v>
      </c>
      <c r="K2926" s="23" t="s">
        <v>29</v>
      </c>
      <c r="L2926" s="37" t="str">
        <f>VLOOKUP(K2926,'Structure type'!$A$1:$B$15,2,FALSE)</f>
        <v>Manhole</v>
      </c>
      <c r="M2926" s="23" t="s">
        <v>30</v>
      </c>
      <c r="N2926" s="23" t="str">
        <f>VLOOKUP(M2926,'Excursion Cause'!$A$1:$B$34,2,FALSE)</f>
        <v>Grease Blockage</v>
      </c>
      <c r="O2926" s="29">
        <v>45163.0</v>
      </c>
      <c r="P2926" s="30">
        <v>0.7013888888888888</v>
      </c>
      <c r="Q2926" s="32">
        <v>45163.0</v>
      </c>
      <c r="R2926" s="30">
        <v>0.7916666666666666</v>
      </c>
      <c r="S2926" s="23">
        <v>1.0</v>
      </c>
      <c r="T2926" s="40" t="s">
        <v>3749</v>
      </c>
      <c r="U2926" s="6"/>
      <c r="V2926" s="6"/>
      <c r="W2926" s="35">
        <v>29.6669406</v>
      </c>
      <c r="X2926" s="35">
        <v>-95.3164554</v>
      </c>
      <c r="AB2926" s="33"/>
      <c r="AC2926" s="33"/>
      <c r="AD2926" s="33"/>
      <c r="AE2926" s="33"/>
      <c r="AF2926" s="33"/>
      <c r="AG2926" s="33"/>
      <c r="AH2926" s="33"/>
      <c r="AI2926" s="33"/>
      <c r="AJ2926" s="33"/>
      <c r="AK2926" s="33"/>
      <c r="AL2926" s="33"/>
      <c r="AM2926" s="33"/>
      <c r="AN2926" s="33"/>
      <c r="AO2926" s="33"/>
    </row>
    <row r="2927" ht="15.75" customHeight="1">
      <c r="A2927" s="23">
        <v>53088.0</v>
      </c>
      <c r="B2927" s="23">
        <v>2023.0</v>
      </c>
      <c r="C2927" s="36" t="str">
        <f t="shared" si="7"/>
        <v>10532 POST OAK RD,Houston,TX</v>
      </c>
      <c r="D2927" s="23" t="s">
        <v>4157</v>
      </c>
      <c r="E2927" s="23" t="s">
        <v>25</v>
      </c>
      <c r="F2927" s="23" t="s">
        <v>1388</v>
      </c>
      <c r="G2927" s="31" t="s">
        <v>127</v>
      </c>
      <c r="H2927" s="23" t="s">
        <v>50</v>
      </c>
      <c r="I2927" s="37" t="str">
        <f>VLOOKUP(H2927,'Flow Location'!$A$1:$B$21,2,FALSE)</f>
        <v>Contained On Site, not within 5 ft. of Bayou/Surface Water/Drainage Ditch</v>
      </c>
      <c r="J2927" s="28">
        <v>334.0</v>
      </c>
      <c r="K2927" s="23" t="s">
        <v>29</v>
      </c>
      <c r="L2927" s="37" t="str">
        <f>VLOOKUP(K2927,'Structure type'!$A$1:$B$15,2,FALSE)</f>
        <v>Manhole</v>
      </c>
      <c r="M2927" s="23" t="s">
        <v>30</v>
      </c>
      <c r="N2927" s="23" t="str">
        <f>VLOOKUP(M2927,'Excursion Cause'!$A$1:$B$34,2,FALSE)</f>
        <v>Grease Blockage</v>
      </c>
      <c r="O2927" s="29">
        <v>45164.0</v>
      </c>
      <c r="P2927" s="30">
        <v>0.4708333333333333</v>
      </c>
      <c r="Q2927" s="32">
        <v>45164.0</v>
      </c>
      <c r="R2927" s="30">
        <v>0.5868055555555556</v>
      </c>
      <c r="S2927" s="23">
        <v>2.0</v>
      </c>
      <c r="T2927" s="40" t="s">
        <v>3749</v>
      </c>
      <c r="U2927" s="6"/>
      <c r="V2927" s="6"/>
      <c r="W2927" s="35">
        <v>29.6665931</v>
      </c>
      <c r="X2927" s="35">
        <v>-95.4636515999999</v>
      </c>
      <c r="AB2927" s="33"/>
      <c r="AC2927" s="33"/>
      <c r="AD2927" s="33"/>
      <c r="AE2927" s="33"/>
      <c r="AF2927" s="33"/>
      <c r="AG2927" s="33"/>
      <c r="AH2927" s="33"/>
      <c r="AI2927" s="33"/>
      <c r="AJ2927" s="33"/>
      <c r="AK2927" s="33"/>
      <c r="AL2927" s="33"/>
      <c r="AM2927" s="33"/>
      <c r="AN2927" s="33"/>
      <c r="AO2927" s="33"/>
    </row>
    <row r="2928" ht="15.75" customHeight="1">
      <c r="A2928" s="23">
        <v>53090.0</v>
      </c>
      <c r="B2928" s="23">
        <v>2023.0</v>
      </c>
      <c r="C2928" s="36" t="str">
        <f t="shared" si="7"/>
        <v>7406 TOWERVIEW LN,Houston,TX</v>
      </c>
      <c r="D2928" s="23" t="s">
        <v>4158</v>
      </c>
      <c r="E2928" s="23" t="s">
        <v>25</v>
      </c>
      <c r="F2928" s="23" t="s">
        <v>1388</v>
      </c>
      <c r="G2928" s="31" t="s">
        <v>166</v>
      </c>
      <c r="H2928" s="23" t="s">
        <v>50</v>
      </c>
      <c r="I2928" s="37" t="str">
        <f>VLOOKUP(H2928,'Flow Location'!$A$1:$B$21,2,FALSE)</f>
        <v>Contained On Site, not within 5 ft. of Bayou/Surface Water/Drainage Ditch</v>
      </c>
      <c r="J2928" s="28">
        <v>0.0</v>
      </c>
      <c r="K2928" s="23" t="s">
        <v>45</v>
      </c>
      <c r="L2928" s="37" t="str">
        <f>VLOOKUP(K2928,'Structure type'!$A$1:$B$15,2,FALSE)</f>
        <v>City Cleanout</v>
      </c>
      <c r="M2928" s="23" t="s">
        <v>56</v>
      </c>
      <c r="N2928" s="23" t="str">
        <f>VLOOKUP(M2928,'Excursion Cause'!$A$1:$B$34,2,FALSE)</f>
        <v>Rags/Wipes</v>
      </c>
      <c r="O2928" s="29">
        <v>45165.0</v>
      </c>
      <c r="P2928" s="30">
        <v>0.3784722222222222</v>
      </c>
      <c r="Q2928" s="32">
        <v>45165.0</v>
      </c>
      <c r="R2928" s="30">
        <v>0.37916666666666665</v>
      </c>
      <c r="S2928" s="23">
        <v>0.0</v>
      </c>
      <c r="T2928" s="40" t="s">
        <v>1473</v>
      </c>
      <c r="U2928" s="6"/>
      <c r="V2928" s="6"/>
      <c r="W2928" s="35">
        <v>29.6015482</v>
      </c>
      <c r="X2928" s="35">
        <v>-95.4973177</v>
      </c>
      <c r="AB2928" s="33"/>
      <c r="AC2928" s="33"/>
      <c r="AD2928" s="33"/>
      <c r="AE2928" s="33"/>
      <c r="AF2928" s="33"/>
      <c r="AG2928" s="33"/>
      <c r="AH2928" s="33"/>
      <c r="AI2928" s="33"/>
      <c r="AJ2928" s="33"/>
      <c r="AK2928" s="33"/>
      <c r="AL2928" s="33"/>
      <c r="AM2928" s="33"/>
      <c r="AN2928" s="33"/>
      <c r="AO2928" s="33"/>
    </row>
    <row r="2929" ht="15.75" customHeight="1">
      <c r="A2929" s="23">
        <v>53096.0</v>
      </c>
      <c r="B2929" s="23">
        <v>2023.0</v>
      </c>
      <c r="C2929" s="36" t="str">
        <f t="shared" si="7"/>
        <v>230 VICTORIA DR,Houston,TX</v>
      </c>
      <c r="D2929" s="23" t="s">
        <v>1851</v>
      </c>
      <c r="E2929" s="23" t="s">
        <v>25</v>
      </c>
      <c r="F2929" s="23" t="s">
        <v>1388</v>
      </c>
      <c r="G2929" s="31" t="s">
        <v>653</v>
      </c>
      <c r="H2929" s="23" t="s">
        <v>50</v>
      </c>
      <c r="I2929" s="37" t="str">
        <f>VLOOKUP(H2929,'Flow Location'!$A$1:$B$21,2,FALSE)</f>
        <v>Contained On Site, not within 5 ft. of Bayou/Surface Water/Drainage Ditch</v>
      </c>
      <c r="J2929" s="28">
        <v>0.0</v>
      </c>
      <c r="K2929" s="23" t="s">
        <v>29</v>
      </c>
      <c r="L2929" s="37" t="str">
        <f>VLOOKUP(K2929,'Structure type'!$A$1:$B$15,2,FALSE)</f>
        <v>Manhole</v>
      </c>
      <c r="M2929" s="23" t="s">
        <v>30</v>
      </c>
      <c r="N2929" s="23" t="str">
        <f>VLOOKUP(M2929,'Excursion Cause'!$A$1:$B$34,2,FALSE)</f>
        <v>Grease Blockage</v>
      </c>
      <c r="O2929" s="29">
        <v>45167.0</v>
      </c>
      <c r="P2929" s="30">
        <v>0.4625</v>
      </c>
      <c r="Q2929" s="32">
        <v>45167.0</v>
      </c>
      <c r="R2929" s="30">
        <v>0.46319444444444446</v>
      </c>
      <c r="S2929" s="23">
        <v>0.0</v>
      </c>
      <c r="T2929" s="40" t="s">
        <v>3749</v>
      </c>
      <c r="U2929" s="6"/>
      <c r="V2929" s="6"/>
      <c r="W2929" s="35">
        <v>29.8353789</v>
      </c>
      <c r="X2929" s="35">
        <v>-95.3988021</v>
      </c>
      <c r="AB2929" s="33"/>
      <c r="AC2929" s="33"/>
      <c r="AD2929" s="33"/>
      <c r="AE2929" s="33"/>
      <c r="AF2929" s="33"/>
      <c r="AG2929" s="33"/>
      <c r="AH2929" s="33"/>
      <c r="AI2929" s="33"/>
      <c r="AJ2929" s="33"/>
      <c r="AK2929" s="33"/>
      <c r="AL2929" s="33"/>
      <c r="AM2929" s="33"/>
      <c r="AN2929" s="33"/>
      <c r="AO2929" s="33"/>
    </row>
    <row r="2930" ht="15.75" customHeight="1">
      <c r="A2930" s="23">
        <v>53097.0</v>
      </c>
      <c r="B2930" s="23">
        <v>2023.0</v>
      </c>
      <c r="C2930" s="36" t="str">
        <f t="shared" si="7"/>
        <v>813 ST EMANUEL ST,Houston,TX</v>
      </c>
      <c r="D2930" s="23" t="s">
        <v>3765</v>
      </c>
      <c r="E2930" s="23" t="s">
        <v>25</v>
      </c>
      <c r="F2930" s="23" t="s">
        <v>1388</v>
      </c>
      <c r="G2930" s="31" t="s">
        <v>172</v>
      </c>
      <c r="H2930" s="23" t="s">
        <v>50</v>
      </c>
      <c r="I2930" s="37" t="str">
        <f>VLOOKUP(H2930,'Flow Location'!$A$1:$B$21,2,FALSE)</f>
        <v>Contained On Site, not within 5 ft. of Bayou/Surface Water/Drainage Ditch</v>
      </c>
      <c r="J2930" s="28">
        <v>329.0</v>
      </c>
      <c r="K2930" s="23" t="s">
        <v>45</v>
      </c>
      <c r="L2930" s="37" t="str">
        <f>VLOOKUP(K2930,'Structure type'!$A$1:$B$15,2,FALSE)</f>
        <v>City Cleanout</v>
      </c>
      <c r="M2930" s="23" t="s">
        <v>30</v>
      </c>
      <c r="N2930" s="23" t="str">
        <f>VLOOKUP(M2930,'Excursion Cause'!$A$1:$B$34,2,FALSE)</f>
        <v>Grease Blockage</v>
      </c>
      <c r="O2930" s="29">
        <v>45167.0</v>
      </c>
      <c r="P2930" s="30">
        <v>0.45902777777777776</v>
      </c>
      <c r="Q2930" s="32">
        <v>45167.0</v>
      </c>
      <c r="R2930" s="30">
        <v>0.6875</v>
      </c>
      <c r="S2930" s="23">
        <v>1.0</v>
      </c>
      <c r="T2930" s="40" t="s">
        <v>3749</v>
      </c>
      <c r="U2930" s="6"/>
      <c r="V2930" s="6"/>
      <c r="W2930" s="35">
        <v>29.7519793</v>
      </c>
      <c r="X2930" s="35">
        <v>-95.3544991</v>
      </c>
      <c r="AB2930" s="33"/>
      <c r="AC2930" s="33"/>
      <c r="AD2930" s="33"/>
      <c r="AE2930" s="33"/>
      <c r="AF2930" s="33"/>
      <c r="AG2930" s="33"/>
      <c r="AH2930" s="33"/>
      <c r="AI2930" s="33"/>
      <c r="AJ2930" s="33"/>
      <c r="AK2930" s="33"/>
      <c r="AL2930" s="33"/>
      <c r="AM2930" s="33"/>
      <c r="AN2930" s="33"/>
      <c r="AO2930" s="33"/>
    </row>
    <row r="2931" ht="15.75" customHeight="1">
      <c r="A2931" s="23">
        <v>53105.0</v>
      </c>
      <c r="B2931" s="23">
        <v>2023.0</v>
      </c>
      <c r="C2931" s="36" t="str">
        <f t="shared" si="7"/>
        <v>3715 GANO ST,Houston,TX</v>
      </c>
      <c r="D2931" s="23" t="s">
        <v>3384</v>
      </c>
      <c r="E2931" s="23" t="s">
        <v>25</v>
      </c>
      <c r="F2931" s="23" t="s">
        <v>1388</v>
      </c>
      <c r="G2931" s="31" t="s">
        <v>161</v>
      </c>
      <c r="H2931" s="23" t="s">
        <v>50</v>
      </c>
      <c r="I2931" s="37" t="str">
        <f>VLOOKUP(H2931,'Flow Location'!$A$1:$B$21,2,FALSE)</f>
        <v>Contained On Site, not within 5 ft. of Bayou/Surface Water/Drainage Ditch</v>
      </c>
      <c r="J2931" s="28">
        <v>0.0</v>
      </c>
      <c r="K2931" s="23" t="s">
        <v>45</v>
      </c>
      <c r="L2931" s="37" t="str">
        <f>VLOOKUP(K2931,'Structure type'!$A$1:$B$15,2,FALSE)</f>
        <v>City Cleanout</v>
      </c>
      <c r="M2931" s="23" t="s">
        <v>56</v>
      </c>
      <c r="N2931" s="23" t="str">
        <f>VLOOKUP(M2931,'Excursion Cause'!$A$1:$B$34,2,FALSE)</f>
        <v>Rags/Wipes</v>
      </c>
      <c r="O2931" s="29">
        <v>45167.0</v>
      </c>
      <c r="P2931" s="30">
        <v>0.70625</v>
      </c>
      <c r="Q2931" s="32">
        <v>45167.0</v>
      </c>
      <c r="R2931" s="30">
        <v>0.7069444444444445</v>
      </c>
      <c r="S2931" s="23">
        <v>0.0</v>
      </c>
      <c r="T2931" s="40" t="s">
        <v>3743</v>
      </c>
      <c r="U2931" s="6"/>
      <c r="V2931" s="6"/>
      <c r="W2931" s="35">
        <v>29.7945811</v>
      </c>
      <c r="X2931" s="35">
        <v>-95.3553725</v>
      </c>
      <c r="AB2931" s="33"/>
      <c r="AC2931" s="33"/>
      <c r="AD2931" s="33"/>
      <c r="AE2931" s="33"/>
      <c r="AF2931" s="33"/>
      <c r="AG2931" s="33"/>
      <c r="AH2931" s="33"/>
      <c r="AI2931" s="33"/>
      <c r="AJ2931" s="33"/>
      <c r="AK2931" s="33"/>
      <c r="AL2931" s="33"/>
      <c r="AM2931" s="33"/>
      <c r="AN2931" s="33"/>
      <c r="AO2931" s="33"/>
    </row>
    <row r="2932" ht="15.75" customHeight="1">
      <c r="A2932" s="23">
        <v>53110.0</v>
      </c>
      <c r="B2932" s="23">
        <v>2023.0</v>
      </c>
      <c r="C2932" s="36" t="str">
        <f t="shared" si="7"/>
        <v>4102 MANGUM RD,Houston,TX</v>
      </c>
      <c r="D2932" s="23" t="s">
        <v>4151</v>
      </c>
      <c r="E2932" s="23" t="s">
        <v>25</v>
      </c>
      <c r="F2932" s="23" t="s">
        <v>1388</v>
      </c>
      <c r="G2932" s="31" t="s">
        <v>76</v>
      </c>
      <c r="H2932" s="23" t="s">
        <v>50</v>
      </c>
      <c r="I2932" s="37" t="str">
        <f>VLOOKUP(H2932,'Flow Location'!$A$1:$B$21,2,FALSE)</f>
        <v>Contained On Site, not within 5 ft. of Bayou/Surface Water/Drainage Ditch</v>
      </c>
      <c r="J2932" s="28">
        <v>204.0</v>
      </c>
      <c r="K2932" s="23" t="s">
        <v>51</v>
      </c>
      <c r="L2932" s="37" t="str">
        <f>VLOOKUP(K2932,'Structure type'!$A$1:$B$15,2,FALSE)</f>
        <v>Private Cleanout</v>
      </c>
      <c r="M2932" s="23" t="s">
        <v>30</v>
      </c>
      <c r="N2932" s="23" t="str">
        <f>VLOOKUP(M2932,'Excursion Cause'!$A$1:$B$34,2,FALSE)</f>
        <v>Grease Blockage</v>
      </c>
      <c r="O2932" s="29">
        <v>45168.0</v>
      </c>
      <c r="P2932" s="30">
        <v>0.6291666666666667</v>
      </c>
      <c r="Q2932" s="32">
        <v>45168.0</v>
      </c>
      <c r="R2932" s="30">
        <v>0.7708333333333334</v>
      </c>
      <c r="S2932" s="23">
        <v>1.0</v>
      </c>
      <c r="T2932" s="40" t="s">
        <v>3756</v>
      </c>
      <c r="U2932" s="6"/>
      <c r="V2932" s="6"/>
      <c r="W2932" s="35">
        <v>29.8279639</v>
      </c>
      <c r="X2932" s="35">
        <v>-95.4614402999999</v>
      </c>
      <c r="AB2932" s="33"/>
      <c r="AC2932" s="33"/>
      <c r="AD2932" s="33"/>
      <c r="AE2932" s="33"/>
      <c r="AF2932" s="33"/>
      <c r="AG2932" s="33"/>
      <c r="AH2932" s="33"/>
      <c r="AI2932" s="33"/>
      <c r="AJ2932" s="33"/>
      <c r="AK2932" s="33"/>
      <c r="AL2932" s="33"/>
      <c r="AM2932" s="33"/>
      <c r="AN2932" s="33"/>
      <c r="AO2932" s="33"/>
    </row>
    <row r="2933" ht="15.75" customHeight="1">
      <c r="A2933" s="23">
        <v>53113.0</v>
      </c>
      <c r="B2933" s="23">
        <v>2023.0</v>
      </c>
      <c r="C2933" s="36" t="str">
        <f t="shared" si="7"/>
        <v>8201 RICHMOND AVE,Houston,TX</v>
      </c>
      <c r="D2933" s="23" t="s">
        <v>880</v>
      </c>
      <c r="E2933" s="23" t="s">
        <v>25</v>
      </c>
      <c r="F2933" s="23" t="s">
        <v>1388</v>
      </c>
      <c r="G2933" s="31" t="s">
        <v>482</v>
      </c>
      <c r="H2933" s="23" t="s">
        <v>28</v>
      </c>
      <c r="I2933" s="37" t="str">
        <f>VLOOKUP(H2933,'Flow Location'!$A$1:$B$21,2,FALSE)</f>
        <v>Storm Sewer (not contained)</v>
      </c>
      <c r="J2933" s="28">
        <v>0.0</v>
      </c>
      <c r="K2933" s="23" t="s">
        <v>45</v>
      </c>
      <c r="L2933" s="37" t="str">
        <f>VLOOKUP(K2933,'Structure type'!$A$1:$B$15,2,FALSE)</f>
        <v>City Cleanout</v>
      </c>
      <c r="M2933" s="23" t="s">
        <v>56</v>
      </c>
      <c r="N2933" s="23" t="str">
        <f>VLOOKUP(M2933,'Excursion Cause'!$A$1:$B$34,2,FALSE)</f>
        <v>Rags/Wipes</v>
      </c>
      <c r="O2933" s="29">
        <v>45169.0</v>
      </c>
      <c r="P2933" s="30">
        <v>0.3451388888888889</v>
      </c>
      <c r="Q2933" s="32">
        <v>45170.0</v>
      </c>
      <c r="R2933" s="30">
        <v>0.3902777777777778</v>
      </c>
      <c r="S2933" s="23">
        <v>0.0</v>
      </c>
      <c r="T2933" s="40" t="s">
        <v>118</v>
      </c>
      <c r="U2933" s="6"/>
      <c r="V2933" s="6"/>
      <c r="W2933" s="35">
        <v>29.7282739</v>
      </c>
      <c r="X2933" s="35">
        <v>-95.5128105</v>
      </c>
      <c r="AB2933" s="33"/>
      <c r="AC2933" s="33"/>
      <c r="AD2933" s="33"/>
      <c r="AE2933" s="33"/>
      <c r="AF2933" s="33"/>
      <c r="AG2933" s="33"/>
      <c r="AH2933" s="33"/>
      <c r="AI2933" s="33"/>
      <c r="AJ2933" s="33"/>
      <c r="AK2933" s="33"/>
      <c r="AL2933" s="33"/>
      <c r="AM2933" s="33"/>
      <c r="AN2933" s="33"/>
      <c r="AO2933" s="33"/>
    </row>
    <row r="2934" ht="15.75" customHeight="1">
      <c r="A2934" s="41">
        <v>53122.0</v>
      </c>
      <c r="B2934" s="23">
        <v>2023.0</v>
      </c>
      <c r="C2934" s="36" t="str">
        <f t="shared" si="7"/>
        <v>9330 LAWNDALE ST,Houston,TX</v>
      </c>
      <c r="D2934" s="23" t="s">
        <v>4159</v>
      </c>
      <c r="E2934" s="23" t="s">
        <v>25</v>
      </c>
      <c r="F2934" s="23" t="s">
        <v>1388</v>
      </c>
      <c r="G2934" s="31" t="s">
        <v>365</v>
      </c>
      <c r="H2934" s="23" t="s">
        <v>50</v>
      </c>
      <c r="I2934" s="37" t="str">
        <f>VLOOKUP(H2934,'Flow Location'!$A$1:$B$21,2,FALSE)</f>
        <v>Contained On Site, not within 5 ft. of Bayou/Surface Water/Drainage Ditch</v>
      </c>
      <c r="J2934" s="28">
        <v>135.0</v>
      </c>
      <c r="K2934" s="23" t="s">
        <v>51</v>
      </c>
      <c r="L2934" s="37" t="str">
        <f>VLOOKUP(K2934,'Structure type'!$A$1:$B$15,2,FALSE)</f>
        <v>Private Cleanout</v>
      </c>
      <c r="M2934" s="23" t="s">
        <v>30</v>
      </c>
      <c r="N2934" s="23" t="str">
        <f>VLOOKUP(M2934,'Excursion Cause'!$A$1:$B$34,2,FALSE)</f>
        <v>Grease Blockage</v>
      </c>
      <c r="O2934" s="29">
        <v>45170.0</v>
      </c>
      <c r="P2934" s="30">
        <v>0.6145833333333334</v>
      </c>
      <c r="Q2934" s="32">
        <v>45170.0</v>
      </c>
      <c r="R2934" s="30">
        <v>0.7083333333333334</v>
      </c>
      <c r="S2934" s="28">
        <v>1.0</v>
      </c>
      <c r="T2934" s="23" t="s">
        <v>3749</v>
      </c>
      <c r="U2934" s="38"/>
      <c r="V2934" s="6"/>
      <c r="W2934" s="35">
        <v>29.711681</v>
      </c>
      <c r="X2934" s="35">
        <v>-95.2649091</v>
      </c>
      <c r="AA2934" s="33"/>
      <c r="AB2934" s="33"/>
      <c r="AC2934" s="33"/>
      <c r="AD2934" s="33"/>
      <c r="AE2934" s="33"/>
      <c r="AF2934" s="33"/>
      <c r="AG2934" s="33"/>
      <c r="AH2934" s="33"/>
      <c r="AI2934" s="33"/>
      <c r="AJ2934" s="33"/>
      <c r="AK2934" s="33"/>
      <c r="AL2934" s="33"/>
      <c r="AM2934" s="33"/>
      <c r="AN2934" s="33"/>
      <c r="AO2934" s="33"/>
    </row>
    <row r="2935" ht="15.75" customHeight="1">
      <c r="A2935" s="41">
        <v>53123.0</v>
      </c>
      <c r="B2935" s="23">
        <v>2023.0</v>
      </c>
      <c r="C2935" s="36" t="str">
        <f t="shared" si="7"/>
        <v>2101 POLK ST,Houston,TX</v>
      </c>
      <c r="D2935" s="23" t="s">
        <v>4088</v>
      </c>
      <c r="E2935" s="23" t="s">
        <v>25</v>
      </c>
      <c r="F2935" s="23" t="s">
        <v>1388</v>
      </c>
      <c r="G2935" s="31" t="s">
        <v>172</v>
      </c>
      <c r="H2935" s="23" t="s">
        <v>50</v>
      </c>
      <c r="I2935" s="37" t="str">
        <f>VLOOKUP(H2935,'Flow Location'!$A$1:$B$21,2,FALSE)</f>
        <v>Contained On Site, not within 5 ft. of Bayou/Surface Water/Drainage Ditch</v>
      </c>
      <c r="J2935" s="28">
        <v>0.0</v>
      </c>
      <c r="K2935" s="23" t="s">
        <v>45</v>
      </c>
      <c r="L2935" s="37" t="str">
        <f>VLOOKUP(K2935,'Structure type'!$A$1:$B$15,2,FALSE)</f>
        <v>City Cleanout</v>
      </c>
      <c r="M2935" s="23" t="s">
        <v>56</v>
      </c>
      <c r="N2935" s="23" t="str">
        <f>VLOOKUP(M2935,'Excursion Cause'!$A$1:$B$34,2,FALSE)</f>
        <v>Rags/Wipes</v>
      </c>
      <c r="O2935" s="29">
        <v>45171.0</v>
      </c>
      <c r="P2935" s="30">
        <v>0.3590277777777778</v>
      </c>
      <c r="Q2935" s="32">
        <v>45171.0</v>
      </c>
      <c r="R2935" s="30">
        <v>0.3597222222222222</v>
      </c>
      <c r="S2935" s="28">
        <v>0.0</v>
      </c>
      <c r="T2935" s="23" t="s">
        <v>3756</v>
      </c>
      <c r="U2935" s="38"/>
      <c r="V2935" s="6"/>
      <c r="W2935" s="35">
        <v>29.7489221</v>
      </c>
      <c r="X2935" s="35">
        <v>-95.3566896999999</v>
      </c>
      <c r="AA2935" s="33"/>
      <c r="AB2935" s="33"/>
      <c r="AC2935" s="33"/>
      <c r="AD2935" s="33"/>
      <c r="AE2935" s="33"/>
      <c r="AF2935" s="33"/>
      <c r="AG2935" s="33"/>
      <c r="AH2935" s="33"/>
      <c r="AI2935" s="33"/>
      <c r="AJ2935" s="33"/>
      <c r="AK2935" s="33"/>
      <c r="AL2935" s="33"/>
      <c r="AM2935" s="33"/>
      <c r="AN2935" s="33"/>
      <c r="AO2935" s="33"/>
    </row>
    <row r="2936" ht="15.75" customHeight="1">
      <c r="A2936" s="41">
        <v>53124.0</v>
      </c>
      <c r="B2936" s="23">
        <v>2023.0</v>
      </c>
      <c r="C2936" s="36" t="str">
        <f t="shared" si="7"/>
        <v>3722 LEHALL ST,Houston,TX</v>
      </c>
      <c r="D2936" s="23" t="s">
        <v>4160</v>
      </c>
      <c r="E2936" s="23" t="s">
        <v>25</v>
      </c>
      <c r="F2936" s="23" t="s">
        <v>1388</v>
      </c>
      <c r="G2936" s="31" t="s">
        <v>238</v>
      </c>
      <c r="H2936" s="23" t="s">
        <v>50</v>
      </c>
      <c r="I2936" s="37" t="str">
        <f>VLOOKUP(H2936,'Flow Location'!$A$1:$B$21,2,FALSE)</f>
        <v>Contained On Site, not within 5 ft. of Bayou/Surface Water/Drainage Ditch</v>
      </c>
      <c r="J2936" s="28">
        <v>0.0</v>
      </c>
      <c r="K2936" s="23" t="s">
        <v>51</v>
      </c>
      <c r="L2936" s="37" t="str">
        <f>VLOOKUP(K2936,'Structure type'!$A$1:$B$15,2,FALSE)</f>
        <v>Private Cleanout</v>
      </c>
      <c r="M2936" s="23" t="s">
        <v>30</v>
      </c>
      <c r="N2936" s="23" t="str">
        <f>VLOOKUP(M2936,'Excursion Cause'!$A$1:$B$34,2,FALSE)</f>
        <v>Grease Blockage</v>
      </c>
      <c r="O2936" s="29">
        <v>45171.0</v>
      </c>
      <c r="P2936" s="30">
        <v>0.3861111111111111</v>
      </c>
      <c r="Q2936" s="32">
        <v>45171.0</v>
      </c>
      <c r="R2936" s="30">
        <v>0.38680555555555557</v>
      </c>
      <c r="S2936" s="28">
        <v>0.0</v>
      </c>
      <c r="T2936" s="23" t="s">
        <v>3749</v>
      </c>
      <c r="U2936" s="38"/>
      <c r="V2936" s="6"/>
      <c r="W2936" s="35">
        <v>29.6889223</v>
      </c>
      <c r="X2936" s="35">
        <v>-95.3668781</v>
      </c>
      <c r="AA2936" s="33"/>
      <c r="AB2936" s="33"/>
      <c r="AC2936" s="33"/>
      <c r="AD2936" s="33"/>
      <c r="AE2936" s="33"/>
      <c r="AF2936" s="33"/>
      <c r="AG2936" s="33"/>
      <c r="AH2936" s="33"/>
      <c r="AI2936" s="33"/>
      <c r="AJ2936" s="33"/>
      <c r="AK2936" s="33"/>
      <c r="AL2936" s="33"/>
      <c r="AM2936" s="33"/>
      <c r="AN2936" s="33"/>
      <c r="AO2936" s="33"/>
    </row>
    <row r="2937" ht="15.75" customHeight="1">
      <c r="A2937" s="41">
        <v>53133.0</v>
      </c>
      <c r="B2937" s="23">
        <v>2023.0</v>
      </c>
      <c r="C2937" s="36" t="str">
        <f t="shared" si="7"/>
        <v>12006 PALMDATE ST,Houston,TX</v>
      </c>
      <c r="D2937" s="23" t="s">
        <v>4161</v>
      </c>
      <c r="E2937" s="23" t="s">
        <v>25</v>
      </c>
      <c r="F2937" s="23" t="s">
        <v>1388</v>
      </c>
      <c r="G2937" s="31" t="s">
        <v>49</v>
      </c>
      <c r="H2937" s="23" t="s">
        <v>50</v>
      </c>
      <c r="I2937" s="37" t="str">
        <f>VLOOKUP(H2937,'Flow Location'!$A$1:$B$21,2,FALSE)</f>
        <v>Contained On Site, not within 5 ft. of Bayou/Surface Water/Drainage Ditch</v>
      </c>
      <c r="J2937" s="28">
        <v>0.0</v>
      </c>
      <c r="K2937" s="23" t="s">
        <v>290</v>
      </c>
      <c r="L2937" s="37" t="str">
        <f>VLOOKUP(K2937,'Structure type'!$A$1:$B$15,2,FALSE)</f>
        <v>Gravity Main</v>
      </c>
      <c r="M2937" s="23" t="s">
        <v>81</v>
      </c>
      <c r="N2937" s="23" t="str">
        <f>VLOOKUP(M2937,'Excursion Cause'!$A$1:$B$34,2,FALSE)</f>
        <v>Collection system structural failure</v>
      </c>
      <c r="O2937" s="29">
        <v>45174.0</v>
      </c>
      <c r="P2937" s="30">
        <v>0.45694444444444443</v>
      </c>
      <c r="Q2937" s="32">
        <v>45174.0</v>
      </c>
      <c r="R2937" s="30">
        <v>0.4576388888888889</v>
      </c>
      <c r="S2937" s="28">
        <v>0.0</v>
      </c>
      <c r="T2937" s="23" t="s">
        <v>118</v>
      </c>
      <c r="U2937" s="38"/>
      <c r="V2937" s="6"/>
      <c r="W2937" s="35">
        <v>29.6286419</v>
      </c>
      <c r="X2937" s="35">
        <v>-95.2112272</v>
      </c>
      <c r="AA2937" s="33"/>
      <c r="AB2937" s="33"/>
      <c r="AC2937" s="33"/>
      <c r="AD2937" s="33"/>
      <c r="AE2937" s="33"/>
      <c r="AF2937" s="33"/>
      <c r="AG2937" s="33"/>
      <c r="AH2937" s="33"/>
      <c r="AI2937" s="33"/>
      <c r="AJ2937" s="33"/>
      <c r="AK2937" s="33"/>
      <c r="AL2937" s="33"/>
      <c r="AM2937" s="33"/>
      <c r="AN2937" s="33"/>
      <c r="AO2937" s="33"/>
    </row>
    <row r="2938" ht="15.75" customHeight="1">
      <c r="A2938" s="41">
        <v>53134.0</v>
      </c>
      <c r="B2938" s="23">
        <v>2023.0</v>
      </c>
      <c r="C2938" s="36" t="str">
        <f t="shared" si="7"/>
        <v>6010 TIDWELL RD,Houston,TX</v>
      </c>
      <c r="D2938" s="23" t="s">
        <v>4162</v>
      </c>
      <c r="E2938" s="23" t="s">
        <v>25</v>
      </c>
      <c r="F2938" s="23" t="s">
        <v>1388</v>
      </c>
      <c r="G2938" s="31" t="s">
        <v>326</v>
      </c>
      <c r="H2938" s="23" t="s">
        <v>28</v>
      </c>
      <c r="I2938" s="37" t="str">
        <f>VLOOKUP(H2938,'Flow Location'!$A$1:$B$21,2,FALSE)</f>
        <v>Storm Sewer (not contained)</v>
      </c>
      <c r="J2938" s="28">
        <v>1190.0</v>
      </c>
      <c r="K2938" s="23" t="s">
        <v>45</v>
      </c>
      <c r="L2938" s="37" t="str">
        <f>VLOOKUP(K2938,'Structure type'!$A$1:$B$15,2,FALSE)</f>
        <v>City Cleanout</v>
      </c>
      <c r="M2938" s="23" t="s">
        <v>56</v>
      </c>
      <c r="N2938" s="23" t="str">
        <f>VLOOKUP(M2938,'Excursion Cause'!$A$1:$B$34,2,FALSE)</f>
        <v>Rags/Wipes</v>
      </c>
      <c r="O2938" s="29">
        <v>45174.0</v>
      </c>
      <c r="P2938" s="30">
        <v>0.5902777777777778</v>
      </c>
      <c r="Q2938" s="32">
        <v>45175.0</v>
      </c>
      <c r="R2938" s="30">
        <v>0.4166666666666667</v>
      </c>
      <c r="S2938" s="28">
        <v>1.0</v>
      </c>
      <c r="T2938" s="23" t="s">
        <v>1473</v>
      </c>
      <c r="U2938" s="38"/>
      <c r="V2938" s="6"/>
      <c r="W2938" s="35">
        <v>29.8483259</v>
      </c>
      <c r="X2938" s="35">
        <v>-95.3108396</v>
      </c>
      <c r="AA2938" s="33"/>
      <c r="AB2938" s="33"/>
      <c r="AC2938" s="33"/>
      <c r="AD2938" s="33"/>
      <c r="AE2938" s="33"/>
      <c r="AF2938" s="33"/>
      <c r="AG2938" s="33"/>
      <c r="AH2938" s="33"/>
      <c r="AI2938" s="33"/>
      <c r="AJ2938" s="33"/>
      <c r="AK2938" s="33"/>
      <c r="AL2938" s="33"/>
      <c r="AM2938" s="33"/>
      <c r="AN2938" s="33"/>
      <c r="AO2938" s="33"/>
    </row>
    <row r="2939" ht="15.75" customHeight="1">
      <c r="A2939" s="41">
        <v>53151.0</v>
      </c>
      <c r="B2939" s="23">
        <v>2023.0</v>
      </c>
      <c r="C2939" s="36" t="str">
        <f t="shared" si="7"/>
        <v>8120 BROCKTON ST,Houston,TX</v>
      </c>
      <c r="D2939" s="23" t="s">
        <v>4163</v>
      </c>
      <c r="E2939" s="23" t="s">
        <v>25</v>
      </c>
      <c r="F2939" s="23" t="s">
        <v>1388</v>
      </c>
      <c r="G2939" s="31" t="s">
        <v>135</v>
      </c>
      <c r="H2939" s="23" t="s">
        <v>28</v>
      </c>
      <c r="I2939" s="37" t="str">
        <f>VLOOKUP(H2939,'Flow Location'!$A$1:$B$21,2,FALSE)</f>
        <v>Storm Sewer (not contained)</v>
      </c>
      <c r="J2939" s="28">
        <v>0.0</v>
      </c>
      <c r="K2939" s="23" t="s">
        <v>290</v>
      </c>
      <c r="L2939" s="37" t="str">
        <f>VLOOKUP(K2939,'Structure type'!$A$1:$B$15,2,FALSE)</f>
        <v>Gravity Main</v>
      </c>
      <c r="M2939" s="23" t="s">
        <v>30</v>
      </c>
      <c r="N2939" s="23" t="str">
        <f>VLOOKUP(M2939,'Excursion Cause'!$A$1:$B$34,2,FALSE)</f>
        <v>Grease Blockage</v>
      </c>
      <c r="O2939" s="29">
        <v>45174.0</v>
      </c>
      <c r="P2939" s="30">
        <v>0.4166666666666667</v>
      </c>
      <c r="Q2939" s="32">
        <v>45174.0</v>
      </c>
      <c r="R2939" s="30">
        <v>0.4173611111111111</v>
      </c>
      <c r="S2939" s="28">
        <v>0.0</v>
      </c>
      <c r="T2939" s="23" t="s">
        <v>1462</v>
      </c>
      <c r="U2939" s="38"/>
      <c r="V2939" s="6"/>
      <c r="W2939" s="35">
        <v>29.698979</v>
      </c>
      <c r="X2939" s="35">
        <v>-95.2771169999999</v>
      </c>
      <c r="AA2939" s="33"/>
      <c r="AB2939" s="33"/>
      <c r="AC2939" s="33"/>
      <c r="AD2939" s="33"/>
      <c r="AE2939" s="33"/>
      <c r="AF2939" s="33"/>
      <c r="AG2939" s="33"/>
      <c r="AH2939" s="33"/>
      <c r="AI2939" s="33"/>
      <c r="AJ2939" s="33"/>
      <c r="AK2939" s="33"/>
      <c r="AL2939" s="33"/>
      <c r="AM2939" s="33"/>
      <c r="AN2939" s="33"/>
      <c r="AO2939" s="33"/>
    </row>
    <row r="2940" ht="15.75" customHeight="1">
      <c r="A2940" s="41">
        <v>53141.0</v>
      </c>
      <c r="B2940" s="23">
        <v>2023.0</v>
      </c>
      <c r="C2940" s="36" t="str">
        <f t="shared" si="7"/>
        <v>2909 HAYES RD,Houston,TX</v>
      </c>
      <c r="D2940" s="23" t="s">
        <v>312</v>
      </c>
      <c r="E2940" s="23" t="s">
        <v>25</v>
      </c>
      <c r="F2940" s="23" t="s">
        <v>1388</v>
      </c>
      <c r="G2940" s="31" t="s">
        <v>313</v>
      </c>
      <c r="H2940" s="23" t="s">
        <v>28</v>
      </c>
      <c r="I2940" s="37" t="str">
        <f>VLOOKUP(H2940,'Flow Location'!$A$1:$B$21,2,FALSE)</f>
        <v>Storm Sewer (not contained)</v>
      </c>
      <c r="J2940" s="28">
        <v>1020.0</v>
      </c>
      <c r="K2940" s="23" t="s">
        <v>29</v>
      </c>
      <c r="L2940" s="37" t="str">
        <f>VLOOKUP(K2940,'Structure type'!$A$1:$B$15,2,FALSE)</f>
        <v>Manhole</v>
      </c>
      <c r="M2940" s="23" t="s">
        <v>30</v>
      </c>
      <c r="N2940" s="23" t="str">
        <f>VLOOKUP(M2940,'Excursion Cause'!$A$1:$B$34,2,FALSE)</f>
        <v>Grease Blockage</v>
      </c>
      <c r="O2940" s="29">
        <v>45175.0</v>
      </c>
      <c r="P2940" s="30">
        <v>0.42777777777777776</v>
      </c>
      <c r="Q2940" s="32">
        <v>45175.0</v>
      </c>
      <c r="R2940" s="30">
        <v>0.5694444444444444</v>
      </c>
      <c r="S2940" s="28">
        <v>5.0</v>
      </c>
      <c r="T2940" s="23" t="s">
        <v>3749</v>
      </c>
      <c r="U2940" s="38"/>
      <c r="V2940" s="6"/>
      <c r="W2940" s="35">
        <v>29.7322323</v>
      </c>
      <c r="X2940" s="35">
        <v>-95.5753889</v>
      </c>
      <c r="AA2940" s="33"/>
      <c r="AB2940" s="33"/>
      <c r="AC2940" s="33"/>
      <c r="AD2940" s="33"/>
      <c r="AE2940" s="33"/>
      <c r="AF2940" s="33"/>
      <c r="AG2940" s="33"/>
      <c r="AH2940" s="33"/>
      <c r="AI2940" s="33"/>
      <c r="AJ2940" s="33"/>
      <c r="AK2940" s="33"/>
      <c r="AL2940" s="33"/>
      <c r="AM2940" s="33"/>
      <c r="AN2940" s="33"/>
      <c r="AO2940" s="33"/>
    </row>
    <row r="2941" ht="15.75" customHeight="1">
      <c r="A2941" s="41">
        <v>53142.0</v>
      </c>
      <c r="B2941" s="23">
        <v>2023.0</v>
      </c>
      <c r="C2941" s="36" t="str">
        <f t="shared" si="7"/>
        <v>1833 SHARP PL,Houston,TX</v>
      </c>
      <c r="D2941" s="23" t="s">
        <v>4164</v>
      </c>
      <c r="E2941" s="23" t="s">
        <v>25</v>
      </c>
      <c r="F2941" s="23" t="s">
        <v>1388</v>
      </c>
      <c r="G2941" s="31" t="s">
        <v>80</v>
      </c>
      <c r="H2941" s="23" t="s">
        <v>28</v>
      </c>
      <c r="I2941" s="37" t="str">
        <f>VLOOKUP(H2941,'Flow Location'!$A$1:$B$21,2,FALSE)</f>
        <v>Storm Sewer (not contained)</v>
      </c>
      <c r="J2941" s="28">
        <v>0.0</v>
      </c>
      <c r="K2941" s="23" t="s">
        <v>290</v>
      </c>
      <c r="L2941" s="37" t="str">
        <f>VLOOKUP(K2941,'Structure type'!$A$1:$B$15,2,FALSE)</f>
        <v>Gravity Main</v>
      </c>
      <c r="M2941" s="23" t="s">
        <v>2550</v>
      </c>
      <c r="N2941" s="23" t="str">
        <f>VLOOKUP(M2941,'Excursion Cause'!$A$1:$B$34,2,FALSE)</f>
        <v>Cross-connection to Storm Sewer</v>
      </c>
      <c r="O2941" s="29">
        <v>45175.0</v>
      </c>
      <c r="P2941" s="30">
        <v>0.47708333333333336</v>
      </c>
      <c r="Q2941" s="32">
        <v>45178.0</v>
      </c>
      <c r="R2941" s="30">
        <v>0.6083333333333333</v>
      </c>
      <c r="S2941" s="28">
        <v>0.0</v>
      </c>
      <c r="T2941" s="23" t="s">
        <v>292</v>
      </c>
      <c r="U2941" s="38"/>
      <c r="V2941" s="6"/>
      <c r="W2941" s="35">
        <v>29.7499994</v>
      </c>
      <c r="X2941" s="35">
        <v>-95.4116471</v>
      </c>
      <c r="AA2941" s="33"/>
      <c r="AB2941" s="33"/>
      <c r="AC2941" s="33"/>
      <c r="AD2941" s="33"/>
      <c r="AE2941" s="33"/>
      <c r="AF2941" s="33"/>
      <c r="AG2941" s="33"/>
      <c r="AH2941" s="33"/>
      <c r="AI2941" s="33"/>
      <c r="AJ2941" s="33"/>
      <c r="AK2941" s="33"/>
      <c r="AL2941" s="33"/>
      <c r="AM2941" s="33"/>
      <c r="AN2941" s="33"/>
      <c r="AO2941" s="33"/>
    </row>
    <row r="2942" ht="15.75" customHeight="1">
      <c r="A2942" s="41">
        <v>53144.0</v>
      </c>
      <c r="B2942" s="23">
        <v>2023.0</v>
      </c>
      <c r="C2942" s="36" t="str">
        <f t="shared" si="7"/>
        <v>2026 34TH ST,Houston,TX</v>
      </c>
      <c r="D2942" s="23" t="s">
        <v>4165</v>
      </c>
      <c r="E2942" s="23" t="s">
        <v>25</v>
      </c>
      <c r="F2942" s="23" t="s">
        <v>1388</v>
      </c>
      <c r="G2942" s="31" t="s">
        <v>218</v>
      </c>
      <c r="H2942" s="23" t="s">
        <v>28</v>
      </c>
      <c r="I2942" s="37" t="str">
        <f>VLOOKUP(H2942,'Flow Location'!$A$1:$B$21,2,FALSE)</f>
        <v>Storm Sewer (not contained)</v>
      </c>
      <c r="J2942" s="28">
        <v>167.0</v>
      </c>
      <c r="K2942" s="23" t="s">
        <v>29</v>
      </c>
      <c r="L2942" s="37" t="str">
        <f>VLOOKUP(K2942,'Structure type'!$A$1:$B$15,2,FALSE)</f>
        <v>Manhole</v>
      </c>
      <c r="M2942" s="23" t="s">
        <v>30</v>
      </c>
      <c r="N2942" s="23" t="str">
        <f>VLOOKUP(M2942,'Excursion Cause'!$A$1:$B$34,2,FALSE)</f>
        <v>Grease Blockage</v>
      </c>
      <c r="O2942" s="29">
        <v>45175.0</v>
      </c>
      <c r="P2942" s="30">
        <v>0.5923611111111111</v>
      </c>
      <c r="Q2942" s="32">
        <v>45175.0</v>
      </c>
      <c r="R2942" s="30">
        <v>0.7083333333333334</v>
      </c>
      <c r="S2942" s="28">
        <v>1.0</v>
      </c>
      <c r="T2942" s="23" t="s">
        <v>1462</v>
      </c>
      <c r="U2942" s="38"/>
      <c r="V2942" s="6"/>
      <c r="W2942" s="35">
        <v>29.8177136</v>
      </c>
      <c r="X2942" s="35">
        <v>-95.4360744</v>
      </c>
      <c r="AA2942" s="33"/>
      <c r="AB2942" s="33"/>
      <c r="AC2942" s="33"/>
      <c r="AD2942" s="33"/>
      <c r="AE2942" s="33"/>
      <c r="AF2942" s="33"/>
      <c r="AG2942" s="33"/>
      <c r="AH2942" s="33"/>
      <c r="AI2942" s="33"/>
      <c r="AJ2942" s="33"/>
      <c r="AK2942" s="33"/>
      <c r="AL2942" s="33"/>
      <c r="AM2942" s="33"/>
      <c r="AN2942" s="33"/>
      <c r="AO2942" s="33"/>
    </row>
    <row r="2943" ht="15.75" customHeight="1">
      <c r="A2943" s="41">
        <v>53156.0</v>
      </c>
      <c r="B2943" s="23">
        <v>2023.0</v>
      </c>
      <c r="C2943" s="36" t="str">
        <f t="shared" si="7"/>
        <v>4910 ALLENDALE RD,Houston,TX</v>
      </c>
      <c r="D2943" s="23" t="s">
        <v>1034</v>
      </c>
      <c r="E2943" s="23" t="s">
        <v>25</v>
      </c>
      <c r="F2943" s="23" t="s">
        <v>1388</v>
      </c>
      <c r="G2943" s="31" t="s">
        <v>135</v>
      </c>
      <c r="H2943" s="23" t="s">
        <v>28</v>
      </c>
      <c r="I2943" s="37" t="str">
        <f>VLOOKUP(H2943,'Flow Location'!$A$1:$B$21,2,FALSE)</f>
        <v>Storm Sewer (not contained)</v>
      </c>
      <c r="J2943" s="28">
        <v>114.0</v>
      </c>
      <c r="K2943" s="23" t="s">
        <v>29</v>
      </c>
      <c r="L2943" s="37" t="str">
        <f>VLOOKUP(K2943,'Structure type'!$A$1:$B$15,2,FALSE)</f>
        <v>Manhole</v>
      </c>
      <c r="M2943" s="23" t="s">
        <v>30</v>
      </c>
      <c r="N2943" s="23" t="str">
        <f>VLOOKUP(M2943,'Excursion Cause'!$A$1:$B$34,2,FALSE)</f>
        <v>Grease Blockage</v>
      </c>
      <c r="O2943" s="29">
        <v>45177.0</v>
      </c>
      <c r="P2943" s="30">
        <v>0.5666666666666667</v>
      </c>
      <c r="Q2943" s="32">
        <v>45177.0</v>
      </c>
      <c r="R2943" s="30">
        <v>0.6458333333333334</v>
      </c>
      <c r="S2943" s="28">
        <v>1.0</v>
      </c>
      <c r="T2943" s="23" t="s">
        <v>3749</v>
      </c>
      <c r="U2943" s="38"/>
      <c r="V2943" s="6"/>
      <c r="W2943" s="35">
        <v>29.6805485</v>
      </c>
      <c r="X2943" s="35">
        <v>-95.248531</v>
      </c>
      <c r="AA2943" s="33"/>
      <c r="AB2943" s="33"/>
      <c r="AC2943" s="33"/>
      <c r="AD2943" s="33"/>
      <c r="AE2943" s="33"/>
      <c r="AF2943" s="33"/>
      <c r="AG2943" s="33"/>
      <c r="AH2943" s="33"/>
      <c r="AI2943" s="33"/>
      <c r="AJ2943" s="33"/>
      <c r="AK2943" s="33"/>
      <c r="AL2943" s="33"/>
      <c r="AM2943" s="33"/>
      <c r="AN2943" s="33"/>
      <c r="AO2943" s="33"/>
    </row>
    <row r="2944" ht="15.75" customHeight="1">
      <c r="A2944" s="41">
        <v>53161.0</v>
      </c>
      <c r="B2944" s="23">
        <v>2023.0</v>
      </c>
      <c r="C2944" s="36" t="str">
        <f t="shared" si="7"/>
        <v>2900 HOLMAN ST,Houston,TX</v>
      </c>
      <c r="D2944" s="23" t="s">
        <v>2052</v>
      </c>
      <c r="E2944" s="23" t="s">
        <v>25</v>
      </c>
      <c r="F2944" s="23" t="s">
        <v>1388</v>
      </c>
      <c r="G2944" s="31" t="s">
        <v>308</v>
      </c>
      <c r="H2944" s="23" t="s">
        <v>50</v>
      </c>
      <c r="I2944" s="37" t="str">
        <f>VLOOKUP(H2944,'Flow Location'!$A$1:$B$21,2,FALSE)</f>
        <v>Contained On Site, not within 5 ft. of Bayou/Surface Water/Drainage Ditch</v>
      </c>
      <c r="J2944" s="28">
        <v>0.0</v>
      </c>
      <c r="K2944" s="23" t="s">
        <v>45</v>
      </c>
      <c r="L2944" s="37" t="str">
        <f>VLOOKUP(K2944,'Structure type'!$A$1:$B$15,2,FALSE)</f>
        <v>City Cleanout</v>
      </c>
      <c r="M2944" s="23" t="s">
        <v>30</v>
      </c>
      <c r="N2944" s="23" t="str">
        <f>VLOOKUP(M2944,'Excursion Cause'!$A$1:$B$34,2,FALSE)</f>
        <v>Grease Blockage</v>
      </c>
      <c r="O2944" s="29">
        <v>45177.0</v>
      </c>
      <c r="P2944" s="30">
        <v>0.625</v>
      </c>
      <c r="Q2944" s="32">
        <v>45177.0</v>
      </c>
      <c r="R2944" s="30">
        <v>0.6256944444444444</v>
      </c>
      <c r="S2944" s="28">
        <v>0.0</v>
      </c>
      <c r="T2944" s="23" t="s">
        <v>1473</v>
      </c>
      <c r="U2944" s="38"/>
      <c r="V2944" s="6"/>
      <c r="W2944" s="35">
        <v>29.7292702</v>
      </c>
      <c r="X2944" s="35">
        <v>-95.3622451</v>
      </c>
      <c r="AA2944" s="33"/>
      <c r="AB2944" s="33"/>
      <c r="AC2944" s="33"/>
      <c r="AD2944" s="33"/>
      <c r="AE2944" s="33"/>
      <c r="AF2944" s="33"/>
      <c r="AG2944" s="33"/>
      <c r="AH2944" s="33"/>
      <c r="AI2944" s="33"/>
      <c r="AJ2944" s="33"/>
      <c r="AK2944" s="33"/>
      <c r="AL2944" s="33"/>
      <c r="AM2944" s="33"/>
      <c r="AN2944" s="33"/>
      <c r="AO2944" s="33"/>
    </row>
    <row r="2945" ht="15.75" customHeight="1">
      <c r="A2945" s="41">
        <v>53167.0</v>
      </c>
      <c r="B2945" s="23">
        <v>2023.0</v>
      </c>
      <c r="C2945" s="36" t="str">
        <f t="shared" si="7"/>
        <v>3511 ASKEW ST,Houston,TX</v>
      </c>
      <c r="D2945" s="23" t="s">
        <v>4166</v>
      </c>
      <c r="E2945" s="23" t="s">
        <v>25</v>
      </c>
      <c r="F2945" s="23" t="s">
        <v>1388</v>
      </c>
      <c r="G2945" s="31" t="s">
        <v>35</v>
      </c>
      <c r="H2945" s="23" t="s">
        <v>50</v>
      </c>
      <c r="I2945" s="37" t="str">
        <f>VLOOKUP(H2945,'Flow Location'!$A$1:$B$21,2,FALSE)</f>
        <v>Contained On Site, not within 5 ft. of Bayou/Surface Water/Drainage Ditch</v>
      </c>
      <c r="J2945" s="28">
        <v>0.0</v>
      </c>
      <c r="K2945" s="23" t="s">
        <v>29</v>
      </c>
      <c r="L2945" s="37" t="str">
        <f>VLOOKUP(K2945,'Structure type'!$A$1:$B$15,2,FALSE)</f>
        <v>Manhole</v>
      </c>
      <c r="M2945" s="23" t="s">
        <v>30</v>
      </c>
      <c r="N2945" s="23" t="str">
        <f>VLOOKUP(M2945,'Excursion Cause'!$A$1:$B$34,2,FALSE)</f>
        <v>Grease Blockage</v>
      </c>
      <c r="O2945" s="29">
        <v>45179.0</v>
      </c>
      <c r="P2945" s="30">
        <v>0.4409722222222222</v>
      </c>
      <c r="Q2945" s="32">
        <v>45179.0</v>
      </c>
      <c r="R2945" s="30">
        <v>0.6875</v>
      </c>
      <c r="S2945" s="28">
        <v>0.0</v>
      </c>
      <c r="T2945" s="23" t="s">
        <v>3749</v>
      </c>
      <c r="U2945" s="38"/>
      <c r="V2945" s="6"/>
      <c r="W2945" s="35">
        <v>29.6975763</v>
      </c>
      <c r="X2945" s="35">
        <v>-95.3134158</v>
      </c>
      <c r="AA2945" s="33"/>
      <c r="AB2945" s="33"/>
      <c r="AC2945" s="33"/>
      <c r="AD2945" s="33"/>
      <c r="AE2945" s="33"/>
      <c r="AF2945" s="33"/>
      <c r="AG2945" s="33"/>
      <c r="AH2945" s="33"/>
      <c r="AI2945" s="33"/>
      <c r="AJ2945" s="33"/>
      <c r="AK2945" s="33"/>
      <c r="AL2945" s="33"/>
      <c r="AM2945" s="33"/>
      <c r="AN2945" s="33"/>
      <c r="AO2945" s="33"/>
    </row>
    <row r="2946" ht="15.75" customHeight="1">
      <c r="A2946" s="41">
        <v>53170.0</v>
      </c>
      <c r="B2946" s="23">
        <v>2023.0</v>
      </c>
      <c r="C2946" s="36" t="str">
        <f t="shared" si="7"/>
        <v>8299 CAMBRIDGE ST,Houston,TX</v>
      </c>
      <c r="D2946" s="23" t="s">
        <v>4167</v>
      </c>
      <c r="E2946" s="23" t="s">
        <v>25</v>
      </c>
      <c r="F2946" s="23" t="s">
        <v>1388</v>
      </c>
      <c r="G2946" s="31" t="s">
        <v>426</v>
      </c>
      <c r="H2946" s="23" t="s">
        <v>28</v>
      </c>
      <c r="I2946" s="37" t="str">
        <f>VLOOKUP(H2946,'Flow Location'!$A$1:$B$21,2,FALSE)</f>
        <v>Storm Sewer (not contained)</v>
      </c>
      <c r="J2946" s="28">
        <v>276.0</v>
      </c>
      <c r="K2946" s="23" t="s">
        <v>29</v>
      </c>
      <c r="L2946" s="37" t="str">
        <f>VLOOKUP(K2946,'Structure type'!$A$1:$B$15,2,FALSE)</f>
        <v>Manhole</v>
      </c>
      <c r="M2946" s="23" t="s">
        <v>56</v>
      </c>
      <c r="N2946" s="23" t="str">
        <f>VLOOKUP(M2946,'Excursion Cause'!$A$1:$B$34,2,FALSE)</f>
        <v>Rags/Wipes</v>
      </c>
      <c r="O2946" s="29">
        <v>45179.0</v>
      </c>
      <c r="P2946" s="30">
        <v>0.49444444444444446</v>
      </c>
      <c r="Q2946" s="32">
        <v>45179.0</v>
      </c>
      <c r="R2946" s="30">
        <v>0.5902777777777778</v>
      </c>
      <c r="S2946" s="28">
        <v>2.0</v>
      </c>
      <c r="T2946" s="23" t="s">
        <v>3749</v>
      </c>
      <c r="U2946" s="38"/>
      <c r="V2946" s="6"/>
      <c r="W2946" s="35">
        <v>29.6868437</v>
      </c>
      <c r="X2946" s="35">
        <v>-95.3951275</v>
      </c>
      <c r="AA2946" s="33"/>
      <c r="AB2946" s="33"/>
      <c r="AC2946" s="33"/>
      <c r="AD2946" s="33"/>
      <c r="AE2946" s="33"/>
      <c r="AF2946" s="33"/>
      <c r="AG2946" s="33"/>
      <c r="AH2946" s="33"/>
      <c r="AI2946" s="33"/>
      <c r="AJ2946" s="33"/>
      <c r="AK2946" s="33"/>
      <c r="AL2946" s="33"/>
      <c r="AM2946" s="33"/>
      <c r="AN2946" s="33"/>
      <c r="AO2946" s="33"/>
    </row>
    <row r="2947" ht="15.75" customHeight="1">
      <c r="A2947" s="41">
        <v>53173.0</v>
      </c>
      <c r="B2947" s="23">
        <v>2023.0</v>
      </c>
      <c r="C2947" s="36" t="str">
        <f t="shared" si="7"/>
        <v>13 TIEL WAY,Houston,TX</v>
      </c>
      <c r="D2947" s="23" t="s">
        <v>4168</v>
      </c>
      <c r="E2947" s="23" t="s">
        <v>25</v>
      </c>
      <c r="F2947" s="23" t="s">
        <v>1388</v>
      </c>
      <c r="G2947" s="31" t="s">
        <v>80</v>
      </c>
      <c r="H2947" s="23" t="s">
        <v>50</v>
      </c>
      <c r="I2947" s="37" t="str">
        <f>VLOOKUP(H2947,'Flow Location'!$A$1:$B$21,2,FALSE)</f>
        <v>Contained On Site, not within 5 ft. of Bayou/Surface Water/Drainage Ditch</v>
      </c>
      <c r="J2947" s="28">
        <v>3091.0</v>
      </c>
      <c r="K2947" s="23" t="s">
        <v>198</v>
      </c>
      <c r="L2947" s="37" t="str">
        <f>VLOOKUP(K2947,'Structure type'!$A$1:$B$15,2,FALSE)</f>
        <v>Service Lateral</v>
      </c>
      <c r="M2947" s="23" t="s">
        <v>30</v>
      </c>
      <c r="N2947" s="23" t="str">
        <f>VLOOKUP(M2947,'Excursion Cause'!$A$1:$B$34,2,FALSE)</f>
        <v>Grease Blockage</v>
      </c>
      <c r="O2947" s="29">
        <v>45180.0</v>
      </c>
      <c r="P2947" s="30">
        <v>0.46944444444444444</v>
      </c>
      <c r="Q2947" s="32">
        <v>45182.0</v>
      </c>
      <c r="R2947" s="30">
        <v>0.6159722222222223</v>
      </c>
      <c r="S2947" s="28">
        <v>1.0</v>
      </c>
      <c r="T2947" s="23" t="s">
        <v>3749</v>
      </c>
      <c r="U2947" s="38"/>
      <c r="V2947" s="6"/>
      <c r="W2947" s="35">
        <v>29.7606962</v>
      </c>
      <c r="X2947" s="35">
        <v>-95.4108639999999</v>
      </c>
      <c r="AA2947" s="33"/>
      <c r="AB2947" s="33"/>
      <c r="AC2947" s="33"/>
      <c r="AD2947" s="33"/>
      <c r="AE2947" s="33"/>
      <c r="AF2947" s="33"/>
      <c r="AG2947" s="33"/>
      <c r="AH2947" s="33"/>
      <c r="AI2947" s="33"/>
      <c r="AJ2947" s="33"/>
      <c r="AK2947" s="33"/>
      <c r="AL2947" s="33"/>
      <c r="AM2947" s="33"/>
      <c r="AN2947" s="33"/>
      <c r="AO2947" s="33"/>
    </row>
    <row r="2948" ht="15.75" customHeight="1">
      <c r="A2948" s="41">
        <v>53177.0</v>
      </c>
      <c r="B2948" s="23">
        <v>2023.0</v>
      </c>
      <c r="C2948" s="36" t="str">
        <f t="shared" si="7"/>
        <v>12603 NORTHBOROUGH DR,Houston,TX</v>
      </c>
      <c r="D2948" s="23" t="s">
        <v>4169</v>
      </c>
      <c r="E2948" s="23" t="s">
        <v>25</v>
      </c>
      <c r="F2948" s="23" t="s">
        <v>1388</v>
      </c>
      <c r="G2948" s="31" t="s">
        <v>2203</v>
      </c>
      <c r="H2948" s="23" t="s">
        <v>50</v>
      </c>
      <c r="I2948" s="37" t="str">
        <f>VLOOKUP(H2948,'Flow Location'!$A$1:$B$21,2,FALSE)</f>
        <v>Contained On Site, not within 5 ft. of Bayou/Surface Water/Drainage Ditch</v>
      </c>
      <c r="J2948" s="28">
        <v>1280.0</v>
      </c>
      <c r="K2948" s="23" t="s">
        <v>29</v>
      </c>
      <c r="L2948" s="37" t="str">
        <f>VLOOKUP(K2948,'Structure type'!$A$1:$B$15,2,FALSE)</f>
        <v>Manhole</v>
      </c>
      <c r="M2948" s="23" t="s">
        <v>30</v>
      </c>
      <c r="N2948" s="23" t="str">
        <f>VLOOKUP(M2948,'Excursion Cause'!$A$1:$B$34,2,FALSE)</f>
        <v>Grease Blockage</v>
      </c>
      <c r="O2948" s="29">
        <v>45180.0</v>
      </c>
      <c r="P2948" s="30">
        <v>0.6423611111111112</v>
      </c>
      <c r="Q2948" s="32">
        <v>45181.0</v>
      </c>
      <c r="R2948" s="30">
        <v>0.53125</v>
      </c>
      <c r="S2948" s="28">
        <v>1.0</v>
      </c>
      <c r="T2948" s="23" t="s">
        <v>1462</v>
      </c>
      <c r="U2948" s="38"/>
      <c r="V2948" s="6"/>
      <c r="W2948" s="35">
        <v>29.9511665</v>
      </c>
      <c r="X2948" s="35">
        <v>-95.4239715</v>
      </c>
      <c r="AA2948" s="33"/>
      <c r="AB2948" s="33"/>
      <c r="AC2948" s="33"/>
      <c r="AD2948" s="33"/>
      <c r="AE2948" s="33"/>
      <c r="AF2948" s="33"/>
      <c r="AG2948" s="33"/>
      <c r="AH2948" s="33"/>
      <c r="AI2948" s="33"/>
      <c r="AJ2948" s="33"/>
      <c r="AK2948" s="33"/>
      <c r="AL2948" s="33"/>
      <c r="AM2948" s="33"/>
      <c r="AN2948" s="33"/>
      <c r="AO2948" s="33"/>
    </row>
    <row r="2949" ht="15.75" customHeight="1">
      <c r="A2949" s="41">
        <v>53179.0</v>
      </c>
      <c r="B2949" s="23">
        <v>2023.0</v>
      </c>
      <c r="C2949" s="36" t="str">
        <f t="shared" si="7"/>
        <v>2711 BRIARHURST DR,Houston,TX</v>
      </c>
      <c r="D2949" s="23" t="s">
        <v>4170</v>
      </c>
      <c r="E2949" s="23" t="s">
        <v>25</v>
      </c>
      <c r="F2949" s="23" t="s">
        <v>1388</v>
      </c>
      <c r="G2949" s="31" t="s">
        <v>689</v>
      </c>
      <c r="H2949" s="23" t="s">
        <v>28</v>
      </c>
      <c r="I2949" s="37" t="str">
        <f>VLOOKUP(H2949,'Flow Location'!$A$1:$B$21,2,FALSE)</f>
        <v>Storm Sewer (not contained)</v>
      </c>
      <c r="J2949" s="28">
        <v>0.0</v>
      </c>
      <c r="K2949" s="23" t="s">
        <v>45</v>
      </c>
      <c r="L2949" s="37" t="str">
        <f>VLOOKUP(K2949,'Structure type'!$A$1:$B$15,2,FALSE)</f>
        <v>City Cleanout</v>
      </c>
      <c r="M2949" s="23" t="s">
        <v>56</v>
      </c>
      <c r="N2949" s="23" t="str">
        <f>VLOOKUP(M2949,'Excursion Cause'!$A$1:$B$34,2,FALSE)</f>
        <v>Rags/Wipes</v>
      </c>
      <c r="O2949" s="29">
        <v>45181.0</v>
      </c>
      <c r="P2949" s="30">
        <v>0.32430555555555557</v>
      </c>
      <c r="Q2949" s="32">
        <v>45181.0</v>
      </c>
      <c r="R2949" s="30">
        <v>0.325</v>
      </c>
      <c r="S2949" s="28">
        <v>0.0</v>
      </c>
      <c r="T2949" s="23" t="s">
        <v>3756</v>
      </c>
      <c r="U2949" s="38"/>
      <c r="V2949" s="6"/>
      <c r="W2949" s="35">
        <v>29.7371332</v>
      </c>
      <c r="X2949" s="35">
        <v>-95.4924317999999</v>
      </c>
      <c r="AA2949" s="33"/>
      <c r="AB2949" s="33"/>
      <c r="AC2949" s="33"/>
      <c r="AD2949" s="33"/>
      <c r="AE2949" s="33"/>
      <c r="AF2949" s="33"/>
      <c r="AG2949" s="33"/>
      <c r="AH2949" s="33"/>
      <c r="AI2949" s="33"/>
      <c r="AJ2949" s="33"/>
      <c r="AK2949" s="33"/>
      <c r="AL2949" s="33"/>
      <c r="AM2949" s="33"/>
      <c r="AN2949" s="33"/>
      <c r="AO2949" s="33"/>
    </row>
    <row r="2950" ht="15.75" customHeight="1">
      <c r="A2950" s="41">
        <v>53181.0</v>
      </c>
      <c r="B2950" s="23">
        <v>2023.0</v>
      </c>
      <c r="C2950" s="36" t="str">
        <f t="shared" si="7"/>
        <v>420 CAPLIN ST,Houston,TX</v>
      </c>
      <c r="D2950" s="23" t="s">
        <v>4171</v>
      </c>
      <c r="E2950" s="23" t="s">
        <v>25</v>
      </c>
      <c r="F2950" s="23" t="s">
        <v>1388</v>
      </c>
      <c r="G2950" s="31" t="s">
        <v>653</v>
      </c>
      <c r="H2950" s="23" t="s">
        <v>44</v>
      </c>
      <c r="I2950" s="37" t="str">
        <f>VLOOKUP(H2950,'Flow Location'!$A$1:$B$21,2,FALSE)</f>
        <v>Bayou/surface water/drainage ditch</v>
      </c>
      <c r="J2950" s="28">
        <v>0.0</v>
      </c>
      <c r="K2950" s="23" t="s">
        <v>29</v>
      </c>
      <c r="L2950" s="37" t="str">
        <f>VLOOKUP(K2950,'Structure type'!$A$1:$B$15,2,FALSE)</f>
        <v>Manhole</v>
      </c>
      <c r="M2950" s="23" t="s">
        <v>30</v>
      </c>
      <c r="N2950" s="23" t="str">
        <f>VLOOKUP(M2950,'Excursion Cause'!$A$1:$B$34,2,FALSE)</f>
        <v>Grease Blockage</v>
      </c>
      <c r="O2950" s="29">
        <v>45181.0</v>
      </c>
      <c r="P2950" s="30">
        <v>0.38263888888888886</v>
      </c>
      <c r="Q2950" s="32">
        <v>45181.0</v>
      </c>
      <c r="R2950" s="30">
        <v>0.38333333333333336</v>
      </c>
      <c r="S2950" s="28">
        <v>0.0</v>
      </c>
      <c r="T2950" s="23" t="s">
        <v>3749</v>
      </c>
      <c r="U2950" s="38"/>
      <c r="V2950" s="6"/>
      <c r="W2950" s="35">
        <v>29.8153648</v>
      </c>
      <c r="X2950" s="35">
        <v>-95.3666192</v>
      </c>
      <c r="AA2950" s="33"/>
      <c r="AB2950" s="33"/>
      <c r="AC2950" s="33"/>
      <c r="AD2950" s="33"/>
      <c r="AE2950" s="33"/>
      <c r="AF2950" s="33"/>
      <c r="AG2950" s="33"/>
      <c r="AH2950" s="33"/>
      <c r="AI2950" s="33"/>
      <c r="AJ2950" s="33"/>
      <c r="AK2950" s="33"/>
      <c r="AL2950" s="33"/>
      <c r="AM2950" s="33"/>
      <c r="AN2950" s="33"/>
      <c r="AO2950" s="33"/>
    </row>
    <row r="2951" ht="15.75" customHeight="1">
      <c r="A2951" s="41">
        <v>53185.0</v>
      </c>
      <c r="B2951" s="23">
        <v>2023.0</v>
      </c>
      <c r="C2951" s="36" t="str">
        <f t="shared" si="7"/>
        <v>602 BIZERTE ST,Houston,TX</v>
      </c>
      <c r="D2951" s="23" t="s">
        <v>4172</v>
      </c>
      <c r="E2951" s="23" t="s">
        <v>25</v>
      </c>
      <c r="F2951" s="23" t="s">
        <v>1388</v>
      </c>
      <c r="G2951" s="31" t="s">
        <v>653</v>
      </c>
      <c r="H2951" s="23" t="s">
        <v>50</v>
      </c>
      <c r="I2951" s="37" t="str">
        <f>VLOOKUP(H2951,'Flow Location'!$A$1:$B$21,2,FALSE)</f>
        <v>Contained On Site, not within 5 ft. of Bayou/Surface Water/Drainage Ditch</v>
      </c>
      <c r="J2951" s="28">
        <v>0.0</v>
      </c>
      <c r="K2951" s="23" t="s">
        <v>51</v>
      </c>
      <c r="L2951" s="37" t="str">
        <f>VLOOKUP(K2951,'Structure type'!$A$1:$B$15,2,FALSE)</f>
        <v>Private Cleanout</v>
      </c>
      <c r="M2951" s="23" t="s">
        <v>52</v>
      </c>
      <c r="N2951" s="23" t="str">
        <f>VLOOKUP(M2951,'Excursion Cause'!$A$1:$B$34,2,FALSE)</f>
        <v>Collection system structural blockage</v>
      </c>
      <c r="O2951" s="29">
        <v>45181.0</v>
      </c>
      <c r="P2951" s="30">
        <v>0.6486111111111111</v>
      </c>
      <c r="Q2951" s="32">
        <v>45181.0</v>
      </c>
      <c r="R2951" s="30">
        <v>0.6493055555555556</v>
      </c>
      <c r="S2951" s="28">
        <v>0.0</v>
      </c>
      <c r="T2951" s="23" t="s">
        <v>118</v>
      </c>
      <c r="U2951" s="38"/>
      <c r="V2951" s="6"/>
      <c r="W2951" s="35">
        <v>29.8375938</v>
      </c>
      <c r="X2951" s="35">
        <v>-95.3909080999999</v>
      </c>
      <c r="AA2951" s="33"/>
      <c r="AB2951" s="33"/>
      <c r="AC2951" s="33"/>
      <c r="AD2951" s="33"/>
      <c r="AE2951" s="33"/>
      <c r="AF2951" s="33"/>
      <c r="AG2951" s="33"/>
      <c r="AH2951" s="33"/>
      <c r="AI2951" s="33"/>
      <c r="AJ2951" s="33"/>
      <c r="AK2951" s="33"/>
      <c r="AL2951" s="33"/>
      <c r="AM2951" s="33"/>
      <c r="AN2951" s="33"/>
      <c r="AO2951" s="33"/>
    </row>
    <row r="2952" ht="15.75" customHeight="1">
      <c r="A2952" s="41">
        <v>53186.0</v>
      </c>
      <c r="B2952" s="23">
        <v>2023.0</v>
      </c>
      <c r="C2952" s="36" t="str">
        <f t="shared" si="7"/>
        <v>2020 HOLLISTER ST,Houston,TX</v>
      </c>
      <c r="D2952" s="23" t="s">
        <v>4173</v>
      </c>
      <c r="E2952" s="23" t="s">
        <v>25</v>
      </c>
      <c r="F2952" s="23" t="s">
        <v>1388</v>
      </c>
      <c r="G2952" s="31" t="s">
        <v>294</v>
      </c>
      <c r="H2952" s="23" t="s">
        <v>28</v>
      </c>
      <c r="I2952" s="37" t="str">
        <f>VLOOKUP(H2952,'Flow Location'!$A$1:$B$21,2,FALSE)</f>
        <v>Storm Sewer (not contained)</v>
      </c>
      <c r="J2952" s="28">
        <v>2388.0</v>
      </c>
      <c r="K2952" s="23" t="s">
        <v>29</v>
      </c>
      <c r="L2952" s="37" t="str">
        <f>VLOOKUP(K2952,'Structure type'!$A$1:$B$15,2,FALSE)</f>
        <v>Manhole</v>
      </c>
      <c r="M2952" s="23" t="s">
        <v>30</v>
      </c>
      <c r="N2952" s="23" t="str">
        <f>VLOOKUP(M2952,'Excursion Cause'!$A$1:$B$34,2,FALSE)</f>
        <v>Grease Blockage</v>
      </c>
      <c r="O2952" s="29">
        <v>45181.0</v>
      </c>
      <c r="P2952" s="30">
        <v>0.6388888888888888</v>
      </c>
      <c r="Q2952" s="32">
        <v>45182.0</v>
      </c>
      <c r="R2952" s="30">
        <v>0.4673611111111111</v>
      </c>
      <c r="S2952" s="28">
        <v>2.0</v>
      </c>
      <c r="T2952" s="23" t="s">
        <v>3749</v>
      </c>
      <c r="U2952" s="38"/>
      <c r="V2952" s="6"/>
      <c r="W2952" s="35">
        <v>29.8101974999999</v>
      </c>
      <c r="X2952" s="35">
        <v>-95.5062143999999</v>
      </c>
      <c r="AA2952" s="33"/>
      <c r="AB2952" s="33"/>
      <c r="AC2952" s="33"/>
      <c r="AD2952" s="33"/>
      <c r="AE2952" s="33"/>
      <c r="AF2952" s="33"/>
      <c r="AG2952" s="33"/>
      <c r="AH2952" s="33"/>
      <c r="AI2952" s="33"/>
      <c r="AJ2952" s="33"/>
      <c r="AK2952" s="33"/>
      <c r="AL2952" s="33"/>
      <c r="AM2952" s="33"/>
      <c r="AN2952" s="33"/>
      <c r="AO2952" s="33"/>
    </row>
    <row r="2953" ht="15.75" customHeight="1">
      <c r="A2953" s="41">
        <v>53189.0</v>
      </c>
      <c r="B2953" s="23">
        <v>2023.0</v>
      </c>
      <c r="C2953" s="36" t="str">
        <f t="shared" si="7"/>
        <v>9523 GULF BRIDGE ST,Houston,TX</v>
      </c>
      <c r="D2953" s="23" t="s">
        <v>1626</v>
      </c>
      <c r="E2953" s="23" t="s">
        <v>25</v>
      </c>
      <c r="F2953" s="23" t="s">
        <v>1388</v>
      </c>
      <c r="G2953" s="31" t="s">
        <v>95</v>
      </c>
      <c r="H2953" s="23" t="s">
        <v>50</v>
      </c>
      <c r="I2953" s="37" t="str">
        <f>VLOOKUP(H2953,'Flow Location'!$A$1:$B$21,2,FALSE)</f>
        <v>Contained On Site, not within 5 ft. of Bayou/Surface Water/Drainage Ditch</v>
      </c>
      <c r="J2953" s="28">
        <v>0.0</v>
      </c>
      <c r="K2953" s="23" t="s">
        <v>45</v>
      </c>
      <c r="L2953" s="37" t="str">
        <f>VLOOKUP(K2953,'Structure type'!$A$1:$B$15,2,FALSE)</f>
        <v>City Cleanout</v>
      </c>
      <c r="M2953" s="23" t="s">
        <v>30</v>
      </c>
      <c r="N2953" s="23" t="str">
        <f>VLOOKUP(M2953,'Excursion Cause'!$A$1:$B$34,2,FALSE)</f>
        <v>Grease Blockage</v>
      </c>
      <c r="O2953" s="29">
        <v>45182.0</v>
      </c>
      <c r="P2953" s="30">
        <v>0.45902777777777776</v>
      </c>
      <c r="Q2953" s="32">
        <v>45182.0</v>
      </c>
      <c r="R2953" s="30">
        <v>0.4597222222222222</v>
      </c>
      <c r="S2953" s="28">
        <v>0.0</v>
      </c>
      <c r="T2953" s="23" t="s">
        <v>1462</v>
      </c>
      <c r="U2953" s="38"/>
      <c r="V2953" s="6"/>
      <c r="W2953" s="35">
        <v>29.608786</v>
      </c>
      <c r="X2953" s="35">
        <v>-95.2463891</v>
      </c>
      <c r="AA2953" s="33"/>
      <c r="AB2953" s="33"/>
      <c r="AC2953" s="33"/>
      <c r="AD2953" s="33"/>
      <c r="AE2953" s="33"/>
      <c r="AF2953" s="33"/>
      <c r="AG2953" s="33"/>
      <c r="AH2953" s="33"/>
      <c r="AI2953" s="33"/>
      <c r="AJ2953" s="33"/>
      <c r="AK2953" s="33"/>
      <c r="AL2953" s="33"/>
      <c r="AM2953" s="33"/>
      <c r="AN2953" s="33"/>
      <c r="AO2953" s="33"/>
    </row>
    <row r="2954" ht="15.75" customHeight="1">
      <c r="A2954" s="41">
        <v>53195.0</v>
      </c>
      <c r="B2954" s="23">
        <v>2023.0</v>
      </c>
      <c r="C2954" s="36" t="str">
        <f t="shared" si="7"/>
        <v>5234 BELTON SPRINGS LN,Houston,TX</v>
      </c>
      <c r="D2954" s="23" t="s">
        <v>4174</v>
      </c>
      <c r="E2954" s="23" t="s">
        <v>25</v>
      </c>
      <c r="F2954" s="23" t="s">
        <v>1388</v>
      </c>
      <c r="G2954" s="31" t="s">
        <v>301</v>
      </c>
      <c r="H2954" s="23" t="s">
        <v>1493</v>
      </c>
      <c r="I2954" s="37" t="str">
        <f>VLOOKUP(H2954,'Flow Location'!$A$1:$B$21,2,FALSE)</f>
        <v>Contained On Site, not within 5 ft. of Bayou/Surface Water/Drainage Ditch</v>
      </c>
      <c r="J2954" s="28">
        <v>0.0</v>
      </c>
      <c r="K2954" s="23" t="s">
        <v>29</v>
      </c>
      <c r="L2954" s="37" t="str">
        <f>VLOOKUP(K2954,'Structure type'!$A$1:$B$15,2,FALSE)</f>
        <v>Manhole</v>
      </c>
      <c r="M2954" s="23" t="s">
        <v>3250</v>
      </c>
      <c r="N2954" s="23" t="str">
        <f>VLOOKUP(M2954,'Excursion Cause'!$A$1:$B$34,2,FALSE)</f>
        <v>Collection system structural blockage</v>
      </c>
      <c r="O2954" s="29">
        <v>45182.0</v>
      </c>
      <c r="P2954" s="30">
        <v>0.6326388888888889</v>
      </c>
      <c r="Q2954" s="32">
        <v>45182.0</v>
      </c>
      <c r="R2954" s="30">
        <v>0.6333333333333333</v>
      </c>
      <c r="S2954" s="28">
        <v>0.0</v>
      </c>
      <c r="T2954" s="23" t="s">
        <v>1462</v>
      </c>
      <c r="U2954" s="38"/>
      <c r="V2954" s="6"/>
      <c r="W2954" s="35">
        <v>29.6167915</v>
      </c>
      <c r="X2954" s="35">
        <v>-95.3310004</v>
      </c>
      <c r="AA2954" s="33"/>
      <c r="AB2954" s="33"/>
      <c r="AC2954" s="33"/>
      <c r="AD2954" s="33"/>
      <c r="AE2954" s="33"/>
      <c r="AF2954" s="33"/>
      <c r="AG2954" s="33"/>
      <c r="AH2954" s="33"/>
      <c r="AI2954" s="33"/>
      <c r="AJ2954" s="33"/>
      <c r="AK2954" s="33"/>
      <c r="AL2954" s="33"/>
      <c r="AM2954" s="33"/>
      <c r="AN2954" s="33"/>
      <c r="AO2954" s="33"/>
    </row>
    <row r="2955" ht="15.75" customHeight="1">
      <c r="A2955" s="41">
        <v>53208.0</v>
      </c>
      <c r="B2955" s="23">
        <v>2023.0</v>
      </c>
      <c r="C2955" s="36" t="str">
        <f t="shared" si="7"/>
        <v>342 OXFORD ST,Houston,TX</v>
      </c>
      <c r="D2955" s="23" t="s">
        <v>3822</v>
      </c>
      <c r="E2955" s="23" t="s">
        <v>25</v>
      </c>
      <c r="F2955" s="23" t="s">
        <v>1388</v>
      </c>
      <c r="G2955" s="31" t="s">
        <v>158</v>
      </c>
      <c r="H2955" s="23" t="s">
        <v>50</v>
      </c>
      <c r="I2955" s="37" t="str">
        <f>VLOOKUP(H2955,'Flow Location'!$A$1:$B$21,2,FALSE)</f>
        <v>Contained On Site, not within 5 ft. of Bayou/Surface Water/Drainage Ditch</v>
      </c>
      <c r="J2955" s="28">
        <v>0.0</v>
      </c>
      <c r="K2955" s="23" t="s">
        <v>29</v>
      </c>
      <c r="L2955" s="37" t="str">
        <f>VLOOKUP(K2955,'Structure type'!$A$1:$B$15,2,FALSE)</f>
        <v>Manhole</v>
      </c>
      <c r="M2955" s="23" t="s">
        <v>30</v>
      </c>
      <c r="N2955" s="23" t="str">
        <f>VLOOKUP(M2955,'Excursion Cause'!$A$1:$B$34,2,FALSE)</f>
        <v>Grease Blockage</v>
      </c>
      <c r="O2955" s="29">
        <v>45183.0</v>
      </c>
      <c r="P2955" s="30">
        <v>0.7</v>
      </c>
      <c r="Q2955" s="32">
        <v>45183.0</v>
      </c>
      <c r="R2955" s="30">
        <v>0.7006944444444444</v>
      </c>
      <c r="S2955" s="28">
        <v>0.0</v>
      </c>
      <c r="T2955" s="23" t="s">
        <v>1462</v>
      </c>
      <c r="U2955" s="38"/>
      <c r="V2955" s="6"/>
      <c r="W2955" s="35">
        <v>29.7773226</v>
      </c>
      <c r="X2955" s="35">
        <v>-95.3915643</v>
      </c>
      <c r="AA2955" s="33"/>
      <c r="AB2955" s="33"/>
      <c r="AC2955" s="33"/>
      <c r="AD2955" s="33"/>
      <c r="AE2955" s="33"/>
      <c r="AF2955" s="33"/>
      <c r="AG2955" s="33"/>
      <c r="AH2955" s="33"/>
      <c r="AI2955" s="33"/>
      <c r="AJ2955" s="33"/>
      <c r="AK2955" s="33"/>
      <c r="AL2955" s="33"/>
      <c r="AM2955" s="33"/>
      <c r="AN2955" s="33"/>
      <c r="AO2955" s="33"/>
    </row>
    <row r="2956" ht="15.75" customHeight="1">
      <c r="A2956" s="41">
        <v>53210.0</v>
      </c>
      <c r="B2956" s="23">
        <v>2023.0</v>
      </c>
      <c r="C2956" s="36" t="str">
        <f t="shared" si="7"/>
        <v>5555 HOLLY VIEW DR,Houston,TX</v>
      </c>
      <c r="D2956" s="23" t="s">
        <v>4175</v>
      </c>
      <c r="E2956" s="23" t="s">
        <v>25</v>
      </c>
      <c r="F2956" s="23" t="s">
        <v>1388</v>
      </c>
      <c r="G2956" s="31" t="s">
        <v>222</v>
      </c>
      <c r="H2956" s="23" t="s">
        <v>50</v>
      </c>
      <c r="I2956" s="37" t="str">
        <f>VLOOKUP(H2956,'Flow Location'!$A$1:$B$21,2,FALSE)</f>
        <v>Contained On Site, not within 5 ft. of Bayou/Surface Water/Drainage Ditch</v>
      </c>
      <c r="J2956" s="28">
        <v>0.0</v>
      </c>
      <c r="K2956" s="23" t="s">
        <v>29</v>
      </c>
      <c r="L2956" s="37" t="str">
        <f>VLOOKUP(K2956,'Structure type'!$A$1:$B$15,2,FALSE)</f>
        <v>Manhole</v>
      </c>
      <c r="M2956" s="23" t="s">
        <v>30</v>
      </c>
      <c r="N2956" s="23" t="str">
        <f>VLOOKUP(M2956,'Excursion Cause'!$A$1:$B$34,2,FALSE)</f>
        <v>Grease Blockage</v>
      </c>
      <c r="O2956" s="29">
        <v>45184.0</v>
      </c>
      <c r="P2956" s="30">
        <v>0.4930555555555556</v>
      </c>
      <c r="Q2956" s="32">
        <v>45184.0</v>
      </c>
      <c r="R2956" s="30">
        <v>0.49375</v>
      </c>
      <c r="S2956" s="28">
        <v>0.0</v>
      </c>
      <c r="T2956" s="23" t="s">
        <v>3749</v>
      </c>
      <c r="U2956" s="38"/>
      <c r="V2956" s="6"/>
      <c r="W2956" s="35">
        <v>29.8563102</v>
      </c>
      <c r="X2956" s="35">
        <v>-95.4688853999999</v>
      </c>
      <c r="AA2956" s="33"/>
      <c r="AB2956" s="33"/>
      <c r="AC2956" s="33"/>
      <c r="AD2956" s="33"/>
      <c r="AE2956" s="33"/>
      <c r="AF2956" s="33"/>
      <c r="AG2956" s="33"/>
      <c r="AH2956" s="33"/>
      <c r="AI2956" s="33"/>
      <c r="AJ2956" s="33"/>
      <c r="AK2956" s="33"/>
      <c r="AL2956" s="33"/>
      <c r="AM2956" s="33"/>
      <c r="AN2956" s="33"/>
      <c r="AO2956" s="33"/>
    </row>
    <row r="2957" ht="15.75" customHeight="1">
      <c r="A2957" s="41">
        <v>53212.0</v>
      </c>
      <c r="B2957" s="23">
        <v>2023.0</v>
      </c>
      <c r="C2957" s="36" t="str">
        <f t="shared" si="7"/>
        <v>10103 KNOBOAK DR,Houston,TX</v>
      </c>
      <c r="D2957" s="23" t="s">
        <v>4176</v>
      </c>
      <c r="E2957" s="23" t="s">
        <v>25</v>
      </c>
      <c r="F2957" s="23" t="s">
        <v>1388</v>
      </c>
      <c r="G2957" s="31" t="s">
        <v>294</v>
      </c>
      <c r="H2957" s="23" t="s">
        <v>50</v>
      </c>
      <c r="I2957" s="37" t="str">
        <f>VLOOKUP(H2957,'Flow Location'!$A$1:$B$21,2,FALSE)</f>
        <v>Contained On Site, not within 5 ft. of Bayou/Surface Water/Drainage Ditch</v>
      </c>
      <c r="J2957" s="28">
        <v>8424.0</v>
      </c>
      <c r="K2957" s="23" t="s">
        <v>29</v>
      </c>
      <c r="L2957" s="37" t="str">
        <f>VLOOKUP(K2957,'Structure type'!$A$1:$B$15,2,FALSE)</f>
        <v>Manhole</v>
      </c>
      <c r="M2957" s="23" t="s">
        <v>52</v>
      </c>
      <c r="N2957" s="23" t="str">
        <f>VLOOKUP(M2957,'Excursion Cause'!$A$1:$B$34,2,FALSE)</f>
        <v>Collection system structural blockage</v>
      </c>
      <c r="O2957" s="29">
        <v>45184.0</v>
      </c>
      <c r="P2957" s="30">
        <v>0.6166666666666667</v>
      </c>
      <c r="Q2957" s="32">
        <v>45187.0</v>
      </c>
      <c r="R2957" s="30">
        <v>0.5416666666666666</v>
      </c>
      <c r="S2957" s="28">
        <v>2.0</v>
      </c>
      <c r="T2957" s="23" t="s">
        <v>4011</v>
      </c>
      <c r="U2957" s="38"/>
      <c r="V2957" s="6"/>
      <c r="W2957" s="35">
        <v>29.8079652</v>
      </c>
      <c r="X2957" s="35">
        <v>-95.5415051</v>
      </c>
      <c r="AA2957" s="33"/>
      <c r="AB2957" s="33"/>
      <c r="AC2957" s="33"/>
      <c r="AD2957" s="33"/>
      <c r="AE2957" s="33"/>
      <c r="AF2957" s="33"/>
      <c r="AG2957" s="33"/>
      <c r="AH2957" s="33"/>
      <c r="AI2957" s="33"/>
      <c r="AJ2957" s="33"/>
      <c r="AK2957" s="33"/>
      <c r="AL2957" s="33"/>
      <c r="AM2957" s="33"/>
      <c r="AN2957" s="33"/>
      <c r="AO2957" s="33"/>
    </row>
    <row r="2958" ht="15.75" customHeight="1">
      <c r="A2958" s="41">
        <v>53222.0</v>
      </c>
      <c r="B2958" s="23">
        <v>2023.0</v>
      </c>
      <c r="C2958" s="36" t="str">
        <f t="shared" si="7"/>
        <v>3362 FOUNTAIN VIEW DR,Houston,TX</v>
      </c>
      <c r="D2958" s="23" t="s">
        <v>4177</v>
      </c>
      <c r="E2958" s="23" t="s">
        <v>25</v>
      </c>
      <c r="F2958" s="23" t="s">
        <v>1388</v>
      </c>
      <c r="G2958" s="31" t="s">
        <v>689</v>
      </c>
      <c r="H2958" s="23" t="s">
        <v>50</v>
      </c>
      <c r="I2958" s="37" t="str">
        <f>VLOOKUP(H2958,'Flow Location'!$A$1:$B$21,2,FALSE)</f>
        <v>Contained On Site, not within 5 ft. of Bayou/Surface Water/Drainage Ditch</v>
      </c>
      <c r="J2958" s="28">
        <v>0.0</v>
      </c>
      <c r="K2958" s="23" t="s">
        <v>29</v>
      </c>
      <c r="L2958" s="37" t="str">
        <f>VLOOKUP(K2958,'Structure type'!$A$1:$B$15,2,FALSE)</f>
        <v>Manhole</v>
      </c>
      <c r="M2958" s="23" t="s">
        <v>30</v>
      </c>
      <c r="N2958" s="23" t="str">
        <f>VLOOKUP(M2958,'Excursion Cause'!$A$1:$B$34,2,FALSE)</f>
        <v>Grease Blockage</v>
      </c>
      <c r="O2958" s="29">
        <v>45185.0</v>
      </c>
      <c r="P2958" s="30">
        <v>0.6840277777777778</v>
      </c>
      <c r="Q2958" s="32">
        <v>45185.0</v>
      </c>
      <c r="R2958" s="30">
        <v>0.7305555555555555</v>
      </c>
      <c r="S2958" s="28">
        <v>0.0</v>
      </c>
      <c r="T2958" s="23" t="s">
        <v>3749</v>
      </c>
      <c r="U2958" s="38"/>
      <c r="V2958" s="6"/>
      <c r="W2958" s="35">
        <v>29.7286033</v>
      </c>
      <c r="X2958" s="35">
        <v>-95.4844785</v>
      </c>
      <c r="AA2958" s="33"/>
      <c r="AB2958" s="33"/>
      <c r="AC2958" s="33"/>
      <c r="AD2958" s="33"/>
      <c r="AE2958" s="33"/>
      <c r="AF2958" s="33"/>
      <c r="AG2958" s="33"/>
      <c r="AH2958" s="33"/>
      <c r="AI2958" s="33"/>
      <c r="AJ2958" s="33"/>
      <c r="AK2958" s="33"/>
      <c r="AL2958" s="33"/>
      <c r="AM2958" s="33"/>
      <c r="AN2958" s="33"/>
      <c r="AO2958" s="33"/>
    </row>
    <row r="2959" ht="15.75" customHeight="1">
      <c r="A2959" s="41">
        <v>53224.0</v>
      </c>
      <c r="B2959" s="23">
        <v>2023.0</v>
      </c>
      <c r="C2959" s="36" t="str">
        <f t="shared" si="7"/>
        <v>2322 KINGS TRL,Houston,TX</v>
      </c>
      <c r="D2959" s="23" t="s">
        <v>4178</v>
      </c>
      <c r="E2959" s="23" t="s">
        <v>25</v>
      </c>
      <c r="F2959" s="23" t="s">
        <v>1388</v>
      </c>
      <c r="G2959" s="31" t="s">
        <v>1078</v>
      </c>
      <c r="H2959" s="23" t="s">
        <v>1493</v>
      </c>
      <c r="I2959" s="37" t="str">
        <f>VLOOKUP(H2959,'Flow Location'!$A$1:$B$21,2,FALSE)</f>
        <v>Contained On Site, not within 5 ft. of Bayou/Surface Water/Drainage Ditch</v>
      </c>
      <c r="J2959" s="28">
        <v>2750.0</v>
      </c>
      <c r="K2959" s="23" t="s">
        <v>190</v>
      </c>
      <c r="L2959" s="37" t="str">
        <f>VLOOKUP(K2959,'Structure type'!$A$1:$B$15,2,FALSE)</f>
        <v>Force Main</v>
      </c>
      <c r="M2959" s="23" t="s">
        <v>81</v>
      </c>
      <c r="N2959" s="23" t="str">
        <f>VLOOKUP(M2959,'Excursion Cause'!$A$1:$B$34,2,FALSE)</f>
        <v>Collection system structural failure</v>
      </c>
      <c r="O2959" s="29">
        <v>45185.0</v>
      </c>
      <c r="P2959" s="30">
        <v>0.39791666666666664</v>
      </c>
      <c r="Q2959" s="32">
        <v>45187.0</v>
      </c>
      <c r="R2959" s="30">
        <v>0.5458333333333333</v>
      </c>
      <c r="S2959" s="28">
        <v>1.0</v>
      </c>
      <c r="T2959" s="23" t="s">
        <v>118</v>
      </c>
      <c r="U2959" s="38"/>
      <c r="V2959" s="6"/>
      <c r="W2959" s="35">
        <v>30.0418294</v>
      </c>
      <c r="X2959" s="35">
        <v>-95.1794001999999</v>
      </c>
      <c r="AA2959" s="33"/>
      <c r="AB2959" s="33"/>
      <c r="AC2959" s="33"/>
      <c r="AD2959" s="33"/>
      <c r="AE2959" s="33"/>
      <c r="AF2959" s="33"/>
      <c r="AG2959" s="33"/>
      <c r="AH2959" s="33"/>
      <c r="AI2959" s="33"/>
      <c r="AJ2959" s="33"/>
      <c r="AK2959" s="33"/>
      <c r="AL2959" s="33"/>
      <c r="AM2959" s="33"/>
      <c r="AN2959" s="33"/>
      <c r="AO2959" s="33"/>
    </row>
    <row r="2960" ht="15.75" customHeight="1">
      <c r="A2960" s="41">
        <v>54230.0</v>
      </c>
      <c r="B2960" s="23">
        <v>2023.0</v>
      </c>
      <c r="C2960" s="36" t="str">
        <f t="shared" si="7"/>
        <v>414 BIRDSALL ST,Houston,TX</v>
      </c>
      <c r="D2960" s="23" t="s">
        <v>4179</v>
      </c>
      <c r="E2960" s="23" t="s">
        <v>25</v>
      </c>
      <c r="F2960" s="23" t="s">
        <v>1388</v>
      </c>
      <c r="G2960" s="31" t="s">
        <v>158</v>
      </c>
      <c r="H2960" s="23" t="s">
        <v>28</v>
      </c>
      <c r="I2960" s="37" t="str">
        <f>VLOOKUP(H2960,'Flow Location'!$A$1:$B$21,2,FALSE)</f>
        <v>Storm Sewer (not contained)</v>
      </c>
      <c r="J2960" s="28">
        <v>835.5</v>
      </c>
      <c r="K2960" s="23" t="s">
        <v>198</v>
      </c>
      <c r="L2960" s="37" t="str">
        <f>VLOOKUP(K2960,'Structure type'!$A$1:$B$15,2,FALSE)</f>
        <v>Service Lateral</v>
      </c>
      <c r="M2960" s="23" t="s">
        <v>52</v>
      </c>
      <c r="N2960" s="23" t="str">
        <f>VLOOKUP(M2960,'Excursion Cause'!$A$1:$B$34,2,FALSE)</f>
        <v>Collection system structural blockage</v>
      </c>
      <c r="O2960" s="29">
        <v>45186.0</v>
      </c>
      <c r="P2960" s="30">
        <v>0.6083333333333333</v>
      </c>
      <c r="Q2960" s="32">
        <v>45187.0</v>
      </c>
      <c r="R2960" s="30">
        <v>0.76875</v>
      </c>
      <c r="S2960" s="28">
        <v>0.0</v>
      </c>
      <c r="T2960" s="23" t="s">
        <v>3756</v>
      </c>
      <c r="U2960" s="38"/>
      <c r="V2960" s="6"/>
      <c r="W2960" s="35">
        <v>29.7663467</v>
      </c>
      <c r="X2960" s="35">
        <v>-95.4199127</v>
      </c>
      <c r="AA2960" s="33"/>
      <c r="AB2960" s="33"/>
      <c r="AC2960" s="33"/>
      <c r="AD2960" s="33"/>
      <c r="AE2960" s="33"/>
      <c r="AF2960" s="33"/>
      <c r="AG2960" s="33"/>
      <c r="AH2960" s="33"/>
      <c r="AI2960" s="33"/>
      <c r="AJ2960" s="33"/>
      <c r="AK2960" s="33"/>
      <c r="AL2960" s="33"/>
      <c r="AM2960" s="33"/>
      <c r="AN2960" s="33"/>
      <c r="AO2960" s="33"/>
    </row>
    <row r="2961" ht="15.75" customHeight="1">
      <c r="A2961" s="41">
        <v>54231.0</v>
      </c>
      <c r="B2961" s="23">
        <v>2023.0</v>
      </c>
      <c r="C2961" s="36" t="str">
        <f t="shared" si="7"/>
        <v>4139 WYNONA ST,Houston,TX</v>
      </c>
      <c r="D2961" s="23" t="s">
        <v>4180</v>
      </c>
      <c r="E2961" s="23" t="s">
        <v>25</v>
      </c>
      <c r="F2961" s="23" t="s">
        <v>1388</v>
      </c>
      <c r="G2961" s="31" t="s">
        <v>35</v>
      </c>
      <c r="H2961" s="23" t="s">
        <v>50</v>
      </c>
      <c r="I2961" s="37" t="str">
        <f>VLOOKUP(H2961,'Flow Location'!$A$1:$B$21,2,FALSE)</f>
        <v>Contained On Site, not within 5 ft. of Bayou/Surface Water/Drainage Ditch</v>
      </c>
      <c r="J2961" s="28">
        <v>175.5</v>
      </c>
      <c r="K2961" s="23" t="s">
        <v>45</v>
      </c>
      <c r="L2961" s="37" t="str">
        <f>VLOOKUP(K2961,'Structure type'!$A$1:$B$15,2,FALSE)</f>
        <v>City Cleanout</v>
      </c>
      <c r="M2961" s="23" t="s">
        <v>30</v>
      </c>
      <c r="N2961" s="23" t="str">
        <f>VLOOKUP(M2961,'Excursion Cause'!$A$1:$B$34,2,FALSE)</f>
        <v>Grease Blockage</v>
      </c>
      <c r="O2961" s="29">
        <v>45187.0</v>
      </c>
      <c r="P2961" s="30">
        <v>0.35833333333333334</v>
      </c>
      <c r="Q2961" s="32">
        <v>45187.0</v>
      </c>
      <c r="R2961" s="30">
        <v>0.4395833333333333</v>
      </c>
      <c r="S2961" s="28">
        <v>2.0</v>
      </c>
      <c r="T2961" s="23" t="s">
        <v>1462</v>
      </c>
      <c r="U2961" s="38"/>
      <c r="V2961" s="6"/>
      <c r="W2961" s="35">
        <v>29.7007011</v>
      </c>
      <c r="X2961" s="35">
        <v>-95.3074937</v>
      </c>
      <c r="AA2961" s="33"/>
      <c r="AB2961" s="33"/>
      <c r="AC2961" s="33"/>
      <c r="AD2961" s="33"/>
      <c r="AE2961" s="33"/>
      <c r="AF2961" s="33"/>
      <c r="AG2961" s="33"/>
      <c r="AH2961" s="33"/>
      <c r="AI2961" s="33"/>
      <c r="AJ2961" s="33"/>
      <c r="AK2961" s="33"/>
      <c r="AL2961" s="33"/>
      <c r="AM2961" s="33"/>
      <c r="AN2961" s="33"/>
      <c r="AO2961" s="33"/>
    </row>
    <row r="2962" ht="15.75" customHeight="1">
      <c r="A2962" s="41">
        <v>54234.0</v>
      </c>
      <c r="B2962" s="23">
        <v>2023.0</v>
      </c>
      <c r="C2962" s="36" t="str">
        <f t="shared" si="7"/>
        <v>7600 HOUSTON RD,Houston,TX</v>
      </c>
      <c r="D2962" s="23" t="s">
        <v>3876</v>
      </c>
      <c r="E2962" s="23" t="s">
        <v>25</v>
      </c>
      <c r="F2962" s="23" t="s">
        <v>1388</v>
      </c>
      <c r="G2962" s="31" t="s">
        <v>177</v>
      </c>
      <c r="H2962" s="23" t="s">
        <v>50</v>
      </c>
      <c r="I2962" s="37" t="str">
        <f>VLOOKUP(H2962,'Flow Location'!$A$1:$B$21,2,FALSE)</f>
        <v>Contained On Site, not within 5 ft. of Bayou/Surface Water/Drainage Ditch</v>
      </c>
      <c r="J2962" s="28">
        <v>489.0</v>
      </c>
      <c r="K2962" s="23" t="s">
        <v>29</v>
      </c>
      <c r="L2962" s="37" t="str">
        <f>VLOOKUP(K2962,'Structure type'!$A$1:$B$15,2,FALSE)</f>
        <v>Manhole</v>
      </c>
      <c r="M2962" s="23" t="s">
        <v>30</v>
      </c>
      <c r="N2962" s="23" t="str">
        <f>VLOOKUP(M2962,'Excursion Cause'!$A$1:$B$34,2,FALSE)</f>
        <v>Grease Blockage</v>
      </c>
      <c r="O2962" s="29">
        <v>45187.0</v>
      </c>
      <c r="P2962" s="30">
        <v>0.41805555555555557</v>
      </c>
      <c r="Q2962" s="32">
        <v>45187.0</v>
      </c>
      <c r="R2962" s="30">
        <v>0.53125</v>
      </c>
      <c r="S2962" s="28">
        <v>3.0</v>
      </c>
      <c r="T2962" s="23" t="s">
        <v>3749</v>
      </c>
      <c r="U2962" s="38"/>
      <c r="V2962" s="6"/>
      <c r="W2962" s="35">
        <v>29.8323763</v>
      </c>
      <c r="X2962" s="35">
        <v>-95.2691895999999</v>
      </c>
      <c r="AA2962" s="33"/>
      <c r="AB2962" s="33"/>
      <c r="AC2962" s="33"/>
      <c r="AD2962" s="33"/>
      <c r="AE2962" s="33"/>
      <c r="AF2962" s="33"/>
      <c r="AG2962" s="33"/>
      <c r="AH2962" s="33"/>
      <c r="AI2962" s="33"/>
      <c r="AJ2962" s="33"/>
      <c r="AK2962" s="33"/>
      <c r="AL2962" s="33"/>
      <c r="AM2962" s="33"/>
      <c r="AN2962" s="33"/>
      <c r="AO2962" s="33"/>
    </row>
    <row r="2963" ht="15.75" customHeight="1">
      <c r="A2963" s="41">
        <v>54235.0</v>
      </c>
      <c r="B2963" s="23">
        <v>2023.0</v>
      </c>
      <c r="C2963" s="36" t="str">
        <f t="shared" si="7"/>
        <v>5100 ALLENDALE RD,Houston,TX</v>
      </c>
      <c r="D2963" s="23" t="s">
        <v>4181</v>
      </c>
      <c r="E2963" s="23" t="s">
        <v>25</v>
      </c>
      <c r="F2963" s="23" t="s">
        <v>1388</v>
      </c>
      <c r="G2963" s="31" t="s">
        <v>135</v>
      </c>
      <c r="H2963" s="23" t="s">
        <v>44</v>
      </c>
      <c r="I2963" s="37" t="str">
        <f>VLOOKUP(H2963,'Flow Location'!$A$1:$B$21,2,FALSE)</f>
        <v>Bayou/surface water/drainage ditch</v>
      </c>
      <c r="J2963" s="28">
        <v>2080.0</v>
      </c>
      <c r="K2963" s="23" t="s">
        <v>290</v>
      </c>
      <c r="L2963" s="37" t="str">
        <f>VLOOKUP(K2963,'Structure type'!$A$1:$B$15,2,FALSE)</f>
        <v>Gravity Main</v>
      </c>
      <c r="M2963" s="23" t="s">
        <v>81</v>
      </c>
      <c r="N2963" s="23" t="str">
        <f>VLOOKUP(M2963,'Excursion Cause'!$A$1:$B$34,2,FALSE)</f>
        <v>Collection system structural failure</v>
      </c>
      <c r="O2963" s="29">
        <v>45187.0</v>
      </c>
      <c r="P2963" s="30">
        <v>0.46111111111111114</v>
      </c>
      <c r="Q2963" s="32">
        <v>45187.0</v>
      </c>
      <c r="R2963" s="30">
        <v>0.75</v>
      </c>
      <c r="S2963" s="28">
        <v>5.0</v>
      </c>
      <c r="T2963" s="23" t="s">
        <v>292</v>
      </c>
      <c r="U2963" s="38"/>
      <c r="V2963" s="6"/>
      <c r="W2963" s="35">
        <v>29.6824130999999</v>
      </c>
      <c r="X2963" s="35">
        <v>-95.2461749</v>
      </c>
      <c r="AA2963" s="33"/>
      <c r="AB2963" s="33"/>
      <c r="AC2963" s="33"/>
      <c r="AD2963" s="33"/>
      <c r="AE2963" s="33"/>
      <c r="AF2963" s="33"/>
      <c r="AG2963" s="33"/>
      <c r="AH2963" s="33"/>
      <c r="AI2963" s="33"/>
      <c r="AJ2963" s="33"/>
      <c r="AK2963" s="33"/>
      <c r="AL2963" s="33"/>
      <c r="AM2963" s="33"/>
      <c r="AN2963" s="33"/>
      <c r="AO2963" s="33"/>
    </row>
    <row r="2964" ht="15.75" customHeight="1">
      <c r="A2964" s="41">
        <v>54236.0</v>
      </c>
      <c r="B2964" s="23">
        <v>2023.0</v>
      </c>
      <c r="C2964" s="36" t="str">
        <f t="shared" si="7"/>
        <v>5630 BIRCHMONT DR,Houston,TX</v>
      </c>
      <c r="D2964" s="23" t="s">
        <v>4182</v>
      </c>
      <c r="E2964" s="23" t="s">
        <v>25</v>
      </c>
      <c r="F2964" s="23" t="s">
        <v>1388</v>
      </c>
      <c r="G2964" s="31" t="s">
        <v>222</v>
      </c>
      <c r="H2964" s="23" t="s">
        <v>50</v>
      </c>
      <c r="I2964" s="37" t="str">
        <f>VLOOKUP(H2964,'Flow Location'!$A$1:$B$21,2,FALSE)</f>
        <v>Contained On Site, not within 5 ft. of Bayou/Surface Water/Drainage Ditch</v>
      </c>
      <c r="J2964" s="28">
        <v>751.0</v>
      </c>
      <c r="K2964" s="23" t="s">
        <v>29</v>
      </c>
      <c r="L2964" s="37" t="str">
        <f>VLOOKUP(K2964,'Structure type'!$A$1:$B$15,2,FALSE)</f>
        <v>Manhole</v>
      </c>
      <c r="M2964" s="23" t="s">
        <v>56</v>
      </c>
      <c r="N2964" s="23" t="str">
        <f>VLOOKUP(M2964,'Excursion Cause'!$A$1:$B$34,2,FALSE)</f>
        <v>Rags/Wipes</v>
      </c>
      <c r="O2964" s="29">
        <v>45187.0</v>
      </c>
      <c r="P2964" s="30">
        <v>0.4777777777777778</v>
      </c>
      <c r="Q2964" s="32">
        <v>45187.0</v>
      </c>
      <c r="R2964" s="30">
        <v>0.9993055555555556</v>
      </c>
      <c r="S2964" s="28">
        <v>1.0</v>
      </c>
      <c r="T2964" s="23" t="s">
        <v>3749</v>
      </c>
      <c r="U2964" s="38"/>
      <c r="V2964" s="6"/>
      <c r="W2964" s="35">
        <v>29.8443741</v>
      </c>
      <c r="X2964" s="35">
        <v>-95.4706966</v>
      </c>
      <c r="AA2964" s="33"/>
      <c r="AB2964" s="33"/>
      <c r="AC2964" s="33"/>
      <c r="AD2964" s="33"/>
      <c r="AE2964" s="33"/>
      <c r="AF2964" s="33"/>
      <c r="AG2964" s="33"/>
      <c r="AH2964" s="33"/>
      <c r="AI2964" s="33"/>
      <c r="AJ2964" s="33"/>
      <c r="AK2964" s="33"/>
      <c r="AL2964" s="33"/>
      <c r="AM2964" s="33"/>
      <c r="AN2964" s="33"/>
      <c r="AO2964" s="33"/>
    </row>
    <row r="2965" ht="15.75" customHeight="1">
      <c r="A2965" s="41">
        <v>54239.0</v>
      </c>
      <c r="B2965" s="23">
        <v>2023.0</v>
      </c>
      <c r="C2965" s="36" t="str">
        <f t="shared" si="7"/>
        <v>4530 KINGSBURY ST,Houston,TX</v>
      </c>
      <c r="D2965" s="23" t="s">
        <v>2366</v>
      </c>
      <c r="E2965" s="23" t="s">
        <v>25</v>
      </c>
      <c r="F2965" s="23" t="s">
        <v>1388</v>
      </c>
      <c r="G2965" s="31" t="s">
        <v>238</v>
      </c>
      <c r="H2965" s="23" t="s">
        <v>50</v>
      </c>
      <c r="I2965" s="37" t="str">
        <f>VLOOKUP(H2965,'Flow Location'!$A$1:$B$21,2,FALSE)</f>
        <v>Contained On Site, not within 5 ft. of Bayou/Surface Water/Drainage Ditch</v>
      </c>
      <c r="J2965" s="28">
        <v>0.0</v>
      </c>
      <c r="K2965" s="23" t="s">
        <v>29</v>
      </c>
      <c r="L2965" s="37" t="str">
        <f>VLOOKUP(K2965,'Structure type'!$A$1:$B$15,2,FALSE)</f>
        <v>Manhole</v>
      </c>
      <c r="M2965" s="23" t="s">
        <v>30</v>
      </c>
      <c r="N2965" s="23" t="str">
        <f>VLOOKUP(M2965,'Excursion Cause'!$A$1:$B$34,2,FALSE)</f>
        <v>Grease Blockage</v>
      </c>
      <c r="O2965" s="29">
        <v>45187.0</v>
      </c>
      <c r="P2965" s="30">
        <v>0.5347222222222222</v>
      </c>
      <c r="Q2965" s="32">
        <v>45187.0</v>
      </c>
      <c r="R2965" s="30">
        <v>0.5354166666666667</v>
      </c>
      <c r="S2965" s="28">
        <v>0.0</v>
      </c>
      <c r="T2965" s="23" t="s">
        <v>3749</v>
      </c>
      <c r="U2965" s="38"/>
      <c r="V2965" s="6"/>
      <c r="W2965" s="35">
        <v>29.6973896</v>
      </c>
      <c r="X2965" s="35">
        <v>-95.3472853999999</v>
      </c>
      <c r="AA2965" s="33"/>
      <c r="AB2965" s="33"/>
      <c r="AC2965" s="33"/>
      <c r="AD2965" s="33"/>
      <c r="AE2965" s="33"/>
      <c r="AF2965" s="33"/>
      <c r="AG2965" s="33"/>
      <c r="AH2965" s="33"/>
      <c r="AI2965" s="33"/>
      <c r="AJ2965" s="33"/>
      <c r="AK2965" s="33"/>
      <c r="AL2965" s="33"/>
      <c r="AM2965" s="33"/>
      <c r="AN2965" s="33"/>
      <c r="AO2965" s="33"/>
    </row>
    <row r="2966" ht="15.75" customHeight="1">
      <c r="A2966" s="41">
        <v>54243.0</v>
      </c>
      <c r="B2966" s="23">
        <v>2023.0</v>
      </c>
      <c r="C2966" s="36" t="str">
        <f t="shared" si="7"/>
        <v>5546 PRIMROSE ST,Houston,TX</v>
      </c>
      <c r="D2966" s="23" t="s">
        <v>4183</v>
      </c>
      <c r="E2966" s="23" t="s">
        <v>25</v>
      </c>
      <c r="F2966" s="23" t="s">
        <v>1388</v>
      </c>
      <c r="G2966" s="31" t="s">
        <v>135</v>
      </c>
      <c r="H2966" s="23" t="s">
        <v>1977</v>
      </c>
      <c r="I2966" s="37" t="str">
        <f>VLOOKUP(H2966,'Flow Location'!$A$1:$B$21,2,FALSE)</f>
        <v>Bayou/surface water/drainage ditch</v>
      </c>
      <c r="J2966" s="28">
        <v>267.5</v>
      </c>
      <c r="K2966" s="23" t="s">
        <v>29</v>
      </c>
      <c r="L2966" s="37" t="str">
        <f>VLOOKUP(K2966,'Structure type'!$A$1:$B$15,2,FALSE)</f>
        <v>Manhole</v>
      </c>
      <c r="M2966" s="23" t="s">
        <v>30</v>
      </c>
      <c r="N2966" s="23" t="str">
        <f>VLOOKUP(M2966,'Excursion Cause'!$A$1:$B$34,2,FALSE)</f>
        <v>Grease Blockage</v>
      </c>
      <c r="O2966" s="29">
        <v>45187.0</v>
      </c>
      <c r="P2966" s="30">
        <v>0.6527777777777778</v>
      </c>
      <c r="Q2966" s="32">
        <v>45187.0</v>
      </c>
      <c r="R2966" s="30">
        <v>0.7270833333333333</v>
      </c>
      <c r="S2966" s="28">
        <v>2.0</v>
      </c>
      <c r="T2966" s="23" t="s">
        <v>1462</v>
      </c>
      <c r="U2966" s="38"/>
      <c r="V2966" s="6"/>
      <c r="W2966" s="35">
        <v>29.6878473</v>
      </c>
      <c r="X2966" s="35">
        <v>-95.2367915</v>
      </c>
      <c r="AA2966" s="33"/>
      <c r="AB2966" s="33"/>
      <c r="AC2966" s="33"/>
      <c r="AD2966" s="33"/>
      <c r="AE2966" s="33"/>
      <c r="AF2966" s="33"/>
      <c r="AG2966" s="33"/>
      <c r="AH2966" s="33"/>
      <c r="AI2966" s="33"/>
      <c r="AJ2966" s="33"/>
      <c r="AK2966" s="33"/>
      <c r="AL2966" s="33"/>
      <c r="AM2966" s="33"/>
      <c r="AN2966" s="33"/>
      <c r="AO2966" s="33"/>
    </row>
    <row r="2967" ht="15.75" customHeight="1">
      <c r="A2967" s="41">
        <v>54250.0</v>
      </c>
      <c r="B2967" s="23">
        <v>2023.0</v>
      </c>
      <c r="C2967" s="36" t="str">
        <f t="shared" si="7"/>
        <v>6815 INWOOD WEST DR,Houston,TX</v>
      </c>
      <c r="D2967" s="23" t="s">
        <v>3400</v>
      </c>
      <c r="E2967" s="23" t="s">
        <v>25</v>
      </c>
      <c r="F2967" s="23" t="s">
        <v>1388</v>
      </c>
      <c r="G2967" s="31" t="s">
        <v>502</v>
      </c>
      <c r="H2967" s="23" t="s">
        <v>50</v>
      </c>
      <c r="I2967" s="37" t="str">
        <f>VLOOKUP(H2967,'Flow Location'!$A$1:$B$21,2,FALSE)</f>
        <v>Contained On Site, not within 5 ft. of Bayou/Surface Water/Drainage Ditch</v>
      </c>
      <c r="J2967" s="28">
        <v>0.0</v>
      </c>
      <c r="K2967" s="23" t="s">
        <v>45</v>
      </c>
      <c r="L2967" s="37" t="str">
        <f>VLOOKUP(K2967,'Structure type'!$A$1:$B$15,2,FALSE)</f>
        <v>City Cleanout</v>
      </c>
      <c r="M2967" s="23" t="s">
        <v>30</v>
      </c>
      <c r="N2967" s="23" t="str">
        <f>VLOOKUP(M2967,'Excursion Cause'!$A$1:$B$34,2,FALSE)</f>
        <v>Grease Blockage</v>
      </c>
      <c r="O2967" s="29">
        <v>45187.0</v>
      </c>
      <c r="P2967" s="30">
        <v>0.7291666666666666</v>
      </c>
      <c r="Q2967" s="32">
        <v>45187.0</v>
      </c>
      <c r="R2967" s="30">
        <v>0.7298611111111111</v>
      </c>
      <c r="S2967" s="28">
        <v>0.0</v>
      </c>
      <c r="T2967" s="23" t="s">
        <v>1436</v>
      </c>
      <c r="U2967" s="38"/>
      <c r="V2967" s="6"/>
      <c r="W2967" s="35">
        <v>29.8849299999999</v>
      </c>
      <c r="X2967" s="35">
        <v>-95.491162</v>
      </c>
      <c r="AA2967" s="33"/>
      <c r="AB2967" s="33"/>
      <c r="AC2967" s="33"/>
      <c r="AD2967" s="33"/>
      <c r="AE2967" s="33"/>
      <c r="AF2967" s="33"/>
      <c r="AG2967" s="33"/>
      <c r="AH2967" s="33"/>
      <c r="AI2967" s="33"/>
      <c r="AJ2967" s="33"/>
      <c r="AK2967" s="33"/>
      <c r="AL2967" s="33"/>
      <c r="AM2967" s="33"/>
      <c r="AN2967" s="33"/>
      <c r="AO2967" s="33"/>
    </row>
    <row r="2968" ht="15.75" customHeight="1">
      <c r="A2968" s="41">
        <v>54252.0</v>
      </c>
      <c r="B2968" s="23">
        <v>2023.0</v>
      </c>
      <c r="C2968" s="36" t="str">
        <f t="shared" si="7"/>
        <v>8305 SPAULDING ST,Houston,TX</v>
      </c>
      <c r="D2968" s="23" t="s">
        <v>4184</v>
      </c>
      <c r="E2968" s="23" t="s">
        <v>25</v>
      </c>
      <c r="F2968" s="23" t="s">
        <v>1388</v>
      </c>
      <c r="G2968" s="31" t="s">
        <v>326</v>
      </c>
      <c r="H2968" s="23" t="s">
        <v>28</v>
      </c>
      <c r="I2968" s="37" t="str">
        <f>VLOOKUP(H2968,'Flow Location'!$A$1:$B$21,2,FALSE)</f>
        <v>Storm Sewer (not contained)</v>
      </c>
      <c r="J2968" s="28">
        <v>0.0</v>
      </c>
      <c r="K2968" s="23" t="s">
        <v>29</v>
      </c>
      <c r="L2968" s="37" t="str">
        <f>VLOOKUP(K2968,'Structure type'!$A$1:$B$15,2,FALSE)</f>
        <v>Manhole</v>
      </c>
      <c r="M2968" s="23" t="s">
        <v>96</v>
      </c>
      <c r="N2968" s="23" t="str">
        <f>VLOOKUP(M2968,'Excursion Cause'!$A$1:$B$34,2,FALSE)</f>
        <v>Collection system temporary blockage</v>
      </c>
      <c r="O2968" s="29">
        <v>45188.0</v>
      </c>
      <c r="P2968" s="30">
        <v>0.40555555555555556</v>
      </c>
      <c r="Q2968" s="32">
        <v>45188.0</v>
      </c>
      <c r="R2968" s="30">
        <v>0.40625</v>
      </c>
      <c r="S2968" s="28">
        <v>0.0</v>
      </c>
      <c r="T2968" s="23" t="s">
        <v>1462</v>
      </c>
      <c r="U2968" s="38"/>
      <c r="V2968" s="6"/>
      <c r="W2968" s="35">
        <v>29.8359785</v>
      </c>
      <c r="X2968" s="35">
        <v>-95.3073405999999</v>
      </c>
      <c r="AA2968" s="33"/>
      <c r="AB2968" s="33"/>
      <c r="AC2968" s="33"/>
      <c r="AD2968" s="33"/>
      <c r="AE2968" s="33"/>
      <c r="AF2968" s="33"/>
      <c r="AG2968" s="33"/>
      <c r="AH2968" s="33"/>
      <c r="AI2968" s="33"/>
      <c r="AJ2968" s="33"/>
      <c r="AK2968" s="33"/>
      <c r="AL2968" s="33"/>
      <c r="AM2968" s="33"/>
      <c r="AN2968" s="33"/>
      <c r="AO2968" s="33"/>
    </row>
    <row r="2969" ht="15.75" customHeight="1">
      <c r="A2969" s="41">
        <v>54253.0</v>
      </c>
      <c r="B2969" s="23">
        <v>2023.0</v>
      </c>
      <c r="C2969" s="36" t="str">
        <f t="shared" si="7"/>
        <v>4223 YUPON RIDGE DR,Houston,TX</v>
      </c>
      <c r="D2969" s="23" t="s">
        <v>4185</v>
      </c>
      <c r="E2969" s="23" t="s">
        <v>25</v>
      </c>
      <c r="F2969" s="23" t="s">
        <v>1388</v>
      </c>
      <c r="G2969" s="31" t="s">
        <v>91</v>
      </c>
      <c r="H2969" s="23" t="s">
        <v>50</v>
      </c>
      <c r="I2969" s="37" t="str">
        <f>VLOOKUP(H2969,'Flow Location'!$A$1:$B$21,2,FALSE)</f>
        <v>Contained On Site, not within 5 ft. of Bayou/Surface Water/Drainage Ditch</v>
      </c>
      <c r="J2969" s="28">
        <v>80.0</v>
      </c>
      <c r="K2969" s="23" t="s">
        <v>51</v>
      </c>
      <c r="L2969" s="37" t="str">
        <f>VLOOKUP(K2969,'Structure type'!$A$1:$B$15,2,FALSE)</f>
        <v>Private Cleanout</v>
      </c>
      <c r="M2969" s="23" t="s">
        <v>30</v>
      </c>
      <c r="N2969" s="23" t="str">
        <f>VLOOKUP(M2969,'Excursion Cause'!$A$1:$B$34,2,FALSE)</f>
        <v>Grease Blockage</v>
      </c>
      <c r="O2969" s="29">
        <v>45188.0</v>
      </c>
      <c r="P2969" s="30">
        <v>0.5902777777777778</v>
      </c>
      <c r="Q2969" s="32">
        <v>45188.0</v>
      </c>
      <c r="R2969" s="30">
        <v>0.6180555555555556</v>
      </c>
      <c r="S2969" s="28">
        <v>2.0</v>
      </c>
      <c r="T2969" s="23" t="s">
        <v>1462</v>
      </c>
      <c r="U2969" s="38"/>
      <c r="V2969" s="6"/>
      <c r="W2969" s="35">
        <v>29.713165</v>
      </c>
      <c r="X2969" s="35">
        <v>-95.5785997999999</v>
      </c>
      <c r="AA2969" s="33"/>
      <c r="AB2969" s="33"/>
      <c r="AC2969" s="33"/>
      <c r="AD2969" s="33"/>
      <c r="AE2969" s="33"/>
      <c r="AF2969" s="33"/>
      <c r="AG2969" s="33"/>
      <c r="AH2969" s="33"/>
      <c r="AI2969" s="33"/>
      <c r="AJ2969" s="33"/>
      <c r="AK2969" s="33"/>
      <c r="AL2969" s="33"/>
      <c r="AM2969" s="33"/>
      <c r="AN2969" s="33"/>
      <c r="AO2969" s="33"/>
    </row>
    <row r="2970" ht="15.75" customHeight="1">
      <c r="A2970" s="41">
        <v>54255.0</v>
      </c>
      <c r="B2970" s="23">
        <v>2023.0</v>
      </c>
      <c r="C2970" s="36" t="str">
        <f t="shared" si="7"/>
        <v>13405 NORTHWEST FWY,Houston,TX</v>
      </c>
      <c r="D2970" s="23" t="s">
        <v>4186</v>
      </c>
      <c r="E2970" s="23" t="s">
        <v>25</v>
      </c>
      <c r="F2970" s="23" t="s">
        <v>1388</v>
      </c>
      <c r="G2970" s="31" t="s">
        <v>253</v>
      </c>
      <c r="H2970" s="23" t="s">
        <v>28</v>
      </c>
      <c r="I2970" s="37" t="str">
        <f>VLOOKUP(H2970,'Flow Location'!$A$1:$B$21,2,FALSE)</f>
        <v>Storm Sewer (not contained)</v>
      </c>
      <c r="J2970" s="28">
        <v>692.0</v>
      </c>
      <c r="K2970" s="23" t="s">
        <v>29</v>
      </c>
      <c r="L2970" s="37" t="str">
        <f>VLOOKUP(K2970,'Structure type'!$A$1:$B$15,2,FALSE)</f>
        <v>Manhole</v>
      </c>
      <c r="M2970" s="23" t="s">
        <v>30</v>
      </c>
      <c r="N2970" s="23" t="str">
        <f>VLOOKUP(M2970,'Excursion Cause'!$A$1:$B$34,2,FALSE)</f>
        <v>Grease Blockage</v>
      </c>
      <c r="O2970" s="29">
        <v>45188.0</v>
      </c>
      <c r="P2970" s="30">
        <v>0.47708333333333336</v>
      </c>
      <c r="Q2970" s="32">
        <v>45188.0</v>
      </c>
      <c r="R2970" s="30">
        <v>0.7173611111111111</v>
      </c>
      <c r="S2970" s="28">
        <v>2.0</v>
      </c>
      <c r="T2970" s="23" t="s">
        <v>1462</v>
      </c>
      <c r="U2970" s="38"/>
      <c r="V2970" s="6"/>
      <c r="W2970" s="35">
        <v>29.8162109</v>
      </c>
      <c r="X2970" s="35">
        <v>-95.4791533</v>
      </c>
      <c r="AA2970" s="33"/>
      <c r="AB2970" s="33"/>
      <c r="AC2970" s="33"/>
      <c r="AD2970" s="33"/>
      <c r="AE2970" s="33"/>
      <c r="AF2970" s="33"/>
      <c r="AG2970" s="33"/>
      <c r="AH2970" s="33"/>
      <c r="AI2970" s="33"/>
      <c r="AJ2970" s="33"/>
      <c r="AK2970" s="33"/>
      <c r="AL2970" s="33"/>
      <c r="AM2970" s="33"/>
      <c r="AN2970" s="33"/>
      <c r="AO2970" s="33"/>
    </row>
    <row r="2971" ht="15.75" customHeight="1">
      <c r="A2971" s="41">
        <v>54256.0</v>
      </c>
      <c r="B2971" s="23">
        <v>2023.0</v>
      </c>
      <c r="C2971" s="36" t="str">
        <f t="shared" si="7"/>
        <v>5350 GULF BANK RD,Houston,TX</v>
      </c>
      <c r="D2971" s="23" t="s">
        <v>4090</v>
      </c>
      <c r="E2971" s="23" t="s">
        <v>25</v>
      </c>
      <c r="F2971" s="23" t="s">
        <v>1388</v>
      </c>
      <c r="G2971" s="31" t="s">
        <v>502</v>
      </c>
      <c r="H2971" s="23" t="s">
        <v>50</v>
      </c>
      <c r="I2971" s="37" t="str">
        <f>VLOOKUP(H2971,'Flow Location'!$A$1:$B$21,2,FALSE)</f>
        <v>Contained On Site, not within 5 ft. of Bayou/Surface Water/Drainage Ditch</v>
      </c>
      <c r="J2971" s="28">
        <v>0.0</v>
      </c>
      <c r="K2971" s="23" t="s">
        <v>29</v>
      </c>
      <c r="L2971" s="37" t="str">
        <f>VLOOKUP(K2971,'Structure type'!$A$1:$B$15,2,FALSE)</f>
        <v>Manhole</v>
      </c>
      <c r="M2971" s="23" t="s">
        <v>30</v>
      </c>
      <c r="N2971" s="23" t="str">
        <f>VLOOKUP(M2971,'Excursion Cause'!$A$1:$B$34,2,FALSE)</f>
        <v>Grease Blockage</v>
      </c>
      <c r="O2971" s="29">
        <v>45185.0</v>
      </c>
      <c r="P2971" s="30">
        <v>0.4201388888888889</v>
      </c>
      <c r="Q2971" s="32">
        <v>45185.0</v>
      </c>
      <c r="R2971" s="30">
        <v>0.42083333333333334</v>
      </c>
      <c r="S2971" s="28">
        <v>0.0</v>
      </c>
      <c r="T2971" s="23" t="s">
        <v>3749</v>
      </c>
      <c r="U2971" s="38"/>
      <c r="V2971" s="6"/>
      <c r="W2971" s="35">
        <v>29.8840363</v>
      </c>
      <c r="X2971" s="35">
        <v>-95.4659674999999</v>
      </c>
      <c r="AA2971" s="33"/>
      <c r="AB2971" s="33"/>
      <c r="AC2971" s="33"/>
      <c r="AD2971" s="33"/>
      <c r="AE2971" s="33"/>
      <c r="AF2971" s="33"/>
      <c r="AG2971" s="33"/>
      <c r="AH2971" s="33"/>
      <c r="AI2971" s="33"/>
      <c r="AJ2971" s="33"/>
      <c r="AK2971" s="33"/>
      <c r="AL2971" s="33"/>
      <c r="AM2971" s="33"/>
      <c r="AN2971" s="33"/>
      <c r="AO2971" s="33"/>
    </row>
    <row r="2972" ht="15.75" customHeight="1">
      <c r="A2972" s="41">
        <v>54261.0</v>
      </c>
      <c r="B2972" s="23">
        <v>2023.0</v>
      </c>
      <c r="C2972" s="36" t="str">
        <f t="shared" si="7"/>
        <v>12819 CHIMES DR,Houston,TX</v>
      </c>
      <c r="D2972" s="23" t="s">
        <v>4187</v>
      </c>
      <c r="E2972" s="23" t="s">
        <v>25</v>
      </c>
      <c r="F2972" s="23" t="s">
        <v>1388</v>
      </c>
      <c r="G2972" s="31" t="s">
        <v>347</v>
      </c>
      <c r="H2972" s="23" t="s">
        <v>50</v>
      </c>
      <c r="I2972" s="37" t="str">
        <f>VLOOKUP(H2972,'Flow Location'!$A$1:$B$21,2,FALSE)</f>
        <v>Contained On Site, not within 5 ft. of Bayou/Surface Water/Drainage Ditch</v>
      </c>
      <c r="J2972" s="28">
        <v>0.0</v>
      </c>
      <c r="K2972" s="23" t="s">
        <v>51</v>
      </c>
      <c r="L2972" s="37" t="str">
        <f>VLOOKUP(K2972,'Structure type'!$A$1:$B$15,2,FALSE)</f>
        <v>Private Cleanout</v>
      </c>
      <c r="M2972" s="23" t="s">
        <v>81</v>
      </c>
      <c r="N2972" s="23" t="str">
        <f>VLOOKUP(M2972,'Excursion Cause'!$A$1:$B$34,2,FALSE)</f>
        <v>Collection system structural failure</v>
      </c>
      <c r="O2972" s="29">
        <v>45189.0</v>
      </c>
      <c r="P2972" s="30">
        <v>0.3736111111111111</v>
      </c>
      <c r="Q2972" s="32">
        <v>45189.0</v>
      </c>
      <c r="R2972" s="30">
        <v>0.37430555555555556</v>
      </c>
      <c r="S2972" s="28">
        <v>0.0</v>
      </c>
      <c r="T2972" s="23" t="s">
        <v>118</v>
      </c>
      <c r="U2972" s="38"/>
      <c r="V2972" s="6"/>
      <c r="W2972" s="35">
        <v>29.7522382</v>
      </c>
      <c r="X2972" s="35">
        <v>-95.6123276</v>
      </c>
      <c r="AA2972" s="33"/>
      <c r="AB2972" s="33"/>
      <c r="AC2972" s="33"/>
      <c r="AD2972" s="33"/>
      <c r="AE2972" s="33"/>
      <c r="AF2972" s="33"/>
      <c r="AG2972" s="33"/>
      <c r="AH2972" s="33"/>
      <c r="AI2972" s="33"/>
      <c r="AJ2972" s="33"/>
      <c r="AK2972" s="33"/>
      <c r="AL2972" s="33"/>
      <c r="AM2972" s="33"/>
      <c r="AN2972" s="33"/>
      <c r="AO2972" s="33"/>
    </row>
    <row r="2973" ht="15.75" customHeight="1">
      <c r="A2973" s="41">
        <v>54265.0</v>
      </c>
      <c r="B2973" s="23">
        <v>2023.0</v>
      </c>
      <c r="C2973" s="36" t="str">
        <f t="shared" si="7"/>
        <v>1910 DISMUKE ST,Houston,TX</v>
      </c>
      <c r="D2973" s="23" t="s">
        <v>4188</v>
      </c>
      <c r="E2973" s="23" t="s">
        <v>25</v>
      </c>
      <c r="F2973" s="23" t="s">
        <v>1388</v>
      </c>
      <c r="G2973" s="31" t="s">
        <v>141</v>
      </c>
      <c r="H2973" s="23" t="s">
        <v>50</v>
      </c>
      <c r="I2973" s="37" t="str">
        <f>VLOOKUP(H2973,'Flow Location'!$A$1:$B$21,2,FALSE)</f>
        <v>Contained On Site, not within 5 ft. of Bayou/Surface Water/Drainage Ditch</v>
      </c>
      <c r="J2973" s="28">
        <v>523.5</v>
      </c>
      <c r="K2973" s="23" t="s">
        <v>29</v>
      </c>
      <c r="L2973" s="37" t="str">
        <f>VLOOKUP(K2973,'Structure type'!$A$1:$B$15,2,FALSE)</f>
        <v>Manhole</v>
      </c>
      <c r="M2973" s="23" t="s">
        <v>81</v>
      </c>
      <c r="N2973" s="23" t="str">
        <f>VLOOKUP(M2973,'Excursion Cause'!$A$1:$B$34,2,FALSE)</f>
        <v>Collection system structural failure</v>
      </c>
      <c r="O2973" s="29">
        <v>45189.0</v>
      </c>
      <c r="P2973" s="30">
        <v>0.49722222222222223</v>
      </c>
      <c r="Q2973" s="32">
        <v>45189.0</v>
      </c>
      <c r="R2973" s="30">
        <v>0.7395833333333334</v>
      </c>
      <c r="S2973" s="28">
        <v>2.0</v>
      </c>
      <c r="T2973" s="23" t="s">
        <v>3745</v>
      </c>
      <c r="U2973" s="38"/>
      <c r="V2973" s="6"/>
      <c r="W2973" s="35">
        <v>29.7214157</v>
      </c>
      <c r="X2973" s="35">
        <v>-95.3203392</v>
      </c>
      <c r="AA2973" s="33"/>
      <c r="AB2973" s="33"/>
      <c r="AC2973" s="33"/>
      <c r="AD2973" s="33"/>
      <c r="AE2973" s="33"/>
      <c r="AF2973" s="33"/>
      <c r="AG2973" s="33"/>
      <c r="AH2973" s="33"/>
      <c r="AI2973" s="33"/>
      <c r="AJ2973" s="33"/>
      <c r="AK2973" s="33"/>
      <c r="AL2973" s="33"/>
      <c r="AM2973" s="33"/>
      <c r="AN2973" s="33"/>
      <c r="AO2973" s="33"/>
    </row>
    <row r="2974" ht="15.75" customHeight="1">
      <c r="A2974" s="41">
        <v>54266.0</v>
      </c>
      <c r="B2974" s="23">
        <v>2023.0</v>
      </c>
      <c r="C2974" s="36" t="str">
        <f t="shared" si="7"/>
        <v>6859 2/3 OLD NORTH BELT DR,Houston,TX</v>
      </c>
      <c r="D2974" s="23" t="s">
        <v>4189</v>
      </c>
      <c r="E2974" s="23" t="s">
        <v>25</v>
      </c>
      <c r="F2974" s="23" t="s">
        <v>1388</v>
      </c>
      <c r="G2974" s="31" t="s">
        <v>853</v>
      </c>
      <c r="H2974" s="23" t="s">
        <v>28</v>
      </c>
      <c r="I2974" s="37" t="str">
        <f>VLOOKUP(H2974,'Flow Location'!$A$1:$B$21,2,FALSE)</f>
        <v>Storm Sewer (not contained)</v>
      </c>
      <c r="J2974" s="28">
        <v>401.0</v>
      </c>
      <c r="K2974" s="23" t="s">
        <v>29</v>
      </c>
      <c r="L2974" s="37" t="str">
        <f>VLOOKUP(K2974,'Structure type'!$A$1:$B$15,2,FALSE)</f>
        <v>Manhole</v>
      </c>
      <c r="M2974" s="23" t="s">
        <v>30</v>
      </c>
      <c r="N2974" s="23" t="str">
        <f>VLOOKUP(M2974,'Excursion Cause'!$A$1:$B$34,2,FALSE)</f>
        <v>Grease Blockage</v>
      </c>
      <c r="O2974" s="29">
        <v>45189.0</v>
      </c>
      <c r="P2974" s="30">
        <v>0.5069444444444444</v>
      </c>
      <c r="Q2974" s="32">
        <v>45189.0</v>
      </c>
      <c r="R2974" s="30">
        <v>0.7854166666666667</v>
      </c>
      <c r="S2974" s="28">
        <v>1.0</v>
      </c>
      <c r="T2974" s="23" t="s">
        <v>3749</v>
      </c>
      <c r="U2974" s="38"/>
      <c r="V2974" s="6"/>
      <c r="W2974" s="35">
        <v>29.9393761</v>
      </c>
      <c r="X2974" s="35">
        <v>-95.2871366999999</v>
      </c>
      <c r="AA2974" s="33"/>
      <c r="AB2974" s="33"/>
      <c r="AC2974" s="33"/>
      <c r="AD2974" s="33"/>
      <c r="AE2974" s="33"/>
      <c r="AF2974" s="33"/>
      <c r="AG2974" s="33"/>
      <c r="AH2974" s="33"/>
      <c r="AI2974" s="33"/>
      <c r="AJ2974" s="33"/>
      <c r="AK2974" s="33"/>
      <c r="AL2974" s="33"/>
      <c r="AM2974" s="33"/>
      <c r="AN2974" s="33"/>
      <c r="AO2974" s="33"/>
    </row>
    <row r="2975" ht="15.75" customHeight="1">
      <c r="A2975" s="41">
        <v>54273.0</v>
      </c>
      <c r="B2975" s="23">
        <v>2023.0</v>
      </c>
      <c r="C2975" s="36" t="str">
        <f t="shared" si="7"/>
        <v>8007 CAPITOL ST,Houston,TX</v>
      </c>
      <c r="D2975" s="23" t="s">
        <v>1264</v>
      </c>
      <c r="E2975" s="23" t="s">
        <v>25</v>
      </c>
      <c r="F2975" s="23" t="s">
        <v>1388</v>
      </c>
      <c r="G2975" s="31" t="s">
        <v>365</v>
      </c>
      <c r="H2975" s="23" t="s">
        <v>44</v>
      </c>
      <c r="I2975" s="37" t="str">
        <f>VLOOKUP(H2975,'Flow Location'!$A$1:$B$21,2,FALSE)</f>
        <v>Bayou/surface water/drainage ditch</v>
      </c>
      <c r="J2975" s="28">
        <v>1072.0</v>
      </c>
      <c r="K2975" s="23" t="s">
        <v>29</v>
      </c>
      <c r="L2975" s="37" t="str">
        <f>VLOOKUP(K2975,'Structure type'!$A$1:$B$15,2,FALSE)</f>
        <v>Manhole</v>
      </c>
      <c r="M2975" s="23" t="s">
        <v>30</v>
      </c>
      <c r="N2975" s="23" t="str">
        <f>VLOOKUP(M2975,'Excursion Cause'!$A$1:$B$34,2,FALSE)</f>
        <v>Grease Blockage</v>
      </c>
      <c r="O2975" s="29">
        <v>45190.0</v>
      </c>
      <c r="P2975" s="30">
        <v>0.5013888888888889</v>
      </c>
      <c r="Q2975" s="32">
        <v>45190.0</v>
      </c>
      <c r="R2975" s="30">
        <v>0.6875</v>
      </c>
      <c r="S2975" s="28">
        <v>4.0</v>
      </c>
      <c r="T2975" s="23" t="s">
        <v>1462</v>
      </c>
      <c r="U2975" s="38"/>
      <c r="V2975" s="6"/>
      <c r="W2975" s="35">
        <v>29.7281915</v>
      </c>
      <c r="X2975" s="35">
        <v>-95.2823011</v>
      </c>
      <c r="AA2975" s="33"/>
      <c r="AB2975" s="33"/>
      <c r="AC2975" s="33"/>
      <c r="AD2975" s="33"/>
      <c r="AE2975" s="33"/>
      <c r="AF2975" s="33"/>
      <c r="AG2975" s="33"/>
      <c r="AH2975" s="33"/>
      <c r="AI2975" s="33"/>
      <c r="AJ2975" s="33"/>
      <c r="AK2975" s="33"/>
      <c r="AL2975" s="33"/>
      <c r="AM2975" s="33"/>
      <c r="AN2975" s="33"/>
      <c r="AO2975" s="33"/>
    </row>
    <row r="2976" ht="15.75" customHeight="1">
      <c r="A2976" s="41">
        <v>54277.0</v>
      </c>
      <c r="B2976" s="23">
        <v>2023.0</v>
      </c>
      <c r="C2976" s="36" t="str">
        <f t="shared" si="7"/>
        <v>5009 IRVING WAY,Houston,TX</v>
      </c>
      <c r="D2976" s="23" t="s">
        <v>4190</v>
      </c>
      <c r="E2976" s="23" t="s">
        <v>25</v>
      </c>
      <c r="F2976" s="23" t="s">
        <v>1388</v>
      </c>
      <c r="G2976" s="31" t="s">
        <v>35</v>
      </c>
      <c r="H2976" s="23" t="s">
        <v>50</v>
      </c>
      <c r="I2976" s="37" t="str">
        <f>VLOOKUP(H2976,'Flow Location'!$A$1:$B$21,2,FALSE)</f>
        <v>Contained On Site, not within 5 ft. of Bayou/Surface Water/Drainage Ditch</v>
      </c>
      <c r="J2976" s="28">
        <v>151.0</v>
      </c>
      <c r="K2976" s="23" t="s">
        <v>29</v>
      </c>
      <c r="L2976" s="37" t="str">
        <f>VLOOKUP(K2976,'Structure type'!$A$1:$B$15,2,FALSE)</f>
        <v>Manhole</v>
      </c>
      <c r="M2976" s="23" t="s">
        <v>30</v>
      </c>
      <c r="N2976" s="23" t="str">
        <f>VLOOKUP(M2976,'Excursion Cause'!$A$1:$B$34,2,FALSE)</f>
        <v>Grease Blockage</v>
      </c>
      <c r="O2976" s="29">
        <v>45190.0</v>
      </c>
      <c r="P2976" s="30">
        <v>0.5708333333333333</v>
      </c>
      <c r="Q2976" s="32">
        <v>45190.0</v>
      </c>
      <c r="R2976" s="30">
        <v>0.6756944444444445</v>
      </c>
      <c r="S2976" s="28">
        <v>1.0</v>
      </c>
      <c r="T2976" s="23" t="s">
        <v>3749</v>
      </c>
      <c r="U2976" s="38"/>
      <c r="V2976" s="6"/>
      <c r="W2976" s="35">
        <v>29.6901677</v>
      </c>
      <c r="X2976" s="35">
        <v>-95.2966134999999</v>
      </c>
      <c r="AA2976" s="33"/>
      <c r="AB2976" s="33"/>
      <c r="AC2976" s="33"/>
      <c r="AD2976" s="33"/>
      <c r="AE2976" s="33"/>
      <c r="AF2976" s="33"/>
      <c r="AG2976" s="33"/>
      <c r="AH2976" s="33"/>
      <c r="AI2976" s="33"/>
      <c r="AJ2976" s="33"/>
      <c r="AK2976" s="33"/>
      <c r="AL2976" s="33"/>
      <c r="AM2976" s="33"/>
      <c r="AN2976" s="33"/>
      <c r="AO2976" s="33"/>
    </row>
    <row r="2977" ht="15.75" customHeight="1">
      <c r="A2977" s="41">
        <v>54278.0</v>
      </c>
      <c r="B2977" s="23">
        <v>2023.0</v>
      </c>
      <c r="C2977" s="36" t="str">
        <f t="shared" si="7"/>
        <v>3605 CROSSTIMBERS ST,Houston,TX</v>
      </c>
      <c r="D2977" s="23" t="s">
        <v>4191</v>
      </c>
      <c r="E2977" s="23" t="s">
        <v>25</v>
      </c>
      <c r="F2977" s="23" t="s">
        <v>1388</v>
      </c>
      <c r="G2977" s="31" t="s">
        <v>109</v>
      </c>
      <c r="H2977" s="23" t="s">
        <v>50</v>
      </c>
      <c r="I2977" s="37" t="str">
        <f>VLOOKUP(H2977,'Flow Location'!$A$1:$B$21,2,FALSE)</f>
        <v>Contained On Site, not within 5 ft. of Bayou/Surface Water/Drainage Ditch</v>
      </c>
      <c r="J2977" s="28">
        <v>0.0</v>
      </c>
      <c r="K2977" s="23" t="s">
        <v>198</v>
      </c>
      <c r="L2977" s="37" t="str">
        <f>VLOOKUP(K2977,'Structure type'!$A$1:$B$15,2,FALSE)</f>
        <v>Service Lateral</v>
      </c>
      <c r="M2977" s="23" t="s">
        <v>56</v>
      </c>
      <c r="N2977" s="23" t="str">
        <f>VLOOKUP(M2977,'Excursion Cause'!$A$1:$B$34,2,FALSE)</f>
        <v>Rags/Wipes</v>
      </c>
      <c r="O2977" s="29">
        <v>45190.0</v>
      </c>
      <c r="P2977" s="30">
        <v>0.5069444444444444</v>
      </c>
      <c r="Q2977" s="32">
        <v>45190.0</v>
      </c>
      <c r="R2977" s="30">
        <v>0.5076388888888889</v>
      </c>
      <c r="S2977" s="28">
        <v>0.0</v>
      </c>
      <c r="T2977" s="23" t="s">
        <v>1462</v>
      </c>
      <c r="U2977" s="38"/>
      <c r="V2977" s="6"/>
      <c r="W2977" s="35">
        <v>29.8296774</v>
      </c>
      <c r="X2977" s="35">
        <v>-95.3331671999999</v>
      </c>
      <c r="AA2977" s="33"/>
      <c r="AB2977" s="33"/>
      <c r="AC2977" s="33"/>
      <c r="AD2977" s="33"/>
      <c r="AE2977" s="33"/>
      <c r="AF2977" s="33"/>
      <c r="AG2977" s="33"/>
      <c r="AH2977" s="33"/>
      <c r="AI2977" s="33"/>
      <c r="AJ2977" s="33"/>
      <c r="AK2977" s="33"/>
      <c r="AL2977" s="33"/>
      <c r="AM2977" s="33"/>
      <c r="AN2977" s="33"/>
      <c r="AO2977" s="33"/>
    </row>
    <row r="2978" ht="15.75" customHeight="1">
      <c r="A2978" s="41">
        <v>54281.0</v>
      </c>
      <c r="B2978" s="23">
        <v>2023.0</v>
      </c>
      <c r="C2978" s="36" t="str">
        <f t="shared" si="7"/>
        <v>8637 WOODLYN RD,Houston,TX</v>
      </c>
      <c r="D2978" s="23" t="s">
        <v>830</v>
      </c>
      <c r="E2978" s="23" t="s">
        <v>25</v>
      </c>
      <c r="F2978" s="23" t="s">
        <v>1388</v>
      </c>
      <c r="G2978" s="31" t="s">
        <v>177</v>
      </c>
      <c r="H2978" s="23" t="s">
        <v>1977</v>
      </c>
      <c r="I2978" s="37" t="str">
        <f>VLOOKUP(H2978,'Flow Location'!$A$1:$B$21,2,FALSE)</f>
        <v>Bayou/surface water/drainage ditch</v>
      </c>
      <c r="J2978" s="28">
        <v>1054.0</v>
      </c>
      <c r="K2978" s="23" t="s">
        <v>45</v>
      </c>
      <c r="L2978" s="37" t="str">
        <f>VLOOKUP(K2978,'Structure type'!$A$1:$B$15,2,FALSE)</f>
        <v>City Cleanout</v>
      </c>
      <c r="M2978" s="23" t="s">
        <v>30</v>
      </c>
      <c r="N2978" s="23" t="str">
        <f>VLOOKUP(M2978,'Excursion Cause'!$A$1:$B$34,2,FALSE)</f>
        <v>Grease Blockage</v>
      </c>
      <c r="O2978" s="29">
        <v>45190.0</v>
      </c>
      <c r="P2978" s="30">
        <v>0.6833333333333333</v>
      </c>
      <c r="Q2978" s="32">
        <v>45191.0</v>
      </c>
      <c r="R2978" s="30">
        <v>0.4152777777777778</v>
      </c>
      <c r="S2978" s="28">
        <v>1.0</v>
      </c>
      <c r="T2978" s="23" t="s">
        <v>1436</v>
      </c>
      <c r="U2978" s="38"/>
      <c r="V2978" s="6"/>
      <c r="W2978" s="35">
        <v>29.8421639</v>
      </c>
      <c r="X2978" s="35">
        <v>-95.2644851</v>
      </c>
      <c r="AA2978" s="33"/>
      <c r="AB2978" s="33"/>
      <c r="AC2978" s="33"/>
      <c r="AD2978" s="33"/>
      <c r="AE2978" s="33"/>
      <c r="AF2978" s="33"/>
      <c r="AG2978" s="33"/>
      <c r="AH2978" s="33"/>
      <c r="AI2978" s="33"/>
      <c r="AJ2978" s="33"/>
      <c r="AK2978" s="33"/>
      <c r="AL2978" s="33"/>
      <c r="AM2978" s="33"/>
      <c r="AN2978" s="33"/>
      <c r="AO2978" s="33"/>
    </row>
    <row r="2979" ht="15.75" customHeight="1">
      <c r="A2979" s="41">
        <v>54283.0</v>
      </c>
      <c r="B2979" s="23">
        <v>2023.0</v>
      </c>
      <c r="C2979" s="36" t="str">
        <f t="shared" si="7"/>
        <v>7613 CLARIDGE DR,Houston,TX</v>
      </c>
      <c r="D2979" s="23" t="s">
        <v>4192</v>
      </c>
      <c r="E2979" s="23" t="s">
        <v>25</v>
      </c>
      <c r="F2979" s="23" t="s">
        <v>1388</v>
      </c>
      <c r="G2979" s="31" t="s">
        <v>148</v>
      </c>
      <c r="H2979" s="23" t="s">
        <v>50</v>
      </c>
      <c r="I2979" s="37" t="str">
        <f>VLOOKUP(H2979,'Flow Location'!$A$1:$B$21,2,FALSE)</f>
        <v>Contained On Site, not within 5 ft. of Bayou/Surface Water/Drainage Ditch</v>
      </c>
      <c r="J2979" s="28">
        <v>0.0</v>
      </c>
      <c r="K2979" s="23" t="s">
        <v>29</v>
      </c>
      <c r="L2979" s="37" t="str">
        <f>VLOOKUP(K2979,'Structure type'!$A$1:$B$15,2,FALSE)</f>
        <v>Manhole</v>
      </c>
      <c r="M2979" s="23" t="s">
        <v>30</v>
      </c>
      <c r="N2979" s="23" t="str">
        <f>VLOOKUP(M2979,'Excursion Cause'!$A$1:$B$34,2,FALSE)</f>
        <v>Grease Blockage</v>
      </c>
      <c r="O2979" s="29">
        <v>45191.0</v>
      </c>
      <c r="P2979" s="30">
        <v>0.3541666666666667</v>
      </c>
      <c r="Q2979" s="32">
        <v>45191.0</v>
      </c>
      <c r="R2979" s="30">
        <v>0.5993055555555555</v>
      </c>
      <c r="S2979" s="28">
        <v>0.0</v>
      </c>
      <c r="T2979" s="23" t="s">
        <v>3749</v>
      </c>
      <c r="U2979" s="38"/>
      <c r="V2979" s="6"/>
      <c r="W2979" s="35">
        <v>29.6611474</v>
      </c>
      <c r="X2979" s="35">
        <v>-95.5102716</v>
      </c>
      <c r="AA2979" s="33"/>
      <c r="AB2979" s="33"/>
      <c r="AC2979" s="33"/>
      <c r="AD2979" s="33"/>
      <c r="AE2979" s="33"/>
      <c r="AF2979" s="33"/>
      <c r="AG2979" s="33"/>
      <c r="AH2979" s="33"/>
      <c r="AI2979" s="33"/>
      <c r="AJ2979" s="33"/>
      <c r="AK2979" s="33"/>
      <c r="AL2979" s="33"/>
      <c r="AM2979" s="33"/>
      <c r="AN2979" s="33"/>
      <c r="AO2979" s="33"/>
    </row>
    <row r="2980" ht="15.75" customHeight="1">
      <c r="A2980" s="41">
        <v>54284.0</v>
      </c>
      <c r="B2980" s="23">
        <v>2023.0</v>
      </c>
      <c r="C2980" s="36" t="str">
        <f t="shared" si="7"/>
        <v>4920 WAYSIDE DR,Houston,TX</v>
      </c>
      <c r="D2980" s="23" t="s">
        <v>4193</v>
      </c>
      <c r="E2980" s="23" t="s">
        <v>25</v>
      </c>
      <c r="F2980" s="23" t="s">
        <v>1388</v>
      </c>
      <c r="G2980" s="31" t="s">
        <v>177</v>
      </c>
      <c r="H2980" s="23" t="s">
        <v>50</v>
      </c>
      <c r="I2980" s="37" t="str">
        <f>VLOOKUP(H2980,'Flow Location'!$A$1:$B$21,2,FALSE)</f>
        <v>Contained On Site, not within 5 ft. of Bayou/Surface Water/Drainage Ditch</v>
      </c>
      <c r="J2980" s="28">
        <v>0.0</v>
      </c>
      <c r="K2980" s="23" t="s">
        <v>198</v>
      </c>
      <c r="L2980" s="37" t="str">
        <f>VLOOKUP(K2980,'Structure type'!$A$1:$B$15,2,FALSE)</f>
        <v>Service Lateral</v>
      </c>
      <c r="M2980" s="23" t="s">
        <v>81</v>
      </c>
      <c r="N2980" s="23" t="str">
        <f>VLOOKUP(M2980,'Excursion Cause'!$A$1:$B$34,2,FALSE)</f>
        <v>Collection system structural failure</v>
      </c>
      <c r="O2980" s="29">
        <v>45191.0</v>
      </c>
      <c r="P2980" s="30">
        <v>0.3145833333333333</v>
      </c>
      <c r="Q2980" s="32">
        <v>45191.0</v>
      </c>
      <c r="R2980" s="30">
        <v>0.31527777777777777</v>
      </c>
      <c r="S2980" s="28">
        <v>0.0</v>
      </c>
      <c r="T2980" s="23" t="s">
        <v>118</v>
      </c>
      <c r="U2980" s="38"/>
      <c r="V2980" s="6"/>
      <c r="W2980" s="35">
        <v>29.8053862</v>
      </c>
      <c r="X2980" s="35">
        <v>-95.2842699</v>
      </c>
      <c r="AA2980" s="33"/>
      <c r="AB2980" s="33"/>
      <c r="AC2980" s="33"/>
      <c r="AD2980" s="33"/>
      <c r="AE2980" s="33"/>
      <c r="AF2980" s="33"/>
      <c r="AG2980" s="33"/>
      <c r="AH2980" s="33"/>
      <c r="AI2980" s="33"/>
      <c r="AJ2980" s="33"/>
      <c r="AK2980" s="33"/>
      <c r="AL2980" s="33"/>
      <c r="AM2980" s="33"/>
      <c r="AN2980" s="33"/>
      <c r="AO2980" s="33"/>
    </row>
    <row r="2981" ht="15.75" customHeight="1">
      <c r="A2981" s="41">
        <v>54285.0</v>
      </c>
      <c r="B2981" s="23">
        <v>2023.0</v>
      </c>
      <c r="C2981" s="36" t="str">
        <f t="shared" si="7"/>
        <v>4014 CURLY OAKS DR,Houston,TX</v>
      </c>
      <c r="D2981" s="23" t="s">
        <v>4194</v>
      </c>
      <c r="E2981" s="23" t="s">
        <v>25</v>
      </c>
      <c r="F2981" s="23" t="s">
        <v>1388</v>
      </c>
      <c r="G2981" s="31" t="s">
        <v>517</v>
      </c>
      <c r="H2981" s="23" t="s">
        <v>50</v>
      </c>
      <c r="I2981" s="37" t="str">
        <f>VLOOKUP(H2981,'Flow Location'!$A$1:$B$21,2,FALSE)</f>
        <v>Contained On Site, not within 5 ft. of Bayou/Surface Water/Drainage Ditch</v>
      </c>
      <c r="J2981" s="28">
        <v>0.0</v>
      </c>
      <c r="K2981" s="23" t="s">
        <v>51</v>
      </c>
      <c r="L2981" s="37" t="str">
        <f>VLOOKUP(K2981,'Structure type'!$A$1:$B$15,2,FALSE)</f>
        <v>Private Cleanout</v>
      </c>
      <c r="M2981" s="23" t="s">
        <v>81</v>
      </c>
      <c r="N2981" s="23" t="str">
        <f>VLOOKUP(M2981,'Excursion Cause'!$A$1:$B$34,2,FALSE)</f>
        <v>Collection system structural failure</v>
      </c>
      <c r="O2981" s="29">
        <v>45191.0</v>
      </c>
      <c r="P2981" s="30">
        <v>0.4895833333333333</v>
      </c>
      <c r="Q2981" s="32">
        <v>45191.0</v>
      </c>
      <c r="R2981" s="30">
        <v>0.49027777777777776</v>
      </c>
      <c r="S2981" s="28">
        <v>0.0</v>
      </c>
      <c r="T2981" s="23" t="s">
        <v>118</v>
      </c>
      <c r="U2981" s="38"/>
      <c r="V2981" s="6"/>
      <c r="W2981" s="35">
        <v>29.6087003</v>
      </c>
      <c r="X2981" s="35">
        <v>-95.4375448999999</v>
      </c>
      <c r="AA2981" s="33"/>
      <c r="AB2981" s="33"/>
      <c r="AC2981" s="33"/>
      <c r="AD2981" s="33"/>
      <c r="AE2981" s="33"/>
      <c r="AF2981" s="33"/>
      <c r="AG2981" s="33"/>
      <c r="AH2981" s="33"/>
      <c r="AI2981" s="33"/>
      <c r="AJ2981" s="33"/>
      <c r="AK2981" s="33"/>
      <c r="AL2981" s="33"/>
      <c r="AM2981" s="33"/>
      <c r="AN2981" s="33"/>
      <c r="AO2981" s="33"/>
    </row>
    <row r="2982" ht="15.75" customHeight="1">
      <c r="A2982" s="41">
        <v>54293.0</v>
      </c>
      <c r="B2982" s="23">
        <v>2023.0</v>
      </c>
      <c r="C2982" s="36" t="str">
        <f t="shared" si="7"/>
        <v>5802 BRAESHEATHER DR,Houston,TX</v>
      </c>
      <c r="D2982" s="23" t="s">
        <v>4195</v>
      </c>
      <c r="E2982" s="23" t="s">
        <v>25</v>
      </c>
      <c r="F2982" s="23" t="s">
        <v>1388</v>
      </c>
      <c r="G2982" s="31" t="s">
        <v>69</v>
      </c>
      <c r="H2982" s="23" t="s">
        <v>50</v>
      </c>
      <c r="I2982" s="37" t="str">
        <f>VLOOKUP(H2982,'Flow Location'!$A$1:$B$21,2,FALSE)</f>
        <v>Contained On Site, not within 5 ft. of Bayou/Surface Water/Drainage Ditch</v>
      </c>
      <c r="J2982" s="28">
        <v>0.0</v>
      </c>
      <c r="K2982" s="23" t="s">
        <v>29</v>
      </c>
      <c r="L2982" s="37" t="str">
        <f>VLOOKUP(K2982,'Structure type'!$A$1:$B$15,2,FALSE)</f>
        <v>Manhole</v>
      </c>
      <c r="M2982" s="23" t="s">
        <v>30</v>
      </c>
      <c r="N2982" s="23" t="str">
        <f>VLOOKUP(M2982,'Excursion Cause'!$A$1:$B$34,2,FALSE)</f>
        <v>Grease Blockage</v>
      </c>
      <c r="O2982" s="29">
        <v>45192.0</v>
      </c>
      <c r="P2982" s="30">
        <v>0.30833333333333335</v>
      </c>
      <c r="Q2982" s="32">
        <v>45192.0</v>
      </c>
      <c r="R2982" s="30">
        <v>0.3090277777777778</v>
      </c>
      <c r="S2982" s="28">
        <v>0.0</v>
      </c>
      <c r="T2982" s="23" t="s">
        <v>1462</v>
      </c>
      <c r="U2982" s="38"/>
      <c r="V2982" s="6"/>
      <c r="W2982" s="35">
        <v>29.6747161</v>
      </c>
      <c r="X2982" s="35">
        <v>-95.4893534999999</v>
      </c>
      <c r="AA2982" s="33"/>
      <c r="AB2982" s="33"/>
      <c r="AC2982" s="33"/>
      <c r="AD2982" s="33"/>
      <c r="AE2982" s="33"/>
      <c r="AF2982" s="33"/>
      <c r="AG2982" s="33"/>
      <c r="AH2982" s="33"/>
      <c r="AI2982" s="33"/>
      <c r="AJ2982" s="33"/>
      <c r="AK2982" s="33"/>
      <c r="AL2982" s="33"/>
      <c r="AM2982" s="33"/>
      <c r="AN2982" s="33"/>
      <c r="AO2982" s="33"/>
    </row>
    <row r="2983" ht="15.75" customHeight="1">
      <c r="A2983" s="41">
        <v>54294.0</v>
      </c>
      <c r="B2983" s="23">
        <v>2023.0</v>
      </c>
      <c r="C2983" s="36" t="str">
        <f t="shared" si="7"/>
        <v>2603 JOEL WHEATON RD,Houston,TX</v>
      </c>
      <c r="D2983" s="23" t="s">
        <v>4196</v>
      </c>
      <c r="E2983" s="23" t="s">
        <v>25</v>
      </c>
      <c r="F2983" s="23" t="s">
        <v>1388</v>
      </c>
      <c r="G2983" s="31" t="s">
        <v>313</v>
      </c>
      <c r="H2983" s="23" t="s">
        <v>28</v>
      </c>
      <c r="I2983" s="37" t="str">
        <f>VLOOKUP(H2983,'Flow Location'!$A$1:$B$21,2,FALSE)</f>
        <v>Storm Sewer (not contained)</v>
      </c>
      <c r="J2983" s="28">
        <v>3020.0</v>
      </c>
      <c r="K2983" s="23" t="s">
        <v>29</v>
      </c>
      <c r="L2983" s="37" t="str">
        <f>VLOOKUP(K2983,'Structure type'!$A$1:$B$15,2,FALSE)</f>
        <v>Manhole</v>
      </c>
      <c r="M2983" s="23" t="s">
        <v>30</v>
      </c>
      <c r="N2983" s="23" t="str">
        <f>VLOOKUP(M2983,'Excursion Cause'!$A$1:$B$34,2,FALSE)</f>
        <v>Grease Blockage</v>
      </c>
      <c r="O2983" s="29">
        <v>45192.0</v>
      </c>
      <c r="P2983" s="30">
        <v>0.3541666666666667</v>
      </c>
      <c r="Q2983" s="32">
        <v>45193.0</v>
      </c>
      <c r="R2983" s="30">
        <v>0.4027777777777778</v>
      </c>
      <c r="S2983" s="28">
        <v>2.0</v>
      </c>
      <c r="T2983" s="23" t="s">
        <v>3749</v>
      </c>
      <c r="U2983" s="38"/>
      <c r="V2983" s="6"/>
      <c r="W2983" s="35">
        <v>29.7342234</v>
      </c>
      <c r="X2983" s="35">
        <v>-95.632857</v>
      </c>
      <c r="AA2983" s="33"/>
      <c r="AB2983" s="33"/>
      <c r="AC2983" s="33"/>
      <c r="AD2983" s="33"/>
      <c r="AE2983" s="33"/>
      <c r="AF2983" s="33"/>
      <c r="AG2983" s="33"/>
      <c r="AH2983" s="33"/>
      <c r="AI2983" s="33"/>
      <c r="AJ2983" s="33"/>
      <c r="AK2983" s="33"/>
      <c r="AL2983" s="33"/>
      <c r="AM2983" s="33"/>
      <c r="AN2983" s="33"/>
      <c r="AO2983" s="33"/>
    </row>
    <row r="2984" ht="15.75" customHeight="1">
      <c r="A2984" s="41">
        <v>54298.0</v>
      </c>
      <c r="B2984" s="23">
        <v>2023.0</v>
      </c>
      <c r="C2984" s="36" t="str">
        <f t="shared" si="7"/>
        <v>13835 WESTHOLLOW PARK DR,Houston,TX</v>
      </c>
      <c r="D2984" s="23" t="s">
        <v>4197</v>
      </c>
      <c r="E2984" s="23" t="s">
        <v>25</v>
      </c>
      <c r="F2984" s="23" t="s">
        <v>1388</v>
      </c>
      <c r="G2984" s="31" t="s">
        <v>313</v>
      </c>
      <c r="H2984" s="23" t="s">
        <v>28</v>
      </c>
      <c r="I2984" s="37" t="str">
        <f>VLOOKUP(H2984,'Flow Location'!$A$1:$B$21,2,FALSE)</f>
        <v>Storm Sewer (not contained)</v>
      </c>
      <c r="J2984" s="28">
        <v>3020.0</v>
      </c>
      <c r="K2984" s="23" t="s">
        <v>29</v>
      </c>
      <c r="L2984" s="37" t="str">
        <f>VLOOKUP(K2984,'Structure type'!$A$1:$B$15,2,FALSE)</f>
        <v>Manhole</v>
      </c>
      <c r="M2984" s="23" t="s">
        <v>30</v>
      </c>
      <c r="N2984" s="23" t="str">
        <f>VLOOKUP(M2984,'Excursion Cause'!$A$1:$B$34,2,FALSE)</f>
        <v>Grease Blockage</v>
      </c>
      <c r="O2984" s="29">
        <v>45192.0</v>
      </c>
      <c r="P2984" s="30">
        <v>0.3541666666666667</v>
      </c>
      <c r="Q2984" s="32">
        <v>45193.0</v>
      </c>
      <c r="R2984" s="30">
        <v>0.4027777777777778</v>
      </c>
      <c r="S2984" s="28">
        <v>2.0</v>
      </c>
      <c r="T2984" s="23" t="s">
        <v>1462</v>
      </c>
      <c r="U2984" s="38"/>
      <c r="V2984" s="6"/>
      <c r="W2984" s="35">
        <v>29.7328443</v>
      </c>
      <c r="X2984" s="35">
        <v>-95.6325308999999</v>
      </c>
      <c r="AA2984" s="33"/>
      <c r="AB2984" s="33"/>
      <c r="AC2984" s="33"/>
      <c r="AD2984" s="33"/>
      <c r="AE2984" s="33"/>
      <c r="AF2984" s="33"/>
      <c r="AG2984" s="33"/>
      <c r="AH2984" s="33"/>
      <c r="AI2984" s="33"/>
      <c r="AJ2984" s="33"/>
      <c r="AK2984" s="33"/>
      <c r="AL2984" s="33"/>
      <c r="AM2984" s="33"/>
      <c r="AN2984" s="33"/>
      <c r="AO2984" s="33"/>
    </row>
    <row r="2985" ht="15.75" customHeight="1">
      <c r="A2985" s="41">
        <v>54305.0</v>
      </c>
      <c r="B2985" s="23">
        <v>2023.0</v>
      </c>
      <c r="C2985" s="36" t="str">
        <f t="shared" si="7"/>
        <v>4438 WYLIE ST,Houston,TX</v>
      </c>
      <c r="D2985" s="23" t="s">
        <v>4198</v>
      </c>
      <c r="E2985" s="23" t="s">
        <v>25</v>
      </c>
      <c r="F2985" s="23" t="s">
        <v>1388</v>
      </c>
      <c r="G2985" s="31" t="s">
        <v>43</v>
      </c>
      <c r="H2985" s="23" t="s">
        <v>50</v>
      </c>
      <c r="I2985" s="37" t="str">
        <f>VLOOKUP(H2985,'Flow Location'!$A$1:$B$21,2,FALSE)</f>
        <v>Contained On Site, not within 5 ft. of Bayou/Surface Water/Drainage Ditch</v>
      </c>
      <c r="J2985" s="28">
        <v>0.0</v>
      </c>
      <c r="K2985" s="23" t="s">
        <v>45</v>
      </c>
      <c r="L2985" s="37" t="str">
        <f>VLOOKUP(K2985,'Structure type'!$A$1:$B$15,2,FALSE)</f>
        <v>City Cleanout</v>
      </c>
      <c r="M2985" s="23" t="s">
        <v>52</v>
      </c>
      <c r="N2985" s="23" t="str">
        <f>VLOOKUP(M2985,'Excursion Cause'!$A$1:$B$34,2,FALSE)</f>
        <v>Collection system structural blockage</v>
      </c>
      <c r="O2985" s="29">
        <v>45194.0</v>
      </c>
      <c r="P2985" s="30">
        <v>0.5694444444444444</v>
      </c>
      <c r="Q2985" s="32">
        <v>45194.0</v>
      </c>
      <c r="R2985" s="30">
        <v>0.5701388888888889</v>
      </c>
      <c r="S2985" s="28">
        <v>0.0</v>
      </c>
      <c r="T2985" s="23" t="s">
        <v>1473</v>
      </c>
      <c r="U2985" s="38"/>
      <c r="V2985" s="6"/>
      <c r="W2985" s="35">
        <v>29.7879088</v>
      </c>
      <c r="X2985" s="35">
        <v>-95.3250403999999</v>
      </c>
      <c r="AA2985" s="33"/>
      <c r="AB2985" s="33"/>
      <c r="AC2985" s="33"/>
      <c r="AD2985" s="33"/>
      <c r="AE2985" s="33"/>
      <c r="AF2985" s="33"/>
      <c r="AG2985" s="33"/>
      <c r="AH2985" s="33"/>
      <c r="AI2985" s="33"/>
      <c r="AJ2985" s="33"/>
      <c r="AK2985" s="33"/>
      <c r="AL2985" s="33"/>
      <c r="AM2985" s="33"/>
      <c r="AN2985" s="33"/>
      <c r="AO2985" s="33"/>
    </row>
    <row r="2986" ht="15.75" customHeight="1">
      <c r="A2986" s="41">
        <v>54306.0</v>
      </c>
      <c r="B2986" s="23">
        <v>2023.0</v>
      </c>
      <c r="C2986" s="36" t="str">
        <f t="shared" si="7"/>
        <v>3922 FARMER ST,Houston,TX</v>
      </c>
      <c r="D2986" s="23" t="s">
        <v>4199</v>
      </c>
      <c r="E2986" s="23" t="s">
        <v>25</v>
      </c>
      <c r="F2986" s="23" t="s">
        <v>1388</v>
      </c>
      <c r="G2986" s="31" t="s">
        <v>86</v>
      </c>
      <c r="H2986" s="23" t="s">
        <v>50</v>
      </c>
      <c r="I2986" s="37" t="str">
        <f>VLOOKUP(H2986,'Flow Location'!$A$1:$B$21,2,FALSE)</f>
        <v>Contained On Site, not within 5 ft. of Bayou/Surface Water/Drainage Ditch</v>
      </c>
      <c r="J2986" s="28">
        <v>0.0</v>
      </c>
      <c r="K2986" s="23" t="s">
        <v>45</v>
      </c>
      <c r="L2986" s="37" t="str">
        <f>VLOOKUP(K2986,'Structure type'!$A$1:$B$15,2,FALSE)</f>
        <v>City Cleanout</v>
      </c>
      <c r="M2986" s="23" t="s">
        <v>81</v>
      </c>
      <c r="N2986" s="23" t="str">
        <f>VLOOKUP(M2986,'Excursion Cause'!$A$1:$B$34,2,FALSE)</f>
        <v>Collection system structural failure</v>
      </c>
      <c r="O2986" s="29">
        <v>45194.0</v>
      </c>
      <c r="P2986" s="30">
        <v>0.6506944444444445</v>
      </c>
      <c r="Q2986" s="32">
        <v>45194.0</v>
      </c>
      <c r="R2986" s="30">
        <v>0.6513888888888889</v>
      </c>
      <c r="S2986" s="28">
        <v>0.0</v>
      </c>
      <c r="T2986" s="23" t="s">
        <v>1473</v>
      </c>
      <c r="U2986" s="38"/>
      <c r="V2986" s="6"/>
      <c r="W2986" s="35">
        <v>29.7751294</v>
      </c>
      <c r="X2986" s="35">
        <v>-95.3303859</v>
      </c>
      <c r="AA2986" s="33"/>
      <c r="AB2986" s="33"/>
      <c r="AC2986" s="33"/>
      <c r="AD2986" s="33"/>
      <c r="AE2986" s="33"/>
      <c r="AF2986" s="33"/>
      <c r="AG2986" s="33"/>
      <c r="AH2986" s="33"/>
      <c r="AI2986" s="33"/>
      <c r="AJ2986" s="33"/>
      <c r="AK2986" s="33"/>
      <c r="AL2986" s="33"/>
      <c r="AM2986" s="33"/>
      <c r="AN2986" s="33"/>
      <c r="AO2986" s="33"/>
    </row>
    <row r="2987" ht="15.75" customHeight="1">
      <c r="A2987" s="41">
        <v>54307.0</v>
      </c>
      <c r="B2987" s="23">
        <v>2023.0</v>
      </c>
      <c r="C2987" s="36" t="str">
        <f t="shared" si="7"/>
        <v>10001 FONDREN RD,Houston,TX</v>
      </c>
      <c r="D2987" s="23" t="s">
        <v>4200</v>
      </c>
      <c r="E2987" s="23" t="s">
        <v>25</v>
      </c>
      <c r="F2987" s="23" t="s">
        <v>1388</v>
      </c>
      <c r="G2987" s="31" t="s">
        <v>69</v>
      </c>
      <c r="H2987" s="23" t="s">
        <v>50</v>
      </c>
      <c r="I2987" s="37" t="str">
        <f>VLOOKUP(H2987,'Flow Location'!$A$1:$B$21,2,FALSE)</f>
        <v>Contained On Site, not within 5 ft. of Bayou/Surface Water/Drainage Ditch</v>
      </c>
      <c r="J2987" s="28">
        <v>2290.0</v>
      </c>
      <c r="K2987" s="23" t="s">
        <v>29</v>
      </c>
      <c r="L2987" s="37" t="str">
        <f>VLOOKUP(K2987,'Structure type'!$A$1:$B$15,2,FALSE)</f>
        <v>Manhole</v>
      </c>
      <c r="M2987" s="23" t="s">
        <v>30</v>
      </c>
      <c r="N2987" s="23" t="str">
        <f>VLOOKUP(M2987,'Excursion Cause'!$A$1:$B$34,2,FALSE)</f>
        <v>Grease Blockage</v>
      </c>
      <c r="O2987" s="29">
        <v>45194.0</v>
      </c>
      <c r="P2987" s="30">
        <v>0.36944444444444446</v>
      </c>
      <c r="Q2987" s="32">
        <v>45194.0</v>
      </c>
      <c r="R2987" s="30">
        <v>0.6875</v>
      </c>
      <c r="S2987" s="28">
        <v>20.0</v>
      </c>
      <c r="T2987" s="23" t="s">
        <v>1462</v>
      </c>
      <c r="U2987" s="38"/>
      <c r="V2987" s="6"/>
      <c r="W2987" s="35">
        <v>29.6721254</v>
      </c>
      <c r="X2987" s="35">
        <v>-95.5071550999999</v>
      </c>
      <c r="AA2987" s="33"/>
      <c r="AB2987" s="33"/>
      <c r="AC2987" s="33"/>
      <c r="AD2987" s="33"/>
      <c r="AE2987" s="33"/>
      <c r="AF2987" s="33"/>
      <c r="AG2987" s="33"/>
      <c r="AH2987" s="33"/>
      <c r="AI2987" s="33"/>
      <c r="AJ2987" s="33"/>
      <c r="AK2987" s="33"/>
      <c r="AL2987" s="33"/>
      <c r="AM2987" s="33"/>
      <c r="AN2987" s="33"/>
      <c r="AO2987" s="33"/>
    </row>
    <row r="2988" ht="15.75" customHeight="1">
      <c r="A2988" s="41">
        <v>54308.0</v>
      </c>
      <c r="B2988" s="23">
        <v>2023.0</v>
      </c>
      <c r="C2988" s="36" t="str">
        <f t="shared" si="7"/>
        <v>8007 CAPITOL ST,Houston,TX</v>
      </c>
      <c r="D2988" s="23" t="s">
        <v>1264</v>
      </c>
      <c r="E2988" s="23" t="s">
        <v>25</v>
      </c>
      <c r="F2988" s="23" t="s">
        <v>1388</v>
      </c>
      <c r="G2988" s="31" t="s">
        <v>365</v>
      </c>
      <c r="H2988" s="23" t="s">
        <v>50</v>
      </c>
      <c r="I2988" s="37" t="str">
        <f>VLOOKUP(H2988,'Flow Location'!$A$1:$B$21,2,FALSE)</f>
        <v>Contained On Site, not within 5 ft. of Bayou/Surface Water/Drainage Ditch</v>
      </c>
      <c r="J2988" s="28">
        <v>0.0</v>
      </c>
      <c r="K2988" s="23" t="s">
        <v>29</v>
      </c>
      <c r="L2988" s="37" t="str">
        <f>VLOOKUP(K2988,'Structure type'!$A$1:$B$15,2,FALSE)</f>
        <v>Manhole</v>
      </c>
      <c r="M2988" s="23" t="s">
        <v>1174</v>
      </c>
      <c r="N2988" s="23" t="str">
        <f>VLOOKUP(M2988,'Excursion Cause'!$A$1:$B$34,2,FALSE)</f>
        <v>Collection system wet weather</v>
      </c>
      <c r="O2988" s="29">
        <v>45195.0</v>
      </c>
      <c r="P2988" s="30">
        <v>6.944444444444445E-4</v>
      </c>
      <c r="Q2988" s="32">
        <v>45195.0</v>
      </c>
      <c r="R2988" s="30">
        <v>0.001388888888888889</v>
      </c>
      <c r="S2988" s="28">
        <v>0.0</v>
      </c>
      <c r="T2988" s="23" t="s">
        <v>118</v>
      </c>
      <c r="U2988" s="38"/>
      <c r="V2988" s="6"/>
      <c r="W2988" s="35">
        <v>29.7281915</v>
      </c>
      <c r="X2988" s="35">
        <v>-95.2823011</v>
      </c>
      <c r="AA2988" s="33"/>
      <c r="AB2988" s="33"/>
      <c r="AC2988" s="33"/>
      <c r="AD2988" s="33"/>
      <c r="AE2988" s="33"/>
      <c r="AF2988" s="33"/>
      <c r="AG2988" s="33"/>
      <c r="AH2988" s="33"/>
      <c r="AI2988" s="33"/>
      <c r="AJ2988" s="33"/>
      <c r="AK2988" s="33"/>
      <c r="AL2988" s="33"/>
      <c r="AM2988" s="33"/>
      <c r="AN2988" s="33"/>
      <c r="AO2988" s="33"/>
    </row>
    <row r="2989" ht="15.75" customHeight="1">
      <c r="A2989" s="41">
        <v>54309.0</v>
      </c>
      <c r="B2989" s="23">
        <v>2023.0</v>
      </c>
      <c r="C2989" s="36" t="str">
        <f t="shared" si="7"/>
        <v>6826 SONGBROOK DR,Houston,TX</v>
      </c>
      <c r="D2989" s="23" t="s">
        <v>4201</v>
      </c>
      <c r="E2989" s="23" t="s">
        <v>25</v>
      </c>
      <c r="F2989" s="23" t="s">
        <v>1388</v>
      </c>
      <c r="G2989" s="31" t="s">
        <v>1218</v>
      </c>
      <c r="H2989" s="23" t="s">
        <v>50</v>
      </c>
      <c r="I2989" s="37" t="str">
        <f>VLOOKUP(H2989,'Flow Location'!$A$1:$B$21,2,FALSE)</f>
        <v>Contained On Site, not within 5 ft. of Bayou/Surface Water/Drainage Ditch</v>
      </c>
      <c r="J2989" s="28">
        <v>0.0</v>
      </c>
      <c r="K2989" s="23" t="s">
        <v>45</v>
      </c>
      <c r="L2989" s="37" t="str">
        <f>VLOOKUP(K2989,'Structure type'!$A$1:$B$15,2,FALSE)</f>
        <v>City Cleanout</v>
      </c>
      <c r="M2989" s="23" t="s">
        <v>81</v>
      </c>
      <c r="N2989" s="23" t="str">
        <f>VLOOKUP(M2989,'Excursion Cause'!$A$1:$B$34,2,FALSE)</f>
        <v>Collection system structural failure</v>
      </c>
      <c r="O2989" s="29">
        <v>45195.0</v>
      </c>
      <c r="P2989" s="30">
        <v>0.425</v>
      </c>
      <c r="Q2989" s="32">
        <v>45195.0</v>
      </c>
      <c r="R2989" s="30">
        <v>0.42569444444444443</v>
      </c>
      <c r="S2989" s="28">
        <v>0.0</v>
      </c>
      <c r="T2989" s="23" t="s">
        <v>3745</v>
      </c>
      <c r="U2989" s="38"/>
      <c r="V2989" s="6"/>
      <c r="W2989" s="35">
        <v>29.7021643</v>
      </c>
      <c r="X2989" s="35">
        <v>-95.6184577</v>
      </c>
      <c r="AA2989" s="33"/>
      <c r="AB2989" s="33"/>
      <c r="AC2989" s="33"/>
      <c r="AD2989" s="33"/>
      <c r="AE2989" s="33"/>
      <c r="AF2989" s="33"/>
      <c r="AG2989" s="33"/>
      <c r="AH2989" s="33"/>
      <c r="AI2989" s="33"/>
      <c r="AJ2989" s="33"/>
      <c r="AK2989" s="33"/>
      <c r="AL2989" s="33"/>
      <c r="AM2989" s="33"/>
      <c r="AN2989" s="33"/>
      <c r="AO2989" s="33"/>
    </row>
    <row r="2990" ht="15.75" customHeight="1">
      <c r="A2990" s="41">
        <v>54312.0</v>
      </c>
      <c r="B2990" s="23">
        <v>2023.0</v>
      </c>
      <c r="C2990" s="36" t="str">
        <f t="shared" si="7"/>
        <v>6747 LAWNDALE ST,Houston,TX</v>
      </c>
      <c r="D2990" s="23" t="s">
        <v>3688</v>
      </c>
      <c r="E2990" s="23" t="s">
        <v>25</v>
      </c>
      <c r="F2990" s="23" t="s">
        <v>1388</v>
      </c>
      <c r="G2990" s="31" t="s">
        <v>227</v>
      </c>
      <c r="H2990" s="23" t="s">
        <v>44</v>
      </c>
      <c r="I2990" s="37" t="str">
        <f>VLOOKUP(H2990,'Flow Location'!$A$1:$B$21,2,FALSE)</f>
        <v>Bayou/surface water/drainage ditch</v>
      </c>
      <c r="J2990" s="28">
        <v>0.0</v>
      </c>
      <c r="K2990" s="23" t="s">
        <v>29</v>
      </c>
      <c r="L2990" s="37" t="str">
        <f>VLOOKUP(K2990,'Structure type'!$A$1:$B$15,2,FALSE)</f>
        <v>Manhole</v>
      </c>
      <c r="M2990" s="23" t="s">
        <v>1174</v>
      </c>
      <c r="N2990" s="23" t="str">
        <f>VLOOKUP(M2990,'Excursion Cause'!$A$1:$B$34,2,FALSE)</f>
        <v>Collection system wet weather</v>
      </c>
      <c r="O2990" s="29">
        <v>45195.0</v>
      </c>
      <c r="P2990" s="30">
        <v>6.944444444444445E-4</v>
      </c>
      <c r="Q2990" s="32">
        <v>45195.0</v>
      </c>
      <c r="R2990" s="30">
        <v>0.001388888888888889</v>
      </c>
      <c r="S2990" s="28">
        <v>0.0</v>
      </c>
      <c r="T2990" s="23" t="s">
        <v>3835</v>
      </c>
      <c r="U2990" s="38"/>
      <c r="V2990" s="6"/>
      <c r="W2990" s="35">
        <v>29.7230744</v>
      </c>
      <c r="X2990" s="35">
        <v>-95.3060569</v>
      </c>
      <c r="AA2990" s="33"/>
      <c r="AB2990" s="33"/>
      <c r="AC2990" s="33"/>
      <c r="AD2990" s="33"/>
      <c r="AE2990" s="33"/>
      <c r="AF2990" s="33"/>
      <c r="AG2990" s="33"/>
      <c r="AH2990" s="33"/>
      <c r="AI2990" s="33"/>
      <c r="AJ2990" s="33"/>
      <c r="AK2990" s="33"/>
      <c r="AL2990" s="33"/>
      <c r="AM2990" s="33"/>
      <c r="AN2990" s="33"/>
      <c r="AO2990" s="33"/>
    </row>
    <row r="2991" ht="15.75" customHeight="1">
      <c r="A2991" s="41">
        <v>54319.0</v>
      </c>
      <c r="B2991" s="23">
        <v>2023.0</v>
      </c>
      <c r="C2991" s="36" t="str">
        <f t="shared" si="7"/>
        <v>7050 BENNINGTON ST,Houston,TX</v>
      </c>
      <c r="D2991" s="23" t="s">
        <v>3809</v>
      </c>
      <c r="E2991" s="23" t="s">
        <v>25</v>
      </c>
      <c r="F2991" s="23" t="s">
        <v>1388</v>
      </c>
      <c r="G2991" s="31" t="s">
        <v>177</v>
      </c>
      <c r="H2991" s="23" t="s">
        <v>50</v>
      </c>
      <c r="I2991" s="37" t="str">
        <f>VLOOKUP(H2991,'Flow Location'!$A$1:$B$21,2,FALSE)</f>
        <v>Contained On Site, not within 5 ft. of Bayou/Surface Water/Drainage Ditch</v>
      </c>
      <c r="J2991" s="28">
        <v>609.0</v>
      </c>
      <c r="K2991" s="23" t="s">
        <v>29</v>
      </c>
      <c r="L2991" s="37" t="str">
        <f>VLOOKUP(K2991,'Structure type'!$A$1:$B$15,2,FALSE)</f>
        <v>Manhole</v>
      </c>
      <c r="M2991" s="23" t="s">
        <v>30</v>
      </c>
      <c r="N2991" s="23" t="str">
        <f>VLOOKUP(M2991,'Excursion Cause'!$A$1:$B$34,2,FALSE)</f>
        <v>Grease Blockage</v>
      </c>
      <c r="O2991" s="29">
        <v>45195.0</v>
      </c>
      <c r="P2991" s="30">
        <v>0.725</v>
      </c>
      <c r="Q2991" s="32">
        <v>45195.0</v>
      </c>
      <c r="R2991" s="30">
        <v>0.8659722222222223</v>
      </c>
      <c r="S2991" s="28">
        <v>3.0</v>
      </c>
      <c r="T2991" s="23" t="s">
        <v>1462</v>
      </c>
      <c r="U2991" s="38"/>
      <c r="V2991" s="6"/>
      <c r="W2991" s="35">
        <v>29.8161013</v>
      </c>
      <c r="X2991" s="35">
        <v>-95.3038715</v>
      </c>
      <c r="AA2991" s="33"/>
      <c r="AB2991" s="33"/>
      <c r="AC2991" s="33"/>
      <c r="AD2991" s="33"/>
      <c r="AE2991" s="33"/>
      <c r="AF2991" s="33"/>
      <c r="AG2991" s="33"/>
      <c r="AH2991" s="33"/>
      <c r="AI2991" s="33"/>
      <c r="AJ2991" s="33"/>
      <c r="AK2991" s="33"/>
      <c r="AL2991" s="33"/>
      <c r="AM2991" s="33"/>
      <c r="AN2991" s="33"/>
      <c r="AO2991" s="33"/>
    </row>
    <row r="2992" ht="15.75" customHeight="1">
      <c r="A2992" s="41">
        <v>54320.0</v>
      </c>
      <c r="B2992" s="23">
        <v>2023.0</v>
      </c>
      <c r="C2992" s="36" t="str">
        <f t="shared" si="7"/>
        <v>1214 STONEHOLLOW DR,Houston,TX</v>
      </c>
      <c r="D2992" s="23" t="s">
        <v>3209</v>
      </c>
      <c r="E2992" s="23" t="s">
        <v>25</v>
      </c>
      <c r="F2992" s="23" t="s">
        <v>1388</v>
      </c>
      <c r="G2992" s="31" t="s">
        <v>1078</v>
      </c>
      <c r="H2992" s="23" t="s">
        <v>50</v>
      </c>
      <c r="I2992" s="37" t="str">
        <f>VLOOKUP(H2992,'Flow Location'!$A$1:$B$21,2,FALSE)</f>
        <v>Contained On Site, not within 5 ft. of Bayou/Surface Water/Drainage Ditch</v>
      </c>
      <c r="J2992" s="28">
        <v>508.0</v>
      </c>
      <c r="K2992" s="23" t="s">
        <v>45</v>
      </c>
      <c r="L2992" s="37" t="str">
        <f>VLOOKUP(K2992,'Structure type'!$A$1:$B$15,2,FALSE)</f>
        <v>City Cleanout</v>
      </c>
      <c r="M2992" s="23" t="s">
        <v>56</v>
      </c>
      <c r="N2992" s="23" t="str">
        <f>VLOOKUP(M2992,'Excursion Cause'!$A$1:$B$34,2,FALSE)</f>
        <v>Rags/Wipes</v>
      </c>
      <c r="O2992" s="29">
        <v>45196.0</v>
      </c>
      <c r="P2992" s="30">
        <v>0.37222222222222223</v>
      </c>
      <c r="Q2992" s="32">
        <v>45196.0</v>
      </c>
      <c r="R2992" s="30">
        <v>0.5486111111111112</v>
      </c>
      <c r="S2992" s="28">
        <v>2.0</v>
      </c>
      <c r="T2992" s="23" t="s">
        <v>3756</v>
      </c>
      <c r="U2992" s="38"/>
      <c r="V2992" s="6"/>
      <c r="W2992" s="35">
        <v>30.0511907999999</v>
      </c>
      <c r="X2992" s="35">
        <v>-95.2369863999999</v>
      </c>
      <c r="AA2992" s="33"/>
      <c r="AB2992" s="33"/>
      <c r="AC2992" s="33"/>
      <c r="AD2992" s="33"/>
      <c r="AE2992" s="33"/>
      <c r="AF2992" s="33"/>
      <c r="AG2992" s="33"/>
      <c r="AH2992" s="33"/>
      <c r="AI2992" s="33"/>
      <c r="AJ2992" s="33"/>
      <c r="AK2992" s="33"/>
      <c r="AL2992" s="33"/>
      <c r="AM2992" s="33"/>
      <c r="AN2992" s="33"/>
      <c r="AO2992" s="33"/>
    </row>
    <row r="2993" ht="15.75" customHeight="1">
      <c r="A2993" s="41">
        <v>54324.0</v>
      </c>
      <c r="B2993" s="23">
        <v>2023.0</v>
      </c>
      <c r="C2993" s="36" t="str">
        <f t="shared" si="7"/>
        <v>15718 MUNSON LN,Houston,TX</v>
      </c>
      <c r="D2993" s="23" t="s">
        <v>4202</v>
      </c>
      <c r="E2993" s="23" t="s">
        <v>25</v>
      </c>
      <c r="F2993" s="23" t="s">
        <v>1388</v>
      </c>
      <c r="G2993" s="31" t="s">
        <v>517</v>
      </c>
      <c r="H2993" s="23" t="s">
        <v>50</v>
      </c>
      <c r="I2993" s="37" t="str">
        <f>VLOOKUP(H2993,'Flow Location'!$A$1:$B$21,2,FALSE)</f>
        <v>Contained On Site, not within 5 ft. of Bayou/Surface Water/Drainage Ditch</v>
      </c>
      <c r="J2993" s="28">
        <v>11.0</v>
      </c>
      <c r="K2993" s="23" t="s">
        <v>51</v>
      </c>
      <c r="L2993" s="37" t="str">
        <f>VLOOKUP(K2993,'Structure type'!$A$1:$B$15,2,FALSE)</f>
        <v>Private Cleanout</v>
      </c>
      <c r="M2993" s="23" t="s">
        <v>56</v>
      </c>
      <c r="N2993" s="23" t="str">
        <f>VLOOKUP(M2993,'Excursion Cause'!$A$1:$B$34,2,FALSE)</f>
        <v>Rags/Wipes</v>
      </c>
      <c r="O2993" s="29">
        <v>45196.0</v>
      </c>
      <c r="P2993" s="30">
        <v>0.5256944444444445</v>
      </c>
      <c r="Q2993" s="32">
        <v>45196.0</v>
      </c>
      <c r="R2993" s="30">
        <v>0.5555555555555556</v>
      </c>
      <c r="S2993" s="28">
        <v>0.0</v>
      </c>
      <c r="T2993" s="23" t="s">
        <v>3749</v>
      </c>
      <c r="U2993" s="38"/>
      <c r="V2993" s="6"/>
      <c r="W2993" s="35">
        <v>29.5982206</v>
      </c>
      <c r="X2993" s="35">
        <v>-95.4738285999999</v>
      </c>
      <c r="AA2993" s="33"/>
      <c r="AB2993" s="33"/>
      <c r="AC2993" s="33"/>
      <c r="AD2993" s="33"/>
      <c r="AE2993" s="33"/>
      <c r="AF2993" s="33"/>
      <c r="AG2993" s="33"/>
      <c r="AH2993" s="33"/>
      <c r="AI2993" s="33"/>
      <c r="AJ2993" s="33"/>
      <c r="AK2993" s="33"/>
      <c r="AL2993" s="33"/>
      <c r="AM2993" s="33"/>
      <c r="AN2993" s="33"/>
      <c r="AO2993" s="33"/>
    </row>
    <row r="2994" ht="15.75" customHeight="1">
      <c r="A2994" s="41">
        <v>54325.0</v>
      </c>
      <c r="B2994" s="23">
        <v>2023.0</v>
      </c>
      <c r="C2994" s="36" t="str">
        <f t="shared" si="7"/>
        <v>14023 POST OAK RD,Houston,TX</v>
      </c>
      <c r="D2994" s="23" t="s">
        <v>4203</v>
      </c>
      <c r="E2994" s="23" t="s">
        <v>25</v>
      </c>
      <c r="F2994" s="23" t="s">
        <v>1388</v>
      </c>
      <c r="G2994" s="31" t="s">
        <v>39</v>
      </c>
      <c r="H2994" s="23" t="s">
        <v>28</v>
      </c>
      <c r="I2994" s="37" t="str">
        <f>VLOOKUP(H2994,'Flow Location'!$A$1:$B$21,2,FALSE)</f>
        <v>Storm Sewer (not contained)</v>
      </c>
      <c r="J2994" s="28">
        <v>163.0</v>
      </c>
      <c r="K2994" s="23" t="s">
        <v>51</v>
      </c>
      <c r="L2994" s="37" t="str">
        <f>VLOOKUP(K2994,'Structure type'!$A$1:$B$15,2,FALSE)</f>
        <v>Private Cleanout</v>
      </c>
      <c r="M2994" s="23" t="s">
        <v>52</v>
      </c>
      <c r="N2994" s="23" t="str">
        <f>VLOOKUP(M2994,'Excursion Cause'!$A$1:$B$34,2,FALSE)</f>
        <v>Collection system structural blockage</v>
      </c>
      <c r="O2994" s="29">
        <v>45196.0</v>
      </c>
      <c r="P2994" s="30">
        <v>0.58125</v>
      </c>
      <c r="Q2994" s="32">
        <v>45196.0</v>
      </c>
      <c r="R2994" s="30">
        <v>0.6944444444444444</v>
      </c>
      <c r="S2994" s="28">
        <v>1.0</v>
      </c>
      <c r="T2994" s="23" t="s">
        <v>3756</v>
      </c>
      <c r="U2994" s="38"/>
      <c r="V2994" s="6"/>
      <c r="W2994" s="35">
        <v>29.623209</v>
      </c>
      <c r="X2994" s="35">
        <v>-95.463939</v>
      </c>
      <c r="AA2994" s="33"/>
      <c r="AB2994" s="33"/>
      <c r="AC2994" s="33"/>
      <c r="AD2994" s="33"/>
      <c r="AE2994" s="33"/>
      <c r="AF2994" s="33"/>
      <c r="AG2994" s="33"/>
      <c r="AH2994" s="33"/>
      <c r="AI2994" s="33"/>
      <c r="AJ2994" s="33"/>
      <c r="AK2994" s="33"/>
      <c r="AL2994" s="33"/>
      <c r="AM2994" s="33"/>
      <c r="AN2994" s="33"/>
      <c r="AO2994" s="33"/>
    </row>
    <row r="2995" ht="15.75" customHeight="1">
      <c r="A2995" s="41">
        <v>54331.0</v>
      </c>
      <c r="B2995" s="23">
        <v>2023.0</v>
      </c>
      <c r="C2995" s="36" t="str">
        <f t="shared" si="7"/>
        <v>3711 WILMINGTON ST,Houston,TX</v>
      </c>
      <c r="D2995" s="23" t="s">
        <v>4204</v>
      </c>
      <c r="E2995" s="23" t="s">
        <v>25</v>
      </c>
      <c r="F2995" s="23" t="s">
        <v>1388</v>
      </c>
      <c r="G2995" s="31" t="s">
        <v>105</v>
      </c>
      <c r="H2995" s="23" t="s">
        <v>50</v>
      </c>
      <c r="I2995" s="37" t="str">
        <f>VLOOKUP(H2995,'Flow Location'!$A$1:$B$21,2,FALSE)</f>
        <v>Contained On Site, not within 5 ft. of Bayou/Surface Water/Drainage Ditch</v>
      </c>
      <c r="J2995" s="28">
        <v>0.0</v>
      </c>
      <c r="K2995" s="23" t="s">
        <v>51</v>
      </c>
      <c r="L2995" s="37" t="str">
        <f>VLOOKUP(K2995,'Structure type'!$A$1:$B$15,2,FALSE)</f>
        <v>Private Cleanout</v>
      </c>
      <c r="M2995" s="23" t="s">
        <v>56</v>
      </c>
      <c r="N2995" s="23" t="str">
        <f>VLOOKUP(M2995,'Excursion Cause'!$A$1:$B$34,2,FALSE)</f>
        <v>Rags/Wipes</v>
      </c>
      <c r="O2995" s="29">
        <v>45197.0</v>
      </c>
      <c r="P2995" s="30">
        <v>0.5611111111111111</v>
      </c>
      <c r="Q2995" s="32">
        <v>45197.0</v>
      </c>
      <c r="R2995" s="30">
        <v>0.5618055555555556</v>
      </c>
      <c r="S2995" s="28">
        <v>0.0</v>
      </c>
      <c r="T2995" s="23" t="s">
        <v>3749</v>
      </c>
      <c r="U2995" s="38"/>
      <c r="V2995" s="6"/>
      <c r="W2995" s="35">
        <v>29.6558464</v>
      </c>
      <c r="X2995" s="35">
        <v>-95.369154</v>
      </c>
      <c r="AA2995" s="33"/>
      <c r="AB2995" s="33"/>
      <c r="AC2995" s="33"/>
      <c r="AD2995" s="33"/>
      <c r="AE2995" s="33"/>
      <c r="AF2995" s="33"/>
      <c r="AG2995" s="33"/>
      <c r="AH2995" s="33"/>
      <c r="AI2995" s="33"/>
      <c r="AJ2995" s="33"/>
      <c r="AK2995" s="33"/>
      <c r="AL2995" s="33"/>
      <c r="AM2995" s="33"/>
      <c r="AN2995" s="33"/>
      <c r="AO2995" s="33"/>
    </row>
    <row r="2996" ht="15.75" customHeight="1">
      <c r="A2996" s="41">
        <v>54335.0</v>
      </c>
      <c r="B2996" s="23">
        <v>2023.0</v>
      </c>
      <c r="C2996" s="36" t="str">
        <f t="shared" si="7"/>
        <v>922 RANDOLPH ST,Houston,TX</v>
      </c>
      <c r="D2996" s="23" t="s">
        <v>4205</v>
      </c>
      <c r="E2996" s="23" t="s">
        <v>25</v>
      </c>
      <c r="F2996" s="23" t="s">
        <v>1388</v>
      </c>
      <c r="G2996" s="31" t="s">
        <v>502</v>
      </c>
      <c r="H2996" s="23" t="s">
        <v>50</v>
      </c>
      <c r="I2996" s="37" t="str">
        <f>VLOOKUP(H2996,'Flow Location'!$A$1:$B$21,2,FALSE)</f>
        <v>Contained On Site, not within 5 ft. of Bayou/Surface Water/Drainage Ditch</v>
      </c>
      <c r="J2996" s="28">
        <v>0.0</v>
      </c>
      <c r="K2996" s="23" t="s">
        <v>45</v>
      </c>
      <c r="L2996" s="37" t="str">
        <f>VLOOKUP(K2996,'Structure type'!$A$1:$B$15,2,FALSE)</f>
        <v>City Cleanout</v>
      </c>
      <c r="M2996" s="23" t="s">
        <v>52</v>
      </c>
      <c r="N2996" s="23" t="str">
        <f>VLOOKUP(M2996,'Excursion Cause'!$A$1:$B$34,2,FALSE)</f>
        <v>Collection system structural blockage</v>
      </c>
      <c r="O2996" s="29">
        <v>45197.0</v>
      </c>
      <c r="P2996" s="30">
        <v>0.6979166666666666</v>
      </c>
      <c r="Q2996" s="32">
        <v>45197.0</v>
      </c>
      <c r="R2996" s="30">
        <v>0.6986111111111111</v>
      </c>
      <c r="S2996" s="28">
        <v>0.0</v>
      </c>
      <c r="T2996" s="23" t="s">
        <v>118</v>
      </c>
      <c r="U2996" s="38"/>
      <c r="V2996" s="6"/>
      <c r="W2996" s="35">
        <v>29.8784249</v>
      </c>
      <c r="X2996" s="35">
        <v>-95.4217949999999</v>
      </c>
      <c r="AA2996" s="33"/>
      <c r="AB2996" s="33"/>
      <c r="AC2996" s="33"/>
      <c r="AD2996" s="33"/>
      <c r="AE2996" s="33"/>
      <c r="AF2996" s="33"/>
      <c r="AG2996" s="33"/>
      <c r="AH2996" s="33"/>
      <c r="AI2996" s="33"/>
      <c r="AJ2996" s="33"/>
      <c r="AK2996" s="33"/>
      <c r="AL2996" s="33"/>
      <c r="AM2996" s="33"/>
      <c r="AN2996" s="33"/>
      <c r="AO2996" s="33"/>
    </row>
    <row r="2997" ht="15.75" customHeight="1">
      <c r="A2997" s="41">
        <v>54336.0</v>
      </c>
      <c r="B2997" s="23">
        <v>2023.0</v>
      </c>
      <c r="C2997" s="36" t="str">
        <f t="shared" si="7"/>
        <v>602 BIZERTE ST,Houston,TX</v>
      </c>
      <c r="D2997" s="23" t="s">
        <v>4172</v>
      </c>
      <c r="E2997" s="23" t="s">
        <v>25</v>
      </c>
      <c r="F2997" s="23" t="s">
        <v>1388</v>
      </c>
      <c r="G2997" s="31" t="s">
        <v>653</v>
      </c>
      <c r="H2997" s="23" t="s">
        <v>1493</v>
      </c>
      <c r="I2997" s="37" t="str">
        <f>VLOOKUP(H2997,'Flow Location'!$A$1:$B$21,2,FALSE)</f>
        <v>Contained On Site, not within 5 ft. of Bayou/Surface Water/Drainage Ditch</v>
      </c>
      <c r="J2997" s="28">
        <v>0.0</v>
      </c>
      <c r="K2997" s="23" t="s">
        <v>198</v>
      </c>
      <c r="L2997" s="37" t="str">
        <f>VLOOKUP(K2997,'Structure type'!$A$1:$B$15,2,FALSE)</f>
        <v>Service Lateral</v>
      </c>
      <c r="M2997" s="23" t="s">
        <v>3250</v>
      </c>
      <c r="N2997" s="23" t="str">
        <f>VLOOKUP(M2997,'Excursion Cause'!$A$1:$B$34,2,FALSE)</f>
        <v>Collection system structural blockage</v>
      </c>
      <c r="O2997" s="29">
        <v>45196.0</v>
      </c>
      <c r="P2997" s="30">
        <v>0.6881944444444444</v>
      </c>
      <c r="Q2997" s="32">
        <v>45197.0</v>
      </c>
      <c r="R2997" s="30">
        <v>0.7451388888888889</v>
      </c>
      <c r="S2997" s="28">
        <v>0.0</v>
      </c>
      <c r="T2997" s="23" t="s">
        <v>1473</v>
      </c>
      <c r="U2997" s="38"/>
      <c r="V2997" s="6"/>
      <c r="W2997" s="35">
        <v>29.8375938</v>
      </c>
      <c r="X2997" s="35">
        <v>-95.3909080999999</v>
      </c>
      <c r="AA2997" s="33"/>
      <c r="AB2997" s="33"/>
      <c r="AC2997" s="33"/>
      <c r="AD2997" s="33"/>
      <c r="AE2997" s="33"/>
      <c r="AF2997" s="33"/>
      <c r="AG2997" s="33"/>
      <c r="AH2997" s="33"/>
      <c r="AI2997" s="33"/>
      <c r="AJ2997" s="33"/>
      <c r="AK2997" s="33"/>
      <c r="AL2997" s="33"/>
      <c r="AM2997" s="33"/>
      <c r="AN2997" s="33"/>
      <c r="AO2997" s="33"/>
    </row>
    <row r="2998" ht="15.75" customHeight="1">
      <c r="A2998" s="41">
        <v>54341.0</v>
      </c>
      <c r="B2998" s="23">
        <v>2023.0</v>
      </c>
      <c r="C2998" s="36" t="str">
        <f t="shared" si="7"/>
        <v>7226 BLANDFORD LN,Houston,TX</v>
      </c>
      <c r="D2998" s="23" t="s">
        <v>4206</v>
      </c>
      <c r="E2998" s="23" t="s">
        <v>25</v>
      </c>
      <c r="F2998" s="23" t="s">
        <v>1388</v>
      </c>
      <c r="G2998" s="31" t="s">
        <v>27</v>
      </c>
      <c r="H2998" s="23" t="s">
        <v>50</v>
      </c>
      <c r="I2998" s="37" t="str">
        <f>VLOOKUP(H2998,'Flow Location'!$A$1:$B$21,2,FALSE)</f>
        <v>Contained On Site, not within 5 ft. of Bayou/Surface Water/Drainage Ditch</v>
      </c>
      <c r="J2998" s="28">
        <v>0.0</v>
      </c>
      <c r="K2998" s="23" t="s">
        <v>29</v>
      </c>
      <c r="L2998" s="37" t="str">
        <f>VLOOKUP(K2998,'Structure type'!$A$1:$B$15,2,FALSE)</f>
        <v>Manhole</v>
      </c>
      <c r="M2998" s="23" t="s">
        <v>30</v>
      </c>
      <c r="N2998" s="23" t="str">
        <f>VLOOKUP(M2998,'Excursion Cause'!$A$1:$B$34,2,FALSE)</f>
        <v>Grease Blockage</v>
      </c>
      <c r="O2998" s="29">
        <v>45198.0</v>
      </c>
      <c r="P2998" s="30">
        <v>0.3909722222222222</v>
      </c>
      <c r="Q2998" s="32">
        <v>45198.0</v>
      </c>
      <c r="R2998" s="30">
        <v>0.39166666666666666</v>
      </c>
      <c r="S2998" s="28">
        <v>0.0</v>
      </c>
      <c r="T2998" s="23" t="s">
        <v>1462</v>
      </c>
      <c r="U2998" s="38"/>
      <c r="V2998" s="6"/>
      <c r="W2998" s="35">
        <v>29.7899488</v>
      </c>
      <c r="X2998" s="35">
        <v>-95.4753849999999</v>
      </c>
      <c r="AA2998" s="33"/>
      <c r="AB2998" s="33"/>
      <c r="AC2998" s="33"/>
      <c r="AD2998" s="33"/>
      <c r="AE2998" s="33"/>
      <c r="AF2998" s="33"/>
      <c r="AG2998" s="33"/>
      <c r="AH2998" s="33"/>
      <c r="AI2998" s="33"/>
      <c r="AJ2998" s="33"/>
      <c r="AK2998" s="33"/>
      <c r="AL2998" s="33"/>
      <c r="AM2998" s="33"/>
      <c r="AN2998" s="33"/>
      <c r="AO2998" s="33"/>
    </row>
    <row r="2999" ht="15.75" customHeight="1">
      <c r="A2999" s="41">
        <v>54342.0</v>
      </c>
      <c r="B2999" s="23">
        <v>2023.0</v>
      </c>
      <c r="C2999" s="36" t="str">
        <f t="shared" si="7"/>
        <v>4300 SHAVER ST,Houston,TX</v>
      </c>
      <c r="D2999" s="23" t="s">
        <v>4207</v>
      </c>
      <c r="E2999" s="23" t="s">
        <v>25</v>
      </c>
      <c r="F2999" s="23" t="s">
        <v>1388</v>
      </c>
      <c r="G2999" s="31" t="s">
        <v>49</v>
      </c>
      <c r="H2999" s="23" t="s">
        <v>50</v>
      </c>
      <c r="I2999" s="37" t="str">
        <f>VLOOKUP(H2999,'Flow Location'!$A$1:$B$21,2,FALSE)</f>
        <v>Contained On Site, not within 5 ft. of Bayou/Surface Water/Drainage Ditch</v>
      </c>
      <c r="J2999" s="28">
        <v>608.0</v>
      </c>
      <c r="K2999" s="23" t="s">
        <v>29</v>
      </c>
      <c r="L2999" s="37" t="str">
        <f>VLOOKUP(K2999,'Structure type'!$A$1:$B$15,2,FALSE)</f>
        <v>Manhole</v>
      </c>
      <c r="M2999" s="23" t="s">
        <v>30</v>
      </c>
      <c r="N2999" s="23" t="str">
        <f>VLOOKUP(M2999,'Excursion Cause'!$A$1:$B$34,2,FALSE)</f>
        <v>Grease Blockage</v>
      </c>
      <c r="O2999" s="29">
        <v>45198.0</v>
      </c>
      <c r="P2999" s="30">
        <v>0.41180555555555554</v>
      </c>
      <c r="Q2999" s="32">
        <v>45198.0</v>
      </c>
      <c r="R2999" s="30">
        <v>0.6229166666666667</v>
      </c>
      <c r="S2999" s="28">
        <v>2.0</v>
      </c>
      <c r="T2999" s="23" t="s">
        <v>3749</v>
      </c>
      <c r="U2999" s="38"/>
      <c r="V2999" s="6"/>
      <c r="W2999" s="35">
        <v>29.6454813</v>
      </c>
      <c r="X2999" s="35">
        <v>-95.2083748</v>
      </c>
      <c r="AA2999" s="33"/>
      <c r="AB2999" s="33"/>
      <c r="AC2999" s="33"/>
      <c r="AD2999" s="33"/>
      <c r="AE2999" s="33"/>
      <c r="AF2999" s="33"/>
      <c r="AG2999" s="33"/>
      <c r="AH2999" s="33"/>
      <c r="AI2999" s="33"/>
      <c r="AJ2999" s="33"/>
      <c r="AK2999" s="33"/>
      <c r="AL2999" s="33"/>
      <c r="AM2999" s="33"/>
      <c r="AN2999" s="33"/>
      <c r="AO2999" s="33"/>
    </row>
    <row r="3000" ht="15.75" customHeight="1">
      <c r="A3000" s="42">
        <v>54353.0</v>
      </c>
      <c r="B3000" s="23">
        <v>2023.0</v>
      </c>
      <c r="C3000" s="36" t="str">
        <f t="shared" si="7"/>
        <v>10131 HINDS ST,Houston,TX</v>
      </c>
      <c r="D3000" s="43" t="s">
        <v>4208</v>
      </c>
      <c r="E3000" s="23" t="s">
        <v>25</v>
      </c>
      <c r="F3000" s="23" t="s">
        <v>1388</v>
      </c>
      <c r="G3000" s="31" t="s">
        <v>49</v>
      </c>
      <c r="H3000" s="43" t="s">
        <v>4209</v>
      </c>
      <c r="I3000" s="37" t="str">
        <f>VLOOKUP(H3000,'Flow Location'!$A$1:$B$21,2,FALSE)</f>
        <v>Contained On Site, not within 5 ft. of Bayou/Surface Water/Drainage Ditch</v>
      </c>
      <c r="J3000" s="44">
        <v>0.0</v>
      </c>
      <c r="K3000" s="43" t="s">
        <v>4210</v>
      </c>
      <c r="L3000" s="37" t="str">
        <f>VLOOKUP(K3000,'Structure type'!$A$1:$B$15,2,FALSE)</f>
        <v>Private Cleanout</v>
      </c>
      <c r="M3000" s="43" t="s">
        <v>4211</v>
      </c>
      <c r="N3000" s="23" t="str">
        <f>VLOOKUP(M3000,'Excursion Cause'!$A$1:$B$34,2,FALSE)</f>
        <v>Roots</v>
      </c>
      <c r="O3000" s="45">
        <v>45201.0</v>
      </c>
      <c r="P3000" s="46" t="s">
        <v>4212</v>
      </c>
      <c r="Q3000" s="47">
        <v>45201.0</v>
      </c>
      <c r="R3000" s="46" t="s">
        <v>4213</v>
      </c>
      <c r="S3000" s="44">
        <v>0.0</v>
      </c>
      <c r="T3000" s="43" t="s">
        <v>4214</v>
      </c>
      <c r="U3000" s="6"/>
      <c r="V3000" s="6"/>
      <c r="W3000" s="35">
        <v>29.641909</v>
      </c>
      <c r="X3000" s="35">
        <v>-95.2331648</v>
      </c>
      <c r="AA3000" s="33"/>
      <c r="AB3000" s="33"/>
      <c r="AC3000" s="33"/>
      <c r="AD3000" s="33"/>
      <c r="AE3000" s="33"/>
      <c r="AF3000" s="33"/>
      <c r="AG3000" s="33"/>
      <c r="AH3000" s="33"/>
      <c r="AI3000" s="33"/>
      <c r="AJ3000" s="33"/>
      <c r="AK3000" s="33"/>
      <c r="AL3000" s="33"/>
      <c r="AM3000" s="33"/>
      <c r="AN3000" s="33"/>
      <c r="AO3000" s="33"/>
    </row>
    <row r="3001" ht="15.75" customHeight="1">
      <c r="A3001" s="42">
        <v>54356.0</v>
      </c>
      <c r="B3001" s="23">
        <v>2023.0</v>
      </c>
      <c r="C3001" s="36" t="str">
        <f t="shared" si="7"/>
        <v>2514 SKYVIEW COVE CT,Houston,TX</v>
      </c>
      <c r="D3001" s="43" t="s">
        <v>4215</v>
      </c>
      <c r="E3001" s="23" t="s">
        <v>25</v>
      </c>
      <c r="F3001" s="23" t="s">
        <v>1388</v>
      </c>
      <c r="G3001" s="31" t="s">
        <v>419</v>
      </c>
      <c r="H3001" s="43" t="s">
        <v>4216</v>
      </c>
      <c r="I3001" s="37" t="str">
        <f>VLOOKUP(H3001,'Flow Location'!$A$1:$B$21,2,FALSE)</f>
        <v>Storm Sewer (not contained)</v>
      </c>
      <c r="J3001" s="44">
        <v>675.0</v>
      </c>
      <c r="K3001" s="43" t="s">
        <v>4217</v>
      </c>
      <c r="L3001" s="37" t="str">
        <f>VLOOKUP(K3001,'Structure type'!$A$1:$B$15,2,FALSE)</f>
        <v>Manhole</v>
      </c>
      <c r="M3001" s="43" t="s">
        <v>4218</v>
      </c>
      <c r="N3001" s="23" t="str">
        <f>VLOOKUP(M3001,'Excursion Cause'!$A$1:$B$34,2,FALSE)</f>
        <v>Grease Blockage</v>
      </c>
      <c r="O3001" s="45">
        <v>45201.0</v>
      </c>
      <c r="P3001" s="46" t="s">
        <v>4219</v>
      </c>
      <c r="Q3001" s="47">
        <v>45201.0</v>
      </c>
      <c r="R3001" s="46" t="s">
        <v>4220</v>
      </c>
      <c r="S3001" s="44">
        <v>3.0</v>
      </c>
      <c r="T3001" s="43" t="s">
        <v>4221</v>
      </c>
      <c r="U3001" s="6"/>
      <c r="V3001" s="6"/>
      <c r="W3001" s="35">
        <v>29.6231733</v>
      </c>
      <c r="X3001" s="35">
        <v>-95.383465</v>
      </c>
      <c r="AA3001" s="33"/>
      <c r="AB3001" s="33"/>
      <c r="AC3001" s="33"/>
      <c r="AD3001" s="33"/>
      <c r="AE3001" s="33"/>
      <c r="AF3001" s="33"/>
      <c r="AG3001" s="33"/>
      <c r="AH3001" s="33"/>
      <c r="AI3001" s="33"/>
      <c r="AJ3001" s="33"/>
      <c r="AK3001" s="33"/>
      <c r="AL3001" s="33"/>
      <c r="AM3001" s="33"/>
      <c r="AN3001" s="33"/>
      <c r="AO3001" s="33"/>
    </row>
    <row r="3002" ht="15.75" customHeight="1">
      <c r="A3002" s="42">
        <v>54357.0</v>
      </c>
      <c r="B3002" s="23">
        <v>2023.0</v>
      </c>
      <c r="C3002" s="36" t="str">
        <f t="shared" si="7"/>
        <v>12614 SKYVIEW CREEK CT,Houston,TX</v>
      </c>
      <c r="D3002" s="43" t="s">
        <v>4222</v>
      </c>
      <c r="E3002" s="23" t="s">
        <v>25</v>
      </c>
      <c r="F3002" s="23" t="s">
        <v>1388</v>
      </c>
      <c r="G3002" s="31" t="s">
        <v>419</v>
      </c>
      <c r="H3002" s="43" t="s">
        <v>4223</v>
      </c>
      <c r="I3002" s="37" t="str">
        <f>VLOOKUP(H3002,'Flow Location'!$A$1:$B$21,2,FALSE)</f>
        <v>Storm Sewer (not contained)</v>
      </c>
      <c r="J3002" s="44">
        <v>675.0</v>
      </c>
      <c r="K3002" s="43" t="s">
        <v>4224</v>
      </c>
      <c r="L3002" s="37" t="str">
        <f>VLOOKUP(K3002,'Structure type'!$A$1:$B$15,2,FALSE)</f>
        <v>Manhole</v>
      </c>
      <c r="M3002" s="43" t="s">
        <v>4225</v>
      </c>
      <c r="N3002" s="23" t="str">
        <f>VLOOKUP(M3002,'Excursion Cause'!$A$1:$B$34,2,FALSE)</f>
        <v>Grease Blockage</v>
      </c>
      <c r="O3002" s="45">
        <v>45201.0</v>
      </c>
      <c r="P3002" s="46" t="s">
        <v>4226</v>
      </c>
      <c r="Q3002" s="47">
        <v>45201.0</v>
      </c>
      <c r="R3002" s="46" t="s">
        <v>4227</v>
      </c>
      <c r="S3002" s="44">
        <v>3.0</v>
      </c>
      <c r="T3002" s="43" t="s">
        <v>4228</v>
      </c>
      <c r="U3002" s="6"/>
      <c r="V3002" s="6"/>
      <c r="W3002" s="35">
        <v>29.6225749</v>
      </c>
      <c r="X3002" s="35">
        <v>-95.3837511999999</v>
      </c>
      <c r="AA3002" s="33"/>
      <c r="AB3002" s="33"/>
      <c r="AC3002" s="33"/>
      <c r="AD3002" s="33"/>
      <c r="AE3002" s="33"/>
      <c r="AF3002" s="33"/>
      <c r="AG3002" s="33"/>
      <c r="AH3002" s="33"/>
      <c r="AI3002" s="33"/>
      <c r="AJ3002" s="33"/>
      <c r="AK3002" s="33"/>
      <c r="AL3002" s="33"/>
      <c r="AM3002" s="33"/>
      <c r="AN3002" s="33"/>
      <c r="AO3002" s="33"/>
    </row>
    <row r="3003" ht="15.75" customHeight="1">
      <c r="A3003" s="42">
        <v>54358.0</v>
      </c>
      <c r="B3003" s="23">
        <v>2023.0</v>
      </c>
      <c r="C3003" s="36" t="str">
        <f t="shared" si="7"/>
        <v>419 CAPLIN ST,Houston,TX</v>
      </c>
      <c r="D3003" s="43" t="s">
        <v>4229</v>
      </c>
      <c r="E3003" s="23" t="s">
        <v>25</v>
      </c>
      <c r="F3003" s="23" t="s">
        <v>1388</v>
      </c>
      <c r="G3003" s="31" t="s">
        <v>653</v>
      </c>
      <c r="H3003" s="43" t="s">
        <v>4230</v>
      </c>
      <c r="I3003" s="37" t="str">
        <f>VLOOKUP(H3003,'Flow Location'!$A$1:$B$21,2,FALSE)</f>
        <v>Contained On Site, not within 5 ft. of Bayou/Surface Water/Drainage Ditch</v>
      </c>
      <c r="J3003" s="44">
        <v>0.0</v>
      </c>
      <c r="K3003" s="43" t="s">
        <v>4231</v>
      </c>
      <c r="L3003" s="37" t="str">
        <f>VLOOKUP(K3003,'Structure type'!$A$1:$B$15,2,FALSE)</f>
        <v>City Cleanout</v>
      </c>
      <c r="M3003" s="43" t="s">
        <v>4232</v>
      </c>
      <c r="N3003" s="23" t="str">
        <f>VLOOKUP(M3003,'Excursion Cause'!$A$1:$B$34,2,FALSE)</f>
        <v>Grease Blockage</v>
      </c>
      <c r="O3003" s="45">
        <v>45201.0</v>
      </c>
      <c r="P3003" s="46" t="s">
        <v>4233</v>
      </c>
      <c r="Q3003" s="47">
        <v>45201.0</v>
      </c>
      <c r="R3003" s="46" t="s">
        <v>4234</v>
      </c>
      <c r="S3003" s="44">
        <v>0.0</v>
      </c>
      <c r="T3003" s="43" t="s">
        <v>4235</v>
      </c>
      <c r="U3003" s="6"/>
      <c r="V3003" s="6"/>
      <c r="W3003" s="35">
        <v>29.8158154</v>
      </c>
      <c r="X3003" s="35">
        <v>-95.3666052999999</v>
      </c>
      <c r="AA3003" s="33"/>
      <c r="AB3003" s="33"/>
      <c r="AC3003" s="33"/>
      <c r="AD3003" s="33"/>
      <c r="AE3003" s="33"/>
      <c r="AF3003" s="33"/>
      <c r="AG3003" s="33"/>
      <c r="AH3003" s="33"/>
      <c r="AI3003" s="33"/>
      <c r="AJ3003" s="33"/>
      <c r="AK3003" s="33"/>
      <c r="AL3003" s="33"/>
      <c r="AM3003" s="33"/>
      <c r="AN3003" s="33"/>
      <c r="AO3003" s="33"/>
    </row>
    <row r="3004" ht="15.75" customHeight="1">
      <c r="A3004" s="42">
        <v>54360.0</v>
      </c>
      <c r="B3004" s="23">
        <v>2023.0</v>
      </c>
      <c r="C3004" s="36" t="str">
        <f t="shared" si="7"/>
        <v>2451 BROOKMERE DR,Houston,TX</v>
      </c>
      <c r="D3004" s="43" t="s">
        <v>4236</v>
      </c>
      <c r="E3004" s="23" t="s">
        <v>25</v>
      </c>
      <c r="F3004" s="23" t="s">
        <v>1388</v>
      </c>
      <c r="G3004" s="31" t="s">
        <v>232</v>
      </c>
      <c r="H3004" s="43" t="s">
        <v>4237</v>
      </c>
      <c r="I3004" s="37" t="str">
        <f>VLOOKUP(H3004,'Flow Location'!$A$1:$B$21,2,FALSE)</f>
        <v>Contained On Site, not within 5 ft. of Bayou/Surface Water/Drainage Ditch</v>
      </c>
      <c r="J3004" s="44">
        <v>360.0</v>
      </c>
      <c r="K3004" s="43" t="s">
        <v>4238</v>
      </c>
      <c r="L3004" s="37" t="str">
        <f>VLOOKUP(K3004,'Structure type'!$A$1:$B$15,2,FALSE)</f>
        <v>Manhole</v>
      </c>
      <c r="M3004" s="43" t="s">
        <v>4239</v>
      </c>
      <c r="N3004" s="23" t="str">
        <f>VLOOKUP(M3004,'Excursion Cause'!$A$1:$B$34,2,FALSE)</f>
        <v>Grease Blockage</v>
      </c>
      <c r="O3004" s="45">
        <v>45201.0</v>
      </c>
      <c r="P3004" s="46" t="s">
        <v>4240</v>
      </c>
      <c r="Q3004" s="47">
        <v>45201.0</v>
      </c>
      <c r="R3004" s="46" t="s">
        <v>4241</v>
      </c>
      <c r="S3004" s="44">
        <v>2.0</v>
      </c>
      <c r="T3004" s="43" t="s">
        <v>4242</v>
      </c>
      <c r="U3004" s="6"/>
      <c r="V3004" s="6"/>
      <c r="W3004" s="35">
        <v>29.8052511</v>
      </c>
      <c r="X3004" s="35">
        <v>-95.4443058</v>
      </c>
      <c r="AA3004" s="33"/>
      <c r="AB3004" s="33"/>
      <c r="AC3004" s="33"/>
      <c r="AD3004" s="33"/>
      <c r="AE3004" s="33"/>
      <c r="AF3004" s="33"/>
      <c r="AG3004" s="33"/>
      <c r="AH3004" s="33"/>
      <c r="AI3004" s="33"/>
      <c r="AJ3004" s="33"/>
      <c r="AK3004" s="33"/>
      <c r="AL3004" s="33"/>
      <c r="AM3004" s="33"/>
      <c r="AN3004" s="33"/>
      <c r="AO3004" s="33"/>
    </row>
    <row r="3005" ht="15.75" customHeight="1">
      <c r="A3005" s="42">
        <v>54362.0</v>
      </c>
      <c r="B3005" s="23">
        <v>2023.0</v>
      </c>
      <c r="C3005" s="36" t="str">
        <f t="shared" si="7"/>
        <v>9601 DENSLOW CIR,Houston,TX</v>
      </c>
      <c r="D3005" s="43" t="s">
        <v>4243</v>
      </c>
      <c r="E3005" s="23" t="s">
        <v>25</v>
      </c>
      <c r="F3005" s="23" t="s">
        <v>1388</v>
      </c>
      <c r="G3005" s="31" t="s">
        <v>275</v>
      </c>
      <c r="H3005" s="48" t="s">
        <v>50</v>
      </c>
      <c r="I3005" s="37" t="str">
        <f>VLOOKUP(H3005,'Flow Location'!$A$1:$B$21,2,FALSE)</f>
        <v>Contained On Site, not within 5 ft. of Bayou/Surface Water/Drainage Ditch</v>
      </c>
      <c r="J3005" s="44">
        <v>0.0</v>
      </c>
      <c r="K3005" s="43" t="s">
        <v>4244</v>
      </c>
      <c r="L3005" s="37" t="str">
        <f>VLOOKUP(K3005,'Structure type'!$A$1:$B$15,2,FALSE)</f>
        <v>Manhole</v>
      </c>
      <c r="M3005" s="43" t="s">
        <v>4245</v>
      </c>
      <c r="N3005" s="23" t="str">
        <f>VLOOKUP(M3005,'Excursion Cause'!$A$1:$B$34,2,FALSE)</f>
        <v>Grease Blockage</v>
      </c>
      <c r="O3005" s="45">
        <v>45202.0</v>
      </c>
      <c r="P3005" s="46" t="s">
        <v>4246</v>
      </c>
      <c r="Q3005" s="47">
        <v>45202.0</v>
      </c>
      <c r="R3005" s="46" t="s">
        <v>4247</v>
      </c>
      <c r="S3005" s="44">
        <v>0.0</v>
      </c>
      <c r="T3005" s="43" t="s">
        <v>4248</v>
      </c>
      <c r="U3005" s="6"/>
      <c r="V3005" s="6"/>
      <c r="W3005" s="35">
        <v>29.8480643999999</v>
      </c>
      <c r="X3005" s="35">
        <v>-95.3650657</v>
      </c>
      <c r="AA3005" s="33"/>
      <c r="AB3005" s="33"/>
      <c r="AC3005" s="33"/>
      <c r="AD3005" s="33"/>
      <c r="AE3005" s="33"/>
      <c r="AF3005" s="33"/>
      <c r="AG3005" s="33"/>
      <c r="AH3005" s="33"/>
      <c r="AI3005" s="33"/>
      <c r="AJ3005" s="33"/>
      <c r="AK3005" s="33"/>
      <c r="AL3005" s="33"/>
      <c r="AM3005" s="33"/>
      <c r="AN3005" s="33"/>
      <c r="AO3005" s="33"/>
    </row>
    <row r="3006" ht="15.75" customHeight="1">
      <c r="A3006" s="42">
        <v>54367.0</v>
      </c>
      <c r="B3006" s="23">
        <v>2023.0</v>
      </c>
      <c r="C3006" s="36" t="str">
        <f t="shared" si="7"/>
        <v>3503 LAZYWOOD LN,Houston,TX</v>
      </c>
      <c r="D3006" s="43" t="s">
        <v>4249</v>
      </c>
      <c r="E3006" s="23" t="s">
        <v>25</v>
      </c>
      <c r="F3006" s="23" t="s">
        <v>1388</v>
      </c>
      <c r="G3006" s="31" t="s">
        <v>141</v>
      </c>
      <c r="H3006" s="43" t="s">
        <v>4250</v>
      </c>
      <c r="I3006" s="37" t="str">
        <f>VLOOKUP(H3006,'Flow Location'!$A$1:$B$21,2,FALSE)</f>
        <v>Contained On Site, not within 5 ft. of Bayou/Surface Water/Drainage Ditch</v>
      </c>
      <c r="J3006" s="44">
        <v>86.0</v>
      </c>
      <c r="K3006" s="43" t="s">
        <v>4251</v>
      </c>
      <c r="L3006" s="37" t="str">
        <f>VLOOKUP(K3006,'Structure type'!$A$1:$B$15,2,FALSE)</f>
        <v>Manhole</v>
      </c>
      <c r="M3006" s="43" t="s">
        <v>4252</v>
      </c>
      <c r="N3006" s="23" t="str">
        <f>VLOOKUP(M3006,'Excursion Cause'!$A$1:$B$34,2,FALSE)</f>
        <v>Grease Blockage</v>
      </c>
      <c r="O3006" s="45">
        <v>45203.0</v>
      </c>
      <c r="P3006" s="46" t="s">
        <v>4253</v>
      </c>
      <c r="Q3006" s="47">
        <v>45203.0</v>
      </c>
      <c r="R3006" s="46" t="s">
        <v>4254</v>
      </c>
      <c r="S3006" s="44">
        <v>1.0</v>
      </c>
      <c r="T3006" s="43" t="s">
        <v>4255</v>
      </c>
      <c r="U3006" s="6"/>
      <c r="V3006" s="6"/>
      <c r="W3006" s="35">
        <v>29.704057</v>
      </c>
      <c r="X3006" s="35">
        <v>-95.3228515</v>
      </c>
      <c r="AA3006" s="33"/>
      <c r="AB3006" s="33"/>
      <c r="AC3006" s="33"/>
      <c r="AD3006" s="33"/>
      <c r="AE3006" s="33"/>
      <c r="AF3006" s="33"/>
      <c r="AG3006" s="33"/>
      <c r="AH3006" s="33"/>
      <c r="AI3006" s="33"/>
      <c r="AJ3006" s="33"/>
      <c r="AK3006" s="33"/>
      <c r="AL3006" s="33"/>
      <c r="AM3006" s="33"/>
      <c r="AN3006" s="33"/>
      <c r="AO3006" s="33"/>
    </row>
    <row r="3007" ht="15.75" customHeight="1">
      <c r="A3007" s="42">
        <v>54368.0</v>
      </c>
      <c r="B3007" s="23">
        <v>2023.0</v>
      </c>
      <c r="C3007" s="36" t="str">
        <f t="shared" si="7"/>
        <v>3230 GESSNER RD,Houston,TX</v>
      </c>
      <c r="D3007" s="43" t="s">
        <v>4256</v>
      </c>
      <c r="E3007" s="23" t="s">
        <v>25</v>
      </c>
      <c r="F3007" s="23" t="s">
        <v>1388</v>
      </c>
      <c r="G3007" s="31" t="s">
        <v>294</v>
      </c>
      <c r="H3007" s="43" t="s">
        <v>4257</v>
      </c>
      <c r="I3007" s="37" t="str">
        <f>VLOOKUP(H3007,'Flow Location'!$A$1:$B$21,2,FALSE)</f>
        <v>Storm Sewer (not contained)</v>
      </c>
      <c r="J3007" s="44">
        <v>388.0</v>
      </c>
      <c r="K3007" s="43" t="s">
        <v>4258</v>
      </c>
      <c r="L3007" s="37" t="str">
        <f>VLOOKUP(K3007,'Structure type'!$A$1:$B$15,2,FALSE)</f>
        <v>Manhole</v>
      </c>
      <c r="M3007" s="43" t="s">
        <v>4259</v>
      </c>
      <c r="N3007" s="23" t="str">
        <f>VLOOKUP(M3007,'Excursion Cause'!$A$1:$B$34,2,FALSE)</f>
        <v>Grease Blockage</v>
      </c>
      <c r="O3007" s="45">
        <v>45203.0</v>
      </c>
      <c r="P3007" s="46" t="s">
        <v>4260</v>
      </c>
      <c r="Q3007" s="47">
        <v>45203.0</v>
      </c>
      <c r="R3007" s="46" t="s">
        <v>4261</v>
      </c>
      <c r="S3007" s="44">
        <v>2.0</v>
      </c>
      <c r="T3007" s="43" t="s">
        <v>4262</v>
      </c>
      <c r="U3007" s="6"/>
      <c r="V3007" s="6"/>
      <c r="W3007" s="35">
        <v>29.8268835</v>
      </c>
      <c r="X3007" s="35">
        <v>-95.5452153</v>
      </c>
      <c r="AA3007" s="33"/>
      <c r="AB3007" s="33"/>
      <c r="AC3007" s="33"/>
      <c r="AD3007" s="33"/>
      <c r="AE3007" s="33"/>
      <c r="AF3007" s="33"/>
      <c r="AG3007" s="33"/>
      <c r="AH3007" s="33"/>
      <c r="AI3007" s="33"/>
      <c r="AJ3007" s="33"/>
      <c r="AK3007" s="33"/>
      <c r="AL3007" s="33"/>
      <c r="AM3007" s="33"/>
      <c r="AN3007" s="33"/>
      <c r="AO3007" s="33"/>
    </row>
    <row r="3008" ht="15.75" customHeight="1">
      <c r="A3008" s="42">
        <v>54375.0</v>
      </c>
      <c r="B3008" s="23">
        <v>2023.0</v>
      </c>
      <c r="C3008" s="36" t="str">
        <f t="shared" si="7"/>
        <v>4701 PEASE ST,Houston,TX</v>
      </c>
      <c r="D3008" s="43" t="s">
        <v>4263</v>
      </c>
      <c r="E3008" s="23" t="s">
        <v>25</v>
      </c>
      <c r="F3008" s="23" t="s">
        <v>1388</v>
      </c>
      <c r="G3008" s="31" t="s">
        <v>141</v>
      </c>
      <c r="H3008" s="43" t="s">
        <v>4264</v>
      </c>
      <c r="I3008" s="37" t="str">
        <f>VLOOKUP(H3008,'Flow Location'!$A$1:$B$21,2,FALSE)</f>
        <v>Storm Sewer (not contained)</v>
      </c>
      <c r="J3008" s="44">
        <v>11770.0</v>
      </c>
      <c r="K3008" s="43" t="s">
        <v>4265</v>
      </c>
      <c r="L3008" s="37" t="str">
        <f>VLOOKUP(K3008,'Structure type'!$A$1:$B$15,2,FALSE)</f>
        <v>Manhole</v>
      </c>
      <c r="M3008" s="48" t="s">
        <v>1174</v>
      </c>
      <c r="N3008" s="23" t="str">
        <f>VLOOKUP(M3008,'Excursion Cause'!$A$1:$B$34,2,FALSE)</f>
        <v>Collection system wet weather</v>
      </c>
      <c r="O3008" s="45">
        <v>45204.0</v>
      </c>
      <c r="P3008" s="46" t="s">
        <v>4266</v>
      </c>
      <c r="Q3008" s="47">
        <v>45204.0</v>
      </c>
      <c r="R3008" s="46" t="s">
        <v>4267</v>
      </c>
      <c r="S3008" s="44">
        <v>48.0</v>
      </c>
      <c r="T3008" s="43" t="s">
        <v>4268</v>
      </c>
      <c r="U3008" s="6"/>
      <c r="V3008" s="6"/>
      <c r="W3008" s="35">
        <v>29.7339611</v>
      </c>
      <c r="X3008" s="35">
        <v>-95.3320437</v>
      </c>
      <c r="AA3008" s="33"/>
      <c r="AB3008" s="33"/>
      <c r="AC3008" s="33"/>
      <c r="AD3008" s="33"/>
      <c r="AE3008" s="33"/>
      <c r="AF3008" s="33"/>
      <c r="AG3008" s="33"/>
      <c r="AH3008" s="33"/>
      <c r="AI3008" s="33"/>
      <c r="AJ3008" s="33"/>
      <c r="AK3008" s="33"/>
      <c r="AL3008" s="33"/>
      <c r="AM3008" s="33"/>
      <c r="AN3008" s="33"/>
      <c r="AO3008" s="33"/>
    </row>
    <row r="3009" ht="15.75" customHeight="1">
      <c r="A3009" s="42">
        <v>54376.0</v>
      </c>
      <c r="B3009" s="23">
        <v>2023.0</v>
      </c>
      <c r="C3009" s="36" t="str">
        <f t="shared" si="7"/>
        <v>12018 BINGHAMPTON DR,Houston,TX</v>
      </c>
      <c r="D3009" s="43" t="s">
        <v>4269</v>
      </c>
      <c r="E3009" s="23" t="s">
        <v>25</v>
      </c>
      <c r="F3009" s="23" t="s">
        <v>1388</v>
      </c>
      <c r="G3009" s="31" t="s">
        <v>477</v>
      </c>
      <c r="H3009" s="43" t="s">
        <v>4270</v>
      </c>
      <c r="I3009" s="37" t="str">
        <f>VLOOKUP(H3009,'Flow Location'!$A$1:$B$21,2,FALSE)</f>
        <v>Contained On Site, not within 5 ft. of Bayou/Surface Water/Drainage Ditch</v>
      </c>
      <c r="J3009" s="44">
        <v>102.0</v>
      </c>
      <c r="K3009" s="43" t="s">
        <v>4271</v>
      </c>
      <c r="L3009" s="37" t="str">
        <f>VLOOKUP(K3009,'Structure type'!$A$1:$B$15,2,FALSE)</f>
        <v>Manhole</v>
      </c>
      <c r="M3009" s="43" t="s">
        <v>4272</v>
      </c>
      <c r="N3009" s="23" t="str">
        <f>VLOOKUP(M3009,'Excursion Cause'!$A$1:$B$34,2,FALSE)</f>
        <v>Collection system structural blockage</v>
      </c>
      <c r="O3009" s="45">
        <v>45204.0</v>
      </c>
      <c r="P3009" s="46" t="s">
        <v>4273</v>
      </c>
      <c r="Q3009" s="47">
        <v>45204.0</v>
      </c>
      <c r="R3009" s="46" t="s">
        <v>4274</v>
      </c>
      <c r="S3009" s="44">
        <v>2.0</v>
      </c>
      <c r="T3009" s="43" t="s">
        <v>4275</v>
      </c>
      <c r="U3009" s="6"/>
      <c r="V3009" s="6"/>
      <c r="W3009" s="35">
        <v>29.5858797</v>
      </c>
      <c r="X3009" s="35">
        <v>-95.2030961</v>
      </c>
      <c r="AA3009" s="33"/>
      <c r="AB3009" s="33"/>
      <c r="AC3009" s="33"/>
      <c r="AD3009" s="33"/>
      <c r="AE3009" s="33"/>
      <c r="AF3009" s="33"/>
      <c r="AG3009" s="33"/>
      <c r="AH3009" s="33"/>
      <c r="AI3009" s="33"/>
      <c r="AJ3009" s="33"/>
      <c r="AK3009" s="33"/>
      <c r="AL3009" s="33"/>
      <c r="AM3009" s="33"/>
      <c r="AN3009" s="33"/>
      <c r="AO3009" s="33"/>
    </row>
    <row r="3010" ht="15.75" customHeight="1">
      <c r="A3010" s="42">
        <v>54379.0</v>
      </c>
      <c r="B3010" s="23">
        <v>2023.0</v>
      </c>
      <c r="C3010" s="36" t="str">
        <f t="shared" si="7"/>
        <v>901 HAWTHORNE ST,Houston,TX</v>
      </c>
      <c r="D3010" s="43" t="s">
        <v>4276</v>
      </c>
      <c r="E3010" s="23" t="s">
        <v>25</v>
      </c>
      <c r="F3010" s="23" t="s">
        <v>1388</v>
      </c>
      <c r="G3010" s="31" t="s">
        <v>761</v>
      </c>
      <c r="H3010" s="43" t="s">
        <v>4277</v>
      </c>
      <c r="I3010" s="37" t="str">
        <f>VLOOKUP(H3010,'Flow Location'!$A$1:$B$21,2,FALSE)</f>
        <v>Storm Sewer (not contained)</v>
      </c>
      <c r="J3010" s="44">
        <v>0.0</v>
      </c>
      <c r="K3010" s="43" t="s">
        <v>4278</v>
      </c>
      <c r="L3010" s="37" t="str">
        <f>VLOOKUP(K3010,'Structure type'!$A$1:$B$15,2,FALSE)</f>
        <v>Manhole</v>
      </c>
      <c r="M3010" s="43" t="s">
        <v>4279</v>
      </c>
      <c r="N3010" s="23" t="str">
        <f>VLOOKUP(M3010,'Excursion Cause'!$A$1:$B$34,2,FALSE)</f>
        <v>Grease Blockage</v>
      </c>
      <c r="O3010" s="45">
        <v>45204.0</v>
      </c>
      <c r="P3010" s="46" t="s">
        <v>4280</v>
      </c>
      <c r="Q3010" s="47">
        <v>45205.0</v>
      </c>
      <c r="R3010" s="46" t="s">
        <v>4281</v>
      </c>
      <c r="S3010" s="44">
        <v>0.0</v>
      </c>
      <c r="T3010" s="43" t="s">
        <v>4282</v>
      </c>
      <c r="U3010" s="6"/>
      <c r="V3010" s="6"/>
      <c r="W3010" s="35">
        <v>29.7422281</v>
      </c>
      <c r="X3010" s="35">
        <v>-95.3900594</v>
      </c>
      <c r="AA3010" s="33"/>
      <c r="AB3010" s="33"/>
      <c r="AC3010" s="33"/>
      <c r="AD3010" s="33"/>
      <c r="AE3010" s="33"/>
      <c r="AF3010" s="33"/>
      <c r="AG3010" s="33"/>
      <c r="AH3010" s="33"/>
      <c r="AI3010" s="33"/>
      <c r="AJ3010" s="33"/>
      <c r="AK3010" s="33"/>
      <c r="AL3010" s="33"/>
      <c r="AM3010" s="33"/>
      <c r="AN3010" s="33"/>
      <c r="AO3010" s="33"/>
    </row>
    <row r="3011" ht="15.75" customHeight="1">
      <c r="A3011" s="42">
        <v>54380.0</v>
      </c>
      <c r="B3011" s="23">
        <v>2023.0</v>
      </c>
      <c r="C3011" s="36" t="str">
        <f t="shared" si="7"/>
        <v>10002 PARK TRL,Houston,TX</v>
      </c>
      <c r="D3011" s="43" t="s">
        <v>4283</v>
      </c>
      <c r="E3011" s="23" t="s">
        <v>25</v>
      </c>
      <c r="F3011" s="23" t="s">
        <v>1388</v>
      </c>
      <c r="G3011" s="31" t="s">
        <v>123</v>
      </c>
      <c r="H3011" s="43" t="s">
        <v>4284</v>
      </c>
      <c r="I3011" s="37" t="str">
        <f>VLOOKUP(H3011,'Flow Location'!$A$1:$B$21,2,FALSE)</f>
        <v>Storm Sewer (not contained)</v>
      </c>
      <c r="J3011" s="44">
        <v>532.0</v>
      </c>
      <c r="K3011" s="43" t="s">
        <v>4285</v>
      </c>
      <c r="L3011" s="37" t="str">
        <f>VLOOKUP(K3011,'Structure type'!$A$1:$B$15,2,FALSE)</f>
        <v>Manhole</v>
      </c>
      <c r="M3011" s="43" t="s">
        <v>4286</v>
      </c>
      <c r="N3011" s="23" t="str">
        <f>VLOOKUP(M3011,'Excursion Cause'!$A$1:$B$34,2,FALSE)</f>
        <v>Grease Blockage</v>
      </c>
      <c r="O3011" s="45">
        <v>45205.0</v>
      </c>
      <c r="P3011" s="46" t="s">
        <v>4287</v>
      </c>
      <c r="Q3011" s="47">
        <v>45205.0</v>
      </c>
      <c r="R3011" s="46" t="s">
        <v>4288</v>
      </c>
      <c r="S3011" s="44">
        <v>2.0</v>
      </c>
      <c r="T3011" s="43" t="s">
        <v>4289</v>
      </c>
      <c r="U3011" s="6"/>
      <c r="V3011" s="6"/>
      <c r="W3011" s="35">
        <v>29.7783065</v>
      </c>
      <c r="X3011" s="35">
        <v>-95.4805255</v>
      </c>
      <c r="AA3011" s="33"/>
      <c r="AB3011" s="33"/>
      <c r="AC3011" s="33"/>
      <c r="AD3011" s="33"/>
      <c r="AE3011" s="33"/>
      <c r="AF3011" s="33"/>
      <c r="AG3011" s="33"/>
      <c r="AH3011" s="33"/>
      <c r="AI3011" s="33"/>
      <c r="AJ3011" s="33"/>
      <c r="AK3011" s="33"/>
      <c r="AL3011" s="33"/>
      <c r="AM3011" s="33"/>
      <c r="AN3011" s="33"/>
      <c r="AO3011" s="33"/>
    </row>
    <row r="3012" ht="15.75" customHeight="1">
      <c r="A3012" s="42">
        <v>54381.0</v>
      </c>
      <c r="B3012" s="23">
        <v>2023.0</v>
      </c>
      <c r="C3012" s="36" t="str">
        <f t="shared" si="7"/>
        <v>2711 BRIARHURST DR,Houston,TX</v>
      </c>
      <c r="D3012" s="43" t="s">
        <v>4290</v>
      </c>
      <c r="E3012" s="23" t="s">
        <v>25</v>
      </c>
      <c r="F3012" s="23" t="s">
        <v>1388</v>
      </c>
      <c r="G3012" s="31" t="s">
        <v>689</v>
      </c>
      <c r="H3012" s="43" t="s">
        <v>4291</v>
      </c>
      <c r="I3012" s="37" t="str">
        <f>VLOOKUP(H3012,'Flow Location'!$A$1:$B$21,2,FALSE)</f>
        <v>Contained On Site, not within 5 ft. of Bayou/Surface Water/Drainage Ditch</v>
      </c>
      <c r="J3012" s="44">
        <v>0.0</v>
      </c>
      <c r="K3012" s="43" t="s">
        <v>4292</v>
      </c>
      <c r="L3012" s="37" t="str">
        <f>VLOOKUP(K3012,'Structure type'!$A$1:$B$15,2,FALSE)</f>
        <v>Manhole</v>
      </c>
      <c r="M3012" s="43" t="s">
        <v>4293</v>
      </c>
      <c r="N3012" s="23" t="str">
        <f>VLOOKUP(M3012,'Excursion Cause'!$A$1:$B$34,2,FALSE)</f>
        <v>Grease Blockage</v>
      </c>
      <c r="O3012" s="45">
        <v>45205.0</v>
      </c>
      <c r="P3012" s="46" t="s">
        <v>4294</v>
      </c>
      <c r="Q3012" s="47">
        <v>45205.0</v>
      </c>
      <c r="R3012" s="46" t="s">
        <v>4295</v>
      </c>
      <c r="S3012" s="44">
        <v>0.0</v>
      </c>
      <c r="T3012" s="43" t="s">
        <v>4296</v>
      </c>
      <c r="U3012" s="6"/>
      <c r="V3012" s="6"/>
      <c r="W3012" s="35">
        <v>29.7371332</v>
      </c>
      <c r="X3012" s="35">
        <v>-95.4924317999999</v>
      </c>
      <c r="AA3012" s="33"/>
      <c r="AB3012" s="33"/>
      <c r="AC3012" s="33"/>
      <c r="AD3012" s="33"/>
      <c r="AE3012" s="33"/>
      <c r="AF3012" s="33"/>
      <c r="AG3012" s="33"/>
      <c r="AH3012" s="33"/>
      <c r="AI3012" s="33"/>
      <c r="AJ3012" s="33"/>
      <c r="AK3012" s="33"/>
      <c r="AL3012" s="33"/>
      <c r="AM3012" s="33"/>
      <c r="AN3012" s="33"/>
      <c r="AO3012" s="33"/>
    </row>
    <row r="3013" ht="15.75" customHeight="1">
      <c r="A3013" s="42">
        <v>54385.0</v>
      </c>
      <c r="B3013" s="23">
        <v>2023.0</v>
      </c>
      <c r="C3013" s="36" t="str">
        <f t="shared" si="7"/>
        <v>7459 COOK RD,Houston,TX</v>
      </c>
      <c r="D3013" s="43" t="s">
        <v>4297</v>
      </c>
      <c r="E3013" s="23" t="s">
        <v>25</v>
      </c>
      <c r="F3013" s="23" t="s">
        <v>1388</v>
      </c>
      <c r="G3013" s="31" t="s">
        <v>91</v>
      </c>
      <c r="H3013" s="43" t="s">
        <v>4298</v>
      </c>
      <c r="I3013" s="37" t="str">
        <f>VLOOKUP(H3013,'Flow Location'!$A$1:$B$21,2,FALSE)</f>
        <v>Contained On Site, not within 5 ft. of Bayou/Surface Water/Drainage Ditch</v>
      </c>
      <c r="J3013" s="44">
        <v>65.0</v>
      </c>
      <c r="K3013" s="43" t="s">
        <v>4299</v>
      </c>
      <c r="L3013" s="37" t="str">
        <f>VLOOKUP(K3013,'Structure type'!$A$1:$B$15,2,FALSE)</f>
        <v>Manhole</v>
      </c>
      <c r="M3013" s="43" t="s">
        <v>4300</v>
      </c>
      <c r="N3013" s="23" t="str">
        <f>VLOOKUP(M3013,'Excursion Cause'!$A$1:$B$34,2,FALSE)</f>
        <v>Rags/Wipes</v>
      </c>
      <c r="O3013" s="45">
        <v>45205.0</v>
      </c>
      <c r="P3013" s="46" t="s">
        <v>4301</v>
      </c>
      <c r="Q3013" s="47">
        <v>45205.0</v>
      </c>
      <c r="R3013" s="46" t="s">
        <v>4302</v>
      </c>
      <c r="S3013" s="44">
        <v>1.0</v>
      </c>
      <c r="T3013" s="43" t="s">
        <v>4303</v>
      </c>
      <c r="U3013" s="6"/>
      <c r="V3013" s="6"/>
      <c r="W3013" s="35">
        <v>29.6981278</v>
      </c>
      <c r="X3013" s="35">
        <v>-95.5928553</v>
      </c>
      <c r="AA3013" s="33"/>
      <c r="AB3013" s="33"/>
      <c r="AC3013" s="33"/>
      <c r="AD3013" s="33"/>
      <c r="AE3013" s="33"/>
      <c r="AF3013" s="33"/>
      <c r="AG3013" s="33"/>
      <c r="AH3013" s="33"/>
      <c r="AI3013" s="33"/>
      <c r="AJ3013" s="33"/>
      <c r="AK3013" s="33"/>
      <c r="AL3013" s="33"/>
      <c r="AM3013" s="33"/>
      <c r="AN3013" s="33"/>
      <c r="AO3013" s="33"/>
    </row>
    <row r="3014" ht="15.75" customHeight="1">
      <c r="A3014" s="42">
        <v>54388.0</v>
      </c>
      <c r="B3014" s="23">
        <v>2023.0</v>
      </c>
      <c r="C3014" s="36" t="str">
        <f t="shared" si="7"/>
        <v>6515 COUNTRY CLUB DR,Houston,TX</v>
      </c>
      <c r="D3014" s="43" t="s">
        <v>4304</v>
      </c>
      <c r="E3014" s="23" t="s">
        <v>25</v>
      </c>
      <c r="F3014" s="23" t="s">
        <v>1388</v>
      </c>
      <c r="G3014" s="31" t="s">
        <v>141</v>
      </c>
      <c r="H3014" s="43" t="s">
        <v>4305</v>
      </c>
      <c r="I3014" s="37" t="str">
        <f>VLOOKUP(H3014,'Flow Location'!$A$1:$B$21,2,FALSE)</f>
        <v>Contained On Site, not within 5 ft. of Bayou/Surface Water/Drainage Ditch</v>
      </c>
      <c r="J3014" s="44">
        <v>0.0</v>
      </c>
      <c r="K3014" s="43" t="s">
        <v>4306</v>
      </c>
      <c r="L3014" s="37" t="str">
        <f>VLOOKUP(K3014,'Structure type'!$A$1:$B$15,2,FALSE)</f>
        <v>City Cleanout</v>
      </c>
      <c r="M3014" s="43" t="s">
        <v>4307</v>
      </c>
      <c r="N3014" s="23" t="str">
        <f>VLOOKUP(M3014,'Excursion Cause'!$A$1:$B$34,2,FALSE)</f>
        <v>Grease Blockage</v>
      </c>
      <c r="O3014" s="45">
        <v>45205.0</v>
      </c>
      <c r="P3014" s="46" t="s">
        <v>4308</v>
      </c>
      <c r="Q3014" s="47">
        <v>45205.0</v>
      </c>
      <c r="R3014" s="46" t="s">
        <v>4309</v>
      </c>
      <c r="S3014" s="44">
        <v>0.0</v>
      </c>
      <c r="T3014" s="43" t="s">
        <v>4310</v>
      </c>
      <c r="U3014" s="6"/>
      <c r="V3014" s="6"/>
      <c r="W3014" s="35">
        <v>29.7270697</v>
      </c>
      <c r="X3014" s="35">
        <v>-95.3116414</v>
      </c>
      <c r="AA3014" s="33"/>
      <c r="AB3014" s="33"/>
      <c r="AC3014" s="33"/>
      <c r="AD3014" s="33"/>
      <c r="AE3014" s="33"/>
      <c r="AF3014" s="33"/>
      <c r="AG3014" s="33"/>
      <c r="AH3014" s="33"/>
      <c r="AI3014" s="33"/>
      <c r="AJ3014" s="33"/>
      <c r="AK3014" s="33"/>
      <c r="AL3014" s="33"/>
      <c r="AM3014" s="33"/>
      <c r="AN3014" s="33"/>
      <c r="AO3014" s="33"/>
    </row>
    <row r="3015" ht="15.75" customHeight="1">
      <c r="A3015" s="42">
        <v>54390.0</v>
      </c>
      <c r="B3015" s="23">
        <v>2023.0</v>
      </c>
      <c r="C3015" s="36" t="str">
        <f t="shared" si="7"/>
        <v>7050 BENNINGTON ST,Houston,TX</v>
      </c>
      <c r="D3015" s="43" t="s">
        <v>4311</v>
      </c>
      <c r="E3015" s="23" t="s">
        <v>25</v>
      </c>
      <c r="F3015" s="23" t="s">
        <v>1388</v>
      </c>
      <c r="G3015" s="31" t="s">
        <v>177</v>
      </c>
      <c r="H3015" s="43" t="s">
        <v>4312</v>
      </c>
      <c r="I3015" s="37" t="str">
        <f>VLOOKUP(H3015,'Flow Location'!$A$1:$B$21,2,FALSE)</f>
        <v>Storm Sewer (not contained)</v>
      </c>
      <c r="J3015" s="44">
        <v>5385.0</v>
      </c>
      <c r="K3015" s="43" t="s">
        <v>4313</v>
      </c>
      <c r="L3015" s="37" t="str">
        <f>VLOOKUP(K3015,'Structure type'!$A$1:$B$15,2,FALSE)</f>
        <v>Manhole</v>
      </c>
      <c r="M3015" s="43" t="s">
        <v>4314</v>
      </c>
      <c r="N3015" s="23" t="str">
        <f>VLOOKUP(M3015,'Excursion Cause'!$A$1:$B$34,2,FALSE)</f>
        <v>Grease Blockage</v>
      </c>
      <c r="O3015" s="45">
        <v>45205.0</v>
      </c>
      <c r="P3015" s="46" t="s">
        <v>4315</v>
      </c>
      <c r="Q3015" s="47">
        <v>45206.0</v>
      </c>
      <c r="R3015" s="46" t="s">
        <v>4316</v>
      </c>
      <c r="S3015" s="44">
        <v>5.0</v>
      </c>
      <c r="T3015" s="43" t="s">
        <v>4317</v>
      </c>
      <c r="U3015" s="6"/>
      <c r="V3015" s="6"/>
      <c r="W3015" s="35">
        <v>29.8161013</v>
      </c>
      <c r="X3015" s="35">
        <v>-95.3038715</v>
      </c>
      <c r="AA3015" s="33"/>
      <c r="AB3015" s="33"/>
      <c r="AC3015" s="33"/>
      <c r="AD3015" s="33"/>
      <c r="AE3015" s="33"/>
      <c r="AF3015" s="33"/>
      <c r="AG3015" s="33"/>
      <c r="AH3015" s="33"/>
      <c r="AI3015" s="33"/>
      <c r="AJ3015" s="33"/>
      <c r="AK3015" s="33"/>
      <c r="AL3015" s="33"/>
      <c r="AM3015" s="33"/>
      <c r="AN3015" s="33"/>
      <c r="AO3015" s="33"/>
    </row>
    <row r="3016" ht="15.75" customHeight="1">
      <c r="A3016" s="42">
        <v>54391.0</v>
      </c>
      <c r="B3016" s="23">
        <v>2023.0</v>
      </c>
      <c r="C3016" s="36" t="str">
        <f t="shared" si="7"/>
        <v>6565 HOMESTEAD RD,Houston,TX</v>
      </c>
      <c r="D3016" s="43" t="s">
        <v>4318</v>
      </c>
      <c r="E3016" s="23" t="s">
        <v>25</v>
      </c>
      <c r="F3016" s="23" t="s">
        <v>1388</v>
      </c>
      <c r="G3016" s="31" t="s">
        <v>177</v>
      </c>
      <c r="H3016" s="43" t="s">
        <v>4319</v>
      </c>
      <c r="I3016" s="37" t="str">
        <f>VLOOKUP(H3016,'Flow Location'!$A$1:$B$21,2,FALSE)</f>
        <v>Storm Sewer (not contained)</v>
      </c>
      <c r="J3016" s="44">
        <v>2154.0</v>
      </c>
      <c r="K3016" s="43" t="s">
        <v>4320</v>
      </c>
      <c r="L3016" s="37" t="str">
        <f>VLOOKUP(K3016,'Structure type'!$A$1:$B$15,2,FALSE)</f>
        <v>Manhole</v>
      </c>
      <c r="M3016" s="43" t="s">
        <v>4321</v>
      </c>
      <c r="N3016" s="23" t="str">
        <f>VLOOKUP(M3016,'Excursion Cause'!$A$1:$B$34,2,FALSE)</f>
        <v>Grease Blockage</v>
      </c>
      <c r="O3016" s="45">
        <v>45205.0</v>
      </c>
      <c r="P3016" s="46" t="s">
        <v>4322</v>
      </c>
      <c r="Q3016" s="47">
        <v>45206.0</v>
      </c>
      <c r="R3016" s="46" t="s">
        <v>4323</v>
      </c>
      <c r="S3016" s="44">
        <v>2.0</v>
      </c>
      <c r="T3016" s="43" t="s">
        <v>4324</v>
      </c>
      <c r="U3016" s="6"/>
      <c r="V3016" s="6"/>
      <c r="W3016" s="35">
        <v>29.8168766</v>
      </c>
      <c r="X3016" s="35">
        <v>-95.3022256</v>
      </c>
      <c r="AA3016" s="33"/>
      <c r="AB3016" s="33"/>
      <c r="AC3016" s="33"/>
      <c r="AD3016" s="33"/>
      <c r="AE3016" s="33"/>
      <c r="AF3016" s="33"/>
      <c r="AG3016" s="33"/>
      <c r="AH3016" s="33"/>
      <c r="AI3016" s="33"/>
      <c r="AJ3016" s="33"/>
      <c r="AK3016" s="33"/>
      <c r="AL3016" s="33"/>
      <c r="AM3016" s="33"/>
      <c r="AN3016" s="33"/>
      <c r="AO3016" s="33"/>
    </row>
    <row r="3017" ht="15.75" customHeight="1">
      <c r="A3017" s="42">
        <v>54398.0</v>
      </c>
      <c r="B3017" s="23">
        <v>2023.0</v>
      </c>
      <c r="C3017" s="36" t="str">
        <f t="shared" si="7"/>
        <v>5110 PARKRIDGE DR,Houston,TX</v>
      </c>
      <c r="D3017" s="43" t="s">
        <v>4325</v>
      </c>
      <c r="E3017" s="23" t="s">
        <v>25</v>
      </c>
      <c r="F3017" s="23" t="s">
        <v>1388</v>
      </c>
      <c r="G3017" s="31" t="s">
        <v>517</v>
      </c>
      <c r="H3017" s="43" t="s">
        <v>4326</v>
      </c>
      <c r="I3017" s="37" t="str">
        <f>VLOOKUP(H3017,'Flow Location'!$A$1:$B$21,2,FALSE)</f>
        <v>Contained On Site, not within 5 ft. of Bayou/Surface Water/Drainage Ditch</v>
      </c>
      <c r="J3017" s="44">
        <v>0.0</v>
      </c>
      <c r="K3017" s="43" t="s">
        <v>4327</v>
      </c>
      <c r="L3017" s="37" t="str">
        <f>VLOOKUP(K3017,'Structure type'!$A$1:$B$15,2,FALSE)</f>
        <v>Manhole</v>
      </c>
      <c r="M3017" s="43" t="s">
        <v>4328</v>
      </c>
      <c r="N3017" s="23" t="str">
        <f>VLOOKUP(M3017,'Excursion Cause'!$A$1:$B$34,2,FALSE)</f>
        <v>Grease Blockage</v>
      </c>
      <c r="O3017" s="45">
        <v>45206.0</v>
      </c>
      <c r="P3017" s="46" t="s">
        <v>4329</v>
      </c>
      <c r="Q3017" s="47">
        <v>45206.0</v>
      </c>
      <c r="R3017" s="46" t="s">
        <v>4330</v>
      </c>
      <c r="S3017" s="44">
        <v>0.0</v>
      </c>
      <c r="T3017" s="43" t="s">
        <v>4331</v>
      </c>
      <c r="U3017" s="6"/>
      <c r="V3017" s="6"/>
      <c r="W3017" s="35">
        <v>29.584118</v>
      </c>
      <c r="X3017" s="35">
        <v>-95.4648801</v>
      </c>
      <c r="AA3017" s="33"/>
      <c r="AB3017" s="33"/>
      <c r="AC3017" s="33"/>
      <c r="AD3017" s="33"/>
      <c r="AE3017" s="33"/>
      <c r="AF3017" s="33"/>
      <c r="AG3017" s="33"/>
      <c r="AH3017" s="33"/>
      <c r="AI3017" s="33"/>
      <c r="AJ3017" s="33"/>
      <c r="AK3017" s="33"/>
      <c r="AL3017" s="33"/>
      <c r="AM3017" s="33"/>
      <c r="AN3017" s="33"/>
      <c r="AO3017" s="33"/>
    </row>
    <row r="3018" ht="15.75" customHeight="1">
      <c r="A3018" s="42">
        <v>54403.0</v>
      </c>
      <c r="B3018" s="23">
        <v>2023.0</v>
      </c>
      <c r="C3018" s="36" t="str">
        <f t="shared" si="7"/>
        <v>9207 CULLEN BLVD,Houston,TX</v>
      </c>
      <c r="D3018" s="43" t="s">
        <v>4332</v>
      </c>
      <c r="E3018" s="23" t="s">
        <v>25</v>
      </c>
      <c r="F3018" s="23" t="s">
        <v>1388</v>
      </c>
      <c r="G3018" s="31" t="s">
        <v>120</v>
      </c>
      <c r="H3018" s="43" t="s">
        <v>4333</v>
      </c>
      <c r="I3018" s="37" t="str">
        <f>VLOOKUP(H3018,'Flow Location'!$A$1:$B$21,2,FALSE)</f>
        <v>Contained On Site, not within 5 ft. of Bayou/Surface Water/Drainage Ditch</v>
      </c>
      <c r="J3018" s="44">
        <v>0.0</v>
      </c>
      <c r="K3018" s="43" t="s">
        <v>4334</v>
      </c>
      <c r="L3018" s="37" t="str">
        <f>VLOOKUP(K3018,'Structure type'!$A$1:$B$15,2,FALSE)</f>
        <v>Manhole</v>
      </c>
      <c r="M3018" s="43" t="s">
        <v>4335</v>
      </c>
      <c r="N3018" s="23" t="str">
        <f>VLOOKUP(M3018,'Excursion Cause'!$A$1:$B$34,2,FALSE)</f>
        <v>Grease Blockage</v>
      </c>
      <c r="O3018" s="45">
        <v>45206.0</v>
      </c>
      <c r="P3018" s="46" t="s">
        <v>4336</v>
      </c>
      <c r="Q3018" s="47">
        <v>45207.0</v>
      </c>
      <c r="R3018" s="46" t="s">
        <v>4337</v>
      </c>
      <c r="S3018" s="44">
        <v>0.0</v>
      </c>
      <c r="T3018" s="43" t="s">
        <v>4338</v>
      </c>
      <c r="U3018" s="6"/>
      <c r="V3018" s="6"/>
      <c r="W3018" s="35">
        <v>29.6578958</v>
      </c>
      <c r="X3018" s="35">
        <v>-95.3549998</v>
      </c>
      <c r="AA3018" s="33"/>
      <c r="AB3018" s="33"/>
      <c r="AC3018" s="33"/>
      <c r="AD3018" s="33"/>
      <c r="AE3018" s="33"/>
      <c r="AF3018" s="33"/>
      <c r="AG3018" s="33"/>
      <c r="AH3018" s="33"/>
      <c r="AI3018" s="33"/>
      <c r="AJ3018" s="33"/>
      <c r="AK3018" s="33"/>
      <c r="AL3018" s="33"/>
      <c r="AM3018" s="33"/>
      <c r="AN3018" s="33"/>
      <c r="AO3018" s="33"/>
    </row>
    <row r="3019" ht="15.75" customHeight="1">
      <c r="A3019" s="42">
        <v>54408.0</v>
      </c>
      <c r="B3019" s="23">
        <v>2023.0</v>
      </c>
      <c r="C3019" s="36" t="str">
        <f t="shared" si="7"/>
        <v>6902 SHAVELSON ST,Houston,TX</v>
      </c>
      <c r="D3019" s="43" t="s">
        <v>4339</v>
      </c>
      <c r="E3019" s="23" t="s">
        <v>25</v>
      </c>
      <c r="F3019" s="23" t="s">
        <v>1388</v>
      </c>
      <c r="G3019" s="31" t="s">
        <v>27</v>
      </c>
      <c r="H3019" s="43" t="s">
        <v>4340</v>
      </c>
      <c r="I3019" s="37" t="str">
        <f>VLOOKUP(H3019,'Flow Location'!$A$1:$B$21,2,FALSE)</f>
        <v>Contained On Site, not within 5 ft. of Bayou/Surface Water/Drainage Ditch</v>
      </c>
      <c r="J3019" s="44">
        <v>125.0</v>
      </c>
      <c r="K3019" s="43" t="s">
        <v>4341</v>
      </c>
      <c r="L3019" s="37" t="str">
        <f>VLOOKUP(K3019,'Structure type'!$A$1:$B$15,2,FALSE)</f>
        <v>Manhole</v>
      </c>
      <c r="M3019" s="43" t="s">
        <v>4342</v>
      </c>
      <c r="N3019" s="23" t="str">
        <f>VLOOKUP(M3019,'Excursion Cause'!$A$1:$B$34,2,FALSE)</f>
        <v>Rags/Wipes</v>
      </c>
      <c r="O3019" s="45">
        <v>45207.0</v>
      </c>
      <c r="P3019" s="46" t="s">
        <v>4343</v>
      </c>
      <c r="Q3019" s="47">
        <v>45207.0</v>
      </c>
      <c r="R3019" s="46" t="s">
        <v>4344</v>
      </c>
      <c r="S3019" s="44">
        <v>1.0</v>
      </c>
      <c r="T3019" s="43" t="s">
        <v>4345</v>
      </c>
      <c r="U3019" s="6"/>
      <c r="V3019" s="6"/>
      <c r="W3019" s="35">
        <v>29.7872299</v>
      </c>
      <c r="X3019" s="35">
        <v>-95.4697125</v>
      </c>
      <c r="AA3019" s="33"/>
      <c r="AB3019" s="33"/>
      <c r="AC3019" s="33"/>
      <c r="AD3019" s="33"/>
      <c r="AE3019" s="33"/>
      <c r="AF3019" s="33"/>
      <c r="AG3019" s="33"/>
      <c r="AH3019" s="33"/>
      <c r="AI3019" s="33"/>
      <c r="AJ3019" s="33"/>
      <c r="AK3019" s="33"/>
      <c r="AL3019" s="33"/>
      <c r="AM3019" s="33"/>
      <c r="AN3019" s="33"/>
      <c r="AO3019" s="33"/>
    </row>
    <row r="3020" ht="15.75" customHeight="1">
      <c r="A3020" s="42">
        <v>54411.0</v>
      </c>
      <c r="B3020" s="23">
        <v>2023.0</v>
      </c>
      <c r="C3020" s="36" t="str">
        <f t="shared" si="7"/>
        <v>12929 BARCUS LN,Houston,TX</v>
      </c>
      <c r="D3020" s="43" t="s">
        <v>4346</v>
      </c>
      <c r="E3020" s="23" t="s">
        <v>25</v>
      </c>
      <c r="F3020" s="23" t="s">
        <v>1388</v>
      </c>
      <c r="G3020" s="31" t="s">
        <v>623</v>
      </c>
      <c r="H3020" s="43" t="s">
        <v>4347</v>
      </c>
      <c r="I3020" s="37" t="str">
        <f>VLOOKUP(H3020,'Flow Location'!$A$1:$B$21,2,FALSE)</f>
        <v>Storm Sewer (not contained)</v>
      </c>
      <c r="J3020" s="44">
        <v>0.0</v>
      </c>
      <c r="K3020" s="43" t="s">
        <v>4348</v>
      </c>
      <c r="L3020" s="37" t="str">
        <f>VLOOKUP(K3020,'Structure type'!$A$1:$B$15,2,FALSE)</f>
        <v>Manhole</v>
      </c>
      <c r="M3020" s="43" t="s">
        <v>4349</v>
      </c>
      <c r="N3020" s="23" t="str">
        <f>VLOOKUP(M3020,'Excursion Cause'!$A$1:$B$34,2,FALSE)</f>
        <v>Collection system structural blockage</v>
      </c>
      <c r="O3020" s="45">
        <v>45208.0</v>
      </c>
      <c r="P3020" s="46" t="s">
        <v>4350</v>
      </c>
      <c r="Q3020" s="47">
        <v>45208.0</v>
      </c>
      <c r="R3020" s="46" t="s">
        <v>4351</v>
      </c>
      <c r="S3020" s="44">
        <v>0.0</v>
      </c>
      <c r="T3020" s="43" t="s">
        <v>4352</v>
      </c>
      <c r="U3020" s="6"/>
      <c r="V3020" s="6"/>
      <c r="W3020" s="35">
        <v>29.7696711</v>
      </c>
      <c r="X3020" s="35">
        <v>-95.2006244999999</v>
      </c>
      <c r="AA3020" s="33"/>
      <c r="AB3020" s="33"/>
      <c r="AC3020" s="33"/>
      <c r="AD3020" s="33"/>
      <c r="AE3020" s="33"/>
      <c r="AF3020" s="33"/>
      <c r="AG3020" s="33"/>
      <c r="AH3020" s="33"/>
      <c r="AI3020" s="33"/>
      <c r="AJ3020" s="33"/>
      <c r="AK3020" s="33"/>
      <c r="AL3020" s="33"/>
      <c r="AM3020" s="33"/>
      <c r="AN3020" s="33"/>
      <c r="AO3020" s="33"/>
    </row>
    <row r="3021" ht="15.75" customHeight="1">
      <c r="A3021" s="42">
        <v>54412.0</v>
      </c>
      <c r="B3021" s="23">
        <v>2023.0</v>
      </c>
      <c r="C3021" s="36" t="str">
        <f t="shared" si="7"/>
        <v>2008 LYNNFIELD ST,Houston,TX</v>
      </c>
      <c r="D3021" s="43" t="s">
        <v>4353</v>
      </c>
      <c r="E3021" s="23" t="s">
        <v>25</v>
      </c>
      <c r="F3021" s="23" t="s">
        <v>1388</v>
      </c>
      <c r="G3021" s="31" t="s">
        <v>109</v>
      </c>
      <c r="H3021" s="43" t="s">
        <v>4354</v>
      </c>
      <c r="I3021" s="37" t="str">
        <f>VLOOKUP(H3021,'Flow Location'!$A$1:$B$21,2,FALSE)</f>
        <v>Contained On Site, not within 5 ft. of Bayou/Surface Water/Drainage Ditch</v>
      </c>
      <c r="J3021" s="44">
        <v>0.0</v>
      </c>
      <c r="K3021" s="43" t="s">
        <v>4355</v>
      </c>
      <c r="L3021" s="37" t="str">
        <f>VLOOKUP(K3021,'Structure type'!$A$1:$B$15,2,FALSE)</f>
        <v>Service Lateral</v>
      </c>
      <c r="M3021" s="43" t="s">
        <v>4356</v>
      </c>
      <c r="N3021" s="23" t="str">
        <f>VLOOKUP(M3021,'Excursion Cause'!$A$1:$B$34,2,FALSE)</f>
        <v>Collection system structural failure</v>
      </c>
      <c r="O3021" s="45">
        <v>45208.0</v>
      </c>
      <c r="P3021" s="46" t="s">
        <v>4357</v>
      </c>
      <c r="Q3021" s="47">
        <v>45208.0</v>
      </c>
      <c r="R3021" s="46" t="s">
        <v>4358</v>
      </c>
      <c r="S3021" s="44">
        <v>0.0</v>
      </c>
      <c r="T3021" s="43" t="s">
        <v>4359</v>
      </c>
      <c r="U3021" s="6"/>
      <c r="V3021" s="6"/>
      <c r="W3021" s="35">
        <v>29.8200182</v>
      </c>
      <c r="X3021" s="35">
        <v>-95.3491040999999</v>
      </c>
      <c r="AA3021" s="33"/>
      <c r="AB3021" s="33"/>
      <c r="AC3021" s="33"/>
      <c r="AD3021" s="33"/>
      <c r="AE3021" s="33"/>
      <c r="AF3021" s="33"/>
      <c r="AG3021" s="33"/>
      <c r="AH3021" s="33"/>
      <c r="AI3021" s="33"/>
      <c r="AJ3021" s="33"/>
      <c r="AK3021" s="33"/>
      <c r="AL3021" s="33"/>
      <c r="AM3021" s="33"/>
      <c r="AN3021" s="33"/>
      <c r="AO3021" s="33"/>
    </row>
    <row r="3022" ht="15.75" customHeight="1">
      <c r="A3022" s="42">
        <v>54415.0</v>
      </c>
      <c r="B3022" s="23">
        <v>2023.0</v>
      </c>
      <c r="C3022" s="36" t="str">
        <f t="shared" si="7"/>
        <v>7730 THUROW ST,Houston,TX</v>
      </c>
      <c r="D3022" s="43" t="s">
        <v>4360</v>
      </c>
      <c r="E3022" s="23" t="s">
        <v>25</v>
      </c>
      <c r="F3022" s="23" t="s">
        <v>1388</v>
      </c>
      <c r="G3022" s="31" t="s">
        <v>35</v>
      </c>
      <c r="H3022" s="43" t="s">
        <v>4361</v>
      </c>
      <c r="I3022" s="37" t="str">
        <f>VLOOKUP(H3022,'Flow Location'!$A$1:$B$21,2,FALSE)</f>
        <v>Storm Sewer (not contained)</v>
      </c>
      <c r="J3022" s="44">
        <v>1010.0</v>
      </c>
      <c r="K3022" s="43" t="s">
        <v>4362</v>
      </c>
      <c r="L3022" s="37" t="str">
        <f>VLOOKUP(K3022,'Structure type'!$A$1:$B$15,2,FALSE)</f>
        <v>Manhole</v>
      </c>
      <c r="M3022" s="43" t="s">
        <v>4363</v>
      </c>
      <c r="N3022" s="23" t="str">
        <f>VLOOKUP(M3022,'Excursion Cause'!$A$1:$B$34,2,FALSE)</f>
        <v>Grease Blockage</v>
      </c>
      <c r="O3022" s="45">
        <v>45208.0</v>
      </c>
      <c r="P3022" s="46" t="s">
        <v>4364</v>
      </c>
      <c r="Q3022" s="47">
        <v>45208.0</v>
      </c>
      <c r="R3022" s="46" t="s">
        <v>4365</v>
      </c>
      <c r="S3022" s="44">
        <v>5.0</v>
      </c>
      <c r="T3022" s="43" t="s">
        <v>4366</v>
      </c>
      <c r="U3022" s="6"/>
      <c r="V3022" s="6"/>
      <c r="W3022" s="35">
        <v>29.6940941</v>
      </c>
      <c r="X3022" s="35">
        <v>-95.2876082</v>
      </c>
      <c r="AA3022" s="33"/>
      <c r="AB3022" s="33"/>
      <c r="AC3022" s="33"/>
      <c r="AD3022" s="33"/>
      <c r="AE3022" s="33"/>
      <c r="AF3022" s="33"/>
      <c r="AG3022" s="33"/>
      <c r="AH3022" s="33"/>
      <c r="AI3022" s="33"/>
      <c r="AJ3022" s="33"/>
      <c r="AK3022" s="33"/>
      <c r="AL3022" s="33"/>
      <c r="AM3022" s="33"/>
      <c r="AN3022" s="33"/>
      <c r="AO3022" s="33"/>
    </row>
    <row r="3023" ht="15.75" customHeight="1">
      <c r="A3023" s="42">
        <v>54422.0</v>
      </c>
      <c r="B3023" s="23">
        <v>2023.0</v>
      </c>
      <c r="C3023" s="36" t="str">
        <f t="shared" si="7"/>
        <v>11630 HERALD SQUARE DR,Houston,TX</v>
      </c>
      <c r="D3023" s="43" t="s">
        <v>4367</v>
      </c>
      <c r="E3023" s="23" t="s">
        <v>25</v>
      </c>
      <c r="F3023" s="23" t="s">
        <v>1388</v>
      </c>
      <c r="G3023" s="31" t="s">
        <v>154</v>
      </c>
      <c r="H3023" s="43" t="s">
        <v>4368</v>
      </c>
      <c r="I3023" s="37" t="str">
        <f>VLOOKUP(H3023,'Flow Location'!$A$1:$B$21,2,FALSE)</f>
        <v>Contained On Site, not within 5 ft. of Bayou/Surface Water/Drainage Ditch</v>
      </c>
      <c r="J3023" s="44">
        <v>0.0</v>
      </c>
      <c r="K3023" s="43" t="s">
        <v>4369</v>
      </c>
      <c r="L3023" s="37" t="str">
        <f>VLOOKUP(K3023,'Structure type'!$A$1:$B$15,2,FALSE)</f>
        <v>City Cleanout</v>
      </c>
      <c r="M3023" s="43" t="s">
        <v>4370</v>
      </c>
      <c r="N3023" s="23" t="str">
        <f>VLOOKUP(M3023,'Excursion Cause'!$A$1:$B$34,2,FALSE)</f>
        <v>Collection system structural failure</v>
      </c>
      <c r="O3023" s="45">
        <v>45208.0</v>
      </c>
      <c r="P3023" s="46" t="s">
        <v>4371</v>
      </c>
      <c r="Q3023" s="47">
        <v>45208.0</v>
      </c>
      <c r="R3023" s="46" t="s">
        <v>4372</v>
      </c>
      <c r="S3023" s="44">
        <v>0.0</v>
      </c>
      <c r="T3023" s="43" t="s">
        <v>4373</v>
      </c>
      <c r="U3023" s="6"/>
      <c r="V3023" s="6"/>
      <c r="W3023" s="35">
        <v>29.6803204</v>
      </c>
      <c r="X3023" s="35">
        <v>-95.5834478</v>
      </c>
      <c r="AA3023" s="33"/>
      <c r="AB3023" s="33"/>
      <c r="AC3023" s="33"/>
      <c r="AD3023" s="33"/>
      <c r="AE3023" s="33"/>
      <c r="AF3023" s="33"/>
      <c r="AG3023" s="33"/>
      <c r="AH3023" s="33"/>
      <c r="AI3023" s="33"/>
      <c r="AJ3023" s="33"/>
      <c r="AK3023" s="33"/>
      <c r="AL3023" s="33"/>
      <c r="AM3023" s="33"/>
      <c r="AN3023" s="33"/>
      <c r="AO3023" s="33"/>
    </row>
    <row r="3024" ht="15.75" customHeight="1">
      <c r="A3024" s="42">
        <v>54424.0</v>
      </c>
      <c r="B3024" s="23">
        <v>2023.0</v>
      </c>
      <c r="C3024" s="36" t="str">
        <f t="shared" si="7"/>
        <v>19 BURRESS ST,Houston,TX</v>
      </c>
      <c r="D3024" s="43" t="s">
        <v>4374</v>
      </c>
      <c r="E3024" s="23" t="s">
        <v>25</v>
      </c>
      <c r="F3024" s="23" t="s">
        <v>1388</v>
      </c>
      <c r="G3024" s="31" t="s">
        <v>653</v>
      </c>
      <c r="H3024" s="43" t="s">
        <v>4375</v>
      </c>
      <c r="I3024" s="37" t="str">
        <f>VLOOKUP(H3024,'Flow Location'!$A$1:$B$21,2,FALSE)</f>
        <v>Bayou/surface water/drainage ditch</v>
      </c>
      <c r="J3024" s="44">
        <v>0.0</v>
      </c>
      <c r="K3024" s="43" t="s">
        <v>4376</v>
      </c>
      <c r="L3024" s="37" t="str">
        <f>VLOOKUP(K3024,'Structure type'!$A$1:$B$15,2,FALSE)</f>
        <v>Gravity Main</v>
      </c>
      <c r="M3024" s="43" t="s">
        <v>4377</v>
      </c>
      <c r="N3024" s="23" t="str">
        <f>VLOOKUP(M3024,'Excursion Cause'!$A$1:$B$34,2,FALSE)</f>
        <v>Rags/Wipes</v>
      </c>
      <c r="O3024" s="45">
        <v>45208.0</v>
      </c>
      <c r="P3024" s="46" t="s">
        <v>4378</v>
      </c>
      <c r="Q3024" s="47">
        <v>45208.0</v>
      </c>
      <c r="R3024" s="46" t="s">
        <v>4379</v>
      </c>
      <c r="S3024" s="44">
        <v>0.0</v>
      </c>
      <c r="T3024" s="43" t="s">
        <v>4380</v>
      </c>
      <c r="U3024" s="6"/>
      <c r="V3024" s="6"/>
      <c r="W3024" s="35">
        <v>29.8420882</v>
      </c>
      <c r="X3024" s="35">
        <v>-95.3822733</v>
      </c>
      <c r="AA3024" s="33"/>
      <c r="AB3024" s="33"/>
      <c r="AC3024" s="33"/>
      <c r="AD3024" s="33"/>
      <c r="AE3024" s="33"/>
      <c r="AF3024" s="33"/>
      <c r="AG3024" s="33"/>
      <c r="AH3024" s="33"/>
      <c r="AI3024" s="33"/>
      <c r="AJ3024" s="33"/>
      <c r="AK3024" s="33"/>
      <c r="AL3024" s="33"/>
      <c r="AM3024" s="33"/>
      <c r="AN3024" s="33"/>
      <c r="AO3024" s="33"/>
    </row>
    <row r="3025" ht="15.75" customHeight="1">
      <c r="A3025" s="42">
        <v>54426.0</v>
      </c>
      <c r="B3025" s="23">
        <v>2023.0</v>
      </c>
      <c r="C3025" s="36" t="str">
        <f t="shared" si="7"/>
        <v>5315 LEELAND ST,Houston,TX</v>
      </c>
      <c r="D3025" s="43" t="s">
        <v>4381</v>
      </c>
      <c r="E3025" s="23" t="s">
        <v>25</v>
      </c>
      <c r="F3025" s="23" t="s">
        <v>1388</v>
      </c>
      <c r="G3025" s="31" t="s">
        <v>141</v>
      </c>
      <c r="H3025" s="43" t="s">
        <v>4382</v>
      </c>
      <c r="I3025" s="37" t="str">
        <f>VLOOKUP(H3025,'Flow Location'!$A$1:$B$21,2,FALSE)</f>
        <v>Contained On Site, not within 5 ft. of Bayou/Surface Water/Drainage Ditch</v>
      </c>
      <c r="J3025" s="44">
        <v>0.0</v>
      </c>
      <c r="K3025" s="43" t="s">
        <v>4383</v>
      </c>
      <c r="L3025" s="37" t="str">
        <f>VLOOKUP(K3025,'Structure type'!$A$1:$B$15,2,FALSE)</f>
        <v>City Cleanout</v>
      </c>
      <c r="M3025" s="43" t="s">
        <v>4384</v>
      </c>
      <c r="N3025" s="23" t="str">
        <f>VLOOKUP(M3025,'Excursion Cause'!$A$1:$B$34,2,FALSE)</f>
        <v>Grease Blockage</v>
      </c>
      <c r="O3025" s="45">
        <v>45209.0</v>
      </c>
      <c r="P3025" s="46" t="s">
        <v>4385</v>
      </c>
      <c r="Q3025" s="49">
        <v>45209.0</v>
      </c>
      <c r="R3025" s="46" t="s">
        <v>4386</v>
      </c>
      <c r="S3025" s="44">
        <v>0.0</v>
      </c>
      <c r="T3025" s="43" t="s">
        <v>4387</v>
      </c>
      <c r="U3025" s="6"/>
      <c r="V3025" s="6"/>
      <c r="W3025" s="35">
        <v>29.7324257</v>
      </c>
      <c r="X3025" s="35">
        <v>-95.3208499</v>
      </c>
      <c r="AA3025" s="33"/>
      <c r="AB3025" s="33"/>
      <c r="AC3025" s="33"/>
      <c r="AD3025" s="33"/>
      <c r="AE3025" s="33"/>
      <c r="AF3025" s="33"/>
      <c r="AG3025" s="33"/>
      <c r="AH3025" s="33"/>
      <c r="AI3025" s="33"/>
      <c r="AJ3025" s="33"/>
      <c r="AK3025" s="33"/>
      <c r="AL3025" s="33"/>
      <c r="AM3025" s="33"/>
      <c r="AN3025" s="33"/>
      <c r="AO3025" s="33"/>
    </row>
    <row r="3026" ht="15.75" customHeight="1">
      <c r="A3026" s="42">
        <v>54433.0</v>
      </c>
      <c r="B3026" s="23">
        <v>2023.0</v>
      </c>
      <c r="C3026" s="36" t="str">
        <f t="shared" si="7"/>
        <v>3938 COSBY ST,Houston,TX</v>
      </c>
      <c r="D3026" s="43" t="s">
        <v>4388</v>
      </c>
      <c r="E3026" s="23" t="s">
        <v>25</v>
      </c>
      <c r="F3026" s="23" t="s">
        <v>1388</v>
      </c>
      <c r="G3026" s="31" t="s">
        <v>238</v>
      </c>
      <c r="H3026" s="43" t="s">
        <v>4389</v>
      </c>
      <c r="I3026" s="37" t="str">
        <f>VLOOKUP(H3026,'Flow Location'!$A$1:$B$21,2,FALSE)</f>
        <v>Contained On Site, not within 5 ft. of Bayou/Surface Water/Drainage Ditch</v>
      </c>
      <c r="J3026" s="44">
        <v>0.0</v>
      </c>
      <c r="K3026" s="43" t="s">
        <v>4390</v>
      </c>
      <c r="L3026" s="37" t="str">
        <f>VLOOKUP(K3026,'Structure type'!$A$1:$B$15,2,FALSE)</f>
        <v>City Cleanout</v>
      </c>
      <c r="M3026" s="43" t="s">
        <v>4391</v>
      </c>
      <c r="N3026" s="23" t="str">
        <f>VLOOKUP(M3026,'Excursion Cause'!$A$1:$B$34,2,FALSE)</f>
        <v>Grease Blockage</v>
      </c>
      <c r="O3026" s="45">
        <v>45209.0</v>
      </c>
      <c r="P3026" s="46" t="s">
        <v>4392</v>
      </c>
      <c r="Q3026" s="49">
        <v>45209.0</v>
      </c>
      <c r="R3026" s="46" t="s">
        <v>4393</v>
      </c>
      <c r="S3026" s="44">
        <v>0.0</v>
      </c>
      <c r="T3026" s="43" t="s">
        <v>4394</v>
      </c>
      <c r="U3026" s="6"/>
      <c r="V3026" s="6"/>
      <c r="W3026" s="35">
        <v>29.6966205</v>
      </c>
      <c r="X3026" s="35">
        <v>-95.3585252</v>
      </c>
      <c r="AA3026" s="33"/>
      <c r="AB3026" s="33"/>
      <c r="AC3026" s="33"/>
      <c r="AD3026" s="33"/>
      <c r="AE3026" s="33"/>
      <c r="AF3026" s="33"/>
      <c r="AG3026" s="33"/>
      <c r="AH3026" s="33"/>
      <c r="AI3026" s="33"/>
      <c r="AJ3026" s="33"/>
      <c r="AK3026" s="33"/>
      <c r="AL3026" s="33"/>
      <c r="AM3026" s="33"/>
      <c r="AN3026" s="33"/>
      <c r="AO3026" s="33"/>
    </row>
    <row r="3027" ht="15.75" customHeight="1">
      <c r="A3027" s="42">
        <v>54435.0</v>
      </c>
      <c r="B3027" s="23">
        <v>2023.0</v>
      </c>
      <c r="C3027" s="36" t="str">
        <f t="shared" si="7"/>
        <v>6321 BROOK LEA ST,Houston,TX</v>
      </c>
      <c r="D3027" s="43" t="s">
        <v>4395</v>
      </c>
      <c r="E3027" s="23" t="s">
        <v>25</v>
      </c>
      <c r="F3027" s="23" t="s">
        <v>1388</v>
      </c>
      <c r="G3027" s="31" t="s">
        <v>35</v>
      </c>
      <c r="H3027" s="43" t="s">
        <v>4396</v>
      </c>
      <c r="I3027" s="37" t="str">
        <f>VLOOKUP(H3027,'Flow Location'!$A$1:$B$21,2,FALSE)</f>
        <v>Storm Sewer (not contained)</v>
      </c>
      <c r="J3027" s="44">
        <v>0.0</v>
      </c>
      <c r="K3027" s="43" t="s">
        <v>4397</v>
      </c>
      <c r="L3027" s="37" t="str">
        <f>VLOOKUP(K3027,'Structure type'!$A$1:$B$15,2,FALSE)</f>
        <v>City Cleanout</v>
      </c>
      <c r="M3027" s="43" t="s">
        <v>4398</v>
      </c>
      <c r="N3027" s="23" t="str">
        <f>VLOOKUP(M3027,'Excursion Cause'!$A$1:$B$34,2,FALSE)</f>
        <v>Grease Blockage</v>
      </c>
      <c r="O3027" s="45">
        <v>45209.0</v>
      </c>
      <c r="P3027" s="46" t="s">
        <v>4399</v>
      </c>
      <c r="Q3027" s="49">
        <v>45209.0</v>
      </c>
      <c r="R3027" s="46" t="s">
        <v>4400</v>
      </c>
      <c r="S3027" s="44">
        <v>0.0</v>
      </c>
      <c r="T3027" s="43" t="s">
        <v>4401</v>
      </c>
      <c r="U3027" s="6"/>
      <c r="V3027" s="6"/>
      <c r="W3027" s="35">
        <v>29.6887756</v>
      </c>
      <c r="X3027" s="35">
        <v>-95.3168458</v>
      </c>
      <c r="AA3027" s="33"/>
      <c r="AB3027" s="33"/>
      <c r="AC3027" s="33"/>
      <c r="AD3027" s="33"/>
      <c r="AE3027" s="33"/>
      <c r="AF3027" s="33"/>
      <c r="AG3027" s="33"/>
      <c r="AH3027" s="33"/>
      <c r="AI3027" s="33"/>
      <c r="AJ3027" s="33"/>
      <c r="AK3027" s="33"/>
      <c r="AL3027" s="33"/>
      <c r="AM3027" s="33"/>
      <c r="AN3027" s="33"/>
      <c r="AO3027" s="33"/>
    </row>
    <row r="3028" ht="15.75" customHeight="1">
      <c r="A3028" s="42">
        <v>54438.0</v>
      </c>
      <c r="B3028" s="23">
        <v>2023.0</v>
      </c>
      <c r="C3028" s="36" t="str">
        <f t="shared" si="7"/>
        <v>6050 WILLOWBEND BLVD,Houston,TX</v>
      </c>
      <c r="D3028" s="43" t="s">
        <v>4402</v>
      </c>
      <c r="E3028" s="23" t="s">
        <v>25</v>
      </c>
      <c r="F3028" s="23" t="s">
        <v>1388</v>
      </c>
      <c r="G3028" s="31" t="s">
        <v>69</v>
      </c>
      <c r="H3028" s="43" t="s">
        <v>4403</v>
      </c>
      <c r="I3028" s="37" t="str">
        <f>VLOOKUP(H3028,'Flow Location'!$A$1:$B$21,2,FALSE)</f>
        <v>Contained On Site, not within 5 ft. of Bayou/Surface Water/Drainage Ditch</v>
      </c>
      <c r="J3028" s="44">
        <v>382.0</v>
      </c>
      <c r="K3028" s="43" t="s">
        <v>4404</v>
      </c>
      <c r="L3028" s="37" t="str">
        <f>VLOOKUP(K3028,'Structure type'!$A$1:$B$15,2,FALSE)</f>
        <v>Manhole</v>
      </c>
      <c r="M3028" s="43" t="s">
        <v>4405</v>
      </c>
      <c r="N3028" s="23" t="str">
        <f>VLOOKUP(M3028,'Excursion Cause'!$A$1:$B$34,2,FALSE)</f>
        <v>Grease Blockage</v>
      </c>
      <c r="O3028" s="45">
        <v>45210.0</v>
      </c>
      <c r="P3028" s="46" t="s">
        <v>4406</v>
      </c>
      <c r="Q3028" s="49">
        <v>45210.0</v>
      </c>
      <c r="R3028" s="46" t="s">
        <v>4407</v>
      </c>
      <c r="S3028" s="44">
        <v>2.0</v>
      </c>
      <c r="T3028" s="43" t="s">
        <v>4408</v>
      </c>
      <c r="U3028" s="6"/>
      <c r="V3028" s="6"/>
      <c r="W3028" s="35">
        <v>29.6666023</v>
      </c>
      <c r="X3028" s="35">
        <v>-95.4978754999999</v>
      </c>
      <c r="AA3028" s="33"/>
      <c r="AB3028" s="33"/>
      <c r="AC3028" s="33"/>
      <c r="AD3028" s="33"/>
      <c r="AE3028" s="33"/>
      <c r="AF3028" s="33"/>
      <c r="AG3028" s="33"/>
      <c r="AH3028" s="33"/>
      <c r="AI3028" s="33"/>
      <c r="AJ3028" s="33"/>
      <c r="AK3028" s="33"/>
      <c r="AL3028" s="33"/>
      <c r="AM3028" s="33"/>
      <c r="AN3028" s="33"/>
      <c r="AO3028" s="33"/>
    </row>
    <row r="3029" ht="15.75" customHeight="1">
      <c r="A3029" s="42">
        <v>54439.0</v>
      </c>
      <c r="B3029" s="23">
        <v>2023.0</v>
      </c>
      <c r="C3029" s="36" t="str">
        <f t="shared" si="7"/>
        <v>6346 WILLOW DALE ST,Houston,TX</v>
      </c>
      <c r="D3029" s="43" t="s">
        <v>4409</v>
      </c>
      <c r="E3029" s="23" t="s">
        <v>25</v>
      </c>
      <c r="F3029" s="23" t="s">
        <v>1388</v>
      </c>
      <c r="G3029" s="31" t="s">
        <v>35</v>
      </c>
      <c r="H3029" s="43" t="s">
        <v>4410</v>
      </c>
      <c r="I3029" s="37" t="str">
        <f>VLOOKUP(H3029,'Flow Location'!$A$1:$B$21,2,FALSE)</f>
        <v>Contained On Site, not within 5 ft. of Bayou/Surface Water/Drainage Ditch</v>
      </c>
      <c r="J3029" s="44">
        <v>0.0</v>
      </c>
      <c r="K3029" s="43" t="s">
        <v>4411</v>
      </c>
      <c r="L3029" s="37" t="str">
        <f>VLOOKUP(K3029,'Structure type'!$A$1:$B$15,2,FALSE)</f>
        <v>City Cleanout</v>
      </c>
      <c r="M3029" s="43" t="s">
        <v>4412</v>
      </c>
      <c r="N3029" s="23" t="str">
        <f>VLOOKUP(M3029,'Excursion Cause'!$A$1:$B$34,2,FALSE)</f>
        <v>Grease Blockage</v>
      </c>
      <c r="O3029" s="45">
        <v>45210.0</v>
      </c>
      <c r="P3029" s="46" t="s">
        <v>4413</v>
      </c>
      <c r="Q3029" s="49">
        <v>45210.0</v>
      </c>
      <c r="R3029" s="46" t="s">
        <v>4414</v>
      </c>
      <c r="S3029" s="44">
        <v>0.0</v>
      </c>
      <c r="T3029" s="43" t="s">
        <v>4415</v>
      </c>
      <c r="U3029" s="6"/>
      <c r="V3029" s="6"/>
      <c r="W3029" s="35">
        <v>29.6850373</v>
      </c>
      <c r="X3029" s="35">
        <v>-95.3160917</v>
      </c>
      <c r="AA3029" s="33"/>
      <c r="AB3029" s="33"/>
      <c r="AC3029" s="33"/>
      <c r="AD3029" s="33"/>
      <c r="AE3029" s="33"/>
      <c r="AF3029" s="33"/>
      <c r="AG3029" s="33"/>
      <c r="AH3029" s="33"/>
      <c r="AI3029" s="33"/>
      <c r="AJ3029" s="33"/>
      <c r="AK3029" s="33"/>
      <c r="AL3029" s="33"/>
      <c r="AM3029" s="33"/>
      <c r="AN3029" s="33"/>
      <c r="AO3029" s="33"/>
    </row>
    <row r="3030" ht="15.75" customHeight="1">
      <c r="A3030" s="42">
        <v>54443.0</v>
      </c>
      <c r="B3030" s="23">
        <v>2023.0</v>
      </c>
      <c r="C3030" s="36" t="str">
        <f t="shared" si="7"/>
        <v>14023 POST OAK RD,Houston,TX</v>
      </c>
      <c r="D3030" s="43" t="s">
        <v>4416</v>
      </c>
      <c r="E3030" s="23" t="s">
        <v>25</v>
      </c>
      <c r="F3030" s="23" t="s">
        <v>1388</v>
      </c>
      <c r="G3030" s="31" t="s">
        <v>39</v>
      </c>
      <c r="H3030" s="43" t="s">
        <v>4417</v>
      </c>
      <c r="I3030" s="37" t="str">
        <f>VLOOKUP(H3030,'Flow Location'!$A$1:$B$21,2,FALSE)</f>
        <v>Contained On Site, not within 5 ft. of Bayou/Surface Water/Drainage Ditch</v>
      </c>
      <c r="J3030" s="44">
        <v>16.0</v>
      </c>
      <c r="K3030" s="43" t="s">
        <v>4418</v>
      </c>
      <c r="L3030" s="37" t="str">
        <f>VLOOKUP(K3030,'Structure type'!$A$1:$B$15,2,FALSE)</f>
        <v>Service Lateral</v>
      </c>
      <c r="M3030" s="43" t="s">
        <v>4419</v>
      </c>
      <c r="N3030" s="23" t="str">
        <f>VLOOKUP(M3030,'Excursion Cause'!$A$1:$B$34,2,FALSE)</f>
        <v>Collection system structural failure</v>
      </c>
      <c r="O3030" s="45">
        <v>45210.0</v>
      </c>
      <c r="P3030" s="46" t="s">
        <v>4420</v>
      </c>
      <c r="Q3030" s="49">
        <v>45210.0</v>
      </c>
      <c r="R3030" s="46" t="s">
        <v>4421</v>
      </c>
      <c r="S3030" s="44">
        <v>1.0</v>
      </c>
      <c r="T3030" s="43" t="s">
        <v>4422</v>
      </c>
      <c r="U3030" s="6"/>
      <c r="V3030" s="6"/>
      <c r="W3030" s="35">
        <v>29.623209</v>
      </c>
      <c r="X3030" s="35">
        <v>-95.463939</v>
      </c>
      <c r="AA3030" s="33"/>
      <c r="AB3030" s="33"/>
      <c r="AC3030" s="33"/>
      <c r="AD3030" s="33"/>
      <c r="AE3030" s="33"/>
      <c r="AF3030" s="33"/>
      <c r="AG3030" s="33"/>
      <c r="AH3030" s="33"/>
      <c r="AI3030" s="33"/>
      <c r="AJ3030" s="33"/>
      <c r="AK3030" s="33"/>
      <c r="AL3030" s="33"/>
      <c r="AM3030" s="33"/>
      <c r="AN3030" s="33"/>
      <c r="AO3030" s="33"/>
    </row>
    <row r="3031" ht="15.75" customHeight="1">
      <c r="A3031" s="42">
        <v>54445.0</v>
      </c>
      <c r="B3031" s="23">
        <v>2023.0</v>
      </c>
      <c r="C3031" s="36" t="str">
        <f t="shared" si="7"/>
        <v>2500 TANGLEWILDE ST,Houston,TX</v>
      </c>
      <c r="D3031" s="43" t="s">
        <v>4423</v>
      </c>
      <c r="E3031" s="23" t="s">
        <v>25</v>
      </c>
      <c r="F3031" s="23" t="s">
        <v>1388</v>
      </c>
      <c r="G3031" s="31" t="s">
        <v>482</v>
      </c>
      <c r="H3031" s="43" t="s">
        <v>4424</v>
      </c>
      <c r="I3031" s="37" t="str">
        <f>VLOOKUP(H3031,'Flow Location'!$A$1:$B$21,2,FALSE)</f>
        <v>Contained On Site, not within 5 ft. of Bayou/Surface Water/Drainage Ditch</v>
      </c>
      <c r="J3031" s="44">
        <v>0.0</v>
      </c>
      <c r="K3031" s="43" t="s">
        <v>4425</v>
      </c>
      <c r="L3031" s="37" t="str">
        <f>VLOOKUP(K3031,'Structure type'!$A$1:$B$15,2,FALSE)</f>
        <v>Manhole</v>
      </c>
      <c r="M3031" s="43" t="s">
        <v>4426</v>
      </c>
      <c r="N3031" s="23" t="str">
        <f>VLOOKUP(M3031,'Excursion Cause'!$A$1:$B$34,2,FALSE)</f>
        <v>Rags/Wipes</v>
      </c>
      <c r="O3031" s="45">
        <v>45210.0</v>
      </c>
      <c r="P3031" s="46" t="s">
        <v>4427</v>
      </c>
      <c r="Q3031" s="49">
        <v>45210.0</v>
      </c>
      <c r="R3031" s="46" t="s">
        <v>4428</v>
      </c>
      <c r="S3031" s="44">
        <v>0.0</v>
      </c>
      <c r="T3031" s="43" t="s">
        <v>4429</v>
      </c>
      <c r="U3031" s="6"/>
      <c r="V3031" s="6"/>
      <c r="W3031" s="35">
        <v>29.7408009</v>
      </c>
      <c r="X3031" s="35">
        <v>-95.5355635999999</v>
      </c>
      <c r="AA3031" s="33"/>
      <c r="AB3031" s="33"/>
      <c r="AC3031" s="33"/>
      <c r="AD3031" s="33"/>
      <c r="AE3031" s="33"/>
      <c r="AF3031" s="33"/>
      <c r="AG3031" s="33"/>
      <c r="AH3031" s="33"/>
      <c r="AI3031" s="33"/>
      <c r="AJ3031" s="33"/>
      <c r="AK3031" s="33"/>
      <c r="AL3031" s="33"/>
      <c r="AM3031" s="33"/>
      <c r="AN3031" s="33"/>
      <c r="AO3031" s="33"/>
    </row>
    <row r="3032" ht="15.75" customHeight="1">
      <c r="A3032" s="42">
        <v>54447.0</v>
      </c>
      <c r="B3032" s="23">
        <v>2023.0</v>
      </c>
      <c r="C3032" s="36" t="str">
        <f t="shared" si="7"/>
        <v>1803 SHANNON VALLEY DR,Houston,TX</v>
      </c>
      <c r="D3032" s="43" t="s">
        <v>4430</v>
      </c>
      <c r="E3032" s="23" t="s">
        <v>25</v>
      </c>
      <c r="F3032" s="23" t="s">
        <v>1388</v>
      </c>
      <c r="G3032" s="31" t="s">
        <v>347</v>
      </c>
      <c r="H3032" s="43" t="s">
        <v>4431</v>
      </c>
      <c r="I3032" s="37" t="str">
        <f>VLOOKUP(H3032,'Flow Location'!$A$1:$B$21,2,FALSE)</f>
        <v>Storm Sewer (not contained)</v>
      </c>
      <c r="J3032" s="44">
        <v>815.0</v>
      </c>
      <c r="K3032" s="43" t="s">
        <v>4432</v>
      </c>
      <c r="L3032" s="37" t="str">
        <f>VLOOKUP(K3032,'Structure type'!$A$1:$B$15,2,FALSE)</f>
        <v>Manhole</v>
      </c>
      <c r="M3032" s="43" t="s">
        <v>4433</v>
      </c>
      <c r="N3032" s="23" t="str">
        <f>VLOOKUP(M3032,'Excursion Cause'!$A$1:$B$34,2,FALSE)</f>
        <v>Grease Blockage</v>
      </c>
      <c r="O3032" s="45">
        <v>45210.0</v>
      </c>
      <c r="P3032" s="46" t="s">
        <v>4434</v>
      </c>
      <c r="Q3032" s="49">
        <v>45211.0</v>
      </c>
      <c r="R3032" s="46" t="s">
        <v>4435</v>
      </c>
      <c r="S3032" s="44">
        <v>1.0</v>
      </c>
      <c r="T3032" s="43" t="s">
        <v>4436</v>
      </c>
      <c r="U3032" s="6"/>
      <c r="V3032" s="6"/>
      <c r="W3032" s="35">
        <v>29.7474577</v>
      </c>
      <c r="X3032" s="35">
        <v>-95.598142</v>
      </c>
      <c r="AA3032" s="33"/>
      <c r="AB3032" s="33"/>
      <c r="AC3032" s="33"/>
      <c r="AD3032" s="33"/>
      <c r="AE3032" s="33"/>
      <c r="AF3032" s="33"/>
      <c r="AG3032" s="33"/>
      <c r="AH3032" s="33"/>
      <c r="AI3032" s="33"/>
      <c r="AJ3032" s="33"/>
      <c r="AK3032" s="33"/>
      <c r="AL3032" s="33"/>
      <c r="AM3032" s="33"/>
      <c r="AN3032" s="33"/>
      <c r="AO3032" s="33"/>
    </row>
    <row r="3033" ht="15.75" customHeight="1">
      <c r="A3033" s="42">
        <v>54452.0</v>
      </c>
      <c r="B3033" s="23">
        <v>2023.0</v>
      </c>
      <c r="C3033" s="36" t="str">
        <f t="shared" si="7"/>
        <v>2302 LADBROOK DR,Houston,TX</v>
      </c>
      <c r="D3033" s="43" t="s">
        <v>4437</v>
      </c>
      <c r="E3033" s="23" t="s">
        <v>25</v>
      </c>
      <c r="F3033" s="23" t="s">
        <v>1388</v>
      </c>
      <c r="G3033" s="31" t="s">
        <v>1078</v>
      </c>
      <c r="H3033" s="43" t="s">
        <v>4438</v>
      </c>
      <c r="I3033" s="37" t="str">
        <f>VLOOKUP(H3033,'Flow Location'!$A$1:$B$21,2,FALSE)</f>
        <v>Contained On Site, not within 5 ft. of Bayou/Surface Water/Drainage Ditch</v>
      </c>
      <c r="J3033" s="44">
        <v>6720.0</v>
      </c>
      <c r="K3033" s="43" t="s">
        <v>4439</v>
      </c>
      <c r="L3033" s="37" t="str">
        <f>VLOOKUP(K3033,'Structure type'!$A$1:$B$15,2,FALSE)</f>
        <v>Force Main</v>
      </c>
      <c r="M3033" s="43" t="s">
        <v>4440</v>
      </c>
      <c r="N3033" s="23" t="str">
        <f>VLOOKUP(M3033,'Excursion Cause'!$A$1:$B$34,2,FALSE)</f>
        <v>Collection system structural failure</v>
      </c>
      <c r="O3033" s="45">
        <v>45211.0</v>
      </c>
      <c r="P3033" s="46" t="s">
        <v>4441</v>
      </c>
      <c r="Q3033" s="49">
        <v>45213.0</v>
      </c>
      <c r="R3033" s="46" t="s">
        <v>4442</v>
      </c>
      <c r="S3033" s="44">
        <v>2.0</v>
      </c>
      <c r="T3033" s="43" t="s">
        <v>4443</v>
      </c>
      <c r="U3033" s="6"/>
      <c r="V3033" s="6"/>
      <c r="W3033" s="35">
        <v>30.0469893</v>
      </c>
      <c r="X3033" s="35">
        <v>-95.2282987999999</v>
      </c>
      <c r="AA3033" s="33"/>
      <c r="AB3033" s="33"/>
      <c r="AC3033" s="33"/>
      <c r="AD3033" s="33"/>
      <c r="AE3033" s="33"/>
      <c r="AF3033" s="33"/>
      <c r="AG3033" s="33"/>
      <c r="AH3033" s="33"/>
      <c r="AI3033" s="33"/>
      <c r="AJ3033" s="33"/>
      <c r="AK3033" s="33"/>
      <c r="AL3033" s="33"/>
      <c r="AM3033" s="33"/>
      <c r="AN3033" s="33"/>
      <c r="AO3033" s="33"/>
    </row>
    <row r="3034" ht="15.75" customHeight="1">
      <c r="A3034" s="42">
        <v>54454.0</v>
      </c>
      <c r="B3034" s="23">
        <v>2023.0</v>
      </c>
      <c r="C3034" s="36" t="str">
        <f t="shared" si="7"/>
        <v>5100 ALLENDALE RD,Houston,TX</v>
      </c>
      <c r="D3034" s="43" t="s">
        <v>4444</v>
      </c>
      <c r="E3034" s="23" t="s">
        <v>25</v>
      </c>
      <c r="F3034" s="23" t="s">
        <v>1388</v>
      </c>
      <c r="G3034" s="31" t="s">
        <v>135</v>
      </c>
      <c r="H3034" s="43" t="s">
        <v>4445</v>
      </c>
      <c r="I3034" s="37" t="str">
        <f>VLOOKUP(H3034,'Flow Location'!$A$1:$B$21,2,FALSE)</f>
        <v>Bayou/surface water/drainage ditch</v>
      </c>
      <c r="J3034" s="44">
        <v>650.0</v>
      </c>
      <c r="K3034" s="43" t="s">
        <v>4446</v>
      </c>
      <c r="L3034" s="37" t="str">
        <f>VLOOKUP(K3034,'Structure type'!$A$1:$B$15,2,FALSE)</f>
        <v>Gravity Main</v>
      </c>
      <c r="M3034" s="43" t="s">
        <v>4447</v>
      </c>
      <c r="N3034" s="23" t="str">
        <f>VLOOKUP(M3034,'Excursion Cause'!$A$1:$B$34,2,FALSE)</f>
        <v>Collection system structural failure</v>
      </c>
      <c r="O3034" s="45">
        <v>45211.0</v>
      </c>
      <c r="P3034" s="46" t="s">
        <v>4448</v>
      </c>
      <c r="Q3034" s="49">
        <v>45211.0</v>
      </c>
      <c r="R3034" s="46" t="s">
        <v>4449</v>
      </c>
      <c r="S3034" s="44">
        <v>10.0</v>
      </c>
      <c r="T3034" s="43" t="s">
        <v>4450</v>
      </c>
      <c r="U3034" s="6"/>
      <c r="V3034" s="6"/>
      <c r="W3034" s="35">
        <v>29.6824130999999</v>
      </c>
      <c r="X3034" s="35">
        <v>-95.2461749</v>
      </c>
      <c r="AA3034" s="33"/>
      <c r="AB3034" s="33"/>
      <c r="AC3034" s="33"/>
      <c r="AD3034" s="33"/>
      <c r="AE3034" s="33"/>
      <c r="AF3034" s="33"/>
      <c r="AG3034" s="33"/>
      <c r="AH3034" s="33"/>
      <c r="AI3034" s="33"/>
      <c r="AJ3034" s="33"/>
      <c r="AK3034" s="33"/>
      <c r="AL3034" s="33"/>
      <c r="AM3034" s="33"/>
      <c r="AN3034" s="33"/>
      <c r="AO3034" s="33"/>
    </row>
    <row r="3035" ht="15.75" customHeight="1">
      <c r="A3035" s="42">
        <v>54457.0</v>
      </c>
      <c r="B3035" s="23">
        <v>2023.0</v>
      </c>
      <c r="C3035" s="36" t="str">
        <f t="shared" si="7"/>
        <v>11503 SOUTHWEST FWY,Houston,TX</v>
      </c>
      <c r="D3035" s="43" t="s">
        <v>4451</v>
      </c>
      <c r="E3035" s="23" t="s">
        <v>25</v>
      </c>
      <c r="F3035" s="23" t="s">
        <v>1388</v>
      </c>
      <c r="G3035" s="31" t="s">
        <v>214</v>
      </c>
      <c r="H3035" s="43" t="s">
        <v>4452</v>
      </c>
      <c r="I3035" s="37" t="str">
        <f>VLOOKUP(H3035,'Flow Location'!$A$1:$B$21,2,FALSE)</f>
        <v>Storm Sewer (not contained)</v>
      </c>
      <c r="J3035" s="44">
        <v>42.0</v>
      </c>
      <c r="K3035" s="43" t="s">
        <v>4453</v>
      </c>
      <c r="L3035" s="37" t="str">
        <f>VLOOKUP(K3035,'Structure type'!$A$1:$B$15,2,FALSE)</f>
        <v>Manhole</v>
      </c>
      <c r="M3035" s="43" t="s">
        <v>4454</v>
      </c>
      <c r="N3035" s="23" t="str">
        <f>VLOOKUP(M3035,'Excursion Cause'!$A$1:$B$34,2,FALSE)</f>
        <v>Grease Blockage</v>
      </c>
      <c r="O3035" s="45">
        <v>45211.0</v>
      </c>
      <c r="P3035" s="46" t="s">
        <v>4455</v>
      </c>
      <c r="Q3035" s="49">
        <v>45211.0</v>
      </c>
      <c r="R3035" s="46" t="s">
        <v>4456</v>
      </c>
      <c r="S3035" s="44">
        <v>2.0</v>
      </c>
      <c r="T3035" s="43" t="s">
        <v>4457</v>
      </c>
      <c r="U3035" s="6"/>
      <c r="V3035" s="6"/>
      <c r="W3035" s="35">
        <v>29.653348</v>
      </c>
      <c r="X3035" s="35">
        <v>-95.5652478999999</v>
      </c>
      <c r="AA3035" s="33"/>
      <c r="AB3035" s="33"/>
      <c r="AC3035" s="33"/>
      <c r="AD3035" s="33"/>
      <c r="AE3035" s="33"/>
      <c r="AF3035" s="33"/>
      <c r="AG3035" s="33"/>
      <c r="AH3035" s="33"/>
      <c r="AI3035" s="33"/>
      <c r="AJ3035" s="33"/>
      <c r="AK3035" s="33"/>
      <c r="AL3035" s="33"/>
      <c r="AM3035" s="33"/>
      <c r="AN3035" s="33"/>
      <c r="AO3035" s="33"/>
    </row>
    <row r="3036" ht="15.75" customHeight="1">
      <c r="A3036" s="42">
        <v>54458.0</v>
      </c>
      <c r="B3036" s="23">
        <v>2023.0</v>
      </c>
      <c r="C3036" s="36" t="str">
        <f t="shared" si="7"/>
        <v>7122 LONGVINE DR,Houston,TX</v>
      </c>
      <c r="D3036" s="43" t="s">
        <v>4458</v>
      </c>
      <c r="E3036" s="23" t="s">
        <v>25</v>
      </c>
      <c r="F3036" s="23" t="s">
        <v>1388</v>
      </c>
      <c r="G3036" s="31" t="s">
        <v>91</v>
      </c>
      <c r="H3036" s="43" t="s">
        <v>4459</v>
      </c>
      <c r="I3036" s="37" t="str">
        <f>VLOOKUP(H3036,'Flow Location'!$A$1:$B$21,2,FALSE)</f>
        <v>Contained On Site, not within 5 ft. of Bayou/Surface Water/Drainage Ditch</v>
      </c>
      <c r="J3036" s="44">
        <v>0.0</v>
      </c>
      <c r="K3036" s="43" t="s">
        <v>4460</v>
      </c>
      <c r="L3036" s="37" t="str">
        <f>VLOOKUP(K3036,'Structure type'!$A$1:$B$15,2,FALSE)</f>
        <v>Private Cleanout</v>
      </c>
      <c r="M3036" s="43" t="s">
        <v>4461</v>
      </c>
      <c r="N3036" s="23" t="str">
        <f>VLOOKUP(M3036,'Excursion Cause'!$A$1:$B$34,2,FALSE)</f>
        <v>Grease Blockage</v>
      </c>
      <c r="O3036" s="45">
        <v>45212.0</v>
      </c>
      <c r="P3036" s="46" t="s">
        <v>4462</v>
      </c>
      <c r="Q3036" s="49">
        <v>45212.0</v>
      </c>
      <c r="R3036" s="46" t="s">
        <v>4463</v>
      </c>
      <c r="S3036" s="44">
        <v>0.0</v>
      </c>
      <c r="T3036" s="43" t="s">
        <v>4464</v>
      </c>
      <c r="U3036" s="6"/>
      <c r="V3036" s="6"/>
      <c r="W3036" s="35">
        <v>29.7002359</v>
      </c>
      <c r="X3036" s="35">
        <v>-95.6084467</v>
      </c>
      <c r="AA3036" s="33"/>
      <c r="AB3036" s="33"/>
      <c r="AC3036" s="33"/>
      <c r="AD3036" s="33"/>
      <c r="AE3036" s="33"/>
      <c r="AF3036" s="33"/>
      <c r="AG3036" s="33"/>
      <c r="AH3036" s="33"/>
      <c r="AI3036" s="33"/>
      <c r="AJ3036" s="33"/>
      <c r="AK3036" s="33"/>
      <c r="AL3036" s="33"/>
      <c r="AM3036" s="33"/>
      <c r="AN3036" s="33"/>
      <c r="AO3036" s="33"/>
    </row>
    <row r="3037" ht="15.75" customHeight="1">
      <c r="A3037" s="42">
        <v>54464.0</v>
      </c>
      <c r="B3037" s="23">
        <v>2023.0</v>
      </c>
      <c r="C3037" s="36" t="str">
        <f t="shared" si="7"/>
        <v>3034 NITA ST,Houston,TX</v>
      </c>
      <c r="D3037" s="43" t="s">
        <v>4465</v>
      </c>
      <c r="E3037" s="23" t="s">
        <v>25</v>
      </c>
      <c r="F3037" s="23" t="s">
        <v>1388</v>
      </c>
      <c r="G3037" s="31" t="s">
        <v>105</v>
      </c>
      <c r="H3037" s="43" t="s">
        <v>4466</v>
      </c>
      <c r="I3037" s="37" t="str">
        <f>VLOOKUP(H3037,'Flow Location'!$A$1:$B$21,2,FALSE)</f>
        <v>Contained On Site, not within 5 ft. of Bayou/Surface Water/Drainage Ditch</v>
      </c>
      <c r="J3037" s="44">
        <v>0.0</v>
      </c>
      <c r="K3037" s="43" t="s">
        <v>4467</v>
      </c>
      <c r="L3037" s="37" t="str">
        <f>VLOOKUP(K3037,'Structure type'!$A$1:$B$15,2,FALSE)</f>
        <v>Private Cleanout</v>
      </c>
      <c r="M3037" s="43" t="s">
        <v>4468</v>
      </c>
      <c r="N3037" s="23" t="str">
        <f>VLOOKUP(M3037,'Excursion Cause'!$A$1:$B$34,2,FALSE)</f>
        <v>Rags/Wipes</v>
      </c>
      <c r="O3037" s="45">
        <v>45212.0</v>
      </c>
      <c r="P3037" s="46" t="s">
        <v>4469</v>
      </c>
      <c r="Q3037" s="49">
        <v>45212.0</v>
      </c>
      <c r="R3037" s="46" t="s">
        <v>4470</v>
      </c>
      <c r="S3037" s="44">
        <v>0.0</v>
      </c>
      <c r="T3037" s="43" t="s">
        <v>4471</v>
      </c>
      <c r="U3037" s="6"/>
      <c r="V3037" s="6"/>
      <c r="W3037" s="35">
        <v>29.6459589</v>
      </c>
      <c r="X3037" s="35">
        <v>-95.3784817</v>
      </c>
      <c r="AA3037" s="33"/>
      <c r="AB3037" s="33"/>
      <c r="AC3037" s="33"/>
      <c r="AD3037" s="33"/>
      <c r="AE3037" s="33"/>
      <c r="AF3037" s="33"/>
      <c r="AG3037" s="33"/>
      <c r="AH3037" s="33"/>
      <c r="AI3037" s="33"/>
      <c r="AJ3037" s="33"/>
      <c r="AK3037" s="33"/>
      <c r="AL3037" s="33"/>
      <c r="AM3037" s="33"/>
      <c r="AN3037" s="33"/>
      <c r="AO3037" s="33"/>
    </row>
    <row r="3038" ht="15.75" customHeight="1">
      <c r="A3038" s="42">
        <v>54465.0</v>
      </c>
      <c r="B3038" s="23">
        <v>2023.0</v>
      </c>
      <c r="C3038" s="36" t="str">
        <f t="shared" si="7"/>
        <v>3934 SHADOW COVE DR,Houston,TX</v>
      </c>
      <c r="D3038" s="43" t="s">
        <v>4472</v>
      </c>
      <c r="E3038" s="23" t="s">
        <v>25</v>
      </c>
      <c r="F3038" s="23" t="s">
        <v>1388</v>
      </c>
      <c r="G3038" s="31" t="s">
        <v>313</v>
      </c>
      <c r="H3038" s="43" t="s">
        <v>4473</v>
      </c>
      <c r="I3038" s="37" t="str">
        <f>VLOOKUP(H3038,'Flow Location'!$A$1:$B$21,2,FALSE)</f>
        <v>Storm Sewer (not contained)</v>
      </c>
      <c r="J3038" s="44">
        <v>2232.0</v>
      </c>
      <c r="K3038" s="43" t="s">
        <v>4474</v>
      </c>
      <c r="L3038" s="37" t="str">
        <f>VLOOKUP(K3038,'Structure type'!$A$1:$B$15,2,FALSE)</f>
        <v>Manhole</v>
      </c>
      <c r="M3038" s="43" t="s">
        <v>4475</v>
      </c>
      <c r="N3038" s="23" t="str">
        <f>VLOOKUP(M3038,'Excursion Cause'!$A$1:$B$34,2,FALSE)</f>
        <v>Grease Blockage</v>
      </c>
      <c r="O3038" s="45">
        <v>45212.0</v>
      </c>
      <c r="P3038" s="46" t="s">
        <v>4476</v>
      </c>
      <c r="Q3038" s="49">
        <v>45213.0</v>
      </c>
      <c r="R3038" s="46" t="s">
        <v>4477</v>
      </c>
      <c r="S3038" s="44">
        <v>2.0</v>
      </c>
      <c r="T3038" s="43" t="s">
        <v>4478</v>
      </c>
      <c r="U3038" s="6"/>
      <c r="V3038" s="6"/>
      <c r="W3038" s="35">
        <v>29.7153471</v>
      </c>
      <c r="X3038" s="35">
        <v>-95.6014888999999</v>
      </c>
      <c r="AA3038" s="33"/>
      <c r="AB3038" s="33"/>
      <c r="AC3038" s="33"/>
      <c r="AD3038" s="33"/>
      <c r="AE3038" s="33"/>
      <c r="AF3038" s="33"/>
      <c r="AG3038" s="33"/>
      <c r="AH3038" s="33"/>
      <c r="AI3038" s="33"/>
      <c r="AJ3038" s="33"/>
      <c r="AK3038" s="33"/>
      <c r="AL3038" s="33"/>
      <c r="AM3038" s="33"/>
      <c r="AN3038" s="33"/>
      <c r="AO3038" s="33"/>
    </row>
    <row r="3039" ht="15.75" customHeight="1">
      <c r="A3039" s="42">
        <v>54467.0</v>
      </c>
      <c r="B3039" s="23">
        <v>2023.0</v>
      </c>
      <c r="C3039" s="36" t="str">
        <f t="shared" si="7"/>
        <v>2901 FULTON ST,Houston,TX</v>
      </c>
      <c r="D3039" s="43" t="s">
        <v>4479</v>
      </c>
      <c r="E3039" s="23" t="s">
        <v>25</v>
      </c>
      <c r="F3039" s="23" t="s">
        <v>1388</v>
      </c>
      <c r="G3039" s="31" t="s">
        <v>161</v>
      </c>
      <c r="H3039" s="43" t="s">
        <v>4480</v>
      </c>
      <c r="I3039" s="37" t="str">
        <f>VLOOKUP(H3039,'Flow Location'!$A$1:$B$21,2,FALSE)</f>
        <v>Bayou/surface water/drainage ditch</v>
      </c>
      <c r="J3039" s="44">
        <v>4710.0</v>
      </c>
      <c r="K3039" s="43" t="s">
        <v>4481</v>
      </c>
      <c r="L3039" s="37" t="str">
        <f>VLOOKUP(K3039,'Structure type'!$A$1:$B$15,2,FALSE)</f>
        <v>Manhole</v>
      </c>
      <c r="M3039" s="43" t="s">
        <v>4482</v>
      </c>
      <c r="N3039" s="23" t="str">
        <f>VLOOKUP(M3039,'Excursion Cause'!$A$1:$B$34,2,FALSE)</f>
        <v>Grease Blockage</v>
      </c>
      <c r="O3039" s="45">
        <v>45212.0</v>
      </c>
      <c r="P3039" s="46" t="s">
        <v>4483</v>
      </c>
      <c r="Q3039" s="49">
        <v>45212.0</v>
      </c>
      <c r="R3039" s="46" t="s">
        <v>4484</v>
      </c>
      <c r="S3039" s="44">
        <v>30.0</v>
      </c>
      <c r="T3039" s="43" t="s">
        <v>4485</v>
      </c>
      <c r="U3039" s="6"/>
      <c r="V3039" s="6"/>
      <c r="W3039" s="35">
        <v>29.788258</v>
      </c>
      <c r="X3039" s="35">
        <v>-95.3607121</v>
      </c>
      <c r="AA3039" s="33"/>
      <c r="AB3039" s="33"/>
      <c r="AC3039" s="33"/>
      <c r="AD3039" s="33"/>
      <c r="AE3039" s="33"/>
      <c r="AF3039" s="33"/>
      <c r="AG3039" s="33"/>
      <c r="AH3039" s="33"/>
      <c r="AI3039" s="33"/>
      <c r="AJ3039" s="33"/>
      <c r="AK3039" s="33"/>
      <c r="AL3039" s="33"/>
      <c r="AM3039" s="33"/>
      <c r="AN3039" s="33"/>
      <c r="AO3039" s="33"/>
    </row>
    <row r="3040" ht="15.75" customHeight="1">
      <c r="A3040" s="42">
        <v>54469.0</v>
      </c>
      <c r="B3040" s="23">
        <v>2023.0</v>
      </c>
      <c r="C3040" s="36" t="str">
        <f t="shared" si="7"/>
        <v>5601 CEDAR HILL LN,Houston,TX</v>
      </c>
      <c r="D3040" s="43" t="s">
        <v>4486</v>
      </c>
      <c r="E3040" s="23" t="s">
        <v>25</v>
      </c>
      <c r="F3040" s="23" t="s">
        <v>1388</v>
      </c>
      <c r="G3040" s="31" t="s">
        <v>326</v>
      </c>
      <c r="H3040" s="43" t="s">
        <v>4487</v>
      </c>
      <c r="I3040" s="37" t="str">
        <f>VLOOKUP(H3040,'Flow Location'!$A$1:$B$21,2,FALSE)</f>
        <v>Contained On Site, not within 5 ft. of Bayou/Surface Water/Drainage Ditch</v>
      </c>
      <c r="J3040" s="44">
        <v>0.0</v>
      </c>
      <c r="K3040" s="43" t="s">
        <v>4488</v>
      </c>
      <c r="L3040" s="37" t="str">
        <f>VLOOKUP(K3040,'Structure type'!$A$1:$B$15,2,FALSE)</f>
        <v>City Cleanout</v>
      </c>
      <c r="M3040" s="43" t="s">
        <v>4489</v>
      </c>
      <c r="N3040" s="23" t="str">
        <f>VLOOKUP(M3040,'Excursion Cause'!$A$1:$B$34,2,FALSE)</f>
        <v>Collection system structural failure</v>
      </c>
      <c r="O3040" s="45">
        <v>45212.0</v>
      </c>
      <c r="P3040" s="46" t="s">
        <v>4490</v>
      </c>
      <c r="Q3040" s="49">
        <v>45212.0</v>
      </c>
      <c r="R3040" s="46" t="s">
        <v>4491</v>
      </c>
      <c r="S3040" s="44">
        <v>0.0</v>
      </c>
      <c r="T3040" s="43" t="s">
        <v>4492</v>
      </c>
      <c r="U3040" s="6"/>
      <c r="V3040" s="6"/>
      <c r="W3040" s="35">
        <v>29.8765241</v>
      </c>
      <c r="X3040" s="35">
        <v>-95.3077433</v>
      </c>
      <c r="AA3040" s="33"/>
      <c r="AB3040" s="33"/>
      <c r="AC3040" s="33"/>
      <c r="AD3040" s="33"/>
      <c r="AE3040" s="33"/>
      <c r="AF3040" s="33"/>
      <c r="AG3040" s="33"/>
      <c r="AH3040" s="33"/>
      <c r="AI3040" s="33"/>
      <c r="AJ3040" s="33"/>
      <c r="AK3040" s="33"/>
      <c r="AL3040" s="33"/>
      <c r="AM3040" s="33"/>
      <c r="AN3040" s="33"/>
      <c r="AO3040" s="33"/>
    </row>
    <row r="3041" ht="15.75" customHeight="1">
      <c r="A3041" s="42">
        <v>54473.0</v>
      </c>
      <c r="B3041" s="23">
        <v>2023.0</v>
      </c>
      <c r="C3041" s="36" t="str">
        <f t="shared" si="7"/>
        <v>300 20TH ST,Houston,TX</v>
      </c>
      <c r="D3041" s="43" t="s">
        <v>4493</v>
      </c>
      <c r="E3041" s="23" t="s">
        <v>25</v>
      </c>
      <c r="F3041" s="23" t="s">
        <v>1388</v>
      </c>
      <c r="G3041" s="31" t="s">
        <v>232</v>
      </c>
      <c r="H3041" s="43" t="s">
        <v>4494</v>
      </c>
      <c r="I3041" s="37" t="str">
        <f>VLOOKUP(H3041,'Flow Location'!$A$1:$B$21,2,FALSE)</f>
        <v>Contained On Site, not within 5 ft. of Bayou/Surface Water/Drainage Ditch</v>
      </c>
      <c r="J3041" s="44">
        <v>0.0</v>
      </c>
      <c r="K3041" s="43" t="s">
        <v>4495</v>
      </c>
      <c r="L3041" s="37" t="str">
        <f>VLOOKUP(K3041,'Structure type'!$A$1:$B$15,2,FALSE)</f>
        <v>Private Cleanout</v>
      </c>
      <c r="M3041" s="43" t="s">
        <v>4496</v>
      </c>
      <c r="N3041" s="23" t="str">
        <f>VLOOKUP(M3041,'Excursion Cause'!$A$1:$B$34,2,FALSE)</f>
        <v>Grease Blockage</v>
      </c>
      <c r="O3041" s="45">
        <v>45213.0</v>
      </c>
      <c r="P3041" s="46" t="s">
        <v>4497</v>
      </c>
      <c r="Q3041" s="49">
        <v>45213.0</v>
      </c>
      <c r="R3041" s="46" t="s">
        <v>4498</v>
      </c>
      <c r="S3041" s="44">
        <v>0.0</v>
      </c>
      <c r="T3041" s="43" t="s">
        <v>4499</v>
      </c>
      <c r="U3041" s="6"/>
      <c r="V3041" s="6"/>
      <c r="W3041" s="35">
        <v>29.8037025</v>
      </c>
      <c r="X3041" s="35">
        <v>-95.4017473</v>
      </c>
      <c r="AA3041" s="33"/>
      <c r="AB3041" s="33"/>
      <c r="AC3041" s="33"/>
      <c r="AD3041" s="33"/>
      <c r="AE3041" s="33"/>
      <c r="AF3041" s="33"/>
      <c r="AG3041" s="33"/>
      <c r="AH3041" s="33"/>
      <c r="AI3041" s="33"/>
      <c r="AJ3041" s="33"/>
      <c r="AK3041" s="33"/>
      <c r="AL3041" s="33"/>
      <c r="AM3041" s="33"/>
      <c r="AN3041" s="33"/>
      <c r="AO3041" s="33"/>
    </row>
    <row r="3042" ht="15.75" customHeight="1">
      <c r="A3042" s="42">
        <v>54474.0</v>
      </c>
      <c r="B3042" s="23">
        <v>2023.0</v>
      </c>
      <c r="C3042" s="36" t="str">
        <f t="shared" si="7"/>
        <v>11238 STROUD DR,Houston,TX</v>
      </c>
      <c r="D3042" s="43" t="s">
        <v>4500</v>
      </c>
      <c r="E3042" s="23" t="s">
        <v>25</v>
      </c>
      <c r="F3042" s="23" t="s">
        <v>1388</v>
      </c>
      <c r="G3042" s="31" t="s">
        <v>91</v>
      </c>
      <c r="H3042" s="43" t="s">
        <v>4501</v>
      </c>
      <c r="I3042" s="37" t="str">
        <f>VLOOKUP(H3042,'Flow Location'!$A$1:$B$21,2,FALSE)</f>
        <v>Contained On Site, not within 5 ft. of Bayou/Surface Water/Drainage Ditch</v>
      </c>
      <c r="J3042" s="44">
        <v>205.0</v>
      </c>
      <c r="K3042" s="43" t="s">
        <v>4502</v>
      </c>
      <c r="L3042" s="37" t="str">
        <f>VLOOKUP(K3042,'Structure type'!$A$1:$B$15,2,FALSE)</f>
        <v>Manhole</v>
      </c>
      <c r="M3042" s="43" t="s">
        <v>4503</v>
      </c>
      <c r="N3042" s="23" t="str">
        <f>VLOOKUP(M3042,'Excursion Cause'!$A$1:$B$34,2,FALSE)</f>
        <v>Grease Blockage</v>
      </c>
      <c r="O3042" s="45">
        <v>45213.0</v>
      </c>
      <c r="P3042" s="46" t="s">
        <v>4504</v>
      </c>
      <c r="Q3042" s="49">
        <v>45213.0</v>
      </c>
      <c r="R3042" s="46" t="s">
        <v>4505</v>
      </c>
      <c r="S3042" s="44">
        <v>1.0</v>
      </c>
      <c r="T3042" s="43" t="s">
        <v>4506</v>
      </c>
      <c r="U3042" s="6"/>
      <c r="V3042" s="6"/>
      <c r="W3042" s="35">
        <v>29.7000047</v>
      </c>
      <c r="X3042" s="35">
        <v>-95.5775429</v>
      </c>
      <c r="AA3042" s="33"/>
      <c r="AB3042" s="33"/>
      <c r="AC3042" s="33"/>
      <c r="AD3042" s="33"/>
      <c r="AE3042" s="33"/>
      <c r="AF3042" s="33"/>
      <c r="AG3042" s="33"/>
      <c r="AH3042" s="33"/>
      <c r="AI3042" s="33"/>
      <c r="AJ3042" s="33"/>
      <c r="AK3042" s="33"/>
      <c r="AL3042" s="33"/>
      <c r="AM3042" s="33"/>
      <c r="AN3042" s="33"/>
      <c r="AO3042" s="33"/>
    </row>
    <row r="3043" ht="15.75" customHeight="1">
      <c r="A3043" s="42">
        <v>54476.0</v>
      </c>
      <c r="B3043" s="23">
        <v>2023.0</v>
      </c>
      <c r="C3043" s="36" t="str">
        <f t="shared" si="7"/>
        <v>119 LUETTA ST,Houston,TX</v>
      </c>
      <c r="D3043" s="43" t="s">
        <v>4507</v>
      </c>
      <c r="E3043" s="23" t="s">
        <v>25</v>
      </c>
      <c r="F3043" s="23" t="s">
        <v>1388</v>
      </c>
      <c r="G3043" s="31" t="s">
        <v>275</v>
      </c>
      <c r="H3043" s="43" t="s">
        <v>4508</v>
      </c>
      <c r="I3043" s="37" t="str">
        <f>VLOOKUP(H3043,'Flow Location'!$A$1:$B$21,2,FALSE)</f>
        <v>Contained On Site, not within 5 ft. of Bayou/Surface Water/Drainage Ditch</v>
      </c>
      <c r="J3043" s="44">
        <v>0.0</v>
      </c>
      <c r="K3043" s="43" t="s">
        <v>4509</v>
      </c>
      <c r="L3043" s="37" t="str">
        <f>VLOOKUP(K3043,'Structure type'!$A$1:$B$15,2,FALSE)</f>
        <v>City Cleanout</v>
      </c>
      <c r="M3043" s="43" t="s">
        <v>4510</v>
      </c>
      <c r="N3043" s="23" t="str">
        <f>VLOOKUP(M3043,'Excursion Cause'!$A$1:$B$34,2,FALSE)</f>
        <v>Rags/Wipes</v>
      </c>
      <c r="O3043" s="45">
        <v>45214.0</v>
      </c>
      <c r="P3043" s="46" t="s">
        <v>4511</v>
      </c>
      <c r="Q3043" s="49">
        <v>45214.0</v>
      </c>
      <c r="R3043" s="46" t="s">
        <v>4512</v>
      </c>
      <c r="S3043" s="44">
        <v>0.0</v>
      </c>
      <c r="T3043" s="43" t="s">
        <v>4513</v>
      </c>
      <c r="U3043" s="6"/>
      <c r="V3043" s="6"/>
      <c r="W3043" s="35">
        <v>29.8486201</v>
      </c>
      <c r="X3043" s="35">
        <v>-95.3780264</v>
      </c>
      <c r="AA3043" s="33"/>
      <c r="AB3043" s="33"/>
      <c r="AC3043" s="33"/>
      <c r="AD3043" s="33"/>
      <c r="AE3043" s="33"/>
      <c r="AF3043" s="33"/>
      <c r="AG3043" s="33"/>
      <c r="AH3043" s="33"/>
      <c r="AI3043" s="33"/>
      <c r="AJ3043" s="33"/>
      <c r="AK3043" s="33"/>
      <c r="AL3043" s="33"/>
      <c r="AM3043" s="33"/>
      <c r="AN3043" s="33"/>
      <c r="AO3043" s="33"/>
    </row>
    <row r="3044" ht="15.75" customHeight="1">
      <c r="A3044" s="42">
        <v>54478.0</v>
      </c>
      <c r="B3044" s="23">
        <v>2023.0</v>
      </c>
      <c r="C3044" s="36" t="str">
        <f t="shared" si="7"/>
        <v>5919 GUM GROVE LN,Houston,TX</v>
      </c>
      <c r="D3044" s="43" t="s">
        <v>4514</v>
      </c>
      <c r="E3044" s="23" t="s">
        <v>25</v>
      </c>
      <c r="F3044" s="23" t="s">
        <v>1388</v>
      </c>
      <c r="G3044" s="31" t="s">
        <v>502</v>
      </c>
      <c r="H3044" s="43" t="s">
        <v>4515</v>
      </c>
      <c r="I3044" s="37" t="str">
        <f>VLOOKUP(H3044,'Flow Location'!$A$1:$B$21,2,FALSE)</f>
        <v>Storm Sewer (not contained)</v>
      </c>
      <c r="J3044" s="44">
        <v>372.0</v>
      </c>
      <c r="K3044" s="43" t="s">
        <v>4516</v>
      </c>
      <c r="L3044" s="37" t="str">
        <f>VLOOKUP(K3044,'Structure type'!$A$1:$B$15,2,FALSE)</f>
        <v>Manhole</v>
      </c>
      <c r="M3044" s="43" t="s">
        <v>4517</v>
      </c>
      <c r="N3044" s="23" t="str">
        <f>VLOOKUP(M3044,'Excursion Cause'!$A$1:$B$34,2,FALSE)</f>
        <v>Grease Blockage</v>
      </c>
      <c r="O3044" s="45">
        <v>45214.0</v>
      </c>
      <c r="P3044" s="46" t="s">
        <v>4518</v>
      </c>
      <c r="Q3044" s="49">
        <v>45214.0</v>
      </c>
      <c r="R3044" s="46" t="s">
        <v>4519</v>
      </c>
      <c r="S3044" s="44">
        <v>1.0</v>
      </c>
      <c r="T3044" s="43" t="s">
        <v>4520</v>
      </c>
      <c r="U3044" s="6"/>
      <c r="V3044" s="6"/>
      <c r="W3044" s="35">
        <v>29.8645606</v>
      </c>
      <c r="X3044" s="35">
        <v>-95.4766752</v>
      </c>
      <c r="AA3044" s="33"/>
      <c r="AB3044" s="33"/>
      <c r="AC3044" s="33"/>
      <c r="AD3044" s="33"/>
      <c r="AE3044" s="33"/>
      <c r="AF3044" s="33"/>
      <c r="AG3044" s="33"/>
      <c r="AH3044" s="33"/>
      <c r="AI3044" s="33"/>
      <c r="AJ3044" s="33"/>
      <c r="AK3044" s="33"/>
      <c r="AL3044" s="33"/>
      <c r="AM3044" s="33"/>
      <c r="AN3044" s="33"/>
      <c r="AO3044" s="33"/>
    </row>
    <row r="3045" ht="15.75" customHeight="1">
      <c r="A3045" s="42">
        <v>54480.0</v>
      </c>
      <c r="B3045" s="23">
        <v>2023.0</v>
      </c>
      <c r="C3045" s="36" t="str">
        <f t="shared" si="7"/>
        <v>12431 HUNTINGTON FIELD DR,Houston,TX</v>
      </c>
      <c r="D3045" s="43" t="s">
        <v>4521</v>
      </c>
      <c r="E3045" s="23" t="s">
        <v>25</v>
      </c>
      <c r="F3045" s="23" t="s">
        <v>1388</v>
      </c>
      <c r="G3045" s="31" t="s">
        <v>154</v>
      </c>
      <c r="H3045" s="43" t="s">
        <v>4522</v>
      </c>
      <c r="I3045" s="37" t="str">
        <f>VLOOKUP(H3045,'Flow Location'!$A$1:$B$21,2,FALSE)</f>
        <v>Contained On Site, not within 5 ft. of Bayou/Surface Water/Drainage Ditch</v>
      </c>
      <c r="J3045" s="44">
        <v>0.0</v>
      </c>
      <c r="K3045" s="43" t="s">
        <v>4523</v>
      </c>
      <c r="L3045" s="37" t="str">
        <f>VLOOKUP(K3045,'Structure type'!$A$1:$B$15,2,FALSE)</f>
        <v>City Cleanout</v>
      </c>
      <c r="M3045" s="43" t="s">
        <v>4524</v>
      </c>
      <c r="N3045" s="23" t="str">
        <f>VLOOKUP(M3045,'Excursion Cause'!$A$1:$B$34,2,FALSE)</f>
        <v>Collection system structural blockage</v>
      </c>
      <c r="O3045" s="45">
        <v>45215.0</v>
      </c>
      <c r="P3045" s="46" t="s">
        <v>4525</v>
      </c>
      <c r="Q3045" s="49">
        <v>45215.0</v>
      </c>
      <c r="R3045" s="46" t="s">
        <v>4526</v>
      </c>
      <c r="S3045" s="44">
        <v>0.0</v>
      </c>
      <c r="T3045" s="43" t="s">
        <v>4527</v>
      </c>
      <c r="U3045" s="6"/>
      <c r="V3045" s="6"/>
      <c r="W3045" s="35">
        <v>29.6660935</v>
      </c>
      <c r="X3045" s="35">
        <v>-95.6062786999999</v>
      </c>
      <c r="AA3045" s="33"/>
      <c r="AB3045" s="33"/>
      <c r="AC3045" s="33"/>
      <c r="AD3045" s="33"/>
      <c r="AE3045" s="33"/>
      <c r="AF3045" s="33"/>
      <c r="AG3045" s="33"/>
      <c r="AH3045" s="33"/>
      <c r="AI3045" s="33"/>
      <c r="AJ3045" s="33"/>
      <c r="AK3045" s="33"/>
      <c r="AL3045" s="33"/>
      <c r="AM3045" s="33"/>
      <c r="AN3045" s="33"/>
      <c r="AO3045" s="33"/>
    </row>
    <row r="3046" ht="15.75" customHeight="1">
      <c r="A3046" s="42">
        <v>54482.0</v>
      </c>
      <c r="B3046" s="23">
        <v>2023.0</v>
      </c>
      <c r="C3046" s="36" t="str">
        <f t="shared" si="7"/>
        <v>8301 PARK PLACE BLVD,Houston,TX</v>
      </c>
      <c r="D3046" s="43" t="s">
        <v>4528</v>
      </c>
      <c r="E3046" s="23" t="s">
        <v>25</v>
      </c>
      <c r="F3046" s="23" t="s">
        <v>1388</v>
      </c>
      <c r="G3046" s="31" t="s">
        <v>135</v>
      </c>
      <c r="H3046" s="43" t="s">
        <v>4529</v>
      </c>
      <c r="I3046" s="37" t="str">
        <f>VLOOKUP(H3046,'Flow Location'!$A$1:$B$21,2,FALSE)</f>
        <v>Contained On Site, not within 5 ft. of Bayou/Surface Water/Drainage Ditch</v>
      </c>
      <c r="J3046" s="44">
        <v>504.0</v>
      </c>
      <c r="K3046" s="43" t="s">
        <v>4530</v>
      </c>
      <c r="L3046" s="37" t="str">
        <f>VLOOKUP(K3046,'Structure type'!$A$1:$B$15,2,FALSE)</f>
        <v>Manhole</v>
      </c>
      <c r="M3046" s="43" t="s">
        <v>4531</v>
      </c>
      <c r="N3046" s="23" t="str">
        <f>VLOOKUP(M3046,'Excursion Cause'!$A$1:$B$34,2,FALSE)</f>
        <v>Grease Blockage</v>
      </c>
      <c r="O3046" s="45">
        <v>45215.0</v>
      </c>
      <c r="P3046" s="46" t="s">
        <v>4532</v>
      </c>
      <c r="Q3046" s="49">
        <v>45215.0</v>
      </c>
      <c r="R3046" s="46" t="s">
        <v>4533</v>
      </c>
      <c r="S3046" s="44">
        <v>1.0</v>
      </c>
      <c r="T3046" s="43" t="s">
        <v>4534</v>
      </c>
      <c r="U3046" s="6"/>
      <c r="V3046" s="6"/>
      <c r="W3046" s="35">
        <v>29.6916295</v>
      </c>
      <c r="X3046" s="35">
        <v>-95.2697501999999</v>
      </c>
      <c r="AA3046" s="33"/>
      <c r="AB3046" s="33"/>
      <c r="AC3046" s="33"/>
      <c r="AD3046" s="33"/>
      <c r="AE3046" s="33"/>
      <c r="AF3046" s="33"/>
      <c r="AG3046" s="33"/>
      <c r="AH3046" s="33"/>
      <c r="AI3046" s="33"/>
      <c r="AJ3046" s="33"/>
      <c r="AK3046" s="33"/>
      <c r="AL3046" s="33"/>
      <c r="AM3046" s="33"/>
      <c r="AN3046" s="33"/>
      <c r="AO3046" s="33"/>
    </row>
    <row r="3047" ht="15.75" customHeight="1">
      <c r="A3047" s="42">
        <v>54485.0</v>
      </c>
      <c r="B3047" s="23">
        <v>2023.0</v>
      </c>
      <c r="C3047" s="36" t="str">
        <f t="shared" si="7"/>
        <v>7406 TOWERVIEW LN,Houston,TX</v>
      </c>
      <c r="D3047" s="43" t="s">
        <v>4535</v>
      </c>
      <c r="E3047" s="23" t="s">
        <v>25</v>
      </c>
      <c r="F3047" s="23" t="s">
        <v>1388</v>
      </c>
      <c r="G3047" s="31" t="s">
        <v>166</v>
      </c>
      <c r="H3047" s="43" t="s">
        <v>4536</v>
      </c>
      <c r="I3047" s="37" t="str">
        <f>VLOOKUP(H3047,'Flow Location'!$A$1:$B$21,2,FALSE)</f>
        <v>Contained On Site, not within 5 ft. of Bayou/Surface Water/Drainage Ditch</v>
      </c>
      <c r="J3047" s="44">
        <v>0.0</v>
      </c>
      <c r="K3047" s="43" t="s">
        <v>4537</v>
      </c>
      <c r="L3047" s="37" t="str">
        <f>VLOOKUP(K3047,'Structure type'!$A$1:$B$15,2,FALSE)</f>
        <v>Service Lateral</v>
      </c>
      <c r="M3047" s="43" t="s">
        <v>4538</v>
      </c>
      <c r="N3047" s="23" t="str">
        <f>VLOOKUP(M3047,'Excursion Cause'!$A$1:$B$34,2,FALSE)</f>
        <v>Collection system structural blockage</v>
      </c>
      <c r="O3047" s="45">
        <v>45215.0</v>
      </c>
      <c r="P3047" s="46" t="s">
        <v>4539</v>
      </c>
      <c r="Q3047" s="49">
        <v>45215.0</v>
      </c>
      <c r="R3047" s="46" t="s">
        <v>4540</v>
      </c>
      <c r="S3047" s="44">
        <v>0.0</v>
      </c>
      <c r="T3047" s="43" t="s">
        <v>4541</v>
      </c>
      <c r="U3047" s="6"/>
      <c r="V3047" s="6"/>
      <c r="W3047" s="35">
        <v>29.6015482</v>
      </c>
      <c r="X3047" s="35">
        <v>-95.4973177</v>
      </c>
      <c r="AA3047" s="33"/>
      <c r="AB3047" s="33"/>
      <c r="AC3047" s="33"/>
      <c r="AD3047" s="33"/>
      <c r="AE3047" s="33"/>
      <c r="AF3047" s="33"/>
      <c r="AG3047" s="33"/>
      <c r="AH3047" s="33"/>
      <c r="AI3047" s="33"/>
      <c r="AJ3047" s="33"/>
      <c r="AK3047" s="33"/>
      <c r="AL3047" s="33"/>
      <c r="AM3047" s="33"/>
      <c r="AN3047" s="33"/>
      <c r="AO3047" s="33"/>
    </row>
    <row r="3048" ht="15.75" customHeight="1">
      <c r="A3048" s="42">
        <v>54487.0</v>
      </c>
      <c r="B3048" s="23">
        <v>2023.0</v>
      </c>
      <c r="C3048" s="36" t="str">
        <f t="shared" si="7"/>
        <v>13509 JOLIET ST,Houston,TX</v>
      </c>
      <c r="D3048" s="43" t="s">
        <v>4542</v>
      </c>
      <c r="E3048" s="23" t="s">
        <v>25</v>
      </c>
      <c r="F3048" s="23" t="s">
        <v>1388</v>
      </c>
      <c r="G3048" s="31" t="s">
        <v>623</v>
      </c>
      <c r="H3048" s="43" t="s">
        <v>4543</v>
      </c>
      <c r="I3048" s="37" t="str">
        <f>VLOOKUP(H3048,'Flow Location'!$A$1:$B$21,2,FALSE)</f>
        <v>Bayou/surface water/drainage ditch</v>
      </c>
      <c r="J3048" s="44">
        <v>0.0</v>
      </c>
      <c r="K3048" s="43" t="s">
        <v>4544</v>
      </c>
      <c r="L3048" s="37" t="str">
        <f>VLOOKUP(K3048,'Structure type'!$A$1:$B$15,2,FALSE)</f>
        <v>Manhole</v>
      </c>
      <c r="M3048" s="43" t="s">
        <v>4545</v>
      </c>
      <c r="N3048" s="23" t="str">
        <f>VLOOKUP(M3048,'Excursion Cause'!$A$1:$B$34,2,FALSE)</f>
        <v>Grease Blockage</v>
      </c>
      <c r="O3048" s="45">
        <v>45215.0</v>
      </c>
      <c r="P3048" s="46" t="s">
        <v>4546</v>
      </c>
      <c r="Q3048" s="49">
        <v>45215.0</v>
      </c>
      <c r="R3048" s="46" t="s">
        <v>4547</v>
      </c>
      <c r="S3048" s="44">
        <v>0.0</v>
      </c>
      <c r="T3048" s="43" t="s">
        <v>4548</v>
      </c>
      <c r="U3048" s="6"/>
      <c r="V3048" s="6"/>
      <c r="W3048" s="35">
        <v>29.7840303</v>
      </c>
      <c r="X3048" s="35">
        <v>-95.1841393999999</v>
      </c>
      <c r="AA3048" s="33"/>
      <c r="AB3048" s="33"/>
      <c r="AC3048" s="33"/>
      <c r="AD3048" s="33"/>
      <c r="AE3048" s="33"/>
      <c r="AF3048" s="33"/>
      <c r="AG3048" s="33"/>
      <c r="AH3048" s="33"/>
      <c r="AI3048" s="33"/>
      <c r="AJ3048" s="33"/>
      <c r="AK3048" s="33"/>
      <c r="AL3048" s="33"/>
      <c r="AM3048" s="33"/>
      <c r="AN3048" s="33"/>
      <c r="AO3048" s="33"/>
    </row>
    <row r="3049" ht="15.75" customHeight="1">
      <c r="A3049" s="42">
        <v>54490.0</v>
      </c>
      <c r="B3049" s="23">
        <v>2023.0</v>
      </c>
      <c r="C3049" s="36" t="str">
        <f t="shared" si="7"/>
        <v>6016 CANAL ST,Houston,TX</v>
      </c>
      <c r="D3049" s="43" t="s">
        <v>4549</v>
      </c>
      <c r="E3049" s="23" t="s">
        <v>25</v>
      </c>
      <c r="F3049" s="23" t="s">
        <v>1388</v>
      </c>
      <c r="G3049" s="31" t="s">
        <v>227</v>
      </c>
      <c r="H3049" s="43" t="s">
        <v>4550</v>
      </c>
      <c r="I3049" s="37" t="str">
        <f>VLOOKUP(H3049,'Flow Location'!$A$1:$B$21,2,FALSE)</f>
        <v>Contained On Site, not within 5 ft. of Bayou/Surface Water/Drainage Ditch</v>
      </c>
      <c r="J3049" s="44">
        <v>0.0</v>
      </c>
      <c r="K3049" s="43" t="s">
        <v>4551</v>
      </c>
      <c r="L3049" s="37" t="str">
        <f>VLOOKUP(K3049,'Structure type'!$A$1:$B$15,2,FALSE)</f>
        <v>City Cleanout</v>
      </c>
      <c r="M3049" s="43" t="s">
        <v>4552</v>
      </c>
      <c r="N3049" s="23" t="str">
        <f>VLOOKUP(M3049,'Excursion Cause'!$A$1:$B$34,2,FALSE)</f>
        <v>Grease Blockage</v>
      </c>
      <c r="O3049" s="45">
        <v>45215.0</v>
      </c>
      <c r="P3049" s="46" t="s">
        <v>4553</v>
      </c>
      <c r="Q3049" s="49">
        <v>45215.0</v>
      </c>
      <c r="R3049" s="46" t="s">
        <v>4554</v>
      </c>
      <c r="S3049" s="44">
        <v>0.0</v>
      </c>
      <c r="T3049" s="43" t="s">
        <v>4555</v>
      </c>
      <c r="U3049" s="6"/>
      <c r="V3049" s="6"/>
      <c r="W3049" s="35">
        <v>29.7436365</v>
      </c>
      <c r="X3049" s="35">
        <v>-95.3134967</v>
      </c>
      <c r="AA3049" s="33"/>
      <c r="AB3049" s="33"/>
      <c r="AC3049" s="33"/>
      <c r="AD3049" s="33"/>
      <c r="AE3049" s="33"/>
      <c r="AF3049" s="33"/>
      <c r="AG3049" s="33"/>
      <c r="AH3049" s="33"/>
      <c r="AI3049" s="33"/>
      <c r="AJ3049" s="33"/>
      <c r="AK3049" s="33"/>
      <c r="AL3049" s="33"/>
      <c r="AM3049" s="33"/>
      <c r="AN3049" s="33"/>
      <c r="AO3049" s="33"/>
    </row>
    <row r="3050" ht="15.75" customHeight="1">
      <c r="A3050" s="42">
        <v>54493.0</v>
      </c>
      <c r="B3050" s="23">
        <v>2023.0</v>
      </c>
      <c r="C3050" s="36" t="str">
        <f t="shared" si="7"/>
        <v>12818 ROYCE LN,Houston,TX</v>
      </c>
      <c r="D3050" s="43" t="s">
        <v>4556</v>
      </c>
      <c r="E3050" s="23" t="s">
        <v>25</v>
      </c>
      <c r="F3050" s="23" t="s">
        <v>1388</v>
      </c>
      <c r="G3050" s="31" t="s">
        <v>656</v>
      </c>
      <c r="H3050" s="43" t="s">
        <v>4557</v>
      </c>
      <c r="I3050" s="37" t="str">
        <f>VLOOKUP(H3050,'Flow Location'!$A$1:$B$21,2,FALSE)</f>
        <v>Bayou/surface water/drainage ditch</v>
      </c>
      <c r="J3050" s="44">
        <v>0.0</v>
      </c>
      <c r="K3050" s="43" t="s">
        <v>4558</v>
      </c>
      <c r="L3050" s="37" t="str">
        <f>VLOOKUP(K3050,'Structure type'!$A$1:$B$15,2,FALSE)</f>
        <v>Service Lateral</v>
      </c>
      <c r="M3050" s="43" t="s">
        <v>4559</v>
      </c>
      <c r="N3050" s="23" t="str">
        <f>VLOOKUP(M3050,'Excursion Cause'!$A$1:$B$34,2,FALSE)</f>
        <v>Collection system structural failure</v>
      </c>
      <c r="O3050" s="45">
        <v>45215.0</v>
      </c>
      <c r="P3050" s="46" t="s">
        <v>4560</v>
      </c>
      <c r="Q3050" s="49">
        <v>45215.0</v>
      </c>
      <c r="R3050" s="46" t="s">
        <v>4561</v>
      </c>
      <c r="S3050" s="44">
        <v>0.0</v>
      </c>
      <c r="T3050" s="43" t="s">
        <v>4562</v>
      </c>
      <c r="U3050" s="6"/>
      <c r="V3050" s="6"/>
      <c r="W3050" s="35">
        <v>29.8006541</v>
      </c>
      <c r="X3050" s="35">
        <v>-95.2127661</v>
      </c>
      <c r="AA3050" s="33"/>
      <c r="AB3050" s="33"/>
      <c r="AC3050" s="33"/>
      <c r="AD3050" s="33"/>
      <c r="AE3050" s="33"/>
      <c r="AF3050" s="33"/>
      <c r="AG3050" s="33"/>
      <c r="AH3050" s="33"/>
      <c r="AI3050" s="33"/>
      <c r="AJ3050" s="33"/>
      <c r="AK3050" s="33"/>
      <c r="AL3050" s="33"/>
      <c r="AM3050" s="33"/>
      <c r="AN3050" s="33"/>
      <c r="AO3050" s="33"/>
    </row>
    <row r="3051" ht="15.75" customHeight="1">
      <c r="A3051" s="42">
        <v>54494.0</v>
      </c>
      <c r="B3051" s="23">
        <v>2023.0</v>
      </c>
      <c r="C3051" s="36" t="str">
        <f t="shared" si="7"/>
        <v>7103 AIRLINE DR,Houston,TX</v>
      </c>
      <c r="D3051" s="43" t="s">
        <v>4563</v>
      </c>
      <c r="E3051" s="23" t="s">
        <v>25</v>
      </c>
      <c r="F3051" s="23" t="s">
        <v>1388</v>
      </c>
      <c r="G3051" s="31" t="s">
        <v>275</v>
      </c>
      <c r="H3051" s="43" t="s">
        <v>4564</v>
      </c>
      <c r="I3051" s="37" t="str">
        <f>VLOOKUP(H3051,'Flow Location'!$A$1:$B$21,2,FALSE)</f>
        <v>Storm Sewer (not contained)</v>
      </c>
      <c r="J3051" s="44">
        <v>1568.0</v>
      </c>
      <c r="K3051" s="43" t="s">
        <v>4565</v>
      </c>
      <c r="L3051" s="37" t="str">
        <f>VLOOKUP(K3051,'Structure type'!$A$1:$B$15,2,FALSE)</f>
        <v>Service Lateral</v>
      </c>
      <c r="M3051" s="43" t="s">
        <v>4566</v>
      </c>
      <c r="N3051" s="23" t="str">
        <f>VLOOKUP(M3051,'Excursion Cause'!$A$1:$B$34,2,FALSE)</f>
        <v>Collection system structural failure</v>
      </c>
      <c r="O3051" s="45">
        <v>45215.0</v>
      </c>
      <c r="P3051" s="46" t="s">
        <v>4567</v>
      </c>
      <c r="Q3051" s="49">
        <v>45216.0</v>
      </c>
      <c r="R3051" s="46" t="s">
        <v>4568</v>
      </c>
      <c r="S3051" s="44">
        <v>1.0</v>
      </c>
      <c r="T3051" s="43" t="s">
        <v>4569</v>
      </c>
      <c r="U3051" s="6"/>
      <c r="V3051" s="6"/>
      <c r="W3051" s="35">
        <v>29.8648027</v>
      </c>
      <c r="X3051" s="35">
        <v>-95.3851621</v>
      </c>
      <c r="AA3051" s="33"/>
      <c r="AB3051" s="33"/>
      <c r="AC3051" s="33"/>
      <c r="AD3051" s="33"/>
      <c r="AE3051" s="33"/>
      <c r="AF3051" s="33"/>
      <c r="AG3051" s="33"/>
      <c r="AH3051" s="33"/>
      <c r="AI3051" s="33"/>
      <c r="AJ3051" s="33"/>
      <c r="AK3051" s="33"/>
      <c r="AL3051" s="33"/>
      <c r="AM3051" s="33"/>
      <c r="AN3051" s="33"/>
      <c r="AO3051" s="33"/>
    </row>
    <row r="3052" ht="15.75" customHeight="1">
      <c r="A3052" s="42">
        <v>54497.0</v>
      </c>
      <c r="B3052" s="23">
        <v>2023.0</v>
      </c>
      <c r="C3052" s="36" t="str">
        <f t="shared" si="7"/>
        <v>12927 WESTPARK DR,Houston,TX</v>
      </c>
      <c r="D3052" s="43" t="s">
        <v>4570</v>
      </c>
      <c r="E3052" s="23" t="s">
        <v>25</v>
      </c>
      <c r="F3052" s="23" t="s">
        <v>1388</v>
      </c>
      <c r="G3052" s="31" t="s">
        <v>313</v>
      </c>
      <c r="H3052" s="43" t="s">
        <v>4571</v>
      </c>
      <c r="I3052" s="37" t="str">
        <f>VLOOKUP(H3052,'Flow Location'!$A$1:$B$21,2,FALSE)</f>
        <v>Storm Sewer (not contained)</v>
      </c>
      <c r="J3052" s="44">
        <v>0.0</v>
      </c>
      <c r="K3052" s="43" t="s">
        <v>4572</v>
      </c>
      <c r="L3052" s="37" t="str">
        <f>VLOOKUP(K3052,'Structure type'!$A$1:$B$15,2,FALSE)</f>
        <v>Manhole</v>
      </c>
      <c r="M3052" s="43" t="s">
        <v>4573</v>
      </c>
      <c r="N3052" s="23" t="str">
        <f>VLOOKUP(M3052,'Excursion Cause'!$A$1:$B$34,2,FALSE)</f>
        <v>Grease Blockage</v>
      </c>
      <c r="O3052" s="45">
        <v>45215.0</v>
      </c>
      <c r="P3052" s="46" t="s">
        <v>4574</v>
      </c>
      <c r="Q3052" s="49">
        <v>45215.0</v>
      </c>
      <c r="R3052" s="46" t="s">
        <v>4575</v>
      </c>
      <c r="S3052" s="44">
        <v>0.0</v>
      </c>
      <c r="T3052" s="43" t="s">
        <v>4576</v>
      </c>
      <c r="U3052" s="6"/>
      <c r="V3052" s="6"/>
      <c r="W3052" s="35">
        <v>29.7219464999999</v>
      </c>
      <c r="X3052" s="35">
        <v>-95.6155491</v>
      </c>
      <c r="AA3052" s="33"/>
      <c r="AB3052" s="33"/>
      <c r="AC3052" s="33"/>
      <c r="AD3052" s="33"/>
      <c r="AE3052" s="33"/>
      <c r="AF3052" s="33"/>
      <c r="AG3052" s="33"/>
      <c r="AH3052" s="33"/>
      <c r="AI3052" s="33"/>
      <c r="AJ3052" s="33"/>
      <c r="AK3052" s="33"/>
      <c r="AL3052" s="33"/>
      <c r="AM3052" s="33"/>
      <c r="AN3052" s="33"/>
      <c r="AO3052" s="33"/>
    </row>
    <row r="3053" ht="15.75" customHeight="1">
      <c r="A3053" s="42">
        <v>54500.0</v>
      </c>
      <c r="B3053" s="23">
        <v>2023.0</v>
      </c>
      <c r="C3053" s="36" t="str">
        <f t="shared" si="7"/>
        <v>1214 STONEHOLLOW DR,Houston,TX</v>
      </c>
      <c r="D3053" s="43" t="s">
        <v>4577</v>
      </c>
      <c r="E3053" s="23" t="s">
        <v>25</v>
      </c>
      <c r="F3053" s="23" t="s">
        <v>1388</v>
      </c>
      <c r="G3053" s="31" t="s">
        <v>1078</v>
      </c>
      <c r="H3053" s="43" t="s">
        <v>4578</v>
      </c>
      <c r="I3053" s="37" t="str">
        <f>VLOOKUP(H3053,'Flow Location'!$A$1:$B$21,2,FALSE)</f>
        <v>Contained On Site, not within 5 ft. of Bayou/Surface Water/Drainage Ditch</v>
      </c>
      <c r="J3053" s="44">
        <v>82.0</v>
      </c>
      <c r="K3053" s="43" t="s">
        <v>4579</v>
      </c>
      <c r="L3053" s="37" t="str">
        <f>VLOOKUP(K3053,'Structure type'!$A$1:$B$15,2,FALSE)</f>
        <v>City Cleanout</v>
      </c>
      <c r="M3053" s="43" t="s">
        <v>4580</v>
      </c>
      <c r="N3053" s="23" t="str">
        <f>VLOOKUP(M3053,'Excursion Cause'!$A$1:$B$34,2,FALSE)</f>
        <v>Grease Blockage</v>
      </c>
      <c r="O3053" s="45">
        <v>45216.0</v>
      </c>
      <c r="P3053" s="46" t="s">
        <v>4581</v>
      </c>
      <c r="Q3053" s="49">
        <v>45216.0</v>
      </c>
      <c r="R3053" s="46" t="s">
        <v>4582</v>
      </c>
      <c r="S3053" s="44">
        <v>2.0</v>
      </c>
      <c r="T3053" s="43" t="s">
        <v>4583</v>
      </c>
      <c r="U3053" s="6"/>
      <c r="V3053" s="6"/>
      <c r="W3053" s="35">
        <v>30.0511907999999</v>
      </c>
      <c r="X3053" s="35">
        <v>-95.2369863999999</v>
      </c>
      <c r="AA3053" s="33"/>
      <c r="AB3053" s="33"/>
      <c r="AC3053" s="33"/>
      <c r="AD3053" s="33"/>
      <c r="AE3053" s="33"/>
      <c r="AF3053" s="33"/>
      <c r="AG3053" s="33"/>
      <c r="AH3053" s="33"/>
      <c r="AI3053" s="33"/>
      <c r="AJ3053" s="33"/>
      <c r="AK3053" s="33"/>
      <c r="AL3053" s="33"/>
      <c r="AM3053" s="33"/>
      <c r="AN3053" s="33"/>
      <c r="AO3053" s="33"/>
    </row>
    <row r="3054" ht="15.75" customHeight="1">
      <c r="A3054" s="42">
        <v>54504.0</v>
      </c>
      <c r="B3054" s="23">
        <v>2023.0</v>
      </c>
      <c r="C3054" s="36" t="str">
        <f t="shared" si="7"/>
        <v>5334 ALLISON RD,Houston,TX</v>
      </c>
      <c r="D3054" s="43" t="s">
        <v>4584</v>
      </c>
      <c r="E3054" s="23" t="s">
        <v>25</v>
      </c>
      <c r="F3054" s="23" t="s">
        <v>1388</v>
      </c>
      <c r="G3054" s="31" t="s">
        <v>301</v>
      </c>
      <c r="H3054" s="43" t="s">
        <v>4585</v>
      </c>
      <c r="I3054" s="37" t="str">
        <f>VLOOKUP(H3054,'Flow Location'!$A$1:$B$21,2,FALSE)</f>
        <v>Drainage Ditch</v>
      </c>
      <c r="J3054" s="44">
        <v>1578.0</v>
      </c>
      <c r="K3054" s="43" t="s">
        <v>4586</v>
      </c>
      <c r="L3054" s="37" t="str">
        <f>VLOOKUP(K3054,'Structure type'!$A$1:$B$15,2,FALSE)</f>
        <v>Manhole</v>
      </c>
      <c r="M3054" s="43" t="s">
        <v>4587</v>
      </c>
      <c r="N3054" s="23" t="str">
        <f>VLOOKUP(M3054,'Excursion Cause'!$A$1:$B$34,2,FALSE)</f>
        <v>Collection system structural failure</v>
      </c>
      <c r="O3054" s="45">
        <v>45216.0</v>
      </c>
      <c r="P3054" s="46" t="s">
        <v>4588</v>
      </c>
      <c r="Q3054" s="49">
        <v>45216.0</v>
      </c>
      <c r="R3054" s="46" t="s">
        <v>4589</v>
      </c>
      <c r="S3054" s="44">
        <v>3.0</v>
      </c>
      <c r="T3054" s="43" t="s">
        <v>4590</v>
      </c>
      <c r="U3054" s="6"/>
      <c r="V3054" s="6"/>
      <c r="W3054" s="35">
        <v>29.6162618</v>
      </c>
      <c r="X3054" s="35">
        <v>-95.3304474</v>
      </c>
      <c r="AA3054" s="33"/>
      <c r="AB3054" s="33"/>
      <c r="AC3054" s="33"/>
      <c r="AD3054" s="33"/>
      <c r="AE3054" s="33"/>
      <c r="AF3054" s="33"/>
      <c r="AG3054" s="33"/>
      <c r="AH3054" s="33"/>
      <c r="AI3054" s="33"/>
      <c r="AJ3054" s="33"/>
      <c r="AK3054" s="33"/>
      <c r="AL3054" s="33"/>
      <c r="AM3054" s="33"/>
      <c r="AN3054" s="33"/>
      <c r="AO3054" s="33"/>
    </row>
    <row r="3055" ht="15.75" customHeight="1">
      <c r="A3055" s="42">
        <v>54509.0</v>
      </c>
      <c r="B3055" s="23">
        <v>2023.0</v>
      </c>
      <c r="C3055" s="36" t="str">
        <f t="shared" si="7"/>
        <v>10515 JODY CT,Houston,TX</v>
      </c>
      <c r="D3055" s="43" t="s">
        <v>4591</v>
      </c>
      <c r="E3055" s="23" t="s">
        <v>25</v>
      </c>
      <c r="F3055" s="23" t="s">
        <v>1388</v>
      </c>
      <c r="G3055" s="31" t="s">
        <v>154</v>
      </c>
      <c r="H3055" s="43" t="s">
        <v>4592</v>
      </c>
      <c r="I3055" s="37" t="str">
        <f>VLOOKUP(H3055,'Flow Location'!$A$1:$B$21,2,FALSE)</f>
        <v>Storm Sewer (not contained)</v>
      </c>
      <c r="J3055" s="44">
        <v>0.0</v>
      </c>
      <c r="K3055" s="43" t="s">
        <v>4593</v>
      </c>
      <c r="L3055" s="37" t="str">
        <f>VLOOKUP(K3055,'Structure type'!$A$1:$B$15,2,FALSE)</f>
        <v>Manhole</v>
      </c>
      <c r="M3055" s="43" t="s">
        <v>4594</v>
      </c>
      <c r="N3055" s="23" t="str">
        <f>VLOOKUP(M3055,'Excursion Cause'!$A$1:$B$34,2,FALSE)</f>
        <v>Collection system structural failure</v>
      </c>
      <c r="O3055" s="45">
        <v>45216.0</v>
      </c>
      <c r="P3055" s="46" t="s">
        <v>4595</v>
      </c>
      <c r="Q3055" s="49">
        <v>45216.0</v>
      </c>
      <c r="R3055" s="46" t="s">
        <v>4596</v>
      </c>
      <c r="S3055" s="44">
        <v>0.0</v>
      </c>
      <c r="T3055" s="43" t="s">
        <v>4597</v>
      </c>
      <c r="U3055" s="6"/>
      <c r="V3055" s="6"/>
      <c r="W3055" s="35">
        <v>29.6685192</v>
      </c>
      <c r="X3055" s="35">
        <v>-95.6101079</v>
      </c>
      <c r="AA3055" s="33"/>
      <c r="AB3055" s="33"/>
      <c r="AC3055" s="33"/>
      <c r="AD3055" s="33"/>
      <c r="AE3055" s="33"/>
      <c r="AF3055" s="33"/>
      <c r="AG3055" s="33"/>
      <c r="AH3055" s="33"/>
      <c r="AI3055" s="33"/>
      <c r="AJ3055" s="33"/>
      <c r="AK3055" s="33"/>
      <c r="AL3055" s="33"/>
      <c r="AM3055" s="33"/>
      <c r="AN3055" s="33"/>
      <c r="AO3055" s="33"/>
    </row>
    <row r="3056" ht="15.75" customHeight="1">
      <c r="A3056" s="42">
        <v>54510.0</v>
      </c>
      <c r="B3056" s="23">
        <v>2023.0</v>
      </c>
      <c r="C3056" s="36" t="str">
        <f t="shared" si="7"/>
        <v>5100 ALLENDALE RD,Houston,TX</v>
      </c>
      <c r="D3056" s="43" t="s">
        <v>4598</v>
      </c>
      <c r="E3056" s="23" t="s">
        <v>25</v>
      </c>
      <c r="F3056" s="23" t="s">
        <v>1388</v>
      </c>
      <c r="G3056" s="31" t="s">
        <v>135</v>
      </c>
      <c r="H3056" s="43" t="s">
        <v>4599</v>
      </c>
      <c r="I3056" s="37" t="str">
        <f>VLOOKUP(H3056,'Flow Location'!$A$1:$B$21,2,FALSE)</f>
        <v>Contained On Site, not within 5 ft. of Bayou/Surface Water/Drainage Ditch</v>
      </c>
      <c r="J3056" s="44">
        <v>360.0</v>
      </c>
      <c r="K3056" s="43" t="s">
        <v>4600</v>
      </c>
      <c r="L3056" s="37" t="str">
        <f>VLOOKUP(K3056,'Structure type'!$A$1:$B$15,2,FALSE)</f>
        <v>Gravity Main</v>
      </c>
      <c r="M3056" s="43" t="s">
        <v>4601</v>
      </c>
      <c r="N3056" s="23" t="str">
        <f>VLOOKUP(M3056,'Excursion Cause'!$A$1:$B$34,2,FALSE)</f>
        <v>Collection system structural failure</v>
      </c>
      <c r="O3056" s="45">
        <v>45216.0</v>
      </c>
      <c r="P3056" s="46" t="s">
        <v>4602</v>
      </c>
      <c r="Q3056" s="49">
        <v>45216.0</v>
      </c>
      <c r="R3056" s="46" t="s">
        <v>4603</v>
      </c>
      <c r="S3056" s="44">
        <v>5.0</v>
      </c>
      <c r="T3056" s="43" t="s">
        <v>4604</v>
      </c>
      <c r="U3056" s="6"/>
      <c r="V3056" s="6"/>
      <c r="W3056" s="35">
        <v>29.6824130999999</v>
      </c>
      <c r="X3056" s="35">
        <v>-95.2461749</v>
      </c>
      <c r="AA3056" s="33"/>
      <c r="AB3056" s="33"/>
      <c r="AC3056" s="33"/>
      <c r="AD3056" s="33"/>
      <c r="AE3056" s="33"/>
      <c r="AF3056" s="33"/>
      <c r="AG3056" s="33"/>
      <c r="AH3056" s="33"/>
      <c r="AI3056" s="33"/>
      <c r="AJ3056" s="33"/>
      <c r="AK3056" s="33"/>
      <c r="AL3056" s="33"/>
      <c r="AM3056" s="33"/>
      <c r="AN3056" s="33"/>
      <c r="AO3056" s="33"/>
    </row>
    <row r="3057" ht="15.75" customHeight="1">
      <c r="A3057" s="42">
        <v>54511.0</v>
      </c>
      <c r="B3057" s="23">
        <v>2023.0</v>
      </c>
      <c r="C3057" s="36" t="str">
        <f t="shared" si="7"/>
        <v>731 REINERMAN ST,Houston,TX</v>
      </c>
      <c r="D3057" s="43" t="s">
        <v>4605</v>
      </c>
      <c r="E3057" s="23" t="s">
        <v>25</v>
      </c>
      <c r="F3057" s="23" t="s">
        <v>1388</v>
      </c>
      <c r="G3057" s="31" t="s">
        <v>158</v>
      </c>
      <c r="H3057" s="43" t="s">
        <v>4606</v>
      </c>
      <c r="I3057" s="37" t="str">
        <f>VLOOKUP(H3057,'Flow Location'!$A$1:$B$21,2,FALSE)</f>
        <v>Storm Sewer (not contained)</v>
      </c>
      <c r="J3057" s="44">
        <v>0.0</v>
      </c>
      <c r="K3057" s="43" t="s">
        <v>4607</v>
      </c>
      <c r="L3057" s="37" t="str">
        <f>VLOOKUP(K3057,'Structure type'!$A$1:$B$15,2,FALSE)</f>
        <v>Manhole</v>
      </c>
      <c r="M3057" s="43" t="s">
        <v>4608</v>
      </c>
      <c r="N3057" s="23" t="str">
        <f>VLOOKUP(M3057,'Excursion Cause'!$A$1:$B$34,2,FALSE)</f>
        <v>Grease Blockage</v>
      </c>
      <c r="O3057" s="45">
        <v>45216.0</v>
      </c>
      <c r="P3057" s="46" t="s">
        <v>4609</v>
      </c>
      <c r="Q3057" s="49">
        <v>45216.0</v>
      </c>
      <c r="R3057" s="46" t="s">
        <v>4610</v>
      </c>
      <c r="S3057" s="44">
        <v>0.0</v>
      </c>
      <c r="T3057" s="43" t="s">
        <v>4611</v>
      </c>
      <c r="U3057" s="6"/>
      <c r="V3057" s="6"/>
      <c r="W3057" s="35">
        <v>29.7688751</v>
      </c>
      <c r="X3057" s="35">
        <v>-95.4135664</v>
      </c>
      <c r="AA3057" s="33"/>
      <c r="AB3057" s="33"/>
      <c r="AC3057" s="33"/>
      <c r="AD3057" s="33"/>
      <c r="AE3057" s="33"/>
      <c r="AF3057" s="33"/>
      <c r="AG3057" s="33"/>
      <c r="AH3057" s="33"/>
      <c r="AI3057" s="33"/>
      <c r="AJ3057" s="33"/>
      <c r="AK3057" s="33"/>
      <c r="AL3057" s="33"/>
      <c r="AM3057" s="33"/>
      <c r="AN3057" s="33"/>
      <c r="AO3057" s="33"/>
    </row>
    <row r="3058" ht="15.75" customHeight="1">
      <c r="A3058" s="42">
        <v>54512.0</v>
      </c>
      <c r="B3058" s="23">
        <v>2023.0</v>
      </c>
      <c r="C3058" s="36" t="str">
        <f t="shared" si="7"/>
        <v>709 QUITMAN ST,Houston,TX</v>
      </c>
      <c r="D3058" s="43" t="s">
        <v>4612</v>
      </c>
      <c r="E3058" s="23" t="s">
        <v>25</v>
      </c>
      <c r="F3058" s="23" t="s">
        <v>1388</v>
      </c>
      <c r="G3058" s="31" t="s">
        <v>161</v>
      </c>
      <c r="H3058" s="43" t="s">
        <v>4613</v>
      </c>
      <c r="I3058" s="37" t="str">
        <f>VLOOKUP(H3058,'Flow Location'!$A$1:$B$21,2,FALSE)</f>
        <v>Contained On Site, not within 5 ft. of Bayou/Surface Water/Drainage Ditch</v>
      </c>
      <c r="J3058" s="44">
        <v>59.0</v>
      </c>
      <c r="K3058" s="43" t="s">
        <v>4614</v>
      </c>
      <c r="L3058" s="37" t="str">
        <f>VLOOKUP(K3058,'Structure type'!$A$1:$B$15,2,FALSE)</f>
        <v>City Cleanout</v>
      </c>
      <c r="M3058" s="43" t="s">
        <v>4615</v>
      </c>
      <c r="N3058" s="23" t="str">
        <f>VLOOKUP(M3058,'Excursion Cause'!$A$1:$B$34,2,FALSE)</f>
        <v>Grease Blockage</v>
      </c>
      <c r="O3058" s="45">
        <v>45216.0</v>
      </c>
      <c r="P3058" s="46" t="s">
        <v>4616</v>
      </c>
      <c r="Q3058" s="49">
        <v>45216.0</v>
      </c>
      <c r="R3058" s="46" t="s">
        <v>4617</v>
      </c>
      <c r="S3058" s="44">
        <v>0.0</v>
      </c>
      <c r="T3058" s="43" t="s">
        <v>4618</v>
      </c>
      <c r="U3058" s="6"/>
      <c r="V3058" s="6"/>
      <c r="W3058" s="35">
        <v>29.7814305</v>
      </c>
      <c r="X3058" s="35">
        <v>-95.3629539</v>
      </c>
      <c r="AA3058" s="33"/>
      <c r="AB3058" s="33"/>
      <c r="AC3058" s="33"/>
      <c r="AD3058" s="33"/>
      <c r="AE3058" s="33"/>
      <c r="AF3058" s="33"/>
      <c r="AG3058" s="33"/>
      <c r="AH3058" s="33"/>
      <c r="AI3058" s="33"/>
      <c r="AJ3058" s="33"/>
      <c r="AK3058" s="33"/>
      <c r="AL3058" s="33"/>
      <c r="AM3058" s="33"/>
      <c r="AN3058" s="33"/>
      <c r="AO3058" s="33"/>
    </row>
    <row r="3059" ht="15.75" customHeight="1">
      <c r="A3059" s="42">
        <v>54514.0</v>
      </c>
      <c r="B3059" s="23">
        <v>2023.0</v>
      </c>
      <c r="C3059" s="36" t="str">
        <f t="shared" si="7"/>
        <v>5512 BUNTE ST,Houston,TX</v>
      </c>
      <c r="D3059" s="43" t="s">
        <v>4619</v>
      </c>
      <c r="E3059" s="23" t="s">
        <v>25</v>
      </c>
      <c r="F3059" s="23" t="s">
        <v>1388</v>
      </c>
      <c r="G3059" s="31" t="s">
        <v>43</v>
      </c>
      <c r="H3059" s="43" t="s">
        <v>4620</v>
      </c>
      <c r="I3059" s="37" t="str">
        <f>VLOOKUP(H3059,'Flow Location'!$A$1:$B$21,2,FALSE)</f>
        <v>Storm Sewer - contained</v>
      </c>
      <c r="J3059" s="44">
        <v>118.0</v>
      </c>
      <c r="K3059" s="43" t="s">
        <v>4621</v>
      </c>
      <c r="L3059" s="37" t="str">
        <f>VLOOKUP(K3059,'Structure type'!$A$1:$B$15,2,FALSE)</f>
        <v>City Cleanout</v>
      </c>
      <c r="M3059" s="43" t="s">
        <v>4622</v>
      </c>
      <c r="N3059" s="23" t="str">
        <f>VLOOKUP(M3059,'Excursion Cause'!$A$1:$B$34,2,FALSE)</f>
        <v>Grease Blockage</v>
      </c>
      <c r="O3059" s="45">
        <v>45216.0</v>
      </c>
      <c r="P3059" s="46" t="s">
        <v>4623</v>
      </c>
      <c r="Q3059" s="49">
        <v>45216.0</v>
      </c>
      <c r="R3059" s="46" t="s">
        <v>4624</v>
      </c>
      <c r="S3059" s="44">
        <v>1.0</v>
      </c>
      <c r="T3059" s="43" t="s">
        <v>4625</v>
      </c>
      <c r="U3059" s="6"/>
      <c r="V3059" s="6"/>
      <c r="W3059" s="35">
        <v>29.8016854</v>
      </c>
      <c r="X3059" s="35">
        <v>-95.3146857999999</v>
      </c>
      <c r="AA3059" s="33"/>
      <c r="AB3059" s="33"/>
      <c r="AC3059" s="33"/>
      <c r="AD3059" s="33"/>
      <c r="AE3059" s="33"/>
      <c r="AF3059" s="33"/>
      <c r="AG3059" s="33"/>
      <c r="AH3059" s="33"/>
      <c r="AI3059" s="33"/>
      <c r="AJ3059" s="33"/>
      <c r="AK3059" s="33"/>
      <c r="AL3059" s="33"/>
      <c r="AM3059" s="33"/>
      <c r="AN3059" s="33"/>
      <c r="AO3059" s="33"/>
    </row>
    <row r="3060" ht="15.75" customHeight="1">
      <c r="A3060" s="42">
        <v>54517.0</v>
      </c>
      <c r="B3060" s="23">
        <v>2023.0</v>
      </c>
      <c r="C3060" s="36" t="str">
        <f t="shared" si="7"/>
        <v>5629 GRAPEVINE ST,Houston,TX</v>
      </c>
      <c r="D3060" s="43" t="s">
        <v>4626</v>
      </c>
      <c r="E3060" s="23" t="s">
        <v>25</v>
      </c>
      <c r="F3060" s="23" t="s">
        <v>1388</v>
      </c>
      <c r="G3060" s="31" t="s">
        <v>384</v>
      </c>
      <c r="H3060" s="43" t="s">
        <v>4627</v>
      </c>
      <c r="I3060" s="37" t="str">
        <f>VLOOKUP(H3060,'Flow Location'!$A$1:$B$21,2,FALSE)</f>
        <v>Storm Sewer (not contained)</v>
      </c>
      <c r="J3060" s="44">
        <v>168.0</v>
      </c>
      <c r="K3060" s="43" t="s">
        <v>4628</v>
      </c>
      <c r="L3060" s="37" t="str">
        <f>VLOOKUP(K3060,'Structure type'!$A$1:$B$15,2,FALSE)</f>
        <v>City Cleanout</v>
      </c>
      <c r="M3060" s="43" t="s">
        <v>4629</v>
      </c>
      <c r="N3060" s="23" t="str">
        <f>VLOOKUP(M3060,'Excursion Cause'!$A$1:$B$34,2,FALSE)</f>
        <v>Collection system structural blockage</v>
      </c>
      <c r="O3060" s="45">
        <v>45217.0</v>
      </c>
      <c r="P3060" s="46" t="s">
        <v>4630</v>
      </c>
      <c r="Q3060" s="49">
        <v>45217.0</v>
      </c>
      <c r="R3060" s="46" t="s">
        <v>4631</v>
      </c>
      <c r="S3060" s="44">
        <v>2.0</v>
      </c>
      <c r="T3060" s="43" t="s">
        <v>4632</v>
      </c>
      <c r="U3060" s="6"/>
      <c r="V3060" s="6"/>
      <c r="W3060" s="35">
        <v>29.6158711</v>
      </c>
      <c r="X3060" s="35">
        <v>-95.4680008999999</v>
      </c>
      <c r="AA3060" s="33"/>
      <c r="AB3060" s="33"/>
      <c r="AC3060" s="33"/>
      <c r="AD3060" s="33"/>
      <c r="AE3060" s="33"/>
      <c r="AF3060" s="33"/>
      <c r="AG3060" s="33"/>
      <c r="AH3060" s="33"/>
      <c r="AI3060" s="33"/>
      <c r="AJ3060" s="33"/>
      <c r="AK3060" s="33"/>
      <c r="AL3060" s="33"/>
      <c r="AM3060" s="33"/>
      <c r="AN3060" s="33"/>
      <c r="AO3060" s="33"/>
    </row>
    <row r="3061" ht="15.75" customHeight="1">
      <c r="A3061" s="42">
        <v>54522.0</v>
      </c>
      <c r="B3061" s="23">
        <v>2023.0</v>
      </c>
      <c r="C3061" s="36" t="str">
        <f t="shared" si="7"/>
        <v>8112 CHATEAU ST,Houston,TX</v>
      </c>
      <c r="D3061" s="43" t="s">
        <v>4633</v>
      </c>
      <c r="E3061" s="23" t="s">
        <v>25</v>
      </c>
      <c r="F3061" s="23" t="s">
        <v>1388</v>
      </c>
      <c r="G3061" s="31" t="s">
        <v>177</v>
      </c>
      <c r="H3061" s="43" t="s">
        <v>4634</v>
      </c>
      <c r="I3061" s="37" t="str">
        <f>VLOOKUP(H3061,'Flow Location'!$A$1:$B$21,2,FALSE)</f>
        <v>Contained On Site, not within 5 ft. of Bayou/Surface Water/Drainage Ditch</v>
      </c>
      <c r="J3061" s="44">
        <v>0.0</v>
      </c>
      <c r="K3061" s="43" t="s">
        <v>4635</v>
      </c>
      <c r="L3061" s="37" t="str">
        <f>VLOOKUP(K3061,'Structure type'!$A$1:$B$15,2,FALSE)</f>
        <v>City Cleanout</v>
      </c>
      <c r="M3061" s="43" t="s">
        <v>4636</v>
      </c>
      <c r="N3061" s="23" t="str">
        <f>VLOOKUP(M3061,'Excursion Cause'!$A$1:$B$34,2,FALSE)</f>
        <v>Collection system temporary blockage</v>
      </c>
      <c r="O3061" s="45">
        <v>45217.0</v>
      </c>
      <c r="P3061" s="46" t="s">
        <v>4637</v>
      </c>
      <c r="Q3061" s="49">
        <v>45217.0</v>
      </c>
      <c r="R3061" s="46" t="s">
        <v>4638</v>
      </c>
      <c r="S3061" s="44">
        <v>0.0</v>
      </c>
      <c r="T3061" s="43" t="s">
        <v>4639</v>
      </c>
      <c r="U3061" s="6"/>
      <c r="V3061" s="6"/>
      <c r="W3061" s="35">
        <v>29.8202507</v>
      </c>
      <c r="X3061" s="35">
        <v>-95.2787089</v>
      </c>
      <c r="AA3061" s="33"/>
      <c r="AB3061" s="33"/>
      <c r="AC3061" s="33"/>
      <c r="AD3061" s="33"/>
      <c r="AE3061" s="33"/>
      <c r="AF3061" s="33"/>
      <c r="AG3061" s="33"/>
      <c r="AH3061" s="33"/>
      <c r="AI3061" s="33"/>
      <c r="AJ3061" s="33"/>
      <c r="AK3061" s="33"/>
      <c r="AL3061" s="33"/>
      <c r="AM3061" s="33"/>
      <c r="AN3061" s="33"/>
      <c r="AO3061" s="33"/>
    </row>
    <row r="3062" ht="15.75" customHeight="1">
      <c r="A3062" s="42">
        <v>54523.0</v>
      </c>
      <c r="B3062" s="23">
        <v>2023.0</v>
      </c>
      <c r="C3062" s="36" t="str">
        <f t="shared" si="7"/>
        <v>13538 FOREST GULLY,Houston,TX</v>
      </c>
      <c r="D3062" s="43" t="s">
        <v>4640</v>
      </c>
      <c r="E3062" s="23" t="s">
        <v>25</v>
      </c>
      <c r="F3062" s="23" t="s">
        <v>1388</v>
      </c>
      <c r="G3062" s="31" t="s">
        <v>2203</v>
      </c>
      <c r="H3062" s="43" t="s">
        <v>4641</v>
      </c>
      <c r="I3062" s="37" t="str">
        <f>VLOOKUP(H3062,'Flow Location'!$A$1:$B$21,2,FALSE)</f>
        <v>Contained On Site, not within 5 ft. of Bayou/Surface Water/Drainage Ditch</v>
      </c>
      <c r="J3062" s="44">
        <v>0.0</v>
      </c>
      <c r="K3062" s="43" t="s">
        <v>4642</v>
      </c>
      <c r="L3062" s="37" t="str">
        <f>VLOOKUP(K3062,'Structure type'!$A$1:$B$15,2,FALSE)</f>
        <v>Manhole</v>
      </c>
      <c r="M3062" s="43" t="s">
        <v>4643</v>
      </c>
      <c r="N3062" s="23" t="str">
        <f>VLOOKUP(M3062,'Excursion Cause'!$A$1:$B$34,2,FALSE)</f>
        <v>Grease Blockage</v>
      </c>
      <c r="O3062" s="45">
        <v>45217.0</v>
      </c>
      <c r="P3062" s="46" t="s">
        <v>4644</v>
      </c>
      <c r="Q3062" s="49">
        <v>45217.0</v>
      </c>
      <c r="R3062" s="46" t="s">
        <v>4645</v>
      </c>
      <c r="S3062" s="44">
        <v>0.0</v>
      </c>
      <c r="T3062" s="43" t="s">
        <v>4646</v>
      </c>
      <c r="U3062" s="6"/>
      <c r="V3062" s="6"/>
      <c r="W3062" s="35">
        <v>29.9633376</v>
      </c>
      <c r="X3062" s="35">
        <v>-95.4295248999999</v>
      </c>
      <c r="AA3062" s="33"/>
      <c r="AB3062" s="33"/>
      <c r="AC3062" s="33"/>
      <c r="AD3062" s="33"/>
      <c r="AE3062" s="33"/>
      <c r="AF3062" s="33"/>
      <c r="AG3062" s="33"/>
      <c r="AH3062" s="33"/>
      <c r="AI3062" s="33"/>
      <c r="AJ3062" s="33"/>
      <c r="AK3062" s="33"/>
      <c r="AL3062" s="33"/>
      <c r="AM3062" s="33"/>
      <c r="AN3062" s="33"/>
      <c r="AO3062" s="33"/>
    </row>
    <row r="3063" ht="15.75" customHeight="1">
      <c r="A3063" s="42">
        <v>54527.0</v>
      </c>
      <c r="B3063" s="23">
        <v>2023.0</v>
      </c>
      <c r="C3063" s="36" t="str">
        <f t="shared" si="7"/>
        <v>3125 CRESTDALE DR,Houston,TX</v>
      </c>
      <c r="D3063" s="43" t="s">
        <v>4647</v>
      </c>
      <c r="E3063" s="23" t="s">
        <v>25</v>
      </c>
      <c r="F3063" s="23" t="s">
        <v>1388</v>
      </c>
      <c r="G3063" s="31" t="s">
        <v>294</v>
      </c>
      <c r="H3063" s="43" t="s">
        <v>4648</v>
      </c>
      <c r="I3063" s="37" t="str">
        <f>VLOOKUP(H3063,'Flow Location'!$A$1:$B$21,2,FALSE)</f>
        <v>Storm Sewer (not contained)</v>
      </c>
      <c r="J3063" s="44">
        <v>45.0</v>
      </c>
      <c r="K3063" s="43" t="s">
        <v>4649</v>
      </c>
      <c r="L3063" s="37" t="str">
        <f>VLOOKUP(K3063,'Structure type'!$A$1:$B$15,2,FALSE)</f>
        <v>Manhole</v>
      </c>
      <c r="M3063" s="43" t="s">
        <v>4650</v>
      </c>
      <c r="N3063" s="23" t="str">
        <f>VLOOKUP(M3063,'Excursion Cause'!$A$1:$B$34,2,FALSE)</f>
        <v>Grease Blockage</v>
      </c>
      <c r="O3063" s="45">
        <v>45218.0</v>
      </c>
      <c r="P3063" s="46" t="s">
        <v>4651</v>
      </c>
      <c r="Q3063" s="49">
        <v>45218.0</v>
      </c>
      <c r="R3063" s="46" t="s">
        <v>4652</v>
      </c>
      <c r="S3063" s="44">
        <v>1.0</v>
      </c>
      <c r="T3063" s="43" t="s">
        <v>4653</v>
      </c>
      <c r="U3063" s="6"/>
      <c r="V3063" s="6"/>
      <c r="W3063" s="35">
        <v>29.8197476</v>
      </c>
      <c r="X3063" s="35">
        <v>-95.5309407</v>
      </c>
      <c r="AA3063" s="33"/>
      <c r="AB3063" s="33"/>
      <c r="AC3063" s="33"/>
      <c r="AD3063" s="33"/>
      <c r="AE3063" s="33"/>
      <c r="AF3063" s="33"/>
      <c r="AG3063" s="33"/>
      <c r="AH3063" s="33"/>
      <c r="AI3063" s="33"/>
      <c r="AJ3063" s="33"/>
      <c r="AK3063" s="33"/>
      <c r="AL3063" s="33"/>
      <c r="AM3063" s="33"/>
      <c r="AN3063" s="33"/>
      <c r="AO3063" s="33"/>
    </row>
    <row r="3064" ht="15.75" customHeight="1">
      <c r="A3064" s="42">
        <v>54533.0</v>
      </c>
      <c r="B3064" s="23">
        <v>2023.0</v>
      </c>
      <c r="C3064" s="36" t="str">
        <f t="shared" si="7"/>
        <v>3354 ROGERDALE RD,Houston,TX</v>
      </c>
      <c r="D3064" s="43" t="s">
        <v>4654</v>
      </c>
      <c r="E3064" s="23" t="s">
        <v>25</v>
      </c>
      <c r="F3064" s="23" t="s">
        <v>1388</v>
      </c>
      <c r="G3064" s="31" t="s">
        <v>401</v>
      </c>
      <c r="H3064" s="43" t="s">
        <v>4655</v>
      </c>
      <c r="I3064" s="37" t="str">
        <f>VLOOKUP(H3064,'Flow Location'!$A$1:$B$21,2,FALSE)</f>
        <v>Storm Sewer (not contained)</v>
      </c>
      <c r="J3064" s="44">
        <v>546.0</v>
      </c>
      <c r="K3064" s="43" t="s">
        <v>4656</v>
      </c>
      <c r="L3064" s="37" t="str">
        <f>VLOOKUP(K3064,'Structure type'!$A$1:$B$15,2,FALSE)</f>
        <v>Manhole</v>
      </c>
      <c r="M3064" s="43" t="s">
        <v>4657</v>
      </c>
      <c r="N3064" s="23" t="str">
        <f>VLOOKUP(M3064,'Excursion Cause'!$A$1:$B$34,2,FALSE)</f>
        <v>Collection system structural blockage</v>
      </c>
      <c r="O3064" s="45">
        <v>45218.0</v>
      </c>
      <c r="P3064" s="46" t="s">
        <v>4658</v>
      </c>
      <c r="Q3064" s="49">
        <v>45218.0</v>
      </c>
      <c r="R3064" s="46" t="s">
        <v>4659</v>
      </c>
      <c r="S3064" s="44">
        <v>3.0</v>
      </c>
      <c r="T3064" s="43" t="s">
        <v>4660</v>
      </c>
      <c r="U3064" s="6"/>
      <c r="V3064" s="6"/>
      <c r="W3064" s="35">
        <v>29.7249786999999</v>
      </c>
      <c r="X3064" s="35">
        <v>-95.5614152</v>
      </c>
      <c r="AA3064" s="33"/>
      <c r="AB3064" s="33"/>
      <c r="AC3064" s="33"/>
      <c r="AD3064" s="33"/>
      <c r="AE3064" s="33"/>
      <c r="AF3064" s="33"/>
      <c r="AG3064" s="33"/>
      <c r="AH3064" s="33"/>
      <c r="AI3064" s="33"/>
      <c r="AJ3064" s="33"/>
      <c r="AK3064" s="33"/>
      <c r="AL3064" s="33"/>
      <c r="AM3064" s="33"/>
      <c r="AN3064" s="33"/>
      <c r="AO3064" s="33"/>
    </row>
    <row r="3065" ht="15.75" customHeight="1">
      <c r="A3065" s="42">
        <v>54538.0</v>
      </c>
      <c r="B3065" s="23">
        <v>2023.0</v>
      </c>
      <c r="C3065" s="36" t="str">
        <f t="shared" si="7"/>
        <v>10634 KNOBOAK DR,Houston,TX</v>
      </c>
      <c r="D3065" s="43" t="s">
        <v>4661</v>
      </c>
      <c r="E3065" s="23" t="s">
        <v>25</v>
      </c>
      <c r="F3065" s="23" t="s">
        <v>1388</v>
      </c>
      <c r="G3065" s="31" t="s">
        <v>699</v>
      </c>
      <c r="H3065" s="43" t="s">
        <v>4662</v>
      </c>
      <c r="I3065" s="37" t="str">
        <f>VLOOKUP(H3065,'Flow Location'!$A$1:$B$21,2,FALSE)</f>
        <v>Contained On Site, not within 5 ft. of Bayou/Surface Water/Drainage Ditch</v>
      </c>
      <c r="J3065" s="44">
        <v>0.0</v>
      </c>
      <c r="K3065" s="43" t="s">
        <v>4663</v>
      </c>
      <c r="L3065" s="37" t="str">
        <f>VLOOKUP(K3065,'Structure type'!$A$1:$B$15,2,FALSE)</f>
        <v>Service Lateral</v>
      </c>
      <c r="M3065" s="43" t="s">
        <v>4664</v>
      </c>
      <c r="N3065" s="23" t="str">
        <f>VLOOKUP(M3065,'Excursion Cause'!$A$1:$B$34,2,FALSE)</f>
        <v>Collection system structural blockage</v>
      </c>
      <c r="O3065" s="45">
        <v>45218.0</v>
      </c>
      <c r="P3065" s="46" t="s">
        <v>4665</v>
      </c>
      <c r="Q3065" s="49">
        <v>45218.0</v>
      </c>
      <c r="R3065" s="46" t="s">
        <v>4666</v>
      </c>
      <c r="S3065" s="44">
        <v>0.0</v>
      </c>
      <c r="T3065" s="43" t="s">
        <v>4667</v>
      </c>
      <c r="U3065" s="6"/>
      <c r="V3065" s="6"/>
      <c r="W3065" s="35">
        <v>29.8074494999999</v>
      </c>
      <c r="X3065" s="35">
        <v>-95.5595745</v>
      </c>
      <c r="AA3065" s="33"/>
      <c r="AB3065" s="33"/>
      <c r="AC3065" s="33"/>
      <c r="AD3065" s="33"/>
      <c r="AE3065" s="33"/>
      <c r="AF3065" s="33"/>
      <c r="AG3065" s="33"/>
      <c r="AH3065" s="33"/>
      <c r="AI3065" s="33"/>
      <c r="AJ3065" s="33"/>
      <c r="AK3065" s="33"/>
      <c r="AL3065" s="33"/>
      <c r="AM3065" s="33"/>
      <c r="AN3065" s="33"/>
      <c r="AO3065" s="33"/>
    </row>
    <row r="3066" ht="15.75" customHeight="1">
      <c r="A3066" s="42">
        <v>54540.0</v>
      </c>
      <c r="B3066" s="23">
        <v>2023.0</v>
      </c>
      <c r="C3066" s="36" t="str">
        <f t="shared" si="7"/>
        <v>2429 WAVELL ST,Houston,TX</v>
      </c>
      <c r="D3066" s="43" t="s">
        <v>4668</v>
      </c>
      <c r="E3066" s="23" t="s">
        <v>25</v>
      </c>
      <c r="F3066" s="23" t="s">
        <v>1388</v>
      </c>
      <c r="G3066" s="31" t="s">
        <v>502</v>
      </c>
      <c r="H3066" s="43" t="s">
        <v>4669</v>
      </c>
      <c r="I3066" s="37" t="str">
        <f>VLOOKUP(H3066,'Flow Location'!$A$1:$B$21,2,FALSE)</f>
        <v>Contained On Site, not within 5 ft. of Bayou/Surface Water/Drainage Ditch</v>
      </c>
      <c r="J3066" s="44">
        <v>0.0</v>
      </c>
      <c r="K3066" s="43" t="s">
        <v>4670</v>
      </c>
      <c r="L3066" s="37" t="str">
        <f>VLOOKUP(K3066,'Structure type'!$A$1:$B$15,2,FALSE)</f>
        <v>Manhole</v>
      </c>
      <c r="M3066" s="43" t="s">
        <v>4671</v>
      </c>
      <c r="N3066" s="23" t="str">
        <f>VLOOKUP(M3066,'Excursion Cause'!$A$1:$B$34,2,FALSE)</f>
        <v>Collection system structural failure</v>
      </c>
      <c r="O3066" s="45">
        <v>45218.0</v>
      </c>
      <c r="P3066" s="46" t="s">
        <v>4672</v>
      </c>
      <c r="Q3066" s="49">
        <v>45218.0</v>
      </c>
      <c r="R3066" s="46" t="s">
        <v>4673</v>
      </c>
      <c r="S3066" s="44">
        <v>0.0</v>
      </c>
      <c r="T3066" s="43" t="s">
        <v>4674</v>
      </c>
      <c r="U3066" s="6"/>
      <c r="V3066" s="6"/>
      <c r="W3066" s="35">
        <v>29.8834544</v>
      </c>
      <c r="X3066" s="35">
        <v>-95.4485224</v>
      </c>
      <c r="AA3066" s="33"/>
      <c r="AB3066" s="33"/>
      <c r="AC3066" s="33"/>
      <c r="AD3066" s="33"/>
      <c r="AE3066" s="33"/>
      <c r="AF3066" s="33"/>
      <c r="AG3066" s="33"/>
      <c r="AH3066" s="33"/>
      <c r="AI3066" s="33"/>
      <c r="AJ3066" s="33"/>
      <c r="AK3066" s="33"/>
      <c r="AL3066" s="33"/>
      <c r="AM3066" s="33"/>
      <c r="AN3066" s="33"/>
      <c r="AO3066" s="33"/>
    </row>
    <row r="3067" ht="15.75" customHeight="1">
      <c r="A3067" s="42">
        <v>54544.0</v>
      </c>
      <c r="B3067" s="23">
        <v>2023.0</v>
      </c>
      <c r="C3067" s="36" t="str">
        <f t="shared" si="7"/>
        <v>12320 BELLAIRE BLVD,Houston,TX</v>
      </c>
      <c r="D3067" s="43" t="s">
        <v>4675</v>
      </c>
      <c r="E3067" s="23" t="s">
        <v>25</v>
      </c>
      <c r="F3067" s="23" t="s">
        <v>1388</v>
      </c>
      <c r="G3067" s="31" t="s">
        <v>91</v>
      </c>
      <c r="H3067" s="43" t="s">
        <v>4676</v>
      </c>
      <c r="I3067" s="37" t="str">
        <f>VLOOKUP(H3067,'Flow Location'!$A$1:$B$21,2,FALSE)</f>
        <v>Contained On Site, not within 5 ft. of Bayou/Surface Water/Drainage Ditch</v>
      </c>
      <c r="J3067" s="44">
        <v>229.0</v>
      </c>
      <c r="K3067" s="43" t="s">
        <v>4677</v>
      </c>
      <c r="L3067" s="37" t="str">
        <f>VLOOKUP(K3067,'Structure type'!$A$1:$B$15,2,FALSE)</f>
        <v>City Cleanout</v>
      </c>
      <c r="M3067" s="43" t="s">
        <v>4678</v>
      </c>
      <c r="N3067" s="23" t="str">
        <f>VLOOKUP(M3067,'Excursion Cause'!$A$1:$B$34,2,FALSE)</f>
        <v>Grease Blockage</v>
      </c>
      <c r="O3067" s="45">
        <v>45219.0</v>
      </c>
      <c r="P3067" s="46" t="s">
        <v>4679</v>
      </c>
      <c r="Q3067" s="49">
        <v>45219.0</v>
      </c>
      <c r="R3067" s="46" t="s">
        <v>4680</v>
      </c>
      <c r="S3067" s="44">
        <v>1.0</v>
      </c>
      <c r="T3067" s="43" t="s">
        <v>4681</v>
      </c>
      <c r="U3067" s="6"/>
      <c r="V3067" s="6"/>
      <c r="W3067" s="35">
        <v>29.7044834</v>
      </c>
      <c r="X3067" s="35">
        <v>-95.5981231</v>
      </c>
      <c r="AA3067" s="33"/>
      <c r="AB3067" s="33"/>
      <c r="AC3067" s="33"/>
      <c r="AD3067" s="33"/>
      <c r="AE3067" s="33"/>
      <c r="AF3067" s="33"/>
      <c r="AG3067" s="33"/>
      <c r="AH3067" s="33"/>
      <c r="AI3067" s="33"/>
      <c r="AJ3067" s="33"/>
      <c r="AK3067" s="33"/>
      <c r="AL3067" s="33"/>
      <c r="AM3067" s="33"/>
      <c r="AN3067" s="33"/>
      <c r="AO3067" s="33"/>
    </row>
    <row r="3068" ht="15.75" customHeight="1">
      <c r="A3068" s="42">
        <v>54548.0</v>
      </c>
      <c r="B3068" s="23">
        <v>2023.0</v>
      </c>
      <c r="C3068" s="36" t="str">
        <f t="shared" si="7"/>
        <v>7406 TOWERVIEW LN,Houston,TX</v>
      </c>
      <c r="D3068" s="43" t="s">
        <v>4682</v>
      </c>
      <c r="E3068" s="23" t="s">
        <v>25</v>
      </c>
      <c r="F3068" s="23" t="s">
        <v>1388</v>
      </c>
      <c r="G3068" s="31" t="s">
        <v>166</v>
      </c>
      <c r="H3068" s="43" t="s">
        <v>4683</v>
      </c>
      <c r="I3068" s="37" t="str">
        <f>VLOOKUP(H3068,'Flow Location'!$A$1:$B$21,2,FALSE)</f>
        <v>Contained On Site, not within 5 ft. of Bayou/Surface Water/Drainage Ditch</v>
      </c>
      <c r="J3068" s="44">
        <v>0.0</v>
      </c>
      <c r="K3068" s="43" t="s">
        <v>4684</v>
      </c>
      <c r="L3068" s="37" t="str">
        <f>VLOOKUP(K3068,'Structure type'!$A$1:$B$15,2,FALSE)</f>
        <v>City Cleanout</v>
      </c>
      <c r="M3068" s="43" t="s">
        <v>4685</v>
      </c>
      <c r="N3068" s="23" t="str">
        <f>VLOOKUP(M3068,'Excursion Cause'!$A$1:$B$34,2,FALSE)</f>
        <v>Collection system structural blockage</v>
      </c>
      <c r="O3068" s="45">
        <v>45219.0</v>
      </c>
      <c r="P3068" s="46" t="s">
        <v>4686</v>
      </c>
      <c r="Q3068" s="49">
        <v>45219.0</v>
      </c>
      <c r="R3068" s="46" t="s">
        <v>4687</v>
      </c>
      <c r="S3068" s="44">
        <v>0.0</v>
      </c>
      <c r="T3068" s="43" t="s">
        <v>4688</v>
      </c>
      <c r="U3068" s="6"/>
      <c r="V3068" s="6"/>
      <c r="W3068" s="35">
        <v>29.6015482</v>
      </c>
      <c r="X3068" s="35">
        <v>-95.4973177</v>
      </c>
      <c r="AA3068" s="33"/>
      <c r="AB3068" s="33"/>
      <c r="AC3068" s="33"/>
      <c r="AD3068" s="33"/>
      <c r="AE3068" s="33"/>
      <c r="AF3068" s="33"/>
      <c r="AG3068" s="33"/>
      <c r="AH3068" s="33"/>
      <c r="AI3068" s="33"/>
      <c r="AJ3068" s="33"/>
      <c r="AK3068" s="33"/>
      <c r="AL3068" s="33"/>
      <c r="AM3068" s="33"/>
      <c r="AN3068" s="33"/>
      <c r="AO3068" s="33"/>
    </row>
    <row r="3069" ht="15.75" customHeight="1">
      <c r="A3069" s="42">
        <v>54549.0</v>
      </c>
      <c r="B3069" s="23">
        <v>2023.0</v>
      </c>
      <c r="C3069" s="36" t="str">
        <f t="shared" si="7"/>
        <v>6220 WESTPARK DR,Houston,TX</v>
      </c>
      <c r="D3069" s="43" t="s">
        <v>4689</v>
      </c>
      <c r="E3069" s="23" t="s">
        <v>25</v>
      </c>
      <c r="F3069" s="23" t="s">
        <v>1388</v>
      </c>
      <c r="G3069" s="31" t="s">
        <v>689</v>
      </c>
      <c r="H3069" s="43" t="s">
        <v>4690</v>
      </c>
      <c r="I3069" s="37" t="str">
        <f>VLOOKUP(H3069,'Flow Location'!$A$1:$B$21,2,FALSE)</f>
        <v>Storm Sewer (not contained)</v>
      </c>
      <c r="J3069" s="44">
        <v>0.0</v>
      </c>
      <c r="K3069" s="43" t="s">
        <v>4691</v>
      </c>
      <c r="L3069" s="37" t="str">
        <f>VLOOKUP(K3069,'Structure type'!$A$1:$B$15,2,FALSE)</f>
        <v>Manhole</v>
      </c>
      <c r="M3069" s="43" t="s">
        <v>4692</v>
      </c>
      <c r="N3069" s="23" t="str">
        <f>VLOOKUP(M3069,'Excursion Cause'!$A$1:$B$34,2,FALSE)</f>
        <v>Grease Blockage</v>
      </c>
      <c r="O3069" s="45">
        <v>45219.0</v>
      </c>
      <c r="P3069" s="46" t="s">
        <v>4693</v>
      </c>
      <c r="Q3069" s="49">
        <v>45219.0</v>
      </c>
      <c r="R3069" s="46" t="s">
        <v>4694</v>
      </c>
      <c r="S3069" s="44">
        <v>0.0</v>
      </c>
      <c r="T3069" s="43" t="s">
        <v>4695</v>
      </c>
      <c r="U3069" s="6"/>
      <c r="V3069" s="6"/>
      <c r="W3069" s="35">
        <v>29.7242085</v>
      </c>
      <c r="X3069" s="35">
        <v>-95.4931697999999</v>
      </c>
      <c r="AA3069" s="33"/>
      <c r="AB3069" s="33"/>
      <c r="AC3069" s="33"/>
      <c r="AD3069" s="33"/>
      <c r="AE3069" s="33"/>
      <c r="AF3069" s="33"/>
      <c r="AG3069" s="33"/>
      <c r="AH3069" s="33"/>
      <c r="AI3069" s="33"/>
      <c r="AJ3069" s="33"/>
      <c r="AK3069" s="33"/>
      <c r="AL3069" s="33"/>
      <c r="AM3069" s="33"/>
      <c r="AN3069" s="33"/>
      <c r="AO3069" s="33"/>
    </row>
    <row r="3070" ht="15.75" customHeight="1">
      <c r="A3070" s="42">
        <v>54552.0</v>
      </c>
      <c r="B3070" s="23">
        <v>2023.0</v>
      </c>
      <c r="C3070" s="36" t="str">
        <f t="shared" si="7"/>
        <v>706 CRESLINE ST,Houston,TX</v>
      </c>
      <c r="D3070" s="43" t="s">
        <v>4696</v>
      </c>
      <c r="E3070" s="23" t="s">
        <v>25</v>
      </c>
      <c r="F3070" s="23" t="s">
        <v>1388</v>
      </c>
      <c r="G3070" s="31" t="s">
        <v>275</v>
      </c>
      <c r="H3070" s="43" t="s">
        <v>4697</v>
      </c>
      <c r="I3070" s="37" t="str">
        <f>VLOOKUP(H3070,'Flow Location'!$A$1:$B$21,2,FALSE)</f>
        <v>Storm Sewer (not contained)</v>
      </c>
      <c r="J3070" s="44">
        <v>0.0</v>
      </c>
      <c r="K3070" s="43" t="s">
        <v>4698</v>
      </c>
      <c r="L3070" s="37" t="str">
        <f>VLOOKUP(K3070,'Structure type'!$A$1:$B$15,2,FALSE)</f>
        <v>City Cleanout</v>
      </c>
      <c r="M3070" s="43" t="s">
        <v>4699</v>
      </c>
      <c r="N3070" s="23" t="str">
        <f>VLOOKUP(M3070,'Excursion Cause'!$A$1:$B$34,2,FALSE)</f>
        <v>Grease Blockage</v>
      </c>
      <c r="O3070" s="45">
        <v>45220.0</v>
      </c>
      <c r="P3070" s="46" t="s">
        <v>4700</v>
      </c>
      <c r="Q3070" s="49">
        <v>45220.0</v>
      </c>
      <c r="R3070" s="46" t="s">
        <v>4701</v>
      </c>
      <c r="S3070" s="44">
        <v>0.0</v>
      </c>
      <c r="T3070" s="43" t="s">
        <v>4702</v>
      </c>
      <c r="U3070" s="6"/>
      <c r="V3070" s="6"/>
      <c r="W3070" s="35">
        <v>29.8604863</v>
      </c>
      <c r="X3070" s="35">
        <v>-95.367723</v>
      </c>
      <c r="AA3070" s="33"/>
      <c r="AB3070" s="33"/>
      <c r="AC3070" s="33"/>
      <c r="AD3070" s="33"/>
      <c r="AE3070" s="33"/>
      <c r="AF3070" s="33"/>
      <c r="AG3070" s="33"/>
      <c r="AH3070" s="33"/>
      <c r="AI3070" s="33"/>
      <c r="AJ3070" s="33"/>
      <c r="AK3070" s="33"/>
      <c r="AL3070" s="33"/>
      <c r="AM3070" s="33"/>
      <c r="AN3070" s="33"/>
      <c r="AO3070" s="33"/>
    </row>
    <row r="3071" ht="15.75" customHeight="1">
      <c r="A3071" s="42">
        <v>54555.0</v>
      </c>
      <c r="B3071" s="23">
        <v>2023.0</v>
      </c>
      <c r="C3071" s="36" t="str">
        <f t="shared" si="7"/>
        <v>6231 LOCKE LN,Houston,TX</v>
      </c>
      <c r="D3071" s="43" t="s">
        <v>4703</v>
      </c>
      <c r="E3071" s="23" t="s">
        <v>25</v>
      </c>
      <c r="F3071" s="23" t="s">
        <v>1388</v>
      </c>
      <c r="G3071" s="31" t="s">
        <v>689</v>
      </c>
      <c r="H3071" s="43" t="s">
        <v>4704</v>
      </c>
      <c r="I3071" s="37" t="str">
        <f>VLOOKUP(H3071,'Flow Location'!$A$1:$B$21,2,FALSE)</f>
        <v>Contained On Site, not within 5 ft. of Bayou/Surface Water/Drainage Ditch</v>
      </c>
      <c r="J3071" s="44">
        <v>0.0</v>
      </c>
      <c r="K3071" s="43" t="s">
        <v>4705</v>
      </c>
      <c r="L3071" s="37" t="str">
        <f>VLOOKUP(K3071,'Structure type'!$A$1:$B$15,2,FALSE)</f>
        <v>Private Cleanout</v>
      </c>
      <c r="M3071" s="43" t="s">
        <v>4706</v>
      </c>
      <c r="N3071" s="23" t="str">
        <f>VLOOKUP(M3071,'Excursion Cause'!$A$1:$B$34,2,FALSE)</f>
        <v>Grease Blockage</v>
      </c>
      <c r="O3071" s="45">
        <v>45221.0</v>
      </c>
      <c r="P3071" s="46" t="s">
        <v>4707</v>
      </c>
      <c r="Q3071" s="49">
        <v>45221.0</v>
      </c>
      <c r="R3071" s="46" t="s">
        <v>4708</v>
      </c>
      <c r="S3071" s="44">
        <v>0.0</v>
      </c>
      <c r="T3071" s="43" t="s">
        <v>4709</v>
      </c>
      <c r="U3071" s="6"/>
      <c r="V3071" s="6"/>
      <c r="W3071" s="35">
        <v>29.7384434</v>
      </c>
      <c r="X3071" s="35">
        <v>-95.494106</v>
      </c>
      <c r="AA3071" s="33"/>
      <c r="AB3071" s="33"/>
      <c r="AC3071" s="33"/>
      <c r="AD3071" s="33"/>
      <c r="AE3071" s="33"/>
      <c r="AF3071" s="33"/>
      <c r="AG3071" s="33"/>
      <c r="AH3071" s="33"/>
      <c r="AI3071" s="33"/>
      <c r="AJ3071" s="33"/>
      <c r="AK3071" s="33"/>
      <c r="AL3071" s="33"/>
      <c r="AM3071" s="33"/>
      <c r="AN3071" s="33"/>
      <c r="AO3071" s="33"/>
    </row>
    <row r="3072" ht="15.75" customHeight="1">
      <c r="A3072" s="42">
        <v>54557.0</v>
      </c>
      <c r="B3072" s="23">
        <v>2023.0</v>
      </c>
      <c r="C3072" s="36" t="str">
        <f t="shared" si="7"/>
        <v>10510 NORTHWEST FWY,Houston,TX</v>
      </c>
      <c r="D3072" s="43" t="s">
        <v>4710</v>
      </c>
      <c r="E3072" s="23" t="s">
        <v>25</v>
      </c>
      <c r="F3072" s="23" t="s">
        <v>1388</v>
      </c>
      <c r="G3072" s="31" t="s">
        <v>76</v>
      </c>
      <c r="H3072" s="43" t="s">
        <v>4711</v>
      </c>
      <c r="I3072" s="37" t="str">
        <f>VLOOKUP(H3072,'Flow Location'!$A$1:$B$21,2,FALSE)</f>
        <v>Contained On Site, not within 5 ft. of Bayou/Surface Water/Drainage Ditch</v>
      </c>
      <c r="J3072" s="44">
        <v>0.0</v>
      </c>
      <c r="K3072" s="43" t="s">
        <v>4712</v>
      </c>
      <c r="L3072" s="37" t="str">
        <f>VLOOKUP(K3072,'Structure type'!$A$1:$B$15,2,FALSE)</f>
        <v>Manhole</v>
      </c>
      <c r="M3072" s="43" t="s">
        <v>4713</v>
      </c>
      <c r="N3072" s="23" t="str">
        <f>VLOOKUP(M3072,'Excursion Cause'!$A$1:$B$34,2,FALSE)</f>
        <v>Grease Blockage</v>
      </c>
      <c r="O3072" s="45">
        <v>45221.0</v>
      </c>
      <c r="P3072" s="46" t="s">
        <v>4714</v>
      </c>
      <c r="Q3072" s="49">
        <v>45221.0</v>
      </c>
      <c r="R3072" s="46" t="s">
        <v>4715</v>
      </c>
      <c r="S3072" s="44">
        <v>0.0</v>
      </c>
      <c r="T3072" s="43" t="s">
        <v>4716</v>
      </c>
      <c r="U3072" s="6"/>
      <c r="V3072" s="6"/>
      <c r="W3072" s="35">
        <v>29.8131222</v>
      </c>
      <c r="X3072" s="35">
        <v>-95.4606213</v>
      </c>
      <c r="AA3072" s="33"/>
      <c r="AB3072" s="33"/>
      <c r="AC3072" s="33"/>
      <c r="AD3072" s="33"/>
      <c r="AE3072" s="33"/>
      <c r="AF3072" s="33"/>
      <c r="AG3072" s="33"/>
      <c r="AH3072" s="33"/>
      <c r="AI3072" s="33"/>
      <c r="AJ3072" s="33"/>
      <c r="AK3072" s="33"/>
      <c r="AL3072" s="33"/>
      <c r="AM3072" s="33"/>
      <c r="AN3072" s="33"/>
      <c r="AO3072" s="33"/>
    </row>
    <row r="3073" ht="15.75" customHeight="1">
      <c r="A3073" s="42">
        <v>54558.0</v>
      </c>
      <c r="B3073" s="23">
        <v>2023.0</v>
      </c>
      <c r="C3073" s="36" t="str">
        <f t="shared" si="7"/>
        <v>4218 WIPPRECHT ST,Houston,TX</v>
      </c>
      <c r="D3073" s="43" t="s">
        <v>4717</v>
      </c>
      <c r="E3073" s="23" t="s">
        <v>25</v>
      </c>
      <c r="F3073" s="23" t="s">
        <v>1388</v>
      </c>
      <c r="G3073" s="31" t="s">
        <v>43</v>
      </c>
      <c r="H3073" s="43" t="s">
        <v>4718</v>
      </c>
      <c r="I3073" s="37" t="str">
        <f>VLOOKUP(H3073,'Flow Location'!$A$1:$B$21,2,FALSE)</f>
        <v>Contained On Site, not within 5 ft. of Bayou/Surface Water/Drainage Ditch</v>
      </c>
      <c r="J3073" s="44">
        <v>0.0</v>
      </c>
      <c r="K3073" s="43" t="s">
        <v>4719</v>
      </c>
      <c r="L3073" s="37" t="str">
        <f>VLOOKUP(K3073,'Structure type'!$A$1:$B$15,2,FALSE)</f>
        <v>City Cleanout</v>
      </c>
      <c r="M3073" s="43" t="s">
        <v>4720</v>
      </c>
      <c r="N3073" s="23" t="str">
        <f>VLOOKUP(M3073,'Excursion Cause'!$A$1:$B$34,2,FALSE)</f>
        <v>Rags/Wipes</v>
      </c>
      <c r="O3073" s="45">
        <v>45221.0</v>
      </c>
      <c r="P3073" s="46" t="s">
        <v>4721</v>
      </c>
      <c r="Q3073" s="49">
        <v>45221.0</v>
      </c>
      <c r="R3073" s="46" t="s">
        <v>4722</v>
      </c>
      <c r="S3073" s="44">
        <v>0.0</v>
      </c>
      <c r="T3073" s="43" t="s">
        <v>4723</v>
      </c>
      <c r="U3073" s="6"/>
      <c r="V3073" s="6"/>
      <c r="W3073" s="35">
        <v>29.7993909</v>
      </c>
      <c r="X3073" s="35">
        <v>-95.3221428999999</v>
      </c>
      <c r="AA3073" s="33"/>
      <c r="AB3073" s="33"/>
      <c r="AC3073" s="33"/>
      <c r="AD3073" s="33"/>
      <c r="AE3073" s="33"/>
      <c r="AF3073" s="33"/>
      <c r="AG3073" s="33"/>
      <c r="AH3073" s="33"/>
      <c r="AI3073" s="33"/>
      <c r="AJ3073" s="33"/>
      <c r="AK3073" s="33"/>
      <c r="AL3073" s="33"/>
      <c r="AM3073" s="33"/>
      <c r="AN3073" s="33"/>
      <c r="AO3073" s="33"/>
    </row>
    <row r="3074" ht="15.75" customHeight="1">
      <c r="A3074" s="42">
        <v>54565.0</v>
      </c>
      <c r="B3074" s="23">
        <v>2023.0</v>
      </c>
      <c r="C3074" s="36" t="str">
        <f t="shared" si="7"/>
        <v>12925 SAMUEL LN,Houston,TX</v>
      </c>
      <c r="D3074" s="43" t="s">
        <v>4724</v>
      </c>
      <c r="E3074" s="23" t="s">
        <v>25</v>
      </c>
      <c r="F3074" s="23" t="s">
        <v>1388</v>
      </c>
      <c r="G3074" s="31" t="s">
        <v>623</v>
      </c>
      <c r="H3074" s="43" t="s">
        <v>4725</v>
      </c>
      <c r="I3074" s="37" t="str">
        <f>VLOOKUP(H3074,'Flow Location'!$A$1:$B$21,2,FALSE)</f>
        <v>Contained On Site, not within 5 ft. of Bayou/Surface Water/Drainage Ditch</v>
      </c>
      <c r="J3074" s="44">
        <v>0.0</v>
      </c>
      <c r="K3074" s="43" t="s">
        <v>4726</v>
      </c>
      <c r="L3074" s="37" t="str">
        <f>VLOOKUP(K3074,'Structure type'!$A$1:$B$15,2,FALSE)</f>
        <v>City Cleanout</v>
      </c>
      <c r="M3074" s="43" t="s">
        <v>4727</v>
      </c>
      <c r="N3074" s="23" t="str">
        <f>VLOOKUP(M3074,'Excursion Cause'!$A$1:$B$34,2,FALSE)</f>
        <v>Grease Blockage</v>
      </c>
      <c r="O3074" s="45">
        <v>45222.0</v>
      </c>
      <c r="P3074" s="46" t="s">
        <v>4728</v>
      </c>
      <c r="Q3074" s="49">
        <v>45222.0</v>
      </c>
      <c r="R3074" s="46" t="s">
        <v>4729</v>
      </c>
      <c r="S3074" s="44">
        <v>0.0</v>
      </c>
      <c r="T3074" s="43" t="s">
        <v>4730</v>
      </c>
      <c r="U3074" s="6"/>
      <c r="V3074" s="6"/>
      <c r="W3074" s="35">
        <v>29.7621221</v>
      </c>
      <c r="X3074" s="35">
        <v>-95.1997001</v>
      </c>
      <c r="AA3074" s="33"/>
      <c r="AB3074" s="33"/>
      <c r="AC3074" s="33"/>
      <c r="AD3074" s="33"/>
      <c r="AE3074" s="33"/>
      <c r="AF3074" s="33"/>
      <c r="AG3074" s="33"/>
      <c r="AH3074" s="33"/>
      <c r="AI3074" s="33"/>
      <c r="AJ3074" s="33"/>
      <c r="AK3074" s="33"/>
      <c r="AL3074" s="33"/>
      <c r="AM3074" s="33"/>
      <c r="AN3074" s="33"/>
      <c r="AO3074" s="33"/>
    </row>
    <row r="3075" ht="15.75" customHeight="1">
      <c r="A3075" s="42">
        <v>54568.0</v>
      </c>
      <c r="B3075" s="23">
        <v>2023.0</v>
      </c>
      <c r="C3075" s="36" t="str">
        <f t="shared" si="7"/>
        <v>12603 NORTHBOROUGH DR,Houston,TX</v>
      </c>
      <c r="D3075" s="43" t="s">
        <v>4731</v>
      </c>
      <c r="E3075" s="23" t="s">
        <v>25</v>
      </c>
      <c r="F3075" s="23" t="s">
        <v>1388</v>
      </c>
      <c r="G3075" s="31" t="s">
        <v>2203</v>
      </c>
      <c r="H3075" s="43" t="s">
        <v>4732</v>
      </c>
      <c r="I3075" s="37" t="str">
        <f>VLOOKUP(H3075,'Flow Location'!$A$1:$B$21,2,FALSE)</f>
        <v>Contained On Site, not within 5 ft. of Bayou/Surface Water/Drainage Ditch</v>
      </c>
      <c r="J3075" s="44">
        <v>304.0</v>
      </c>
      <c r="K3075" s="43" t="s">
        <v>4733</v>
      </c>
      <c r="L3075" s="37" t="str">
        <f>VLOOKUP(K3075,'Structure type'!$A$1:$B$15,2,FALSE)</f>
        <v>Manhole</v>
      </c>
      <c r="M3075" s="43" t="s">
        <v>4734</v>
      </c>
      <c r="N3075" s="23" t="str">
        <f>VLOOKUP(M3075,'Excursion Cause'!$A$1:$B$34,2,FALSE)</f>
        <v>Grease Blockage</v>
      </c>
      <c r="O3075" s="45">
        <v>45222.0</v>
      </c>
      <c r="P3075" s="46" t="s">
        <v>4735</v>
      </c>
      <c r="Q3075" s="49">
        <v>45222.0</v>
      </c>
      <c r="R3075" s="46" t="s">
        <v>4736</v>
      </c>
      <c r="S3075" s="44">
        <v>2.0</v>
      </c>
      <c r="T3075" s="43" t="s">
        <v>4737</v>
      </c>
      <c r="U3075" s="6"/>
      <c r="V3075" s="6"/>
      <c r="W3075" s="35">
        <v>29.9511665</v>
      </c>
      <c r="X3075" s="35">
        <v>-95.4239715</v>
      </c>
      <c r="AA3075" s="33"/>
      <c r="AB3075" s="33"/>
      <c r="AC3075" s="33"/>
      <c r="AD3075" s="33"/>
      <c r="AE3075" s="33"/>
      <c r="AF3075" s="33"/>
      <c r="AG3075" s="33"/>
      <c r="AH3075" s="33"/>
      <c r="AI3075" s="33"/>
      <c r="AJ3075" s="33"/>
      <c r="AK3075" s="33"/>
      <c r="AL3075" s="33"/>
      <c r="AM3075" s="33"/>
      <c r="AN3075" s="33"/>
      <c r="AO3075" s="33"/>
    </row>
    <row r="3076" ht="15.75" customHeight="1">
      <c r="A3076" s="42">
        <v>54569.0</v>
      </c>
      <c r="B3076" s="23">
        <v>2023.0</v>
      </c>
      <c r="C3076" s="36" t="str">
        <f t="shared" si="7"/>
        <v>11630 HERALD SQUARE DR,Houston,TX</v>
      </c>
      <c r="D3076" s="43" t="s">
        <v>4738</v>
      </c>
      <c r="E3076" s="23" t="s">
        <v>25</v>
      </c>
      <c r="F3076" s="23" t="s">
        <v>1388</v>
      </c>
      <c r="G3076" s="31" t="s">
        <v>154</v>
      </c>
      <c r="H3076" s="43" t="s">
        <v>4739</v>
      </c>
      <c r="I3076" s="37" t="str">
        <f>VLOOKUP(H3076,'Flow Location'!$A$1:$B$21,2,FALSE)</f>
        <v>Contained On Site, not within 5 ft. of Bayou/Surface Water/Drainage Ditch</v>
      </c>
      <c r="J3076" s="44">
        <v>0.0</v>
      </c>
      <c r="K3076" s="43" t="s">
        <v>4740</v>
      </c>
      <c r="L3076" s="37" t="str">
        <f>VLOOKUP(K3076,'Structure type'!$A$1:$B$15,2,FALSE)</f>
        <v>Service Lateral</v>
      </c>
      <c r="M3076" s="43" t="s">
        <v>4741</v>
      </c>
      <c r="N3076" s="23" t="str">
        <f>VLOOKUP(M3076,'Excursion Cause'!$A$1:$B$34,2,FALSE)</f>
        <v>Collection system structural blockage</v>
      </c>
      <c r="O3076" s="45">
        <v>45222.0</v>
      </c>
      <c r="P3076" s="46" t="s">
        <v>4742</v>
      </c>
      <c r="Q3076" s="49">
        <v>45222.0</v>
      </c>
      <c r="R3076" s="46" t="s">
        <v>4743</v>
      </c>
      <c r="S3076" s="44">
        <v>0.0</v>
      </c>
      <c r="T3076" s="43" t="s">
        <v>4744</v>
      </c>
      <c r="U3076" s="6"/>
      <c r="V3076" s="6"/>
      <c r="W3076" s="35">
        <v>29.6803204</v>
      </c>
      <c r="X3076" s="35">
        <v>-95.5834478</v>
      </c>
      <c r="AA3076" s="33"/>
      <c r="AB3076" s="33"/>
      <c r="AC3076" s="33"/>
      <c r="AD3076" s="33"/>
      <c r="AE3076" s="33"/>
      <c r="AF3076" s="33"/>
      <c r="AG3076" s="33"/>
      <c r="AH3076" s="33"/>
      <c r="AI3076" s="33"/>
      <c r="AJ3076" s="33"/>
      <c r="AK3076" s="33"/>
      <c r="AL3076" s="33"/>
      <c r="AM3076" s="33"/>
      <c r="AN3076" s="33"/>
      <c r="AO3076" s="33"/>
    </row>
    <row r="3077" ht="15.75" customHeight="1">
      <c r="A3077" s="42">
        <v>54575.0</v>
      </c>
      <c r="B3077" s="23">
        <v>2023.0</v>
      </c>
      <c r="C3077" s="36" t="str">
        <f t="shared" si="7"/>
        <v>2615 DAIRY ASHFORD ST,Houston,TX</v>
      </c>
      <c r="D3077" s="43" t="s">
        <v>4745</v>
      </c>
      <c r="E3077" s="23" t="s">
        <v>25</v>
      </c>
      <c r="F3077" s="23" t="s">
        <v>1388</v>
      </c>
      <c r="G3077" s="31" t="s">
        <v>313</v>
      </c>
      <c r="H3077" s="43" t="s">
        <v>4746</v>
      </c>
      <c r="I3077" s="37" t="str">
        <f>VLOOKUP(H3077,'Flow Location'!$A$1:$B$21,2,FALSE)</f>
        <v>Contained On Site, not within 5 ft. of Bayou/Surface Water/Drainage Ditch</v>
      </c>
      <c r="J3077" s="44">
        <v>0.0</v>
      </c>
      <c r="K3077" s="43" t="s">
        <v>4747</v>
      </c>
      <c r="L3077" s="37" t="str">
        <f>VLOOKUP(K3077,'Structure type'!$A$1:$B$15,2,FALSE)</f>
        <v>Manhole</v>
      </c>
      <c r="M3077" s="43" t="s">
        <v>4748</v>
      </c>
      <c r="N3077" s="23" t="str">
        <f>VLOOKUP(M3077,'Excursion Cause'!$A$1:$B$34,2,FALSE)</f>
        <v>Grease Blockage</v>
      </c>
      <c r="O3077" s="45">
        <v>45223.0</v>
      </c>
      <c r="P3077" s="46" t="s">
        <v>4749</v>
      </c>
      <c r="Q3077" s="49">
        <v>45223.0</v>
      </c>
      <c r="R3077" s="46" t="s">
        <v>4750</v>
      </c>
      <c r="S3077" s="44">
        <v>0.0</v>
      </c>
      <c r="T3077" s="43" t="s">
        <v>4751</v>
      </c>
      <c r="U3077" s="6"/>
      <c r="V3077" s="6"/>
      <c r="W3077" s="35">
        <v>29.7354827</v>
      </c>
      <c r="X3077" s="35">
        <v>-95.6052653</v>
      </c>
      <c r="AA3077" s="33"/>
      <c r="AB3077" s="33"/>
      <c r="AC3077" s="33"/>
      <c r="AD3077" s="33"/>
      <c r="AE3077" s="33"/>
      <c r="AF3077" s="33"/>
      <c r="AG3077" s="33"/>
      <c r="AH3077" s="33"/>
      <c r="AI3077" s="33"/>
      <c r="AJ3077" s="33"/>
      <c r="AK3077" s="33"/>
      <c r="AL3077" s="33"/>
      <c r="AM3077" s="33"/>
      <c r="AN3077" s="33"/>
      <c r="AO3077" s="33"/>
    </row>
    <row r="3078" ht="15.75" customHeight="1">
      <c r="A3078" s="42">
        <v>54581.0</v>
      </c>
      <c r="B3078" s="23">
        <v>2023.0</v>
      </c>
      <c r="C3078" s="36" t="str">
        <f t="shared" si="7"/>
        <v>2345 MARGARET ST,Houston,TX</v>
      </c>
      <c r="D3078" s="43" t="s">
        <v>4752</v>
      </c>
      <c r="E3078" s="23" t="s">
        <v>25</v>
      </c>
      <c r="F3078" s="23" t="s">
        <v>1388</v>
      </c>
      <c r="G3078" s="31" t="s">
        <v>109</v>
      </c>
      <c r="H3078" s="43" t="s">
        <v>4753</v>
      </c>
      <c r="I3078" s="37" t="str">
        <f>VLOOKUP(H3078,'Flow Location'!$A$1:$B$21,2,FALSE)</f>
        <v>Contained On Site, not within 5 ft. of Bayou/Surface Water/Drainage Ditch</v>
      </c>
      <c r="J3078" s="44">
        <v>0.0</v>
      </c>
      <c r="K3078" s="43" t="s">
        <v>4754</v>
      </c>
      <c r="L3078" s="37" t="str">
        <f>VLOOKUP(K3078,'Structure type'!$A$1:$B$15,2,FALSE)</f>
        <v>City Cleanout</v>
      </c>
      <c r="M3078" s="43" t="s">
        <v>4755</v>
      </c>
      <c r="N3078" s="23" t="str">
        <f>VLOOKUP(M3078,'Excursion Cause'!$A$1:$B$34,2,FALSE)</f>
        <v>Rags/Wipes</v>
      </c>
      <c r="O3078" s="45">
        <v>45223.0</v>
      </c>
      <c r="P3078" s="46" t="s">
        <v>4756</v>
      </c>
      <c r="Q3078" s="49">
        <v>45223.0</v>
      </c>
      <c r="R3078" s="46" t="s">
        <v>4757</v>
      </c>
      <c r="S3078" s="44">
        <v>0.0</v>
      </c>
      <c r="T3078" s="43" t="s">
        <v>4758</v>
      </c>
      <c r="U3078" s="6"/>
      <c r="V3078" s="6"/>
      <c r="W3078" s="35">
        <v>29.8655173</v>
      </c>
      <c r="X3078" s="35">
        <v>-95.3481027999999</v>
      </c>
      <c r="AA3078" s="33"/>
      <c r="AB3078" s="33"/>
      <c r="AC3078" s="33"/>
      <c r="AD3078" s="33"/>
      <c r="AE3078" s="33"/>
      <c r="AF3078" s="33"/>
      <c r="AG3078" s="33"/>
      <c r="AH3078" s="33"/>
      <c r="AI3078" s="33"/>
      <c r="AJ3078" s="33"/>
      <c r="AK3078" s="33"/>
      <c r="AL3078" s="33"/>
      <c r="AM3078" s="33"/>
      <c r="AN3078" s="33"/>
      <c r="AO3078" s="33"/>
    </row>
    <row r="3079" ht="15.75" customHeight="1">
      <c r="A3079" s="42">
        <v>54589.0</v>
      </c>
      <c r="B3079" s="23">
        <v>2023.0</v>
      </c>
      <c r="C3079" s="36" t="str">
        <f t="shared" si="7"/>
        <v>1805 DAVIS ST,Houston,TX</v>
      </c>
      <c r="D3079" s="43" t="s">
        <v>4759</v>
      </c>
      <c r="E3079" s="23" t="s">
        <v>25</v>
      </c>
      <c r="F3079" s="23" t="s">
        <v>1388</v>
      </c>
      <c r="G3079" s="31" t="s">
        <v>43</v>
      </c>
      <c r="H3079" s="43" t="s">
        <v>4760</v>
      </c>
      <c r="I3079" s="37" t="str">
        <f>VLOOKUP(H3079,'Flow Location'!$A$1:$B$21,2,FALSE)</f>
        <v>Contained On Site, not within 5 ft. of Bayou/Surface Water/Drainage Ditch</v>
      </c>
      <c r="J3079" s="44">
        <v>0.0</v>
      </c>
      <c r="K3079" s="43" t="s">
        <v>4761</v>
      </c>
      <c r="L3079" s="37" t="str">
        <f>VLOOKUP(K3079,'Structure type'!$A$1:$B$15,2,FALSE)</f>
        <v>City Cleanout</v>
      </c>
      <c r="M3079" s="43" t="s">
        <v>4762</v>
      </c>
      <c r="N3079" s="23" t="str">
        <f>VLOOKUP(M3079,'Excursion Cause'!$A$1:$B$34,2,FALSE)</f>
        <v>Rags/Wipes</v>
      </c>
      <c r="O3079" s="45">
        <v>45224.0</v>
      </c>
      <c r="P3079" s="46" t="s">
        <v>4763</v>
      </c>
      <c r="Q3079" s="49">
        <v>45224.0</v>
      </c>
      <c r="R3079" s="46" t="s">
        <v>4764</v>
      </c>
      <c r="S3079" s="44">
        <v>0.0</v>
      </c>
      <c r="T3079" s="43" t="s">
        <v>4765</v>
      </c>
      <c r="U3079" s="6"/>
      <c r="V3079" s="6"/>
      <c r="W3079" s="35">
        <v>29.7778544</v>
      </c>
      <c r="X3079" s="35">
        <v>-95.3430762</v>
      </c>
      <c r="AA3079" s="33"/>
      <c r="AB3079" s="33"/>
      <c r="AC3079" s="33"/>
      <c r="AD3079" s="33"/>
      <c r="AE3079" s="33"/>
      <c r="AF3079" s="33"/>
      <c r="AG3079" s="33"/>
      <c r="AH3079" s="33"/>
      <c r="AI3079" s="33"/>
      <c r="AJ3079" s="33"/>
      <c r="AK3079" s="33"/>
      <c r="AL3079" s="33"/>
      <c r="AM3079" s="33"/>
      <c r="AN3079" s="33"/>
      <c r="AO3079" s="33"/>
    </row>
    <row r="3080" ht="15.75" customHeight="1">
      <c r="A3080" s="42">
        <v>54590.0</v>
      </c>
      <c r="B3080" s="23">
        <v>2023.0</v>
      </c>
      <c r="C3080" s="36" t="str">
        <f t="shared" si="7"/>
        <v>8603 VALLEY SONG DR,Houston,TX</v>
      </c>
      <c r="D3080" s="43" t="s">
        <v>4766</v>
      </c>
      <c r="E3080" s="23" t="s">
        <v>25</v>
      </c>
      <c r="F3080" s="23" t="s">
        <v>1388</v>
      </c>
      <c r="G3080" s="31" t="s">
        <v>387</v>
      </c>
      <c r="H3080" s="43" t="s">
        <v>4767</v>
      </c>
      <c r="I3080" s="37" t="str">
        <f>VLOOKUP(H3080,'Flow Location'!$A$1:$B$21,2,FALSE)</f>
        <v>Contained On Site, not within 5 ft. of Bayou/Surface Water/Drainage Ditch</v>
      </c>
      <c r="J3080" s="44">
        <v>0.0</v>
      </c>
      <c r="K3080" s="43" t="s">
        <v>4768</v>
      </c>
      <c r="L3080" s="37" t="str">
        <f>VLOOKUP(K3080,'Structure type'!$A$1:$B$15,2,FALSE)</f>
        <v>Private Cleanout</v>
      </c>
      <c r="M3080" s="43" t="s">
        <v>4769</v>
      </c>
      <c r="N3080" s="23" t="str">
        <f>VLOOKUP(M3080,'Excursion Cause'!$A$1:$B$34,2,FALSE)</f>
        <v>Rags/Wipes</v>
      </c>
      <c r="O3080" s="45">
        <v>45224.0</v>
      </c>
      <c r="P3080" s="46" t="s">
        <v>4770</v>
      </c>
      <c r="Q3080" s="49">
        <v>45224.0</v>
      </c>
      <c r="R3080" s="46" t="s">
        <v>4771</v>
      </c>
      <c r="S3080" s="44">
        <v>0.0</v>
      </c>
      <c r="T3080" s="43" t="s">
        <v>4772</v>
      </c>
      <c r="U3080" s="6"/>
      <c r="V3080" s="6"/>
      <c r="W3080" s="35">
        <v>29.8478984</v>
      </c>
      <c r="X3080" s="35">
        <v>-95.2312761</v>
      </c>
      <c r="AA3080" s="33"/>
      <c r="AB3080" s="33"/>
      <c r="AC3080" s="33"/>
      <c r="AD3080" s="33"/>
      <c r="AE3080" s="33"/>
      <c r="AF3080" s="33"/>
      <c r="AG3080" s="33"/>
      <c r="AH3080" s="33"/>
      <c r="AI3080" s="33"/>
      <c r="AJ3080" s="33"/>
      <c r="AK3080" s="33"/>
      <c r="AL3080" s="33"/>
      <c r="AM3080" s="33"/>
      <c r="AN3080" s="33"/>
      <c r="AO3080" s="33"/>
    </row>
    <row r="3081" ht="15.75" customHeight="1">
      <c r="A3081" s="42">
        <v>54591.0</v>
      </c>
      <c r="B3081" s="23">
        <v>2023.0</v>
      </c>
      <c r="C3081" s="36" t="str">
        <f t="shared" si="7"/>
        <v>8244 DETROIT ST,Houston,TX</v>
      </c>
      <c r="D3081" s="43" t="s">
        <v>4773</v>
      </c>
      <c r="E3081" s="23" t="s">
        <v>25</v>
      </c>
      <c r="F3081" s="23" t="s">
        <v>1388</v>
      </c>
      <c r="G3081" s="31" t="s">
        <v>135</v>
      </c>
      <c r="H3081" s="43" t="s">
        <v>4774</v>
      </c>
      <c r="I3081" s="37" t="str">
        <f>VLOOKUP(H3081,'Flow Location'!$A$1:$B$21,2,FALSE)</f>
        <v>Contained On Site, not within 5 ft. of Bayou/Surface Water/Drainage Ditch</v>
      </c>
      <c r="J3081" s="44">
        <v>0.0</v>
      </c>
      <c r="K3081" s="43" t="s">
        <v>4775</v>
      </c>
      <c r="L3081" s="37" t="str">
        <f>VLOOKUP(K3081,'Structure type'!$A$1:$B$15,2,FALSE)</f>
        <v>Private Cleanout</v>
      </c>
      <c r="M3081" s="43" t="s">
        <v>4776</v>
      </c>
      <c r="N3081" s="23" t="str">
        <f>VLOOKUP(M3081,'Excursion Cause'!$A$1:$B$34,2,FALSE)</f>
        <v>Collection system structural failure</v>
      </c>
      <c r="O3081" s="45">
        <v>45224.0</v>
      </c>
      <c r="P3081" s="46" t="s">
        <v>4777</v>
      </c>
      <c r="Q3081" s="49">
        <v>45224.0</v>
      </c>
      <c r="R3081" s="46" t="s">
        <v>4778</v>
      </c>
      <c r="S3081" s="44">
        <v>0.0</v>
      </c>
      <c r="T3081" s="43" t="s">
        <v>4779</v>
      </c>
      <c r="U3081" s="6"/>
      <c r="V3081" s="6"/>
      <c r="W3081" s="35">
        <v>29.6955077</v>
      </c>
      <c r="X3081" s="35">
        <v>-95.2730557</v>
      </c>
      <c r="AA3081" s="33"/>
      <c r="AB3081" s="33"/>
      <c r="AC3081" s="33"/>
      <c r="AD3081" s="33"/>
      <c r="AE3081" s="33"/>
      <c r="AF3081" s="33"/>
      <c r="AG3081" s="33"/>
      <c r="AH3081" s="33"/>
      <c r="AI3081" s="33"/>
      <c r="AJ3081" s="33"/>
      <c r="AK3081" s="33"/>
      <c r="AL3081" s="33"/>
      <c r="AM3081" s="33"/>
      <c r="AN3081" s="33"/>
      <c r="AO3081" s="33"/>
    </row>
    <row r="3082" ht="15.75" customHeight="1">
      <c r="A3082" s="42">
        <v>54594.0</v>
      </c>
      <c r="B3082" s="23">
        <v>2023.0</v>
      </c>
      <c r="C3082" s="36" t="str">
        <f t="shared" si="7"/>
        <v>5309 CAVALCADE ST,Houston,TX</v>
      </c>
      <c r="D3082" s="43" t="s">
        <v>4780</v>
      </c>
      <c r="E3082" s="23" t="s">
        <v>25</v>
      </c>
      <c r="F3082" s="23" t="s">
        <v>1388</v>
      </c>
      <c r="G3082" s="31" t="s">
        <v>43</v>
      </c>
      <c r="H3082" s="43" t="s">
        <v>4781</v>
      </c>
      <c r="I3082" s="37" t="str">
        <f>VLOOKUP(H3082,'Flow Location'!$A$1:$B$21,2,FALSE)</f>
        <v>Contained On Site, not within 5 ft. of Bayou/Surface Water/Drainage Ditch</v>
      </c>
      <c r="J3082" s="44">
        <v>0.0</v>
      </c>
      <c r="K3082" s="43" t="s">
        <v>4782</v>
      </c>
      <c r="L3082" s="37" t="str">
        <f>VLOOKUP(K3082,'Structure type'!$A$1:$B$15,2,FALSE)</f>
        <v>Manhole</v>
      </c>
      <c r="M3082" s="43" t="s">
        <v>4783</v>
      </c>
      <c r="N3082" s="23" t="str">
        <f>VLOOKUP(M3082,'Excursion Cause'!$A$1:$B$34,2,FALSE)</f>
        <v>Grease Blockage</v>
      </c>
      <c r="O3082" s="45">
        <v>45224.0</v>
      </c>
      <c r="P3082" s="46" t="s">
        <v>4784</v>
      </c>
      <c r="Q3082" s="49">
        <v>45224.0</v>
      </c>
      <c r="R3082" s="46" t="s">
        <v>4785</v>
      </c>
      <c r="S3082" s="44">
        <v>0.0</v>
      </c>
      <c r="T3082" s="43" t="s">
        <v>4786</v>
      </c>
      <c r="U3082" s="6"/>
      <c r="V3082" s="6"/>
      <c r="W3082" s="35">
        <v>29.8007320999999</v>
      </c>
      <c r="X3082" s="35">
        <v>-95.3174799</v>
      </c>
      <c r="AA3082" s="33"/>
      <c r="AB3082" s="33"/>
      <c r="AC3082" s="33"/>
      <c r="AD3082" s="33"/>
      <c r="AE3082" s="33"/>
      <c r="AF3082" s="33"/>
      <c r="AG3082" s="33"/>
      <c r="AH3082" s="33"/>
      <c r="AI3082" s="33"/>
      <c r="AJ3082" s="33"/>
      <c r="AK3082" s="33"/>
      <c r="AL3082" s="33"/>
      <c r="AM3082" s="33"/>
      <c r="AN3082" s="33"/>
      <c r="AO3082" s="33"/>
    </row>
    <row r="3083" ht="15.75" customHeight="1">
      <c r="A3083" s="42">
        <v>54596.0</v>
      </c>
      <c r="B3083" s="23">
        <v>2023.0</v>
      </c>
      <c r="C3083" s="36" t="str">
        <f t="shared" si="7"/>
        <v>1214 STONEHOLLOW DR,Houston,TX</v>
      </c>
      <c r="D3083" s="43" t="s">
        <v>4787</v>
      </c>
      <c r="E3083" s="23" t="s">
        <v>25</v>
      </c>
      <c r="F3083" s="23" t="s">
        <v>1388</v>
      </c>
      <c r="G3083" s="31" t="s">
        <v>1078</v>
      </c>
      <c r="H3083" s="43" t="s">
        <v>4788</v>
      </c>
      <c r="I3083" s="37" t="str">
        <f>VLOOKUP(H3083,'Flow Location'!$A$1:$B$21,2,FALSE)</f>
        <v>Contained On Site, not within 5 ft. of Bayou/Surface Water/Drainage Ditch</v>
      </c>
      <c r="J3083" s="44">
        <v>0.0</v>
      </c>
      <c r="K3083" s="43" t="s">
        <v>4789</v>
      </c>
      <c r="L3083" s="37" t="str">
        <f>VLOOKUP(K3083,'Structure type'!$A$1:$B$15,2,FALSE)</f>
        <v>City Cleanout</v>
      </c>
      <c r="M3083" s="43" t="s">
        <v>4790</v>
      </c>
      <c r="N3083" s="23" t="str">
        <f>VLOOKUP(M3083,'Excursion Cause'!$A$1:$B$34,2,FALSE)</f>
        <v>Collection system structural blockage</v>
      </c>
      <c r="O3083" s="45">
        <v>45224.0</v>
      </c>
      <c r="P3083" s="46" t="s">
        <v>4791</v>
      </c>
      <c r="Q3083" s="49">
        <v>45224.0</v>
      </c>
      <c r="R3083" s="46" t="s">
        <v>4792</v>
      </c>
      <c r="S3083" s="44">
        <v>0.0</v>
      </c>
      <c r="T3083" s="43" t="s">
        <v>4793</v>
      </c>
      <c r="U3083" s="6"/>
      <c r="V3083" s="6"/>
      <c r="W3083" s="35">
        <v>30.0511907999999</v>
      </c>
      <c r="X3083" s="35">
        <v>-95.2369863999999</v>
      </c>
      <c r="AA3083" s="33"/>
      <c r="AB3083" s="33"/>
      <c r="AC3083" s="33"/>
      <c r="AD3083" s="33"/>
      <c r="AE3083" s="33"/>
      <c r="AF3083" s="33"/>
      <c r="AG3083" s="33"/>
      <c r="AH3083" s="33"/>
      <c r="AI3083" s="33"/>
      <c r="AJ3083" s="33"/>
      <c r="AK3083" s="33"/>
      <c r="AL3083" s="33"/>
      <c r="AM3083" s="33"/>
      <c r="AN3083" s="33"/>
      <c r="AO3083" s="33"/>
    </row>
    <row r="3084" ht="15.75" customHeight="1">
      <c r="A3084" s="42">
        <v>54597.0</v>
      </c>
      <c r="B3084" s="23">
        <v>2023.0</v>
      </c>
      <c r="C3084" s="36" t="str">
        <f t="shared" si="7"/>
        <v>2019 WALKER ST,Houston,TX</v>
      </c>
      <c r="D3084" s="43" t="s">
        <v>4794</v>
      </c>
      <c r="E3084" s="23" t="s">
        <v>25</v>
      </c>
      <c r="F3084" s="23" t="s">
        <v>1388</v>
      </c>
      <c r="G3084" s="31" t="s">
        <v>172</v>
      </c>
      <c r="H3084" s="43" t="s">
        <v>4795</v>
      </c>
      <c r="I3084" s="37" t="str">
        <f>VLOOKUP(H3084,'Flow Location'!$A$1:$B$21,2,FALSE)</f>
        <v>Contained On Site, not within 5 ft. of Bayou/Surface Water/Drainage Ditch</v>
      </c>
      <c r="J3084" s="44">
        <v>0.0</v>
      </c>
      <c r="K3084" s="43" t="s">
        <v>4796</v>
      </c>
      <c r="L3084" s="37" t="str">
        <f>VLOOKUP(K3084,'Structure type'!$A$1:$B$15,2,FALSE)</f>
        <v>City Cleanout</v>
      </c>
      <c r="M3084" s="43" t="s">
        <v>4797</v>
      </c>
      <c r="N3084" s="23" t="str">
        <f>VLOOKUP(M3084,'Excursion Cause'!$A$1:$B$34,2,FALSE)</f>
        <v>Rags/Wipes</v>
      </c>
      <c r="O3084" s="45">
        <v>45224.0</v>
      </c>
      <c r="P3084" s="46" t="s">
        <v>4798</v>
      </c>
      <c r="Q3084" s="49">
        <v>45224.0</v>
      </c>
      <c r="R3084" s="46" t="s">
        <v>4799</v>
      </c>
      <c r="S3084" s="44">
        <v>0.0</v>
      </c>
      <c r="T3084" s="43" t="s">
        <v>4800</v>
      </c>
      <c r="U3084" s="6"/>
      <c r="V3084" s="6"/>
      <c r="W3084" s="35">
        <v>29.7523196999999</v>
      </c>
      <c r="X3084" s="35">
        <v>-95.3548916</v>
      </c>
      <c r="AA3084" s="33"/>
      <c r="AB3084" s="33"/>
      <c r="AC3084" s="33"/>
      <c r="AD3084" s="33"/>
      <c r="AE3084" s="33"/>
      <c r="AF3084" s="33"/>
      <c r="AG3084" s="33"/>
      <c r="AH3084" s="33"/>
      <c r="AI3084" s="33"/>
      <c r="AJ3084" s="33"/>
      <c r="AK3084" s="33"/>
      <c r="AL3084" s="33"/>
      <c r="AM3084" s="33"/>
      <c r="AN3084" s="33"/>
      <c r="AO3084" s="33"/>
    </row>
    <row r="3085" ht="15.75" customHeight="1">
      <c r="A3085" s="42">
        <v>54600.0</v>
      </c>
      <c r="B3085" s="23">
        <v>2023.0</v>
      </c>
      <c r="C3085" s="36" t="str">
        <f t="shared" si="7"/>
        <v>8559 BEECHNUT ST,Houston,TX</v>
      </c>
      <c r="D3085" s="43" t="s">
        <v>4801</v>
      </c>
      <c r="E3085" s="23" t="s">
        <v>25</v>
      </c>
      <c r="F3085" s="23" t="s">
        <v>1388</v>
      </c>
      <c r="G3085" s="31" t="s">
        <v>100</v>
      </c>
      <c r="H3085" s="43" t="s">
        <v>4802</v>
      </c>
      <c r="I3085" s="37" t="str">
        <f>VLOOKUP(H3085,'Flow Location'!$A$1:$B$21,2,FALSE)</f>
        <v>Contained On Site, not within 5 ft. of Bayou/Surface Water/Drainage Ditch</v>
      </c>
      <c r="J3085" s="44">
        <v>0.0</v>
      </c>
      <c r="K3085" s="43" t="s">
        <v>4803</v>
      </c>
      <c r="L3085" s="37" t="str">
        <f>VLOOKUP(K3085,'Structure type'!$A$1:$B$15,2,FALSE)</f>
        <v>City Cleanout</v>
      </c>
      <c r="M3085" s="43" t="s">
        <v>4804</v>
      </c>
      <c r="N3085" s="23" t="str">
        <f>VLOOKUP(M3085,'Excursion Cause'!$A$1:$B$34,2,FALSE)</f>
        <v>Grease Blockage</v>
      </c>
      <c r="O3085" s="45">
        <v>45225.0</v>
      </c>
      <c r="P3085" s="46" t="s">
        <v>4805</v>
      </c>
      <c r="Q3085" s="49">
        <v>45225.0</v>
      </c>
      <c r="R3085" s="46" t="s">
        <v>4806</v>
      </c>
      <c r="S3085" s="44">
        <v>0.0</v>
      </c>
      <c r="T3085" s="43" t="s">
        <v>4807</v>
      </c>
      <c r="U3085" s="6"/>
      <c r="V3085" s="6"/>
      <c r="W3085" s="35">
        <v>29.6906553</v>
      </c>
      <c r="X3085" s="35">
        <v>-95.5355155</v>
      </c>
      <c r="AA3085" s="33"/>
      <c r="AB3085" s="33"/>
      <c r="AC3085" s="33"/>
      <c r="AD3085" s="33"/>
      <c r="AE3085" s="33"/>
      <c r="AF3085" s="33"/>
      <c r="AG3085" s="33"/>
      <c r="AH3085" s="33"/>
      <c r="AI3085" s="33"/>
      <c r="AJ3085" s="33"/>
      <c r="AK3085" s="33"/>
      <c r="AL3085" s="33"/>
      <c r="AM3085" s="33"/>
      <c r="AN3085" s="33"/>
      <c r="AO3085" s="33"/>
    </row>
    <row r="3086" ht="15.75" customHeight="1">
      <c r="A3086" s="42">
        <v>54603.0</v>
      </c>
      <c r="B3086" s="23">
        <v>2023.0</v>
      </c>
      <c r="C3086" s="36" t="str">
        <f t="shared" si="7"/>
        <v>7220 HALL ST,Houston,TX</v>
      </c>
      <c r="D3086" s="43" t="s">
        <v>4808</v>
      </c>
      <c r="E3086" s="23" t="s">
        <v>25</v>
      </c>
      <c r="F3086" s="23" t="s">
        <v>1388</v>
      </c>
      <c r="G3086" s="31" t="s">
        <v>177</v>
      </c>
      <c r="H3086" s="43" t="s">
        <v>4809</v>
      </c>
      <c r="I3086" s="37" t="str">
        <f>VLOOKUP(H3086,'Flow Location'!$A$1:$B$21,2,FALSE)</f>
        <v>Bayou/surface water/drainage ditch</v>
      </c>
      <c r="J3086" s="44">
        <v>978.0</v>
      </c>
      <c r="K3086" s="43" t="s">
        <v>4810</v>
      </c>
      <c r="L3086" s="37" t="str">
        <f>VLOOKUP(K3086,'Structure type'!$A$1:$B$15,2,FALSE)</f>
        <v>City Cleanout</v>
      </c>
      <c r="M3086" s="43" t="s">
        <v>4811</v>
      </c>
      <c r="N3086" s="23" t="str">
        <f>VLOOKUP(M3086,'Excursion Cause'!$A$1:$B$34,2,FALSE)</f>
        <v>Collection system structural failure</v>
      </c>
      <c r="O3086" s="45">
        <v>45225.0</v>
      </c>
      <c r="P3086" s="46" t="s">
        <v>4812</v>
      </c>
      <c r="Q3086" s="49">
        <v>45225.0</v>
      </c>
      <c r="R3086" s="46" t="s">
        <v>4813</v>
      </c>
      <c r="S3086" s="44">
        <v>2.0</v>
      </c>
      <c r="T3086" s="43" t="s">
        <v>4814</v>
      </c>
      <c r="U3086" s="6"/>
      <c r="V3086" s="6"/>
      <c r="W3086" s="35">
        <v>29.835516</v>
      </c>
      <c r="X3086" s="35">
        <v>-95.299255</v>
      </c>
      <c r="AA3086" s="33"/>
      <c r="AB3086" s="33"/>
      <c r="AC3086" s="33"/>
      <c r="AD3086" s="33"/>
      <c r="AE3086" s="33"/>
      <c r="AF3086" s="33"/>
      <c r="AG3086" s="33"/>
      <c r="AH3086" s="33"/>
      <c r="AI3086" s="33"/>
      <c r="AJ3086" s="33"/>
      <c r="AK3086" s="33"/>
      <c r="AL3086" s="33"/>
      <c r="AM3086" s="33"/>
      <c r="AN3086" s="33"/>
      <c r="AO3086" s="33"/>
    </row>
    <row r="3087" ht="15.75" customHeight="1">
      <c r="A3087" s="42">
        <v>54604.0</v>
      </c>
      <c r="B3087" s="23">
        <v>2023.0</v>
      </c>
      <c r="C3087" s="36" t="str">
        <f t="shared" si="7"/>
        <v>3505 BLODGETT ST,Houston,TX</v>
      </c>
      <c r="D3087" s="43" t="s">
        <v>4815</v>
      </c>
      <c r="E3087" s="23" t="s">
        <v>25</v>
      </c>
      <c r="F3087" s="23" t="s">
        <v>1388</v>
      </c>
      <c r="G3087" s="31" t="s">
        <v>308</v>
      </c>
      <c r="H3087" s="43" t="s">
        <v>4816</v>
      </c>
      <c r="I3087" s="37" t="str">
        <f>VLOOKUP(H3087,'Flow Location'!$A$1:$B$21,2,FALSE)</f>
        <v>Storm Sewer (not contained)</v>
      </c>
      <c r="J3087" s="44">
        <v>358.0</v>
      </c>
      <c r="K3087" s="43" t="s">
        <v>4817</v>
      </c>
      <c r="L3087" s="37" t="str">
        <f>VLOOKUP(K3087,'Structure type'!$A$1:$B$15,2,FALSE)</f>
        <v>Manhole</v>
      </c>
      <c r="M3087" s="43" t="s">
        <v>4818</v>
      </c>
      <c r="N3087" s="23" t="str">
        <f>VLOOKUP(M3087,'Excursion Cause'!$A$1:$B$34,2,FALSE)</f>
        <v>Rags/Wipes</v>
      </c>
      <c r="O3087" s="45">
        <v>45225.0</v>
      </c>
      <c r="P3087" s="46" t="s">
        <v>4819</v>
      </c>
      <c r="Q3087" s="49">
        <v>45225.0</v>
      </c>
      <c r="R3087" s="46" t="s">
        <v>4820</v>
      </c>
      <c r="S3087" s="44">
        <v>2.0</v>
      </c>
      <c r="T3087" s="43" t="s">
        <v>4821</v>
      </c>
      <c r="U3087" s="6"/>
      <c r="V3087" s="6"/>
      <c r="W3087" s="35">
        <v>29.718456</v>
      </c>
      <c r="X3087" s="35">
        <v>-95.3580143</v>
      </c>
      <c r="AA3087" s="33"/>
      <c r="AB3087" s="33"/>
      <c r="AC3087" s="33"/>
      <c r="AD3087" s="33"/>
      <c r="AE3087" s="33"/>
      <c r="AF3087" s="33"/>
      <c r="AG3087" s="33"/>
      <c r="AH3087" s="33"/>
      <c r="AI3087" s="33"/>
      <c r="AJ3087" s="33"/>
      <c r="AK3087" s="33"/>
      <c r="AL3087" s="33"/>
      <c r="AM3087" s="33"/>
      <c r="AN3087" s="33"/>
      <c r="AO3087" s="33"/>
    </row>
    <row r="3088" ht="15.75" customHeight="1">
      <c r="A3088" s="42">
        <v>54605.0</v>
      </c>
      <c r="B3088" s="23">
        <v>2023.0</v>
      </c>
      <c r="C3088" s="36" t="str">
        <f t="shared" si="7"/>
        <v>12603 NORTHBOROUGH DR,Houston,TX</v>
      </c>
      <c r="D3088" s="43" t="s">
        <v>4822</v>
      </c>
      <c r="E3088" s="23" t="s">
        <v>25</v>
      </c>
      <c r="F3088" s="23" t="s">
        <v>1388</v>
      </c>
      <c r="G3088" s="31" t="s">
        <v>2203</v>
      </c>
      <c r="H3088" s="43" t="s">
        <v>4823</v>
      </c>
      <c r="I3088" s="37" t="str">
        <f>VLOOKUP(H3088,'Flow Location'!$A$1:$B$21,2,FALSE)</f>
        <v>Contained On Site, not within 5 ft. of Bayou/Surface Water/Drainage Ditch</v>
      </c>
      <c r="J3088" s="44">
        <v>600.0</v>
      </c>
      <c r="K3088" s="43" t="s">
        <v>4824</v>
      </c>
      <c r="L3088" s="37" t="str">
        <f>VLOOKUP(K3088,'Structure type'!$A$1:$B$15,2,FALSE)</f>
        <v>Manhole</v>
      </c>
      <c r="M3088" s="43" t="s">
        <v>4825</v>
      </c>
      <c r="N3088" s="23" t="str">
        <f>VLOOKUP(M3088,'Excursion Cause'!$A$1:$B$34,2,FALSE)</f>
        <v>Collection system temporary blockage</v>
      </c>
      <c r="O3088" s="45">
        <v>45225.0</v>
      </c>
      <c r="P3088" s="46" t="s">
        <v>4826</v>
      </c>
      <c r="Q3088" s="49">
        <v>45225.0</v>
      </c>
      <c r="R3088" s="46" t="s">
        <v>4827</v>
      </c>
      <c r="S3088" s="44">
        <v>5.0</v>
      </c>
      <c r="T3088" s="43" t="s">
        <v>4828</v>
      </c>
      <c r="U3088" s="6"/>
      <c r="V3088" s="6"/>
      <c r="W3088" s="35">
        <v>29.9511665</v>
      </c>
      <c r="X3088" s="35">
        <v>-95.4239715</v>
      </c>
      <c r="AA3088" s="33"/>
      <c r="AB3088" s="33"/>
      <c r="AC3088" s="33"/>
      <c r="AD3088" s="33"/>
      <c r="AE3088" s="33"/>
      <c r="AF3088" s="33"/>
      <c r="AG3088" s="33"/>
      <c r="AH3088" s="33"/>
      <c r="AI3088" s="33"/>
      <c r="AJ3088" s="33"/>
      <c r="AK3088" s="33"/>
      <c r="AL3088" s="33"/>
      <c r="AM3088" s="33"/>
      <c r="AN3088" s="33"/>
      <c r="AO3088" s="33"/>
    </row>
    <row r="3089" ht="15.75" customHeight="1">
      <c r="A3089" s="42">
        <v>54607.0</v>
      </c>
      <c r="B3089" s="23">
        <v>2023.0</v>
      </c>
      <c r="C3089" s="36" t="str">
        <f t="shared" si="7"/>
        <v>6220 WESTPARK DR,Houston,TX</v>
      </c>
      <c r="D3089" s="43" t="s">
        <v>4829</v>
      </c>
      <c r="E3089" s="23" t="s">
        <v>25</v>
      </c>
      <c r="F3089" s="23" t="s">
        <v>1388</v>
      </c>
      <c r="G3089" s="31" t="s">
        <v>689</v>
      </c>
      <c r="H3089" s="43" t="s">
        <v>4830</v>
      </c>
      <c r="I3089" s="37" t="str">
        <f>VLOOKUP(H3089,'Flow Location'!$A$1:$B$21,2,FALSE)</f>
        <v>Contained On Site, not within 5 ft. of Bayou/Surface Water/Drainage Ditch</v>
      </c>
      <c r="J3089" s="44">
        <v>0.0</v>
      </c>
      <c r="K3089" s="43" t="s">
        <v>4831</v>
      </c>
      <c r="L3089" s="37" t="str">
        <f>VLOOKUP(K3089,'Structure type'!$A$1:$B$15,2,FALSE)</f>
        <v>Private Cleanout</v>
      </c>
      <c r="M3089" s="43" t="s">
        <v>4832</v>
      </c>
      <c r="N3089" s="23" t="str">
        <f>VLOOKUP(M3089,'Excursion Cause'!$A$1:$B$34,2,FALSE)</f>
        <v>Grease Blockage</v>
      </c>
      <c r="O3089" s="45">
        <v>45225.0</v>
      </c>
      <c r="P3089" s="46" t="s">
        <v>4833</v>
      </c>
      <c r="Q3089" s="49">
        <v>45225.0</v>
      </c>
      <c r="R3089" s="46" t="s">
        <v>4834</v>
      </c>
      <c r="S3089" s="44">
        <v>0.0</v>
      </c>
      <c r="T3089" s="43" t="s">
        <v>4835</v>
      </c>
      <c r="U3089" s="6"/>
      <c r="V3089" s="6"/>
      <c r="W3089" s="35">
        <v>29.7242085</v>
      </c>
      <c r="X3089" s="35">
        <v>-95.4931697999999</v>
      </c>
      <c r="AA3089" s="33"/>
      <c r="AB3089" s="33"/>
      <c r="AC3089" s="33"/>
      <c r="AD3089" s="33"/>
      <c r="AE3089" s="33"/>
      <c r="AF3089" s="33"/>
      <c r="AG3089" s="33"/>
      <c r="AH3089" s="33"/>
      <c r="AI3089" s="33"/>
      <c r="AJ3089" s="33"/>
      <c r="AK3089" s="33"/>
      <c r="AL3089" s="33"/>
      <c r="AM3089" s="33"/>
      <c r="AN3089" s="33"/>
      <c r="AO3089" s="33"/>
    </row>
    <row r="3090" ht="15.75" customHeight="1">
      <c r="A3090" s="42">
        <v>54609.0</v>
      </c>
      <c r="B3090" s="23">
        <v>2023.0</v>
      </c>
      <c r="C3090" s="36" t="str">
        <f t="shared" si="7"/>
        <v>805 WESTMONT DR,Houston,TX</v>
      </c>
      <c r="D3090" s="43" t="s">
        <v>4836</v>
      </c>
      <c r="E3090" s="23" t="s">
        <v>25</v>
      </c>
      <c r="F3090" s="23" t="s">
        <v>1388</v>
      </c>
      <c r="G3090" s="31" t="s">
        <v>623</v>
      </c>
      <c r="H3090" s="43" t="s">
        <v>4837</v>
      </c>
      <c r="I3090" s="37" t="str">
        <f>VLOOKUP(H3090,'Flow Location'!$A$1:$B$21,2,FALSE)</f>
        <v>Storm Sewer (not contained)</v>
      </c>
      <c r="J3090" s="44">
        <v>916.0</v>
      </c>
      <c r="K3090" s="43" t="s">
        <v>4838</v>
      </c>
      <c r="L3090" s="37" t="str">
        <f>VLOOKUP(K3090,'Structure type'!$A$1:$B$15,2,FALSE)</f>
        <v>Manhole</v>
      </c>
      <c r="M3090" s="43" t="s">
        <v>4839</v>
      </c>
      <c r="N3090" s="23" t="str">
        <f>VLOOKUP(M3090,'Excursion Cause'!$A$1:$B$34,2,FALSE)</f>
        <v>Grease Blockage</v>
      </c>
      <c r="O3090" s="45">
        <v>45226.0</v>
      </c>
      <c r="P3090" s="46" t="s">
        <v>4840</v>
      </c>
      <c r="Q3090" s="49">
        <v>45227.0</v>
      </c>
      <c r="R3090" s="46" t="s">
        <v>4841</v>
      </c>
      <c r="S3090" s="44">
        <v>0.0</v>
      </c>
      <c r="T3090" s="43" t="s">
        <v>4842</v>
      </c>
      <c r="U3090" s="6"/>
      <c r="V3090" s="6"/>
      <c r="W3090" s="35">
        <v>29.7780917</v>
      </c>
      <c r="X3090" s="35">
        <v>-95.1970266</v>
      </c>
      <c r="AA3090" s="33"/>
      <c r="AB3090" s="33"/>
      <c r="AC3090" s="33"/>
      <c r="AD3090" s="33"/>
      <c r="AE3090" s="33"/>
      <c r="AF3090" s="33"/>
      <c r="AG3090" s="33"/>
      <c r="AH3090" s="33"/>
      <c r="AI3090" s="33"/>
      <c r="AJ3090" s="33"/>
      <c r="AK3090" s="33"/>
      <c r="AL3090" s="33"/>
      <c r="AM3090" s="33"/>
      <c r="AN3090" s="33"/>
      <c r="AO3090" s="33"/>
    </row>
    <row r="3091" ht="15.75" customHeight="1">
      <c r="A3091" s="42">
        <v>54612.0</v>
      </c>
      <c r="B3091" s="23">
        <v>2023.0</v>
      </c>
      <c r="C3091" s="36" t="str">
        <f t="shared" si="7"/>
        <v>12803 NORTHBOROUGH DR,Houston,TX</v>
      </c>
      <c r="D3091" s="43" t="s">
        <v>4843</v>
      </c>
      <c r="E3091" s="23" t="s">
        <v>25</v>
      </c>
      <c r="F3091" s="23" t="s">
        <v>1388</v>
      </c>
      <c r="G3091" s="31" t="s">
        <v>2203</v>
      </c>
      <c r="H3091" s="48" t="s">
        <v>50</v>
      </c>
      <c r="I3091" s="37" t="str">
        <f>VLOOKUP(H3091,'Flow Location'!$A$1:$B$21,2,FALSE)</f>
        <v>Contained On Site, not within 5 ft. of Bayou/Surface Water/Drainage Ditch</v>
      </c>
      <c r="J3091" s="44">
        <v>3361.0</v>
      </c>
      <c r="K3091" s="43" t="s">
        <v>4844</v>
      </c>
      <c r="L3091" s="37" t="str">
        <f>VLOOKUP(K3091,'Structure type'!$A$1:$B$15,2,FALSE)</f>
        <v>Manhole</v>
      </c>
      <c r="M3091" s="43" t="s">
        <v>4845</v>
      </c>
      <c r="N3091" s="23" t="str">
        <f>VLOOKUP(M3091,'Excursion Cause'!$A$1:$B$34,2,FALSE)</f>
        <v>Collection system temporary blockage</v>
      </c>
      <c r="O3091" s="45">
        <v>45226.0</v>
      </c>
      <c r="P3091" s="46" t="s">
        <v>4846</v>
      </c>
      <c r="Q3091" s="49">
        <v>45228.0</v>
      </c>
      <c r="R3091" s="46" t="s">
        <v>4847</v>
      </c>
      <c r="S3091" s="44">
        <v>1.0</v>
      </c>
      <c r="T3091" s="43" t="s">
        <v>4848</v>
      </c>
      <c r="U3091" s="6"/>
      <c r="V3091" s="6"/>
      <c r="W3091" s="35">
        <v>29.9530388</v>
      </c>
      <c r="X3091" s="35">
        <v>-95.4235965</v>
      </c>
      <c r="AA3091" s="33"/>
      <c r="AB3091" s="33"/>
      <c r="AC3091" s="33"/>
      <c r="AD3091" s="33"/>
      <c r="AE3091" s="33"/>
      <c r="AF3091" s="33"/>
      <c r="AG3091" s="33"/>
      <c r="AH3091" s="33"/>
      <c r="AI3091" s="33"/>
      <c r="AJ3091" s="33"/>
      <c r="AK3091" s="33"/>
      <c r="AL3091" s="33"/>
      <c r="AM3091" s="33"/>
      <c r="AN3091" s="33"/>
      <c r="AO3091" s="33"/>
    </row>
    <row r="3092" ht="15.75" customHeight="1">
      <c r="A3092" s="42">
        <v>54617.0</v>
      </c>
      <c r="B3092" s="23">
        <v>2023.0</v>
      </c>
      <c r="C3092" s="36" t="str">
        <f t="shared" si="7"/>
        <v>12703 CORNING DR,Houston,TX</v>
      </c>
      <c r="D3092" s="43" t="s">
        <v>4849</v>
      </c>
      <c r="E3092" s="23" t="s">
        <v>25</v>
      </c>
      <c r="F3092" s="23" t="s">
        <v>1388</v>
      </c>
      <c r="G3092" s="31" t="s">
        <v>477</v>
      </c>
      <c r="H3092" s="43" t="s">
        <v>4850</v>
      </c>
      <c r="I3092" s="37" t="str">
        <f>VLOOKUP(H3092,'Flow Location'!$A$1:$B$21,2,FALSE)</f>
        <v>Contained On Site, not within 5 ft. of Bayou/Surface Water/Drainage Ditch</v>
      </c>
      <c r="J3092" s="44">
        <v>0.0</v>
      </c>
      <c r="K3092" s="43" t="s">
        <v>4851</v>
      </c>
      <c r="L3092" s="37" t="str">
        <f>VLOOKUP(K3092,'Structure type'!$A$1:$B$15,2,FALSE)</f>
        <v>Private Cleanout</v>
      </c>
      <c r="M3092" s="43" t="s">
        <v>4852</v>
      </c>
      <c r="N3092" s="23" t="str">
        <f>VLOOKUP(M3092,'Excursion Cause'!$A$1:$B$34,2,FALSE)</f>
        <v>Collection system structural failure</v>
      </c>
      <c r="O3092" s="45">
        <v>45226.0</v>
      </c>
      <c r="P3092" s="46" t="s">
        <v>4853</v>
      </c>
      <c r="Q3092" s="49">
        <v>45226.0</v>
      </c>
      <c r="R3092" s="46" t="s">
        <v>4854</v>
      </c>
      <c r="S3092" s="44">
        <v>0.0</v>
      </c>
      <c r="T3092" s="43" t="s">
        <v>4855</v>
      </c>
      <c r="U3092" s="6"/>
      <c r="V3092" s="6"/>
      <c r="W3092" s="35">
        <v>29.5919457</v>
      </c>
      <c r="X3092" s="35">
        <v>-95.1992357</v>
      </c>
      <c r="AA3092" s="33"/>
      <c r="AB3092" s="33"/>
      <c r="AC3092" s="33"/>
      <c r="AD3092" s="33"/>
      <c r="AE3092" s="33"/>
      <c r="AF3092" s="33"/>
      <c r="AG3092" s="33"/>
      <c r="AH3092" s="33"/>
      <c r="AI3092" s="33"/>
      <c r="AJ3092" s="33"/>
      <c r="AK3092" s="33"/>
      <c r="AL3092" s="33"/>
      <c r="AM3092" s="33"/>
      <c r="AN3092" s="33"/>
      <c r="AO3092" s="33"/>
    </row>
    <row r="3093" ht="15.75" customHeight="1">
      <c r="A3093" s="42">
        <v>54618.0</v>
      </c>
      <c r="B3093" s="23">
        <v>2023.0</v>
      </c>
      <c r="C3093" s="36" t="str">
        <f t="shared" si="7"/>
        <v>211 BRYAN ST,Houston,TX</v>
      </c>
      <c r="D3093" s="43" t="s">
        <v>4856</v>
      </c>
      <c r="E3093" s="23" t="s">
        <v>25</v>
      </c>
      <c r="F3093" s="23" t="s">
        <v>1388</v>
      </c>
      <c r="G3093" s="31" t="s">
        <v>227</v>
      </c>
      <c r="H3093" s="43" t="s">
        <v>4857</v>
      </c>
      <c r="I3093" s="37" t="str">
        <f>VLOOKUP(H3093,'Flow Location'!$A$1:$B$21,2,FALSE)</f>
        <v>Contained On Site, not within 5 ft. of Bayou/Surface Water/Drainage Ditch</v>
      </c>
      <c r="J3093" s="44">
        <v>0.0</v>
      </c>
      <c r="K3093" s="43" t="s">
        <v>4858</v>
      </c>
      <c r="L3093" s="37" t="str">
        <f>VLOOKUP(K3093,'Structure type'!$A$1:$B$15,2,FALSE)</f>
        <v>City Cleanout</v>
      </c>
      <c r="M3093" s="43" t="s">
        <v>4859</v>
      </c>
      <c r="N3093" s="23" t="str">
        <f>VLOOKUP(M3093,'Excursion Cause'!$A$1:$B$34,2,FALSE)</f>
        <v>Rags/Wipes</v>
      </c>
      <c r="O3093" s="45">
        <v>45226.0</v>
      </c>
      <c r="P3093" s="46" t="s">
        <v>4860</v>
      </c>
      <c r="Q3093" s="49">
        <v>45226.0</v>
      </c>
      <c r="R3093" s="46" t="s">
        <v>4861</v>
      </c>
      <c r="S3093" s="44">
        <v>0.0</v>
      </c>
      <c r="T3093" s="43" t="s">
        <v>4862</v>
      </c>
      <c r="U3093" s="6"/>
      <c r="V3093" s="6"/>
      <c r="W3093" s="35">
        <v>29.7445454</v>
      </c>
      <c r="X3093" s="35">
        <v>-95.3245604</v>
      </c>
      <c r="AA3093" s="33"/>
      <c r="AB3093" s="33"/>
      <c r="AC3093" s="33"/>
      <c r="AD3093" s="33"/>
      <c r="AE3093" s="33"/>
      <c r="AF3093" s="33"/>
      <c r="AG3093" s="33"/>
      <c r="AH3093" s="33"/>
      <c r="AI3093" s="33"/>
      <c r="AJ3093" s="33"/>
      <c r="AK3093" s="33"/>
      <c r="AL3093" s="33"/>
      <c r="AM3093" s="33"/>
      <c r="AN3093" s="33"/>
      <c r="AO3093" s="33"/>
    </row>
    <row r="3094" ht="15.75" customHeight="1">
      <c r="A3094" s="42">
        <v>54620.0</v>
      </c>
      <c r="B3094" s="23">
        <v>2023.0</v>
      </c>
      <c r="C3094" s="36" t="str">
        <f t="shared" si="7"/>
        <v>8006 GESSNER RD,Houston,TX</v>
      </c>
      <c r="D3094" s="43" t="s">
        <v>4863</v>
      </c>
      <c r="E3094" s="23" t="s">
        <v>25</v>
      </c>
      <c r="F3094" s="23" t="s">
        <v>1388</v>
      </c>
      <c r="G3094" s="31" t="s">
        <v>253</v>
      </c>
      <c r="H3094" s="43" t="s">
        <v>4864</v>
      </c>
      <c r="I3094" s="37" t="str">
        <f>VLOOKUP(H3094,'Flow Location'!$A$1:$B$21,2,FALSE)</f>
        <v>Contained On Site, not within 5 ft. of Bayou/Surface Water/Drainage Ditch</v>
      </c>
      <c r="J3094" s="44">
        <v>0.0</v>
      </c>
      <c r="K3094" s="43" t="s">
        <v>4865</v>
      </c>
      <c r="L3094" s="37" t="str">
        <f>VLOOKUP(K3094,'Structure type'!$A$1:$B$15,2,FALSE)</f>
        <v>City Cleanout</v>
      </c>
      <c r="M3094" s="43" t="s">
        <v>4866</v>
      </c>
      <c r="N3094" s="23" t="str">
        <f>VLOOKUP(M3094,'Excursion Cause'!$A$1:$B$34,2,FALSE)</f>
        <v>Collection system structural failure</v>
      </c>
      <c r="O3094" s="45">
        <v>45226.0</v>
      </c>
      <c r="P3094" s="46" t="s">
        <v>4867</v>
      </c>
      <c r="Q3094" s="49">
        <v>45226.0</v>
      </c>
      <c r="R3094" s="46" t="s">
        <v>4868</v>
      </c>
      <c r="S3094" s="44">
        <v>0.0</v>
      </c>
      <c r="T3094" s="43" t="s">
        <v>4869</v>
      </c>
      <c r="U3094" s="6"/>
      <c r="V3094" s="6"/>
      <c r="W3094" s="35">
        <v>29.8907669</v>
      </c>
      <c r="X3094" s="35">
        <v>-95.5429439</v>
      </c>
      <c r="AA3094" s="33"/>
      <c r="AB3094" s="33"/>
      <c r="AC3094" s="33"/>
      <c r="AD3094" s="33"/>
      <c r="AE3094" s="33"/>
      <c r="AF3094" s="33"/>
      <c r="AG3094" s="33"/>
      <c r="AH3094" s="33"/>
      <c r="AI3094" s="33"/>
      <c r="AJ3094" s="33"/>
      <c r="AK3094" s="33"/>
      <c r="AL3094" s="33"/>
      <c r="AM3094" s="33"/>
      <c r="AN3094" s="33"/>
      <c r="AO3094" s="33"/>
    </row>
    <row r="3095" ht="15.75" customHeight="1">
      <c r="A3095" s="42">
        <v>54621.0</v>
      </c>
      <c r="B3095" s="23">
        <v>2023.0</v>
      </c>
      <c r="C3095" s="36" t="str">
        <f t="shared" si="7"/>
        <v>3214 SHADOWFERN CT,Houston,TX</v>
      </c>
      <c r="D3095" s="43" t="s">
        <v>4870</v>
      </c>
      <c r="E3095" s="23" t="s">
        <v>25</v>
      </c>
      <c r="F3095" s="23" t="s">
        <v>1388</v>
      </c>
      <c r="G3095" s="31" t="s">
        <v>313</v>
      </c>
      <c r="H3095" s="43" t="s">
        <v>4871</v>
      </c>
      <c r="I3095" s="37" t="str">
        <f>VLOOKUP(H3095,'Flow Location'!$A$1:$B$21,2,FALSE)</f>
        <v>Contained On Site, not within 5 ft. of Bayou/Surface Water/Drainage Ditch</v>
      </c>
      <c r="J3095" s="44">
        <v>0.0</v>
      </c>
      <c r="K3095" s="43" t="s">
        <v>4872</v>
      </c>
      <c r="L3095" s="37" t="str">
        <f>VLOOKUP(K3095,'Structure type'!$A$1:$B$15,2,FALSE)</f>
        <v>City Cleanout</v>
      </c>
      <c r="M3095" s="43" t="s">
        <v>4873</v>
      </c>
      <c r="N3095" s="23" t="str">
        <f>VLOOKUP(M3095,'Excursion Cause'!$A$1:$B$34,2,FALSE)</f>
        <v>Grease Blockage</v>
      </c>
      <c r="O3095" s="45">
        <v>45227.0</v>
      </c>
      <c r="P3095" s="46" t="s">
        <v>4874</v>
      </c>
      <c r="Q3095" s="49">
        <v>45227.0</v>
      </c>
      <c r="R3095" s="46" t="s">
        <v>4875</v>
      </c>
      <c r="S3095" s="44">
        <v>0.0</v>
      </c>
      <c r="T3095" s="43" t="s">
        <v>4876</v>
      </c>
      <c r="U3095" s="6"/>
      <c r="V3095" s="6"/>
      <c r="W3095" s="35">
        <v>29.7274889</v>
      </c>
      <c r="X3095" s="35">
        <v>-95.5985951</v>
      </c>
      <c r="AA3095" s="33"/>
      <c r="AB3095" s="33"/>
      <c r="AC3095" s="33"/>
      <c r="AD3095" s="33"/>
      <c r="AE3095" s="33"/>
      <c r="AF3095" s="33"/>
      <c r="AG3095" s="33"/>
      <c r="AH3095" s="33"/>
      <c r="AI3095" s="33"/>
      <c r="AJ3095" s="33"/>
      <c r="AK3095" s="33"/>
      <c r="AL3095" s="33"/>
      <c r="AM3095" s="33"/>
      <c r="AN3095" s="33"/>
      <c r="AO3095" s="33"/>
    </row>
    <row r="3096" ht="15.75" customHeight="1">
      <c r="A3096" s="42">
        <v>54628.0</v>
      </c>
      <c r="B3096" s="23">
        <v>2023.0</v>
      </c>
      <c r="C3096" s="36" t="str">
        <f t="shared" si="7"/>
        <v>10440 SOUTH DR,Houston,TX</v>
      </c>
      <c r="D3096" s="43" t="s">
        <v>4877</v>
      </c>
      <c r="E3096" s="23" t="s">
        <v>25</v>
      </c>
      <c r="F3096" s="23" t="s">
        <v>1388</v>
      </c>
      <c r="G3096" s="31" t="s">
        <v>154</v>
      </c>
      <c r="H3096" s="43" t="s">
        <v>4878</v>
      </c>
      <c r="I3096" s="37" t="str">
        <f>VLOOKUP(H3096,'Flow Location'!$A$1:$B$21,2,FALSE)</f>
        <v>Storm Sewer (not contained)</v>
      </c>
      <c r="J3096" s="44">
        <v>120.0</v>
      </c>
      <c r="K3096" s="43" t="s">
        <v>4879</v>
      </c>
      <c r="L3096" s="37" t="str">
        <f>VLOOKUP(K3096,'Structure type'!$A$1:$B$15,2,FALSE)</f>
        <v>Manhole</v>
      </c>
      <c r="M3096" s="43" t="s">
        <v>4880</v>
      </c>
      <c r="N3096" s="23" t="str">
        <f>VLOOKUP(M3096,'Excursion Cause'!$A$1:$B$34,2,FALSE)</f>
        <v>Grease Blockage</v>
      </c>
      <c r="O3096" s="45">
        <v>45227.0</v>
      </c>
      <c r="P3096" s="46" t="s">
        <v>4881</v>
      </c>
      <c r="Q3096" s="49">
        <v>45227.0</v>
      </c>
      <c r="R3096" s="46" t="s">
        <v>4882</v>
      </c>
      <c r="S3096" s="44">
        <v>2.0</v>
      </c>
      <c r="T3096" s="43" t="s">
        <v>4883</v>
      </c>
      <c r="U3096" s="6"/>
      <c r="V3096" s="6"/>
      <c r="W3096" s="35">
        <v>29.6674865</v>
      </c>
      <c r="X3096" s="35">
        <v>-95.5654813</v>
      </c>
      <c r="AA3096" s="33"/>
      <c r="AB3096" s="33"/>
      <c r="AC3096" s="33"/>
      <c r="AD3096" s="33"/>
      <c r="AE3096" s="33"/>
      <c r="AF3096" s="33"/>
      <c r="AG3096" s="33"/>
      <c r="AH3096" s="33"/>
      <c r="AI3096" s="33"/>
      <c r="AJ3096" s="33"/>
      <c r="AK3096" s="33"/>
      <c r="AL3096" s="33"/>
      <c r="AM3096" s="33"/>
      <c r="AN3096" s="33"/>
      <c r="AO3096" s="33"/>
    </row>
    <row r="3097" ht="15.75" customHeight="1">
      <c r="A3097" s="42">
        <v>54630.0</v>
      </c>
      <c r="B3097" s="23">
        <v>2023.0</v>
      </c>
      <c r="C3097" s="36" t="str">
        <f t="shared" si="7"/>
        <v>7261 YOE ST,Houston,TX</v>
      </c>
      <c r="D3097" s="43" t="s">
        <v>4884</v>
      </c>
      <c r="E3097" s="23" t="s">
        <v>25</v>
      </c>
      <c r="F3097" s="23" t="s">
        <v>1388</v>
      </c>
      <c r="G3097" s="31" t="s">
        <v>326</v>
      </c>
      <c r="H3097" s="43" t="s">
        <v>4885</v>
      </c>
      <c r="I3097" s="37" t="str">
        <f>VLOOKUP(H3097,'Flow Location'!$A$1:$B$21,2,FALSE)</f>
        <v>Contained On Site, not within 5 ft. of Bayou/Surface Water/Drainage Ditch</v>
      </c>
      <c r="J3097" s="44">
        <v>0.0</v>
      </c>
      <c r="K3097" s="43" t="s">
        <v>4886</v>
      </c>
      <c r="L3097" s="37" t="str">
        <f>VLOOKUP(K3097,'Structure type'!$A$1:$B$15,2,FALSE)</f>
        <v>City Cleanout</v>
      </c>
      <c r="M3097" s="43" t="s">
        <v>4887</v>
      </c>
      <c r="N3097" s="23" t="str">
        <f>VLOOKUP(M3097,'Excursion Cause'!$A$1:$B$34,2,FALSE)</f>
        <v>Collection system structural blockage</v>
      </c>
      <c r="O3097" s="45">
        <v>45228.0</v>
      </c>
      <c r="P3097" s="46" t="s">
        <v>4888</v>
      </c>
      <c r="Q3097" s="49">
        <v>45228.0</v>
      </c>
      <c r="R3097" s="46" t="s">
        <v>4889</v>
      </c>
      <c r="S3097" s="44">
        <v>0.0</v>
      </c>
      <c r="T3097" s="43" t="s">
        <v>4890</v>
      </c>
      <c r="U3097" s="6"/>
      <c r="V3097" s="6"/>
      <c r="W3097" s="35">
        <v>29.8580344</v>
      </c>
      <c r="X3097" s="35">
        <v>-95.2964879</v>
      </c>
      <c r="AA3097" s="33"/>
      <c r="AB3097" s="33"/>
      <c r="AC3097" s="33"/>
      <c r="AD3097" s="33"/>
      <c r="AE3097" s="33"/>
      <c r="AF3097" s="33"/>
      <c r="AG3097" s="33"/>
      <c r="AH3097" s="33"/>
      <c r="AI3097" s="33"/>
      <c r="AJ3097" s="33"/>
      <c r="AK3097" s="33"/>
      <c r="AL3097" s="33"/>
      <c r="AM3097" s="33"/>
      <c r="AN3097" s="33"/>
      <c r="AO3097" s="33"/>
    </row>
    <row r="3098" ht="15.75" customHeight="1">
      <c r="A3098" s="42">
        <v>54632.0</v>
      </c>
      <c r="B3098" s="23">
        <v>2023.0</v>
      </c>
      <c r="C3098" s="36" t="str">
        <f t="shared" si="7"/>
        <v>242 OWENS ST,Houston,TX</v>
      </c>
      <c r="D3098" s="43" t="s">
        <v>4891</v>
      </c>
      <c r="E3098" s="23" t="s">
        <v>25</v>
      </c>
      <c r="F3098" s="23" t="s">
        <v>1388</v>
      </c>
      <c r="G3098" s="31" t="s">
        <v>247</v>
      </c>
      <c r="H3098" s="43" t="s">
        <v>4892</v>
      </c>
      <c r="I3098" s="37" t="str">
        <f>VLOOKUP(H3098,'Flow Location'!$A$1:$B$21,2,FALSE)</f>
        <v>Bayou/surface water/drainage ditch</v>
      </c>
      <c r="J3098" s="44">
        <v>0.0</v>
      </c>
      <c r="K3098" s="43" t="s">
        <v>4893</v>
      </c>
      <c r="L3098" s="37" t="str">
        <f>VLOOKUP(K3098,'Structure type'!$A$1:$B$15,2,FALSE)</f>
        <v>Manhole</v>
      </c>
      <c r="M3098" s="43" t="s">
        <v>4894</v>
      </c>
      <c r="N3098" s="23" t="str">
        <f>VLOOKUP(M3098,'Excursion Cause'!$A$1:$B$34,2,FALSE)</f>
        <v>Grease Blockage</v>
      </c>
      <c r="O3098" s="45">
        <v>45228.0</v>
      </c>
      <c r="P3098" s="46" t="s">
        <v>4895</v>
      </c>
      <c r="Q3098" s="49">
        <v>45228.0</v>
      </c>
      <c r="R3098" s="46" t="s">
        <v>4896</v>
      </c>
      <c r="S3098" s="44">
        <v>0.0</v>
      </c>
      <c r="T3098" s="43" t="s">
        <v>4897</v>
      </c>
      <c r="U3098" s="6"/>
      <c r="V3098" s="6"/>
      <c r="W3098" s="35">
        <v>29.7407671</v>
      </c>
      <c r="X3098" s="35">
        <v>-95.2589981</v>
      </c>
      <c r="AA3098" s="33"/>
      <c r="AB3098" s="33"/>
      <c r="AC3098" s="33"/>
      <c r="AD3098" s="33"/>
      <c r="AE3098" s="33"/>
      <c r="AF3098" s="33"/>
      <c r="AG3098" s="33"/>
      <c r="AH3098" s="33"/>
      <c r="AI3098" s="33"/>
      <c r="AJ3098" s="33"/>
      <c r="AK3098" s="33"/>
      <c r="AL3098" s="33"/>
      <c r="AM3098" s="33"/>
      <c r="AN3098" s="33"/>
      <c r="AO3098" s="33"/>
    </row>
    <row r="3099" ht="15.75" customHeight="1">
      <c r="A3099" s="42">
        <v>54634.0</v>
      </c>
      <c r="B3099" s="23">
        <v>2023.0</v>
      </c>
      <c r="C3099" s="36" t="str">
        <f t="shared" si="7"/>
        <v>2112 TRUXILLO ST,Houston,TX</v>
      </c>
      <c r="D3099" s="43" t="s">
        <v>4898</v>
      </c>
      <c r="E3099" s="23" t="s">
        <v>25</v>
      </c>
      <c r="F3099" s="23" t="s">
        <v>1388</v>
      </c>
      <c r="G3099" s="31" t="s">
        <v>308</v>
      </c>
      <c r="H3099" s="43" t="s">
        <v>4899</v>
      </c>
      <c r="I3099" s="37" t="str">
        <f>VLOOKUP(H3099,'Flow Location'!$A$1:$B$21,2,FALSE)</f>
        <v>Contained On Site, not within 5 ft. of Bayou/Surface Water/Drainage Ditch</v>
      </c>
      <c r="J3099" s="44">
        <v>0.0</v>
      </c>
      <c r="K3099" s="43" t="s">
        <v>4900</v>
      </c>
      <c r="L3099" s="37" t="str">
        <f>VLOOKUP(K3099,'Structure type'!$A$1:$B$15,2,FALSE)</f>
        <v>Private Cleanout</v>
      </c>
      <c r="M3099" s="43" t="s">
        <v>4901</v>
      </c>
      <c r="N3099" s="23" t="str">
        <f>VLOOKUP(M3099,'Excursion Cause'!$A$1:$B$34,2,FALSE)</f>
        <v>Grease Blockage</v>
      </c>
      <c r="O3099" s="45">
        <v>45229.0</v>
      </c>
      <c r="P3099" s="46" t="s">
        <v>4902</v>
      </c>
      <c r="Q3099" s="49">
        <v>45229.0</v>
      </c>
      <c r="R3099" s="46" t="s">
        <v>4903</v>
      </c>
      <c r="S3099" s="44">
        <v>0.0</v>
      </c>
      <c r="T3099" s="43" t="s">
        <v>4904</v>
      </c>
      <c r="U3099" s="6"/>
      <c r="V3099" s="6"/>
      <c r="W3099" s="35">
        <v>29.7312024</v>
      </c>
      <c r="X3099" s="35">
        <v>-95.3708085</v>
      </c>
      <c r="AA3099" s="33"/>
      <c r="AB3099" s="33"/>
      <c r="AC3099" s="33"/>
      <c r="AD3099" s="33"/>
      <c r="AE3099" s="33"/>
      <c r="AF3099" s="33"/>
      <c r="AG3099" s="33"/>
      <c r="AH3099" s="33"/>
      <c r="AI3099" s="33"/>
      <c r="AJ3099" s="33"/>
      <c r="AK3099" s="33"/>
      <c r="AL3099" s="33"/>
      <c r="AM3099" s="33"/>
      <c r="AN3099" s="33"/>
      <c r="AO3099" s="33"/>
    </row>
    <row r="3100" ht="15.75" customHeight="1">
      <c r="A3100" s="42">
        <v>54636.0</v>
      </c>
      <c r="B3100" s="23">
        <v>2023.0</v>
      </c>
      <c r="C3100" s="36" t="str">
        <f t="shared" si="7"/>
        <v>6768 RENWICK DR,Houston,TX</v>
      </c>
      <c r="D3100" s="43" t="s">
        <v>4905</v>
      </c>
      <c r="E3100" s="23" t="s">
        <v>25</v>
      </c>
      <c r="F3100" s="23" t="s">
        <v>1388</v>
      </c>
      <c r="G3100" s="31" t="s">
        <v>287</v>
      </c>
      <c r="H3100" s="43" t="s">
        <v>4906</v>
      </c>
      <c r="I3100" s="37" t="str">
        <f>VLOOKUP(H3100,'Flow Location'!$A$1:$B$21,2,FALSE)</f>
        <v>Contained On Site, not within 5 ft. of Bayou/Surface Water/Drainage Ditch</v>
      </c>
      <c r="J3100" s="44">
        <v>57.0</v>
      </c>
      <c r="K3100" s="43" t="s">
        <v>4907</v>
      </c>
      <c r="L3100" s="37" t="str">
        <f>VLOOKUP(K3100,'Structure type'!$A$1:$B$15,2,FALSE)</f>
        <v>City Cleanout</v>
      </c>
      <c r="M3100" s="43" t="s">
        <v>4908</v>
      </c>
      <c r="N3100" s="23" t="str">
        <f>VLOOKUP(M3100,'Excursion Cause'!$A$1:$B$34,2,FALSE)</f>
        <v>Grease Blockage</v>
      </c>
      <c r="O3100" s="45">
        <v>45229.0</v>
      </c>
      <c r="P3100" s="46" t="s">
        <v>4909</v>
      </c>
      <c r="Q3100" s="49">
        <v>45229.0</v>
      </c>
      <c r="R3100" s="46" t="s">
        <v>4910</v>
      </c>
      <c r="S3100" s="44">
        <v>1.0</v>
      </c>
      <c r="T3100" s="43" t="s">
        <v>4911</v>
      </c>
      <c r="U3100" s="6"/>
      <c r="V3100" s="6"/>
      <c r="W3100" s="35">
        <v>29.7060684</v>
      </c>
      <c r="X3100" s="35">
        <v>-95.4850929999999</v>
      </c>
      <c r="AA3100" s="33"/>
      <c r="AB3100" s="33"/>
      <c r="AC3100" s="33"/>
      <c r="AD3100" s="33"/>
      <c r="AE3100" s="33"/>
      <c r="AF3100" s="33"/>
      <c r="AG3100" s="33"/>
      <c r="AH3100" s="33"/>
      <c r="AI3100" s="33"/>
      <c r="AJ3100" s="33"/>
      <c r="AK3100" s="33"/>
      <c r="AL3100" s="33"/>
      <c r="AM3100" s="33"/>
      <c r="AN3100" s="33"/>
      <c r="AO3100" s="33"/>
    </row>
    <row r="3101" ht="15.75" customHeight="1">
      <c r="A3101" s="42">
        <v>54637.0</v>
      </c>
      <c r="B3101" s="23">
        <v>2023.0</v>
      </c>
      <c r="C3101" s="36" t="str">
        <f t="shared" si="7"/>
        <v>3401 BLALOCK RD,Houston,TX</v>
      </c>
      <c r="D3101" s="43" t="s">
        <v>4912</v>
      </c>
      <c r="E3101" s="23" t="s">
        <v>25</v>
      </c>
      <c r="F3101" s="23" t="s">
        <v>1388</v>
      </c>
      <c r="G3101" s="31" t="s">
        <v>294</v>
      </c>
      <c r="H3101" s="43" t="s">
        <v>4913</v>
      </c>
      <c r="I3101" s="37" t="str">
        <f>VLOOKUP(H3101,'Flow Location'!$A$1:$B$21,2,FALSE)</f>
        <v>Storm Sewer (not contained)</v>
      </c>
      <c r="J3101" s="44">
        <v>218.0</v>
      </c>
      <c r="K3101" s="43" t="s">
        <v>4914</v>
      </c>
      <c r="L3101" s="37" t="str">
        <f>VLOOKUP(K3101,'Structure type'!$A$1:$B$15,2,FALSE)</f>
        <v>Manhole</v>
      </c>
      <c r="M3101" s="43" t="s">
        <v>4915</v>
      </c>
      <c r="N3101" s="23" t="str">
        <f>VLOOKUP(M3101,'Excursion Cause'!$A$1:$B$34,2,FALSE)</f>
        <v>Grease Blockage</v>
      </c>
      <c r="O3101" s="45">
        <v>45229.0</v>
      </c>
      <c r="P3101" s="46" t="s">
        <v>4916</v>
      </c>
      <c r="Q3101" s="49">
        <v>45229.0</v>
      </c>
      <c r="R3101" s="46" t="s">
        <v>4917</v>
      </c>
      <c r="S3101" s="44">
        <v>1.0</v>
      </c>
      <c r="T3101" s="43" t="s">
        <v>4918</v>
      </c>
      <c r="U3101" s="6"/>
      <c r="V3101" s="6"/>
      <c r="W3101" s="35">
        <v>29.8235685</v>
      </c>
      <c r="X3101" s="35">
        <v>-95.5231908</v>
      </c>
      <c r="AA3101" s="33"/>
      <c r="AB3101" s="33"/>
      <c r="AC3101" s="33"/>
      <c r="AD3101" s="33"/>
      <c r="AE3101" s="33"/>
      <c r="AF3101" s="33"/>
      <c r="AG3101" s="33"/>
      <c r="AH3101" s="33"/>
      <c r="AI3101" s="33"/>
      <c r="AJ3101" s="33"/>
      <c r="AK3101" s="33"/>
      <c r="AL3101" s="33"/>
      <c r="AM3101" s="33"/>
      <c r="AN3101" s="33"/>
      <c r="AO3101" s="33"/>
    </row>
    <row r="3102" ht="15.75" customHeight="1">
      <c r="A3102" s="42">
        <v>54639.0</v>
      </c>
      <c r="B3102" s="23">
        <v>2023.0</v>
      </c>
      <c r="C3102" s="36" t="str">
        <f t="shared" si="7"/>
        <v>4200 LOCKFIELD ST,Houston,TX</v>
      </c>
      <c r="D3102" s="43" t="s">
        <v>4919</v>
      </c>
      <c r="E3102" s="23" t="s">
        <v>25</v>
      </c>
      <c r="F3102" s="23" t="s">
        <v>1388</v>
      </c>
      <c r="G3102" s="31" t="s">
        <v>76</v>
      </c>
      <c r="H3102" s="43" t="s">
        <v>4920</v>
      </c>
      <c r="I3102" s="37" t="str">
        <f>VLOOKUP(H3102,'Flow Location'!$A$1:$B$21,2,FALSE)</f>
        <v>Contained On Site, not within 5 ft. of Bayou/Surface Water/Drainage Ditch</v>
      </c>
      <c r="J3102" s="44">
        <v>0.0</v>
      </c>
      <c r="K3102" s="43" t="s">
        <v>4921</v>
      </c>
      <c r="L3102" s="37" t="str">
        <f>VLOOKUP(K3102,'Structure type'!$A$1:$B$15,2,FALSE)</f>
        <v>City Cleanout</v>
      </c>
      <c r="M3102" s="43" t="s">
        <v>4922</v>
      </c>
      <c r="N3102" s="23" t="str">
        <f>VLOOKUP(M3102,'Excursion Cause'!$A$1:$B$34,2,FALSE)</f>
        <v>Grease Blockage</v>
      </c>
      <c r="O3102" s="45">
        <v>45229.0</v>
      </c>
      <c r="P3102" s="46" t="s">
        <v>4923</v>
      </c>
      <c r="Q3102" s="49">
        <v>45229.0</v>
      </c>
      <c r="R3102" s="46" t="s">
        <v>4924</v>
      </c>
      <c r="S3102" s="44">
        <v>0.0</v>
      </c>
      <c r="T3102" s="43" t="s">
        <v>4925</v>
      </c>
      <c r="U3102" s="6"/>
      <c r="V3102" s="6"/>
      <c r="W3102" s="35">
        <v>29.8304901</v>
      </c>
      <c r="X3102" s="35">
        <v>-95.4853517</v>
      </c>
      <c r="AA3102" s="33"/>
      <c r="AB3102" s="33"/>
      <c r="AC3102" s="33"/>
      <c r="AD3102" s="33"/>
      <c r="AE3102" s="33"/>
      <c r="AF3102" s="33"/>
      <c r="AG3102" s="33"/>
      <c r="AH3102" s="33"/>
      <c r="AI3102" s="33"/>
      <c r="AJ3102" s="33"/>
      <c r="AK3102" s="33"/>
      <c r="AL3102" s="33"/>
      <c r="AM3102" s="33"/>
      <c r="AN3102" s="33"/>
      <c r="AO3102" s="33"/>
    </row>
    <row r="3103" ht="15.75" customHeight="1">
      <c r="A3103" s="42">
        <v>54642.0</v>
      </c>
      <c r="B3103" s="23">
        <v>2023.0</v>
      </c>
      <c r="C3103" s="36" t="str">
        <f t="shared" si="7"/>
        <v>1021 WESTMONT DR,Houston,TX</v>
      </c>
      <c r="D3103" s="43" t="s">
        <v>4926</v>
      </c>
      <c r="E3103" s="23" t="s">
        <v>25</v>
      </c>
      <c r="F3103" s="23" t="s">
        <v>1388</v>
      </c>
      <c r="G3103" s="31" t="s">
        <v>623</v>
      </c>
      <c r="H3103" s="43" t="s">
        <v>4927</v>
      </c>
      <c r="I3103" s="37" t="str">
        <f>VLOOKUP(H3103,'Flow Location'!$A$1:$B$21,2,FALSE)</f>
        <v>Bayou/surface water/drainage ditch</v>
      </c>
      <c r="J3103" s="44">
        <v>0.0</v>
      </c>
      <c r="K3103" s="43" t="s">
        <v>4928</v>
      </c>
      <c r="L3103" s="37" t="str">
        <f>VLOOKUP(K3103,'Structure type'!$A$1:$B$15,2,FALSE)</f>
        <v>City Cleanout</v>
      </c>
      <c r="M3103" s="43" t="s">
        <v>4929</v>
      </c>
      <c r="N3103" s="23" t="str">
        <f>VLOOKUP(M3103,'Excursion Cause'!$A$1:$B$34,2,FALSE)</f>
        <v>Rags/Wipes</v>
      </c>
      <c r="O3103" s="45">
        <v>45229.0</v>
      </c>
      <c r="P3103" s="46" t="s">
        <v>4930</v>
      </c>
      <c r="Q3103" s="49">
        <v>45229.0</v>
      </c>
      <c r="R3103" s="46" t="s">
        <v>4931</v>
      </c>
      <c r="S3103" s="44">
        <v>0.0</v>
      </c>
      <c r="T3103" s="43" t="s">
        <v>4932</v>
      </c>
      <c r="U3103" s="6"/>
      <c r="V3103" s="6"/>
      <c r="W3103" s="35">
        <v>29.7748133</v>
      </c>
      <c r="X3103" s="35">
        <v>-95.1937862</v>
      </c>
      <c r="AA3103" s="33"/>
      <c r="AB3103" s="33"/>
      <c r="AC3103" s="33"/>
      <c r="AD3103" s="33"/>
      <c r="AE3103" s="33"/>
      <c r="AF3103" s="33"/>
      <c r="AG3103" s="33"/>
      <c r="AH3103" s="33"/>
      <c r="AI3103" s="33"/>
      <c r="AJ3103" s="33"/>
      <c r="AK3103" s="33"/>
      <c r="AL3103" s="33"/>
      <c r="AM3103" s="33"/>
      <c r="AN3103" s="33"/>
      <c r="AO3103" s="33"/>
    </row>
    <row r="3104" ht="15.75" customHeight="1">
      <c r="A3104" s="42">
        <v>54644.0</v>
      </c>
      <c r="B3104" s="23">
        <v>2023.0</v>
      </c>
      <c r="C3104" s="36" t="str">
        <f t="shared" si="7"/>
        <v>10950 LINDEN GATE DR,Houston,TX</v>
      </c>
      <c r="D3104" s="43" t="s">
        <v>4933</v>
      </c>
      <c r="E3104" s="23" t="s">
        <v>25</v>
      </c>
      <c r="F3104" s="23" t="s">
        <v>1388</v>
      </c>
      <c r="G3104" s="31" t="s">
        <v>95</v>
      </c>
      <c r="H3104" s="43" t="s">
        <v>4934</v>
      </c>
      <c r="I3104" s="37" t="str">
        <f>VLOOKUP(H3104,'Flow Location'!$A$1:$B$21,2,FALSE)</f>
        <v>Storm Sewer (not contained)</v>
      </c>
      <c r="J3104" s="44">
        <v>0.0</v>
      </c>
      <c r="K3104" s="43" t="s">
        <v>4935</v>
      </c>
      <c r="L3104" s="37" t="str">
        <f>VLOOKUP(K3104,'Structure type'!$A$1:$B$15,2,FALSE)</f>
        <v>Private Cleanout</v>
      </c>
      <c r="M3104" s="43" t="s">
        <v>4936</v>
      </c>
      <c r="N3104" s="23" t="str">
        <f>VLOOKUP(M3104,'Excursion Cause'!$A$1:$B$34,2,FALSE)</f>
        <v>Grease Blockage</v>
      </c>
      <c r="O3104" s="45">
        <v>45229.0</v>
      </c>
      <c r="P3104" s="46" t="s">
        <v>4937</v>
      </c>
      <c r="Q3104" s="49">
        <v>45229.0</v>
      </c>
      <c r="R3104" s="46" t="s">
        <v>4938</v>
      </c>
      <c r="S3104" s="44">
        <v>0.0</v>
      </c>
      <c r="T3104" s="43" t="s">
        <v>4939</v>
      </c>
      <c r="U3104" s="6"/>
      <c r="V3104" s="6"/>
      <c r="W3104" s="35">
        <v>29.6059147</v>
      </c>
      <c r="X3104" s="35">
        <v>-95.2536428</v>
      </c>
      <c r="AA3104" s="33"/>
      <c r="AB3104" s="33"/>
      <c r="AC3104" s="33"/>
      <c r="AD3104" s="33"/>
      <c r="AE3104" s="33"/>
      <c r="AF3104" s="33"/>
      <c r="AG3104" s="33"/>
      <c r="AH3104" s="33"/>
      <c r="AI3104" s="33"/>
      <c r="AJ3104" s="33"/>
      <c r="AK3104" s="33"/>
      <c r="AL3104" s="33"/>
      <c r="AM3104" s="33"/>
      <c r="AN3104" s="33"/>
      <c r="AO3104" s="33"/>
    </row>
    <row r="3105" ht="15.75" customHeight="1">
      <c r="A3105" s="42">
        <v>54648.0</v>
      </c>
      <c r="B3105" s="23">
        <v>2023.0</v>
      </c>
      <c r="C3105" s="36" t="str">
        <f t="shared" si="7"/>
        <v>8319 GLENALTA ST,Houston,TX</v>
      </c>
      <c r="D3105" s="43" t="s">
        <v>4940</v>
      </c>
      <c r="E3105" s="23" t="s">
        <v>25</v>
      </c>
      <c r="F3105" s="23" t="s">
        <v>1388</v>
      </c>
      <c r="G3105" s="31" t="s">
        <v>398</v>
      </c>
      <c r="H3105" s="43" t="s">
        <v>4941</v>
      </c>
      <c r="I3105" s="37" t="str">
        <f>VLOOKUP(H3105,'Flow Location'!$A$1:$B$21,2,FALSE)</f>
        <v>Contained On Site, not within 5 ft. of Bayou/Surface Water/Drainage Ditch</v>
      </c>
      <c r="J3105" s="44">
        <v>0.0</v>
      </c>
      <c r="K3105" s="43" t="s">
        <v>4942</v>
      </c>
      <c r="L3105" s="37" t="str">
        <f>VLOOKUP(K3105,'Structure type'!$A$1:$B$15,2,FALSE)</f>
        <v>Manhole</v>
      </c>
      <c r="M3105" s="43" t="s">
        <v>4943</v>
      </c>
      <c r="N3105" s="23" t="str">
        <f>VLOOKUP(M3105,'Excursion Cause'!$A$1:$B$34,2,FALSE)</f>
        <v>Collection system structural blockage</v>
      </c>
      <c r="O3105" s="45">
        <v>45230.0</v>
      </c>
      <c r="P3105" s="46" t="s">
        <v>4944</v>
      </c>
      <c r="Q3105" s="49">
        <v>45230.0</v>
      </c>
      <c r="R3105" s="46" t="s">
        <v>4945</v>
      </c>
      <c r="S3105" s="44">
        <v>0.0</v>
      </c>
      <c r="T3105" s="43" t="s">
        <v>4946</v>
      </c>
      <c r="U3105" s="6"/>
      <c r="V3105" s="6"/>
      <c r="W3105" s="35">
        <v>29.6697358</v>
      </c>
      <c r="X3105" s="35">
        <v>-95.2674234999999</v>
      </c>
      <c r="AA3105" s="33"/>
      <c r="AB3105" s="33"/>
      <c r="AC3105" s="33"/>
      <c r="AD3105" s="33"/>
      <c r="AE3105" s="33"/>
      <c r="AF3105" s="33"/>
      <c r="AG3105" s="33"/>
      <c r="AH3105" s="33"/>
      <c r="AI3105" s="33"/>
      <c r="AJ3105" s="33"/>
      <c r="AK3105" s="33"/>
      <c r="AL3105" s="33"/>
      <c r="AM3105" s="33"/>
      <c r="AN3105" s="33"/>
      <c r="AO3105" s="33"/>
    </row>
    <row r="3106" ht="15.75" customHeight="1">
      <c r="A3106" s="50">
        <v>54658.0</v>
      </c>
      <c r="B3106" s="23">
        <v>2023.0</v>
      </c>
      <c r="C3106" s="36" t="str">
        <f t="shared" si="7"/>
        <v>206 FAUST LN,Houston,TX</v>
      </c>
      <c r="D3106" s="51" t="s">
        <v>4947</v>
      </c>
      <c r="E3106" s="23" t="s">
        <v>25</v>
      </c>
      <c r="F3106" s="23" t="s">
        <v>1388</v>
      </c>
      <c r="G3106" s="31" t="s">
        <v>123</v>
      </c>
      <c r="H3106" s="43" t="s">
        <v>4948</v>
      </c>
      <c r="I3106" s="37" t="str">
        <f>VLOOKUP(H3106,'Flow Location'!$A$1:$B$21,2,FALSE)</f>
        <v>Storm Sewer (not contained)</v>
      </c>
      <c r="J3106" s="52">
        <v>229.0</v>
      </c>
      <c r="K3106" s="51" t="s">
        <v>29</v>
      </c>
      <c r="L3106" s="37" t="str">
        <f>VLOOKUP(K3106,'Structure type'!$A$1:$B$15,2,FALSE)</f>
        <v>Manhole</v>
      </c>
      <c r="M3106" s="51" t="s">
        <v>30</v>
      </c>
      <c r="N3106" s="23" t="str">
        <f>VLOOKUP(M3106,'Excursion Cause'!$A$1:$B$34,2,FALSE)</f>
        <v>Grease Blockage</v>
      </c>
      <c r="O3106" s="53">
        <v>45231.0</v>
      </c>
      <c r="P3106" s="54">
        <v>0.42777777777777776</v>
      </c>
      <c r="Q3106" s="55">
        <v>45231.0</v>
      </c>
      <c r="R3106" s="54">
        <v>0.5868055555555556</v>
      </c>
      <c r="S3106" s="52">
        <v>1.0</v>
      </c>
      <c r="T3106" s="51" t="s">
        <v>1462</v>
      </c>
      <c r="U3106" s="56"/>
      <c r="V3106" s="56"/>
      <c r="W3106" s="35">
        <v>29.764549</v>
      </c>
      <c r="X3106" s="35">
        <v>-95.5580567999999</v>
      </c>
      <c r="AA3106" s="33"/>
      <c r="AB3106" s="33"/>
      <c r="AC3106" s="33"/>
      <c r="AD3106" s="33"/>
      <c r="AE3106" s="33"/>
      <c r="AF3106" s="33"/>
      <c r="AG3106" s="33"/>
      <c r="AH3106" s="33"/>
      <c r="AI3106" s="33"/>
      <c r="AJ3106" s="33"/>
      <c r="AK3106" s="33"/>
      <c r="AL3106" s="33"/>
      <c r="AM3106" s="33"/>
      <c r="AN3106" s="33"/>
      <c r="AO3106" s="33"/>
    </row>
    <row r="3107" ht="15.75" customHeight="1">
      <c r="A3107" s="50">
        <v>54666.0</v>
      </c>
      <c r="B3107" s="23">
        <v>2023.0</v>
      </c>
      <c r="C3107" s="36" t="str">
        <f t="shared" si="7"/>
        <v>3100 GILLESPIE ST,Houston,TX</v>
      </c>
      <c r="D3107" s="51" t="s">
        <v>4949</v>
      </c>
      <c r="E3107" s="23" t="s">
        <v>25</v>
      </c>
      <c r="F3107" s="23" t="s">
        <v>1388</v>
      </c>
      <c r="G3107" s="31" t="s">
        <v>86</v>
      </c>
      <c r="H3107" s="43" t="s">
        <v>4950</v>
      </c>
      <c r="I3107" s="37" t="str">
        <f>VLOOKUP(H3107,'Flow Location'!$A$1:$B$21,2,FALSE)</f>
        <v>Storm Sewer (not contained)</v>
      </c>
      <c r="J3107" s="52">
        <v>0.0</v>
      </c>
      <c r="K3107" s="51" t="s">
        <v>29</v>
      </c>
      <c r="L3107" s="37" t="str">
        <f>VLOOKUP(K3107,'Structure type'!$A$1:$B$15,2,FALSE)</f>
        <v>Manhole</v>
      </c>
      <c r="M3107" s="51" t="s">
        <v>30</v>
      </c>
      <c r="N3107" s="23" t="str">
        <f>VLOOKUP(M3107,'Excursion Cause'!$A$1:$B$34,2,FALSE)</f>
        <v>Grease Blockage</v>
      </c>
      <c r="O3107" s="53">
        <v>45232.0</v>
      </c>
      <c r="P3107" s="54">
        <v>0.35694444444444445</v>
      </c>
      <c r="Q3107" s="55">
        <v>45232.0</v>
      </c>
      <c r="R3107" s="54">
        <v>0.3576388888888889</v>
      </c>
      <c r="S3107" s="52">
        <v>0.0</v>
      </c>
      <c r="T3107" s="51" t="s">
        <v>3749</v>
      </c>
      <c r="U3107" s="56"/>
      <c r="V3107" s="56"/>
      <c r="W3107" s="35">
        <v>29.7671351999999</v>
      </c>
      <c r="X3107" s="35">
        <v>-95.3388059</v>
      </c>
      <c r="AA3107" s="33"/>
      <c r="AB3107" s="33"/>
      <c r="AC3107" s="33"/>
      <c r="AD3107" s="33"/>
      <c r="AE3107" s="33"/>
      <c r="AF3107" s="33"/>
      <c r="AG3107" s="33"/>
      <c r="AH3107" s="33"/>
      <c r="AI3107" s="33"/>
      <c r="AJ3107" s="33"/>
      <c r="AK3107" s="33"/>
      <c r="AL3107" s="33"/>
      <c r="AM3107" s="33"/>
      <c r="AN3107" s="33"/>
      <c r="AO3107" s="33"/>
    </row>
    <row r="3108" ht="15.75" customHeight="1">
      <c r="A3108" s="50">
        <v>54667.0</v>
      </c>
      <c r="B3108" s="23">
        <v>2023.0</v>
      </c>
      <c r="C3108" s="36" t="str">
        <f t="shared" si="7"/>
        <v>5697 HOLLISTER ST,Houston,TX</v>
      </c>
      <c r="D3108" s="51" t="s">
        <v>4951</v>
      </c>
      <c r="E3108" s="23" t="s">
        <v>25</v>
      </c>
      <c r="F3108" s="23" t="s">
        <v>1388</v>
      </c>
      <c r="G3108" s="31" t="s">
        <v>253</v>
      </c>
      <c r="H3108" s="57" t="s">
        <v>4952</v>
      </c>
      <c r="I3108" s="37" t="str">
        <f>VLOOKUP(H3108,'Flow Location'!$A$1:$B$21,2,FALSE)</f>
        <v>Bayou/surface water/drainage ditch</v>
      </c>
      <c r="J3108" s="52">
        <v>0.0</v>
      </c>
      <c r="K3108" s="51" t="s">
        <v>290</v>
      </c>
      <c r="L3108" s="37" t="str">
        <f>VLOOKUP(K3108,'Structure type'!$A$1:$B$15,2,FALSE)</f>
        <v>Gravity Main</v>
      </c>
      <c r="M3108" s="51" t="s">
        <v>56</v>
      </c>
      <c r="N3108" s="23" t="str">
        <f>VLOOKUP(M3108,'Excursion Cause'!$A$1:$B$34,2,FALSE)</f>
        <v>Rags/Wipes</v>
      </c>
      <c r="O3108" s="53">
        <v>45232.0</v>
      </c>
      <c r="P3108" s="54">
        <v>0.3680555555555556</v>
      </c>
      <c r="Q3108" s="55">
        <v>45232.0</v>
      </c>
      <c r="R3108" s="54">
        <v>0.36875</v>
      </c>
      <c r="S3108" s="52">
        <v>0.0</v>
      </c>
      <c r="T3108" s="51" t="s">
        <v>37</v>
      </c>
      <c r="U3108" s="56"/>
      <c r="V3108" s="56"/>
      <c r="W3108" s="35">
        <v>29.8485064</v>
      </c>
      <c r="X3108" s="35">
        <v>-95.5058304</v>
      </c>
      <c r="AA3108" s="33"/>
      <c r="AB3108" s="33"/>
      <c r="AC3108" s="33"/>
      <c r="AD3108" s="33"/>
      <c r="AE3108" s="33"/>
      <c r="AF3108" s="33"/>
      <c r="AG3108" s="33"/>
      <c r="AH3108" s="33"/>
      <c r="AI3108" s="33"/>
      <c r="AJ3108" s="33"/>
      <c r="AK3108" s="33"/>
      <c r="AL3108" s="33"/>
      <c r="AM3108" s="33"/>
      <c r="AN3108" s="33"/>
      <c r="AO3108" s="33"/>
    </row>
    <row r="3109" ht="15.75" customHeight="1">
      <c r="A3109" s="50">
        <v>54673.0</v>
      </c>
      <c r="B3109" s="23">
        <v>2023.0</v>
      </c>
      <c r="C3109" s="36" t="str">
        <f t="shared" si="7"/>
        <v>9325 EVERGLADE DR,Houston,TX</v>
      </c>
      <c r="D3109" s="51" t="s">
        <v>4953</v>
      </c>
      <c r="E3109" s="23" t="s">
        <v>25</v>
      </c>
      <c r="F3109" s="23" t="s">
        <v>1388</v>
      </c>
      <c r="G3109" s="31" t="s">
        <v>387</v>
      </c>
      <c r="H3109" s="43" t="s">
        <v>4954</v>
      </c>
      <c r="I3109" s="37" t="str">
        <f>VLOOKUP(H3109,'Flow Location'!$A$1:$B$21,2,FALSE)</f>
        <v>Storm Sewer (not contained)</v>
      </c>
      <c r="J3109" s="52">
        <v>0.0</v>
      </c>
      <c r="K3109" s="51" t="s">
        <v>45</v>
      </c>
      <c r="L3109" s="37" t="str">
        <f>VLOOKUP(K3109,'Structure type'!$A$1:$B$15,2,FALSE)</f>
        <v>City Cleanout</v>
      </c>
      <c r="M3109" s="51" t="s">
        <v>81</v>
      </c>
      <c r="N3109" s="23" t="str">
        <f>VLOOKUP(M3109,'Excursion Cause'!$A$1:$B$34,2,FALSE)</f>
        <v>Collection system structural failure</v>
      </c>
      <c r="O3109" s="53">
        <v>45232.0</v>
      </c>
      <c r="P3109" s="54">
        <v>0.575</v>
      </c>
      <c r="Q3109" s="55">
        <v>45232.0</v>
      </c>
      <c r="R3109" s="54">
        <v>0.5756944444444444</v>
      </c>
      <c r="S3109" s="52">
        <v>0.0</v>
      </c>
      <c r="T3109" s="51" t="s">
        <v>3756</v>
      </c>
      <c r="U3109" s="56"/>
      <c r="V3109" s="56"/>
      <c r="W3109" s="35">
        <v>29.8607528</v>
      </c>
      <c r="X3109" s="35">
        <v>-95.2521417</v>
      </c>
      <c r="AA3109" s="33"/>
      <c r="AB3109" s="33"/>
      <c r="AC3109" s="33"/>
      <c r="AD3109" s="33"/>
      <c r="AE3109" s="33"/>
      <c r="AF3109" s="33"/>
      <c r="AG3109" s="33"/>
      <c r="AH3109" s="33"/>
      <c r="AI3109" s="33"/>
      <c r="AJ3109" s="33"/>
      <c r="AK3109" s="33"/>
      <c r="AL3109" s="33"/>
      <c r="AM3109" s="33"/>
      <c r="AN3109" s="33"/>
      <c r="AO3109" s="33"/>
    </row>
    <row r="3110" ht="15.75" customHeight="1">
      <c r="A3110" s="50">
        <v>54677.0</v>
      </c>
      <c r="B3110" s="23">
        <v>2023.0</v>
      </c>
      <c r="C3110" s="36" t="str">
        <f t="shared" si="7"/>
        <v>6934 NEFF ST,Houston,TX</v>
      </c>
      <c r="D3110" s="51" t="s">
        <v>4955</v>
      </c>
      <c r="E3110" s="23" t="s">
        <v>25</v>
      </c>
      <c r="F3110" s="23" t="s">
        <v>1388</v>
      </c>
      <c r="G3110" s="31" t="s">
        <v>471</v>
      </c>
      <c r="H3110" s="43" t="s">
        <v>4956</v>
      </c>
      <c r="I3110" s="37" t="str">
        <f>VLOOKUP(H3110,'Flow Location'!$A$1:$B$21,2,FALSE)</f>
        <v>Storm Sewer (not contained)</v>
      </c>
      <c r="J3110" s="52">
        <v>174.0</v>
      </c>
      <c r="K3110" s="51" t="s">
        <v>51</v>
      </c>
      <c r="L3110" s="37" t="str">
        <f>VLOOKUP(K3110,'Structure type'!$A$1:$B$15,2,FALSE)</f>
        <v>Private Cleanout</v>
      </c>
      <c r="M3110" s="51" t="s">
        <v>30</v>
      </c>
      <c r="N3110" s="23" t="str">
        <f>VLOOKUP(M3110,'Excursion Cause'!$A$1:$B$34,2,FALSE)</f>
        <v>Grease Blockage</v>
      </c>
      <c r="O3110" s="53">
        <v>45233.0</v>
      </c>
      <c r="P3110" s="54">
        <v>0.37916666666666665</v>
      </c>
      <c r="Q3110" s="55">
        <v>45233.0</v>
      </c>
      <c r="R3110" s="54">
        <v>0.5</v>
      </c>
      <c r="S3110" s="52">
        <v>1.0</v>
      </c>
      <c r="T3110" s="51" t="s">
        <v>3749</v>
      </c>
      <c r="U3110" s="56"/>
      <c r="V3110" s="56"/>
      <c r="W3110" s="35">
        <v>29.7011013</v>
      </c>
      <c r="X3110" s="35">
        <v>-95.5059071</v>
      </c>
      <c r="AA3110" s="33"/>
      <c r="AB3110" s="33"/>
      <c r="AC3110" s="33"/>
      <c r="AD3110" s="33"/>
      <c r="AE3110" s="33"/>
      <c r="AF3110" s="33"/>
      <c r="AG3110" s="33"/>
      <c r="AH3110" s="33"/>
      <c r="AI3110" s="33"/>
      <c r="AJ3110" s="33"/>
      <c r="AK3110" s="33"/>
      <c r="AL3110" s="33"/>
      <c r="AM3110" s="33"/>
      <c r="AN3110" s="33"/>
      <c r="AO3110" s="33"/>
    </row>
    <row r="3111" ht="15.75" customHeight="1">
      <c r="A3111" s="50">
        <v>54679.0</v>
      </c>
      <c r="B3111" s="23">
        <v>2023.0</v>
      </c>
      <c r="C3111" s="36" t="str">
        <f t="shared" si="7"/>
        <v>8746 BERNDALE ST,Houston,TX</v>
      </c>
      <c r="D3111" s="51" t="s">
        <v>4957</v>
      </c>
      <c r="E3111" s="23" t="s">
        <v>25</v>
      </c>
      <c r="F3111" s="23" t="s">
        <v>1388</v>
      </c>
      <c r="G3111" s="31" t="s">
        <v>247</v>
      </c>
      <c r="H3111" s="48" t="s">
        <v>1493</v>
      </c>
      <c r="I3111" s="37" t="str">
        <f>VLOOKUP(H3111,'Flow Location'!$A$1:$B$21,2,FALSE)</f>
        <v>Contained On Site, not within 5 ft. of Bayou/Surface Water/Drainage Ditch</v>
      </c>
      <c r="J3111" s="52">
        <v>0.0</v>
      </c>
      <c r="K3111" s="51" t="s">
        <v>51</v>
      </c>
      <c r="L3111" s="37" t="str">
        <f>VLOOKUP(K3111,'Structure type'!$A$1:$B$15,2,FALSE)</f>
        <v>Private Cleanout</v>
      </c>
      <c r="M3111" s="51" t="s">
        <v>81</v>
      </c>
      <c r="N3111" s="23" t="str">
        <f>VLOOKUP(M3111,'Excursion Cause'!$A$1:$B$34,2,FALSE)</f>
        <v>Collection system structural failure</v>
      </c>
      <c r="O3111" s="53">
        <v>45233.0</v>
      </c>
      <c r="P3111" s="54">
        <v>0.6694444444444444</v>
      </c>
      <c r="Q3111" s="55">
        <v>45233.0</v>
      </c>
      <c r="R3111" s="54">
        <v>0.6701388888888888</v>
      </c>
      <c r="S3111" s="52">
        <v>0.0</v>
      </c>
      <c r="T3111" s="51" t="s">
        <v>118</v>
      </c>
      <c r="U3111" s="56"/>
      <c r="V3111" s="56"/>
      <c r="W3111" s="35">
        <v>29.7660923999999</v>
      </c>
      <c r="X3111" s="35">
        <v>-95.2679132</v>
      </c>
      <c r="AA3111" s="33"/>
      <c r="AB3111" s="33"/>
      <c r="AC3111" s="33"/>
      <c r="AD3111" s="33"/>
      <c r="AE3111" s="33"/>
      <c r="AF3111" s="33"/>
      <c r="AG3111" s="33"/>
      <c r="AH3111" s="33"/>
      <c r="AI3111" s="33"/>
      <c r="AJ3111" s="33"/>
      <c r="AK3111" s="33"/>
      <c r="AL3111" s="33"/>
      <c r="AM3111" s="33"/>
      <c r="AN3111" s="33"/>
      <c r="AO3111" s="33"/>
    </row>
    <row r="3112" ht="15.75" customHeight="1">
      <c r="A3112" s="50">
        <v>54684.0</v>
      </c>
      <c r="B3112" s="23">
        <v>2023.0</v>
      </c>
      <c r="C3112" s="36" t="str">
        <f t="shared" si="7"/>
        <v>8410 COOLIDGE ST,Houston,TX</v>
      </c>
      <c r="D3112" s="51" t="s">
        <v>4958</v>
      </c>
      <c r="E3112" s="23" t="s">
        <v>25</v>
      </c>
      <c r="F3112" s="23" t="s">
        <v>1388</v>
      </c>
      <c r="G3112" s="31" t="s">
        <v>365</v>
      </c>
      <c r="H3112" s="48" t="s">
        <v>1493</v>
      </c>
      <c r="I3112" s="37" t="str">
        <f>VLOOKUP(H3112,'Flow Location'!$A$1:$B$21,2,FALSE)</f>
        <v>Contained On Site, not within 5 ft. of Bayou/Surface Water/Drainage Ditch</v>
      </c>
      <c r="J3112" s="52">
        <v>0.0</v>
      </c>
      <c r="K3112" s="51" t="s">
        <v>198</v>
      </c>
      <c r="L3112" s="37" t="str">
        <f>VLOOKUP(K3112,'Structure type'!$A$1:$B$15,2,FALSE)</f>
        <v>Service Lateral</v>
      </c>
      <c r="M3112" s="51" t="s">
        <v>52</v>
      </c>
      <c r="N3112" s="23" t="str">
        <f>VLOOKUP(M3112,'Excursion Cause'!$A$1:$B$34,2,FALSE)</f>
        <v>Collection system structural blockage</v>
      </c>
      <c r="O3112" s="53">
        <v>45235.0</v>
      </c>
      <c r="P3112" s="54">
        <v>0.5291666666666667</v>
      </c>
      <c r="Q3112" s="55">
        <v>45235.0</v>
      </c>
      <c r="R3112" s="54">
        <v>0.5298611111111111</v>
      </c>
      <c r="S3112" s="52">
        <v>0.0</v>
      </c>
      <c r="T3112" s="51" t="s">
        <v>118</v>
      </c>
      <c r="U3112" s="56"/>
      <c r="V3112" s="56"/>
      <c r="W3112" s="35">
        <v>29.7100658</v>
      </c>
      <c r="X3112" s="35">
        <v>-95.2740556999999</v>
      </c>
      <c r="AA3112" s="33"/>
      <c r="AB3112" s="33"/>
      <c r="AC3112" s="33"/>
      <c r="AD3112" s="33"/>
      <c r="AE3112" s="33"/>
      <c r="AF3112" s="33"/>
      <c r="AG3112" s="33"/>
      <c r="AH3112" s="33"/>
      <c r="AI3112" s="33"/>
      <c r="AJ3112" s="33"/>
      <c r="AK3112" s="33"/>
      <c r="AL3112" s="33"/>
      <c r="AM3112" s="33"/>
      <c r="AN3112" s="33"/>
      <c r="AO3112" s="33"/>
    </row>
    <row r="3113" ht="15.75" customHeight="1">
      <c r="A3113" s="50">
        <v>54689.0</v>
      </c>
      <c r="B3113" s="23">
        <v>2023.0</v>
      </c>
      <c r="C3113" s="36" t="str">
        <f t="shared" si="7"/>
        <v>6047 GLENHURST DR,Houston,TX</v>
      </c>
      <c r="D3113" s="51" t="s">
        <v>4959</v>
      </c>
      <c r="E3113" s="23" t="s">
        <v>25</v>
      </c>
      <c r="F3113" s="23" t="s">
        <v>1388</v>
      </c>
      <c r="G3113" s="31" t="s">
        <v>120</v>
      </c>
      <c r="H3113" s="48" t="s">
        <v>1493</v>
      </c>
      <c r="I3113" s="37" t="str">
        <f>VLOOKUP(H3113,'Flow Location'!$A$1:$B$21,2,FALSE)</f>
        <v>Contained On Site, not within 5 ft. of Bayou/Surface Water/Drainage Ditch</v>
      </c>
      <c r="J3113" s="52">
        <v>0.0</v>
      </c>
      <c r="K3113" s="51" t="s">
        <v>51</v>
      </c>
      <c r="L3113" s="37" t="str">
        <f>VLOOKUP(K3113,'Structure type'!$A$1:$B$15,2,FALSE)</f>
        <v>Private Cleanout</v>
      </c>
      <c r="M3113" s="51" t="s">
        <v>81</v>
      </c>
      <c r="N3113" s="23" t="str">
        <f>VLOOKUP(M3113,'Excursion Cause'!$A$1:$B$34,2,FALSE)</f>
        <v>Collection system structural failure</v>
      </c>
      <c r="O3113" s="53">
        <v>45236.0</v>
      </c>
      <c r="P3113" s="54">
        <v>0.40347222222222223</v>
      </c>
      <c r="Q3113" s="55">
        <v>45236.0</v>
      </c>
      <c r="R3113" s="54">
        <v>0.4041666666666667</v>
      </c>
      <c r="S3113" s="52">
        <v>0.0</v>
      </c>
      <c r="T3113" s="51" t="s">
        <v>3745</v>
      </c>
      <c r="U3113" s="56"/>
      <c r="V3113" s="56"/>
      <c r="W3113" s="35">
        <v>29.6707079</v>
      </c>
      <c r="X3113" s="35">
        <v>-95.3261503</v>
      </c>
      <c r="AA3113" s="33"/>
      <c r="AB3113" s="33"/>
      <c r="AC3113" s="33"/>
      <c r="AD3113" s="33"/>
      <c r="AE3113" s="33"/>
      <c r="AF3113" s="33"/>
      <c r="AG3113" s="33"/>
      <c r="AH3113" s="33"/>
      <c r="AI3113" s="33"/>
      <c r="AJ3113" s="33"/>
      <c r="AK3113" s="33"/>
      <c r="AL3113" s="33"/>
      <c r="AM3113" s="33"/>
      <c r="AN3113" s="33"/>
      <c r="AO3113" s="33"/>
    </row>
    <row r="3114" ht="15.75" customHeight="1">
      <c r="A3114" s="50">
        <v>54693.0</v>
      </c>
      <c r="B3114" s="23">
        <v>2023.0</v>
      </c>
      <c r="C3114" s="36" t="str">
        <f t="shared" si="7"/>
        <v>434 GLENVALE DR,Houston,TX</v>
      </c>
      <c r="D3114" s="51" t="s">
        <v>4960</v>
      </c>
      <c r="E3114" s="23" t="s">
        <v>25</v>
      </c>
      <c r="F3114" s="23" t="s">
        <v>1388</v>
      </c>
      <c r="G3114" s="31" t="s">
        <v>393</v>
      </c>
      <c r="H3114" s="43" t="s">
        <v>4961</v>
      </c>
      <c r="I3114" s="37" t="str">
        <f>VLOOKUP(H3114,'Flow Location'!$A$1:$B$21,2,FALSE)</f>
        <v>Bayou/surface water/drainage ditch</v>
      </c>
      <c r="J3114" s="52">
        <v>37200.0</v>
      </c>
      <c r="K3114" s="51" t="s">
        <v>190</v>
      </c>
      <c r="L3114" s="37" t="str">
        <f>VLOOKUP(K3114,'Structure type'!$A$1:$B$15,2,FALSE)</f>
        <v>Force Main</v>
      </c>
      <c r="M3114" s="51" t="s">
        <v>81</v>
      </c>
      <c r="N3114" s="23" t="str">
        <f>VLOOKUP(M3114,'Excursion Cause'!$A$1:$B$34,2,FALSE)</f>
        <v>Collection system structural failure</v>
      </c>
      <c r="O3114" s="53">
        <v>45235.0</v>
      </c>
      <c r="P3114" s="54">
        <v>0.9361111111111111</v>
      </c>
      <c r="Q3114" s="55">
        <v>45244.0</v>
      </c>
      <c r="R3114" s="54">
        <v>0.4375</v>
      </c>
      <c r="S3114" s="52">
        <v>3.0</v>
      </c>
      <c r="T3114" s="51" t="s">
        <v>4144</v>
      </c>
      <c r="U3114" s="56"/>
      <c r="V3114" s="56"/>
      <c r="W3114" s="35">
        <v>29.9138159</v>
      </c>
      <c r="X3114" s="35">
        <v>-95.3913300999999</v>
      </c>
      <c r="AA3114" s="33"/>
      <c r="AB3114" s="33"/>
      <c r="AC3114" s="33"/>
      <c r="AD3114" s="33"/>
      <c r="AE3114" s="33"/>
      <c r="AF3114" s="33"/>
      <c r="AG3114" s="33"/>
      <c r="AH3114" s="33"/>
      <c r="AI3114" s="33"/>
      <c r="AJ3114" s="33"/>
      <c r="AK3114" s="33"/>
      <c r="AL3114" s="33"/>
      <c r="AM3114" s="33"/>
      <c r="AN3114" s="33"/>
      <c r="AO3114" s="33"/>
    </row>
    <row r="3115" ht="15.75" customHeight="1">
      <c r="A3115" s="50">
        <v>54696.0</v>
      </c>
      <c r="B3115" s="23">
        <v>2023.0</v>
      </c>
      <c r="C3115" s="36" t="str">
        <f t="shared" si="7"/>
        <v>6985 ASHBURN ST,Houston,TX</v>
      </c>
      <c r="D3115" s="51" t="s">
        <v>4962</v>
      </c>
      <c r="E3115" s="23" t="s">
        <v>25</v>
      </c>
      <c r="F3115" s="23" t="s">
        <v>1388</v>
      </c>
      <c r="G3115" s="31" t="s">
        <v>398</v>
      </c>
      <c r="H3115" s="48" t="s">
        <v>1493</v>
      </c>
      <c r="I3115" s="37" t="str">
        <f>VLOOKUP(H3115,'Flow Location'!$A$1:$B$21,2,FALSE)</f>
        <v>Contained On Site, not within 5 ft. of Bayou/Surface Water/Drainage Ditch</v>
      </c>
      <c r="J3115" s="52">
        <v>0.0</v>
      </c>
      <c r="K3115" s="51" t="s">
        <v>45</v>
      </c>
      <c r="L3115" s="37" t="str">
        <f>VLOOKUP(K3115,'Structure type'!$A$1:$B$15,2,FALSE)</f>
        <v>City Cleanout</v>
      </c>
      <c r="M3115" s="51" t="s">
        <v>759</v>
      </c>
      <c r="N3115" s="23" t="str">
        <f>VLOOKUP(M3115,'Excursion Cause'!$A$1:$B$34,2,FALSE)</f>
        <v>Roots</v>
      </c>
      <c r="O3115" s="53">
        <v>45236.0</v>
      </c>
      <c r="P3115" s="54">
        <v>0.5465277777777777</v>
      </c>
      <c r="Q3115" s="55">
        <v>45236.0</v>
      </c>
      <c r="R3115" s="54">
        <v>0.5472222222222223</v>
      </c>
      <c r="S3115" s="52">
        <v>0.0</v>
      </c>
      <c r="T3115" s="51" t="s">
        <v>118</v>
      </c>
      <c r="U3115" s="56"/>
      <c r="V3115" s="56"/>
      <c r="W3115" s="35">
        <v>29.6582389999999</v>
      </c>
      <c r="X3115" s="35">
        <v>-95.3062277</v>
      </c>
      <c r="AA3115" s="33"/>
      <c r="AB3115" s="33"/>
      <c r="AC3115" s="33"/>
      <c r="AD3115" s="33"/>
      <c r="AE3115" s="33"/>
      <c r="AF3115" s="33"/>
      <c r="AG3115" s="33"/>
      <c r="AH3115" s="33"/>
      <c r="AI3115" s="33"/>
      <c r="AJ3115" s="33"/>
      <c r="AK3115" s="33"/>
      <c r="AL3115" s="33"/>
      <c r="AM3115" s="33"/>
      <c r="AN3115" s="33"/>
      <c r="AO3115" s="33"/>
    </row>
    <row r="3116" ht="15.75" customHeight="1">
      <c r="A3116" s="50">
        <v>54697.0</v>
      </c>
      <c r="B3116" s="23">
        <v>2023.0</v>
      </c>
      <c r="C3116" s="36" t="str">
        <f t="shared" si="7"/>
        <v>303 73RD ST,Houston,TX</v>
      </c>
      <c r="D3116" s="51" t="s">
        <v>4963</v>
      </c>
      <c r="E3116" s="23" t="s">
        <v>25</v>
      </c>
      <c r="F3116" s="23" t="s">
        <v>1388</v>
      </c>
      <c r="G3116" s="31" t="s">
        <v>227</v>
      </c>
      <c r="H3116" s="43" t="s">
        <v>4964</v>
      </c>
      <c r="I3116" s="37" t="str">
        <f>VLOOKUP(H3116,'Flow Location'!$A$1:$B$21,2,FALSE)</f>
        <v>Storm Sewer (not contained)</v>
      </c>
      <c r="J3116" s="52">
        <v>126.0</v>
      </c>
      <c r="K3116" s="51" t="s">
        <v>29</v>
      </c>
      <c r="L3116" s="37" t="str">
        <f>VLOOKUP(K3116,'Structure type'!$A$1:$B$15,2,FALSE)</f>
        <v>Manhole</v>
      </c>
      <c r="M3116" s="51" t="s">
        <v>30</v>
      </c>
      <c r="N3116" s="23" t="str">
        <f>VLOOKUP(M3116,'Excursion Cause'!$A$1:$B$34,2,FALSE)</f>
        <v>Grease Blockage</v>
      </c>
      <c r="O3116" s="53">
        <v>45236.0</v>
      </c>
      <c r="P3116" s="54">
        <v>0.5625</v>
      </c>
      <c r="Q3116" s="55">
        <v>45236.0</v>
      </c>
      <c r="R3116" s="54">
        <v>0.60625</v>
      </c>
      <c r="S3116" s="52">
        <v>2.0</v>
      </c>
      <c r="T3116" s="51" t="s">
        <v>1462</v>
      </c>
      <c r="U3116" s="56"/>
      <c r="V3116" s="56"/>
      <c r="W3116" s="35">
        <v>29.735091</v>
      </c>
      <c r="X3116" s="35">
        <v>-95.2957242</v>
      </c>
      <c r="AA3116" s="33"/>
      <c r="AB3116" s="33"/>
      <c r="AC3116" s="33"/>
      <c r="AD3116" s="33"/>
      <c r="AE3116" s="33"/>
      <c r="AF3116" s="33"/>
      <c r="AG3116" s="33"/>
      <c r="AH3116" s="33"/>
      <c r="AI3116" s="33"/>
      <c r="AJ3116" s="33"/>
      <c r="AK3116" s="33"/>
      <c r="AL3116" s="33"/>
      <c r="AM3116" s="33"/>
      <c r="AN3116" s="33"/>
      <c r="AO3116" s="33"/>
    </row>
    <row r="3117" ht="15.75" customHeight="1">
      <c r="A3117" s="50">
        <v>54698.0</v>
      </c>
      <c r="B3117" s="23">
        <v>2023.0</v>
      </c>
      <c r="C3117" s="36" t="str">
        <f t="shared" si="7"/>
        <v>6231 LOCKE LN,Houston,TX</v>
      </c>
      <c r="D3117" s="51" t="s">
        <v>4965</v>
      </c>
      <c r="E3117" s="23" t="s">
        <v>25</v>
      </c>
      <c r="F3117" s="23" t="s">
        <v>1388</v>
      </c>
      <c r="G3117" s="31" t="s">
        <v>689</v>
      </c>
      <c r="H3117" s="48" t="s">
        <v>1493</v>
      </c>
      <c r="I3117" s="37" t="str">
        <f>VLOOKUP(H3117,'Flow Location'!$A$1:$B$21,2,FALSE)</f>
        <v>Contained On Site, not within 5 ft. of Bayou/Surface Water/Drainage Ditch</v>
      </c>
      <c r="J3117" s="52">
        <v>0.0</v>
      </c>
      <c r="K3117" s="51" t="s">
        <v>51</v>
      </c>
      <c r="L3117" s="37" t="str">
        <f>VLOOKUP(K3117,'Structure type'!$A$1:$B$15,2,FALSE)</f>
        <v>Private Cleanout</v>
      </c>
      <c r="M3117" s="51" t="s">
        <v>56</v>
      </c>
      <c r="N3117" s="23" t="str">
        <f>VLOOKUP(M3117,'Excursion Cause'!$A$1:$B$34,2,FALSE)</f>
        <v>Rags/Wipes</v>
      </c>
      <c r="O3117" s="53">
        <v>45236.0</v>
      </c>
      <c r="P3117" s="54">
        <v>0.5798611111111112</v>
      </c>
      <c r="Q3117" s="55">
        <v>45236.0</v>
      </c>
      <c r="R3117" s="54">
        <v>0.5805555555555556</v>
      </c>
      <c r="S3117" s="52">
        <v>0.0</v>
      </c>
      <c r="T3117" s="51" t="s">
        <v>3756</v>
      </c>
      <c r="U3117" s="56"/>
      <c r="V3117" s="56"/>
      <c r="W3117" s="35">
        <v>29.7384434</v>
      </c>
      <c r="X3117" s="35">
        <v>-95.494106</v>
      </c>
      <c r="AA3117" s="33"/>
      <c r="AB3117" s="33"/>
      <c r="AC3117" s="33"/>
      <c r="AD3117" s="33"/>
      <c r="AE3117" s="33"/>
      <c r="AF3117" s="33"/>
      <c r="AG3117" s="33"/>
      <c r="AH3117" s="33"/>
      <c r="AI3117" s="33"/>
      <c r="AJ3117" s="33"/>
      <c r="AK3117" s="33"/>
      <c r="AL3117" s="33"/>
      <c r="AM3117" s="33"/>
      <c r="AN3117" s="33"/>
      <c r="AO3117" s="33"/>
    </row>
    <row r="3118" ht="15.75" customHeight="1">
      <c r="A3118" s="50">
        <v>54703.0</v>
      </c>
      <c r="B3118" s="23">
        <v>2023.0</v>
      </c>
      <c r="C3118" s="36" t="str">
        <f t="shared" si="7"/>
        <v>9003 HAZEN ST,Houston,TX</v>
      </c>
      <c r="D3118" s="51" t="s">
        <v>4966</v>
      </c>
      <c r="E3118" s="23" t="s">
        <v>25</v>
      </c>
      <c r="F3118" s="23" t="s">
        <v>1388</v>
      </c>
      <c r="G3118" s="31" t="s">
        <v>100</v>
      </c>
      <c r="H3118" s="48" t="s">
        <v>1493</v>
      </c>
      <c r="I3118" s="37" t="str">
        <f>VLOOKUP(H3118,'Flow Location'!$A$1:$B$21,2,FALSE)</f>
        <v>Contained On Site, not within 5 ft. of Bayou/Surface Water/Drainage Ditch</v>
      </c>
      <c r="J3118" s="52">
        <v>1016.0</v>
      </c>
      <c r="K3118" s="51" t="s">
        <v>29</v>
      </c>
      <c r="L3118" s="37" t="str">
        <f>VLOOKUP(K3118,'Structure type'!$A$1:$B$15,2,FALSE)</f>
        <v>Manhole</v>
      </c>
      <c r="M3118" s="51" t="s">
        <v>30</v>
      </c>
      <c r="N3118" s="23" t="str">
        <f>VLOOKUP(M3118,'Excursion Cause'!$A$1:$B$34,2,FALSE)</f>
        <v>Grease Blockage</v>
      </c>
      <c r="O3118" s="53">
        <v>45237.0</v>
      </c>
      <c r="P3118" s="54">
        <v>0.3236111111111111</v>
      </c>
      <c r="Q3118" s="55">
        <v>45237.0</v>
      </c>
      <c r="R3118" s="54">
        <v>0.5</v>
      </c>
      <c r="S3118" s="52">
        <v>4.0</v>
      </c>
      <c r="T3118" s="51" t="s">
        <v>3749</v>
      </c>
      <c r="U3118" s="56"/>
      <c r="V3118" s="56"/>
      <c r="W3118" s="35">
        <v>29.6915467</v>
      </c>
      <c r="X3118" s="35">
        <v>-95.5430514999999</v>
      </c>
      <c r="AA3118" s="33"/>
      <c r="AB3118" s="33"/>
      <c r="AC3118" s="33"/>
      <c r="AD3118" s="33"/>
      <c r="AE3118" s="33"/>
      <c r="AF3118" s="33"/>
      <c r="AG3118" s="33"/>
      <c r="AH3118" s="33"/>
      <c r="AI3118" s="33"/>
      <c r="AJ3118" s="33"/>
      <c r="AK3118" s="33"/>
      <c r="AL3118" s="33"/>
      <c r="AM3118" s="33"/>
      <c r="AN3118" s="33"/>
      <c r="AO3118" s="33"/>
    </row>
    <row r="3119" ht="15.75" customHeight="1">
      <c r="A3119" s="50">
        <v>54704.0</v>
      </c>
      <c r="B3119" s="23">
        <v>2023.0</v>
      </c>
      <c r="C3119" s="36" t="str">
        <f t="shared" si="7"/>
        <v>3934 SHADOW COVE DR,Houston,TX</v>
      </c>
      <c r="D3119" s="51" t="s">
        <v>4967</v>
      </c>
      <c r="E3119" s="23" t="s">
        <v>25</v>
      </c>
      <c r="F3119" s="23" t="s">
        <v>1388</v>
      </c>
      <c r="G3119" s="31" t="s">
        <v>313</v>
      </c>
      <c r="H3119" s="43" t="s">
        <v>4968</v>
      </c>
      <c r="I3119" s="37" t="str">
        <f>VLOOKUP(H3119,'Flow Location'!$A$1:$B$21,2,FALSE)</f>
        <v>Storm Sewer (not contained)</v>
      </c>
      <c r="J3119" s="52">
        <v>272.0</v>
      </c>
      <c r="K3119" s="51" t="s">
        <v>29</v>
      </c>
      <c r="L3119" s="37" t="str">
        <f>VLOOKUP(K3119,'Structure type'!$A$1:$B$15,2,FALSE)</f>
        <v>Manhole</v>
      </c>
      <c r="M3119" s="51" t="s">
        <v>30</v>
      </c>
      <c r="N3119" s="23" t="str">
        <f>VLOOKUP(M3119,'Excursion Cause'!$A$1:$B$34,2,FALSE)</f>
        <v>Grease Blockage</v>
      </c>
      <c r="O3119" s="53">
        <v>45237.0</v>
      </c>
      <c r="P3119" s="54">
        <v>0.37569444444444444</v>
      </c>
      <c r="Q3119" s="55">
        <v>45237.0</v>
      </c>
      <c r="R3119" s="54">
        <v>0.5645833333333333</v>
      </c>
      <c r="S3119" s="52">
        <v>1.0</v>
      </c>
      <c r="T3119" s="51" t="s">
        <v>1462</v>
      </c>
      <c r="U3119" s="56"/>
      <c r="V3119" s="56"/>
      <c r="W3119" s="35">
        <v>29.7153471</v>
      </c>
      <c r="X3119" s="35">
        <v>-95.6014888999999</v>
      </c>
      <c r="AA3119" s="33"/>
      <c r="AB3119" s="33"/>
      <c r="AC3119" s="33"/>
      <c r="AD3119" s="33"/>
      <c r="AE3119" s="33"/>
      <c r="AF3119" s="33"/>
      <c r="AG3119" s="33"/>
      <c r="AH3119" s="33"/>
      <c r="AI3119" s="33"/>
      <c r="AJ3119" s="33"/>
      <c r="AK3119" s="33"/>
      <c r="AL3119" s="33"/>
      <c r="AM3119" s="33"/>
      <c r="AN3119" s="33"/>
      <c r="AO3119" s="33"/>
    </row>
    <row r="3120" ht="15.75" customHeight="1">
      <c r="A3120" s="50">
        <v>54708.0</v>
      </c>
      <c r="B3120" s="23">
        <v>2023.0</v>
      </c>
      <c r="C3120" s="36" t="str">
        <f t="shared" si="7"/>
        <v>6768 RENWICK DR,Houston,TX</v>
      </c>
      <c r="D3120" s="51" t="s">
        <v>1231</v>
      </c>
      <c r="E3120" s="23" t="s">
        <v>25</v>
      </c>
      <c r="F3120" s="23" t="s">
        <v>1388</v>
      </c>
      <c r="G3120" s="31" t="s">
        <v>287</v>
      </c>
      <c r="H3120" s="48" t="s">
        <v>1493</v>
      </c>
      <c r="I3120" s="37" t="str">
        <f>VLOOKUP(H3120,'Flow Location'!$A$1:$B$21,2,FALSE)</f>
        <v>Contained On Site, not within 5 ft. of Bayou/Surface Water/Drainage Ditch</v>
      </c>
      <c r="J3120" s="52">
        <v>19.0</v>
      </c>
      <c r="K3120" s="51" t="s">
        <v>45</v>
      </c>
      <c r="L3120" s="37" t="str">
        <f>VLOOKUP(K3120,'Structure type'!$A$1:$B$15,2,FALSE)</f>
        <v>City Cleanout</v>
      </c>
      <c r="M3120" s="51" t="s">
        <v>30</v>
      </c>
      <c r="N3120" s="23" t="str">
        <f>VLOOKUP(M3120,'Excursion Cause'!$A$1:$B$34,2,FALSE)</f>
        <v>Grease Blockage</v>
      </c>
      <c r="O3120" s="53">
        <v>45237.0</v>
      </c>
      <c r="P3120" s="54">
        <v>0.4777777777777778</v>
      </c>
      <c r="Q3120" s="55">
        <v>45237.0</v>
      </c>
      <c r="R3120" s="54">
        <v>0.53125</v>
      </c>
      <c r="S3120" s="52">
        <v>0.0</v>
      </c>
      <c r="T3120" s="51" t="s">
        <v>3743</v>
      </c>
      <c r="U3120" s="56"/>
      <c r="V3120" s="56"/>
      <c r="W3120" s="35">
        <v>29.7060684</v>
      </c>
      <c r="X3120" s="35">
        <v>-95.4850929999999</v>
      </c>
      <c r="AA3120" s="33"/>
      <c r="AB3120" s="33"/>
      <c r="AC3120" s="33"/>
      <c r="AD3120" s="33"/>
      <c r="AE3120" s="33"/>
      <c r="AF3120" s="33"/>
      <c r="AG3120" s="33"/>
      <c r="AH3120" s="33"/>
      <c r="AI3120" s="33"/>
      <c r="AJ3120" s="33"/>
      <c r="AK3120" s="33"/>
      <c r="AL3120" s="33"/>
      <c r="AM3120" s="33"/>
      <c r="AN3120" s="33"/>
      <c r="AO3120" s="33"/>
    </row>
    <row r="3121" ht="15.75" customHeight="1">
      <c r="A3121" s="50">
        <v>54709.0</v>
      </c>
      <c r="B3121" s="23">
        <v>2023.0</v>
      </c>
      <c r="C3121" s="36" t="str">
        <f t="shared" si="7"/>
        <v>6308 DE PRIEST ST,Houston,TX</v>
      </c>
      <c r="D3121" s="51" t="s">
        <v>4969</v>
      </c>
      <c r="E3121" s="23" t="s">
        <v>25</v>
      </c>
      <c r="F3121" s="23" t="s">
        <v>1388</v>
      </c>
      <c r="G3121" s="31" t="s">
        <v>222</v>
      </c>
      <c r="H3121" s="48" t="s">
        <v>1493</v>
      </c>
      <c r="I3121" s="37" t="str">
        <f>VLOOKUP(H3121,'Flow Location'!$A$1:$B$21,2,FALSE)</f>
        <v>Contained On Site, not within 5 ft. of Bayou/Surface Water/Drainage Ditch</v>
      </c>
      <c r="J3121" s="52">
        <v>0.0</v>
      </c>
      <c r="K3121" s="51" t="s">
        <v>198</v>
      </c>
      <c r="L3121" s="37" t="str">
        <f>VLOOKUP(K3121,'Structure type'!$A$1:$B$15,2,FALSE)</f>
        <v>Service Lateral</v>
      </c>
      <c r="M3121" s="51" t="s">
        <v>81</v>
      </c>
      <c r="N3121" s="23" t="str">
        <f>VLOOKUP(M3121,'Excursion Cause'!$A$1:$B$34,2,FALSE)</f>
        <v>Collection system structural failure</v>
      </c>
      <c r="O3121" s="53">
        <v>45237.0</v>
      </c>
      <c r="P3121" s="54">
        <v>0.5506944444444445</v>
      </c>
      <c r="Q3121" s="55">
        <v>45237.0</v>
      </c>
      <c r="R3121" s="54">
        <v>0.5513888888888889</v>
      </c>
      <c r="S3121" s="52">
        <v>0.0</v>
      </c>
      <c r="T3121" s="51" t="s">
        <v>3756</v>
      </c>
      <c r="U3121" s="56"/>
      <c r="V3121" s="56"/>
      <c r="W3121" s="35">
        <v>29.857034</v>
      </c>
      <c r="X3121" s="35">
        <v>-95.417672</v>
      </c>
      <c r="AA3121" s="33"/>
      <c r="AB3121" s="33"/>
      <c r="AC3121" s="33"/>
      <c r="AD3121" s="33"/>
      <c r="AE3121" s="33"/>
      <c r="AF3121" s="33"/>
      <c r="AG3121" s="33"/>
      <c r="AH3121" s="33"/>
      <c r="AI3121" s="33"/>
      <c r="AJ3121" s="33"/>
      <c r="AK3121" s="33"/>
      <c r="AL3121" s="33"/>
      <c r="AM3121" s="33"/>
      <c r="AN3121" s="33"/>
      <c r="AO3121" s="33"/>
    </row>
    <row r="3122" ht="15.75" customHeight="1">
      <c r="A3122" s="50">
        <v>54711.0</v>
      </c>
      <c r="B3122" s="23">
        <v>2023.0</v>
      </c>
      <c r="C3122" s="36" t="str">
        <f t="shared" si="7"/>
        <v>9233 WESTHEIMER RD,Houston,TX</v>
      </c>
      <c r="D3122" s="51" t="s">
        <v>4970</v>
      </c>
      <c r="E3122" s="23" t="s">
        <v>25</v>
      </c>
      <c r="F3122" s="23" t="s">
        <v>1388</v>
      </c>
      <c r="G3122" s="31" t="s">
        <v>482</v>
      </c>
      <c r="H3122" s="43" t="s">
        <v>4971</v>
      </c>
      <c r="I3122" s="37" t="str">
        <f>VLOOKUP(H3122,'Flow Location'!$A$1:$B$21,2,FALSE)</f>
        <v>Storm Sewer (not contained)</v>
      </c>
      <c r="J3122" s="52">
        <v>130.0</v>
      </c>
      <c r="K3122" s="51" t="s">
        <v>29</v>
      </c>
      <c r="L3122" s="37" t="str">
        <f>VLOOKUP(K3122,'Structure type'!$A$1:$B$15,2,FALSE)</f>
        <v>Manhole</v>
      </c>
      <c r="M3122" s="51" t="s">
        <v>30</v>
      </c>
      <c r="N3122" s="23" t="str">
        <f>VLOOKUP(M3122,'Excursion Cause'!$A$1:$B$34,2,FALSE)</f>
        <v>Grease Blockage</v>
      </c>
      <c r="O3122" s="53">
        <v>45237.0</v>
      </c>
      <c r="P3122" s="54">
        <v>0.6006944444444444</v>
      </c>
      <c r="Q3122" s="55">
        <v>45237.0</v>
      </c>
      <c r="R3122" s="54">
        <v>0.6458333333333334</v>
      </c>
      <c r="S3122" s="52">
        <v>2.0</v>
      </c>
      <c r="T3122" s="51" t="s">
        <v>1462</v>
      </c>
      <c r="U3122" s="56"/>
      <c r="V3122" s="56"/>
      <c r="W3122" s="35">
        <v>29.7367776</v>
      </c>
      <c r="X3122" s="35">
        <v>-95.5274872999999</v>
      </c>
      <c r="AA3122" s="33"/>
      <c r="AB3122" s="33"/>
      <c r="AC3122" s="33"/>
      <c r="AD3122" s="33"/>
      <c r="AE3122" s="33"/>
      <c r="AF3122" s="33"/>
      <c r="AG3122" s="33"/>
      <c r="AH3122" s="33"/>
      <c r="AI3122" s="33"/>
      <c r="AJ3122" s="33"/>
      <c r="AK3122" s="33"/>
      <c r="AL3122" s="33"/>
      <c r="AM3122" s="33"/>
      <c r="AN3122" s="33"/>
      <c r="AO3122" s="33"/>
    </row>
    <row r="3123" ht="15.75" customHeight="1">
      <c r="A3123" s="50">
        <v>54714.0</v>
      </c>
      <c r="B3123" s="23">
        <v>2023.0</v>
      </c>
      <c r="C3123" s="36" t="str">
        <f t="shared" si="7"/>
        <v>4513 OXFORD ST,Houston,TX</v>
      </c>
      <c r="D3123" s="51" t="s">
        <v>4972</v>
      </c>
      <c r="E3123" s="23" t="s">
        <v>25</v>
      </c>
      <c r="F3123" s="23" t="s">
        <v>1388</v>
      </c>
      <c r="G3123" s="31" t="s">
        <v>653</v>
      </c>
      <c r="H3123" s="48" t="s">
        <v>1493</v>
      </c>
      <c r="I3123" s="37" t="str">
        <f>VLOOKUP(H3123,'Flow Location'!$A$1:$B$21,2,FALSE)</f>
        <v>Contained On Site, not within 5 ft. of Bayou/Surface Water/Drainage Ditch</v>
      </c>
      <c r="J3123" s="52">
        <v>0.0</v>
      </c>
      <c r="K3123" s="51" t="s">
        <v>198</v>
      </c>
      <c r="L3123" s="37" t="str">
        <f>VLOOKUP(K3123,'Structure type'!$A$1:$B$15,2,FALSE)</f>
        <v>Service Lateral</v>
      </c>
      <c r="M3123" s="51" t="s">
        <v>81</v>
      </c>
      <c r="N3123" s="23" t="str">
        <f>VLOOKUP(M3123,'Excursion Cause'!$A$1:$B$34,2,FALSE)</f>
        <v>Collection system structural failure</v>
      </c>
      <c r="O3123" s="53">
        <v>45237.0</v>
      </c>
      <c r="P3123" s="54">
        <v>0.7263888888888889</v>
      </c>
      <c r="Q3123" s="55">
        <v>45237.0</v>
      </c>
      <c r="R3123" s="54">
        <v>0.7270833333333333</v>
      </c>
      <c r="S3123" s="52">
        <v>0.0</v>
      </c>
      <c r="T3123" s="51" t="s">
        <v>118</v>
      </c>
      <c r="U3123" s="56"/>
      <c r="V3123" s="56"/>
      <c r="W3123" s="35">
        <v>29.8312099</v>
      </c>
      <c r="X3123" s="35">
        <v>-95.3932598</v>
      </c>
      <c r="AA3123" s="33"/>
      <c r="AB3123" s="33"/>
      <c r="AC3123" s="33"/>
      <c r="AD3123" s="33"/>
      <c r="AE3123" s="33"/>
      <c r="AF3123" s="33"/>
      <c r="AG3123" s="33"/>
      <c r="AH3123" s="33"/>
      <c r="AI3123" s="33"/>
      <c r="AJ3123" s="33"/>
      <c r="AK3123" s="33"/>
      <c r="AL3123" s="33"/>
      <c r="AM3123" s="33"/>
      <c r="AN3123" s="33"/>
      <c r="AO3123" s="33"/>
    </row>
    <row r="3124" ht="15.75" customHeight="1">
      <c r="A3124" s="50">
        <v>54720.0</v>
      </c>
      <c r="B3124" s="23">
        <v>2023.0</v>
      </c>
      <c r="C3124" s="36" t="str">
        <f t="shared" si="7"/>
        <v>3960 INVERNESS DR,Houston,TX</v>
      </c>
      <c r="D3124" s="51" t="s">
        <v>4973</v>
      </c>
      <c r="E3124" s="23" t="s">
        <v>25</v>
      </c>
      <c r="F3124" s="23" t="s">
        <v>1388</v>
      </c>
      <c r="G3124" s="31" t="s">
        <v>80</v>
      </c>
      <c r="H3124" s="48" t="s">
        <v>1493</v>
      </c>
      <c r="I3124" s="37" t="str">
        <f>VLOOKUP(H3124,'Flow Location'!$A$1:$B$21,2,FALSE)</f>
        <v>Contained On Site, not within 5 ft. of Bayou/Surface Water/Drainage Ditch</v>
      </c>
      <c r="J3124" s="52">
        <v>0.0</v>
      </c>
      <c r="K3124" s="51" t="s">
        <v>29</v>
      </c>
      <c r="L3124" s="37" t="str">
        <f>VLOOKUP(K3124,'Structure type'!$A$1:$B$15,2,FALSE)</f>
        <v>Manhole</v>
      </c>
      <c r="M3124" s="51" t="s">
        <v>56</v>
      </c>
      <c r="N3124" s="23" t="str">
        <f>VLOOKUP(M3124,'Excursion Cause'!$A$1:$B$34,2,FALSE)</f>
        <v>Rags/Wipes</v>
      </c>
      <c r="O3124" s="53">
        <v>45238.0</v>
      </c>
      <c r="P3124" s="54">
        <v>0.43472222222222223</v>
      </c>
      <c r="Q3124" s="55">
        <v>45238.0</v>
      </c>
      <c r="R3124" s="54">
        <v>0.4354166666666667</v>
      </c>
      <c r="S3124" s="52">
        <v>0.0</v>
      </c>
      <c r="T3124" s="51" t="s">
        <v>1462</v>
      </c>
      <c r="U3124" s="56"/>
      <c r="V3124" s="56"/>
      <c r="W3124" s="35">
        <v>29.7525722</v>
      </c>
      <c r="X3124" s="35">
        <v>-95.4440801</v>
      </c>
      <c r="AA3124" s="33"/>
      <c r="AB3124" s="33"/>
      <c r="AC3124" s="33"/>
      <c r="AD3124" s="33"/>
      <c r="AE3124" s="33"/>
      <c r="AF3124" s="33"/>
      <c r="AG3124" s="33"/>
      <c r="AH3124" s="33"/>
      <c r="AI3124" s="33"/>
      <c r="AJ3124" s="33"/>
      <c r="AK3124" s="33"/>
      <c r="AL3124" s="33"/>
      <c r="AM3124" s="33"/>
      <c r="AN3124" s="33"/>
      <c r="AO3124" s="33"/>
    </row>
    <row r="3125" ht="15.75" customHeight="1">
      <c r="A3125" s="50">
        <v>54725.0</v>
      </c>
      <c r="B3125" s="23">
        <v>2023.0</v>
      </c>
      <c r="C3125" s="36" t="str">
        <f t="shared" si="7"/>
        <v>2401 MCKINNEY ST,Houston,TX</v>
      </c>
      <c r="D3125" s="51" t="s">
        <v>4974</v>
      </c>
      <c r="E3125" s="23" t="s">
        <v>25</v>
      </c>
      <c r="F3125" s="23" t="s">
        <v>1388</v>
      </c>
      <c r="G3125" s="31" t="s">
        <v>172</v>
      </c>
      <c r="H3125" s="48" t="s">
        <v>1493</v>
      </c>
      <c r="I3125" s="37" t="str">
        <f>VLOOKUP(H3125,'Flow Location'!$A$1:$B$21,2,FALSE)</f>
        <v>Contained On Site, not within 5 ft. of Bayou/Surface Water/Drainage Ditch</v>
      </c>
      <c r="J3125" s="52">
        <v>0.0</v>
      </c>
      <c r="K3125" s="51" t="s">
        <v>45</v>
      </c>
      <c r="L3125" s="37" t="str">
        <f>VLOOKUP(K3125,'Structure type'!$A$1:$B$15,2,FALSE)</f>
        <v>City Cleanout</v>
      </c>
      <c r="M3125" s="51" t="s">
        <v>52</v>
      </c>
      <c r="N3125" s="23" t="str">
        <f>VLOOKUP(M3125,'Excursion Cause'!$A$1:$B$34,2,FALSE)</f>
        <v>Collection system structural blockage</v>
      </c>
      <c r="O3125" s="53">
        <v>45238.0</v>
      </c>
      <c r="P3125" s="54">
        <v>0.6326388888888889</v>
      </c>
      <c r="Q3125" s="55">
        <v>45238.0</v>
      </c>
      <c r="R3125" s="54">
        <v>0.6333333333333333</v>
      </c>
      <c r="S3125" s="52">
        <v>0.0</v>
      </c>
      <c r="T3125" s="51" t="s">
        <v>1391</v>
      </c>
      <c r="U3125" s="56"/>
      <c r="V3125" s="56"/>
      <c r="W3125" s="35">
        <v>29.7497328</v>
      </c>
      <c r="X3125" s="35">
        <v>-95.3520467</v>
      </c>
      <c r="AA3125" s="33"/>
      <c r="AB3125" s="33"/>
      <c r="AC3125" s="33"/>
      <c r="AD3125" s="33"/>
      <c r="AE3125" s="33"/>
      <c r="AF3125" s="33"/>
      <c r="AG3125" s="33"/>
      <c r="AH3125" s="33"/>
      <c r="AI3125" s="33"/>
      <c r="AJ3125" s="33"/>
      <c r="AK3125" s="33"/>
      <c r="AL3125" s="33"/>
      <c r="AM3125" s="33"/>
      <c r="AN3125" s="33"/>
      <c r="AO3125" s="33"/>
    </row>
    <row r="3126" ht="15.75" customHeight="1">
      <c r="A3126" s="50">
        <v>54726.0</v>
      </c>
      <c r="B3126" s="23">
        <v>2023.0</v>
      </c>
      <c r="C3126" s="36" t="str">
        <f t="shared" si="7"/>
        <v>2705 SAM WILSON ST,Houston,TX</v>
      </c>
      <c r="D3126" s="51" t="s">
        <v>3981</v>
      </c>
      <c r="E3126" s="23" t="s">
        <v>25</v>
      </c>
      <c r="F3126" s="23" t="s">
        <v>1388</v>
      </c>
      <c r="G3126" s="31" t="s">
        <v>86</v>
      </c>
      <c r="H3126" s="48" t="s">
        <v>1493</v>
      </c>
      <c r="I3126" s="37" t="str">
        <f>VLOOKUP(H3126,'Flow Location'!$A$1:$B$21,2,FALSE)</f>
        <v>Contained On Site, not within 5 ft. of Bayou/Surface Water/Drainage Ditch</v>
      </c>
      <c r="J3126" s="52">
        <v>0.0</v>
      </c>
      <c r="K3126" s="51" t="s">
        <v>45</v>
      </c>
      <c r="L3126" s="37" t="str">
        <f>VLOOKUP(K3126,'Structure type'!$A$1:$B$15,2,FALSE)</f>
        <v>City Cleanout</v>
      </c>
      <c r="M3126" s="51" t="s">
        <v>56</v>
      </c>
      <c r="N3126" s="23" t="str">
        <f>VLOOKUP(M3126,'Excursion Cause'!$A$1:$B$34,2,FALSE)</f>
        <v>Rags/Wipes</v>
      </c>
      <c r="O3126" s="53">
        <v>45238.0</v>
      </c>
      <c r="P3126" s="54">
        <v>0.6659722222222222</v>
      </c>
      <c r="Q3126" s="55">
        <v>45238.0</v>
      </c>
      <c r="R3126" s="54">
        <v>0.6666666666666666</v>
      </c>
      <c r="S3126" s="52">
        <v>0.0</v>
      </c>
      <c r="T3126" s="51" t="s">
        <v>3743</v>
      </c>
      <c r="U3126" s="56"/>
      <c r="V3126" s="56"/>
      <c r="W3126" s="35">
        <v>29.7865773</v>
      </c>
      <c r="X3126" s="35">
        <v>-95.3145594</v>
      </c>
      <c r="AA3126" s="33"/>
      <c r="AB3126" s="33"/>
      <c r="AC3126" s="33"/>
      <c r="AD3126" s="33"/>
      <c r="AE3126" s="33"/>
      <c r="AF3126" s="33"/>
      <c r="AG3126" s="33"/>
      <c r="AH3126" s="33"/>
      <c r="AI3126" s="33"/>
      <c r="AJ3126" s="33"/>
      <c r="AK3126" s="33"/>
      <c r="AL3126" s="33"/>
      <c r="AM3126" s="33"/>
      <c r="AN3126" s="33"/>
      <c r="AO3126" s="33"/>
    </row>
    <row r="3127" ht="15.75" customHeight="1">
      <c r="A3127" s="50">
        <v>54729.0</v>
      </c>
      <c r="B3127" s="23">
        <v>2023.0</v>
      </c>
      <c r="C3127" s="36" t="str">
        <f t="shared" si="7"/>
        <v>7450 MEMORIAL WOODS DR,Houston,TX</v>
      </c>
      <c r="D3127" s="51" t="s">
        <v>4975</v>
      </c>
      <c r="E3127" s="23" t="s">
        <v>25</v>
      </c>
      <c r="F3127" s="23" t="s">
        <v>1388</v>
      </c>
      <c r="G3127" s="31" t="s">
        <v>123</v>
      </c>
      <c r="H3127" s="43" t="s">
        <v>4976</v>
      </c>
      <c r="I3127" s="37" t="str">
        <f>VLOOKUP(H3127,'Flow Location'!$A$1:$B$21,2,FALSE)</f>
        <v>Storm Sewer (not contained)</v>
      </c>
      <c r="J3127" s="52">
        <v>820.0</v>
      </c>
      <c r="K3127" s="51" t="s">
        <v>29</v>
      </c>
      <c r="L3127" s="37" t="str">
        <f>VLOOKUP(K3127,'Structure type'!$A$1:$B$15,2,FALSE)</f>
        <v>Manhole</v>
      </c>
      <c r="M3127" s="51" t="s">
        <v>30</v>
      </c>
      <c r="N3127" s="23" t="str">
        <f>VLOOKUP(M3127,'Excursion Cause'!$A$1:$B$34,2,FALSE)</f>
        <v>Grease Blockage</v>
      </c>
      <c r="O3127" s="53">
        <v>45239.0</v>
      </c>
      <c r="P3127" s="54">
        <v>0.3548611111111111</v>
      </c>
      <c r="Q3127" s="55">
        <v>45239.0</v>
      </c>
      <c r="R3127" s="54">
        <v>0.6395833333333333</v>
      </c>
      <c r="S3127" s="52">
        <v>2.0</v>
      </c>
      <c r="T3127" s="51" t="s">
        <v>3749</v>
      </c>
      <c r="U3127" s="56"/>
      <c r="V3127" s="56"/>
      <c r="W3127" s="35">
        <v>29.7822097</v>
      </c>
      <c r="X3127" s="35">
        <v>-95.4597</v>
      </c>
      <c r="AA3127" s="33"/>
      <c r="AB3127" s="33"/>
      <c r="AC3127" s="33"/>
      <c r="AD3127" s="33"/>
      <c r="AE3127" s="33"/>
      <c r="AF3127" s="33"/>
      <c r="AG3127" s="33"/>
      <c r="AH3127" s="33"/>
      <c r="AI3127" s="33"/>
      <c r="AJ3127" s="33"/>
      <c r="AK3127" s="33"/>
      <c r="AL3127" s="33"/>
      <c r="AM3127" s="33"/>
      <c r="AN3127" s="33"/>
      <c r="AO3127" s="33"/>
    </row>
    <row r="3128" ht="15.75" customHeight="1">
      <c r="A3128" s="50">
        <v>54730.0</v>
      </c>
      <c r="B3128" s="23">
        <v>2023.0</v>
      </c>
      <c r="C3128" s="36" t="str">
        <f t="shared" si="7"/>
        <v>506 19TH ST,Houston,TX</v>
      </c>
      <c r="D3128" s="51" t="s">
        <v>4977</v>
      </c>
      <c r="E3128" s="23" t="s">
        <v>25</v>
      </c>
      <c r="F3128" s="23" t="s">
        <v>1388</v>
      </c>
      <c r="G3128" s="31" t="s">
        <v>232</v>
      </c>
      <c r="H3128" s="43" t="s">
        <v>4978</v>
      </c>
      <c r="I3128" s="37" t="str">
        <f>VLOOKUP(H3128,'Flow Location'!$A$1:$B$21,2,FALSE)</f>
        <v>Storm Sewer (not contained)</v>
      </c>
      <c r="J3128" s="52">
        <v>0.0</v>
      </c>
      <c r="K3128" s="51" t="s">
        <v>51</v>
      </c>
      <c r="L3128" s="37" t="str">
        <f>VLOOKUP(K3128,'Structure type'!$A$1:$B$15,2,FALSE)</f>
        <v>Private Cleanout</v>
      </c>
      <c r="M3128" s="51" t="s">
        <v>30</v>
      </c>
      <c r="N3128" s="23" t="str">
        <f>VLOOKUP(M3128,'Excursion Cause'!$A$1:$B$34,2,FALSE)</f>
        <v>Grease Blockage</v>
      </c>
      <c r="O3128" s="53">
        <v>45239.0</v>
      </c>
      <c r="P3128" s="54">
        <v>0.3784722222222222</v>
      </c>
      <c r="Q3128" s="55">
        <v>45239.0</v>
      </c>
      <c r="R3128" s="54">
        <v>0.37916666666666665</v>
      </c>
      <c r="S3128" s="52">
        <v>0.0</v>
      </c>
      <c r="T3128" s="51" t="s">
        <v>1462</v>
      </c>
      <c r="U3128" s="56"/>
      <c r="V3128" s="56"/>
      <c r="W3128" s="35">
        <v>29.8024783</v>
      </c>
      <c r="X3128" s="35">
        <v>-95.4063604</v>
      </c>
      <c r="AA3128" s="33"/>
      <c r="AB3128" s="33"/>
      <c r="AC3128" s="33"/>
      <c r="AD3128" s="33"/>
      <c r="AE3128" s="33"/>
      <c r="AF3128" s="33"/>
      <c r="AG3128" s="33"/>
      <c r="AH3128" s="33"/>
      <c r="AI3128" s="33"/>
      <c r="AJ3128" s="33"/>
      <c r="AK3128" s="33"/>
      <c r="AL3128" s="33"/>
      <c r="AM3128" s="33"/>
      <c r="AN3128" s="33"/>
      <c r="AO3128" s="33"/>
    </row>
    <row r="3129" ht="15.75" customHeight="1">
      <c r="A3129" s="50">
        <v>54736.0</v>
      </c>
      <c r="B3129" s="23">
        <v>2023.0</v>
      </c>
      <c r="C3129" s="36" t="str">
        <f t="shared" si="7"/>
        <v>10515 JODY CT,Houston,TX</v>
      </c>
      <c r="D3129" s="51" t="s">
        <v>4979</v>
      </c>
      <c r="E3129" s="23" t="s">
        <v>25</v>
      </c>
      <c r="F3129" s="23" t="s">
        <v>1388</v>
      </c>
      <c r="G3129" s="31" t="s">
        <v>154</v>
      </c>
      <c r="H3129" s="48" t="s">
        <v>1493</v>
      </c>
      <c r="I3129" s="37" t="str">
        <f>VLOOKUP(H3129,'Flow Location'!$A$1:$B$21,2,FALSE)</f>
        <v>Contained On Site, not within 5 ft. of Bayou/Surface Water/Drainage Ditch</v>
      </c>
      <c r="J3129" s="52">
        <v>0.0</v>
      </c>
      <c r="K3129" s="51" t="s">
        <v>29</v>
      </c>
      <c r="L3129" s="37" t="str">
        <f>VLOOKUP(K3129,'Structure type'!$A$1:$B$15,2,FALSE)</f>
        <v>Manhole</v>
      </c>
      <c r="M3129" s="51" t="s">
        <v>81</v>
      </c>
      <c r="N3129" s="23" t="str">
        <f>VLOOKUP(M3129,'Excursion Cause'!$A$1:$B$34,2,FALSE)</f>
        <v>Collection system structural failure</v>
      </c>
      <c r="O3129" s="53">
        <v>45239.0</v>
      </c>
      <c r="P3129" s="54">
        <v>0.5798611111111112</v>
      </c>
      <c r="Q3129" s="55">
        <v>45239.0</v>
      </c>
      <c r="R3129" s="54">
        <v>0.5805555555555556</v>
      </c>
      <c r="S3129" s="52">
        <v>0.0</v>
      </c>
      <c r="T3129" s="51" t="s">
        <v>1391</v>
      </c>
      <c r="U3129" s="56"/>
      <c r="V3129" s="56"/>
      <c r="W3129" s="35">
        <v>29.6685192</v>
      </c>
      <c r="X3129" s="35">
        <v>-95.6101079</v>
      </c>
      <c r="AA3129" s="33"/>
      <c r="AB3129" s="33"/>
      <c r="AC3129" s="33"/>
      <c r="AD3129" s="33"/>
      <c r="AE3129" s="33"/>
      <c r="AF3129" s="33"/>
      <c r="AG3129" s="33"/>
      <c r="AH3129" s="33"/>
      <c r="AI3129" s="33"/>
      <c r="AJ3129" s="33"/>
      <c r="AK3129" s="33"/>
      <c r="AL3129" s="33"/>
      <c r="AM3129" s="33"/>
      <c r="AN3129" s="33"/>
      <c r="AO3129" s="33"/>
    </row>
    <row r="3130" ht="15.75" customHeight="1">
      <c r="A3130" s="50">
        <v>54745.0</v>
      </c>
      <c r="B3130" s="23">
        <v>2023.0</v>
      </c>
      <c r="C3130" s="36" t="str">
        <f t="shared" si="7"/>
        <v>4101 OATS ST,Houston,TX</v>
      </c>
      <c r="D3130" s="51" t="s">
        <v>4980</v>
      </c>
      <c r="E3130" s="23" t="s">
        <v>25</v>
      </c>
      <c r="F3130" s="23" t="s">
        <v>1388</v>
      </c>
      <c r="G3130" s="31" t="s">
        <v>86</v>
      </c>
      <c r="H3130" s="48" t="s">
        <v>1493</v>
      </c>
      <c r="I3130" s="37" t="str">
        <f>VLOOKUP(H3130,'Flow Location'!$A$1:$B$21,2,FALSE)</f>
        <v>Contained On Site, not within 5 ft. of Bayou/Surface Water/Drainage Ditch</v>
      </c>
      <c r="J3130" s="52">
        <v>0.0</v>
      </c>
      <c r="K3130" s="51" t="s">
        <v>51</v>
      </c>
      <c r="L3130" s="37" t="str">
        <f>VLOOKUP(K3130,'Structure type'!$A$1:$B$15,2,FALSE)</f>
        <v>Private Cleanout</v>
      </c>
      <c r="M3130" s="51" t="s">
        <v>81</v>
      </c>
      <c r="N3130" s="23" t="str">
        <f>VLOOKUP(M3130,'Excursion Cause'!$A$1:$B$34,2,FALSE)</f>
        <v>Collection system structural failure</v>
      </c>
      <c r="O3130" s="53">
        <v>45240.0</v>
      </c>
      <c r="P3130" s="54">
        <v>0.4534722222222222</v>
      </c>
      <c r="Q3130" s="55">
        <v>45240.0</v>
      </c>
      <c r="R3130" s="54">
        <v>0.45416666666666666</v>
      </c>
      <c r="S3130" s="52">
        <v>0.0</v>
      </c>
      <c r="T3130" s="51" t="s">
        <v>3749</v>
      </c>
      <c r="U3130" s="56"/>
      <c r="V3130" s="56"/>
      <c r="W3130" s="35">
        <v>29.7781241</v>
      </c>
      <c r="X3130" s="35">
        <v>-95.3293777999999</v>
      </c>
      <c r="AA3130" s="33"/>
      <c r="AB3130" s="33"/>
      <c r="AC3130" s="33"/>
      <c r="AD3130" s="33"/>
      <c r="AE3130" s="33"/>
      <c r="AF3130" s="33"/>
      <c r="AG3130" s="33"/>
      <c r="AH3130" s="33"/>
      <c r="AI3130" s="33"/>
      <c r="AJ3130" s="33"/>
      <c r="AK3130" s="33"/>
      <c r="AL3130" s="33"/>
      <c r="AM3130" s="33"/>
      <c r="AN3130" s="33"/>
      <c r="AO3130" s="33"/>
    </row>
    <row r="3131" ht="15.75" customHeight="1">
      <c r="A3131" s="50">
        <v>54746.0</v>
      </c>
      <c r="B3131" s="23">
        <v>2023.0</v>
      </c>
      <c r="C3131" s="36" t="str">
        <f t="shared" si="7"/>
        <v>721 7TH ST,Houston,TX</v>
      </c>
      <c r="D3131" s="51" t="s">
        <v>4981</v>
      </c>
      <c r="E3131" s="23" t="s">
        <v>25</v>
      </c>
      <c r="F3131" s="23" t="s">
        <v>1388</v>
      </c>
      <c r="G3131" s="31" t="s">
        <v>158</v>
      </c>
      <c r="H3131" s="48" t="s">
        <v>1493</v>
      </c>
      <c r="I3131" s="37" t="str">
        <f>VLOOKUP(H3131,'Flow Location'!$A$1:$B$21,2,FALSE)</f>
        <v>Contained On Site, not within 5 ft. of Bayou/Surface Water/Drainage Ditch</v>
      </c>
      <c r="J3131" s="52">
        <v>0.0</v>
      </c>
      <c r="K3131" s="51" t="s">
        <v>45</v>
      </c>
      <c r="L3131" s="37" t="str">
        <f>VLOOKUP(K3131,'Structure type'!$A$1:$B$15,2,FALSE)</f>
        <v>City Cleanout</v>
      </c>
      <c r="M3131" s="51" t="s">
        <v>30</v>
      </c>
      <c r="N3131" s="23" t="str">
        <f>VLOOKUP(M3131,'Excursion Cause'!$A$1:$B$34,2,FALSE)</f>
        <v>Grease Blockage</v>
      </c>
      <c r="O3131" s="53">
        <v>45240.0</v>
      </c>
      <c r="P3131" s="54">
        <v>0.49166666666666664</v>
      </c>
      <c r="Q3131" s="55">
        <v>45240.0</v>
      </c>
      <c r="R3131" s="54">
        <v>0.49236111111111114</v>
      </c>
      <c r="S3131" s="52">
        <v>0.0</v>
      </c>
      <c r="T3131" s="51" t="s">
        <v>3743</v>
      </c>
      <c r="U3131" s="56"/>
      <c r="V3131" s="56"/>
      <c r="W3131" s="35">
        <v>29.783705</v>
      </c>
      <c r="X3131" s="35">
        <v>-95.3890268</v>
      </c>
      <c r="AA3131" s="33"/>
      <c r="AB3131" s="33"/>
      <c r="AC3131" s="33"/>
      <c r="AD3131" s="33"/>
      <c r="AE3131" s="33"/>
      <c r="AF3131" s="33"/>
      <c r="AG3131" s="33"/>
      <c r="AH3131" s="33"/>
      <c r="AI3131" s="33"/>
      <c r="AJ3131" s="33"/>
      <c r="AK3131" s="33"/>
      <c r="AL3131" s="33"/>
      <c r="AM3131" s="33"/>
      <c r="AN3131" s="33"/>
      <c r="AO3131" s="33"/>
    </row>
    <row r="3132" ht="15.75" customHeight="1">
      <c r="A3132" s="50">
        <v>54751.0</v>
      </c>
      <c r="B3132" s="23">
        <v>2023.0</v>
      </c>
      <c r="C3132" s="36" t="str">
        <f t="shared" si="7"/>
        <v>1842 BINGLE RD,Houston,TX</v>
      </c>
      <c r="D3132" s="51" t="s">
        <v>4982</v>
      </c>
      <c r="E3132" s="23" t="s">
        <v>25</v>
      </c>
      <c r="F3132" s="23" t="s">
        <v>1388</v>
      </c>
      <c r="G3132" s="31" t="s">
        <v>27</v>
      </c>
      <c r="H3132" s="43" t="s">
        <v>4983</v>
      </c>
      <c r="I3132" s="37" t="str">
        <f>VLOOKUP(H3132,'Flow Location'!$A$1:$B$21,2,FALSE)</f>
        <v>Storm Sewer (not contained)</v>
      </c>
      <c r="J3132" s="52">
        <v>41.0</v>
      </c>
      <c r="K3132" s="51" t="s">
        <v>29</v>
      </c>
      <c r="L3132" s="37" t="str">
        <f>VLOOKUP(K3132,'Structure type'!$A$1:$B$15,2,FALSE)</f>
        <v>Manhole</v>
      </c>
      <c r="M3132" s="51" t="s">
        <v>30</v>
      </c>
      <c r="N3132" s="23" t="str">
        <f>VLOOKUP(M3132,'Excursion Cause'!$A$1:$B$34,2,FALSE)</f>
        <v>Grease Blockage</v>
      </c>
      <c r="O3132" s="53">
        <v>45241.0</v>
      </c>
      <c r="P3132" s="54">
        <v>0.5048611111111111</v>
      </c>
      <c r="Q3132" s="55">
        <v>45241.0</v>
      </c>
      <c r="R3132" s="54">
        <v>0.5618055555555556</v>
      </c>
      <c r="S3132" s="52">
        <v>0.0</v>
      </c>
      <c r="T3132" s="51" t="s">
        <v>1462</v>
      </c>
      <c r="U3132" s="56"/>
      <c r="V3132" s="56"/>
      <c r="W3132" s="35">
        <v>29.8050261</v>
      </c>
      <c r="X3132" s="35">
        <v>-95.5006643</v>
      </c>
      <c r="AA3132" s="33"/>
      <c r="AB3132" s="33"/>
      <c r="AC3132" s="33"/>
      <c r="AD3132" s="33"/>
      <c r="AE3132" s="33"/>
      <c r="AF3132" s="33"/>
      <c r="AG3132" s="33"/>
      <c r="AH3132" s="33"/>
      <c r="AI3132" s="33"/>
      <c r="AJ3132" s="33"/>
      <c r="AK3132" s="33"/>
      <c r="AL3132" s="33"/>
      <c r="AM3132" s="33"/>
      <c r="AN3132" s="33"/>
      <c r="AO3132" s="33"/>
    </row>
    <row r="3133" ht="15.75" customHeight="1">
      <c r="A3133" s="50">
        <v>54756.0</v>
      </c>
      <c r="B3133" s="23">
        <v>2023.0</v>
      </c>
      <c r="C3133" s="36" t="str">
        <f t="shared" si="7"/>
        <v>1407 DOROTHY ST,Houston,TX</v>
      </c>
      <c r="D3133" s="51" t="s">
        <v>4984</v>
      </c>
      <c r="E3133" s="23" t="s">
        <v>25</v>
      </c>
      <c r="F3133" s="23" t="s">
        <v>1388</v>
      </c>
      <c r="G3133" s="31" t="s">
        <v>232</v>
      </c>
      <c r="H3133" s="43" t="s">
        <v>4985</v>
      </c>
      <c r="I3133" s="37" t="str">
        <f>VLOOKUP(H3133,'Flow Location'!$A$1:$B$21,2,FALSE)</f>
        <v>Storm Sewer (not contained)</v>
      </c>
      <c r="J3133" s="52">
        <v>0.0</v>
      </c>
      <c r="K3133" s="51" t="s">
        <v>198</v>
      </c>
      <c r="L3133" s="37" t="str">
        <f>VLOOKUP(K3133,'Structure type'!$A$1:$B$15,2,FALSE)</f>
        <v>Service Lateral</v>
      </c>
      <c r="M3133" s="51" t="s">
        <v>52</v>
      </c>
      <c r="N3133" s="23" t="str">
        <f>VLOOKUP(M3133,'Excursion Cause'!$A$1:$B$34,2,FALSE)</f>
        <v>Collection system structural blockage</v>
      </c>
      <c r="O3133" s="53">
        <v>45242.0</v>
      </c>
      <c r="P3133" s="54">
        <v>0.4888888888888889</v>
      </c>
      <c r="Q3133" s="55">
        <v>45242.0</v>
      </c>
      <c r="R3133" s="54">
        <v>0.4895833333333333</v>
      </c>
      <c r="S3133" s="52">
        <v>0.0</v>
      </c>
      <c r="T3133" s="51" t="s">
        <v>118</v>
      </c>
      <c r="U3133" s="56"/>
      <c r="V3133" s="56"/>
      <c r="W3133" s="35">
        <v>29.7963635</v>
      </c>
      <c r="X3133" s="35">
        <v>-95.4093985</v>
      </c>
      <c r="AA3133" s="33"/>
      <c r="AB3133" s="33"/>
      <c r="AC3133" s="33"/>
      <c r="AD3133" s="33"/>
      <c r="AE3133" s="33"/>
      <c r="AF3133" s="33"/>
      <c r="AG3133" s="33"/>
      <c r="AH3133" s="33"/>
      <c r="AI3133" s="33"/>
      <c r="AJ3133" s="33"/>
      <c r="AK3133" s="33"/>
      <c r="AL3133" s="33"/>
      <c r="AM3133" s="33"/>
      <c r="AN3133" s="33"/>
      <c r="AO3133" s="33"/>
    </row>
    <row r="3134" ht="15.75" customHeight="1">
      <c r="A3134" s="50">
        <v>54762.0</v>
      </c>
      <c r="B3134" s="23">
        <v>2023.0</v>
      </c>
      <c r="C3134" s="36" t="str">
        <f t="shared" si="7"/>
        <v>3805 WIPPRECHT ST,Houston,TX</v>
      </c>
      <c r="D3134" s="51" t="s">
        <v>4986</v>
      </c>
      <c r="E3134" s="23" t="s">
        <v>25</v>
      </c>
      <c r="F3134" s="23" t="s">
        <v>1388</v>
      </c>
      <c r="G3134" s="31" t="s">
        <v>43</v>
      </c>
      <c r="H3134" s="48" t="s">
        <v>1493</v>
      </c>
      <c r="I3134" s="37" t="str">
        <f>VLOOKUP(H3134,'Flow Location'!$A$1:$B$21,2,FALSE)</f>
        <v>Contained On Site, not within 5 ft. of Bayou/Surface Water/Drainage Ditch</v>
      </c>
      <c r="J3134" s="52">
        <v>0.0</v>
      </c>
      <c r="K3134" s="51" t="s">
        <v>45</v>
      </c>
      <c r="L3134" s="37" t="str">
        <f>VLOOKUP(K3134,'Structure type'!$A$1:$B$15,2,FALSE)</f>
        <v>City Cleanout</v>
      </c>
      <c r="M3134" s="51" t="s">
        <v>30</v>
      </c>
      <c r="N3134" s="23" t="str">
        <f>VLOOKUP(M3134,'Excursion Cause'!$A$1:$B$34,2,FALSE)</f>
        <v>Grease Blockage</v>
      </c>
      <c r="O3134" s="53">
        <v>45243.0</v>
      </c>
      <c r="P3134" s="54">
        <v>0.3590277777777778</v>
      </c>
      <c r="Q3134" s="55">
        <v>45243.0</v>
      </c>
      <c r="R3134" s="54">
        <v>0.3597222222222222</v>
      </c>
      <c r="S3134" s="52">
        <v>0.0</v>
      </c>
      <c r="T3134" s="51" t="s">
        <v>1473</v>
      </c>
      <c r="U3134" s="56"/>
      <c r="V3134" s="56"/>
      <c r="W3134" s="35">
        <v>29.79428</v>
      </c>
      <c r="X3134" s="35">
        <v>-95.3224829999999</v>
      </c>
      <c r="AA3134" s="33"/>
      <c r="AB3134" s="33"/>
      <c r="AC3134" s="33"/>
      <c r="AD3134" s="33"/>
      <c r="AE3134" s="33"/>
      <c r="AF3134" s="33"/>
      <c r="AG3134" s="33"/>
      <c r="AH3134" s="33"/>
      <c r="AI3134" s="33"/>
      <c r="AJ3134" s="33"/>
      <c r="AK3134" s="33"/>
      <c r="AL3134" s="33"/>
      <c r="AM3134" s="33"/>
      <c r="AN3134" s="33"/>
      <c r="AO3134" s="33"/>
    </row>
    <row r="3135" ht="15.75" customHeight="1">
      <c r="A3135" s="50">
        <v>54772.0</v>
      </c>
      <c r="B3135" s="23">
        <v>2023.0</v>
      </c>
      <c r="C3135" s="36" t="str">
        <f t="shared" si="7"/>
        <v>9209 CULLEN BLVD,Houston,TX</v>
      </c>
      <c r="D3135" s="51" t="s">
        <v>4987</v>
      </c>
      <c r="E3135" s="23" t="s">
        <v>25</v>
      </c>
      <c r="F3135" s="23" t="s">
        <v>1388</v>
      </c>
      <c r="G3135" s="31" t="s">
        <v>105</v>
      </c>
      <c r="H3135" s="48" t="s">
        <v>1493</v>
      </c>
      <c r="I3135" s="37" t="str">
        <f>VLOOKUP(H3135,'Flow Location'!$A$1:$B$21,2,FALSE)</f>
        <v>Contained On Site, not within 5 ft. of Bayou/Surface Water/Drainage Ditch</v>
      </c>
      <c r="J3135" s="52">
        <v>0.0</v>
      </c>
      <c r="K3135" s="51" t="s">
        <v>29</v>
      </c>
      <c r="L3135" s="37" t="str">
        <f>VLOOKUP(K3135,'Structure type'!$A$1:$B$15,2,FALSE)</f>
        <v>Manhole</v>
      </c>
      <c r="M3135" s="51" t="s">
        <v>30</v>
      </c>
      <c r="N3135" s="23" t="str">
        <f>VLOOKUP(M3135,'Excursion Cause'!$A$1:$B$34,2,FALSE)</f>
        <v>Grease Blockage</v>
      </c>
      <c r="O3135" s="53">
        <v>45244.0</v>
      </c>
      <c r="P3135" s="54">
        <v>0.5118055555555555</v>
      </c>
      <c r="Q3135" s="55">
        <v>45244.0</v>
      </c>
      <c r="R3135" s="54">
        <v>0.5125</v>
      </c>
      <c r="S3135" s="52">
        <v>0.0</v>
      </c>
      <c r="T3135" s="51" t="s">
        <v>1462</v>
      </c>
      <c r="U3135" s="56"/>
      <c r="V3135" s="56"/>
      <c r="W3135" s="35">
        <v>29.6578164</v>
      </c>
      <c r="X3135" s="35">
        <v>-95.35501</v>
      </c>
      <c r="AA3135" s="33"/>
      <c r="AB3135" s="33"/>
      <c r="AC3135" s="33"/>
      <c r="AD3135" s="33"/>
      <c r="AE3135" s="33"/>
      <c r="AF3135" s="33"/>
      <c r="AG3135" s="33"/>
      <c r="AH3135" s="33"/>
      <c r="AI3135" s="33"/>
      <c r="AJ3135" s="33"/>
      <c r="AK3135" s="33"/>
      <c r="AL3135" s="33"/>
      <c r="AM3135" s="33"/>
      <c r="AN3135" s="33"/>
      <c r="AO3135" s="33"/>
    </row>
    <row r="3136" ht="15.75" customHeight="1">
      <c r="A3136" s="50">
        <v>54777.0</v>
      </c>
      <c r="B3136" s="23">
        <v>2023.0</v>
      </c>
      <c r="C3136" s="36" t="str">
        <f t="shared" si="7"/>
        <v>2929 MILAM ST,Houston,TX</v>
      </c>
      <c r="D3136" s="51" t="s">
        <v>4988</v>
      </c>
      <c r="E3136" s="23" t="s">
        <v>25</v>
      </c>
      <c r="F3136" s="23" t="s">
        <v>1388</v>
      </c>
      <c r="G3136" s="31" t="s">
        <v>761</v>
      </c>
      <c r="H3136" s="43" t="s">
        <v>4989</v>
      </c>
      <c r="I3136" s="37" t="str">
        <f>VLOOKUP(H3136,'Flow Location'!$A$1:$B$21,2,FALSE)</f>
        <v>Storm Sewer (not contained)</v>
      </c>
      <c r="J3136" s="52">
        <v>373.0</v>
      </c>
      <c r="K3136" s="51" t="s">
        <v>51</v>
      </c>
      <c r="L3136" s="37" t="str">
        <f>VLOOKUP(K3136,'Structure type'!$A$1:$B$15,2,FALSE)</f>
        <v>Private Cleanout</v>
      </c>
      <c r="M3136" s="51" t="s">
        <v>30</v>
      </c>
      <c r="N3136" s="23" t="str">
        <f>VLOOKUP(M3136,'Excursion Cause'!$A$1:$B$34,2,FALSE)</f>
        <v>Grease Blockage</v>
      </c>
      <c r="O3136" s="53">
        <v>45245.0</v>
      </c>
      <c r="P3136" s="54">
        <v>0.3784722222222222</v>
      </c>
      <c r="Q3136" s="55">
        <v>45245.0</v>
      </c>
      <c r="R3136" s="54">
        <v>0.6368055555555555</v>
      </c>
      <c r="S3136" s="52">
        <v>1.0</v>
      </c>
      <c r="T3136" s="51" t="s">
        <v>1462</v>
      </c>
      <c r="U3136" s="56"/>
      <c r="V3136" s="56"/>
      <c r="W3136" s="35">
        <v>29.7439222</v>
      </c>
      <c r="X3136" s="35">
        <v>-95.3775454</v>
      </c>
      <c r="AA3136" s="33"/>
      <c r="AB3136" s="33"/>
      <c r="AC3136" s="33"/>
      <c r="AD3136" s="33"/>
      <c r="AE3136" s="33"/>
      <c r="AF3136" s="33"/>
      <c r="AG3136" s="33"/>
      <c r="AH3136" s="33"/>
      <c r="AI3136" s="33"/>
      <c r="AJ3136" s="33"/>
      <c r="AK3136" s="33"/>
      <c r="AL3136" s="33"/>
      <c r="AM3136" s="33"/>
      <c r="AN3136" s="33"/>
      <c r="AO3136" s="33"/>
    </row>
    <row r="3137" ht="15.75" customHeight="1">
      <c r="A3137" s="50">
        <v>54783.0</v>
      </c>
      <c r="B3137" s="23">
        <v>2023.0</v>
      </c>
      <c r="C3137" s="36" t="str">
        <f t="shared" si="7"/>
        <v>5615 H MARK CROSSWELL JR ST,Houston,TX</v>
      </c>
      <c r="D3137" s="51" t="s">
        <v>4990</v>
      </c>
      <c r="E3137" s="23" t="s">
        <v>25</v>
      </c>
      <c r="F3137" s="23" t="s">
        <v>1388</v>
      </c>
      <c r="G3137" s="31" t="s">
        <v>238</v>
      </c>
      <c r="H3137" s="48" t="s">
        <v>1493</v>
      </c>
      <c r="I3137" s="37" t="str">
        <f>VLOOKUP(H3137,'Flow Location'!$A$1:$B$21,2,FALSE)</f>
        <v>Contained On Site, not within 5 ft. of Bayou/Surface Water/Drainage Ditch</v>
      </c>
      <c r="J3137" s="52">
        <v>579.0</v>
      </c>
      <c r="K3137" s="51" t="s">
        <v>29</v>
      </c>
      <c r="L3137" s="37" t="str">
        <f>VLOOKUP(K3137,'Structure type'!$A$1:$B$15,2,FALSE)</f>
        <v>Manhole</v>
      </c>
      <c r="M3137" s="51" t="s">
        <v>30</v>
      </c>
      <c r="N3137" s="23" t="str">
        <f>VLOOKUP(M3137,'Excursion Cause'!$A$1:$B$34,2,FALSE)</f>
        <v>Grease Blockage</v>
      </c>
      <c r="O3137" s="53">
        <v>45245.0</v>
      </c>
      <c r="P3137" s="54">
        <v>0.55</v>
      </c>
      <c r="Q3137" s="55">
        <v>45245.0</v>
      </c>
      <c r="R3137" s="54">
        <v>0.6840277777777778</v>
      </c>
      <c r="S3137" s="52">
        <v>3.0</v>
      </c>
      <c r="T3137" s="51" t="s">
        <v>1462</v>
      </c>
      <c r="U3137" s="56"/>
      <c r="V3137" s="56"/>
      <c r="W3137" s="35">
        <v>29.7111648</v>
      </c>
      <c r="X3137" s="35">
        <v>-95.3747355</v>
      </c>
      <c r="AA3137" s="33"/>
      <c r="AB3137" s="33"/>
      <c r="AC3137" s="33"/>
      <c r="AD3137" s="33"/>
      <c r="AE3137" s="33"/>
      <c r="AF3137" s="33"/>
      <c r="AG3137" s="33"/>
      <c r="AH3137" s="33"/>
      <c r="AI3137" s="33"/>
      <c r="AJ3137" s="33"/>
      <c r="AK3137" s="33"/>
      <c r="AL3137" s="33"/>
      <c r="AM3137" s="33"/>
      <c r="AN3137" s="33"/>
      <c r="AO3137" s="33"/>
    </row>
    <row r="3138" ht="15.75" customHeight="1">
      <c r="A3138" s="50">
        <v>54785.0</v>
      </c>
      <c r="B3138" s="23">
        <v>2023.0</v>
      </c>
      <c r="C3138" s="36" t="str">
        <f t="shared" si="7"/>
        <v>5519 AMBERN DR,Houston,TX</v>
      </c>
      <c r="D3138" s="51" t="s">
        <v>4991</v>
      </c>
      <c r="E3138" s="23" t="s">
        <v>25</v>
      </c>
      <c r="F3138" s="23" t="s">
        <v>1388</v>
      </c>
      <c r="G3138" s="31" t="s">
        <v>517</v>
      </c>
      <c r="H3138" s="48" t="s">
        <v>1493</v>
      </c>
      <c r="I3138" s="37" t="str">
        <f>VLOOKUP(H3138,'Flow Location'!$A$1:$B$21,2,FALSE)</f>
        <v>Contained On Site, not within 5 ft. of Bayou/Surface Water/Drainage Ditch</v>
      </c>
      <c r="J3138" s="52">
        <v>0.0</v>
      </c>
      <c r="K3138" s="51" t="s">
        <v>198</v>
      </c>
      <c r="L3138" s="37" t="str">
        <f>VLOOKUP(K3138,'Structure type'!$A$1:$B$15,2,FALSE)</f>
        <v>Service Lateral</v>
      </c>
      <c r="M3138" s="51" t="s">
        <v>52</v>
      </c>
      <c r="N3138" s="23" t="str">
        <f>VLOOKUP(M3138,'Excursion Cause'!$A$1:$B$34,2,FALSE)</f>
        <v>Collection system structural blockage</v>
      </c>
      <c r="O3138" s="53">
        <v>45245.0</v>
      </c>
      <c r="P3138" s="54">
        <v>0.7256944444444444</v>
      </c>
      <c r="Q3138" s="55">
        <v>45245.0</v>
      </c>
      <c r="R3138" s="54">
        <v>0.7263888888888889</v>
      </c>
      <c r="S3138" s="52">
        <v>0.0</v>
      </c>
      <c r="T3138" s="51" t="s">
        <v>1391</v>
      </c>
      <c r="U3138" s="56"/>
      <c r="V3138" s="56"/>
      <c r="W3138" s="35">
        <v>29.5919798</v>
      </c>
      <c r="X3138" s="35">
        <v>-95.4692486</v>
      </c>
      <c r="AA3138" s="33"/>
      <c r="AB3138" s="33"/>
      <c r="AC3138" s="33"/>
      <c r="AD3138" s="33"/>
      <c r="AE3138" s="33"/>
      <c r="AF3138" s="33"/>
      <c r="AG3138" s="33"/>
      <c r="AH3138" s="33"/>
      <c r="AI3138" s="33"/>
      <c r="AJ3138" s="33"/>
      <c r="AK3138" s="33"/>
      <c r="AL3138" s="33"/>
      <c r="AM3138" s="33"/>
      <c r="AN3138" s="33"/>
      <c r="AO3138" s="33"/>
    </row>
    <row r="3139" ht="15.75" customHeight="1">
      <c r="A3139" s="50">
        <v>54786.0</v>
      </c>
      <c r="B3139" s="23">
        <v>2023.0</v>
      </c>
      <c r="C3139" s="36" t="str">
        <f t="shared" si="7"/>
        <v>102 BRYAN ST,Houston,TX</v>
      </c>
      <c r="D3139" s="51" t="s">
        <v>4992</v>
      </c>
      <c r="E3139" s="23" t="s">
        <v>25</v>
      </c>
      <c r="F3139" s="23" t="s">
        <v>1388</v>
      </c>
      <c r="G3139" s="31" t="s">
        <v>227</v>
      </c>
      <c r="H3139" s="48" t="s">
        <v>1493</v>
      </c>
      <c r="I3139" s="37" t="str">
        <f>VLOOKUP(H3139,'Flow Location'!$A$1:$B$21,2,FALSE)</f>
        <v>Contained On Site, not within 5 ft. of Bayou/Surface Water/Drainage Ditch</v>
      </c>
      <c r="J3139" s="52">
        <v>0.0</v>
      </c>
      <c r="K3139" s="51" t="s">
        <v>45</v>
      </c>
      <c r="L3139" s="37" t="str">
        <f>VLOOKUP(K3139,'Structure type'!$A$1:$B$15,2,FALSE)</f>
        <v>City Cleanout</v>
      </c>
      <c r="M3139" s="51" t="s">
        <v>52</v>
      </c>
      <c r="N3139" s="23" t="str">
        <f>VLOOKUP(M3139,'Excursion Cause'!$A$1:$B$34,2,FALSE)</f>
        <v>Collection system structural blockage</v>
      </c>
      <c r="O3139" s="53">
        <v>45246.0</v>
      </c>
      <c r="P3139" s="54">
        <v>0.36319444444444443</v>
      </c>
      <c r="Q3139" s="55">
        <v>45246.0</v>
      </c>
      <c r="R3139" s="54">
        <v>0.3638888888888889</v>
      </c>
      <c r="S3139" s="52">
        <v>0.0</v>
      </c>
      <c r="T3139" s="51" t="s">
        <v>3743</v>
      </c>
      <c r="U3139" s="56"/>
      <c r="V3139" s="56"/>
      <c r="W3139" s="35">
        <v>29.7459917</v>
      </c>
      <c r="X3139" s="35">
        <v>-95.3245264</v>
      </c>
      <c r="AA3139" s="33"/>
      <c r="AB3139" s="33"/>
      <c r="AC3139" s="33"/>
      <c r="AD3139" s="33"/>
      <c r="AE3139" s="33"/>
      <c r="AF3139" s="33"/>
      <c r="AG3139" s="33"/>
      <c r="AH3139" s="33"/>
      <c r="AI3139" s="33"/>
      <c r="AJ3139" s="33"/>
      <c r="AK3139" s="33"/>
      <c r="AL3139" s="33"/>
      <c r="AM3139" s="33"/>
      <c r="AN3139" s="33"/>
      <c r="AO3139" s="33"/>
    </row>
    <row r="3140" ht="15.75" customHeight="1">
      <c r="A3140" s="50">
        <v>54787.0</v>
      </c>
      <c r="B3140" s="23">
        <v>2023.0</v>
      </c>
      <c r="C3140" s="36" t="str">
        <f t="shared" si="7"/>
        <v>6768 RENWICK DR,Houston,TX</v>
      </c>
      <c r="D3140" s="51" t="s">
        <v>1231</v>
      </c>
      <c r="E3140" s="23" t="s">
        <v>25</v>
      </c>
      <c r="F3140" s="23" t="s">
        <v>1388</v>
      </c>
      <c r="G3140" s="31" t="s">
        <v>287</v>
      </c>
      <c r="H3140" s="48" t="s">
        <v>1493</v>
      </c>
      <c r="I3140" s="37" t="str">
        <f>VLOOKUP(H3140,'Flow Location'!$A$1:$B$21,2,FALSE)</f>
        <v>Contained On Site, not within 5 ft. of Bayou/Surface Water/Drainage Ditch</v>
      </c>
      <c r="J3140" s="52">
        <v>36.0</v>
      </c>
      <c r="K3140" s="51" t="s">
        <v>45</v>
      </c>
      <c r="L3140" s="37" t="str">
        <f>VLOOKUP(K3140,'Structure type'!$A$1:$B$15,2,FALSE)</f>
        <v>City Cleanout</v>
      </c>
      <c r="M3140" s="51" t="s">
        <v>56</v>
      </c>
      <c r="N3140" s="23" t="str">
        <f>VLOOKUP(M3140,'Excursion Cause'!$A$1:$B$34,2,FALSE)</f>
        <v>Rags/Wipes</v>
      </c>
      <c r="O3140" s="53">
        <v>45246.0</v>
      </c>
      <c r="P3140" s="54">
        <v>0.40625</v>
      </c>
      <c r="Q3140" s="55">
        <v>45246.0</v>
      </c>
      <c r="R3140" s="54">
        <v>0.5069444444444444</v>
      </c>
      <c r="S3140" s="52">
        <v>0.0</v>
      </c>
      <c r="T3140" s="51" t="s">
        <v>3743</v>
      </c>
      <c r="U3140" s="56"/>
      <c r="V3140" s="56"/>
      <c r="W3140" s="35">
        <v>29.7060684</v>
      </c>
      <c r="X3140" s="35">
        <v>-95.4850929999999</v>
      </c>
      <c r="AA3140" s="33"/>
      <c r="AB3140" s="33"/>
      <c r="AC3140" s="33"/>
      <c r="AD3140" s="33"/>
      <c r="AE3140" s="33"/>
      <c r="AF3140" s="33"/>
      <c r="AG3140" s="33"/>
      <c r="AH3140" s="33"/>
      <c r="AI3140" s="33"/>
      <c r="AJ3140" s="33"/>
      <c r="AK3140" s="33"/>
      <c r="AL3140" s="33"/>
      <c r="AM3140" s="33"/>
      <c r="AN3140" s="33"/>
      <c r="AO3140" s="33"/>
    </row>
    <row r="3141" ht="15.75" customHeight="1">
      <c r="A3141" s="50">
        <v>54790.0</v>
      </c>
      <c r="B3141" s="23">
        <v>2023.0</v>
      </c>
      <c r="C3141" s="36" t="str">
        <f t="shared" si="7"/>
        <v>3210 BINGLE RD,Houston,TX</v>
      </c>
      <c r="D3141" s="51" t="s">
        <v>4993</v>
      </c>
      <c r="E3141" s="23" t="s">
        <v>25</v>
      </c>
      <c r="F3141" s="23" t="s">
        <v>1388</v>
      </c>
      <c r="G3141" s="31" t="s">
        <v>27</v>
      </c>
      <c r="H3141" s="57" t="s">
        <v>4994</v>
      </c>
      <c r="I3141" s="37" t="str">
        <f>VLOOKUP(H3141,'Flow Location'!$A$1:$B$21,2,FALSE)</f>
        <v>Bayou/surface water/drainage ditch</v>
      </c>
      <c r="J3141" s="52">
        <v>256.0</v>
      </c>
      <c r="K3141" s="51" t="s">
        <v>290</v>
      </c>
      <c r="L3141" s="37" t="str">
        <f>VLOOKUP(K3141,'Structure type'!$A$1:$B$15,2,FALSE)</f>
        <v>Gravity Main</v>
      </c>
      <c r="M3141" s="51" t="s">
        <v>30</v>
      </c>
      <c r="N3141" s="23" t="str">
        <f>VLOOKUP(M3141,'Excursion Cause'!$A$1:$B$34,2,FALSE)</f>
        <v>Grease Blockage</v>
      </c>
      <c r="O3141" s="53">
        <v>45246.0</v>
      </c>
      <c r="P3141" s="54">
        <v>0.5243055555555556</v>
      </c>
      <c r="Q3141" s="55">
        <v>45246.0</v>
      </c>
      <c r="R3141" s="54">
        <v>0.7020833333333333</v>
      </c>
      <c r="S3141" s="52">
        <v>1.0</v>
      </c>
      <c r="T3141" s="51" t="s">
        <v>37</v>
      </c>
      <c r="U3141" s="56"/>
      <c r="V3141" s="56"/>
      <c r="W3141" s="35">
        <v>29.8220146</v>
      </c>
      <c r="X3141" s="35">
        <v>-95.4953788</v>
      </c>
      <c r="AA3141" s="33"/>
      <c r="AB3141" s="33"/>
      <c r="AC3141" s="33"/>
      <c r="AD3141" s="33"/>
      <c r="AE3141" s="33"/>
      <c r="AF3141" s="33"/>
      <c r="AG3141" s="33"/>
      <c r="AH3141" s="33"/>
      <c r="AI3141" s="33"/>
      <c r="AJ3141" s="33"/>
      <c r="AK3141" s="33"/>
      <c r="AL3141" s="33"/>
      <c r="AM3141" s="33"/>
      <c r="AN3141" s="33"/>
      <c r="AO3141" s="33"/>
    </row>
    <row r="3142" ht="15.75" customHeight="1">
      <c r="A3142" s="50">
        <v>54798.0</v>
      </c>
      <c r="B3142" s="23">
        <v>2023.0</v>
      </c>
      <c r="C3142" s="36" t="str">
        <f t="shared" si="7"/>
        <v>2345 MARGARET ST,Houston,TX</v>
      </c>
      <c r="D3142" s="51" t="s">
        <v>1515</v>
      </c>
      <c r="E3142" s="23" t="s">
        <v>25</v>
      </c>
      <c r="F3142" s="23" t="s">
        <v>1388</v>
      </c>
      <c r="G3142" s="31" t="s">
        <v>109</v>
      </c>
      <c r="H3142" s="48" t="s">
        <v>1493</v>
      </c>
      <c r="I3142" s="37" t="str">
        <f>VLOOKUP(H3142,'Flow Location'!$A$1:$B$21,2,FALSE)</f>
        <v>Contained On Site, not within 5 ft. of Bayou/Surface Water/Drainage Ditch</v>
      </c>
      <c r="J3142" s="52">
        <v>0.0</v>
      </c>
      <c r="K3142" s="51" t="s">
        <v>45</v>
      </c>
      <c r="L3142" s="37" t="str">
        <f>VLOOKUP(K3142,'Structure type'!$A$1:$B$15,2,FALSE)</f>
        <v>City Cleanout</v>
      </c>
      <c r="M3142" s="51" t="s">
        <v>56</v>
      </c>
      <c r="N3142" s="23" t="str">
        <f>VLOOKUP(M3142,'Excursion Cause'!$A$1:$B$34,2,FALSE)</f>
        <v>Rags/Wipes</v>
      </c>
      <c r="O3142" s="53">
        <v>45247.0</v>
      </c>
      <c r="P3142" s="54">
        <v>0.37083333333333335</v>
      </c>
      <c r="Q3142" s="55">
        <v>45247.0</v>
      </c>
      <c r="R3142" s="54">
        <v>0.3715277777777778</v>
      </c>
      <c r="S3142" s="52">
        <v>0.0</v>
      </c>
      <c r="T3142" s="51" t="s">
        <v>3743</v>
      </c>
      <c r="U3142" s="56"/>
      <c r="V3142" s="56"/>
      <c r="W3142" s="35">
        <v>29.8655173</v>
      </c>
      <c r="X3142" s="35">
        <v>-95.3481027999999</v>
      </c>
      <c r="AA3142" s="33"/>
      <c r="AB3142" s="33"/>
      <c r="AC3142" s="33"/>
      <c r="AD3142" s="33"/>
      <c r="AE3142" s="33"/>
      <c r="AF3142" s="33"/>
      <c r="AG3142" s="33"/>
      <c r="AH3142" s="33"/>
      <c r="AI3142" s="33"/>
      <c r="AJ3142" s="33"/>
      <c r="AK3142" s="33"/>
      <c r="AL3142" s="33"/>
      <c r="AM3142" s="33"/>
      <c r="AN3142" s="33"/>
      <c r="AO3142" s="33"/>
    </row>
    <row r="3143" ht="15.75" customHeight="1">
      <c r="A3143" s="50">
        <v>54800.0</v>
      </c>
      <c r="B3143" s="23">
        <v>2023.0</v>
      </c>
      <c r="C3143" s="36" t="str">
        <f t="shared" si="7"/>
        <v>4218 WIPPRECHT ST,Houston,TX</v>
      </c>
      <c r="D3143" s="51" t="s">
        <v>4995</v>
      </c>
      <c r="E3143" s="23" t="s">
        <v>25</v>
      </c>
      <c r="F3143" s="23" t="s">
        <v>1388</v>
      </c>
      <c r="G3143" s="31" t="s">
        <v>43</v>
      </c>
      <c r="H3143" s="48" t="s">
        <v>1493</v>
      </c>
      <c r="I3143" s="37" t="str">
        <f>VLOOKUP(H3143,'Flow Location'!$A$1:$B$21,2,FALSE)</f>
        <v>Contained On Site, not within 5 ft. of Bayou/Surface Water/Drainage Ditch</v>
      </c>
      <c r="J3143" s="52">
        <v>0.0</v>
      </c>
      <c r="K3143" s="51" t="s">
        <v>45</v>
      </c>
      <c r="L3143" s="37" t="str">
        <f>VLOOKUP(K3143,'Structure type'!$A$1:$B$15,2,FALSE)</f>
        <v>City Cleanout</v>
      </c>
      <c r="M3143" s="51" t="s">
        <v>56</v>
      </c>
      <c r="N3143" s="23" t="str">
        <f>VLOOKUP(M3143,'Excursion Cause'!$A$1:$B$34,2,FALSE)</f>
        <v>Rags/Wipes</v>
      </c>
      <c r="O3143" s="53">
        <v>45247.0</v>
      </c>
      <c r="P3143" s="54">
        <v>0.45625</v>
      </c>
      <c r="Q3143" s="55">
        <v>45247.0</v>
      </c>
      <c r="R3143" s="54">
        <v>0.45694444444444443</v>
      </c>
      <c r="S3143" s="52">
        <v>0.0</v>
      </c>
      <c r="T3143" s="51" t="s">
        <v>3743</v>
      </c>
      <c r="U3143" s="56"/>
      <c r="V3143" s="56"/>
      <c r="W3143" s="35">
        <v>29.7993909</v>
      </c>
      <c r="X3143" s="35">
        <v>-95.3221428999999</v>
      </c>
      <c r="AA3143" s="33"/>
      <c r="AB3143" s="33"/>
      <c r="AC3143" s="33"/>
      <c r="AD3143" s="33"/>
      <c r="AE3143" s="33"/>
      <c r="AF3143" s="33"/>
      <c r="AG3143" s="33"/>
      <c r="AH3143" s="33"/>
      <c r="AI3143" s="33"/>
      <c r="AJ3143" s="33"/>
      <c r="AK3143" s="33"/>
      <c r="AL3143" s="33"/>
      <c r="AM3143" s="33"/>
      <c r="AN3143" s="33"/>
      <c r="AO3143" s="33"/>
    </row>
    <row r="3144" ht="15.75" customHeight="1">
      <c r="A3144" s="50">
        <v>54803.0</v>
      </c>
      <c r="B3144" s="23">
        <v>2023.0</v>
      </c>
      <c r="C3144" s="36" t="str">
        <f t="shared" si="7"/>
        <v>12427 HUNTINGTON FIELD DR,Houston,TX</v>
      </c>
      <c r="D3144" s="51" t="s">
        <v>4996</v>
      </c>
      <c r="E3144" s="23" t="s">
        <v>25</v>
      </c>
      <c r="F3144" s="23" t="s">
        <v>1388</v>
      </c>
      <c r="G3144" s="31" t="s">
        <v>154</v>
      </c>
      <c r="H3144" s="43" t="s">
        <v>4997</v>
      </c>
      <c r="I3144" s="37" t="str">
        <f>VLOOKUP(H3144,'Flow Location'!$A$1:$B$21,2,FALSE)</f>
        <v>Storm Sewer (not contained)</v>
      </c>
      <c r="J3144" s="52">
        <v>0.0</v>
      </c>
      <c r="K3144" s="51" t="s">
        <v>45</v>
      </c>
      <c r="L3144" s="37" t="str">
        <f>VLOOKUP(K3144,'Structure type'!$A$1:$B$15,2,FALSE)</f>
        <v>City Cleanout</v>
      </c>
      <c r="M3144" s="51" t="s">
        <v>96</v>
      </c>
      <c r="N3144" s="23" t="str">
        <f>VLOOKUP(M3144,'Excursion Cause'!$A$1:$B$34,2,FALSE)</f>
        <v>Collection system temporary blockage</v>
      </c>
      <c r="O3144" s="53">
        <v>45248.0</v>
      </c>
      <c r="P3144" s="54">
        <v>0.4791666666666667</v>
      </c>
      <c r="Q3144" s="55">
        <v>45248.0</v>
      </c>
      <c r="R3144" s="54">
        <v>0.5069444444444444</v>
      </c>
      <c r="S3144" s="52">
        <v>0.0</v>
      </c>
      <c r="T3144" s="51" t="s">
        <v>3743</v>
      </c>
      <c r="U3144" s="56"/>
      <c r="V3144" s="56"/>
      <c r="W3144" s="35">
        <v>29.6659582</v>
      </c>
      <c r="X3144" s="35">
        <v>-95.6061068</v>
      </c>
      <c r="AA3144" s="33"/>
      <c r="AB3144" s="33"/>
      <c r="AC3144" s="33"/>
      <c r="AD3144" s="33"/>
      <c r="AE3144" s="33"/>
      <c r="AF3144" s="33"/>
      <c r="AG3144" s="33"/>
      <c r="AH3144" s="33"/>
      <c r="AI3144" s="33"/>
      <c r="AJ3144" s="33"/>
      <c r="AK3144" s="33"/>
      <c r="AL3144" s="33"/>
      <c r="AM3144" s="33"/>
      <c r="AN3144" s="33"/>
      <c r="AO3144" s="33"/>
    </row>
    <row r="3145" ht="15.75" customHeight="1">
      <c r="A3145" s="50">
        <v>54805.0</v>
      </c>
      <c r="B3145" s="23">
        <v>2023.0</v>
      </c>
      <c r="C3145" s="36" t="str">
        <f t="shared" si="7"/>
        <v>3602 OLD SPANISH TRL,Houston,TX</v>
      </c>
      <c r="D3145" s="51" t="s">
        <v>3242</v>
      </c>
      <c r="E3145" s="23" t="s">
        <v>25</v>
      </c>
      <c r="F3145" s="23" t="s">
        <v>1388</v>
      </c>
      <c r="G3145" s="31" t="s">
        <v>238</v>
      </c>
      <c r="H3145" s="43" t="s">
        <v>4998</v>
      </c>
      <c r="I3145" s="37" t="str">
        <f>VLOOKUP(H3145,'Flow Location'!$A$1:$B$21,2,FALSE)</f>
        <v>Storm Sewer (not contained)</v>
      </c>
      <c r="J3145" s="52">
        <v>162.0</v>
      </c>
      <c r="K3145" s="51" t="s">
        <v>29</v>
      </c>
      <c r="L3145" s="37" t="str">
        <f>VLOOKUP(K3145,'Structure type'!$A$1:$B$15,2,FALSE)</f>
        <v>Manhole</v>
      </c>
      <c r="M3145" s="51" t="s">
        <v>30</v>
      </c>
      <c r="N3145" s="23" t="str">
        <f>VLOOKUP(M3145,'Excursion Cause'!$A$1:$B$34,2,FALSE)</f>
        <v>Grease Blockage</v>
      </c>
      <c r="O3145" s="53">
        <v>45247.0</v>
      </c>
      <c r="P3145" s="54">
        <v>0.5965277777777778</v>
      </c>
      <c r="Q3145" s="55">
        <v>45247.0</v>
      </c>
      <c r="R3145" s="54">
        <v>0.6527777777777778</v>
      </c>
      <c r="S3145" s="52">
        <v>2.0</v>
      </c>
      <c r="T3145" s="51" t="s">
        <v>3749</v>
      </c>
      <c r="U3145" s="56"/>
      <c r="V3145" s="56"/>
      <c r="W3145" s="35">
        <v>29.7016102</v>
      </c>
      <c r="X3145" s="35">
        <v>-95.3645751999999</v>
      </c>
      <c r="AA3145" s="33"/>
      <c r="AB3145" s="33"/>
      <c r="AC3145" s="33"/>
      <c r="AD3145" s="33"/>
      <c r="AE3145" s="33"/>
      <c r="AF3145" s="33"/>
      <c r="AG3145" s="33"/>
      <c r="AH3145" s="33"/>
      <c r="AI3145" s="33"/>
      <c r="AJ3145" s="33"/>
      <c r="AK3145" s="33"/>
      <c r="AL3145" s="33"/>
      <c r="AM3145" s="33"/>
      <c r="AN3145" s="33"/>
      <c r="AO3145" s="33"/>
    </row>
    <row r="3146" ht="15.75" customHeight="1">
      <c r="A3146" s="50">
        <v>54808.0</v>
      </c>
      <c r="B3146" s="23">
        <v>2023.0</v>
      </c>
      <c r="C3146" s="36" t="str">
        <f t="shared" si="7"/>
        <v>717 BACA ST,Houston,TX</v>
      </c>
      <c r="D3146" s="51" t="s">
        <v>4999</v>
      </c>
      <c r="E3146" s="23" t="s">
        <v>25</v>
      </c>
      <c r="F3146" s="23" t="s">
        <v>1388</v>
      </c>
      <c r="G3146" s="31" t="s">
        <v>656</v>
      </c>
      <c r="H3146" s="48" t="s">
        <v>1493</v>
      </c>
      <c r="I3146" s="37" t="str">
        <f>VLOOKUP(H3146,'Flow Location'!$A$1:$B$21,2,FALSE)</f>
        <v>Contained On Site, not within 5 ft. of Bayou/Surface Water/Drainage Ditch</v>
      </c>
      <c r="J3146" s="52">
        <v>0.0</v>
      </c>
      <c r="K3146" s="51" t="s">
        <v>51</v>
      </c>
      <c r="L3146" s="37" t="str">
        <f>VLOOKUP(K3146,'Structure type'!$A$1:$B$15,2,FALSE)</f>
        <v>Private Cleanout</v>
      </c>
      <c r="M3146" s="51" t="s">
        <v>81</v>
      </c>
      <c r="N3146" s="23" t="str">
        <f>VLOOKUP(M3146,'Excursion Cause'!$A$1:$B$34,2,FALSE)</f>
        <v>Collection system structural failure</v>
      </c>
      <c r="O3146" s="53">
        <v>45247.0</v>
      </c>
      <c r="P3146" s="54">
        <v>0.6423611111111112</v>
      </c>
      <c r="Q3146" s="55">
        <v>45247.0</v>
      </c>
      <c r="R3146" s="54">
        <v>0.6430555555555556</v>
      </c>
      <c r="S3146" s="52">
        <v>0.0</v>
      </c>
      <c r="T3146" s="51" t="s">
        <v>118</v>
      </c>
      <c r="U3146" s="56"/>
      <c r="V3146" s="56"/>
      <c r="W3146" s="35">
        <v>29.7758883</v>
      </c>
      <c r="X3146" s="35">
        <v>-95.2375369999999</v>
      </c>
      <c r="AA3146" s="33"/>
      <c r="AB3146" s="33"/>
      <c r="AC3146" s="33"/>
      <c r="AD3146" s="33"/>
      <c r="AE3146" s="33"/>
      <c r="AF3146" s="33"/>
      <c r="AG3146" s="33"/>
      <c r="AH3146" s="33"/>
      <c r="AI3146" s="33"/>
      <c r="AJ3146" s="33"/>
      <c r="AK3146" s="33"/>
      <c r="AL3146" s="33"/>
      <c r="AM3146" s="33"/>
      <c r="AN3146" s="33"/>
      <c r="AO3146" s="33"/>
    </row>
    <row r="3147" ht="15.75" customHeight="1">
      <c r="A3147" s="50">
        <v>54809.0</v>
      </c>
      <c r="B3147" s="23">
        <v>2023.0</v>
      </c>
      <c r="C3147" s="36" t="str">
        <f t="shared" si="7"/>
        <v>11212 WESTPARK DR,Houston,TX</v>
      </c>
      <c r="D3147" s="51" t="s">
        <v>2126</v>
      </c>
      <c r="E3147" s="23" t="s">
        <v>25</v>
      </c>
      <c r="F3147" s="23" t="s">
        <v>1388</v>
      </c>
      <c r="G3147" s="31" t="s">
        <v>313</v>
      </c>
      <c r="H3147" s="43" t="s">
        <v>5000</v>
      </c>
      <c r="I3147" s="37" t="str">
        <f>VLOOKUP(H3147,'Flow Location'!$A$1:$B$21,2,FALSE)</f>
        <v>Storm Sewer (not contained)</v>
      </c>
      <c r="J3147" s="52">
        <v>1641.0</v>
      </c>
      <c r="K3147" s="51" t="s">
        <v>29</v>
      </c>
      <c r="L3147" s="37" t="str">
        <f>VLOOKUP(K3147,'Structure type'!$A$1:$B$15,2,FALSE)</f>
        <v>Manhole</v>
      </c>
      <c r="M3147" s="51" t="s">
        <v>30</v>
      </c>
      <c r="N3147" s="23" t="str">
        <f>VLOOKUP(M3147,'Excursion Cause'!$A$1:$B$34,2,FALSE)</f>
        <v>Grease Blockage</v>
      </c>
      <c r="O3147" s="53">
        <v>45248.0</v>
      </c>
      <c r="P3147" s="54">
        <v>0.33055555555555555</v>
      </c>
      <c r="Q3147" s="55">
        <v>45248.0</v>
      </c>
      <c r="R3147" s="54">
        <v>0.7104166666666667</v>
      </c>
      <c r="S3147" s="52">
        <v>3.0</v>
      </c>
      <c r="T3147" s="51" t="s">
        <v>3749</v>
      </c>
      <c r="U3147" s="56"/>
      <c r="V3147" s="56"/>
      <c r="W3147" s="35">
        <v>29.721762</v>
      </c>
      <c r="X3147" s="35">
        <v>-95.5699247</v>
      </c>
      <c r="AA3147" s="33"/>
      <c r="AB3147" s="33"/>
      <c r="AC3147" s="33"/>
      <c r="AD3147" s="33"/>
      <c r="AE3147" s="33"/>
      <c r="AF3147" s="33"/>
      <c r="AG3147" s="33"/>
      <c r="AH3147" s="33"/>
      <c r="AI3147" s="33"/>
      <c r="AJ3147" s="33"/>
      <c r="AK3147" s="33"/>
      <c r="AL3147" s="33"/>
      <c r="AM3147" s="33"/>
      <c r="AN3147" s="33"/>
      <c r="AO3147" s="33"/>
    </row>
    <row r="3148" ht="15.75" customHeight="1">
      <c r="A3148" s="50">
        <v>54810.0</v>
      </c>
      <c r="B3148" s="23">
        <v>2023.0</v>
      </c>
      <c r="C3148" s="36" t="str">
        <f t="shared" si="7"/>
        <v>7212 HOMESTEAD RD,Houston,TX</v>
      </c>
      <c r="D3148" s="51" t="s">
        <v>5001</v>
      </c>
      <c r="E3148" s="23" t="s">
        <v>25</v>
      </c>
      <c r="F3148" s="23" t="s">
        <v>1388</v>
      </c>
      <c r="G3148" s="31" t="s">
        <v>177</v>
      </c>
      <c r="H3148" s="48" t="s">
        <v>1493</v>
      </c>
      <c r="I3148" s="37" t="str">
        <f>VLOOKUP(H3148,'Flow Location'!$A$1:$B$21,2,FALSE)</f>
        <v>Contained On Site, not within 5 ft. of Bayou/Surface Water/Drainage Ditch</v>
      </c>
      <c r="J3148" s="52">
        <v>0.0</v>
      </c>
      <c r="K3148" s="51" t="s">
        <v>198</v>
      </c>
      <c r="L3148" s="37" t="str">
        <f>VLOOKUP(K3148,'Structure type'!$A$1:$B$15,2,FALSE)</f>
        <v>Service Lateral</v>
      </c>
      <c r="M3148" s="51" t="s">
        <v>30</v>
      </c>
      <c r="N3148" s="23" t="str">
        <f>VLOOKUP(M3148,'Excursion Cause'!$A$1:$B$34,2,FALSE)</f>
        <v>Grease Blockage</v>
      </c>
      <c r="O3148" s="53">
        <v>45248.0</v>
      </c>
      <c r="P3148" s="54">
        <v>0.45416666666666666</v>
      </c>
      <c r="Q3148" s="55">
        <v>45248.0</v>
      </c>
      <c r="R3148" s="54">
        <v>0.4548611111111111</v>
      </c>
      <c r="S3148" s="52">
        <v>0.0</v>
      </c>
      <c r="T3148" s="51" t="s">
        <v>1473</v>
      </c>
      <c r="U3148" s="56"/>
      <c r="V3148" s="56"/>
      <c r="W3148" s="35">
        <v>29.8268515</v>
      </c>
      <c r="X3148" s="35">
        <v>-95.3016641</v>
      </c>
      <c r="AA3148" s="33"/>
      <c r="AB3148" s="33"/>
      <c r="AC3148" s="33"/>
      <c r="AD3148" s="33"/>
      <c r="AE3148" s="33"/>
      <c r="AF3148" s="33"/>
      <c r="AG3148" s="33"/>
      <c r="AH3148" s="33"/>
      <c r="AI3148" s="33"/>
      <c r="AJ3148" s="33"/>
      <c r="AK3148" s="33"/>
      <c r="AL3148" s="33"/>
      <c r="AM3148" s="33"/>
      <c r="AN3148" s="33"/>
      <c r="AO3148" s="33"/>
    </row>
    <row r="3149" ht="15.75" customHeight="1">
      <c r="A3149" s="50">
        <v>54811.0</v>
      </c>
      <c r="B3149" s="23">
        <v>2023.0</v>
      </c>
      <c r="C3149" s="36" t="str">
        <f t="shared" si="7"/>
        <v>7503 GLENHEATH ST,Houston,TX</v>
      </c>
      <c r="D3149" s="51" t="s">
        <v>5002</v>
      </c>
      <c r="E3149" s="23" t="s">
        <v>25</v>
      </c>
      <c r="F3149" s="23" t="s">
        <v>1388</v>
      </c>
      <c r="G3149" s="31" t="s">
        <v>398</v>
      </c>
      <c r="H3149" s="48" t="s">
        <v>1493</v>
      </c>
      <c r="I3149" s="37" t="str">
        <f>VLOOKUP(H3149,'Flow Location'!$A$1:$B$21,2,FALSE)</f>
        <v>Contained On Site, not within 5 ft. of Bayou/Surface Water/Drainage Ditch</v>
      </c>
      <c r="J3149" s="52">
        <v>0.0</v>
      </c>
      <c r="K3149" s="51" t="s">
        <v>51</v>
      </c>
      <c r="L3149" s="37" t="str">
        <f>VLOOKUP(K3149,'Structure type'!$A$1:$B$15,2,FALSE)</f>
        <v>Private Cleanout</v>
      </c>
      <c r="M3149" s="51" t="s">
        <v>81</v>
      </c>
      <c r="N3149" s="23" t="str">
        <f>VLOOKUP(M3149,'Excursion Cause'!$A$1:$B$34,2,FALSE)</f>
        <v>Collection system structural failure</v>
      </c>
      <c r="O3149" s="53">
        <v>45248.0</v>
      </c>
      <c r="P3149" s="54">
        <v>0.45</v>
      </c>
      <c r="Q3149" s="55">
        <v>45248.0</v>
      </c>
      <c r="R3149" s="54">
        <v>0.45069444444444445</v>
      </c>
      <c r="S3149" s="52">
        <v>0.0</v>
      </c>
      <c r="T3149" s="51" t="s">
        <v>1391</v>
      </c>
      <c r="U3149" s="56"/>
      <c r="V3149" s="56"/>
      <c r="W3149" s="35">
        <v>29.6662468</v>
      </c>
      <c r="X3149" s="35">
        <v>-95.2848116999999</v>
      </c>
      <c r="AA3149" s="33"/>
      <c r="AB3149" s="33"/>
      <c r="AC3149" s="33"/>
      <c r="AD3149" s="33"/>
      <c r="AE3149" s="33"/>
      <c r="AF3149" s="33"/>
      <c r="AG3149" s="33"/>
      <c r="AH3149" s="33"/>
      <c r="AI3149" s="33"/>
      <c r="AJ3149" s="33"/>
      <c r="AK3149" s="33"/>
      <c r="AL3149" s="33"/>
      <c r="AM3149" s="33"/>
      <c r="AN3149" s="33"/>
      <c r="AO3149" s="33"/>
    </row>
    <row r="3150" ht="15.75" customHeight="1">
      <c r="A3150" s="50">
        <v>54815.0</v>
      </c>
      <c r="B3150" s="23">
        <v>2023.0</v>
      </c>
      <c r="C3150" s="36" t="str">
        <f t="shared" si="7"/>
        <v>4934 MARKWOOD LN,Houston,TX</v>
      </c>
      <c r="D3150" s="51" t="s">
        <v>5003</v>
      </c>
      <c r="E3150" s="23" t="s">
        <v>25</v>
      </c>
      <c r="F3150" s="23" t="s">
        <v>1388</v>
      </c>
      <c r="G3150" s="31" t="s">
        <v>517</v>
      </c>
      <c r="H3150" s="48" t="s">
        <v>1493</v>
      </c>
      <c r="I3150" s="37" t="str">
        <f>VLOOKUP(H3150,'Flow Location'!$A$1:$B$21,2,FALSE)</f>
        <v>Contained On Site, not within 5 ft. of Bayou/Surface Water/Drainage Ditch</v>
      </c>
      <c r="J3150" s="52">
        <v>0.0</v>
      </c>
      <c r="K3150" s="51" t="s">
        <v>51</v>
      </c>
      <c r="L3150" s="37" t="str">
        <f>VLOOKUP(K3150,'Structure type'!$A$1:$B$15,2,FALSE)</f>
        <v>Private Cleanout</v>
      </c>
      <c r="M3150" s="51" t="s">
        <v>56</v>
      </c>
      <c r="N3150" s="23" t="str">
        <f>VLOOKUP(M3150,'Excursion Cause'!$A$1:$B$34,2,FALSE)</f>
        <v>Rags/Wipes</v>
      </c>
      <c r="O3150" s="53">
        <v>45248.0</v>
      </c>
      <c r="P3150" s="54">
        <v>0.5152777777777777</v>
      </c>
      <c r="Q3150" s="55">
        <v>45248.0</v>
      </c>
      <c r="R3150" s="54">
        <v>0.5159722222222223</v>
      </c>
      <c r="S3150" s="52">
        <v>0.0</v>
      </c>
      <c r="T3150" s="51" t="s">
        <v>5004</v>
      </c>
      <c r="U3150" s="56"/>
      <c r="V3150" s="56"/>
      <c r="W3150" s="35">
        <v>29.6018139</v>
      </c>
      <c r="X3150" s="35">
        <v>-95.4544999</v>
      </c>
      <c r="AA3150" s="33"/>
      <c r="AB3150" s="33"/>
      <c r="AC3150" s="33"/>
      <c r="AD3150" s="33"/>
      <c r="AE3150" s="33"/>
      <c r="AF3150" s="33"/>
      <c r="AG3150" s="33"/>
      <c r="AH3150" s="33"/>
      <c r="AI3150" s="33"/>
      <c r="AJ3150" s="33"/>
      <c r="AK3150" s="33"/>
      <c r="AL3150" s="33"/>
      <c r="AM3150" s="33"/>
      <c r="AN3150" s="33"/>
      <c r="AO3150" s="33"/>
    </row>
    <row r="3151" ht="15.75" customHeight="1">
      <c r="A3151" s="50">
        <v>54818.0</v>
      </c>
      <c r="B3151" s="23">
        <v>2023.0</v>
      </c>
      <c r="C3151" s="36" t="str">
        <f t="shared" si="7"/>
        <v>4212 WASHINGTON AVE,Houston,TX</v>
      </c>
      <c r="D3151" s="51" t="s">
        <v>5005</v>
      </c>
      <c r="E3151" s="23" t="s">
        <v>25</v>
      </c>
      <c r="F3151" s="23" t="s">
        <v>1388</v>
      </c>
      <c r="G3151" s="31" t="s">
        <v>158</v>
      </c>
      <c r="H3151" s="48" t="s">
        <v>1493</v>
      </c>
      <c r="I3151" s="37" t="str">
        <f>VLOOKUP(H3151,'Flow Location'!$A$1:$B$21,2,FALSE)</f>
        <v>Contained On Site, not within 5 ft. of Bayou/Surface Water/Drainage Ditch</v>
      </c>
      <c r="J3151" s="52">
        <v>0.0</v>
      </c>
      <c r="K3151" s="51" t="s">
        <v>45</v>
      </c>
      <c r="L3151" s="37" t="str">
        <f>VLOOKUP(K3151,'Structure type'!$A$1:$B$15,2,FALSE)</f>
        <v>City Cleanout</v>
      </c>
      <c r="M3151" s="51" t="s">
        <v>56</v>
      </c>
      <c r="N3151" s="23" t="str">
        <f>VLOOKUP(M3151,'Excursion Cause'!$A$1:$B$34,2,FALSE)</f>
        <v>Rags/Wipes</v>
      </c>
      <c r="O3151" s="53">
        <v>45248.0</v>
      </c>
      <c r="P3151" s="54">
        <v>0.6076388888888888</v>
      </c>
      <c r="Q3151" s="55">
        <v>45248.0</v>
      </c>
      <c r="R3151" s="54">
        <v>0.6083333333333333</v>
      </c>
      <c r="S3151" s="52">
        <v>0.0</v>
      </c>
      <c r="T3151" s="51" t="s">
        <v>3743</v>
      </c>
      <c r="U3151" s="56"/>
      <c r="V3151" s="56"/>
      <c r="W3151" s="35">
        <v>29.7705557</v>
      </c>
      <c r="X3151" s="35">
        <v>-95.4034252</v>
      </c>
      <c r="AA3151" s="33"/>
      <c r="AB3151" s="33"/>
      <c r="AC3151" s="33"/>
      <c r="AD3151" s="33"/>
      <c r="AE3151" s="33"/>
      <c r="AF3151" s="33"/>
      <c r="AG3151" s="33"/>
      <c r="AH3151" s="33"/>
      <c r="AI3151" s="33"/>
      <c r="AJ3151" s="33"/>
      <c r="AK3151" s="33"/>
      <c r="AL3151" s="33"/>
      <c r="AM3151" s="33"/>
      <c r="AN3151" s="33"/>
      <c r="AO3151" s="33"/>
    </row>
    <row r="3152" ht="15.75" customHeight="1">
      <c r="A3152" s="50">
        <v>54819.0</v>
      </c>
      <c r="B3152" s="23">
        <v>2023.0</v>
      </c>
      <c r="C3152" s="36" t="str">
        <f t="shared" si="7"/>
        <v>1139 DUNBAR ST,Houston,TX</v>
      </c>
      <c r="D3152" s="51" t="s">
        <v>5006</v>
      </c>
      <c r="E3152" s="23" t="s">
        <v>25</v>
      </c>
      <c r="F3152" s="23" t="s">
        <v>1388</v>
      </c>
      <c r="G3152" s="31" t="s">
        <v>161</v>
      </c>
      <c r="H3152" s="48" t="s">
        <v>1493</v>
      </c>
      <c r="I3152" s="37" t="str">
        <f>VLOOKUP(H3152,'Flow Location'!$A$1:$B$21,2,FALSE)</f>
        <v>Contained On Site, not within 5 ft. of Bayou/Surface Water/Drainage Ditch</v>
      </c>
      <c r="J3152" s="52">
        <v>0.0</v>
      </c>
      <c r="K3152" s="51" t="s">
        <v>51</v>
      </c>
      <c r="L3152" s="37" t="str">
        <f>VLOOKUP(K3152,'Structure type'!$A$1:$B$15,2,FALSE)</f>
        <v>Private Cleanout</v>
      </c>
      <c r="M3152" s="51" t="s">
        <v>759</v>
      </c>
      <c r="N3152" s="23" t="str">
        <f>VLOOKUP(M3152,'Excursion Cause'!$A$1:$B$34,2,FALSE)</f>
        <v>Roots</v>
      </c>
      <c r="O3152" s="53">
        <v>45248.0</v>
      </c>
      <c r="P3152" s="54">
        <v>0.6131944444444445</v>
      </c>
      <c r="Q3152" s="55">
        <v>45248.0</v>
      </c>
      <c r="R3152" s="54">
        <v>0.6138888888888889</v>
      </c>
      <c r="S3152" s="52">
        <v>0.0</v>
      </c>
      <c r="T3152" s="51" t="s">
        <v>118</v>
      </c>
      <c r="U3152" s="56"/>
      <c r="V3152" s="56"/>
      <c r="W3152" s="35">
        <v>29.8027577</v>
      </c>
      <c r="X3152" s="35">
        <v>-95.3878611999999</v>
      </c>
      <c r="AA3152" s="33"/>
      <c r="AB3152" s="33"/>
      <c r="AC3152" s="33"/>
      <c r="AD3152" s="33"/>
      <c r="AE3152" s="33"/>
      <c r="AF3152" s="33"/>
      <c r="AG3152" s="33"/>
      <c r="AH3152" s="33"/>
      <c r="AI3152" s="33"/>
      <c r="AJ3152" s="33"/>
      <c r="AK3152" s="33"/>
      <c r="AL3152" s="33"/>
      <c r="AM3152" s="33"/>
      <c r="AN3152" s="33"/>
      <c r="AO3152" s="33"/>
    </row>
    <row r="3153" ht="15.75" customHeight="1">
      <c r="A3153" s="50">
        <v>54821.0</v>
      </c>
      <c r="B3153" s="23">
        <v>2023.0</v>
      </c>
      <c r="C3153" s="36" t="str">
        <f t="shared" si="7"/>
        <v>5530 ENCLAVE FOUNTAIN LN,Houston,TX</v>
      </c>
      <c r="D3153" s="51" t="s">
        <v>1279</v>
      </c>
      <c r="E3153" s="23" t="s">
        <v>25</v>
      </c>
      <c r="F3153" s="23" t="s">
        <v>1388</v>
      </c>
      <c r="G3153" s="31" t="s">
        <v>5007</v>
      </c>
      <c r="H3153" s="43" t="s">
        <v>5008</v>
      </c>
      <c r="I3153" s="37" t="str">
        <f>VLOOKUP(H3153,'Flow Location'!$A$1:$B$21,2,FALSE)</f>
        <v>Storm Sewer (not contained)</v>
      </c>
      <c r="J3153" s="52">
        <v>0.0</v>
      </c>
      <c r="K3153" s="51" t="s">
        <v>290</v>
      </c>
      <c r="L3153" s="37" t="str">
        <f>VLOOKUP(K3153,'Structure type'!$A$1:$B$15,2,FALSE)</f>
        <v>Gravity Main</v>
      </c>
      <c r="M3153" s="51" t="s">
        <v>30</v>
      </c>
      <c r="N3153" s="23" t="str">
        <f>VLOOKUP(M3153,'Excursion Cause'!$A$1:$B$34,2,FALSE)</f>
        <v>Grease Blockage</v>
      </c>
      <c r="O3153" s="53">
        <v>45249.0</v>
      </c>
      <c r="P3153" s="54">
        <v>0.4305555555555556</v>
      </c>
      <c r="Q3153" s="55">
        <v>45249.0</v>
      </c>
      <c r="R3153" s="54">
        <v>0.43125</v>
      </c>
      <c r="S3153" s="52">
        <v>0.0</v>
      </c>
      <c r="T3153" s="51" t="s">
        <v>1462</v>
      </c>
      <c r="U3153" s="56"/>
      <c r="V3153" s="56"/>
      <c r="W3153" s="35">
        <v>29.5935038</v>
      </c>
      <c r="X3153" s="35">
        <v>-95.7484301</v>
      </c>
      <c r="AA3153" s="33"/>
      <c r="AB3153" s="33"/>
      <c r="AC3153" s="33"/>
      <c r="AD3153" s="33"/>
      <c r="AE3153" s="33"/>
      <c r="AF3153" s="33"/>
      <c r="AG3153" s="33"/>
      <c r="AH3153" s="33"/>
      <c r="AI3153" s="33"/>
      <c r="AJ3153" s="33"/>
      <c r="AK3153" s="33"/>
      <c r="AL3153" s="33"/>
      <c r="AM3153" s="33"/>
      <c r="AN3153" s="33"/>
      <c r="AO3153" s="33"/>
    </row>
    <row r="3154" ht="15.75" customHeight="1">
      <c r="A3154" s="50">
        <v>54823.0</v>
      </c>
      <c r="B3154" s="23">
        <v>2023.0</v>
      </c>
      <c r="C3154" s="36" t="str">
        <f t="shared" si="7"/>
        <v>2929 MILAM ST,Houston,TX</v>
      </c>
      <c r="D3154" s="51" t="s">
        <v>4988</v>
      </c>
      <c r="E3154" s="23" t="s">
        <v>25</v>
      </c>
      <c r="F3154" s="23" t="s">
        <v>1388</v>
      </c>
      <c r="G3154" s="31" t="s">
        <v>761</v>
      </c>
      <c r="H3154" s="48" t="s">
        <v>1493</v>
      </c>
      <c r="I3154" s="37" t="str">
        <f>VLOOKUP(H3154,'Flow Location'!$A$1:$B$21,2,FALSE)</f>
        <v>Contained On Site, not within 5 ft. of Bayou/Surface Water/Drainage Ditch</v>
      </c>
      <c r="J3154" s="52">
        <v>0.0</v>
      </c>
      <c r="K3154" s="51" t="s">
        <v>1127</v>
      </c>
      <c r="L3154" s="37" t="str">
        <f>VLOOKUP(K3154,'Structure type'!$A$1:$B$15,2,FALSE)</f>
        <v>Private Sample Well</v>
      </c>
      <c r="M3154" s="51" t="s">
        <v>30</v>
      </c>
      <c r="N3154" s="23" t="str">
        <f>VLOOKUP(M3154,'Excursion Cause'!$A$1:$B$34,2,FALSE)</f>
        <v>Grease Blockage</v>
      </c>
      <c r="O3154" s="53">
        <v>45249.0</v>
      </c>
      <c r="P3154" s="54">
        <v>0.4986111111111111</v>
      </c>
      <c r="Q3154" s="55">
        <v>45249.0</v>
      </c>
      <c r="R3154" s="54">
        <v>0.49930555555555556</v>
      </c>
      <c r="S3154" s="52">
        <v>0.0</v>
      </c>
      <c r="T3154" s="51" t="s">
        <v>1462</v>
      </c>
      <c r="U3154" s="56"/>
      <c r="V3154" s="56"/>
      <c r="W3154" s="35">
        <v>29.7439222</v>
      </c>
      <c r="X3154" s="35">
        <v>-95.3775454</v>
      </c>
      <c r="AA3154" s="33"/>
      <c r="AB3154" s="33"/>
      <c r="AC3154" s="33"/>
      <c r="AD3154" s="33"/>
      <c r="AE3154" s="33"/>
      <c r="AF3154" s="33"/>
      <c r="AG3154" s="33"/>
      <c r="AH3154" s="33"/>
      <c r="AI3154" s="33"/>
      <c r="AJ3154" s="33"/>
      <c r="AK3154" s="33"/>
      <c r="AL3154" s="33"/>
      <c r="AM3154" s="33"/>
      <c r="AN3154" s="33"/>
      <c r="AO3154" s="33"/>
    </row>
    <row r="3155" ht="15.75" customHeight="1">
      <c r="A3155" s="50">
        <v>54824.0</v>
      </c>
      <c r="B3155" s="23">
        <v>2023.0</v>
      </c>
      <c r="C3155" s="36" t="str">
        <f t="shared" si="7"/>
        <v>4311 BETTIS DR,Houston,TX</v>
      </c>
      <c r="D3155" s="51" t="s">
        <v>5009</v>
      </c>
      <c r="E3155" s="23" t="s">
        <v>25</v>
      </c>
      <c r="F3155" s="23" t="s">
        <v>1388</v>
      </c>
      <c r="G3155" s="31" t="s">
        <v>1621</v>
      </c>
      <c r="H3155" s="48" t="s">
        <v>1493</v>
      </c>
      <c r="I3155" s="37" t="str">
        <f>VLOOKUP(H3155,'Flow Location'!$A$1:$B$21,2,FALSE)</f>
        <v>Contained On Site, not within 5 ft. of Bayou/Surface Water/Drainage Ditch</v>
      </c>
      <c r="J3155" s="52">
        <v>0.0</v>
      </c>
      <c r="K3155" s="51" t="s">
        <v>29</v>
      </c>
      <c r="L3155" s="37" t="str">
        <f>VLOOKUP(K3155,'Structure type'!$A$1:$B$15,2,FALSE)</f>
        <v>Manhole</v>
      </c>
      <c r="M3155" s="51" t="s">
        <v>30</v>
      </c>
      <c r="N3155" s="23" t="str">
        <f>VLOOKUP(M3155,'Excursion Cause'!$A$1:$B$34,2,FALSE)</f>
        <v>Grease Blockage</v>
      </c>
      <c r="O3155" s="53">
        <v>45249.0</v>
      </c>
      <c r="P3155" s="54">
        <v>0.5270833333333333</v>
      </c>
      <c r="Q3155" s="55">
        <v>45249.0</v>
      </c>
      <c r="R3155" s="54">
        <v>0.5277777777777778</v>
      </c>
      <c r="S3155" s="52">
        <v>0.0</v>
      </c>
      <c r="T3155" s="51" t="s">
        <v>118</v>
      </c>
      <c r="U3155" s="56"/>
      <c r="V3155" s="56"/>
      <c r="W3155" s="35">
        <v>29.7436924</v>
      </c>
      <c r="X3155" s="35">
        <v>-95.4516134</v>
      </c>
      <c r="AA3155" s="33"/>
      <c r="AB3155" s="33"/>
      <c r="AC3155" s="33"/>
      <c r="AD3155" s="33"/>
      <c r="AE3155" s="33"/>
      <c r="AF3155" s="33"/>
      <c r="AG3155" s="33"/>
      <c r="AH3155" s="33"/>
      <c r="AI3155" s="33"/>
      <c r="AJ3155" s="33"/>
      <c r="AK3155" s="33"/>
      <c r="AL3155" s="33"/>
      <c r="AM3155" s="33"/>
      <c r="AN3155" s="33"/>
      <c r="AO3155" s="33"/>
    </row>
    <row r="3156" ht="15.75" customHeight="1">
      <c r="A3156" s="50">
        <v>54826.0</v>
      </c>
      <c r="B3156" s="23">
        <v>2023.0</v>
      </c>
      <c r="C3156" s="36" t="str">
        <f t="shared" si="7"/>
        <v>6907 PEERLESS ST,Houston,TX</v>
      </c>
      <c r="D3156" s="51" t="s">
        <v>5010</v>
      </c>
      <c r="E3156" s="23" t="s">
        <v>25</v>
      </c>
      <c r="F3156" s="23" t="s">
        <v>1388</v>
      </c>
      <c r="G3156" s="31" t="s">
        <v>238</v>
      </c>
      <c r="H3156" s="43" t="s">
        <v>5011</v>
      </c>
      <c r="I3156" s="37" t="str">
        <f>VLOOKUP(H3156,'Flow Location'!$A$1:$B$21,2,FALSE)</f>
        <v>Storm Sewer (not contained)</v>
      </c>
      <c r="J3156" s="52">
        <v>125.0</v>
      </c>
      <c r="K3156" s="51" t="s">
        <v>190</v>
      </c>
      <c r="L3156" s="37" t="str">
        <f>VLOOKUP(K3156,'Structure type'!$A$1:$B$15,2,FALSE)</f>
        <v>Force Main</v>
      </c>
      <c r="M3156" s="51" t="s">
        <v>620</v>
      </c>
      <c r="N3156" s="23" t="str">
        <f>VLOOKUP(M3156,'Excursion Cause'!$A$1:$B$34,2,FALSE)</f>
        <v>Air Relief Valve (ARV) Failure</v>
      </c>
      <c r="O3156" s="53">
        <v>45249.0</v>
      </c>
      <c r="P3156" s="54">
        <v>0.59375</v>
      </c>
      <c r="Q3156" s="55">
        <v>45249.0</v>
      </c>
      <c r="R3156" s="54">
        <v>0.7604166666666666</v>
      </c>
      <c r="S3156" s="52">
        <v>1.0</v>
      </c>
      <c r="T3156" s="51" t="s">
        <v>118</v>
      </c>
      <c r="U3156" s="56"/>
      <c r="V3156" s="56"/>
      <c r="W3156" s="35">
        <v>29.6965638</v>
      </c>
      <c r="X3156" s="35">
        <v>-95.3723951</v>
      </c>
      <c r="AA3156" s="33"/>
      <c r="AB3156" s="33"/>
      <c r="AC3156" s="33"/>
      <c r="AD3156" s="33"/>
      <c r="AE3156" s="33"/>
      <c r="AF3156" s="33"/>
      <c r="AG3156" s="33"/>
      <c r="AH3156" s="33"/>
      <c r="AI3156" s="33"/>
      <c r="AJ3156" s="33"/>
      <c r="AK3156" s="33"/>
      <c r="AL3156" s="33"/>
      <c r="AM3156" s="33"/>
      <c r="AN3156" s="33"/>
      <c r="AO3156" s="33"/>
    </row>
    <row r="3157" ht="15.75" customHeight="1">
      <c r="A3157" s="50">
        <v>54828.0</v>
      </c>
      <c r="B3157" s="23">
        <v>2023.0</v>
      </c>
      <c r="C3157" s="36" t="str">
        <f t="shared" si="7"/>
        <v>13115 IVYHURST LN,Houston,TX</v>
      </c>
      <c r="D3157" s="51" t="s">
        <v>5012</v>
      </c>
      <c r="E3157" s="23" t="s">
        <v>25</v>
      </c>
      <c r="F3157" s="23" t="s">
        <v>1388</v>
      </c>
      <c r="G3157" s="31" t="s">
        <v>313</v>
      </c>
      <c r="H3157" s="43" t="s">
        <v>5013</v>
      </c>
      <c r="I3157" s="37" t="str">
        <f>VLOOKUP(H3157,'Flow Location'!$A$1:$B$21,2,FALSE)</f>
        <v>Storm Sewer (not contained)</v>
      </c>
      <c r="J3157" s="52">
        <v>795.0</v>
      </c>
      <c r="K3157" s="51" t="s">
        <v>29</v>
      </c>
      <c r="L3157" s="37" t="str">
        <f>VLOOKUP(K3157,'Structure type'!$A$1:$B$15,2,FALSE)</f>
        <v>Manhole</v>
      </c>
      <c r="M3157" s="51" t="s">
        <v>30</v>
      </c>
      <c r="N3157" s="23" t="str">
        <f>VLOOKUP(M3157,'Excursion Cause'!$A$1:$B$34,2,FALSE)</f>
        <v>Grease Blockage</v>
      </c>
      <c r="O3157" s="53">
        <v>45250.0</v>
      </c>
      <c r="P3157" s="54">
        <v>0.3576388888888889</v>
      </c>
      <c r="Q3157" s="55">
        <v>45250.0</v>
      </c>
      <c r="R3157" s="54">
        <v>0.5416666666666666</v>
      </c>
      <c r="S3157" s="52">
        <v>3.0</v>
      </c>
      <c r="T3157" s="51" t="s">
        <v>1462</v>
      </c>
      <c r="U3157" s="56"/>
      <c r="V3157" s="56"/>
      <c r="W3157" s="35">
        <v>29.7326506999999</v>
      </c>
      <c r="X3157" s="35">
        <v>-95.6209432</v>
      </c>
      <c r="AA3157" s="33"/>
      <c r="AB3157" s="33"/>
      <c r="AC3157" s="33"/>
      <c r="AD3157" s="33"/>
      <c r="AE3157" s="33"/>
      <c r="AF3157" s="33"/>
      <c r="AG3157" s="33"/>
      <c r="AH3157" s="33"/>
      <c r="AI3157" s="33"/>
      <c r="AJ3157" s="33"/>
      <c r="AK3157" s="33"/>
      <c r="AL3157" s="33"/>
      <c r="AM3157" s="33"/>
      <c r="AN3157" s="33"/>
      <c r="AO3157" s="33"/>
    </row>
    <row r="3158" ht="15.75" customHeight="1">
      <c r="A3158" s="50">
        <v>54832.0</v>
      </c>
      <c r="B3158" s="23">
        <v>2023.0</v>
      </c>
      <c r="C3158" s="36" t="str">
        <f t="shared" si="7"/>
        <v>3960 INVERNESS DR,Houston,TX</v>
      </c>
      <c r="D3158" s="51" t="s">
        <v>4973</v>
      </c>
      <c r="E3158" s="23" t="s">
        <v>25</v>
      </c>
      <c r="F3158" s="23" t="s">
        <v>1388</v>
      </c>
      <c r="G3158" s="31" t="s">
        <v>80</v>
      </c>
      <c r="H3158" s="48" t="s">
        <v>1493</v>
      </c>
      <c r="I3158" s="37" t="str">
        <f>VLOOKUP(H3158,'Flow Location'!$A$1:$B$21,2,FALSE)</f>
        <v>Contained On Site, not within 5 ft. of Bayou/Surface Water/Drainage Ditch</v>
      </c>
      <c r="J3158" s="52">
        <v>0.0</v>
      </c>
      <c r="K3158" s="51" t="s">
        <v>29</v>
      </c>
      <c r="L3158" s="37" t="str">
        <f>VLOOKUP(K3158,'Structure type'!$A$1:$B$15,2,FALSE)</f>
        <v>Manhole</v>
      </c>
      <c r="M3158" s="51" t="s">
        <v>30</v>
      </c>
      <c r="N3158" s="23" t="str">
        <f>VLOOKUP(M3158,'Excursion Cause'!$A$1:$B$34,2,FALSE)</f>
        <v>Grease Blockage</v>
      </c>
      <c r="O3158" s="53">
        <v>45250.0</v>
      </c>
      <c r="P3158" s="54">
        <v>0.4236111111111111</v>
      </c>
      <c r="Q3158" s="55">
        <v>45250.0</v>
      </c>
      <c r="R3158" s="54">
        <v>0.42430555555555555</v>
      </c>
      <c r="S3158" s="52">
        <v>0.0</v>
      </c>
      <c r="T3158" s="51" t="s">
        <v>1462</v>
      </c>
      <c r="U3158" s="56"/>
      <c r="V3158" s="56"/>
      <c r="W3158" s="35">
        <v>29.7525722</v>
      </c>
      <c r="X3158" s="35">
        <v>-95.4440801</v>
      </c>
      <c r="AA3158" s="33"/>
      <c r="AB3158" s="33"/>
      <c r="AC3158" s="33"/>
      <c r="AD3158" s="33"/>
      <c r="AE3158" s="33"/>
      <c r="AF3158" s="33"/>
      <c r="AG3158" s="33"/>
      <c r="AH3158" s="33"/>
      <c r="AI3158" s="33"/>
      <c r="AJ3158" s="33"/>
      <c r="AK3158" s="33"/>
      <c r="AL3158" s="33"/>
      <c r="AM3158" s="33"/>
      <c r="AN3158" s="33"/>
      <c r="AO3158" s="33"/>
    </row>
    <row r="3159" ht="15.75" customHeight="1">
      <c r="A3159" s="50">
        <v>54834.0</v>
      </c>
      <c r="B3159" s="23">
        <v>2023.0</v>
      </c>
      <c r="C3159" s="36" t="str">
        <f t="shared" si="7"/>
        <v>1722 PARKER RD,Houston,TX</v>
      </c>
      <c r="D3159" s="51" t="s">
        <v>5014</v>
      </c>
      <c r="E3159" s="23" t="s">
        <v>25</v>
      </c>
      <c r="F3159" s="23" t="s">
        <v>1388</v>
      </c>
      <c r="G3159" s="31" t="s">
        <v>109</v>
      </c>
      <c r="H3159" s="48" t="s">
        <v>1493</v>
      </c>
      <c r="I3159" s="37" t="str">
        <f>VLOOKUP(H3159,'Flow Location'!$A$1:$B$21,2,FALSE)</f>
        <v>Contained On Site, not within 5 ft. of Bayou/Surface Water/Drainage Ditch</v>
      </c>
      <c r="J3159" s="52">
        <v>0.0</v>
      </c>
      <c r="K3159" s="51" t="s">
        <v>198</v>
      </c>
      <c r="L3159" s="37" t="str">
        <f>VLOOKUP(K3159,'Structure type'!$A$1:$B$15,2,FALSE)</f>
        <v>Service Lateral</v>
      </c>
      <c r="M3159" s="51" t="s">
        <v>81</v>
      </c>
      <c r="N3159" s="23" t="str">
        <f>VLOOKUP(M3159,'Excursion Cause'!$A$1:$B$34,2,FALSE)</f>
        <v>Collection system structural failure</v>
      </c>
      <c r="O3159" s="53">
        <v>45250.0</v>
      </c>
      <c r="P3159" s="54">
        <v>0.4930555555555556</v>
      </c>
      <c r="Q3159" s="55">
        <v>45250.0</v>
      </c>
      <c r="R3159" s="54">
        <v>0.49375</v>
      </c>
      <c r="S3159" s="52">
        <v>0.0</v>
      </c>
      <c r="T3159" s="51" t="s">
        <v>118</v>
      </c>
      <c r="U3159" s="56"/>
      <c r="V3159" s="56"/>
      <c r="W3159" s="35">
        <v>29.8591532</v>
      </c>
      <c r="X3159" s="35">
        <v>-95.3583616999999</v>
      </c>
      <c r="AA3159" s="33"/>
      <c r="AB3159" s="33"/>
      <c r="AC3159" s="33"/>
      <c r="AD3159" s="33"/>
      <c r="AE3159" s="33"/>
      <c r="AF3159" s="33"/>
      <c r="AG3159" s="33"/>
      <c r="AH3159" s="33"/>
      <c r="AI3159" s="33"/>
      <c r="AJ3159" s="33"/>
      <c r="AK3159" s="33"/>
      <c r="AL3159" s="33"/>
      <c r="AM3159" s="33"/>
      <c r="AN3159" s="33"/>
      <c r="AO3159" s="33"/>
    </row>
    <row r="3160" ht="15.75" customHeight="1">
      <c r="A3160" s="50">
        <v>54835.0</v>
      </c>
      <c r="B3160" s="23">
        <v>2023.0</v>
      </c>
      <c r="C3160" s="36" t="str">
        <f t="shared" si="7"/>
        <v>810 HIGHWAY 6,Houston,TX</v>
      </c>
      <c r="D3160" s="51" t="s">
        <v>5015</v>
      </c>
      <c r="E3160" s="23" t="s">
        <v>25</v>
      </c>
      <c r="F3160" s="23" t="s">
        <v>1388</v>
      </c>
      <c r="G3160" s="31" t="s">
        <v>520</v>
      </c>
      <c r="H3160" s="57" t="s">
        <v>5016</v>
      </c>
      <c r="I3160" s="37" t="str">
        <f>VLOOKUP(H3160,'Flow Location'!$A$1:$B$21,2,FALSE)</f>
        <v>Bayou/surface water/drainage ditch</v>
      </c>
      <c r="J3160" s="52">
        <v>0.0</v>
      </c>
      <c r="K3160" s="51" t="s">
        <v>290</v>
      </c>
      <c r="L3160" s="37" t="str">
        <f>VLOOKUP(K3160,'Structure type'!$A$1:$B$15,2,FALSE)</f>
        <v>Gravity Main</v>
      </c>
      <c r="M3160" s="51" t="s">
        <v>56</v>
      </c>
      <c r="N3160" s="23" t="str">
        <f>VLOOKUP(M3160,'Excursion Cause'!$A$1:$B$34,2,FALSE)</f>
        <v>Rags/Wipes</v>
      </c>
      <c r="O3160" s="53">
        <v>45250.0</v>
      </c>
      <c r="P3160" s="54">
        <v>0.5263888888888889</v>
      </c>
      <c r="Q3160" s="55">
        <v>45250.0</v>
      </c>
      <c r="R3160" s="54">
        <v>0.5270833333333333</v>
      </c>
      <c r="S3160" s="52">
        <v>0.0</v>
      </c>
      <c r="T3160" s="51" t="s">
        <v>3749</v>
      </c>
      <c r="U3160" s="56"/>
      <c r="V3160" s="56"/>
      <c r="W3160" s="35">
        <v>29.7744353999999</v>
      </c>
      <c r="X3160" s="35">
        <v>-95.6448693</v>
      </c>
      <c r="AA3160" s="33"/>
      <c r="AB3160" s="33"/>
      <c r="AC3160" s="33"/>
      <c r="AD3160" s="33"/>
      <c r="AE3160" s="33"/>
      <c r="AF3160" s="33"/>
      <c r="AG3160" s="33"/>
      <c r="AH3160" s="33"/>
      <c r="AI3160" s="33"/>
      <c r="AJ3160" s="33"/>
      <c r="AK3160" s="33"/>
      <c r="AL3160" s="33"/>
      <c r="AM3160" s="33"/>
      <c r="AN3160" s="33"/>
      <c r="AO3160" s="33"/>
    </row>
    <row r="3161" ht="15.75" customHeight="1">
      <c r="A3161" s="50">
        <v>54836.0</v>
      </c>
      <c r="B3161" s="23">
        <v>2023.0</v>
      </c>
      <c r="C3161" s="36" t="str">
        <f t="shared" si="7"/>
        <v>10422 WILLIE ST,Houston,TX</v>
      </c>
      <c r="D3161" s="51" t="s">
        <v>5017</v>
      </c>
      <c r="E3161" s="23" t="s">
        <v>25</v>
      </c>
      <c r="F3161" s="23" t="s">
        <v>1388</v>
      </c>
      <c r="G3161" s="31" t="s">
        <v>109</v>
      </c>
      <c r="H3161" s="43" t="s">
        <v>5018</v>
      </c>
      <c r="I3161" s="37" t="str">
        <f>VLOOKUP(H3161,'Flow Location'!$A$1:$B$21,2,FALSE)</f>
        <v>Bayou/surface water/drainage ditch</v>
      </c>
      <c r="J3161" s="52">
        <v>0.0</v>
      </c>
      <c r="K3161" s="51" t="s">
        <v>198</v>
      </c>
      <c r="L3161" s="37" t="str">
        <f>VLOOKUP(K3161,'Structure type'!$A$1:$B$15,2,FALSE)</f>
        <v>Service Lateral</v>
      </c>
      <c r="M3161" s="51" t="s">
        <v>81</v>
      </c>
      <c r="N3161" s="23" t="str">
        <f>VLOOKUP(M3161,'Excursion Cause'!$A$1:$B$34,2,FALSE)</f>
        <v>Collection system structural failure</v>
      </c>
      <c r="O3161" s="53">
        <v>45250.0</v>
      </c>
      <c r="P3161" s="54">
        <v>0.5465277777777777</v>
      </c>
      <c r="Q3161" s="55">
        <v>45250.0</v>
      </c>
      <c r="R3161" s="54">
        <v>0.5472222222222223</v>
      </c>
      <c r="S3161" s="52">
        <v>0.0</v>
      </c>
      <c r="T3161" s="51" t="s">
        <v>118</v>
      </c>
      <c r="U3161" s="56"/>
      <c r="V3161" s="56"/>
      <c r="W3161" s="35">
        <v>29.8623497</v>
      </c>
      <c r="X3161" s="35">
        <v>-95.3249723</v>
      </c>
      <c r="AA3161" s="33"/>
      <c r="AB3161" s="33"/>
      <c r="AC3161" s="33"/>
      <c r="AD3161" s="33"/>
      <c r="AE3161" s="33"/>
      <c r="AF3161" s="33"/>
      <c r="AG3161" s="33"/>
      <c r="AH3161" s="33"/>
      <c r="AI3161" s="33"/>
      <c r="AJ3161" s="33"/>
      <c r="AK3161" s="33"/>
      <c r="AL3161" s="33"/>
      <c r="AM3161" s="33"/>
      <c r="AN3161" s="33"/>
      <c r="AO3161" s="33"/>
    </row>
    <row r="3162" ht="15.75" customHeight="1">
      <c r="A3162" s="50">
        <v>54839.0</v>
      </c>
      <c r="B3162" s="23">
        <v>2023.0</v>
      </c>
      <c r="C3162" s="36" t="str">
        <f t="shared" si="7"/>
        <v>1814 GREENGRASS CT,Houston,TX</v>
      </c>
      <c r="D3162" s="51" t="s">
        <v>5019</v>
      </c>
      <c r="E3162" s="23" t="s">
        <v>25</v>
      </c>
      <c r="F3162" s="23" t="s">
        <v>1388</v>
      </c>
      <c r="G3162" s="31" t="s">
        <v>232</v>
      </c>
      <c r="H3162" s="57" t="s">
        <v>5020</v>
      </c>
      <c r="I3162" s="37" t="str">
        <f>VLOOKUP(H3162,'Flow Location'!$A$1:$B$21,2,FALSE)</f>
        <v>Bayou/surface water/drainage ditch</v>
      </c>
      <c r="J3162" s="52">
        <v>585.0</v>
      </c>
      <c r="K3162" s="51" t="s">
        <v>29</v>
      </c>
      <c r="L3162" s="37" t="str">
        <f>VLOOKUP(K3162,'Structure type'!$A$1:$B$15,2,FALSE)</f>
        <v>Manhole</v>
      </c>
      <c r="M3162" s="51" t="s">
        <v>30</v>
      </c>
      <c r="N3162" s="23" t="str">
        <f>VLOOKUP(M3162,'Excursion Cause'!$A$1:$B$34,2,FALSE)</f>
        <v>Grease Blockage</v>
      </c>
      <c r="O3162" s="53">
        <v>45250.0</v>
      </c>
      <c r="P3162" s="54">
        <v>0.6569444444444444</v>
      </c>
      <c r="Q3162" s="55">
        <v>45251.0</v>
      </c>
      <c r="R3162" s="54">
        <v>0.46875</v>
      </c>
      <c r="S3162" s="52">
        <v>1.0</v>
      </c>
      <c r="T3162" s="51" t="s">
        <v>1462</v>
      </c>
      <c r="U3162" s="56"/>
      <c r="V3162" s="56"/>
      <c r="W3162" s="35">
        <v>29.8024369</v>
      </c>
      <c r="X3162" s="35">
        <v>-95.4415528999999</v>
      </c>
      <c r="AA3162" s="33"/>
      <c r="AB3162" s="33"/>
      <c r="AC3162" s="33"/>
      <c r="AD3162" s="33"/>
      <c r="AE3162" s="33"/>
      <c r="AF3162" s="33"/>
      <c r="AG3162" s="33"/>
      <c r="AH3162" s="33"/>
      <c r="AI3162" s="33"/>
      <c r="AJ3162" s="33"/>
      <c r="AK3162" s="33"/>
      <c r="AL3162" s="33"/>
      <c r="AM3162" s="33"/>
      <c r="AN3162" s="33"/>
      <c r="AO3162" s="33"/>
    </row>
    <row r="3163" ht="15.75" customHeight="1">
      <c r="A3163" s="50">
        <v>54841.0</v>
      </c>
      <c r="B3163" s="23">
        <v>2023.0</v>
      </c>
      <c r="C3163" s="36" t="str">
        <f t="shared" si="7"/>
        <v>1414 COOL SPRING DR,Houston,TX</v>
      </c>
      <c r="D3163" s="51" t="s">
        <v>5021</v>
      </c>
      <c r="E3163" s="23" t="s">
        <v>25</v>
      </c>
      <c r="F3163" s="23" t="s">
        <v>1388</v>
      </c>
      <c r="G3163" s="31" t="s">
        <v>502</v>
      </c>
      <c r="H3163" s="48" t="s">
        <v>1493</v>
      </c>
      <c r="I3163" s="37" t="str">
        <f>VLOOKUP(H3163,'Flow Location'!$A$1:$B$21,2,FALSE)</f>
        <v>Contained On Site, not within 5 ft. of Bayou/Surface Water/Drainage Ditch</v>
      </c>
      <c r="J3163" s="52">
        <v>0.0</v>
      </c>
      <c r="K3163" s="51" t="s">
        <v>29</v>
      </c>
      <c r="L3163" s="37" t="str">
        <f>VLOOKUP(K3163,'Structure type'!$A$1:$B$15,2,FALSE)</f>
        <v>Manhole</v>
      </c>
      <c r="M3163" s="51" t="s">
        <v>30</v>
      </c>
      <c r="N3163" s="23" t="str">
        <f>VLOOKUP(M3163,'Excursion Cause'!$A$1:$B$34,2,FALSE)</f>
        <v>Grease Blockage</v>
      </c>
      <c r="O3163" s="53">
        <v>45250.0</v>
      </c>
      <c r="P3163" s="54">
        <v>0.6770833333333334</v>
      </c>
      <c r="Q3163" s="55">
        <v>45250.0</v>
      </c>
      <c r="R3163" s="54">
        <v>0.6777777777777778</v>
      </c>
      <c r="S3163" s="52">
        <v>0.0</v>
      </c>
      <c r="T3163" s="51" t="s">
        <v>1462</v>
      </c>
      <c r="U3163" s="56"/>
      <c r="V3163" s="56"/>
      <c r="W3163" s="35">
        <v>29.8891651</v>
      </c>
      <c r="X3163" s="35">
        <v>-95.4235956</v>
      </c>
      <c r="AA3163" s="33"/>
      <c r="AB3163" s="33"/>
      <c r="AC3163" s="33"/>
      <c r="AD3163" s="33"/>
      <c r="AE3163" s="33"/>
      <c r="AF3163" s="33"/>
      <c r="AG3163" s="33"/>
      <c r="AH3163" s="33"/>
      <c r="AI3163" s="33"/>
      <c r="AJ3163" s="33"/>
      <c r="AK3163" s="33"/>
      <c r="AL3163" s="33"/>
      <c r="AM3163" s="33"/>
      <c r="AN3163" s="33"/>
      <c r="AO3163" s="33"/>
    </row>
    <row r="3164" ht="15.75" customHeight="1">
      <c r="A3164" s="50">
        <v>54843.0</v>
      </c>
      <c r="B3164" s="23">
        <v>2023.0</v>
      </c>
      <c r="C3164" s="36" t="str">
        <f t="shared" si="7"/>
        <v>115 TURNER DR,Houston,TX</v>
      </c>
      <c r="D3164" s="51" t="s">
        <v>5022</v>
      </c>
      <c r="E3164" s="23" t="s">
        <v>25</v>
      </c>
      <c r="F3164" s="23" t="s">
        <v>1388</v>
      </c>
      <c r="G3164" s="31" t="s">
        <v>275</v>
      </c>
      <c r="H3164" s="48" t="s">
        <v>1493</v>
      </c>
      <c r="I3164" s="37" t="str">
        <f>VLOOKUP(H3164,'Flow Location'!$A$1:$B$21,2,FALSE)</f>
        <v>Contained On Site, not within 5 ft. of Bayou/Surface Water/Drainage Ditch</v>
      </c>
      <c r="J3164" s="52">
        <v>0.0</v>
      </c>
      <c r="K3164" s="51" t="s">
        <v>45</v>
      </c>
      <c r="L3164" s="37" t="str">
        <f>VLOOKUP(K3164,'Structure type'!$A$1:$B$15,2,FALSE)</f>
        <v>City Cleanout</v>
      </c>
      <c r="M3164" s="51" t="s">
        <v>56</v>
      </c>
      <c r="N3164" s="23" t="str">
        <f>VLOOKUP(M3164,'Excursion Cause'!$A$1:$B$34,2,FALSE)</f>
        <v>Rags/Wipes</v>
      </c>
      <c r="O3164" s="53">
        <v>45250.0</v>
      </c>
      <c r="P3164" s="54">
        <v>0.6979166666666666</v>
      </c>
      <c r="Q3164" s="55">
        <v>45250.0</v>
      </c>
      <c r="R3164" s="54">
        <v>0.6986111111111111</v>
      </c>
      <c r="S3164" s="52">
        <v>0.0</v>
      </c>
      <c r="T3164" s="51" t="s">
        <v>3743</v>
      </c>
      <c r="U3164" s="56"/>
      <c r="V3164" s="56"/>
      <c r="W3164" s="35">
        <v>29.8520327</v>
      </c>
      <c r="X3164" s="35">
        <v>-95.3797077999999</v>
      </c>
      <c r="AA3164" s="33"/>
      <c r="AB3164" s="33"/>
      <c r="AC3164" s="33"/>
      <c r="AD3164" s="33"/>
      <c r="AE3164" s="33"/>
      <c r="AF3164" s="33"/>
      <c r="AG3164" s="33"/>
      <c r="AH3164" s="33"/>
      <c r="AI3164" s="33"/>
      <c r="AJ3164" s="33"/>
      <c r="AK3164" s="33"/>
      <c r="AL3164" s="33"/>
      <c r="AM3164" s="33"/>
      <c r="AN3164" s="33"/>
      <c r="AO3164" s="33"/>
    </row>
    <row r="3165" ht="15.75" customHeight="1">
      <c r="A3165" s="50">
        <v>54848.0</v>
      </c>
      <c r="B3165" s="23">
        <v>2023.0</v>
      </c>
      <c r="C3165" s="36" t="str">
        <f t="shared" si="7"/>
        <v>5402 THRUSH DR,Houston,TX</v>
      </c>
      <c r="D3165" s="51" t="s">
        <v>4115</v>
      </c>
      <c r="E3165" s="23" t="s">
        <v>25</v>
      </c>
      <c r="F3165" s="23" t="s">
        <v>1388</v>
      </c>
      <c r="G3165" s="31" t="s">
        <v>120</v>
      </c>
      <c r="H3165" s="48" t="s">
        <v>1493</v>
      </c>
      <c r="I3165" s="37" t="str">
        <f>VLOOKUP(H3165,'Flow Location'!$A$1:$B$21,2,FALSE)</f>
        <v>Contained On Site, not within 5 ft. of Bayou/Surface Water/Drainage Ditch</v>
      </c>
      <c r="J3165" s="52">
        <v>0.0</v>
      </c>
      <c r="K3165" s="51" t="s">
        <v>51</v>
      </c>
      <c r="L3165" s="37" t="str">
        <f>VLOOKUP(K3165,'Structure type'!$A$1:$B$15,2,FALSE)</f>
        <v>Private Cleanout</v>
      </c>
      <c r="M3165" s="51" t="s">
        <v>56</v>
      </c>
      <c r="N3165" s="23" t="str">
        <f>VLOOKUP(M3165,'Excursion Cause'!$A$1:$B$34,2,FALSE)</f>
        <v>Rags/Wipes</v>
      </c>
      <c r="O3165" s="53">
        <v>45251.0</v>
      </c>
      <c r="P3165" s="54">
        <v>0.47708333333333336</v>
      </c>
      <c r="Q3165" s="55">
        <v>45251.0</v>
      </c>
      <c r="R3165" s="54">
        <v>0.4777777777777778</v>
      </c>
      <c r="S3165" s="52">
        <v>0.0</v>
      </c>
      <c r="T3165" s="51" t="s">
        <v>3743</v>
      </c>
      <c r="U3165" s="56"/>
      <c r="V3165" s="56"/>
      <c r="W3165" s="35">
        <v>29.6597133</v>
      </c>
      <c r="X3165" s="35">
        <v>-95.3429278999999</v>
      </c>
      <c r="AA3165" s="33"/>
      <c r="AB3165" s="33"/>
      <c r="AC3165" s="33"/>
      <c r="AD3165" s="33"/>
      <c r="AE3165" s="33"/>
      <c r="AF3165" s="33"/>
      <c r="AG3165" s="33"/>
      <c r="AH3165" s="33"/>
      <c r="AI3165" s="33"/>
      <c r="AJ3165" s="33"/>
      <c r="AK3165" s="33"/>
      <c r="AL3165" s="33"/>
      <c r="AM3165" s="33"/>
      <c r="AN3165" s="33"/>
      <c r="AO3165" s="33"/>
    </row>
    <row r="3166" ht="15.75" customHeight="1">
      <c r="A3166" s="50">
        <v>54854.0</v>
      </c>
      <c r="B3166" s="23">
        <v>2023.0</v>
      </c>
      <c r="C3166" s="36" t="str">
        <f t="shared" si="7"/>
        <v>715 BYRNE ST,Houston,TX</v>
      </c>
      <c r="D3166" s="51" t="s">
        <v>5023</v>
      </c>
      <c r="E3166" s="23" t="s">
        <v>25</v>
      </c>
      <c r="F3166" s="23" t="s">
        <v>1388</v>
      </c>
      <c r="G3166" s="31" t="s">
        <v>161</v>
      </c>
      <c r="H3166" s="48" t="s">
        <v>1493</v>
      </c>
      <c r="I3166" s="37" t="str">
        <f>VLOOKUP(H3166,'Flow Location'!$A$1:$B$21,2,FALSE)</f>
        <v>Contained On Site, not within 5 ft. of Bayou/Surface Water/Drainage Ditch</v>
      </c>
      <c r="J3166" s="52">
        <v>0.0</v>
      </c>
      <c r="K3166" s="51" t="s">
        <v>198</v>
      </c>
      <c r="L3166" s="37" t="str">
        <f>VLOOKUP(K3166,'Structure type'!$A$1:$B$15,2,FALSE)</f>
        <v>Service Lateral</v>
      </c>
      <c r="M3166" s="51" t="s">
        <v>81</v>
      </c>
      <c r="N3166" s="23" t="str">
        <f>VLOOKUP(M3166,'Excursion Cause'!$A$1:$B$34,2,FALSE)</f>
        <v>Collection system structural failure</v>
      </c>
      <c r="O3166" s="53">
        <v>45252.0</v>
      </c>
      <c r="P3166" s="54">
        <v>0.3958333333333333</v>
      </c>
      <c r="Q3166" s="55">
        <v>45252.0</v>
      </c>
      <c r="R3166" s="54">
        <v>0.39652777777777776</v>
      </c>
      <c r="S3166" s="52">
        <v>0.0</v>
      </c>
      <c r="T3166" s="51" t="s">
        <v>118</v>
      </c>
      <c r="U3166" s="56"/>
      <c r="V3166" s="56"/>
      <c r="W3166" s="35">
        <v>29.7846569</v>
      </c>
      <c r="X3166" s="35">
        <v>-95.3805819999999</v>
      </c>
      <c r="AA3166" s="33"/>
      <c r="AB3166" s="33"/>
      <c r="AC3166" s="33"/>
      <c r="AD3166" s="33"/>
      <c r="AE3166" s="33"/>
      <c r="AF3166" s="33"/>
      <c r="AG3166" s="33"/>
      <c r="AH3166" s="33"/>
      <c r="AI3166" s="33"/>
      <c r="AJ3166" s="33"/>
      <c r="AK3166" s="33"/>
      <c r="AL3166" s="33"/>
      <c r="AM3166" s="33"/>
      <c r="AN3166" s="33"/>
      <c r="AO3166" s="33"/>
    </row>
    <row r="3167" ht="15.75" customHeight="1">
      <c r="A3167" s="50">
        <v>54855.0</v>
      </c>
      <c r="B3167" s="23">
        <v>2023.0</v>
      </c>
      <c r="C3167" s="36" t="str">
        <f t="shared" si="7"/>
        <v>9403 BENBOW PARK LN,Houston,TX</v>
      </c>
      <c r="D3167" s="51" t="s">
        <v>5024</v>
      </c>
      <c r="E3167" s="23" t="s">
        <v>25</v>
      </c>
      <c r="F3167" s="23" t="s">
        <v>1388</v>
      </c>
      <c r="G3167" s="31" t="s">
        <v>294</v>
      </c>
      <c r="H3167" s="57" t="s">
        <v>5025</v>
      </c>
      <c r="I3167" s="37" t="str">
        <f>VLOOKUP(H3167,'Flow Location'!$A$1:$B$21,2,FALSE)</f>
        <v>Bayou/surface water/drainage ditch</v>
      </c>
      <c r="J3167" s="52">
        <v>354.0</v>
      </c>
      <c r="K3167" s="51" t="s">
        <v>29</v>
      </c>
      <c r="L3167" s="37" t="str">
        <f>VLOOKUP(K3167,'Structure type'!$A$1:$B$15,2,FALSE)</f>
        <v>Manhole</v>
      </c>
      <c r="M3167" s="51" t="s">
        <v>30</v>
      </c>
      <c r="N3167" s="23" t="str">
        <f>VLOOKUP(M3167,'Excursion Cause'!$A$1:$B$34,2,FALSE)</f>
        <v>Grease Blockage</v>
      </c>
      <c r="O3167" s="53">
        <v>45252.0</v>
      </c>
      <c r="P3167" s="54">
        <v>0.43125</v>
      </c>
      <c r="Q3167" s="55">
        <v>45252.0</v>
      </c>
      <c r="R3167" s="54">
        <v>0.6770833333333334</v>
      </c>
      <c r="S3167" s="52">
        <v>1.0</v>
      </c>
      <c r="T3167" s="51" t="s">
        <v>3749</v>
      </c>
      <c r="U3167" s="56"/>
      <c r="V3167" s="56"/>
      <c r="W3167" s="35">
        <v>29.8003888</v>
      </c>
      <c r="X3167" s="35">
        <v>-95.5225473</v>
      </c>
      <c r="AA3167" s="33"/>
      <c r="AB3167" s="33"/>
      <c r="AC3167" s="33"/>
      <c r="AD3167" s="33"/>
      <c r="AE3167" s="33"/>
      <c r="AF3167" s="33"/>
      <c r="AG3167" s="33"/>
      <c r="AH3167" s="33"/>
      <c r="AI3167" s="33"/>
      <c r="AJ3167" s="33"/>
      <c r="AK3167" s="33"/>
      <c r="AL3167" s="33"/>
      <c r="AM3167" s="33"/>
      <c r="AN3167" s="33"/>
      <c r="AO3167" s="33"/>
    </row>
    <row r="3168" ht="15.75" customHeight="1">
      <c r="A3168" s="50">
        <v>54868.0</v>
      </c>
      <c r="B3168" s="23">
        <v>2023.0</v>
      </c>
      <c r="C3168" s="36" t="str">
        <f t="shared" si="7"/>
        <v>7967 RAND ST,Houston,TX</v>
      </c>
      <c r="D3168" s="51" t="s">
        <v>5026</v>
      </c>
      <c r="E3168" s="23" t="s">
        <v>25</v>
      </c>
      <c r="F3168" s="23" t="s">
        <v>1388</v>
      </c>
      <c r="G3168" s="31" t="s">
        <v>177</v>
      </c>
      <c r="H3168" s="48" t="s">
        <v>1493</v>
      </c>
      <c r="I3168" s="37" t="str">
        <f>VLOOKUP(H3168,'Flow Location'!$A$1:$B$21,2,FALSE)</f>
        <v>Contained On Site, not within 5 ft. of Bayou/Surface Water/Drainage Ditch</v>
      </c>
      <c r="J3168" s="52">
        <v>0.0</v>
      </c>
      <c r="K3168" s="51" t="s">
        <v>45</v>
      </c>
      <c r="L3168" s="37" t="str">
        <f>VLOOKUP(K3168,'Structure type'!$A$1:$B$15,2,FALSE)</f>
        <v>City Cleanout</v>
      </c>
      <c r="M3168" s="51" t="s">
        <v>30</v>
      </c>
      <c r="N3168" s="23" t="str">
        <f>VLOOKUP(M3168,'Excursion Cause'!$A$1:$B$34,2,FALSE)</f>
        <v>Grease Blockage</v>
      </c>
      <c r="O3168" s="53">
        <v>45254.0</v>
      </c>
      <c r="P3168" s="54">
        <v>0.6145833333333334</v>
      </c>
      <c r="Q3168" s="55">
        <v>45254.0</v>
      </c>
      <c r="R3168" s="54">
        <v>0.6152777777777778</v>
      </c>
      <c r="S3168" s="52">
        <v>0.0</v>
      </c>
      <c r="T3168" s="51" t="s">
        <v>1473</v>
      </c>
      <c r="U3168" s="56"/>
      <c r="V3168" s="56"/>
      <c r="W3168" s="35">
        <v>29.8054444</v>
      </c>
      <c r="X3168" s="35">
        <v>-95.281403</v>
      </c>
      <c r="AA3168" s="33"/>
      <c r="AB3168" s="33"/>
      <c r="AC3168" s="33"/>
      <c r="AD3168" s="33"/>
      <c r="AE3168" s="33"/>
      <c r="AF3168" s="33"/>
      <c r="AG3168" s="33"/>
      <c r="AH3168" s="33"/>
      <c r="AI3168" s="33"/>
      <c r="AJ3168" s="33"/>
      <c r="AK3168" s="33"/>
      <c r="AL3168" s="33"/>
      <c r="AM3168" s="33"/>
      <c r="AN3168" s="33"/>
      <c r="AO3168" s="33"/>
    </row>
    <row r="3169" ht="15.75" customHeight="1">
      <c r="A3169" s="50">
        <v>54869.0</v>
      </c>
      <c r="B3169" s="23">
        <v>2023.0</v>
      </c>
      <c r="C3169" s="36" t="str">
        <f t="shared" si="7"/>
        <v>1522 KINGWOOD DR,Houston,TX</v>
      </c>
      <c r="D3169" s="51" t="s">
        <v>5027</v>
      </c>
      <c r="E3169" s="23" t="s">
        <v>25</v>
      </c>
      <c r="F3169" s="23" t="s">
        <v>1388</v>
      </c>
      <c r="G3169" s="31" t="s">
        <v>1078</v>
      </c>
      <c r="H3169" s="43" t="s">
        <v>5028</v>
      </c>
      <c r="I3169" s="37" t="str">
        <f>VLOOKUP(H3169,'Flow Location'!$A$1:$B$21,2,FALSE)</f>
        <v>Storm Sewer (not contained)</v>
      </c>
      <c r="J3169" s="52">
        <v>91.0</v>
      </c>
      <c r="K3169" s="51" t="s">
        <v>29</v>
      </c>
      <c r="L3169" s="37" t="str">
        <f>VLOOKUP(K3169,'Structure type'!$A$1:$B$15,2,FALSE)</f>
        <v>Manhole</v>
      </c>
      <c r="M3169" s="51" t="s">
        <v>30</v>
      </c>
      <c r="N3169" s="23" t="str">
        <f>VLOOKUP(M3169,'Excursion Cause'!$A$1:$B$34,2,FALSE)</f>
        <v>Grease Blockage</v>
      </c>
      <c r="O3169" s="53">
        <v>45255.0</v>
      </c>
      <c r="P3169" s="54">
        <v>0.42986111111111114</v>
      </c>
      <c r="Q3169" s="55">
        <v>45255.0</v>
      </c>
      <c r="R3169" s="54">
        <v>0.4930555555555556</v>
      </c>
      <c r="S3169" s="52">
        <v>1.0</v>
      </c>
      <c r="T3169" s="51" t="s">
        <v>1462</v>
      </c>
      <c r="U3169" s="56"/>
      <c r="V3169" s="56"/>
      <c r="W3169" s="35">
        <v>30.0486617</v>
      </c>
      <c r="X3169" s="35">
        <v>-95.2326628</v>
      </c>
      <c r="AA3169" s="33"/>
      <c r="AB3169" s="33"/>
      <c r="AC3169" s="33"/>
      <c r="AD3169" s="33"/>
      <c r="AE3169" s="33"/>
      <c r="AF3169" s="33"/>
      <c r="AG3169" s="33"/>
      <c r="AH3169" s="33"/>
      <c r="AI3169" s="33"/>
      <c r="AJ3169" s="33"/>
      <c r="AK3169" s="33"/>
      <c r="AL3169" s="33"/>
      <c r="AM3169" s="33"/>
      <c r="AN3169" s="33"/>
      <c r="AO3169" s="33"/>
    </row>
    <row r="3170" ht="15.75" customHeight="1">
      <c r="A3170" s="50">
        <v>54872.0</v>
      </c>
      <c r="B3170" s="23">
        <v>2023.0</v>
      </c>
      <c r="C3170" s="36" t="str">
        <f t="shared" si="7"/>
        <v>7819 MAGNOLIA ST,Houston,TX</v>
      </c>
      <c r="D3170" s="51" t="s">
        <v>5029</v>
      </c>
      <c r="E3170" s="23" t="s">
        <v>25</v>
      </c>
      <c r="F3170" s="23" t="s">
        <v>1388</v>
      </c>
      <c r="G3170" s="31" t="s">
        <v>365</v>
      </c>
      <c r="H3170" s="48" t="s">
        <v>1493</v>
      </c>
      <c r="I3170" s="37" t="str">
        <f>VLOOKUP(H3170,'Flow Location'!$A$1:$B$21,2,FALSE)</f>
        <v>Contained On Site, not within 5 ft. of Bayou/Surface Water/Drainage Ditch</v>
      </c>
      <c r="J3170" s="52">
        <v>0.0</v>
      </c>
      <c r="K3170" s="51" t="s">
        <v>51</v>
      </c>
      <c r="L3170" s="37" t="str">
        <f>VLOOKUP(K3170,'Structure type'!$A$1:$B$15,2,FALSE)</f>
        <v>Private Cleanout</v>
      </c>
      <c r="M3170" s="51" t="s">
        <v>52</v>
      </c>
      <c r="N3170" s="23" t="str">
        <f>VLOOKUP(M3170,'Excursion Cause'!$A$1:$B$34,2,FALSE)</f>
        <v>Collection system structural blockage</v>
      </c>
      <c r="O3170" s="53">
        <v>45255.0</v>
      </c>
      <c r="P3170" s="54">
        <v>0.6319444444444444</v>
      </c>
      <c r="Q3170" s="55">
        <v>45255.0</v>
      </c>
      <c r="R3170" s="54">
        <v>0.6326388888888889</v>
      </c>
      <c r="S3170" s="52">
        <v>0.0</v>
      </c>
      <c r="T3170" s="51" t="s">
        <v>118</v>
      </c>
      <c r="U3170" s="56"/>
      <c r="V3170" s="56"/>
      <c r="W3170" s="35">
        <v>29.7195647</v>
      </c>
      <c r="X3170" s="35">
        <v>-95.281403</v>
      </c>
      <c r="AA3170" s="33"/>
      <c r="AB3170" s="33"/>
      <c r="AC3170" s="33"/>
      <c r="AD3170" s="33"/>
      <c r="AE3170" s="33"/>
      <c r="AF3170" s="33"/>
      <c r="AG3170" s="33"/>
      <c r="AH3170" s="33"/>
      <c r="AI3170" s="33"/>
      <c r="AJ3170" s="33"/>
      <c r="AK3170" s="33"/>
      <c r="AL3170" s="33"/>
      <c r="AM3170" s="33"/>
      <c r="AN3170" s="33"/>
      <c r="AO3170" s="33"/>
    </row>
    <row r="3171" ht="15.75" customHeight="1">
      <c r="A3171" s="50">
        <v>54875.0</v>
      </c>
      <c r="B3171" s="23">
        <v>2023.0</v>
      </c>
      <c r="C3171" s="36" t="str">
        <f t="shared" si="7"/>
        <v>9321 EVERGLADE DR,Houston,TX</v>
      </c>
      <c r="D3171" s="51" t="s">
        <v>5030</v>
      </c>
      <c r="E3171" s="23" t="s">
        <v>25</v>
      </c>
      <c r="F3171" s="23" t="s">
        <v>1388</v>
      </c>
      <c r="G3171" s="31" t="s">
        <v>387</v>
      </c>
      <c r="H3171" s="48" t="s">
        <v>1493</v>
      </c>
      <c r="I3171" s="37" t="str">
        <f>VLOOKUP(H3171,'Flow Location'!$A$1:$B$21,2,FALSE)</f>
        <v>Contained On Site, not within 5 ft. of Bayou/Surface Water/Drainage Ditch</v>
      </c>
      <c r="J3171" s="52">
        <v>0.0</v>
      </c>
      <c r="K3171" s="51" t="s">
        <v>45</v>
      </c>
      <c r="L3171" s="37" t="str">
        <f>VLOOKUP(K3171,'Structure type'!$A$1:$B$15,2,FALSE)</f>
        <v>City Cleanout</v>
      </c>
      <c r="M3171" s="51" t="s">
        <v>52</v>
      </c>
      <c r="N3171" s="23" t="str">
        <f>VLOOKUP(M3171,'Excursion Cause'!$A$1:$B$34,2,FALSE)</f>
        <v>Collection system structural blockage</v>
      </c>
      <c r="O3171" s="53">
        <v>45256.0</v>
      </c>
      <c r="P3171" s="54">
        <v>0.5194444444444445</v>
      </c>
      <c r="Q3171" s="55">
        <v>45256.0</v>
      </c>
      <c r="R3171" s="54">
        <v>0.5201388888888889</v>
      </c>
      <c r="S3171" s="52">
        <v>0.0</v>
      </c>
      <c r="T3171" s="51" t="s">
        <v>3745</v>
      </c>
      <c r="U3171" s="56"/>
      <c r="V3171" s="56"/>
      <c r="W3171" s="35">
        <v>29.8607464</v>
      </c>
      <c r="X3171" s="35">
        <v>-95.2523049</v>
      </c>
      <c r="AA3171" s="33"/>
      <c r="AB3171" s="33"/>
      <c r="AC3171" s="33"/>
      <c r="AD3171" s="33"/>
      <c r="AE3171" s="33"/>
      <c r="AF3171" s="33"/>
      <c r="AG3171" s="33"/>
      <c r="AH3171" s="33"/>
      <c r="AI3171" s="33"/>
      <c r="AJ3171" s="33"/>
      <c r="AK3171" s="33"/>
      <c r="AL3171" s="33"/>
      <c r="AM3171" s="33"/>
      <c r="AN3171" s="33"/>
      <c r="AO3171" s="33"/>
    </row>
    <row r="3172" ht="15.75" customHeight="1">
      <c r="A3172" s="50">
        <v>54876.0</v>
      </c>
      <c r="B3172" s="23">
        <v>2023.0</v>
      </c>
      <c r="C3172" s="36" t="str">
        <f t="shared" si="7"/>
        <v>8214 TARBELL RD,Houston,TX</v>
      </c>
      <c r="D3172" s="51" t="s">
        <v>5031</v>
      </c>
      <c r="E3172" s="23" t="s">
        <v>25</v>
      </c>
      <c r="F3172" s="23" t="s">
        <v>1388</v>
      </c>
      <c r="G3172" s="31" t="s">
        <v>49</v>
      </c>
      <c r="H3172" s="48" t="s">
        <v>1493</v>
      </c>
      <c r="I3172" s="37" t="str">
        <f>VLOOKUP(H3172,'Flow Location'!$A$1:$B$21,2,FALSE)</f>
        <v>Contained On Site, not within 5 ft. of Bayou/Surface Water/Drainage Ditch</v>
      </c>
      <c r="J3172" s="52">
        <v>0.0</v>
      </c>
      <c r="K3172" s="51" t="s">
        <v>29</v>
      </c>
      <c r="L3172" s="37" t="str">
        <f>VLOOKUP(K3172,'Structure type'!$A$1:$B$15,2,FALSE)</f>
        <v>Manhole</v>
      </c>
      <c r="M3172" s="51" t="s">
        <v>30</v>
      </c>
      <c r="N3172" s="23" t="str">
        <f>VLOOKUP(M3172,'Excursion Cause'!$A$1:$B$34,2,FALSE)</f>
        <v>Grease Blockage</v>
      </c>
      <c r="O3172" s="53">
        <v>45256.0</v>
      </c>
      <c r="P3172" s="54">
        <v>0.64375</v>
      </c>
      <c r="Q3172" s="55">
        <v>45256.0</v>
      </c>
      <c r="R3172" s="54">
        <v>0.6444444444444445</v>
      </c>
      <c r="S3172" s="52">
        <v>0.0</v>
      </c>
      <c r="T3172" s="51" t="s">
        <v>1462</v>
      </c>
      <c r="U3172" s="56"/>
      <c r="V3172" s="56"/>
      <c r="W3172" s="35">
        <v>29.6396433</v>
      </c>
      <c r="X3172" s="35">
        <v>-95.2241186999999</v>
      </c>
      <c r="AA3172" s="33"/>
      <c r="AB3172" s="33"/>
      <c r="AC3172" s="33"/>
      <c r="AD3172" s="33"/>
      <c r="AE3172" s="33"/>
      <c r="AF3172" s="33"/>
      <c r="AG3172" s="33"/>
      <c r="AH3172" s="33"/>
      <c r="AI3172" s="33"/>
      <c r="AJ3172" s="33"/>
      <c r="AK3172" s="33"/>
      <c r="AL3172" s="33"/>
      <c r="AM3172" s="33"/>
      <c r="AN3172" s="33"/>
      <c r="AO3172" s="33"/>
    </row>
    <row r="3173" ht="15.75" customHeight="1">
      <c r="A3173" s="50">
        <v>54877.0</v>
      </c>
      <c r="B3173" s="23">
        <v>2023.0</v>
      </c>
      <c r="C3173" s="36" t="str">
        <f t="shared" si="7"/>
        <v>11234 TAMWORTH DR,Houston,TX</v>
      </c>
      <c r="D3173" s="51" t="s">
        <v>5032</v>
      </c>
      <c r="E3173" s="23" t="s">
        <v>25</v>
      </c>
      <c r="F3173" s="23" t="s">
        <v>1388</v>
      </c>
      <c r="G3173" s="31" t="s">
        <v>326</v>
      </c>
      <c r="H3173" s="48" t="s">
        <v>1493</v>
      </c>
      <c r="I3173" s="37" t="str">
        <f>VLOOKUP(H3173,'Flow Location'!$A$1:$B$21,2,FALSE)</f>
        <v>Contained On Site, not within 5 ft. of Bayou/Surface Water/Drainage Ditch</v>
      </c>
      <c r="J3173" s="52">
        <v>0.0</v>
      </c>
      <c r="K3173" s="51" t="s">
        <v>51</v>
      </c>
      <c r="L3173" s="37" t="str">
        <f>VLOOKUP(K3173,'Structure type'!$A$1:$B$15,2,FALSE)</f>
        <v>Private Cleanout</v>
      </c>
      <c r="M3173" s="51" t="s">
        <v>81</v>
      </c>
      <c r="N3173" s="23" t="str">
        <f>VLOOKUP(M3173,'Excursion Cause'!$A$1:$B$34,2,FALSE)</f>
        <v>Collection system structural failure</v>
      </c>
      <c r="O3173" s="53">
        <v>45256.0</v>
      </c>
      <c r="P3173" s="54">
        <v>0.6430555555555556</v>
      </c>
      <c r="Q3173" s="55">
        <v>45256.0</v>
      </c>
      <c r="R3173" s="54">
        <v>0.64375</v>
      </c>
      <c r="S3173" s="52">
        <v>0.0</v>
      </c>
      <c r="T3173" s="51" t="s">
        <v>3743</v>
      </c>
      <c r="U3173" s="56"/>
      <c r="V3173" s="56"/>
      <c r="W3173" s="35">
        <v>29.8824298</v>
      </c>
      <c r="X3173" s="35">
        <v>-95.2878314</v>
      </c>
      <c r="AA3173" s="33"/>
      <c r="AB3173" s="33"/>
      <c r="AC3173" s="33"/>
      <c r="AD3173" s="33"/>
      <c r="AE3173" s="33"/>
      <c r="AF3173" s="33"/>
      <c r="AG3173" s="33"/>
      <c r="AH3173" s="33"/>
      <c r="AI3173" s="33"/>
      <c r="AJ3173" s="33"/>
      <c r="AK3173" s="33"/>
      <c r="AL3173" s="33"/>
      <c r="AM3173" s="33"/>
      <c r="AN3173" s="33"/>
      <c r="AO3173" s="33"/>
    </row>
    <row r="3174" ht="15.75" customHeight="1">
      <c r="A3174" s="50">
        <v>54884.0</v>
      </c>
      <c r="B3174" s="23">
        <v>2023.0</v>
      </c>
      <c r="C3174" s="36" t="str">
        <f t="shared" si="7"/>
        <v>800 HIGHWAY 6,Houston,TX</v>
      </c>
      <c r="D3174" s="51" t="s">
        <v>5033</v>
      </c>
      <c r="E3174" s="23" t="s">
        <v>25</v>
      </c>
      <c r="F3174" s="23" t="s">
        <v>1388</v>
      </c>
      <c r="G3174" s="31" t="s">
        <v>520</v>
      </c>
      <c r="H3174" s="43" t="s">
        <v>5034</v>
      </c>
      <c r="I3174" s="37" t="str">
        <f>VLOOKUP(H3174,'Flow Location'!$A$1:$B$21,2,FALSE)</f>
        <v>Storm Sewer (not contained)</v>
      </c>
      <c r="J3174" s="52">
        <v>0.0</v>
      </c>
      <c r="K3174" s="51" t="s">
        <v>29</v>
      </c>
      <c r="L3174" s="37" t="str">
        <f>VLOOKUP(K3174,'Structure type'!$A$1:$B$15,2,FALSE)</f>
        <v>Manhole</v>
      </c>
      <c r="M3174" s="51" t="s">
        <v>30</v>
      </c>
      <c r="N3174" s="23" t="str">
        <f>VLOOKUP(M3174,'Excursion Cause'!$A$1:$B$34,2,FALSE)</f>
        <v>Grease Blockage</v>
      </c>
      <c r="O3174" s="53">
        <v>45257.0</v>
      </c>
      <c r="P3174" s="54">
        <v>0.4847222222222222</v>
      </c>
      <c r="Q3174" s="55">
        <v>45257.0</v>
      </c>
      <c r="R3174" s="54">
        <v>0.48541666666666666</v>
      </c>
      <c r="S3174" s="52">
        <v>0.0</v>
      </c>
      <c r="T3174" s="51" t="s">
        <v>1462</v>
      </c>
      <c r="U3174" s="56"/>
      <c r="V3174" s="56"/>
      <c r="W3174" s="35">
        <v>29.7736089999999</v>
      </c>
      <c r="X3174" s="35">
        <v>-95.6445919999999</v>
      </c>
      <c r="AA3174" s="33"/>
      <c r="AB3174" s="33"/>
      <c r="AC3174" s="33"/>
      <c r="AD3174" s="33"/>
      <c r="AE3174" s="33"/>
      <c r="AF3174" s="33"/>
      <c r="AG3174" s="33"/>
      <c r="AH3174" s="33"/>
      <c r="AI3174" s="33"/>
      <c r="AJ3174" s="33"/>
      <c r="AK3174" s="33"/>
      <c r="AL3174" s="33"/>
      <c r="AM3174" s="33"/>
      <c r="AN3174" s="33"/>
      <c r="AO3174" s="33"/>
    </row>
    <row r="3175" ht="15.75" customHeight="1">
      <c r="A3175" s="50">
        <v>54893.0</v>
      </c>
      <c r="B3175" s="23">
        <v>2023.0</v>
      </c>
      <c r="C3175" s="36" t="str">
        <f t="shared" si="7"/>
        <v>238 MEADOW LEA DR,Houston,TX</v>
      </c>
      <c r="D3175" s="51" t="s">
        <v>5035</v>
      </c>
      <c r="E3175" s="23" t="s">
        <v>25</v>
      </c>
      <c r="F3175" s="23" t="s">
        <v>1388</v>
      </c>
      <c r="G3175" s="31" t="s">
        <v>653</v>
      </c>
      <c r="H3175" s="48" t="s">
        <v>1493</v>
      </c>
      <c r="I3175" s="37" t="str">
        <f>VLOOKUP(H3175,'Flow Location'!$A$1:$B$21,2,FALSE)</f>
        <v>Contained On Site, not within 5 ft. of Bayou/Surface Water/Drainage Ditch</v>
      </c>
      <c r="J3175" s="52">
        <v>0.0</v>
      </c>
      <c r="K3175" s="51" t="s">
        <v>45</v>
      </c>
      <c r="L3175" s="37" t="str">
        <f>VLOOKUP(K3175,'Structure type'!$A$1:$B$15,2,FALSE)</f>
        <v>City Cleanout</v>
      </c>
      <c r="M3175" s="51" t="s">
        <v>56</v>
      </c>
      <c r="N3175" s="23" t="str">
        <f>VLOOKUP(M3175,'Excursion Cause'!$A$1:$B$34,2,FALSE)</f>
        <v>Rags/Wipes</v>
      </c>
      <c r="O3175" s="53">
        <v>45258.0</v>
      </c>
      <c r="P3175" s="54">
        <v>0.40555555555555556</v>
      </c>
      <c r="Q3175" s="55">
        <v>45258.0</v>
      </c>
      <c r="R3175" s="54">
        <v>0.40625</v>
      </c>
      <c r="S3175" s="52">
        <v>0.0</v>
      </c>
      <c r="T3175" s="51" t="s">
        <v>5036</v>
      </c>
      <c r="U3175" s="56"/>
      <c r="V3175" s="56"/>
      <c r="W3175" s="35">
        <v>29.835574</v>
      </c>
      <c r="X3175" s="35">
        <v>-95.3724043</v>
      </c>
      <c r="AA3175" s="33"/>
      <c r="AB3175" s="33"/>
      <c r="AC3175" s="33"/>
      <c r="AD3175" s="33"/>
      <c r="AE3175" s="33"/>
      <c r="AF3175" s="33"/>
      <c r="AG3175" s="33"/>
      <c r="AH3175" s="33"/>
      <c r="AI3175" s="33"/>
      <c r="AJ3175" s="33"/>
      <c r="AK3175" s="33"/>
      <c r="AL3175" s="33"/>
      <c r="AM3175" s="33"/>
      <c r="AN3175" s="33"/>
      <c r="AO3175" s="33"/>
    </row>
    <row r="3176" ht="15.75" customHeight="1">
      <c r="A3176" s="50">
        <v>54900.0</v>
      </c>
      <c r="B3176" s="23">
        <v>2023.0</v>
      </c>
      <c r="C3176" s="36" t="str">
        <f t="shared" si="7"/>
        <v>6729 NEFF ST,Houston,TX</v>
      </c>
      <c r="D3176" s="51" t="s">
        <v>5037</v>
      </c>
      <c r="E3176" s="23" t="s">
        <v>25</v>
      </c>
      <c r="F3176" s="23" t="s">
        <v>1388</v>
      </c>
      <c r="G3176" s="31" t="s">
        <v>471</v>
      </c>
      <c r="H3176" s="48" t="s">
        <v>1493</v>
      </c>
      <c r="I3176" s="37" t="str">
        <f>VLOOKUP(H3176,'Flow Location'!$A$1:$B$21,2,FALSE)</f>
        <v>Contained On Site, not within 5 ft. of Bayou/Surface Water/Drainage Ditch</v>
      </c>
      <c r="J3176" s="52">
        <v>3985.0</v>
      </c>
      <c r="K3176" s="51" t="s">
        <v>29</v>
      </c>
      <c r="L3176" s="37" t="str">
        <f>VLOOKUP(K3176,'Structure type'!$A$1:$B$15,2,FALSE)</f>
        <v>Manhole</v>
      </c>
      <c r="M3176" s="51" t="s">
        <v>30</v>
      </c>
      <c r="N3176" s="23" t="str">
        <f>VLOOKUP(M3176,'Excursion Cause'!$A$1:$B$34,2,FALSE)</f>
        <v>Grease Blockage</v>
      </c>
      <c r="O3176" s="53">
        <v>45258.0</v>
      </c>
      <c r="P3176" s="54">
        <v>0.5243055555555556</v>
      </c>
      <c r="Q3176" s="55">
        <v>45259.0</v>
      </c>
      <c r="R3176" s="54">
        <v>0.63125</v>
      </c>
      <c r="S3176" s="52">
        <v>2.0</v>
      </c>
      <c r="T3176" s="51" t="s">
        <v>1462</v>
      </c>
      <c r="U3176" s="56"/>
      <c r="V3176" s="56"/>
      <c r="W3176" s="35">
        <v>29.7017037</v>
      </c>
      <c r="X3176" s="35">
        <v>-95.5014075</v>
      </c>
      <c r="AA3176" s="33"/>
      <c r="AB3176" s="33"/>
      <c r="AC3176" s="33"/>
      <c r="AD3176" s="33"/>
      <c r="AE3176" s="33"/>
      <c r="AF3176" s="33"/>
      <c r="AG3176" s="33"/>
      <c r="AH3176" s="33"/>
      <c r="AI3176" s="33"/>
      <c r="AJ3176" s="33"/>
      <c r="AK3176" s="33"/>
      <c r="AL3176" s="33"/>
      <c r="AM3176" s="33"/>
      <c r="AN3176" s="33"/>
      <c r="AO3176" s="33"/>
    </row>
    <row r="3177" ht="15.75" customHeight="1">
      <c r="A3177" s="50">
        <v>54906.0</v>
      </c>
      <c r="B3177" s="23">
        <v>2023.0</v>
      </c>
      <c r="C3177" s="36" t="str">
        <f t="shared" si="7"/>
        <v>7650 MOONMIST DR,Houston,TX</v>
      </c>
      <c r="D3177" s="51" t="s">
        <v>99</v>
      </c>
      <c r="E3177" s="23" t="s">
        <v>25</v>
      </c>
      <c r="F3177" s="23" t="s">
        <v>1388</v>
      </c>
      <c r="G3177" s="31" t="s">
        <v>100</v>
      </c>
      <c r="H3177" s="43" t="s">
        <v>5038</v>
      </c>
      <c r="I3177" s="37" t="str">
        <f>VLOOKUP(H3177,'Flow Location'!$A$1:$B$21,2,FALSE)</f>
        <v>Storm Sewer (not contained)</v>
      </c>
      <c r="J3177" s="52">
        <v>438.0</v>
      </c>
      <c r="K3177" s="51" t="s">
        <v>29</v>
      </c>
      <c r="L3177" s="37" t="str">
        <f>VLOOKUP(K3177,'Structure type'!$A$1:$B$15,2,FALSE)</f>
        <v>Manhole</v>
      </c>
      <c r="M3177" s="51" t="s">
        <v>30</v>
      </c>
      <c r="N3177" s="23" t="str">
        <f>VLOOKUP(M3177,'Excursion Cause'!$A$1:$B$34,2,FALSE)</f>
        <v>Grease Blockage</v>
      </c>
      <c r="O3177" s="53">
        <v>45258.0</v>
      </c>
      <c r="P3177" s="54">
        <v>0.5875</v>
      </c>
      <c r="Q3177" s="55">
        <v>45258.0</v>
      </c>
      <c r="R3177" s="54">
        <v>0.7395833333333334</v>
      </c>
      <c r="S3177" s="52">
        <v>2.0</v>
      </c>
      <c r="T3177" s="51" t="s">
        <v>1462</v>
      </c>
      <c r="U3177" s="56"/>
      <c r="V3177" s="56"/>
      <c r="W3177" s="35">
        <v>29.7115294999999</v>
      </c>
      <c r="X3177" s="35">
        <v>-95.5198418999999</v>
      </c>
      <c r="AA3177" s="33"/>
      <c r="AB3177" s="33"/>
      <c r="AC3177" s="33"/>
      <c r="AD3177" s="33"/>
      <c r="AE3177" s="33"/>
      <c r="AF3177" s="33"/>
      <c r="AG3177" s="33"/>
      <c r="AH3177" s="33"/>
      <c r="AI3177" s="33"/>
      <c r="AJ3177" s="33"/>
      <c r="AK3177" s="33"/>
      <c r="AL3177" s="33"/>
      <c r="AM3177" s="33"/>
      <c r="AN3177" s="33"/>
      <c r="AO3177" s="33"/>
    </row>
    <row r="3178" ht="15.75" customHeight="1">
      <c r="A3178" s="50">
        <v>54909.0</v>
      </c>
      <c r="B3178" s="23">
        <v>2023.0</v>
      </c>
      <c r="C3178" s="36" t="str">
        <f t="shared" si="7"/>
        <v>2502 CANAL ST,Houston,TX</v>
      </c>
      <c r="D3178" s="51" t="s">
        <v>2828</v>
      </c>
      <c r="E3178" s="23" t="s">
        <v>25</v>
      </c>
      <c r="F3178" s="23" t="s">
        <v>1388</v>
      </c>
      <c r="G3178" s="31" t="s">
        <v>172</v>
      </c>
      <c r="H3178" s="48" t="s">
        <v>1493</v>
      </c>
      <c r="I3178" s="37" t="str">
        <f>VLOOKUP(H3178,'Flow Location'!$A$1:$B$21,2,FALSE)</f>
        <v>Contained On Site, not within 5 ft. of Bayou/Surface Water/Drainage Ditch</v>
      </c>
      <c r="J3178" s="52">
        <v>0.0</v>
      </c>
      <c r="K3178" s="51" t="s">
        <v>51</v>
      </c>
      <c r="L3178" s="37" t="str">
        <f>VLOOKUP(K3178,'Structure type'!$A$1:$B$15,2,FALSE)</f>
        <v>Private Cleanout</v>
      </c>
      <c r="M3178" s="51" t="s">
        <v>30</v>
      </c>
      <c r="N3178" s="23" t="str">
        <f>VLOOKUP(M3178,'Excursion Cause'!$A$1:$B$34,2,FALSE)</f>
        <v>Grease Blockage</v>
      </c>
      <c r="O3178" s="53">
        <v>45258.0</v>
      </c>
      <c r="P3178" s="54">
        <v>0.66875</v>
      </c>
      <c r="Q3178" s="55">
        <v>45258.0</v>
      </c>
      <c r="R3178" s="54">
        <v>0.6694444444444444</v>
      </c>
      <c r="S3178" s="52">
        <v>0.0</v>
      </c>
      <c r="T3178" s="51" t="s">
        <v>3749</v>
      </c>
      <c r="U3178" s="56"/>
      <c r="V3178" s="56"/>
      <c r="W3178" s="35">
        <v>29.7568657</v>
      </c>
      <c r="X3178" s="35">
        <v>-95.3451807</v>
      </c>
      <c r="AA3178" s="33"/>
      <c r="AB3178" s="33"/>
      <c r="AC3178" s="33"/>
      <c r="AD3178" s="33"/>
      <c r="AE3178" s="33"/>
      <c r="AF3178" s="33"/>
      <c r="AG3178" s="33"/>
      <c r="AH3178" s="33"/>
      <c r="AI3178" s="33"/>
      <c r="AJ3178" s="33"/>
      <c r="AK3178" s="33"/>
      <c r="AL3178" s="33"/>
      <c r="AM3178" s="33"/>
      <c r="AN3178" s="33"/>
      <c r="AO3178" s="33"/>
    </row>
    <row r="3179" ht="15.75" customHeight="1">
      <c r="A3179" s="50">
        <v>54914.0</v>
      </c>
      <c r="B3179" s="23">
        <v>2023.0</v>
      </c>
      <c r="C3179" s="36" t="str">
        <f t="shared" si="7"/>
        <v>6419 WESTOVER ST,Houston,TX</v>
      </c>
      <c r="D3179" s="51" t="s">
        <v>5039</v>
      </c>
      <c r="E3179" s="23" t="s">
        <v>25</v>
      </c>
      <c r="F3179" s="23" t="s">
        <v>1388</v>
      </c>
      <c r="G3179" s="31" t="s">
        <v>35</v>
      </c>
      <c r="H3179" s="48" t="s">
        <v>1493</v>
      </c>
      <c r="I3179" s="37" t="str">
        <f>VLOOKUP(H3179,'Flow Location'!$A$1:$B$21,2,FALSE)</f>
        <v>Contained On Site, not within 5 ft. of Bayou/Surface Water/Drainage Ditch</v>
      </c>
      <c r="J3179" s="52">
        <v>2205.0</v>
      </c>
      <c r="K3179" s="51" t="s">
        <v>29</v>
      </c>
      <c r="L3179" s="37" t="str">
        <f>VLOOKUP(K3179,'Structure type'!$A$1:$B$15,2,FALSE)</f>
        <v>Manhole</v>
      </c>
      <c r="M3179" s="51" t="s">
        <v>30</v>
      </c>
      <c r="N3179" s="23" t="str">
        <f>VLOOKUP(M3179,'Excursion Cause'!$A$1:$B$34,2,FALSE)</f>
        <v>Grease Blockage</v>
      </c>
      <c r="O3179" s="53">
        <v>45259.0</v>
      </c>
      <c r="P3179" s="54">
        <v>0.4326388888888889</v>
      </c>
      <c r="Q3179" s="55">
        <v>45259.0</v>
      </c>
      <c r="R3179" s="54">
        <v>0.7388888888888889</v>
      </c>
      <c r="S3179" s="52">
        <v>5.0</v>
      </c>
      <c r="T3179" s="51" t="s">
        <v>3749</v>
      </c>
      <c r="U3179" s="56"/>
      <c r="V3179" s="56"/>
      <c r="W3179" s="35">
        <v>29.6639858</v>
      </c>
      <c r="X3179" s="35">
        <v>-95.3136937</v>
      </c>
      <c r="AA3179" s="33"/>
      <c r="AB3179" s="33"/>
      <c r="AC3179" s="33"/>
      <c r="AD3179" s="33"/>
      <c r="AE3179" s="33"/>
      <c r="AF3179" s="33"/>
      <c r="AG3179" s="33"/>
      <c r="AH3179" s="33"/>
      <c r="AI3179" s="33"/>
      <c r="AJ3179" s="33"/>
      <c r="AK3179" s="33"/>
      <c r="AL3179" s="33"/>
      <c r="AM3179" s="33"/>
      <c r="AN3179" s="33"/>
      <c r="AO3179" s="33"/>
    </row>
    <row r="3180" ht="15.75" customHeight="1">
      <c r="A3180" s="50">
        <v>54916.0</v>
      </c>
      <c r="B3180" s="23">
        <v>2023.0</v>
      </c>
      <c r="C3180" s="36" t="str">
        <f t="shared" si="7"/>
        <v>10039 DEL MONTE DR,Houston,TX</v>
      </c>
      <c r="D3180" s="51" t="s">
        <v>5040</v>
      </c>
      <c r="E3180" s="23" t="s">
        <v>25</v>
      </c>
      <c r="F3180" s="23" t="s">
        <v>1388</v>
      </c>
      <c r="G3180" s="31" t="s">
        <v>401</v>
      </c>
      <c r="H3180" s="48" t="s">
        <v>1493</v>
      </c>
      <c r="I3180" s="37" t="str">
        <f>VLOOKUP(H3180,'Flow Location'!$A$1:$B$21,2,FALSE)</f>
        <v>Contained On Site, not within 5 ft. of Bayou/Surface Water/Drainage Ditch</v>
      </c>
      <c r="J3180" s="52">
        <v>0.0</v>
      </c>
      <c r="K3180" s="51" t="s">
        <v>290</v>
      </c>
      <c r="L3180" s="37" t="str">
        <f>VLOOKUP(K3180,'Structure type'!$A$1:$B$15,2,FALSE)</f>
        <v>Gravity Main</v>
      </c>
      <c r="M3180" s="51" t="s">
        <v>81</v>
      </c>
      <c r="N3180" s="23" t="str">
        <f>VLOOKUP(M3180,'Excursion Cause'!$A$1:$B$34,2,FALSE)</f>
        <v>Collection system structural failure</v>
      </c>
      <c r="O3180" s="53">
        <v>45259.0</v>
      </c>
      <c r="P3180" s="54">
        <v>0.49027777777777776</v>
      </c>
      <c r="Q3180" s="55">
        <v>45264.0</v>
      </c>
      <c r="R3180" s="54">
        <v>0.38125</v>
      </c>
      <c r="S3180" s="52">
        <v>0.0</v>
      </c>
      <c r="T3180" s="51" t="s">
        <v>5041</v>
      </c>
      <c r="U3180" s="56"/>
      <c r="V3180" s="56"/>
      <c r="W3180" s="35">
        <v>29.7448065</v>
      </c>
      <c r="X3180" s="35">
        <v>-95.5508589</v>
      </c>
      <c r="AA3180" s="33"/>
      <c r="AB3180" s="33"/>
      <c r="AC3180" s="33"/>
      <c r="AD3180" s="33"/>
      <c r="AE3180" s="33"/>
      <c r="AF3180" s="33"/>
      <c r="AG3180" s="33"/>
      <c r="AH3180" s="33"/>
      <c r="AI3180" s="33"/>
      <c r="AJ3180" s="33"/>
      <c r="AK3180" s="33"/>
      <c r="AL3180" s="33"/>
      <c r="AM3180" s="33"/>
      <c r="AN3180" s="33"/>
      <c r="AO3180" s="33"/>
    </row>
    <row r="3181" ht="15.75" customHeight="1">
      <c r="A3181" s="50">
        <v>54918.0</v>
      </c>
      <c r="B3181" s="23">
        <v>2023.0</v>
      </c>
      <c r="C3181" s="36" t="str">
        <f t="shared" si="7"/>
        <v>13306 WESTHEIMER RD,Houston,TX</v>
      </c>
      <c r="D3181" s="51" t="s">
        <v>5042</v>
      </c>
      <c r="E3181" s="23" t="s">
        <v>25</v>
      </c>
      <c r="F3181" s="23" t="s">
        <v>1388</v>
      </c>
      <c r="G3181" s="31" t="s">
        <v>347</v>
      </c>
      <c r="H3181" s="43" t="s">
        <v>5043</v>
      </c>
      <c r="I3181" s="37" t="str">
        <f>VLOOKUP(H3181,'Flow Location'!$A$1:$B$21,2,FALSE)</f>
        <v>Storm Sewer (not contained)</v>
      </c>
      <c r="J3181" s="52">
        <v>345.0</v>
      </c>
      <c r="K3181" s="51" t="s">
        <v>29</v>
      </c>
      <c r="L3181" s="37" t="str">
        <f>VLOOKUP(K3181,'Structure type'!$A$1:$B$15,2,FALSE)</f>
        <v>Manhole</v>
      </c>
      <c r="M3181" s="51" t="s">
        <v>30</v>
      </c>
      <c r="N3181" s="23" t="str">
        <f>VLOOKUP(M3181,'Excursion Cause'!$A$1:$B$34,2,FALSE)</f>
        <v>Grease Blockage</v>
      </c>
      <c r="O3181" s="53">
        <v>45259.0</v>
      </c>
      <c r="P3181" s="54">
        <v>0.5347222222222222</v>
      </c>
      <c r="Q3181" s="55">
        <v>45259.0</v>
      </c>
      <c r="R3181" s="54">
        <v>0.6944444444444444</v>
      </c>
      <c r="S3181" s="52">
        <v>2.0</v>
      </c>
      <c r="T3181" s="51" t="s">
        <v>1462</v>
      </c>
      <c r="U3181" s="56"/>
      <c r="V3181" s="56"/>
      <c r="W3181" s="35">
        <v>29.7373206</v>
      </c>
      <c r="X3181" s="35">
        <v>-95.6248569999999</v>
      </c>
      <c r="AA3181" s="33"/>
      <c r="AB3181" s="33"/>
      <c r="AC3181" s="33"/>
      <c r="AD3181" s="33"/>
      <c r="AE3181" s="33"/>
      <c r="AF3181" s="33"/>
      <c r="AG3181" s="33"/>
      <c r="AH3181" s="33"/>
      <c r="AI3181" s="33"/>
      <c r="AJ3181" s="33"/>
      <c r="AK3181" s="33"/>
      <c r="AL3181" s="33"/>
      <c r="AM3181" s="33"/>
      <c r="AN3181" s="33"/>
      <c r="AO3181" s="33"/>
    </row>
    <row r="3182" ht="15.75" customHeight="1">
      <c r="A3182" s="50">
        <v>54919.0</v>
      </c>
      <c r="B3182" s="23">
        <v>2023.0</v>
      </c>
      <c r="C3182" s="36" t="str">
        <f t="shared" si="7"/>
        <v>8006 GESSNER RD,Houston,TX</v>
      </c>
      <c r="D3182" s="51" t="s">
        <v>5044</v>
      </c>
      <c r="E3182" s="23" t="s">
        <v>25</v>
      </c>
      <c r="F3182" s="23" t="s">
        <v>1388</v>
      </c>
      <c r="G3182" s="31" t="s">
        <v>253</v>
      </c>
      <c r="H3182" s="43" t="s">
        <v>5045</v>
      </c>
      <c r="I3182" s="37" t="str">
        <f>VLOOKUP(H3182,'Flow Location'!$A$1:$B$21,2,FALSE)</f>
        <v>Storm Sewer (not contained)</v>
      </c>
      <c r="J3182" s="52">
        <v>5494.0</v>
      </c>
      <c r="K3182" s="51" t="s">
        <v>45</v>
      </c>
      <c r="L3182" s="37" t="str">
        <f>VLOOKUP(K3182,'Structure type'!$A$1:$B$15,2,FALSE)</f>
        <v>City Cleanout</v>
      </c>
      <c r="M3182" s="51" t="s">
        <v>30</v>
      </c>
      <c r="N3182" s="23" t="str">
        <f>VLOOKUP(M3182,'Excursion Cause'!$A$1:$B$34,2,FALSE)</f>
        <v>Grease Blockage</v>
      </c>
      <c r="O3182" s="53">
        <v>45259.0</v>
      </c>
      <c r="P3182" s="54">
        <v>0.5541666666666667</v>
      </c>
      <c r="Q3182" s="55">
        <v>45261.0</v>
      </c>
      <c r="R3182" s="54">
        <v>0.4618055555555556</v>
      </c>
      <c r="S3182" s="52">
        <v>2.0</v>
      </c>
      <c r="T3182" s="51" t="s">
        <v>3743</v>
      </c>
      <c r="U3182" s="56"/>
      <c r="V3182" s="56"/>
      <c r="W3182" s="35">
        <v>29.8907669</v>
      </c>
      <c r="X3182" s="35">
        <v>-95.5429439</v>
      </c>
      <c r="AA3182" s="33"/>
      <c r="AB3182" s="33"/>
      <c r="AC3182" s="33"/>
      <c r="AD3182" s="33"/>
      <c r="AE3182" s="33"/>
      <c r="AF3182" s="33"/>
      <c r="AG3182" s="33"/>
      <c r="AH3182" s="33"/>
      <c r="AI3182" s="33"/>
      <c r="AJ3182" s="33"/>
      <c r="AK3182" s="33"/>
      <c r="AL3182" s="33"/>
      <c r="AM3182" s="33"/>
      <c r="AN3182" s="33"/>
      <c r="AO3182" s="33"/>
    </row>
    <row r="3183" ht="15.75" customHeight="1">
      <c r="A3183" s="50">
        <v>54920.0</v>
      </c>
      <c r="B3183" s="23">
        <v>2023.0</v>
      </c>
      <c r="C3183" s="36" t="str">
        <f t="shared" si="7"/>
        <v>6301 ILLINOIS ST,Houston,TX</v>
      </c>
      <c r="D3183" s="51" t="s">
        <v>5046</v>
      </c>
      <c r="E3183" s="23" t="s">
        <v>25</v>
      </c>
      <c r="F3183" s="23" t="s">
        <v>1388</v>
      </c>
      <c r="G3183" s="31" t="s">
        <v>238</v>
      </c>
      <c r="H3183" s="48" t="s">
        <v>1493</v>
      </c>
      <c r="I3183" s="37" t="str">
        <f>VLOOKUP(H3183,'Flow Location'!$A$1:$B$21,2,FALSE)</f>
        <v>Contained On Site, not within 5 ft. of Bayou/Surface Water/Drainage Ditch</v>
      </c>
      <c r="J3183" s="52">
        <v>0.0</v>
      </c>
      <c r="K3183" s="51" t="s">
        <v>198</v>
      </c>
      <c r="L3183" s="37" t="str">
        <f>VLOOKUP(K3183,'Structure type'!$A$1:$B$15,2,FALSE)</f>
        <v>Service Lateral</v>
      </c>
      <c r="M3183" s="51" t="s">
        <v>81</v>
      </c>
      <c r="N3183" s="23" t="str">
        <f>VLOOKUP(M3183,'Excursion Cause'!$A$1:$B$34,2,FALSE)</f>
        <v>Collection system structural failure</v>
      </c>
      <c r="O3183" s="53">
        <v>45259.0</v>
      </c>
      <c r="P3183" s="54">
        <v>0.5680555555555555</v>
      </c>
      <c r="Q3183" s="55">
        <v>45259.0</v>
      </c>
      <c r="R3183" s="54">
        <v>0.56875</v>
      </c>
      <c r="S3183" s="52">
        <v>0.0</v>
      </c>
      <c r="T3183" s="51" t="s">
        <v>118</v>
      </c>
      <c r="U3183" s="56"/>
      <c r="V3183" s="56"/>
      <c r="W3183" s="35">
        <v>29.7034693</v>
      </c>
      <c r="X3183" s="35">
        <v>-95.3677144</v>
      </c>
      <c r="AA3183" s="33"/>
      <c r="AB3183" s="33"/>
      <c r="AC3183" s="33"/>
      <c r="AD3183" s="33"/>
      <c r="AE3183" s="33"/>
      <c r="AF3183" s="33"/>
      <c r="AG3183" s="33"/>
      <c r="AH3183" s="33"/>
      <c r="AI3183" s="33"/>
      <c r="AJ3183" s="33"/>
      <c r="AK3183" s="33"/>
      <c r="AL3183" s="33"/>
      <c r="AM3183" s="33"/>
      <c r="AN3183" s="33"/>
      <c r="AO3183" s="33"/>
    </row>
    <row r="3184" ht="15.75" customHeight="1">
      <c r="A3184" s="50">
        <v>54923.0</v>
      </c>
      <c r="B3184" s="23">
        <v>2023.0</v>
      </c>
      <c r="C3184" s="36" t="str">
        <f t="shared" si="7"/>
        <v>1531 MILFORD ST,Houston,TX</v>
      </c>
      <c r="D3184" s="51" t="s">
        <v>5047</v>
      </c>
      <c r="E3184" s="23" t="s">
        <v>25</v>
      </c>
      <c r="F3184" s="23" t="s">
        <v>1388</v>
      </c>
      <c r="G3184" s="31" t="s">
        <v>761</v>
      </c>
      <c r="H3184" s="48" t="s">
        <v>1493</v>
      </c>
      <c r="I3184" s="37" t="str">
        <f>VLOOKUP(H3184,'Flow Location'!$A$1:$B$21,2,FALSE)</f>
        <v>Contained On Site, not within 5 ft. of Bayou/Surface Water/Drainage Ditch</v>
      </c>
      <c r="J3184" s="52">
        <v>0.0</v>
      </c>
      <c r="K3184" s="51" t="s">
        <v>29</v>
      </c>
      <c r="L3184" s="37" t="str">
        <f>VLOOKUP(K3184,'Structure type'!$A$1:$B$15,2,FALSE)</f>
        <v>Manhole</v>
      </c>
      <c r="M3184" s="51" t="s">
        <v>30</v>
      </c>
      <c r="N3184" s="23" t="str">
        <f>VLOOKUP(M3184,'Excursion Cause'!$A$1:$B$34,2,FALSE)</f>
        <v>Grease Blockage</v>
      </c>
      <c r="O3184" s="53">
        <v>45258.0</v>
      </c>
      <c r="P3184" s="54">
        <v>0.5958333333333333</v>
      </c>
      <c r="Q3184" s="55">
        <v>45264.0</v>
      </c>
      <c r="R3184" s="54">
        <v>0.48125</v>
      </c>
      <c r="S3184" s="52">
        <v>0.0</v>
      </c>
      <c r="T3184" s="51" t="s">
        <v>1462</v>
      </c>
      <c r="U3184" s="56"/>
      <c r="V3184" s="56"/>
      <c r="W3184" s="35">
        <v>29.7291379</v>
      </c>
      <c r="X3184" s="35">
        <v>-95.3988330999999</v>
      </c>
      <c r="AA3184" s="33"/>
      <c r="AB3184" s="33"/>
      <c r="AC3184" s="33"/>
      <c r="AD3184" s="33"/>
      <c r="AE3184" s="33"/>
      <c r="AF3184" s="33"/>
      <c r="AG3184" s="33"/>
      <c r="AH3184" s="33"/>
      <c r="AI3184" s="33"/>
      <c r="AJ3184" s="33"/>
      <c r="AK3184" s="33"/>
      <c r="AL3184" s="33"/>
      <c r="AM3184" s="33"/>
      <c r="AN3184" s="33"/>
      <c r="AO3184" s="33"/>
    </row>
    <row r="3185" ht="15.75" customHeight="1">
      <c r="A3185" s="50">
        <v>54926.0</v>
      </c>
      <c r="B3185" s="23">
        <v>2023.0</v>
      </c>
      <c r="C3185" s="36" t="str">
        <f t="shared" si="7"/>
        <v>7929 COUNT ST,Houston,TX</v>
      </c>
      <c r="D3185" s="51" t="s">
        <v>5048</v>
      </c>
      <c r="E3185" s="23" t="s">
        <v>25</v>
      </c>
      <c r="F3185" s="23" t="s">
        <v>1388</v>
      </c>
      <c r="G3185" s="31" t="s">
        <v>177</v>
      </c>
      <c r="H3185" s="43" t="s">
        <v>5049</v>
      </c>
      <c r="I3185" s="37" t="str">
        <f>VLOOKUP(H3185,'Flow Location'!$A$1:$B$21,2,FALSE)</f>
        <v>Bayou/surface water/drainage ditch</v>
      </c>
      <c r="J3185" s="52">
        <v>0.0</v>
      </c>
      <c r="K3185" s="51" t="s">
        <v>45</v>
      </c>
      <c r="L3185" s="37" t="str">
        <f>VLOOKUP(K3185,'Structure type'!$A$1:$B$15,2,FALSE)</f>
        <v>City Cleanout</v>
      </c>
      <c r="M3185" s="51" t="s">
        <v>81</v>
      </c>
      <c r="N3185" s="23" t="str">
        <f>VLOOKUP(M3185,'Excursion Cause'!$A$1:$B$34,2,FALSE)</f>
        <v>Collection system structural failure</v>
      </c>
      <c r="O3185" s="53">
        <v>45260.0</v>
      </c>
      <c r="P3185" s="54">
        <v>0.4986111111111111</v>
      </c>
      <c r="Q3185" s="55">
        <v>45260.0</v>
      </c>
      <c r="R3185" s="54">
        <v>0.49930555555555556</v>
      </c>
      <c r="S3185" s="52">
        <v>0.0</v>
      </c>
      <c r="T3185" s="51" t="s">
        <v>118</v>
      </c>
      <c r="U3185" s="56"/>
      <c r="V3185" s="56"/>
      <c r="W3185" s="35">
        <v>29.8477599</v>
      </c>
      <c r="X3185" s="35">
        <v>-95.2829951</v>
      </c>
      <c r="AA3185" s="33"/>
      <c r="AB3185" s="33"/>
      <c r="AC3185" s="33"/>
      <c r="AD3185" s="33"/>
      <c r="AE3185" s="33"/>
      <c r="AF3185" s="33"/>
      <c r="AG3185" s="33"/>
      <c r="AH3185" s="33"/>
      <c r="AI3185" s="33"/>
      <c r="AJ3185" s="33"/>
      <c r="AK3185" s="33"/>
      <c r="AL3185" s="33"/>
      <c r="AM3185" s="33"/>
      <c r="AN3185" s="33"/>
      <c r="AO3185" s="33"/>
    </row>
    <row r="3186" ht="15.75" customHeight="1">
      <c r="A3186" s="50">
        <v>54928.0</v>
      </c>
      <c r="B3186" s="23">
        <v>2023.0</v>
      </c>
      <c r="C3186" s="36" t="str">
        <f t="shared" si="7"/>
        <v>11406 SANDROCK DR,Houston,TX</v>
      </c>
      <c r="D3186" s="51" t="s">
        <v>5050</v>
      </c>
      <c r="E3186" s="23" t="s">
        <v>25</v>
      </c>
      <c r="F3186" s="23" t="s">
        <v>1388</v>
      </c>
      <c r="G3186" s="31" t="s">
        <v>301</v>
      </c>
      <c r="H3186" s="48" t="s">
        <v>1493</v>
      </c>
      <c r="I3186" s="37" t="str">
        <f>VLOOKUP(H3186,'Flow Location'!$A$1:$B$21,2,FALSE)</f>
        <v>Contained On Site, not within 5 ft. of Bayou/Surface Water/Drainage Ditch</v>
      </c>
      <c r="J3186" s="52">
        <v>4731.0</v>
      </c>
      <c r="K3186" s="51" t="s">
        <v>29</v>
      </c>
      <c r="L3186" s="37" t="str">
        <f>VLOOKUP(K3186,'Structure type'!$A$1:$B$15,2,FALSE)</f>
        <v>Manhole</v>
      </c>
      <c r="M3186" s="51" t="s">
        <v>52</v>
      </c>
      <c r="N3186" s="23" t="str">
        <f>VLOOKUP(M3186,'Excursion Cause'!$A$1:$B$34,2,FALSE)</f>
        <v>Collection system structural blockage</v>
      </c>
      <c r="O3186" s="53">
        <v>45260.0</v>
      </c>
      <c r="P3186" s="54">
        <v>0.5923611111111111</v>
      </c>
      <c r="Q3186" s="55">
        <v>45261.0</v>
      </c>
      <c r="R3186" s="54">
        <v>0.6875</v>
      </c>
      <c r="S3186" s="52">
        <v>3.0</v>
      </c>
      <c r="T3186" s="51" t="s">
        <v>1462</v>
      </c>
      <c r="U3186" s="56"/>
      <c r="V3186" s="56"/>
      <c r="W3186" s="35">
        <v>29.6361318</v>
      </c>
      <c r="X3186" s="35">
        <v>-95.3441316999999</v>
      </c>
      <c r="AA3186" s="33"/>
      <c r="AB3186" s="33"/>
      <c r="AC3186" s="33"/>
      <c r="AD3186" s="33"/>
      <c r="AE3186" s="33"/>
      <c r="AF3186" s="33"/>
      <c r="AG3186" s="33"/>
      <c r="AH3186" s="33"/>
      <c r="AI3186" s="33"/>
      <c r="AJ3186" s="33"/>
      <c r="AK3186" s="33"/>
      <c r="AL3186" s="33"/>
      <c r="AM3186" s="33"/>
      <c r="AN3186" s="33"/>
      <c r="AO3186" s="33"/>
    </row>
    <row r="3187" ht="15.75" customHeight="1">
      <c r="A3187" s="50">
        <v>54929.0</v>
      </c>
      <c r="B3187" s="23">
        <v>2023.0</v>
      </c>
      <c r="C3187" s="36" t="str">
        <f t="shared" si="7"/>
        <v>6335 BROOKSIDE DR,Houston,TX</v>
      </c>
      <c r="D3187" s="51" t="s">
        <v>793</v>
      </c>
      <c r="E3187" s="23" t="s">
        <v>25</v>
      </c>
      <c r="F3187" s="23" t="s">
        <v>1388</v>
      </c>
      <c r="G3187" s="31" t="s">
        <v>141</v>
      </c>
      <c r="H3187" s="43" t="s">
        <v>5051</v>
      </c>
      <c r="I3187" s="37" t="str">
        <f>VLOOKUP(H3187,'Flow Location'!$A$1:$B$21,2,FALSE)</f>
        <v>Storm Sewer (not contained)</v>
      </c>
      <c r="J3187" s="52">
        <v>1215.0</v>
      </c>
      <c r="K3187" s="51" t="s">
        <v>29</v>
      </c>
      <c r="L3187" s="37" t="str">
        <f>VLOOKUP(K3187,'Structure type'!$A$1:$B$15,2,FALSE)</f>
        <v>Manhole</v>
      </c>
      <c r="M3187" s="51" t="s">
        <v>1174</v>
      </c>
      <c r="N3187" s="23" t="str">
        <f>VLOOKUP(M3187,'Excursion Cause'!$A$1:$B$34,2,FALSE)</f>
        <v>Collection system wet weather</v>
      </c>
      <c r="O3187" s="53">
        <v>45260.0</v>
      </c>
      <c r="P3187" s="54">
        <v>0.7083333333333334</v>
      </c>
      <c r="Q3187" s="55">
        <v>45260.0</v>
      </c>
      <c r="R3187" s="54">
        <v>0.8180555555555555</v>
      </c>
      <c r="S3187" s="52">
        <v>8.0</v>
      </c>
      <c r="T3187" s="51" t="s">
        <v>118</v>
      </c>
      <c r="U3187" s="56"/>
      <c r="V3187" s="56"/>
      <c r="W3187" s="35">
        <v>29.7297384</v>
      </c>
      <c r="X3187" s="35">
        <v>-95.3154347</v>
      </c>
      <c r="AA3187" s="33"/>
      <c r="AB3187" s="33"/>
      <c r="AC3187" s="33"/>
      <c r="AD3187" s="33"/>
      <c r="AE3187" s="33"/>
      <c r="AF3187" s="33"/>
      <c r="AG3187" s="33"/>
      <c r="AH3187" s="33"/>
      <c r="AI3187" s="33"/>
      <c r="AJ3187" s="33"/>
      <c r="AK3187" s="33"/>
      <c r="AL3187" s="33"/>
      <c r="AM3187" s="33"/>
      <c r="AN3187" s="33"/>
      <c r="AO3187" s="33"/>
    </row>
    <row r="3188" ht="15.75" customHeight="1">
      <c r="A3188" s="50">
        <v>54930.0</v>
      </c>
      <c r="B3188" s="23">
        <v>2023.0</v>
      </c>
      <c r="C3188" s="36" t="str">
        <f t="shared" si="7"/>
        <v>1006 HACKNEY ST,Houston,TX</v>
      </c>
      <c r="D3188" s="51" t="s">
        <v>792</v>
      </c>
      <c r="E3188" s="23" t="s">
        <v>25</v>
      </c>
      <c r="F3188" s="23" t="s">
        <v>1388</v>
      </c>
      <c r="G3188" s="31" t="s">
        <v>141</v>
      </c>
      <c r="H3188" s="43" t="s">
        <v>5052</v>
      </c>
      <c r="I3188" s="37" t="str">
        <f>VLOOKUP(H3188,'Flow Location'!$A$1:$B$21,2,FALSE)</f>
        <v>Storm Sewer (not contained)</v>
      </c>
      <c r="J3188" s="52">
        <v>1550.0</v>
      </c>
      <c r="K3188" s="51" t="s">
        <v>29</v>
      </c>
      <c r="L3188" s="37" t="str">
        <f>VLOOKUP(K3188,'Structure type'!$A$1:$B$15,2,FALSE)</f>
        <v>Manhole</v>
      </c>
      <c r="M3188" s="51" t="s">
        <v>1174</v>
      </c>
      <c r="N3188" s="23" t="str">
        <f>VLOOKUP(M3188,'Excursion Cause'!$A$1:$B$34,2,FALSE)</f>
        <v>Collection system wet weather</v>
      </c>
      <c r="O3188" s="53">
        <v>45260.0</v>
      </c>
      <c r="P3188" s="54">
        <v>0.7104166666666667</v>
      </c>
      <c r="Q3188" s="55">
        <v>45260.0</v>
      </c>
      <c r="R3188" s="54">
        <v>0.81875</v>
      </c>
      <c r="S3188" s="52">
        <v>10.0</v>
      </c>
      <c r="T3188" s="51" t="s">
        <v>118</v>
      </c>
      <c r="U3188" s="56"/>
      <c r="V3188" s="56"/>
      <c r="W3188" s="35">
        <v>29.7300828</v>
      </c>
      <c r="X3188" s="35">
        <v>-95.3176786</v>
      </c>
      <c r="AA3188" s="33"/>
      <c r="AB3188" s="33"/>
      <c r="AC3188" s="33"/>
      <c r="AD3188" s="33"/>
      <c r="AE3188" s="33"/>
      <c r="AF3188" s="33"/>
      <c r="AG3188" s="33"/>
      <c r="AH3188" s="33"/>
      <c r="AI3188" s="33"/>
      <c r="AJ3188" s="33"/>
      <c r="AK3188" s="33"/>
      <c r="AL3188" s="33"/>
      <c r="AM3188" s="33"/>
      <c r="AN3188" s="33"/>
      <c r="AO3188" s="33"/>
    </row>
    <row r="3189" ht="15.75" customHeight="1">
      <c r="A3189" s="50">
        <v>54931.0</v>
      </c>
      <c r="B3189" s="23">
        <v>2023.0</v>
      </c>
      <c r="C3189" s="36" t="str">
        <f t="shared" si="7"/>
        <v>4701 PEASE ST,Houston,TX</v>
      </c>
      <c r="D3189" s="51" t="s">
        <v>738</v>
      </c>
      <c r="E3189" s="23" t="s">
        <v>25</v>
      </c>
      <c r="F3189" s="23" t="s">
        <v>1388</v>
      </c>
      <c r="G3189" s="31" t="s">
        <v>141</v>
      </c>
      <c r="H3189" s="43" t="s">
        <v>5053</v>
      </c>
      <c r="I3189" s="37" t="str">
        <f>VLOOKUP(H3189,'Flow Location'!$A$1:$B$21,2,FALSE)</f>
        <v>Storm Sewer (not contained)</v>
      </c>
      <c r="J3189" s="52">
        <v>2910.0</v>
      </c>
      <c r="K3189" s="51" t="s">
        <v>29</v>
      </c>
      <c r="L3189" s="37" t="str">
        <f>VLOOKUP(K3189,'Structure type'!$A$1:$B$15,2,FALSE)</f>
        <v>Manhole</v>
      </c>
      <c r="M3189" s="51" t="s">
        <v>1174</v>
      </c>
      <c r="N3189" s="23" t="str">
        <f>VLOOKUP(M3189,'Excursion Cause'!$A$1:$B$34,2,FALSE)</f>
        <v>Collection system wet weather</v>
      </c>
      <c r="O3189" s="53">
        <v>45260.0</v>
      </c>
      <c r="P3189" s="54">
        <v>0.7125</v>
      </c>
      <c r="Q3189" s="55">
        <v>45260.0</v>
      </c>
      <c r="R3189" s="54">
        <v>0.8270833333333333</v>
      </c>
      <c r="S3189" s="52">
        <v>18.0</v>
      </c>
      <c r="T3189" s="51" t="s">
        <v>118</v>
      </c>
      <c r="U3189" s="56"/>
      <c r="V3189" s="56"/>
      <c r="W3189" s="35">
        <v>29.7339611</v>
      </c>
      <c r="X3189" s="35">
        <v>-95.3320437</v>
      </c>
      <c r="AA3189" s="33"/>
      <c r="AB3189" s="33"/>
      <c r="AC3189" s="33"/>
      <c r="AD3189" s="33"/>
      <c r="AE3189" s="33"/>
      <c r="AF3189" s="33"/>
      <c r="AG3189" s="33"/>
      <c r="AH3189" s="33"/>
      <c r="AI3189" s="33"/>
      <c r="AJ3189" s="33"/>
      <c r="AK3189" s="33"/>
      <c r="AL3189" s="33"/>
      <c r="AM3189" s="33"/>
      <c r="AN3189" s="33"/>
      <c r="AO3189" s="33"/>
    </row>
    <row r="3190" ht="15.75" customHeight="1">
      <c r="A3190" s="50">
        <v>54932.0</v>
      </c>
      <c r="B3190" s="23">
        <v>2023.0</v>
      </c>
      <c r="C3190" s="36" t="str">
        <f t="shared" si="7"/>
        <v>1301 WAYSIDE DR,Houston,TX</v>
      </c>
      <c r="D3190" s="51" t="s">
        <v>459</v>
      </c>
      <c r="E3190" s="23" t="s">
        <v>25</v>
      </c>
      <c r="F3190" s="23" t="s">
        <v>1388</v>
      </c>
      <c r="G3190" s="31" t="s">
        <v>227</v>
      </c>
      <c r="H3190" s="43" t="s">
        <v>5054</v>
      </c>
      <c r="I3190" s="37" t="str">
        <f>VLOOKUP(H3190,'Flow Location'!$A$1:$B$21,2,FALSE)</f>
        <v>Storm Sewer (not contained)</v>
      </c>
      <c r="J3190" s="52">
        <v>1985.0</v>
      </c>
      <c r="K3190" s="51" t="s">
        <v>29</v>
      </c>
      <c r="L3190" s="37" t="str">
        <f>VLOOKUP(K3190,'Structure type'!$A$1:$B$15,2,FALSE)</f>
        <v>Manhole</v>
      </c>
      <c r="M3190" s="51" t="s">
        <v>1174</v>
      </c>
      <c r="N3190" s="23" t="str">
        <f>VLOOKUP(M3190,'Excursion Cause'!$A$1:$B$34,2,FALSE)</f>
        <v>Collection system wet weather</v>
      </c>
      <c r="O3190" s="53">
        <v>45260.0</v>
      </c>
      <c r="P3190" s="54">
        <v>0.7152777777777778</v>
      </c>
      <c r="Q3190" s="55">
        <v>45260.0</v>
      </c>
      <c r="R3190" s="54">
        <v>0.8361111111111111</v>
      </c>
      <c r="S3190" s="52">
        <v>11.0</v>
      </c>
      <c r="T3190" s="51" t="s">
        <v>118</v>
      </c>
      <c r="U3190" s="56"/>
      <c r="V3190" s="56"/>
      <c r="W3190" s="35">
        <v>29.773051</v>
      </c>
      <c r="X3190" s="35">
        <v>-95.291747</v>
      </c>
      <c r="AA3190" s="33"/>
      <c r="AB3190" s="33"/>
      <c r="AC3190" s="33"/>
      <c r="AD3190" s="33"/>
      <c r="AE3190" s="33"/>
      <c r="AF3190" s="33"/>
      <c r="AG3190" s="33"/>
      <c r="AH3190" s="33"/>
      <c r="AI3190" s="33"/>
      <c r="AJ3190" s="33"/>
      <c r="AK3190" s="33"/>
      <c r="AL3190" s="33"/>
      <c r="AM3190" s="33"/>
      <c r="AN3190" s="33"/>
      <c r="AO3190" s="33"/>
    </row>
    <row r="3191" ht="15.75" customHeight="1">
      <c r="A3191" s="50">
        <v>54933.0</v>
      </c>
      <c r="B3191" s="23">
        <v>2023.0</v>
      </c>
      <c r="C3191" s="36" t="str">
        <f t="shared" si="7"/>
        <v>6820 LYONS AVE,Houston,TX</v>
      </c>
      <c r="D3191" s="51" t="s">
        <v>461</v>
      </c>
      <c r="E3191" s="23" t="s">
        <v>25</v>
      </c>
      <c r="F3191" s="23" t="s">
        <v>1388</v>
      </c>
      <c r="G3191" s="31" t="s">
        <v>86</v>
      </c>
      <c r="H3191" s="43" t="s">
        <v>5055</v>
      </c>
      <c r="I3191" s="37" t="str">
        <f>VLOOKUP(H3191,'Flow Location'!$A$1:$B$21,2,FALSE)</f>
        <v>Storm Sewer (not contained)</v>
      </c>
      <c r="J3191" s="52">
        <v>980.0</v>
      </c>
      <c r="K3191" s="51" t="s">
        <v>29</v>
      </c>
      <c r="L3191" s="37" t="str">
        <f>VLOOKUP(K3191,'Structure type'!$A$1:$B$15,2,FALSE)</f>
        <v>Manhole</v>
      </c>
      <c r="M3191" s="51" t="s">
        <v>1174</v>
      </c>
      <c r="N3191" s="23" t="str">
        <f>VLOOKUP(M3191,'Excursion Cause'!$A$1:$B$34,2,FALSE)</f>
        <v>Collection system wet weather</v>
      </c>
      <c r="O3191" s="53">
        <v>45260.0</v>
      </c>
      <c r="P3191" s="54">
        <v>0.7375</v>
      </c>
      <c r="Q3191" s="55">
        <v>45260.0</v>
      </c>
      <c r="R3191" s="54">
        <v>0.8055555555555556</v>
      </c>
      <c r="S3191" s="52">
        <v>10.0</v>
      </c>
      <c r="T3191" s="51" t="s">
        <v>118</v>
      </c>
      <c r="U3191" s="56"/>
      <c r="V3191" s="56"/>
      <c r="W3191" s="35">
        <v>29.7763237</v>
      </c>
      <c r="X3191" s="35">
        <v>-95.3015022</v>
      </c>
      <c r="AA3191" s="33"/>
      <c r="AB3191" s="33"/>
      <c r="AC3191" s="33"/>
      <c r="AD3191" s="33"/>
      <c r="AE3191" s="33"/>
      <c r="AF3191" s="33"/>
      <c r="AG3191" s="33"/>
      <c r="AH3191" s="33"/>
      <c r="AI3191" s="33"/>
      <c r="AJ3191" s="33"/>
      <c r="AK3191" s="33"/>
      <c r="AL3191" s="33"/>
      <c r="AM3191" s="33"/>
      <c r="AN3191" s="33"/>
      <c r="AO3191" s="33"/>
    </row>
    <row r="3192" ht="15.75" customHeight="1">
      <c r="A3192" s="50">
        <v>54935.0</v>
      </c>
      <c r="B3192" s="23">
        <v>2023.0</v>
      </c>
      <c r="C3192" s="36" t="str">
        <f t="shared" si="7"/>
        <v>8007 CAPITOL ST,Houston,TX</v>
      </c>
      <c r="D3192" s="51" t="s">
        <v>1264</v>
      </c>
      <c r="E3192" s="23" t="s">
        <v>25</v>
      </c>
      <c r="F3192" s="23" t="s">
        <v>1388</v>
      </c>
      <c r="G3192" s="31" t="s">
        <v>365</v>
      </c>
      <c r="H3192" s="58" t="s">
        <v>44</v>
      </c>
      <c r="I3192" s="37" t="str">
        <f>VLOOKUP(H3192,'Flow Location'!$A$1:$B$21,2,FALSE)</f>
        <v>Bayou/surface water/drainage ditch</v>
      </c>
      <c r="J3192" s="52">
        <v>0.0</v>
      </c>
      <c r="K3192" s="51" t="s">
        <v>45</v>
      </c>
      <c r="L3192" s="37" t="str">
        <f>VLOOKUP(K3192,'Structure type'!$A$1:$B$15,2,FALSE)</f>
        <v>City Cleanout</v>
      </c>
      <c r="M3192" s="51" t="s">
        <v>56</v>
      </c>
      <c r="N3192" s="23" t="str">
        <f>VLOOKUP(M3192,'Excursion Cause'!$A$1:$B$34,2,FALSE)</f>
        <v>Rags/Wipes</v>
      </c>
      <c r="O3192" s="53">
        <v>45261.0</v>
      </c>
      <c r="P3192" s="30">
        <v>0.3645833333333333</v>
      </c>
      <c r="Q3192" s="29">
        <v>45261.0</v>
      </c>
      <c r="R3192" s="30">
        <v>0.36527777777777776</v>
      </c>
      <c r="S3192" s="59">
        <v>0.0</v>
      </c>
      <c r="T3192" s="23" t="s">
        <v>1473</v>
      </c>
      <c r="U3192" s="56"/>
      <c r="V3192" s="56"/>
      <c r="W3192" s="35">
        <v>29.7281915</v>
      </c>
      <c r="X3192" s="35">
        <v>-95.2823011</v>
      </c>
      <c r="AA3192" s="33"/>
      <c r="AB3192" s="33"/>
      <c r="AC3192" s="33"/>
      <c r="AD3192" s="33"/>
      <c r="AE3192" s="33"/>
      <c r="AF3192" s="33"/>
      <c r="AG3192" s="33"/>
      <c r="AH3192" s="33"/>
      <c r="AI3192" s="33"/>
      <c r="AJ3192" s="33"/>
      <c r="AK3192" s="33"/>
      <c r="AL3192" s="33"/>
      <c r="AM3192" s="33"/>
      <c r="AN3192" s="33"/>
      <c r="AO3192" s="33"/>
    </row>
    <row r="3193" ht="15.75" customHeight="1">
      <c r="A3193" s="50">
        <v>54938.0</v>
      </c>
      <c r="B3193" s="23">
        <v>2023.0</v>
      </c>
      <c r="C3193" s="36" t="str">
        <f t="shared" si="7"/>
        <v>6107 IRONSIDE TURN DR,Houston,TX</v>
      </c>
      <c r="D3193" s="51" t="s">
        <v>5056</v>
      </c>
      <c r="E3193" s="23" t="s">
        <v>25</v>
      </c>
      <c r="F3193" s="23" t="s">
        <v>1388</v>
      </c>
      <c r="G3193" s="31" t="s">
        <v>517</v>
      </c>
      <c r="H3193" s="58" t="s">
        <v>50</v>
      </c>
      <c r="I3193" s="37" t="str">
        <f>VLOOKUP(H3193,'Flow Location'!$A$1:$B$21,2,FALSE)</f>
        <v>Contained On Site, not within 5 ft. of Bayou/Surface Water/Drainage Ditch</v>
      </c>
      <c r="J3193" s="52">
        <v>1632.0</v>
      </c>
      <c r="K3193" s="51" t="s">
        <v>29</v>
      </c>
      <c r="L3193" s="37" t="str">
        <f>VLOOKUP(K3193,'Structure type'!$A$1:$B$15,2,FALSE)</f>
        <v>Manhole</v>
      </c>
      <c r="M3193" s="51" t="s">
        <v>30</v>
      </c>
      <c r="N3193" s="23" t="str">
        <f>VLOOKUP(M3193,'Excursion Cause'!$A$1:$B$34,2,FALSE)</f>
        <v>Grease Blockage</v>
      </c>
      <c r="O3193" s="53">
        <v>45261.0</v>
      </c>
      <c r="P3193" s="30">
        <v>0.39444444444444443</v>
      </c>
      <c r="Q3193" s="29">
        <v>45262.0</v>
      </c>
      <c r="R3193" s="30">
        <v>0.5277777777777778</v>
      </c>
      <c r="S3193" s="59">
        <v>1.0</v>
      </c>
      <c r="T3193" s="23" t="s">
        <v>3749</v>
      </c>
      <c r="U3193" s="56"/>
      <c r="V3193" s="56"/>
      <c r="W3193" s="35">
        <v>29.5985477</v>
      </c>
      <c r="X3193" s="35">
        <v>-95.4757535999999</v>
      </c>
      <c r="AA3193" s="33"/>
      <c r="AB3193" s="33"/>
      <c r="AC3193" s="33"/>
      <c r="AD3193" s="33"/>
      <c r="AE3193" s="33"/>
      <c r="AF3193" s="33"/>
      <c r="AG3193" s="33"/>
      <c r="AH3193" s="33"/>
      <c r="AI3193" s="33"/>
      <c r="AJ3193" s="33"/>
      <c r="AK3193" s="33"/>
      <c r="AL3193" s="33"/>
      <c r="AM3193" s="33"/>
      <c r="AN3193" s="33"/>
      <c r="AO3193" s="33"/>
    </row>
    <row r="3194" ht="15.75" customHeight="1">
      <c r="A3194" s="50">
        <v>54940.0</v>
      </c>
      <c r="B3194" s="23">
        <v>2023.0</v>
      </c>
      <c r="C3194" s="36" t="str">
        <f t="shared" si="7"/>
        <v>9571 AIRPORT BLVD,Houston,TX</v>
      </c>
      <c r="D3194" s="51" t="s">
        <v>5057</v>
      </c>
      <c r="E3194" s="23" t="s">
        <v>25</v>
      </c>
      <c r="F3194" s="23" t="s">
        <v>1388</v>
      </c>
      <c r="G3194" s="31" t="s">
        <v>398</v>
      </c>
      <c r="H3194" s="58" t="s">
        <v>50</v>
      </c>
      <c r="I3194" s="37" t="str">
        <f>VLOOKUP(H3194,'Flow Location'!$A$1:$B$21,2,FALSE)</f>
        <v>Contained On Site, not within 5 ft. of Bayou/Surface Water/Drainage Ditch</v>
      </c>
      <c r="J3194" s="52">
        <v>0.0</v>
      </c>
      <c r="K3194" s="51" t="s">
        <v>45</v>
      </c>
      <c r="L3194" s="37" t="str">
        <f>VLOOKUP(K3194,'Structure type'!$A$1:$B$15,2,FALSE)</f>
        <v>City Cleanout</v>
      </c>
      <c r="M3194" s="51" t="s">
        <v>30</v>
      </c>
      <c r="N3194" s="23" t="str">
        <f>VLOOKUP(M3194,'Excursion Cause'!$A$1:$B$34,2,FALSE)</f>
        <v>Grease Blockage</v>
      </c>
      <c r="O3194" s="53">
        <v>45261.0</v>
      </c>
      <c r="P3194" s="30">
        <v>0.5590277777777778</v>
      </c>
      <c r="Q3194" s="29">
        <v>45261.0</v>
      </c>
      <c r="R3194" s="30">
        <v>0.5597222222222222</v>
      </c>
      <c r="S3194" s="59">
        <v>0.0</v>
      </c>
      <c r="T3194" s="23" t="s">
        <v>3743</v>
      </c>
      <c r="U3194" s="56"/>
      <c r="V3194" s="56"/>
      <c r="W3194" s="35">
        <v>29.6523755</v>
      </c>
      <c r="X3194" s="35">
        <v>-95.2517824999999</v>
      </c>
      <c r="AA3194" s="33"/>
      <c r="AB3194" s="33"/>
      <c r="AC3194" s="33"/>
      <c r="AD3194" s="33"/>
      <c r="AE3194" s="33"/>
      <c r="AF3194" s="33"/>
      <c r="AG3194" s="33"/>
      <c r="AH3194" s="33"/>
      <c r="AI3194" s="33"/>
      <c r="AJ3194" s="33"/>
      <c r="AK3194" s="33"/>
      <c r="AL3194" s="33"/>
      <c r="AM3194" s="33"/>
      <c r="AN3194" s="33"/>
      <c r="AO3194" s="33"/>
    </row>
    <row r="3195" ht="15.75" customHeight="1">
      <c r="A3195" s="50">
        <v>54941.0</v>
      </c>
      <c r="B3195" s="23">
        <v>2023.0</v>
      </c>
      <c r="C3195" s="36" t="str">
        <f t="shared" si="7"/>
        <v>4437 CANAL ST,Houston,TX</v>
      </c>
      <c r="D3195" s="51" t="s">
        <v>1223</v>
      </c>
      <c r="E3195" s="23" t="s">
        <v>25</v>
      </c>
      <c r="F3195" s="23" t="s">
        <v>1388</v>
      </c>
      <c r="G3195" s="31" t="s">
        <v>227</v>
      </c>
      <c r="H3195" s="58" t="s">
        <v>50</v>
      </c>
      <c r="I3195" s="37" t="str">
        <f>VLOOKUP(H3195,'Flow Location'!$A$1:$B$21,2,FALSE)</f>
        <v>Contained On Site, not within 5 ft. of Bayou/Surface Water/Drainage Ditch</v>
      </c>
      <c r="J3195" s="52">
        <v>0.0</v>
      </c>
      <c r="K3195" s="51" t="s">
        <v>29</v>
      </c>
      <c r="L3195" s="37" t="str">
        <f>VLOOKUP(K3195,'Structure type'!$A$1:$B$15,2,FALSE)</f>
        <v>Manhole</v>
      </c>
      <c r="M3195" s="51" t="s">
        <v>30</v>
      </c>
      <c r="N3195" s="23" t="str">
        <f>VLOOKUP(M3195,'Excursion Cause'!$A$1:$B$34,2,FALSE)</f>
        <v>Grease Blockage</v>
      </c>
      <c r="O3195" s="53">
        <v>45261.0</v>
      </c>
      <c r="P3195" s="30">
        <v>0.5881944444444445</v>
      </c>
      <c r="Q3195" s="29">
        <v>45261.0</v>
      </c>
      <c r="R3195" s="30">
        <v>0.5888888888888889</v>
      </c>
      <c r="S3195" s="59">
        <v>0.0</v>
      </c>
      <c r="T3195" s="23" t="s">
        <v>1462</v>
      </c>
      <c r="U3195" s="56"/>
      <c r="V3195" s="56"/>
      <c r="W3195" s="35">
        <v>29.7488467</v>
      </c>
      <c r="X3195" s="35">
        <v>-95.3289726</v>
      </c>
      <c r="AA3195" s="33"/>
      <c r="AB3195" s="33"/>
      <c r="AC3195" s="33"/>
      <c r="AD3195" s="33"/>
      <c r="AE3195" s="33"/>
      <c r="AF3195" s="33"/>
      <c r="AG3195" s="33"/>
      <c r="AH3195" s="33"/>
      <c r="AI3195" s="33"/>
      <c r="AJ3195" s="33"/>
      <c r="AK3195" s="33"/>
      <c r="AL3195" s="33"/>
      <c r="AM3195" s="33"/>
      <c r="AN3195" s="33"/>
      <c r="AO3195" s="33"/>
    </row>
    <row r="3196" ht="15.75" customHeight="1">
      <c r="A3196" s="50">
        <v>54942.0</v>
      </c>
      <c r="B3196" s="23">
        <v>2023.0</v>
      </c>
      <c r="C3196" s="36" t="str">
        <f t="shared" si="7"/>
        <v>8927 GREEN RIVER DR,Houston,TX</v>
      </c>
      <c r="D3196" s="51" t="s">
        <v>5058</v>
      </c>
      <c r="E3196" s="23" t="s">
        <v>25</v>
      </c>
      <c r="F3196" s="23" t="s">
        <v>1388</v>
      </c>
      <c r="G3196" s="31" t="s">
        <v>387</v>
      </c>
      <c r="H3196" s="58" t="s">
        <v>44</v>
      </c>
      <c r="I3196" s="37" t="str">
        <f>VLOOKUP(H3196,'Flow Location'!$A$1:$B$21,2,FALSE)</f>
        <v>Bayou/surface water/drainage ditch</v>
      </c>
      <c r="J3196" s="52">
        <v>0.0</v>
      </c>
      <c r="K3196" s="51" t="s">
        <v>290</v>
      </c>
      <c r="L3196" s="37" t="str">
        <f>VLOOKUP(K3196,'Structure type'!$A$1:$B$15,2,FALSE)</f>
        <v>Gravity Main</v>
      </c>
      <c r="M3196" s="51" t="s">
        <v>96</v>
      </c>
      <c r="N3196" s="23" t="str">
        <f>VLOOKUP(M3196,'Excursion Cause'!$A$1:$B$34,2,FALSE)</f>
        <v>Collection system temporary blockage</v>
      </c>
      <c r="O3196" s="53">
        <v>45261.0</v>
      </c>
      <c r="P3196" s="30">
        <v>0.5611111111111111</v>
      </c>
      <c r="Q3196" s="29">
        <v>45261.0</v>
      </c>
      <c r="R3196" s="30">
        <v>0.6388888888888888</v>
      </c>
      <c r="S3196" s="59">
        <v>0.0</v>
      </c>
      <c r="T3196" s="23" t="s">
        <v>1391</v>
      </c>
      <c r="U3196" s="56"/>
      <c r="V3196" s="56"/>
      <c r="W3196" s="35">
        <v>29.8360707</v>
      </c>
      <c r="X3196" s="35">
        <v>-95.2589093</v>
      </c>
      <c r="AA3196" s="33"/>
      <c r="AB3196" s="33"/>
      <c r="AC3196" s="33"/>
      <c r="AD3196" s="33"/>
      <c r="AE3196" s="33"/>
      <c r="AF3196" s="33"/>
      <c r="AG3196" s="33"/>
      <c r="AH3196" s="33"/>
      <c r="AI3196" s="33"/>
      <c r="AJ3196" s="33"/>
      <c r="AK3196" s="33"/>
      <c r="AL3196" s="33"/>
      <c r="AM3196" s="33"/>
      <c r="AN3196" s="33"/>
      <c r="AO3196" s="33"/>
    </row>
    <row r="3197" ht="15.75" customHeight="1">
      <c r="A3197" s="50">
        <v>54946.0</v>
      </c>
      <c r="B3197" s="23">
        <v>2023.0</v>
      </c>
      <c r="C3197" s="36" t="str">
        <f t="shared" si="7"/>
        <v>5028 STIMSON ST,Houston,TX</v>
      </c>
      <c r="D3197" s="51" t="s">
        <v>5059</v>
      </c>
      <c r="E3197" s="23" t="s">
        <v>25</v>
      </c>
      <c r="F3197" s="23" t="s">
        <v>1388</v>
      </c>
      <c r="G3197" s="31" t="s">
        <v>141</v>
      </c>
      <c r="H3197" s="58" t="s">
        <v>50</v>
      </c>
      <c r="I3197" s="37" t="str">
        <f>VLOOKUP(H3197,'Flow Location'!$A$1:$B$21,2,FALSE)</f>
        <v>Contained On Site, not within 5 ft. of Bayou/Surface Water/Drainage Ditch</v>
      </c>
      <c r="J3197" s="52">
        <v>0.0</v>
      </c>
      <c r="K3197" s="51" t="s">
        <v>198</v>
      </c>
      <c r="L3197" s="37" t="str">
        <f>VLOOKUP(K3197,'Structure type'!$A$1:$B$15,2,FALSE)</f>
        <v>Service Lateral</v>
      </c>
      <c r="M3197" s="51" t="s">
        <v>81</v>
      </c>
      <c r="N3197" s="23" t="str">
        <f>VLOOKUP(M3197,'Excursion Cause'!$A$1:$B$34,2,FALSE)</f>
        <v>Collection system structural failure</v>
      </c>
      <c r="O3197" s="53">
        <v>45262.0</v>
      </c>
      <c r="P3197" s="30">
        <v>0.3486111111111111</v>
      </c>
      <c r="Q3197" s="29">
        <v>45262.0</v>
      </c>
      <c r="R3197" s="30">
        <v>0.34930555555555554</v>
      </c>
      <c r="S3197" s="59">
        <v>0.0</v>
      </c>
      <c r="T3197" s="23" t="s">
        <v>118</v>
      </c>
      <c r="U3197" s="56"/>
      <c r="V3197" s="56"/>
      <c r="W3197" s="35">
        <v>29.7333456</v>
      </c>
      <c r="X3197" s="35">
        <v>-95.3256201</v>
      </c>
      <c r="AA3197" s="33"/>
      <c r="AB3197" s="33"/>
      <c r="AC3197" s="33"/>
      <c r="AD3197" s="33"/>
      <c r="AE3197" s="33"/>
      <c r="AF3197" s="33"/>
      <c r="AG3197" s="33"/>
      <c r="AH3197" s="33"/>
      <c r="AI3197" s="33"/>
      <c r="AJ3197" s="33"/>
      <c r="AK3197" s="33"/>
      <c r="AL3197" s="33"/>
      <c r="AM3197" s="33"/>
      <c r="AN3197" s="33"/>
      <c r="AO3197" s="33"/>
    </row>
    <row r="3198" ht="15.75" customHeight="1">
      <c r="A3198" s="50">
        <v>54948.0</v>
      </c>
      <c r="B3198" s="23">
        <v>2023.0</v>
      </c>
      <c r="C3198" s="36" t="str">
        <f t="shared" si="7"/>
        <v>800 WEBSTER ST,Houston,TX</v>
      </c>
      <c r="D3198" s="51" t="s">
        <v>5060</v>
      </c>
      <c r="E3198" s="23" t="s">
        <v>25</v>
      </c>
      <c r="F3198" s="23" t="s">
        <v>1388</v>
      </c>
      <c r="G3198" s="31" t="s">
        <v>463</v>
      </c>
      <c r="H3198" s="58" t="s">
        <v>50</v>
      </c>
      <c r="I3198" s="37" t="str">
        <f>VLOOKUP(H3198,'Flow Location'!$A$1:$B$21,2,FALSE)</f>
        <v>Contained On Site, not within 5 ft. of Bayou/Surface Water/Drainage Ditch</v>
      </c>
      <c r="J3198" s="52">
        <v>0.0</v>
      </c>
      <c r="K3198" s="51" t="s">
        <v>29</v>
      </c>
      <c r="L3198" s="37" t="str">
        <f>VLOOKUP(K3198,'Structure type'!$A$1:$B$15,2,FALSE)</f>
        <v>Manhole</v>
      </c>
      <c r="M3198" s="51" t="s">
        <v>30</v>
      </c>
      <c r="N3198" s="23" t="str">
        <f>VLOOKUP(M3198,'Excursion Cause'!$A$1:$B$34,2,FALSE)</f>
        <v>Grease Blockage</v>
      </c>
      <c r="O3198" s="53">
        <v>45262.0</v>
      </c>
      <c r="P3198" s="30">
        <v>0.5798611111111112</v>
      </c>
      <c r="Q3198" s="29">
        <v>45262.0</v>
      </c>
      <c r="R3198" s="30">
        <v>0.5805555555555556</v>
      </c>
      <c r="S3198" s="59">
        <v>0.0</v>
      </c>
      <c r="T3198" s="23" t="s">
        <v>1462</v>
      </c>
      <c r="U3198" s="56"/>
      <c r="V3198" s="56"/>
      <c r="W3198" s="35">
        <v>29.7487987</v>
      </c>
      <c r="X3198" s="35">
        <v>-95.3735320999999</v>
      </c>
      <c r="AA3198" s="33"/>
      <c r="AB3198" s="33"/>
      <c r="AC3198" s="33"/>
      <c r="AD3198" s="33"/>
      <c r="AE3198" s="33"/>
      <c r="AF3198" s="33"/>
      <c r="AG3198" s="33"/>
      <c r="AH3198" s="33"/>
      <c r="AI3198" s="33"/>
      <c r="AJ3198" s="33"/>
      <c r="AK3198" s="33"/>
      <c r="AL3198" s="33"/>
      <c r="AM3198" s="33"/>
      <c r="AN3198" s="33"/>
      <c r="AO3198" s="33"/>
    </row>
    <row r="3199" ht="15.75" customHeight="1">
      <c r="A3199" s="50">
        <v>54950.0</v>
      </c>
      <c r="B3199" s="23">
        <v>2023.0</v>
      </c>
      <c r="C3199" s="36" t="str">
        <f t="shared" si="7"/>
        <v>13803 POST OAK RD,Houston,TX</v>
      </c>
      <c r="D3199" s="51" t="s">
        <v>5061</v>
      </c>
      <c r="E3199" s="23" t="s">
        <v>25</v>
      </c>
      <c r="F3199" s="23" t="s">
        <v>1388</v>
      </c>
      <c r="G3199" s="31" t="s">
        <v>39</v>
      </c>
      <c r="H3199" s="58" t="s">
        <v>50</v>
      </c>
      <c r="I3199" s="37" t="str">
        <f>VLOOKUP(H3199,'Flow Location'!$A$1:$B$21,2,FALSE)</f>
        <v>Contained On Site, not within 5 ft. of Bayou/Surface Water/Drainage Ditch</v>
      </c>
      <c r="J3199" s="52">
        <v>0.0</v>
      </c>
      <c r="K3199" s="51" t="s">
        <v>45</v>
      </c>
      <c r="L3199" s="37" t="str">
        <f>VLOOKUP(K3199,'Structure type'!$A$1:$B$15,2,FALSE)</f>
        <v>City Cleanout</v>
      </c>
      <c r="M3199" s="51" t="s">
        <v>30</v>
      </c>
      <c r="N3199" s="23" t="str">
        <f>VLOOKUP(M3199,'Excursion Cause'!$A$1:$B$34,2,FALSE)</f>
        <v>Grease Blockage</v>
      </c>
      <c r="O3199" s="53">
        <v>45262.0</v>
      </c>
      <c r="P3199" s="30">
        <v>0.7222222222222222</v>
      </c>
      <c r="Q3199" s="29">
        <v>45262.0</v>
      </c>
      <c r="R3199" s="30">
        <v>0.7229166666666667</v>
      </c>
      <c r="S3199" s="59">
        <v>0.0</v>
      </c>
      <c r="T3199" s="23" t="s">
        <v>3743</v>
      </c>
      <c r="U3199" s="56"/>
      <c r="V3199" s="56"/>
      <c r="W3199" s="35">
        <v>29.6268543</v>
      </c>
      <c r="X3199" s="35">
        <v>-95.4647368</v>
      </c>
      <c r="AA3199" s="33"/>
      <c r="AB3199" s="33"/>
      <c r="AC3199" s="33"/>
      <c r="AD3199" s="33"/>
      <c r="AE3199" s="33"/>
      <c r="AF3199" s="33"/>
      <c r="AG3199" s="33"/>
      <c r="AH3199" s="33"/>
      <c r="AI3199" s="33"/>
      <c r="AJ3199" s="33"/>
      <c r="AK3199" s="33"/>
      <c r="AL3199" s="33"/>
      <c r="AM3199" s="33"/>
      <c r="AN3199" s="33"/>
      <c r="AO3199" s="33"/>
    </row>
    <row r="3200" ht="15.75" customHeight="1">
      <c r="A3200" s="50">
        <v>54951.0</v>
      </c>
      <c r="B3200" s="23">
        <v>2023.0</v>
      </c>
      <c r="C3200" s="36" t="str">
        <f t="shared" si="7"/>
        <v>3724 MINGLEWOOD BLVD,Houston,TX</v>
      </c>
      <c r="D3200" s="51" t="s">
        <v>5062</v>
      </c>
      <c r="E3200" s="23" t="s">
        <v>25</v>
      </c>
      <c r="F3200" s="23" t="s">
        <v>1388</v>
      </c>
      <c r="G3200" s="31" t="s">
        <v>141</v>
      </c>
      <c r="H3200" s="58" t="s">
        <v>50</v>
      </c>
      <c r="I3200" s="37" t="str">
        <f>VLOOKUP(H3200,'Flow Location'!$A$1:$B$21,2,FALSE)</f>
        <v>Contained On Site, not within 5 ft. of Bayou/Surface Water/Drainage Ditch</v>
      </c>
      <c r="J3200" s="52">
        <v>0.0</v>
      </c>
      <c r="K3200" s="51" t="s">
        <v>290</v>
      </c>
      <c r="L3200" s="37" t="str">
        <f>VLOOKUP(K3200,'Structure type'!$A$1:$B$15,2,FALSE)</f>
        <v>Gravity Main</v>
      </c>
      <c r="M3200" s="51" t="s">
        <v>30</v>
      </c>
      <c r="N3200" s="23" t="str">
        <f>VLOOKUP(M3200,'Excursion Cause'!$A$1:$B$34,2,FALSE)</f>
        <v>Grease Blockage</v>
      </c>
      <c r="O3200" s="53">
        <v>45262.0</v>
      </c>
      <c r="P3200" s="30">
        <v>0.5513888888888889</v>
      </c>
      <c r="Q3200" s="29">
        <v>45262.0</v>
      </c>
      <c r="R3200" s="30">
        <v>0.5520833333333334</v>
      </c>
      <c r="S3200" s="59">
        <v>0.0</v>
      </c>
      <c r="T3200" s="23" t="s">
        <v>3749</v>
      </c>
      <c r="U3200" s="56"/>
      <c r="V3200" s="56"/>
      <c r="W3200" s="35">
        <v>29.701269</v>
      </c>
      <c r="X3200" s="35">
        <v>-95.3203597</v>
      </c>
      <c r="AA3200" s="33"/>
      <c r="AB3200" s="33"/>
      <c r="AC3200" s="33"/>
      <c r="AD3200" s="33"/>
      <c r="AE3200" s="33"/>
      <c r="AF3200" s="33"/>
      <c r="AG3200" s="33"/>
      <c r="AH3200" s="33"/>
      <c r="AI3200" s="33"/>
      <c r="AJ3200" s="33"/>
      <c r="AK3200" s="33"/>
      <c r="AL3200" s="33"/>
      <c r="AM3200" s="33"/>
      <c r="AN3200" s="33"/>
      <c r="AO3200" s="33"/>
    </row>
    <row r="3201" ht="15.75" customHeight="1">
      <c r="A3201" s="50">
        <v>54960.0</v>
      </c>
      <c r="B3201" s="23">
        <v>2023.0</v>
      </c>
      <c r="C3201" s="36" t="str">
        <f t="shared" si="7"/>
        <v>7714 SHERMAN ST,Houston,TX</v>
      </c>
      <c r="D3201" s="51" t="s">
        <v>5063</v>
      </c>
      <c r="E3201" s="23" t="s">
        <v>25</v>
      </c>
      <c r="F3201" s="23" t="s">
        <v>1388</v>
      </c>
      <c r="G3201" s="31" t="s">
        <v>365</v>
      </c>
      <c r="H3201" s="58" t="s">
        <v>50</v>
      </c>
      <c r="I3201" s="37" t="str">
        <f>VLOOKUP(H3201,'Flow Location'!$A$1:$B$21,2,FALSE)</f>
        <v>Contained On Site, not within 5 ft. of Bayou/Surface Water/Drainage Ditch</v>
      </c>
      <c r="J3201" s="52">
        <v>0.0</v>
      </c>
      <c r="K3201" s="51" t="s">
        <v>45</v>
      </c>
      <c r="L3201" s="37" t="str">
        <f>VLOOKUP(K3201,'Structure type'!$A$1:$B$15,2,FALSE)</f>
        <v>City Cleanout</v>
      </c>
      <c r="M3201" s="51" t="s">
        <v>30</v>
      </c>
      <c r="N3201" s="23" t="str">
        <f>VLOOKUP(M3201,'Excursion Cause'!$A$1:$B$34,2,FALSE)</f>
        <v>Grease Blockage</v>
      </c>
      <c r="O3201" s="53">
        <v>45263.0</v>
      </c>
      <c r="P3201" s="30">
        <v>0.6840277777777778</v>
      </c>
      <c r="Q3201" s="29">
        <v>45263.0</v>
      </c>
      <c r="R3201" s="30">
        <v>0.6847222222222222</v>
      </c>
      <c r="S3201" s="59">
        <v>0.0</v>
      </c>
      <c r="T3201" s="23" t="s">
        <v>1436</v>
      </c>
      <c r="U3201" s="56"/>
      <c r="V3201" s="56"/>
      <c r="W3201" s="35">
        <v>29.7328389</v>
      </c>
      <c r="X3201" s="35">
        <v>-95.2868621</v>
      </c>
      <c r="AA3201" s="33"/>
      <c r="AB3201" s="33"/>
      <c r="AC3201" s="33"/>
      <c r="AD3201" s="33"/>
      <c r="AE3201" s="33"/>
      <c r="AF3201" s="33"/>
      <c r="AG3201" s="33"/>
      <c r="AH3201" s="33"/>
      <c r="AI3201" s="33"/>
      <c r="AJ3201" s="33"/>
      <c r="AK3201" s="33"/>
      <c r="AL3201" s="33"/>
      <c r="AM3201" s="33"/>
      <c r="AN3201" s="33"/>
      <c r="AO3201" s="33"/>
    </row>
    <row r="3202" ht="15.75" customHeight="1">
      <c r="A3202" s="50">
        <v>54965.0</v>
      </c>
      <c r="B3202" s="23">
        <v>2023.0</v>
      </c>
      <c r="C3202" s="36" t="str">
        <f t="shared" si="7"/>
        <v>9403 BENBOW PARK LN,Houston,TX</v>
      </c>
      <c r="D3202" s="51" t="s">
        <v>5024</v>
      </c>
      <c r="E3202" s="23" t="s">
        <v>25</v>
      </c>
      <c r="F3202" s="23" t="s">
        <v>1388</v>
      </c>
      <c r="G3202" s="31" t="s">
        <v>294</v>
      </c>
      <c r="H3202" s="58" t="s">
        <v>50</v>
      </c>
      <c r="I3202" s="37" t="str">
        <f>VLOOKUP(H3202,'Flow Location'!$A$1:$B$21,2,FALSE)</f>
        <v>Contained On Site, not within 5 ft. of Bayou/Surface Water/Drainage Ditch</v>
      </c>
      <c r="J3202" s="52">
        <v>1621.0</v>
      </c>
      <c r="K3202" s="51" t="s">
        <v>29</v>
      </c>
      <c r="L3202" s="37" t="str">
        <f>VLOOKUP(K3202,'Structure type'!$A$1:$B$15,2,FALSE)</f>
        <v>Manhole</v>
      </c>
      <c r="M3202" s="51" t="s">
        <v>30</v>
      </c>
      <c r="N3202" s="23" t="str">
        <f>VLOOKUP(M3202,'Excursion Cause'!$A$1:$B$34,2,FALSE)</f>
        <v>Grease Blockage</v>
      </c>
      <c r="O3202" s="53">
        <v>45264.0</v>
      </c>
      <c r="P3202" s="30">
        <v>0.4173611111111111</v>
      </c>
      <c r="Q3202" s="29">
        <v>45265.0</v>
      </c>
      <c r="R3202" s="30">
        <v>0.5430555555555555</v>
      </c>
      <c r="S3202" s="59">
        <v>1.0</v>
      </c>
      <c r="T3202" s="23" t="s">
        <v>1462</v>
      </c>
      <c r="U3202" s="56"/>
      <c r="V3202" s="56"/>
      <c r="W3202" s="35">
        <v>29.8003888</v>
      </c>
      <c r="X3202" s="35">
        <v>-95.5225473</v>
      </c>
      <c r="AA3202" s="33"/>
      <c r="AB3202" s="33"/>
      <c r="AC3202" s="33"/>
      <c r="AD3202" s="33"/>
      <c r="AE3202" s="33"/>
      <c r="AF3202" s="33"/>
      <c r="AG3202" s="33"/>
      <c r="AH3202" s="33"/>
      <c r="AI3202" s="33"/>
      <c r="AJ3202" s="33"/>
      <c r="AK3202" s="33"/>
      <c r="AL3202" s="33"/>
      <c r="AM3202" s="33"/>
      <c r="AN3202" s="33"/>
      <c r="AO3202" s="33"/>
    </row>
    <row r="3203" ht="15.75" customHeight="1">
      <c r="A3203" s="50">
        <v>54966.0</v>
      </c>
      <c r="B3203" s="23">
        <v>2023.0</v>
      </c>
      <c r="C3203" s="36" t="str">
        <f t="shared" si="7"/>
        <v>1415 MILFORD ST,Houston,TX</v>
      </c>
      <c r="D3203" s="51" t="s">
        <v>5064</v>
      </c>
      <c r="E3203" s="23" t="s">
        <v>25</v>
      </c>
      <c r="F3203" s="23" t="s">
        <v>1388</v>
      </c>
      <c r="G3203" s="31" t="s">
        <v>761</v>
      </c>
      <c r="H3203" s="58" t="s">
        <v>28</v>
      </c>
      <c r="I3203" s="37" t="str">
        <f>VLOOKUP(H3203,'Flow Location'!$A$1:$B$21,2,FALSE)</f>
        <v>Storm Sewer (not contained)</v>
      </c>
      <c r="J3203" s="52">
        <v>2065.0</v>
      </c>
      <c r="K3203" s="51" t="s">
        <v>45</v>
      </c>
      <c r="L3203" s="37" t="str">
        <f>VLOOKUP(K3203,'Structure type'!$A$1:$B$15,2,FALSE)</f>
        <v>City Cleanout</v>
      </c>
      <c r="M3203" s="51" t="s">
        <v>52</v>
      </c>
      <c r="N3203" s="23" t="str">
        <f>VLOOKUP(M3203,'Excursion Cause'!$A$1:$B$34,2,FALSE)</f>
        <v>Collection system structural blockage</v>
      </c>
      <c r="O3203" s="53">
        <v>45264.0</v>
      </c>
      <c r="P3203" s="30">
        <v>0.35138888888888886</v>
      </c>
      <c r="Q3203" s="29">
        <v>45265.0</v>
      </c>
      <c r="R3203" s="30">
        <v>0.7847222222222222</v>
      </c>
      <c r="S3203" s="59">
        <v>1.0</v>
      </c>
      <c r="T3203" s="23" t="s">
        <v>3745</v>
      </c>
      <c r="U3203" s="56"/>
      <c r="V3203" s="56"/>
      <c r="W3203" s="35">
        <v>29.7288881</v>
      </c>
      <c r="X3203" s="35">
        <v>-95.3968507</v>
      </c>
      <c r="AA3203" s="33"/>
      <c r="AB3203" s="33"/>
      <c r="AC3203" s="33"/>
      <c r="AD3203" s="33"/>
      <c r="AE3203" s="33"/>
      <c r="AF3203" s="33"/>
      <c r="AG3203" s="33"/>
      <c r="AH3203" s="33"/>
      <c r="AI3203" s="33"/>
      <c r="AJ3203" s="33"/>
      <c r="AK3203" s="33"/>
      <c r="AL3203" s="33"/>
      <c r="AM3203" s="33"/>
      <c r="AN3203" s="33"/>
      <c r="AO3203" s="33"/>
    </row>
    <row r="3204" ht="15.75" customHeight="1">
      <c r="A3204" s="50">
        <v>54968.0</v>
      </c>
      <c r="B3204" s="23">
        <v>2023.0</v>
      </c>
      <c r="C3204" s="36" t="str">
        <f t="shared" si="7"/>
        <v>5942 SOUTHVILLE ST,Houston,TX</v>
      </c>
      <c r="D3204" s="51" t="s">
        <v>5065</v>
      </c>
      <c r="E3204" s="23" t="s">
        <v>25</v>
      </c>
      <c r="F3204" s="23" t="s">
        <v>1388</v>
      </c>
      <c r="G3204" s="31" t="s">
        <v>120</v>
      </c>
      <c r="H3204" s="58" t="s">
        <v>1493</v>
      </c>
      <c r="I3204" s="37" t="str">
        <f>VLOOKUP(H3204,'Flow Location'!$A$1:$B$21,2,FALSE)</f>
        <v>Contained On Site, not within 5 ft. of Bayou/Surface Water/Drainage Ditch</v>
      </c>
      <c r="J3204" s="52">
        <v>0.0</v>
      </c>
      <c r="K3204" s="51" t="s">
        <v>290</v>
      </c>
      <c r="L3204" s="37" t="str">
        <f>VLOOKUP(K3204,'Structure type'!$A$1:$B$15,2,FALSE)</f>
        <v>Gravity Main</v>
      </c>
      <c r="M3204" s="51" t="s">
        <v>56</v>
      </c>
      <c r="N3204" s="23" t="str">
        <f>VLOOKUP(M3204,'Excursion Cause'!$A$1:$B$34,2,FALSE)</f>
        <v>Rags/Wipes</v>
      </c>
      <c r="O3204" s="53">
        <v>45264.0</v>
      </c>
      <c r="P3204" s="30">
        <v>0.44305555555555554</v>
      </c>
      <c r="Q3204" s="29">
        <v>45264.0</v>
      </c>
      <c r="R3204" s="30">
        <v>0.44375</v>
      </c>
      <c r="S3204" s="59">
        <v>0.0</v>
      </c>
      <c r="T3204" s="23" t="s">
        <v>1462</v>
      </c>
      <c r="U3204" s="56"/>
      <c r="V3204" s="56"/>
      <c r="W3204" s="35">
        <v>29.6813147</v>
      </c>
      <c r="X3204" s="35">
        <v>-95.3297489999999</v>
      </c>
      <c r="AA3204" s="33"/>
      <c r="AB3204" s="33"/>
      <c r="AC3204" s="33"/>
      <c r="AD3204" s="33"/>
      <c r="AE3204" s="33"/>
      <c r="AF3204" s="33"/>
      <c r="AG3204" s="33"/>
      <c r="AH3204" s="33"/>
      <c r="AI3204" s="33"/>
      <c r="AJ3204" s="33"/>
      <c r="AK3204" s="33"/>
      <c r="AL3204" s="33"/>
      <c r="AM3204" s="33"/>
      <c r="AN3204" s="33"/>
      <c r="AO3204" s="33"/>
    </row>
    <row r="3205" ht="15.75" customHeight="1">
      <c r="A3205" s="50">
        <v>54972.0</v>
      </c>
      <c r="B3205" s="23">
        <v>2023.0</v>
      </c>
      <c r="C3205" s="36" t="str">
        <f t="shared" si="7"/>
        <v>6822 SONGBROOK DR,Houston,TX</v>
      </c>
      <c r="D3205" s="51" t="s">
        <v>5066</v>
      </c>
      <c r="E3205" s="23" t="s">
        <v>25</v>
      </c>
      <c r="F3205" s="23" t="s">
        <v>1388</v>
      </c>
      <c r="G3205" s="31" t="s">
        <v>1218</v>
      </c>
      <c r="H3205" s="58" t="s">
        <v>50</v>
      </c>
      <c r="I3205" s="37" t="str">
        <f>VLOOKUP(H3205,'Flow Location'!$A$1:$B$21,2,FALSE)</f>
        <v>Contained On Site, not within 5 ft. of Bayou/Surface Water/Drainage Ditch</v>
      </c>
      <c r="J3205" s="52">
        <v>0.0</v>
      </c>
      <c r="K3205" s="51" t="s">
        <v>51</v>
      </c>
      <c r="L3205" s="37" t="str">
        <f>VLOOKUP(K3205,'Structure type'!$A$1:$B$15,2,FALSE)</f>
        <v>Private Cleanout</v>
      </c>
      <c r="M3205" s="51" t="s">
        <v>52</v>
      </c>
      <c r="N3205" s="23" t="str">
        <f>VLOOKUP(M3205,'Excursion Cause'!$A$1:$B$34,2,FALSE)</f>
        <v>Collection system structural blockage</v>
      </c>
      <c r="O3205" s="53">
        <v>45264.0</v>
      </c>
      <c r="P3205" s="30">
        <v>0.5333333333333333</v>
      </c>
      <c r="Q3205" s="29">
        <v>45264.0</v>
      </c>
      <c r="R3205" s="30">
        <v>0.5340277777777778</v>
      </c>
      <c r="S3205" s="59">
        <v>0.0</v>
      </c>
      <c r="T3205" s="23" t="s">
        <v>3745</v>
      </c>
      <c r="U3205" s="56"/>
      <c r="V3205" s="56"/>
      <c r="W3205" s="35">
        <v>29.7022944</v>
      </c>
      <c r="X3205" s="35">
        <v>-95.6184624</v>
      </c>
      <c r="AA3205" s="33"/>
      <c r="AB3205" s="33"/>
      <c r="AC3205" s="33"/>
      <c r="AD3205" s="33"/>
      <c r="AE3205" s="33"/>
      <c r="AF3205" s="33"/>
      <c r="AG3205" s="33"/>
      <c r="AH3205" s="33"/>
      <c r="AI3205" s="33"/>
      <c r="AJ3205" s="33"/>
      <c r="AK3205" s="33"/>
      <c r="AL3205" s="33"/>
      <c r="AM3205" s="33"/>
      <c r="AN3205" s="33"/>
      <c r="AO3205" s="33"/>
    </row>
    <row r="3206" ht="15.75" customHeight="1">
      <c r="A3206" s="50">
        <v>54973.0</v>
      </c>
      <c r="B3206" s="23">
        <v>2023.0</v>
      </c>
      <c r="C3206" s="36" t="str">
        <f t="shared" si="7"/>
        <v>2603 NAVIGATION BLVD,Houston,TX</v>
      </c>
      <c r="D3206" s="51" t="s">
        <v>5067</v>
      </c>
      <c r="E3206" s="23" t="s">
        <v>25</v>
      </c>
      <c r="F3206" s="23" t="s">
        <v>1388</v>
      </c>
      <c r="G3206" s="31" t="s">
        <v>172</v>
      </c>
      <c r="H3206" s="58" t="s">
        <v>50</v>
      </c>
      <c r="I3206" s="37" t="str">
        <f>VLOOKUP(H3206,'Flow Location'!$A$1:$B$21,2,FALSE)</f>
        <v>Contained On Site, not within 5 ft. of Bayou/Surface Water/Drainage Ditch</v>
      </c>
      <c r="J3206" s="52">
        <v>0.0</v>
      </c>
      <c r="K3206" s="51" t="s">
        <v>45</v>
      </c>
      <c r="L3206" s="37" t="str">
        <f>VLOOKUP(K3206,'Structure type'!$A$1:$B$15,2,FALSE)</f>
        <v>City Cleanout</v>
      </c>
      <c r="M3206" s="51" t="s">
        <v>56</v>
      </c>
      <c r="N3206" s="23" t="str">
        <f>VLOOKUP(M3206,'Excursion Cause'!$A$1:$B$34,2,FALSE)</f>
        <v>Rags/Wipes</v>
      </c>
      <c r="O3206" s="53">
        <v>45264.0</v>
      </c>
      <c r="P3206" s="30">
        <v>0.5388888888888889</v>
      </c>
      <c r="Q3206" s="29">
        <v>45264.0</v>
      </c>
      <c r="R3206" s="30">
        <v>0.5395833333333333</v>
      </c>
      <c r="S3206" s="59">
        <v>0.0</v>
      </c>
      <c r="T3206" s="23" t="s">
        <v>1473</v>
      </c>
      <c r="U3206" s="56"/>
      <c r="V3206" s="56"/>
      <c r="W3206" s="35">
        <v>29.7577806</v>
      </c>
      <c r="X3206" s="35">
        <v>-95.3430229</v>
      </c>
      <c r="AA3206" s="33"/>
      <c r="AB3206" s="33"/>
      <c r="AC3206" s="33"/>
      <c r="AD3206" s="33"/>
      <c r="AE3206" s="33"/>
      <c r="AF3206" s="33"/>
      <c r="AG3206" s="33"/>
      <c r="AH3206" s="33"/>
      <c r="AI3206" s="33"/>
      <c r="AJ3206" s="33"/>
      <c r="AK3206" s="33"/>
      <c r="AL3206" s="33"/>
      <c r="AM3206" s="33"/>
      <c r="AN3206" s="33"/>
      <c r="AO3206" s="33"/>
    </row>
    <row r="3207" ht="15.75" customHeight="1">
      <c r="A3207" s="50">
        <v>54975.0</v>
      </c>
      <c r="B3207" s="23">
        <v>2023.0</v>
      </c>
      <c r="C3207" s="36" t="str">
        <f t="shared" si="7"/>
        <v>9010 BEECHNUT ST,Houston,TX</v>
      </c>
      <c r="D3207" s="51" t="s">
        <v>5068</v>
      </c>
      <c r="E3207" s="23" t="s">
        <v>25</v>
      </c>
      <c r="F3207" s="23" t="s">
        <v>1388</v>
      </c>
      <c r="G3207" s="31" t="s">
        <v>100</v>
      </c>
      <c r="H3207" s="58" t="s">
        <v>28</v>
      </c>
      <c r="I3207" s="37" t="str">
        <f>VLOOKUP(H3207,'Flow Location'!$A$1:$B$21,2,FALSE)</f>
        <v>Storm Sewer (not contained)</v>
      </c>
      <c r="J3207" s="52">
        <v>5404.0</v>
      </c>
      <c r="K3207" s="51" t="s">
        <v>29</v>
      </c>
      <c r="L3207" s="37" t="str">
        <f>VLOOKUP(K3207,'Structure type'!$A$1:$B$15,2,FALSE)</f>
        <v>Manhole</v>
      </c>
      <c r="M3207" s="51" t="s">
        <v>30</v>
      </c>
      <c r="N3207" s="23" t="str">
        <f>VLOOKUP(M3207,'Excursion Cause'!$A$1:$B$34,2,FALSE)</f>
        <v>Grease Blockage</v>
      </c>
      <c r="O3207" s="53">
        <v>45264.0</v>
      </c>
      <c r="P3207" s="30">
        <v>0.5625</v>
      </c>
      <c r="Q3207" s="29">
        <v>45266.0</v>
      </c>
      <c r="R3207" s="30">
        <v>0.4388888888888889</v>
      </c>
      <c r="S3207" s="59">
        <v>2.0</v>
      </c>
      <c r="T3207" s="23" t="s">
        <v>1462</v>
      </c>
      <c r="U3207" s="56"/>
      <c r="V3207" s="56"/>
      <c r="W3207" s="35">
        <v>29.6910546</v>
      </c>
      <c r="X3207" s="35">
        <v>-95.5424316</v>
      </c>
      <c r="AA3207" s="33"/>
      <c r="AB3207" s="33"/>
      <c r="AC3207" s="33"/>
      <c r="AD3207" s="33"/>
      <c r="AE3207" s="33"/>
      <c r="AF3207" s="33"/>
      <c r="AG3207" s="33"/>
      <c r="AH3207" s="33"/>
      <c r="AI3207" s="33"/>
      <c r="AJ3207" s="33"/>
      <c r="AK3207" s="33"/>
      <c r="AL3207" s="33"/>
      <c r="AM3207" s="33"/>
      <c r="AN3207" s="33"/>
      <c r="AO3207" s="33"/>
    </row>
    <row r="3208" ht="15.75" customHeight="1">
      <c r="A3208" s="50">
        <v>54976.0</v>
      </c>
      <c r="B3208" s="23">
        <v>2023.0</v>
      </c>
      <c r="C3208" s="36" t="str">
        <f t="shared" si="7"/>
        <v>12015 CIRCLE DR,Houston,TX</v>
      </c>
      <c r="D3208" s="51" t="s">
        <v>1257</v>
      </c>
      <c r="E3208" s="23" t="s">
        <v>25</v>
      </c>
      <c r="F3208" s="23" t="s">
        <v>1388</v>
      </c>
      <c r="G3208" s="31" t="s">
        <v>49</v>
      </c>
      <c r="H3208" s="58" t="s">
        <v>50</v>
      </c>
      <c r="I3208" s="37" t="str">
        <f>VLOOKUP(H3208,'Flow Location'!$A$1:$B$21,2,FALSE)</f>
        <v>Contained On Site, not within 5 ft. of Bayou/Surface Water/Drainage Ditch</v>
      </c>
      <c r="J3208" s="52">
        <v>0.0</v>
      </c>
      <c r="K3208" s="51" t="s">
        <v>29</v>
      </c>
      <c r="L3208" s="37" t="str">
        <f>VLOOKUP(K3208,'Structure type'!$A$1:$B$15,2,FALSE)</f>
        <v>Manhole</v>
      </c>
      <c r="M3208" s="51" t="s">
        <v>30</v>
      </c>
      <c r="N3208" s="23" t="str">
        <f>VLOOKUP(M3208,'Excursion Cause'!$A$1:$B$34,2,FALSE)</f>
        <v>Grease Blockage</v>
      </c>
      <c r="O3208" s="53">
        <v>45264.0</v>
      </c>
      <c r="P3208" s="30">
        <v>0.5979166666666667</v>
      </c>
      <c r="Q3208" s="29">
        <v>45264.0</v>
      </c>
      <c r="R3208" s="30">
        <v>0.5986111111111111</v>
      </c>
      <c r="S3208" s="59">
        <v>0.0</v>
      </c>
      <c r="T3208" s="23" t="s">
        <v>3749</v>
      </c>
      <c r="U3208" s="56"/>
      <c r="V3208" s="56"/>
      <c r="W3208" s="35">
        <v>29.6153999</v>
      </c>
      <c r="X3208" s="35">
        <v>-95.172044</v>
      </c>
      <c r="AA3208" s="33"/>
      <c r="AB3208" s="33"/>
      <c r="AC3208" s="33"/>
      <c r="AD3208" s="33"/>
      <c r="AE3208" s="33"/>
      <c r="AF3208" s="33"/>
      <c r="AG3208" s="33"/>
      <c r="AH3208" s="33"/>
      <c r="AI3208" s="33"/>
      <c r="AJ3208" s="33"/>
      <c r="AK3208" s="33"/>
      <c r="AL3208" s="33"/>
      <c r="AM3208" s="33"/>
      <c r="AN3208" s="33"/>
      <c r="AO3208" s="33"/>
    </row>
    <row r="3209" ht="15.75" customHeight="1">
      <c r="A3209" s="50">
        <v>54978.0</v>
      </c>
      <c r="B3209" s="23">
        <v>2023.0</v>
      </c>
      <c r="C3209" s="36" t="str">
        <f t="shared" si="7"/>
        <v>6708 LOZIER ST,Houston,TX</v>
      </c>
      <c r="D3209" s="51" t="s">
        <v>5069</v>
      </c>
      <c r="E3209" s="23" t="s">
        <v>25</v>
      </c>
      <c r="F3209" s="23" t="s">
        <v>1388</v>
      </c>
      <c r="G3209" s="31" t="s">
        <v>238</v>
      </c>
      <c r="H3209" s="58" t="s">
        <v>50</v>
      </c>
      <c r="I3209" s="37" t="str">
        <f>VLOOKUP(H3209,'Flow Location'!$A$1:$B$21,2,FALSE)</f>
        <v>Contained On Site, not within 5 ft. of Bayou/Surface Water/Drainage Ditch</v>
      </c>
      <c r="J3209" s="52">
        <v>0.0</v>
      </c>
      <c r="K3209" s="51" t="s">
        <v>51</v>
      </c>
      <c r="L3209" s="37" t="str">
        <f>VLOOKUP(K3209,'Structure type'!$A$1:$B$15,2,FALSE)</f>
        <v>Private Cleanout</v>
      </c>
      <c r="M3209" s="51" t="s">
        <v>52</v>
      </c>
      <c r="N3209" s="23" t="str">
        <f>VLOOKUP(M3209,'Excursion Cause'!$A$1:$B$34,2,FALSE)</f>
        <v>Collection system structural blockage</v>
      </c>
      <c r="O3209" s="53">
        <v>45264.0</v>
      </c>
      <c r="P3209" s="30">
        <v>0.6069444444444444</v>
      </c>
      <c r="Q3209" s="29">
        <v>45264.0</v>
      </c>
      <c r="R3209" s="30">
        <v>0.6076388888888888</v>
      </c>
      <c r="S3209" s="59">
        <v>0.0</v>
      </c>
      <c r="T3209" s="23" t="s">
        <v>3756</v>
      </c>
      <c r="U3209" s="56"/>
      <c r="V3209" s="56"/>
      <c r="W3209" s="35">
        <v>29.6988706</v>
      </c>
      <c r="X3209" s="35">
        <v>-95.3693847</v>
      </c>
      <c r="AA3209" s="33"/>
      <c r="AB3209" s="33"/>
      <c r="AC3209" s="33"/>
      <c r="AD3209" s="33"/>
      <c r="AE3209" s="33"/>
      <c r="AF3209" s="33"/>
      <c r="AG3209" s="33"/>
      <c r="AH3209" s="33"/>
      <c r="AI3209" s="33"/>
      <c r="AJ3209" s="33"/>
      <c r="AK3209" s="33"/>
      <c r="AL3209" s="33"/>
      <c r="AM3209" s="33"/>
      <c r="AN3209" s="33"/>
      <c r="AO3209" s="33"/>
    </row>
    <row r="3210" ht="15.75" customHeight="1">
      <c r="A3210" s="50">
        <v>54983.0</v>
      </c>
      <c r="B3210" s="23">
        <v>2023.0</v>
      </c>
      <c r="C3210" s="36" t="str">
        <f t="shared" si="7"/>
        <v>7557 MAIN ST,Houston,TX</v>
      </c>
      <c r="D3210" s="51" t="s">
        <v>2558</v>
      </c>
      <c r="E3210" s="23" t="s">
        <v>25</v>
      </c>
      <c r="F3210" s="23" t="s">
        <v>1388</v>
      </c>
      <c r="G3210" s="31" t="s">
        <v>512</v>
      </c>
      <c r="H3210" s="58" t="s">
        <v>50</v>
      </c>
      <c r="I3210" s="37" t="str">
        <f>VLOOKUP(H3210,'Flow Location'!$A$1:$B$21,2,FALSE)</f>
        <v>Contained On Site, not within 5 ft. of Bayou/Surface Water/Drainage Ditch</v>
      </c>
      <c r="J3210" s="52">
        <v>912.0</v>
      </c>
      <c r="K3210" s="51" t="s">
        <v>29</v>
      </c>
      <c r="L3210" s="37" t="str">
        <f>VLOOKUP(K3210,'Structure type'!$A$1:$B$15,2,FALSE)</f>
        <v>Manhole</v>
      </c>
      <c r="M3210" s="51" t="s">
        <v>52</v>
      </c>
      <c r="N3210" s="23" t="str">
        <f>VLOOKUP(M3210,'Excursion Cause'!$A$1:$B$34,2,FALSE)</f>
        <v>Collection system structural blockage</v>
      </c>
      <c r="O3210" s="53">
        <v>45264.0</v>
      </c>
      <c r="P3210" s="30">
        <v>0.6847222222222222</v>
      </c>
      <c r="Q3210" s="29">
        <v>45264.0</v>
      </c>
      <c r="R3210" s="30">
        <v>0.8958333333333334</v>
      </c>
      <c r="S3210" s="59">
        <v>3.0</v>
      </c>
      <c r="T3210" s="23" t="s">
        <v>1462</v>
      </c>
      <c r="U3210" s="56"/>
      <c r="V3210" s="56"/>
      <c r="W3210" s="35">
        <v>29.6980784</v>
      </c>
      <c r="X3210" s="35">
        <v>-95.4110134</v>
      </c>
      <c r="AA3210" s="33"/>
      <c r="AB3210" s="33"/>
      <c r="AC3210" s="33"/>
      <c r="AD3210" s="33"/>
      <c r="AE3210" s="33"/>
      <c r="AF3210" s="33"/>
      <c r="AG3210" s="33"/>
      <c r="AH3210" s="33"/>
      <c r="AI3210" s="33"/>
      <c r="AJ3210" s="33"/>
      <c r="AK3210" s="33"/>
      <c r="AL3210" s="33"/>
      <c r="AM3210" s="33"/>
      <c r="AN3210" s="33"/>
      <c r="AO3210" s="33"/>
    </row>
    <row r="3211" ht="15.75" customHeight="1">
      <c r="A3211" s="50">
        <v>54990.0</v>
      </c>
      <c r="B3211" s="23">
        <v>2023.0</v>
      </c>
      <c r="C3211" s="36" t="str">
        <f t="shared" si="7"/>
        <v>254 OWENS ST,Houston,TX</v>
      </c>
      <c r="D3211" s="51" t="s">
        <v>5070</v>
      </c>
      <c r="E3211" s="23" t="s">
        <v>25</v>
      </c>
      <c r="F3211" s="23" t="s">
        <v>1388</v>
      </c>
      <c r="G3211" s="31" t="s">
        <v>247</v>
      </c>
      <c r="H3211" s="58" t="s">
        <v>50</v>
      </c>
      <c r="I3211" s="37" t="str">
        <f>VLOOKUP(H3211,'Flow Location'!$A$1:$B$21,2,FALSE)</f>
        <v>Contained On Site, not within 5 ft. of Bayou/Surface Water/Drainage Ditch</v>
      </c>
      <c r="J3211" s="52">
        <v>0.0</v>
      </c>
      <c r="K3211" s="51" t="s">
        <v>29</v>
      </c>
      <c r="L3211" s="37" t="str">
        <f>VLOOKUP(K3211,'Structure type'!$A$1:$B$15,2,FALSE)</f>
        <v>Manhole</v>
      </c>
      <c r="M3211" s="51" t="s">
        <v>30</v>
      </c>
      <c r="N3211" s="23" t="str">
        <f>VLOOKUP(M3211,'Excursion Cause'!$A$1:$B$34,2,FALSE)</f>
        <v>Grease Blockage</v>
      </c>
      <c r="O3211" s="53">
        <v>45265.0</v>
      </c>
      <c r="P3211" s="30">
        <v>0.5138888888888888</v>
      </c>
      <c r="Q3211" s="29">
        <v>45265.0</v>
      </c>
      <c r="R3211" s="30">
        <v>0.5145833333333333</v>
      </c>
      <c r="S3211" s="59">
        <v>0.0</v>
      </c>
      <c r="T3211" s="23" t="s">
        <v>1462</v>
      </c>
      <c r="U3211" s="56"/>
      <c r="V3211" s="56"/>
      <c r="W3211" s="35">
        <v>29.7408195</v>
      </c>
      <c r="X3211" s="35">
        <v>-95.2584881</v>
      </c>
      <c r="AA3211" s="33"/>
      <c r="AB3211" s="33"/>
      <c r="AC3211" s="33"/>
      <c r="AD3211" s="33"/>
      <c r="AE3211" s="33"/>
      <c r="AF3211" s="33"/>
      <c r="AG3211" s="33"/>
      <c r="AH3211" s="33"/>
      <c r="AI3211" s="33"/>
      <c r="AJ3211" s="33"/>
      <c r="AK3211" s="33"/>
      <c r="AL3211" s="33"/>
      <c r="AM3211" s="33"/>
      <c r="AN3211" s="33"/>
      <c r="AO3211" s="33"/>
    </row>
    <row r="3212" ht="15.75" customHeight="1">
      <c r="A3212" s="50">
        <v>54995.0</v>
      </c>
      <c r="B3212" s="23">
        <v>2023.0</v>
      </c>
      <c r="C3212" s="36" t="str">
        <f t="shared" si="7"/>
        <v>7615 FAWN TERRACE DR,Houston,TX</v>
      </c>
      <c r="D3212" s="51" t="s">
        <v>3901</v>
      </c>
      <c r="E3212" s="23" t="s">
        <v>25</v>
      </c>
      <c r="F3212" s="23" t="s">
        <v>1388</v>
      </c>
      <c r="G3212" s="31" t="s">
        <v>148</v>
      </c>
      <c r="H3212" s="58" t="s">
        <v>50</v>
      </c>
      <c r="I3212" s="37" t="str">
        <f>VLOOKUP(H3212,'Flow Location'!$A$1:$B$21,2,FALSE)</f>
        <v>Contained On Site, not within 5 ft. of Bayou/Surface Water/Drainage Ditch</v>
      </c>
      <c r="J3212" s="52">
        <v>0.0</v>
      </c>
      <c r="K3212" s="51" t="s">
        <v>51</v>
      </c>
      <c r="L3212" s="37" t="str">
        <f>VLOOKUP(K3212,'Structure type'!$A$1:$B$15,2,FALSE)</f>
        <v>Private Cleanout</v>
      </c>
      <c r="M3212" s="51" t="s">
        <v>30</v>
      </c>
      <c r="N3212" s="23" t="str">
        <f>VLOOKUP(M3212,'Excursion Cause'!$A$1:$B$34,2,FALSE)</f>
        <v>Grease Blockage</v>
      </c>
      <c r="O3212" s="53">
        <v>45265.0</v>
      </c>
      <c r="P3212" s="30">
        <v>0.5236111111111111</v>
      </c>
      <c r="Q3212" s="29">
        <v>45265.0</v>
      </c>
      <c r="R3212" s="30">
        <v>0.5243055555555556</v>
      </c>
      <c r="S3212" s="59">
        <v>0.0</v>
      </c>
      <c r="T3212" s="23" t="s">
        <v>3749</v>
      </c>
      <c r="U3212" s="56"/>
      <c r="V3212" s="56"/>
      <c r="W3212" s="35">
        <v>29.6462211</v>
      </c>
      <c r="X3212" s="35">
        <v>-95.5110912999999</v>
      </c>
      <c r="AA3212" s="33"/>
      <c r="AB3212" s="33"/>
      <c r="AC3212" s="33"/>
      <c r="AD3212" s="33"/>
      <c r="AE3212" s="33"/>
      <c r="AF3212" s="33"/>
      <c r="AG3212" s="33"/>
      <c r="AH3212" s="33"/>
      <c r="AI3212" s="33"/>
      <c r="AJ3212" s="33"/>
      <c r="AK3212" s="33"/>
      <c r="AL3212" s="33"/>
      <c r="AM3212" s="33"/>
      <c r="AN3212" s="33"/>
      <c r="AO3212" s="33"/>
    </row>
    <row r="3213" ht="15.75" customHeight="1">
      <c r="A3213" s="50">
        <v>55000.0</v>
      </c>
      <c r="B3213" s="23">
        <v>2023.0</v>
      </c>
      <c r="C3213" s="36" t="str">
        <f t="shared" si="7"/>
        <v>710 66TH ST,Houston,TX</v>
      </c>
      <c r="D3213" s="51" t="s">
        <v>5071</v>
      </c>
      <c r="E3213" s="23" t="s">
        <v>25</v>
      </c>
      <c r="F3213" s="23" t="s">
        <v>1388</v>
      </c>
      <c r="G3213" s="31" t="s">
        <v>227</v>
      </c>
      <c r="H3213" s="58" t="s">
        <v>50</v>
      </c>
      <c r="I3213" s="37" t="str">
        <f>VLOOKUP(H3213,'Flow Location'!$A$1:$B$21,2,FALSE)</f>
        <v>Contained On Site, not within 5 ft. of Bayou/Surface Water/Drainage Ditch</v>
      </c>
      <c r="J3213" s="52">
        <v>0.0</v>
      </c>
      <c r="K3213" s="51" t="s">
        <v>45</v>
      </c>
      <c r="L3213" s="37" t="str">
        <f>VLOOKUP(K3213,'Structure type'!$A$1:$B$15,2,FALSE)</f>
        <v>City Cleanout</v>
      </c>
      <c r="M3213" s="51" t="s">
        <v>30</v>
      </c>
      <c r="N3213" s="23" t="str">
        <f>VLOOKUP(M3213,'Excursion Cause'!$A$1:$B$34,2,FALSE)</f>
        <v>Grease Blockage</v>
      </c>
      <c r="O3213" s="53">
        <v>45265.0</v>
      </c>
      <c r="P3213" s="30">
        <v>0.5513888888888889</v>
      </c>
      <c r="Q3213" s="29">
        <v>45265.0</v>
      </c>
      <c r="R3213" s="30">
        <v>0.5520833333333334</v>
      </c>
      <c r="S3213" s="59">
        <v>0.0</v>
      </c>
      <c r="T3213" s="23" t="s">
        <v>1462</v>
      </c>
      <c r="U3213" s="56"/>
      <c r="V3213" s="56"/>
      <c r="W3213" s="35">
        <v>29.7426769999999</v>
      </c>
      <c r="X3213" s="35">
        <v>-95.308188</v>
      </c>
      <c r="AA3213" s="33"/>
      <c r="AB3213" s="33"/>
      <c r="AC3213" s="33"/>
      <c r="AD3213" s="33"/>
      <c r="AE3213" s="33"/>
      <c r="AF3213" s="33"/>
      <c r="AG3213" s="33"/>
      <c r="AH3213" s="33"/>
      <c r="AI3213" s="33"/>
      <c r="AJ3213" s="33"/>
      <c r="AK3213" s="33"/>
      <c r="AL3213" s="33"/>
      <c r="AM3213" s="33"/>
      <c r="AN3213" s="33"/>
      <c r="AO3213" s="33"/>
    </row>
    <row r="3214" ht="15.75" customHeight="1">
      <c r="A3214" s="50">
        <v>55006.0</v>
      </c>
      <c r="B3214" s="23">
        <v>2023.0</v>
      </c>
      <c r="C3214" s="36" t="str">
        <f t="shared" si="7"/>
        <v>1118 PLEASANTVILLE DR,Houston,TX</v>
      </c>
      <c r="D3214" s="51" t="s">
        <v>3750</v>
      </c>
      <c r="E3214" s="23" t="s">
        <v>25</v>
      </c>
      <c r="F3214" s="23" t="s">
        <v>1388</v>
      </c>
      <c r="G3214" s="31" t="s">
        <v>247</v>
      </c>
      <c r="H3214" s="58" t="s">
        <v>1493</v>
      </c>
      <c r="I3214" s="37" t="str">
        <f>VLOOKUP(H3214,'Flow Location'!$A$1:$B$21,2,FALSE)</f>
        <v>Contained On Site, not within 5 ft. of Bayou/Surface Water/Drainage Ditch</v>
      </c>
      <c r="J3214" s="52">
        <v>0.0</v>
      </c>
      <c r="K3214" s="51" t="s">
        <v>51</v>
      </c>
      <c r="L3214" s="37" t="str">
        <f>VLOOKUP(K3214,'Structure type'!$A$1:$B$15,2,FALSE)</f>
        <v>Private Cleanout</v>
      </c>
      <c r="M3214" s="51" t="s">
        <v>30</v>
      </c>
      <c r="N3214" s="23" t="str">
        <f>VLOOKUP(M3214,'Excursion Cause'!$A$1:$B$34,2,FALSE)</f>
        <v>Grease Blockage</v>
      </c>
      <c r="O3214" s="53">
        <v>45266.0</v>
      </c>
      <c r="P3214" s="30">
        <v>0.40694444444444444</v>
      </c>
      <c r="Q3214" s="29">
        <v>45266.0</v>
      </c>
      <c r="R3214" s="30">
        <v>0.4076388888888889</v>
      </c>
      <c r="S3214" s="59">
        <v>0.0</v>
      </c>
      <c r="T3214" s="23" t="s">
        <v>3749</v>
      </c>
      <c r="U3214" s="56"/>
      <c r="V3214" s="56"/>
      <c r="W3214" s="35">
        <v>29.7666906</v>
      </c>
      <c r="X3214" s="35">
        <v>-95.2766884</v>
      </c>
      <c r="AA3214" s="33"/>
      <c r="AB3214" s="33"/>
      <c r="AC3214" s="33"/>
      <c r="AD3214" s="33"/>
      <c r="AE3214" s="33"/>
      <c r="AF3214" s="33"/>
      <c r="AG3214" s="33"/>
      <c r="AH3214" s="33"/>
      <c r="AI3214" s="33"/>
      <c r="AJ3214" s="33"/>
      <c r="AK3214" s="33"/>
      <c r="AL3214" s="33"/>
      <c r="AM3214" s="33"/>
      <c r="AN3214" s="33"/>
      <c r="AO3214" s="33"/>
    </row>
    <row r="3215" ht="15.75" customHeight="1">
      <c r="A3215" s="50">
        <v>55007.0</v>
      </c>
      <c r="B3215" s="23">
        <v>2023.0</v>
      </c>
      <c r="C3215" s="36" t="str">
        <f t="shared" si="7"/>
        <v>7557 MAIN ST,Houston,TX</v>
      </c>
      <c r="D3215" s="51" t="s">
        <v>2558</v>
      </c>
      <c r="E3215" s="23" t="s">
        <v>25</v>
      </c>
      <c r="F3215" s="23" t="s">
        <v>1388</v>
      </c>
      <c r="G3215" s="31" t="s">
        <v>512</v>
      </c>
      <c r="H3215" s="58" t="s">
        <v>28</v>
      </c>
      <c r="I3215" s="37" t="str">
        <f>VLOOKUP(H3215,'Flow Location'!$A$1:$B$21,2,FALSE)</f>
        <v>Storm Sewer (not contained)</v>
      </c>
      <c r="J3215" s="52">
        <v>4518.0</v>
      </c>
      <c r="K3215" s="51" t="s">
        <v>29</v>
      </c>
      <c r="L3215" s="37" t="str">
        <f>VLOOKUP(K3215,'Structure type'!$A$1:$B$15,2,FALSE)</f>
        <v>Manhole</v>
      </c>
      <c r="M3215" s="51" t="s">
        <v>30</v>
      </c>
      <c r="N3215" s="23" t="str">
        <f>VLOOKUP(M3215,'Excursion Cause'!$A$1:$B$34,2,FALSE)</f>
        <v>Grease Blockage</v>
      </c>
      <c r="O3215" s="53">
        <v>45266.0</v>
      </c>
      <c r="P3215" s="30">
        <v>0.39166666666666666</v>
      </c>
      <c r="Q3215" s="29">
        <v>45267.0</v>
      </c>
      <c r="R3215" s="30">
        <v>0.43680555555555556</v>
      </c>
      <c r="S3215" s="59">
        <v>3.0</v>
      </c>
      <c r="T3215" s="23" t="s">
        <v>4011</v>
      </c>
      <c r="U3215" s="56"/>
      <c r="V3215" s="56"/>
      <c r="W3215" s="35">
        <v>29.6980784</v>
      </c>
      <c r="X3215" s="35">
        <v>-95.4110134</v>
      </c>
      <c r="AA3215" s="33"/>
      <c r="AB3215" s="33"/>
      <c r="AC3215" s="33"/>
      <c r="AD3215" s="33"/>
      <c r="AE3215" s="33"/>
      <c r="AF3215" s="33"/>
      <c r="AG3215" s="33"/>
      <c r="AH3215" s="33"/>
      <c r="AI3215" s="33"/>
      <c r="AJ3215" s="33"/>
      <c r="AK3215" s="33"/>
      <c r="AL3215" s="33"/>
      <c r="AM3215" s="33"/>
      <c r="AN3215" s="33"/>
      <c r="AO3215" s="33"/>
    </row>
    <row r="3216" ht="15.75" customHeight="1">
      <c r="A3216" s="50">
        <v>55008.0</v>
      </c>
      <c r="B3216" s="23">
        <v>2023.0</v>
      </c>
      <c r="C3216" s="36" t="str">
        <f t="shared" si="7"/>
        <v>8442 HICKOK LN,Houston,TX</v>
      </c>
      <c r="D3216" s="51" t="s">
        <v>5072</v>
      </c>
      <c r="E3216" s="23" t="s">
        <v>25</v>
      </c>
      <c r="F3216" s="23" t="s">
        <v>1388</v>
      </c>
      <c r="G3216" s="31" t="s">
        <v>95</v>
      </c>
      <c r="H3216" s="58" t="s">
        <v>50</v>
      </c>
      <c r="I3216" s="37" t="str">
        <f>VLOOKUP(H3216,'Flow Location'!$A$1:$B$21,2,FALSE)</f>
        <v>Contained On Site, not within 5 ft. of Bayou/Surface Water/Drainage Ditch</v>
      </c>
      <c r="J3216" s="52">
        <v>0.0</v>
      </c>
      <c r="K3216" s="51" t="s">
        <v>45</v>
      </c>
      <c r="L3216" s="37" t="str">
        <f>VLOOKUP(K3216,'Structure type'!$A$1:$B$15,2,FALSE)</f>
        <v>City Cleanout</v>
      </c>
      <c r="M3216" s="51" t="s">
        <v>30</v>
      </c>
      <c r="N3216" s="23" t="str">
        <f>VLOOKUP(M3216,'Excursion Cause'!$A$1:$B$34,2,FALSE)</f>
        <v>Grease Blockage</v>
      </c>
      <c r="O3216" s="53">
        <v>45266.0</v>
      </c>
      <c r="P3216" s="30">
        <v>0.3951388888888889</v>
      </c>
      <c r="Q3216" s="29">
        <v>45266.0</v>
      </c>
      <c r="R3216" s="30">
        <v>0.3958333333333333</v>
      </c>
      <c r="S3216" s="59">
        <v>0.0</v>
      </c>
      <c r="T3216" s="23" t="s">
        <v>3756</v>
      </c>
      <c r="U3216" s="56"/>
      <c r="V3216" s="56"/>
      <c r="W3216" s="35">
        <v>29.62897</v>
      </c>
      <c r="X3216" s="35">
        <v>-95.2670838999999</v>
      </c>
      <c r="AA3216" s="33"/>
      <c r="AB3216" s="33"/>
      <c r="AC3216" s="33"/>
      <c r="AD3216" s="33"/>
      <c r="AE3216" s="33"/>
      <c r="AF3216" s="33"/>
      <c r="AG3216" s="33"/>
      <c r="AH3216" s="33"/>
      <c r="AI3216" s="33"/>
      <c r="AJ3216" s="33"/>
      <c r="AK3216" s="33"/>
      <c r="AL3216" s="33"/>
      <c r="AM3216" s="33"/>
      <c r="AN3216" s="33"/>
      <c r="AO3216" s="33"/>
    </row>
    <row r="3217" ht="15.75" customHeight="1">
      <c r="A3217" s="50">
        <v>55009.0</v>
      </c>
      <c r="B3217" s="23">
        <v>2023.0</v>
      </c>
      <c r="C3217" s="36" t="str">
        <f t="shared" si="7"/>
        <v>10719 BORDLEY DR,Houston,TX</v>
      </c>
      <c r="D3217" s="51" t="s">
        <v>5073</v>
      </c>
      <c r="E3217" s="23" t="s">
        <v>25</v>
      </c>
      <c r="F3217" s="23" t="s">
        <v>1388</v>
      </c>
      <c r="G3217" s="31" t="s">
        <v>401</v>
      </c>
      <c r="H3217" s="58" t="s">
        <v>50</v>
      </c>
      <c r="I3217" s="37" t="str">
        <f>VLOOKUP(H3217,'Flow Location'!$A$1:$B$21,2,FALSE)</f>
        <v>Contained On Site, not within 5 ft. of Bayou/Surface Water/Drainage Ditch</v>
      </c>
      <c r="J3217" s="52">
        <v>0.0</v>
      </c>
      <c r="K3217" s="51" t="s">
        <v>29</v>
      </c>
      <c r="L3217" s="37" t="str">
        <f>VLOOKUP(K3217,'Structure type'!$A$1:$B$15,2,FALSE)</f>
        <v>Manhole</v>
      </c>
      <c r="M3217" s="51" t="s">
        <v>30</v>
      </c>
      <c r="N3217" s="23" t="str">
        <f>VLOOKUP(M3217,'Excursion Cause'!$A$1:$B$34,2,FALSE)</f>
        <v>Grease Blockage</v>
      </c>
      <c r="O3217" s="53">
        <v>45266.0</v>
      </c>
      <c r="P3217" s="30">
        <v>0.44027777777777777</v>
      </c>
      <c r="Q3217" s="29">
        <v>45266.0</v>
      </c>
      <c r="R3217" s="30">
        <v>0.4409722222222222</v>
      </c>
      <c r="S3217" s="59">
        <v>0.0</v>
      </c>
      <c r="T3217" s="23" t="s">
        <v>3749</v>
      </c>
      <c r="U3217" s="56"/>
      <c r="V3217" s="56"/>
      <c r="W3217" s="35">
        <v>29.7511384</v>
      </c>
      <c r="X3217" s="35">
        <v>-95.5660146</v>
      </c>
      <c r="AA3217" s="33"/>
      <c r="AB3217" s="33"/>
      <c r="AC3217" s="33"/>
      <c r="AD3217" s="33"/>
      <c r="AE3217" s="33"/>
      <c r="AF3217" s="33"/>
      <c r="AG3217" s="33"/>
      <c r="AH3217" s="33"/>
      <c r="AI3217" s="33"/>
      <c r="AJ3217" s="33"/>
      <c r="AK3217" s="33"/>
      <c r="AL3217" s="33"/>
      <c r="AM3217" s="33"/>
      <c r="AN3217" s="33"/>
      <c r="AO3217" s="33"/>
    </row>
    <row r="3218" ht="15.75" customHeight="1">
      <c r="A3218" s="50">
        <v>55015.0</v>
      </c>
      <c r="B3218" s="23">
        <v>2023.0</v>
      </c>
      <c r="C3218" s="36" t="str">
        <f t="shared" si="7"/>
        <v>7710 HARDING ST,Houston,TX</v>
      </c>
      <c r="D3218" s="51" t="s">
        <v>5074</v>
      </c>
      <c r="E3218" s="23" t="s">
        <v>25</v>
      </c>
      <c r="F3218" s="23" t="s">
        <v>1388</v>
      </c>
      <c r="G3218" s="31" t="s">
        <v>365</v>
      </c>
      <c r="H3218" s="58" t="s">
        <v>50</v>
      </c>
      <c r="I3218" s="37" t="str">
        <f>VLOOKUP(H3218,'Flow Location'!$A$1:$B$21,2,FALSE)</f>
        <v>Contained On Site, not within 5 ft. of Bayou/Surface Water/Drainage Ditch</v>
      </c>
      <c r="J3218" s="52">
        <v>0.0</v>
      </c>
      <c r="K3218" s="51" t="s">
        <v>29</v>
      </c>
      <c r="L3218" s="37" t="str">
        <f>VLOOKUP(K3218,'Structure type'!$A$1:$B$15,2,FALSE)</f>
        <v>Manhole</v>
      </c>
      <c r="M3218" s="51" t="s">
        <v>30</v>
      </c>
      <c r="N3218" s="23" t="str">
        <f>VLOOKUP(M3218,'Excursion Cause'!$A$1:$B$34,2,FALSE)</f>
        <v>Grease Blockage</v>
      </c>
      <c r="O3218" s="53">
        <v>45266.0</v>
      </c>
      <c r="P3218" s="30">
        <v>0.5340277777777778</v>
      </c>
      <c r="Q3218" s="29">
        <v>45266.0</v>
      </c>
      <c r="R3218" s="30">
        <v>0.5347222222222222</v>
      </c>
      <c r="S3218" s="59">
        <v>0.0</v>
      </c>
      <c r="T3218" s="23" t="s">
        <v>1462</v>
      </c>
      <c r="U3218" s="56"/>
      <c r="V3218" s="56"/>
      <c r="W3218" s="35">
        <v>29.7089851</v>
      </c>
      <c r="X3218" s="35">
        <v>-95.2830767</v>
      </c>
      <c r="AA3218" s="33"/>
      <c r="AB3218" s="33"/>
      <c r="AC3218" s="33"/>
      <c r="AD3218" s="33"/>
      <c r="AE3218" s="33"/>
      <c r="AF3218" s="33"/>
      <c r="AG3218" s="33"/>
      <c r="AH3218" s="33"/>
      <c r="AI3218" s="33"/>
      <c r="AJ3218" s="33"/>
      <c r="AK3218" s="33"/>
      <c r="AL3218" s="33"/>
      <c r="AM3218" s="33"/>
      <c r="AN3218" s="33"/>
      <c r="AO3218" s="33"/>
    </row>
    <row r="3219" ht="15.75" customHeight="1">
      <c r="A3219" s="50">
        <v>55024.0</v>
      </c>
      <c r="B3219" s="23">
        <v>2023.0</v>
      </c>
      <c r="C3219" s="36" t="str">
        <f t="shared" si="7"/>
        <v>7600 HOUSTON RD,Houston,TX</v>
      </c>
      <c r="D3219" s="51" t="s">
        <v>3876</v>
      </c>
      <c r="E3219" s="23" t="s">
        <v>25</v>
      </c>
      <c r="F3219" s="23" t="s">
        <v>1388</v>
      </c>
      <c r="G3219" s="31" t="s">
        <v>177</v>
      </c>
      <c r="H3219" s="58" t="s">
        <v>50</v>
      </c>
      <c r="I3219" s="37" t="str">
        <f>VLOOKUP(H3219,'Flow Location'!$A$1:$B$21,2,FALSE)</f>
        <v>Contained On Site, not within 5 ft. of Bayou/Surface Water/Drainage Ditch</v>
      </c>
      <c r="J3219" s="52">
        <v>570.0</v>
      </c>
      <c r="K3219" s="51" t="s">
        <v>29</v>
      </c>
      <c r="L3219" s="37" t="str">
        <f>VLOOKUP(K3219,'Structure type'!$A$1:$B$15,2,FALSE)</f>
        <v>Manhole</v>
      </c>
      <c r="M3219" s="51" t="s">
        <v>30</v>
      </c>
      <c r="N3219" s="23" t="str">
        <f>VLOOKUP(M3219,'Excursion Cause'!$A$1:$B$34,2,FALSE)</f>
        <v>Grease Blockage</v>
      </c>
      <c r="O3219" s="53">
        <v>45267.0</v>
      </c>
      <c r="P3219" s="30">
        <v>0.5138888888888888</v>
      </c>
      <c r="Q3219" s="29">
        <v>45267.0</v>
      </c>
      <c r="R3219" s="30">
        <v>0.7118055555555556</v>
      </c>
      <c r="S3219" s="59">
        <v>2.0</v>
      </c>
      <c r="T3219" s="23" t="s">
        <v>1462</v>
      </c>
      <c r="U3219" s="56"/>
      <c r="V3219" s="56"/>
      <c r="W3219" s="35">
        <v>29.8323763</v>
      </c>
      <c r="X3219" s="35">
        <v>-95.2691895999999</v>
      </c>
      <c r="AA3219" s="33"/>
      <c r="AB3219" s="33"/>
      <c r="AC3219" s="33"/>
      <c r="AD3219" s="33"/>
      <c r="AE3219" s="33"/>
      <c r="AF3219" s="33"/>
      <c r="AG3219" s="33"/>
      <c r="AH3219" s="33"/>
      <c r="AI3219" s="33"/>
      <c r="AJ3219" s="33"/>
      <c r="AK3219" s="33"/>
      <c r="AL3219" s="33"/>
      <c r="AM3219" s="33"/>
      <c r="AN3219" s="33"/>
      <c r="AO3219" s="33"/>
    </row>
    <row r="3220" ht="15.75" customHeight="1">
      <c r="A3220" s="50">
        <v>55028.0</v>
      </c>
      <c r="B3220" s="23">
        <v>2023.0</v>
      </c>
      <c r="C3220" s="36" t="str">
        <f t="shared" si="7"/>
        <v>4512 MORNINGSIDE DR,Houston,TX</v>
      </c>
      <c r="D3220" s="51" t="s">
        <v>5075</v>
      </c>
      <c r="E3220" s="23" t="s">
        <v>25</v>
      </c>
      <c r="F3220" s="23" t="s">
        <v>1388</v>
      </c>
      <c r="G3220" s="31" t="s">
        <v>3158</v>
      </c>
      <c r="H3220" s="58" t="s">
        <v>50</v>
      </c>
      <c r="I3220" s="37" t="str">
        <f>VLOOKUP(H3220,'Flow Location'!$A$1:$B$21,2,FALSE)</f>
        <v>Contained On Site, not within 5 ft. of Bayou/Surface Water/Drainage Ditch</v>
      </c>
      <c r="J3220" s="52">
        <v>0.0</v>
      </c>
      <c r="K3220" s="51" t="s">
        <v>51</v>
      </c>
      <c r="L3220" s="37" t="str">
        <f>VLOOKUP(K3220,'Structure type'!$A$1:$B$15,2,FALSE)</f>
        <v>Private Cleanout</v>
      </c>
      <c r="M3220" s="51" t="s">
        <v>81</v>
      </c>
      <c r="N3220" s="23" t="str">
        <f>VLOOKUP(M3220,'Excursion Cause'!$A$1:$B$34,2,FALSE)</f>
        <v>Collection system structural failure</v>
      </c>
      <c r="O3220" s="53">
        <v>45267.0</v>
      </c>
      <c r="P3220" s="30">
        <v>0.7347222222222223</v>
      </c>
      <c r="Q3220" s="29">
        <v>45267.0</v>
      </c>
      <c r="R3220" s="30">
        <v>0.7354166666666667</v>
      </c>
      <c r="S3220" s="59">
        <v>0.0</v>
      </c>
      <c r="T3220" s="23" t="s">
        <v>1391</v>
      </c>
      <c r="U3220" s="56"/>
      <c r="V3220" s="56"/>
      <c r="W3220" s="35">
        <v>29.7250095</v>
      </c>
      <c r="X3220" s="35">
        <v>-95.4152395999999</v>
      </c>
      <c r="AA3220" s="33"/>
      <c r="AB3220" s="33"/>
      <c r="AC3220" s="33"/>
      <c r="AD3220" s="33"/>
      <c r="AE3220" s="33"/>
      <c r="AF3220" s="33"/>
      <c r="AG3220" s="33"/>
      <c r="AH3220" s="33"/>
      <c r="AI3220" s="33"/>
      <c r="AJ3220" s="33"/>
      <c r="AK3220" s="33"/>
      <c r="AL3220" s="33"/>
      <c r="AM3220" s="33"/>
      <c r="AN3220" s="33"/>
      <c r="AO3220" s="33"/>
    </row>
    <row r="3221" ht="15.75" customHeight="1">
      <c r="A3221" s="50">
        <v>55030.0</v>
      </c>
      <c r="B3221" s="23">
        <v>2023.0</v>
      </c>
      <c r="C3221" s="36" t="str">
        <f t="shared" si="7"/>
        <v>6106 IRONSIDE TURN DR,Houston,TX</v>
      </c>
      <c r="D3221" s="51" t="s">
        <v>5076</v>
      </c>
      <c r="E3221" s="23" t="s">
        <v>25</v>
      </c>
      <c r="F3221" s="23" t="s">
        <v>1388</v>
      </c>
      <c r="G3221" s="31" t="s">
        <v>517</v>
      </c>
      <c r="H3221" s="58" t="s">
        <v>28</v>
      </c>
      <c r="I3221" s="37" t="str">
        <f>VLOOKUP(H3221,'Flow Location'!$A$1:$B$21,2,FALSE)</f>
        <v>Storm Sewer (not contained)</v>
      </c>
      <c r="J3221" s="52">
        <v>278.0</v>
      </c>
      <c r="K3221" s="51" t="s">
        <v>29</v>
      </c>
      <c r="L3221" s="37" t="str">
        <f>VLOOKUP(K3221,'Structure type'!$A$1:$B$15,2,FALSE)</f>
        <v>Manhole</v>
      </c>
      <c r="M3221" s="51" t="s">
        <v>30</v>
      </c>
      <c r="N3221" s="23" t="str">
        <f>VLOOKUP(M3221,'Excursion Cause'!$A$1:$B$34,2,FALSE)</f>
        <v>Grease Blockage</v>
      </c>
      <c r="O3221" s="53">
        <v>45268.0</v>
      </c>
      <c r="P3221" s="30">
        <v>0.37222222222222223</v>
      </c>
      <c r="Q3221" s="29">
        <v>45268.0</v>
      </c>
      <c r="R3221" s="30">
        <v>0.46875</v>
      </c>
      <c r="S3221" s="59">
        <v>2.0</v>
      </c>
      <c r="T3221" s="23" t="s">
        <v>3749</v>
      </c>
      <c r="U3221" s="56"/>
      <c r="V3221" s="56"/>
      <c r="W3221" s="35">
        <v>29.598933</v>
      </c>
      <c r="X3221" s="35">
        <v>-95.4755058</v>
      </c>
      <c r="AA3221" s="33"/>
      <c r="AB3221" s="33"/>
      <c r="AC3221" s="33"/>
      <c r="AD3221" s="33"/>
      <c r="AE3221" s="33"/>
      <c r="AF3221" s="33"/>
      <c r="AG3221" s="33"/>
      <c r="AH3221" s="33"/>
      <c r="AI3221" s="33"/>
      <c r="AJ3221" s="33"/>
      <c r="AK3221" s="33"/>
      <c r="AL3221" s="33"/>
      <c r="AM3221" s="33"/>
      <c r="AN3221" s="33"/>
      <c r="AO3221" s="33"/>
    </row>
    <row r="3222" ht="15.75" customHeight="1">
      <c r="A3222" s="50">
        <v>55035.0</v>
      </c>
      <c r="B3222" s="23">
        <v>2023.0</v>
      </c>
      <c r="C3222" s="36" t="str">
        <f t="shared" si="7"/>
        <v>9716 EDGEWORTH ST,Houston,TX</v>
      </c>
      <c r="D3222" s="51" t="s">
        <v>2338</v>
      </c>
      <c r="E3222" s="23" t="s">
        <v>25</v>
      </c>
      <c r="F3222" s="23" t="s">
        <v>1388</v>
      </c>
      <c r="G3222" s="31" t="s">
        <v>109</v>
      </c>
      <c r="H3222" s="58" t="s">
        <v>50</v>
      </c>
      <c r="I3222" s="37" t="str">
        <f>VLOOKUP(H3222,'Flow Location'!$A$1:$B$21,2,FALSE)</f>
        <v>Contained On Site, not within 5 ft. of Bayou/Surface Water/Drainage Ditch</v>
      </c>
      <c r="J3222" s="52">
        <v>0.0</v>
      </c>
      <c r="K3222" s="51" t="s">
        <v>45</v>
      </c>
      <c r="L3222" s="37" t="str">
        <f>VLOOKUP(K3222,'Structure type'!$A$1:$B$15,2,FALSE)</f>
        <v>City Cleanout</v>
      </c>
      <c r="M3222" s="51" t="s">
        <v>56</v>
      </c>
      <c r="N3222" s="23" t="str">
        <f>VLOOKUP(M3222,'Excursion Cause'!$A$1:$B$34,2,FALSE)</f>
        <v>Rags/Wipes</v>
      </c>
      <c r="O3222" s="53">
        <v>45268.0</v>
      </c>
      <c r="P3222" s="30">
        <v>0.47638888888888886</v>
      </c>
      <c r="Q3222" s="29">
        <v>45268.0</v>
      </c>
      <c r="R3222" s="30">
        <v>0.47708333333333336</v>
      </c>
      <c r="S3222" s="59">
        <v>0.0</v>
      </c>
      <c r="T3222" s="23" t="s">
        <v>3756</v>
      </c>
      <c r="U3222" s="56"/>
      <c r="V3222" s="56"/>
      <c r="W3222" s="35">
        <v>29.8526098</v>
      </c>
      <c r="X3222" s="35">
        <v>-95.3463046</v>
      </c>
      <c r="AA3222" s="33"/>
      <c r="AB3222" s="33"/>
      <c r="AC3222" s="33"/>
      <c r="AD3222" s="33"/>
      <c r="AE3222" s="33"/>
      <c r="AF3222" s="33"/>
      <c r="AG3222" s="33"/>
      <c r="AH3222" s="33"/>
      <c r="AI3222" s="33"/>
      <c r="AJ3222" s="33"/>
      <c r="AK3222" s="33"/>
      <c r="AL3222" s="33"/>
      <c r="AM3222" s="33"/>
      <c r="AN3222" s="33"/>
      <c r="AO3222" s="33"/>
    </row>
    <row r="3223" ht="15.75" customHeight="1">
      <c r="A3223" s="50">
        <v>55036.0</v>
      </c>
      <c r="B3223" s="23">
        <v>2023.0</v>
      </c>
      <c r="C3223" s="36" t="str">
        <f t="shared" si="7"/>
        <v>5614 RICKY ST,Houston,TX</v>
      </c>
      <c r="D3223" s="51" t="s">
        <v>5077</v>
      </c>
      <c r="E3223" s="23" t="s">
        <v>25</v>
      </c>
      <c r="F3223" s="23" t="s">
        <v>1388</v>
      </c>
      <c r="G3223" s="31" t="s">
        <v>120</v>
      </c>
      <c r="H3223" s="58" t="s">
        <v>50</v>
      </c>
      <c r="I3223" s="37" t="str">
        <f>VLOOKUP(H3223,'Flow Location'!$A$1:$B$21,2,FALSE)</f>
        <v>Contained On Site, not within 5 ft. of Bayou/Surface Water/Drainage Ditch</v>
      </c>
      <c r="J3223" s="52">
        <v>0.0</v>
      </c>
      <c r="K3223" s="51" t="s">
        <v>51</v>
      </c>
      <c r="L3223" s="37" t="str">
        <f>VLOOKUP(K3223,'Structure type'!$A$1:$B$15,2,FALSE)</f>
        <v>Private Cleanout</v>
      </c>
      <c r="M3223" s="51" t="s">
        <v>366</v>
      </c>
      <c r="N3223" s="23" t="str">
        <f>VLOOKUP(M3223,'Excursion Cause'!$A$1:$B$34,2,FALSE)</f>
        <v>Collection system structural blockage</v>
      </c>
      <c r="O3223" s="53">
        <v>45268.0</v>
      </c>
      <c r="P3223" s="30">
        <v>0.44305555555555554</v>
      </c>
      <c r="Q3223" s="29">
        <v>45268.0</v>
      </c>
      <c r="R3223" s="30">
        <v>0.44375</v>
      </c>
      <c r="S3223" s="59">
        <v>0.0</v>
      </c>
      <c r="T3223" s="23" t="s">
        <v>118</v>
      </c>
      <c r="U3223" s="56"/>
      <c r="V3223" s="56"/>
      <c r="W3223" s="35">
        <v>29.6493501</v>
      </c>
      <c r="X3223" s="35">
        <v>-95.3388263</v>
      </c>
      <c r="AA3223" s="33"/>
      <c r="AB3223" s="33"/>
      <c r="AC3223" s="33"/>
      <c r="AD3223" s="33"/>
      <c r="AE3223" s="33"/>
      <c r="AF3223" s="33"/>
      <c r="AG3223" s="33"/>
      <c r="AH3223" s="33"/>
      <c r="AI3223" s="33"/>
      <c r="AJ3223" s="33"/>
      <c r="AK3223" s="33"/>
      <c r="AL3223" s="33"/>
      <c r="AM3223" s="33"/>
      <c r="AN3223" s="33"/>
      <c r="AO3223" s="33"/>
    </row>
    <row r="3224" ht="15.75" customHeight="1">
      <c r="A3224" s="50">
        <v>55040.0</v>
      </c>
      <c r="B3224" s="23">
        <v>2023.0</v>
      </c>
      <c r="C3224" s="36" t="str">
        <f t="shared" si="7"/>
        <v>2914 GREGG ST,Houston,TX</v>
      </c>
      <c r="D3224" s="51" t="s">
        <v>5078</v>
      </c>
      <c r="E3224" s="23" t="s">
        <v>25</v>
      </c>
      <c r="F3224" s="23" t="s">
        <v>1388</v>
      </c>
      <c r="G3224" s="31" t="s">
        <v>43</v>
      </c>
      <c r="H3224" s="58" t="s">
        <v>50</v>
      </c>
      <c r="I3224" s="37" t="str">
        <f>VLOOKUP(H3224,'Flow Location'!$A$1:$B$21,2,FALSE)</f>
        <v>Contained On Site, not within 5 ft. of Bayou/Surface Water/Drainage Ditch</v>
      </c>
      <c r="J3224" s="52">
        <v>0.0</v>
      </c>
      <c r="K3224" s="51" t="s">
        <v>45</v>
      </c>
      <c r="L3224" s="37" t="str">
        <f>VLOOKUP(K3224,'Structure type'!$A$1:$B$15,2,FALSE)</f>
        <v>City Cleanout</v>
      </c>
      <c r="M3224" s="51" t="s">
        <v>52</v>
      </c>
      <c r="N3224" s="23" t="str">
        <f>VLOOKUP(M3224,'Excursion Cause'!$A$1:$B$34,2,FALSE)</f>
        <v>Collection system structural blockage</v>
      </c>
      <c r="O3224" s="53">
        <v>45268.0</v>
      </c>
      <c r="P3224" s="30">
        <v>0.6229166666666667</v>
      </c>
      <c r="Q3224" s="29">
        <v>45268.0</v>
      </c>
      <c r="R3224" s="30">
        <v>0.6236111111111111</v>
      </c>
      <c r="S3224" s="59">
        <v>0.0</v>
      </c>
      <c r="T3224" s="23" t="s">
        <v>3756</v>
      </c>
      <c r="U3224" s="56"/>
      <c r="V3224" s="56"/>
      <c r="W3224" s="35">
        <v>29.7892213</v>
      </c>
      <c r="X3224" s="35">
        <v>-95.3356939</v>
      </c>
      <c r="AA3224" s="33"/>
      <c r="AB3224" s="33"/>
      <c r="AC3224" s="33"/>
      <c r="AD3224" s="33"/>
      <c r="AE3224" s="33"/>
      <c r="AF3224" s="33"/>
      <c r="AG3224" s="33"/>
      <c r="AH3224" s="33"/>
      <c r="AI3224" s="33"/>
      <c r="AJ3224" s="33"/>
      <c r="AK3224" s="33"/>
      <c r="AL3224" s="33"/>
      <c r="AM3224" s="33"/>
      <c r="AN3224" s="33"/>
      <c r="AO3224" s="33"/>
    </row>
    <row r="3225" ht="15.75" customHeight="1">
      <c r="A3225" s="50">
        <v>55042.0</v>
      </c>
      <c r="B3225" s="23">
        <v>2023.0</v>
      </c>
      <c r="C3225" s="36" t="str">
        <f t="shared" si="7"/>
        <v>10550 VALLEY FORGE DR,Houston,TX</v>
      </c>
      <c r="D3225" s="51" t="s">
        <v>5079</v>
      </c>
      <c r="E3225" s="23" t="s">
        <v>25</v>
      </c>
      <c r="F3225" s="23" t="s">
        <v>1388</v>
      </c>
      <c r="G3225" s="31" t="s">
        <v>401</v>
      </c>
      <c r="H3225" s="58" t="s">
        <v>28</v>
      </c>
      <c r="I3225" s="37" t="str">
        <f>VLOOKUP(H3225,'Flow Location'!$A$1:$B$21,2,FALSE)</f>
        <v>Storm Sewer (not contained)</v>
      </c>
      <c r="J3225" s="52">
        <v>0.0</v>
      </c>
      <c r="K3225" s="51" t="s">
        <v>29</v>
      </c>
      <c r="L3225" s="37" t="str">
        <f>VLOOKUP(K3225,'Structure type'!$A$1:$B$15,2,FALSE)</f>
        <v>Manhole</v>
      </c>
      <c r="M3225" s="51" t="s">
        <v>52</v>
      </c>
      <c r="N3225" s="23" t="str">
        <f>VLOOKUP(M3225,'Excursion Cause'!$A$1:$B$34,2,FALSE)</f>
        <v>Collection system structural blockage</v>
      </c>
      <c r="O3225" s="53">
        <v>45268.0</v>
      </c>
      <c r="P3225" s="30">
        <v>0.6756944444444445</v>
      </c>
      <c r="Q3225" s="29">
        <v>45268.0</v>
      </c>
      <c r="R3225" s="30">
        <v>0.6763888888888889</v>
      </c>
      <c r="S3225" s="59">
        <v>0.0</v>
      </c>
      <c r="T3225" s="23" t="s">
        <v>3745</v>
      </c>
      <c r="U3225" s="56"/>
      <c r="V3225" s="56"/>
      <c r="W3225" s="35">
        <v>29.752323</v>
      </c>
      <c r="X3225" s="35">
        <v>-95.5619390999999</v>
      </c>
      <c r="AA3225" s="33"/>
      <c r="AB3225" s="33"/>
      <c r="AC3225" s="33"/>
      <c r="AD3225" s="33"/>
      <c r="AE3225" s="33"/>
      <c r="AF3225" s="33"/>
      <c r="AG3225" s="33"/>
      <c r="AH3225" s="33"/>
      <c r="AI3225" s="33"/>
      <c r="AJ3225" s="33"/>
      <c r="AK3225" s="33"/>
      <c r="AL3225" s="33"/>
      <c r="AM3225" s="33"/>
      <c r="AN3225" s="33"/>
      <c r="AO3225" s="33"/>
    </row>
    <row r="3226" ht="15.75" customHeight="1">
      <c r="A3226" s="50">
        <v>55046.0</v>
      </c>
      <c r="B3226" s="23">
        <v>2023.0</v>
      </c>
      <c r="C3226" s="36" t="str">
        <f t="shared" si="7"/>
        <v>15922 LENCLAIRE DR,Houston,TX</v>
      </c>
      <c r="D3226" s="51" t="s">
        <v>5080</v>
      </c>
      <c r="E3226" s="23" t="s">
        <v>25</v>
      </c>
      <c r="F3226" s="23" t="s">
        <v>1388</v>
      </c>
      <c r="G3226" s="31" t="s">
        <v>517</v>
      </c>
      <c r="H3226" s="58" t="s">
        <v>28</v>
      </c>
      <c r="I3226" s="37" t="str">
        <f>VLOOKUP(H3226,'Flow Location'!$A$1:$B$21,2,FALSE)</f>
        <v>Storm Sewer (not contained)</v>
      </c>
      <c r="J3226" s="52">
        <v>240.0</v>
      </c>
      <c r="K3226" s="51" t="s">
        <v>29</v>
      </c>
      <c r="L3226" s="37" t="str">
        <f>VLOOKUP(K3226,'Structure type'!$A$1:$B$15,2,FALSE)</f>
        <v>Manhole</v>
      </c>
      <c r="M3226" s="51" t="s">
        <v>30</v>
      </c>
      <c r="N3226" s="23" t="str">
        <f>VLOOKUP(M3226,'Excursion Cause'!$A$1:$B$34,2,FALSE)</f>
        <v>Grease Blockage</v>
      </c>
      <c r="O3226" s="53">
        <v>45269.0</v>
      </c>
      <c r="P3226" s="30">
        <v>0.5</v>
      </c>
      <c r="Q3226" s="29">
        <v>45269.0</v>
      </c>
      <c r="R3226" s="30">
        <v>0.5555555555555556</v>
      </c>
      <c r="S3226" s="59">
        <v>3.0</v>
      </c>
      <c r="T3226" s="23" t="s">
        <v>3749</v>
      </c>
      <c r="U3226" s="56"/>
      <c r="V3226" s="56"/>
      <c r="W3226" s="35">
        <v>29.5954474</v>
      </c>
      <c r="X3226" s="35">
        <v>-95.4710025999999</v>
      </c>
      <c r="AA3226" s="33"/>
      <c r="AB3226" s="33"/>
      <c r="AC3226" s="33"/>
      <c r="AD3226" s="33"/>
      <c r="AE3226" s="33"/>
      <c r="AF3226" s="33"/>
      <c r="AG3226" s="33"/>
      <c r="AH3226" s="33"/>
      <c r="AI3226" s="33"/>
      <c r="AJ3226" s="33"/>
      <c r="AK3226" s="33"/>
      <c r="AL3226" s="33"/>
      <c r="AM3226" s="33"/>
      <c r="AN3226" s="33"/>
      <c r="AO3226" s="33"/>
    </row>
    <row r="3227" ht="15.75" customHeight="1">
      <c r="A3227" s="50">
        <v>55047.0</v>
      </c>
      <c r="B3227" s="23">
        <v>2023.0</v>
      </c>
      <c r="C3227" s="36" t="str">
        <f t="shared" si="7"/>
        <v>7319 LAVENDER ST,Houston,TX</v>
      </c>
      <c r="D3227" s="51" t="s">
        <v>5081</v>
      </c>
      <c r="E3227" s="23" t="s">
        <v>25</v>
      </c>
      <c r="F3227" s="23" t="s">
        <v>1388</v>
      </c>
      <c r="G3227" s="31" t="s">
        <v>326</v>
      </c>
      <c r="H3227" s="58" t="s">
        <v>1493</v>
      </c>
      <c r="I3227" s="37" t="str">
        <f>VLOOKUP(H3227,'Flow Location'!$A$1:$B$21,2,FALSE)</f>
        <v>Contained On Site, not within 5 ft. of Bayou/Surface Water/Drainage Ditch</v>
      </c>
      <c r="J3227" s="52">
        <v>0.0</v>
      </c>
      <c r="K3227" s="51" t="s">
        <v>198</v>
      </c>
      <c r="L3227" s="37" t="str">
        <f>VLOOKUP(K3227,'Structure type'!$A$1:$B$15,2,FALSE)</f>
        <v>Service Lateral</v>
      </c>
      <c r="M3227" s="51" t="s">
        <v>3250</v>
      </c>
      <c r="N3227" s="23" t="str">
        <f>VLOOKUP(M3227,'Excursion Cause'!$A$1:$B$34,2,FALSE)</f>
        <v>Collection system structural blockage</v>
      </c>
      <c r="O3227" s="53">
        <v>45269.0</v>
      </c>
      <c r="P3227" s="30">
        <v>0.5076388888888889</v>
      </c>
      <c r="Q3227" s="29">
        <v>45269.0</v>
      </c>
      <c r="R3227" s="30">
        <v>0.5083333333333333</v>
      </c>
      <c r="S3227" s="59">
        <v>0.0</v>
      </c>
      <c r="T3227" s="23" t="s">
        <v>1473</v>
      </c>
      <c r="U3227" s="56"/>
      <c r="V3227" s="56"/>
      <c r="W3227" s="35">
        <v>29.826749</v>
      </c>
      <c r="X3227" s="35">
        <v>-95.32145</v>
      </c>
      <c r="AA3227" s="33"/>
      <c r="AB3227" s="33"/>
      <c r="AC3227" s="33"/>
      <c r="AD3227" s="33"/>
      <c r="AE3227" s="33"/>
      <c r="AF3227" s="33"/>
      <c r="AG3227" s="33"/>
      <c r="AH3227" s="33"/>
      <c r="AI3227" s="33"/>
      <c r="AJ3227" s="33"/>
      <c r="AK3227" s="33"/>
      <c r="AL3227" s="33"/>
      <c r="AM3227" s="33"/>
      <c r="AN3227" s="33"/>
      <c r="AO3227" s="33"/>
    </row>
    <row r="3228" ht="15.75" customHeight="1">
      <c r="A3228" s="50">
        <v>55050.0</v>
      </c>
      <c r="B3228" s="23">
        <v>2023.0</v>
      </c>
      <c r="C3228" s="36" t="str">
        <f t="shared" si="7"/>
        <v>1201 WALTON ST,Houston,TX</v>
      </c>
      <c r="D3228" s="51" t="s">
        <v>5082</v>
      </c>
      <c r="E3228" s="23" t="s">
        <v>25</v>
      </c>
      <c r="F3228" s="23" t="s">
        <v>1388</v>
      </c>
      <c r="G3228" s="31" t="s">
        <v>161</v>
      </c>
      <c r="H3228" s="58" t="s">
        <v>50</v>
      </c>
      <c r="I3228" s="37" t="str">
        <f>VLOOKUP(H3228,'Flow Location'!$A$1:$B$21,2,FALSE)</f>
        <v>Contained On Site, not within 5 ft. of Bayou/Surface Water/Drainage Ditch</v>
      </c>
      <c r="J3228" s="52">
        <v>0.0</v>
      </c>
      <c r="K3228" s="51" t="s">
        <v>198</v>
      </c>
      <c r="L3228" s="37" t="str">
        <f>VLOOKUP(K3228,'Structure type'!$A$1:$B$15,2,FALSE)</f>
        <v>Service Lateral</v>
      </c>
      <c r="M3228" s="51" t="s">
        <v>52</v>
      </c>
      <c r="N3228" s="23" t="str">
        <f>VLOOKUP(M3228,'Excursion Cause'!$A$1:$B$34,2,FALSE)</f>
        <v>Collection system structural blockage</v>
      </c>
      <c r="O3228" s="53">
        <v>45270.0</v>
      </c>
      <c r="P3228" s="30">
        <v>0.32430555555555557</v>
      </c>
      <c r="Q3228" s="29">
        <v>45270.0</v>
      </c>
      <c r="R3228" s="30">
        <v>0.325</v>
      </c>
      <c r="S3228" s="59">
        <v>0.0</v>
      </c>
      <c r="T3228" s="23" t="s">
        <v>118</v>
      </c>
      <c r="U3228" s="56"/>
      <c r="V3228" s="56"/>
      <c r="W3228" s="35">
        <v>29.8020641</v>
      </c>
      <c r="X3228" s="35">
        <v>-95.3766361</v>
      </c>
      <c r="AA3228" s="33"/>
      <c r="AB3228" s="33"/>
      <c r="AC3228" s="33"/>
      <c r="AD3228" s="33"/>
      <c r="AE3228" s="33"/>
      <c r="AF3228" s="33"/>
      <c r="AG3228" s="33"/>
      <c r="AH3228" s="33"/>
      <c r="AI3228" s="33"/>
      <c r="AJ3228" s="33"/>
      <c r="AK3228" s="33"/>
      <c r="AL3228" s="33"/>
      <c r="AM3228" s="33"/>
      <c r="AN3228" s="33"/>
      <c r="AO3228" s="33"/>
    </row>
    <row r="3229" ht="15.75" customHeight="1">
      <c r="A3229" s="50">
        <v>55051.0</v>
      </c>
      <c r="B3229" s="23">
        <v>2023.0</v>
      </c>
      <c r="C3229" s="36" t="str">
        <f t="shared" si="7"/>
        <v>8214 CANNON ST,Houston,TX</v>
      </c>
      <c r="D3229" s="51" t="s">
        <v>5083</v>
      </c>
      <c r="E3229" s="23" t="s">
        <v>25</v>
      </c>
      <c r="F3229" s="23" t="s">
        <v>1388</v>
      </c>
      <c r="G3229" s="31" t="s">
        <v>105</v>
      </c>
      <c r="H3229" s="58" t="s">
        <v>50</v>
      </c>
      <c r="I3229" s="37" t="str">
        <f>VLOOKUP(H3229,'Flow Location'!$A$1:$B$21,2,FALSE)</f>
        <v>Contained On Site, not within 5 ft. of Bayou/Surface Water/Drainage Ditch</v>
      </c>
      <c r="J3229" s="52">
        <v>0.0</v>
      </c>
      <c r="K3229" s="51" t="s">
        <v>51</v>
      </c>
      <c r="L3229" s="37" t="str">
        <f>VLOOKUP(K3229,'Structure type'!$A$1:$B$15,2,FALSE)</f>
        <v>Private Cleanout</v>
      </c>
      <c r="M3229" s="51" t="s">
        <v>30</v>
      </c>
      <c r="N3229" s="23" t="str">
        <f>VLOOKUP(M3229,'Excursion Cause'!$A$1:$B$34,2,FALSE)</f>
        <v>Grease Blockage</v>
      </c>
      <c r="O3229" s="53">
        <v>45270.0</v>
      </c>
      <c r="P3229" s="30">
        <v>0.3215277777777778</v>
      </c>
      <c r="Q3229" s="29">
        <v>45270.0</v>
      </c>
      <c r="R3229" s="30">
        <v>0.32222222222222224</v>
      </c>
      <c r="S3229" s="59">
        <v>0.0</v>
      </c>
      <c r="T3229" s="23" t="s">
        <v>1462</v>
      </c>
      <c r="U3229" s="56"/>
      <c r="V3229" s="56"/>
      <c r="W3229" s="35">
        <v>29.6724518</v>
      </c>
      <c r="X3229" s="35">
        <v>-95.377321</v>
      </c>
      <c r="AA3229" s="33"/>
      <c r="AB3229" s="33"/>
      <c r="AC3229" s="33"/>
      <c r="AD3229" s="33"/>
      <c r="AE3229" s="33"/>
      <c r="AF3229" s="33"/>
      <c r="AG3229" s="33"/>
      <c r="AH3229" s="33"/>
      <c r="AI3229" s="33"/>
      <c r="AJ3229" s="33"/>
      <c r="AK3229" s="33"/>
      <c r="AL3229" s="33"/>
      <c r="AM3229" s="33"/>
      <c r="AN3229" s="33"/>
      <c r="AO3229" s="33"/>
    </row>
    <row r="3230" ht="15.75" customHeight="1">
      <c r="A3230" s="50">
        <v>55058.0</v>
      </c>
      <c r="B3230" s="23">
        <v>2023.0</v>
      </c>
      <c r="C3230" s="36" t="str">
        <f t="shared" si="7"/>
        <v>2704 TERRY ST,Houston,TX</v>
      </c>
      <c r="D3230" s="51" t="s">
        <v>5084</v>
      </c>
      <c r="E3230" s="23" t="s">
        <v>25</v>
      </c>
      <c r="F3230" s="23" t="s">
        <v>1388</v>
      </c>
      <c r="G3230" s="31" t="s">
        <v>161</v>
      </c>
      <c r="H3230" s="58" t="s">
        <v>50</v>
      </c>
      <c r="I3230" s="37" t="str">
        <f>VLOOKUP(H3230,'Flow Location'!$A$1:$B$21,2,FALSE)</f>
        <v>Contained On Site, not within 5 ft. of Bayou/Surface Water/Drainage Ditch</v>
      </c>
      <c r="J3230" s="52">
        <v>0.0</v>
      </c>
      <c r="K3230" s="51" t="s">
        <v>45</v>
      </c>
      <c r="L3230" s="37" t="str">
        <f>VLOOKUP(K3230,'Structure type'!$A$1:$B$15,2,FALSE)</f>
        <v>City Cleanout</v>
      </c>
      <c r="M3230" s="51" t="s">
        <v>30</v>
      </c>
      <c r="N3230" s="23" t="str">
        <f>VLOOKUP(M3230,'Excursion Cause'!$A$1:$B$34,2,FALSE)</f>
        <v>Grease Blockage</v>
      </c>
      <c r="O3230" s="53">
        <v>45271.0</v>
      </c>
      <c r="P3230" s="30">
        <v>0.38680555555555557</v>
      </c>
      <c r="Q3230" s="29">
        <v>45271.0</v>
      </c>
      <c r="R3230" s="30">
        <v>0.3875</v>
      </c>
      <c r="S3230" s="59">
        <v>0.0</v>
      </c>
      <c r="T3230" s="23" t="s">
        <v>1473</v>
      </c>
      <c r="U3230" s="56"/>
      <c r="V3230" s="56"/>
      <c r="W3230" s="35">
        <v>29.7859415</v>
      </c>
      <c r="X3230" s="35">
        <v>-95.352762</v>
      </c>
      <c r="AA3230" s="33"/>
      <c r="AB3230" s="33"/>
      <c r="AC3230" s="33"/>
      <c r="AD3230" s="33"/>
      <c r="AE3230" s="33"/>
      <c r="AF3230" s="33"/>
      <c r="AG3230" s="33"/>
      <c r="AH3230" s="33"/>
      <c r="AI3230" s="33"/>
      <c r="AJ3230" s="33"/>
      <c r="AK3230" s="33"/>
      <c r="AL3230" s="33"/>
      <c r="AM3230" s="33"/>
      <c r="AN3230" s="33"/>
      <c r="AO3230" s="33"/>
    </row>
    <row r="3231" ht="15.75" customHeight="1">
      <c r="A3231" s="50">
        <v>55060.0</v>
      </c>
      <c r="B3231" s="23">
        <v>2023.0</v>
      </c>
      <c r="C3231" s="36" t="str">
        <f t="shared" si="7"/>
        <v>10501 HOLLY SPRINGS DR,Houston,TX</v>
      </c>
      <c r="D3231" s="51" t="s">
        <v>5085</v>
      </c>
      <c r="E3231" s="23" t="s">
        <v>25</v>
      </c>
      <c r="F3231" s="23" t="s">
        <v>1388</v>
      </c>
      <c r="G3231" s="31" t="s">
        <v>401</v>
      </c>
      <c r="H3231" s="58" t="s">
        <v>28</v>
      </c>
      <c r="I3231" s="37" t="str">
        <f>VLOOKUP(H3231,'Flow Location'!$A$1:$B$21,2,FALSE)</f>
        <v>Storm Sewer (not contained)</v>
      </c>
      <c r="J3231" s="52">
        <v>0.0</v>
      </c>
      <c r="K3231" s="51" t="s">
        <v>29</v>
      </c>
      <c r="L3231" s="37" t="str">
        <f>VLOOKUP(K3231,'Structure type'!$A$1:$B$15,2,FALSE)</f>
        <v>Manhole</v>
      </c>
      <c r="M3231" s="51" t="s">
        <v>81</v>
      </c>
      <c r="N3231" s="23" t="str">
        <f>VLOOKUP(M3231,'Excursion Cause'!$A$1:$B$34,2,FALSE)</f>
        <v>Collection system structural failure</v>
      </c>
      <c r="O3231" s="53">
        <v>45271.0</v>
      </c>
      <c r="P3231" s="30">
        <v>0.46944444444444444</v>
      </c>
      <c r="Q3231" s="29">
        <v>45271.0</v>
      </c>
      <c r="R3231" s="30">
        <v>0.4701388888888889</v>
      </c>
      <c r="S3231" s="59">
        <v>0.0</v>
      </c>
      <c r="T3231" s="23" t="s">
        <v>3745</v>
      </c>
      <c r="U3231" s="56"/>
      <c r="V3231" s="56"/>
      <c r="W3231" s="35">
        <v>29.7534592</v>
      </c>
      <c r="X3231" s="35">
        <v>-95.5612151999999</v>
      </c>
      <c r="AA3231" s="33"/>
      <c r="AB3231" s="33"/>
      <c r="AC3231" s="33"/>
      <c r="AD3231" s="33"/>
      <c r="AE3231" s="33"/>
      <c r="AF3231" s="33"/>
      <c r="AG3231" s="33"/>
      <c r="AH3231" s="33"/>
      <c r="AI3231" s="33"/>
      <c r="AJ3231" s="33"/>
      <c r="AK3231" s="33"/>
      <c r="AL3231" s="33"/>
      <c r="AM3231" s="33"/>
      <c r="AN3231" s="33"/>
      <c r="AO3231" s="33"/>
    </row>
    <row r="3232" ht="15.75" customHeight="1">
      <c r="A3232" s="50">
        <v>55065.0</v>
      </c>
      <c r="B3232" s="23">
        <v>2023.0</v>
      </c>
      <c r="C3232" s="36" t="str">
        <f t="shared" si="7"/>
        <v>6060 RICHMOND AVE,Houston,TX</v>
      </c>
      <c r="D3232" s="51" t="s">
        <v>5086</v>
      </c>
      <c r="E3232" s="23" t="s">
        <v>25</v>
      </c>
      <c r="F3232" s="23" t="s">
        <v>1388</v>
      </c>
      <c r="G3232" s="31" t="s">
        <v>689</v>
      </c>
      <c r="H3232" s="58" t="s">
        <v>1493</v>
      </c>
      <c r="I3232" s="37" t="str">
        <f>VLOOKUP(H3232,'Flow Location'!$A$1:$B$21,2,FALSE)</f>
        <v>Contained On Site, not within 5 ft. of Bayou/Surface Water/Drainage Ditch</v>
      </c>
      <c r="J3232" s="52">
        <v>0.0</v>
      </c>
      <c r="K3232" s="51" t="s">
        <v>51</v>
      </c>
      <c r="L3232" s="37" t="str">
        <f>VLOOKUP(K3232,'Structure type'!$A$1:$B$15,2,FALSE)</f>
        <v>Private Cleanout</v>
      </c>
      <c r="M3232" s="51" t="s">
        <v>30</v>
      </c>
      <c r="N3232" s="23" t="str">
        <f>VLOOKUP(M3232,'Excursion Cause'!$A$1:$B$34,2,FALSE)</f>
        <v>Grease Blockage</v>
      </c>
      <c r="O3232" s="53">
        <v>45271.0</v>
      </c>
      <c r="P3232" s="30">
        <v>0.6680555555555555</v>
      </c>
      <c r="Q3232" s="29">
        <v>45271.0</v>
      </c>
      <c r="R3232" s="30">
        <v>0.66875</v>
      </c>
      <c r="S3232" s="59">
        <v>0.0</v>
      </c>
      <c r="T3232" s="23" t="s">
        <v>3749</v>
      </c>
      <c r="U3232" s="56"/>
      <c r="V3232" s="56"/>
      <c r="W3232" s="35">
        <v>29.7323673999999</v>
      </c>
      <c r="X3232" s="35">
        <v>-95.4867111</v>
      </c>
      <c r="AA3232" s="33"/>
      <c r="AB3232" s="33"/>
      <c r="AC3232" s="33"/>
      <c r="AD3232" s="33"/>
      <c r="AE3232" s="33"/>
      <c r="AF3232" s="33"/>
      <c r="AG3232" s="33"/>
      <c r="AH3232" s="33"/>
      <c r="AI3232" s="33"/>
      <c r="AJ3232" s="33"/>
      <c r="AK3232" s="33"/>
      <c r="AL3232" s="33"/>
      <c r="AM3232" s="33"/>
      <c r="AN3232" s="33"/>
      <c r="AO3232" s="33"/>
    </row>
    <row r="3233" ht="15.75" customHeight="1">
      <c r="A3233" s="50">
        <v>55066.0</v>
      </c>
      <c r="B3233" s="23">
        <v>2023.0</v>
      </c>
      <c r="C3233" s="36" t="str">
        <f t="shared" si="7"/>
        <v>12424 MARICOPA LN,Houston,TX</v>
      </c>
      <c r="D3233" s="51" t="s">
        <v>5087</v>
      </c>
      <c r="E3233" s="23" t="s">
        <v>25</v>
      </c>
      <c r="F3233" s="23" t="s">
        <v>1388</v>
      </c>
      <c r="G3233" s="31" t="s">
        <v>623</v>
      </c>
      <c r="H3233" s="58" t="s">
        <v>28</v>
      </c>
      <c r="I3233" s="37" t="str">
        <f>VLOOKUP(H3233,'Flow Location'!$A$1:$B$21,2,FALSE)</f>
        <v>Storm Sewer (not contained)</v>
      </c>
      <c r="J3233" s="52">
        <v>783.0</v>
      </c>
      <c r="K3233" s="51" t="s">
        <v>29</v>
      </c>
      <c r="L3233" s="37" t="str">
        <f>VLOOKUP(K3233,'Structure type'!$A$1:$B$15,2,FALSE)</f>
        <v>Manhole</v>
      </c>
      <c r="M3233" s="51" t="s">
        <v>764</v>
      </c>
      <c r="N3233" s="23" t="str">
        <f>VLOOKUP(M3233,'Excursion Cause'!$A$1:$B$34,2,FALSE)</f>
        <v>Power Outage</v>
      </c>
      <c r="O3233" s="53">
        <v>45271.0</v>
      </c>
      <c r="P3233" s="30">
        <v>0.6902777777777778</v>
      </c>
      <c r="Q3233" s="29">
        <v>45271.0</v>
      </c>
      <c r="R3233" s="30">
        <v>0.8715277777777778</v>
      </c>
      <c r="S3233" s="59">
        <v>3.0</v>
      </c>
      <c r="T3233" s="23" t="s">
        <v>118</v>
      </c>
      <c r="U3233" s="56"/>
      <c r="V3233" s="56"/>
      <c r="W3233" s="35">
        <v>29.7607335</v>
      </c>
      <c r="X3233" s="35">
        <v>-95.2168959</v>
      </c>
      <c r="AA3233" s="33"/>
      <c r="AB3233" s="33"/>
      <c r="AC3233" s="33"/>
      <c r="AD3233" s="33"/>
      <c r="AE3233" s="33"/>
      <c r="AF3233" s="33"/>
      <c r="AG3233" s="33"/>
      <c r="AH3233" s="33"/>
      <c r="AI3233" s="33"/>
      <c r="AJ3233" s="33"/>
      <c r="AK3233" s="33"/>
      <c r="AL3233" s="33"/>
      <c r="AM3233" s="33"/>
      <c r="AN3233" s="33"/>
      <c r="AO3233" s="33"/>
    </row>
    <row r="3234" ht="15.75" customHeight="1">
      <c r="A3234" s="50">
        <v>55067.0</v>
      </c>
      <c r="B3234" s="23">
        <v>2023.0</v>
      </c>
      <c r="C3234" s="36" t="str">
        <f t="shared" si="7"/>
        <v>1900 JOHN RALSTON RD,Houston,TX</v>
      </c>
      <c r="D3234" s="51" t="s">
        <v>5088</v>
      </c>
      <c r="E3234" s="23" t="s">
        <v>25</v>
      </c>
      <c r="F3234" s="23" t="s">
        <v>1388</v>
      </c>
      <c r="G3234" s="31" t="s">
        <v>656</v>
      </c>
      <c r="H3234" s="58" t="s">
        <v>44</v>
      </c>
      <c r="I3234" s="37" t="str">
        <f>VLOOKUP(H3234,'Flow Location'!$A$1:$B$21,2,FALSE)</f>
        <v>Bayou/surface water/drainage ditch</v>
      </c>
      <c r="J3234" s="52">
        <v>26450.0</v>
      </c>
      <c r="K3234" s="51" t="s">
        <v>290</v>
      </c>
      <c r="L3234" s="37" t="str">
        <f>VLOOKUP(K3234,'Structure type'!$A$1:$B$15,2,FALSE)</f>
        <v>Gravity Main</v>
      </c>
      <c r="M3234" s="51" t="s">
        <v>52</v>
      </c>
      <c r="N3234" s="23" t="str">
        <f>VLOOKUP(M3234,'Excursion Cause'!$A$1:$B$34,2,FALSE)</f>
        <v>Collection system structural blockage</v>
      </c>
      <c r="O3234" s="53">
        <v>45271.0</v>
      </c>
      <c r="P3234" s="30">
        <v>0.6423611111111112</v>
      </c>
      <c r="Q3234" s="29">
        <v>45272.0</v>
      </c>
      <c r="R3234" s="30">
        <v>0.3770833333333333</v>
      </c>
      <c r="S3234" s="59">
        <v>25.0</v>
      </c>
      <c r="T3234" s="23" t="s">
        <v>1391</v>
      </c>
      <c r="U3234" s="56"/>
      <c r="V3234" s="56"/>
      <c r="W3234" s="35">
        <v>29.7751616</v>
      </c>
      <c r="X3234" s="35">
        <v>-95.2320969</v>
      </c>
      <c r="AA3234" s="33"/>
      <c r="AB3234" s="33"/>
      <c r="AC3234" s="33"/>
      <c r="AD3234" s="33"/>
      <c r="AE3234" s="33"/>
      <c r="AF3234" s="33"/>
      <c r="AG3234" s="33"/>
      <c r="AH3234" s="33"/>
      <c r="AI3234" s="33"/>
      <c r="AJ3234" s="33"/>
      <c r="AK3234" s="33"/>
      <c r="AL3234" s="33"/>
      <c r="AM3234" s="33"/>
      <c r="AN3234" s="33"/>
      <c r="AO3234" s="33"/>
    </row>
    <row r="3235" ht="15.75" customHeight="1">
      <c r="A3235" s="50">
        <v>55073.0</v>
      </c>
      <c r="B3235" s="23">
        <v>2023.0</v>
      </c>
      <c r="C3235" s="36" t="str">
        <f t="shared" si="7"/>
        <v>4616 REDBUD ST,Houston,TX</v>
      </c>
      <c r="D3235" s="51" t="s">
        <v>5089</v>
      </c>
      <c r="E3235" s="23" t="s">
        <v>25</v>
      </c>
      <c r="F3235" s="23" t="s">
        <v>1388</v>
      </c>
      <c r="G3235" s="31" t="s">
        <v>105</v>
      </c>
      <c r="H3235" s="58" t="s">
        <v>50</v>
      </c>
      <c r="I3235" s="37" t="str">
        <f>VLOOKUP(H3235,'Flow Location'!$A$1:$B$21,2,FALSE)</f>
        <v>Contained On Site, not within 5 ft. of Bayou/Surface Water/Drainage Ditch</v>
      </c>
      <c r="J3235" s="52">
        <v>54.0</v>
      </c>
      <c r="K3235" s="51" t="s">
        <v>45</v>
      </c>
      <c r="L3235" s="37" t="str">
        <f>VLOOKUP(K3235,'Structure type'!$A$1:$B$15,2,FALSE)</f>
        <v>City Cleanout</v>
      </c>
      <c r="M3235" s="51" t="s">
        <v>56</v>
      </c>
      <c r="N3235" s="23" t="str">
        <f>VLOOKUP(M3235,'Excursion Cause'!$A$1:$B$34,2,FALSE)</f>
        <v>Rags/Wipes</v>
      </c>
      <c r="O3235" s="53">
        <v>45272.0</v>
      </c>
      <c r="P3235" s="30">
        <v>0.4652777777777778</v>
      </c>
      <c r="Q3235" s="29">
        <v>45272.0</v>
      </c>
      <c r="R3235" s="30">
        <v>0.5027777777777778</v>
      </c>
      <c r="S3235" s="59">
        <v>1.0</v>
      </c>
      <c r="T3235" s="23" t="s">
        <v>3743</v>
      </c>
      <c r="U3235" s="56"/>
      <c r="V3235" s="56"/>
      <c r="W3235" s="35">
        <v>29.673114</v>
      </c>
      <c r="X3235" s="35">
        <v>-95.3563109999999</v>
      </c>
      <c r="AA3235" s="33"/>
      <c r="AB3235" s="33"/>
      <c r="AC3235" s="33"/>
      <c r="AD3235" s="33"/>
      <c r="AE3235" s="33"/>
      <c r="AF3235" s="33"/>
      <c r="AG3235" s="33"/>
      <c r="AH3235" s="33"/>
      <c r="AI3235" s="33"/>
      <c r="AJ3235" s="33"/>
      <c r="AK3235" s="33"/>
      <c r="AL3235" s="33"/>
      <c r="AM3235" s="33"/>
      <c r="AN3235" s="33"/>
      <c r="AO3235" s="33"/>
    </row>
    <row r="3236" ht="15.75" customHeight="1">
      <c r="A3236" s="50">
        <v>55074.0</v>
      </c>
      <c r="B3236" s="23">
        <v>2023.0</v>
      </c>
      <c r="C3236" s="36" t="str">
        <f t="shared" si="7"/>
        <v>9950 BESSEMER ST,Houston,TX</v>
      </c>
      <c r="D3236" s="51" t="s">
        <v>1379</v>
      </c>
      <c r="E3236" s="23" t="s">
        <v>25</v>
      </c>
      <c r="F3236" s="23" t="s">
        <v>1388</v>
      </c>
      <c r="G3236" s="31" t="s">
        <v>49</v>
      </c>
      <c r="H3236" s="58" t="s">
        <v>28</v>
      </c>
      <c r="I3236" s="37" t="str">
        <f>VLOOKUP(H3236,'Flow Location'!$A$1:$B$21,2,FALSE)</f>
        <v>Storm Sewer (not contained)</v>
      </c>
      <c r="J3236" s="52">
        <v>360.0</v>
      </c>
      <c r="K3236" s="51" t="s">
        <v>29</v>
      </c>
      <c r="L3236" s="37" t="str">
        <f>VLOOKUP(K3236,'Structure type'!$A$1:$B$15,2,FALSE)</f>
        <v>Manhole</v>
      </c>
      <c r="M3236" s="51" t="s">
        <v>30</v>
      </c>
      <c r="N3236" s="23" t="str">
        <f>VLOOKUP(M3236,'Excursion Cause'!$A$1:$B$34,2,FALSE)</f>
        <v>Grease Blockage</v>
      </c>
      <c r="O3236" s="53">
        <v>45272.0</v>
      </c>
      <c r="P3236" s="30">
        <v>0.5</v>
      </c>
      <c r="Q3236" s="29">
        <v>45272.0</v>
      </c>
      <c r="R3236" s="30">
        <v>0.625</v>
      </c>
      <c r="S3236" s="59">
        <v>2.0</v>
      </c>
      <c r="T3236" s="23" t="s">
        <v>3749</v>
      </c>
      <c r="U3236" s="56"/>
      <c r="V3236" s="56"/>
      <c r="W3236" s="35">
        <v>29.6374415</v>
      </c>
      <c r="X3236" s="35">
        <v>-95.2364765</v>
      </c>
      <c r="AA3236" s="33"/>
      <c r="AB3236" s="33"/>
      <c r="AC3236" s="33"/>
      <c r="AD3236" s="33"/>
      <c r="AE3236" s="33"/>
      <c r="AF3236" s="33"/>
      <c r="AG3236" s="33"/>
      <c r="AH3236" s="33"/>
      <c r="AI3236" s="33"/>
      <c r="AJ3236" s="33"/>
      <c r="AK3236" s="33"/>
      <c r="AL3236" s="33"/>
      <c r="AM3236" s="33"/>
      <c r="AN3236" s="33"/>
      <c r="AO3236" s="33"/>
    </row>
    <row r="3237" ht="15.75" customHeight="1">
      <c r="A3237" s="50">
        <v>55076.0</v>
      </c>
      <c r="B3237" s="23">
        <v>2023.0</v>
      </c>
      <c r="C3237" s="36" t="str">
        <f t="shared" si="7"/>
        <v>10623 HUNTINGTON POINT DR,Houston,TX</v>
      </c>
      <c r="D3237" s="51" t="s">
        <v>5090</v>
      </c>
      <c r="E3237" s="23" t="s">
        <v>25</v>
      </c>
      <c r="F3237" s="23" t="s">
        <v>1388</v>
      </c>
      <c r="G3237" s="31" t="s">
        <v>154</v>
      </c>
      <c r="H3237" s="58" t="s">
        <v>1493</v>
      </c>
      <c r="I3237" s="37" t="str">
        <f>VLOOKUP(H3237,'Flow Location'!$A$1:$B$21,2,FALSE)</f>
        <v>Contained On Site, not within 5 ft. of Bayou/Surface Water/Drainage Ditch</v>
      </c>
      <c r="J3237" s="52">
        <v>500.0</v>
      </c>
      <c r="K3237" s="51" t="s">
        <v>29</v>
      </c>
      <c r="L3237" s="37" t="str">
        <f>VLOOKUP(K3237,'Structure type'!$A$1:$B$15,2,FALSE)</f>
        <v>Manhole</v>
      </c>
      <c r="M3237" s="51" t="s">
        <v>3239</v>
      </c>
      <c r="N3237" s="23" t="str">
        <f>VLOOKUP(M3237,'Excursion Cause'!$A$1:$B$34,2,FALSE)</f>
        <v>Collection system temporary blockage</v>
      </c>
      <c r="O3237" s="53">
        <v>45268.0</v>
      </c>
      <c r="P3237" s="30">
        <v>0.5055555555555555</v>
      </c>
      <c r="Q3237" s="29">
        <v>45268.0</v>
      </c>
      <c r="R3237" s="30">
        <v>0.5138888888888888</v>
      </c>
      <c r="S3237" s="59">
        <v>42.0</v>
      </c>
      <c r="T3237" s="23" t="s">
        <v>5091</v>
      </c>
      <c r="U3237" s="56"/>
      <c r="V3237" s="56"/>
      <c r="W3237" s="35">
        <v>29.6649536</v>
      </c>
      <c r="X3237" s="35">
        <v>-95.6095962</v>
      </c>
      <c r="AA3237" s="33"/>
      <c r="AB3237" s="33"/>
      <c r="AC3237" s="33"/>
      <c r="AD3237" s="33"/>
      <c r="AE3237" s="33"/>
      <c r="AF3237" s="33"/>
      <c r="AG3237" s="33"/>
      <c r="AH3237" s="33"/>
      <c r="AI3237" s="33"/>
      <c r="AJ3237" s="33"/>
      <c r="AK3237" s="33"/>
      <c r="AL3237" s="33"/>
      <c r="AM3237" s="33"/>
      <c r="AN3237" s="33"/>
      <c r="AO3237" s="33"/>
    </row>
    <row r="3238" ht="15.75" customHeight="1">
      <c r="A3238" s="50">
        <v>55077.0</v>
      </c>
      <c r="B3238" s="23">
        <v>2023.0</v>
      </c>
      <c r="C3238" s="36" t="str">
        <f t="shared" si="7"/>
        <v>10619 HUNTINGTON POINT DR,Houston,TX</v>
      </c>
      <c r="D3238" s="51" t="s">
        <v>5092</v>
      </c>
      <c r="E3238" s="23" t="s">
        <v>25</v>
      </c>
      <c r="F3238" s="23" t="s">
        <v>1388</v>
      </c>
      <c r="G3238" s="31" t="s">
        <v>154</v>
      </c>
      <c r="H3238" s="58" t="s">
        <v>50</v>
      </c>
      <c r="I3238" s="37" t="str">
        <f>VLOOKUP(H3238,'Flow Location'!$A$1:$B$21,2,FALSE)</f>
        <v>Contained On Site, not within 5 ft. of Bayou/Surface Water/Drainage Ditch</v>
      </c>
      <c r="J3238" s="52">
        <v>500.0</v>
      </c>
      <c r="K3238" s="51" t="s">
        <v>29</v>
      </c>
      <c r="L3238" s="37" t="str">
        <f>VLOOKUP(K3238,'Structure type'!$A$1:$B$15,2,FALSE)</f>
        <v>Manhole</v>
      </c>
      <c r="M3238" s="51" t="s">
        <v>96</v>
      </c>
      <c r="N3238" s="23" t="str">
        <f>VLOOKUP(M3238,'Excursion Cause'!$A$1:$B$34,2,FALSE)</f>
        <v>Collection system temporary blockage</v>
      </c>
      <c r="O3238" s="53">
        <v>45268.0</v>
      </c>
      <c r="P3238" s="30">
        <v>0.5055555555555555</v>
      </c>
      <c r="Q3238" s="29">
        <v>45268.0</v>
      </c>
      <c r="R3238" s="30">
        <v>0.5138888888888888</v>
      </c>
      <c r="S3238" s="59">
        <v>42.0</v>
      </c>
      <c r="T3238" s="23" t="s">
        <v>5093</v>
      </c>
      <c r="U3238" s="56"/>
      <c r="V3238" s="56"/>
      <c r="W3238" s="35">
        <v>29.6651594</v>
      </c>
      <c r="X3238" s="35">
        <v>-95.6094225</v>
      </c>
      <c r="AA3238" s="33"/>
      <c r="AB3238" s="33"/>
      <c r="AC3238" s="33"/>
      <c r="AD3238" s="33"/>
      <c r="AE3238" s="33"/>
      <c r="AF3238" s="33"/>
      <c r="AG3238" s="33"/>
      <c r="AH3238" s="33"/>
      <c r="AI3238" s="33"/>
      <c r="AJ3238" s="33"/>
      <c r="AK3238" s="33"/>
      <c r="AL3238" s="33"/>
      <c r="AM3238" s="33"/>
      <c r="AN3238" s="33"/>
      <c r="AO3238" s="33"/>
    </row>
    <row r="3239" ht="15.75" customHeight="1">
      <c r="A3239" s="50">
        <v>55078.0</v>
      </c>
      <c r="B3239" s="23">
        <v>2023.0</v>
      </c>
      <c r="C3239" s="36" t="str">
        <f t="shared" si="7"/>
        <v>5702 ARIEL ST,Houston,TX</v>
      </c>
      <c r="D3239" s="51" t="s">
        <v>5094</v>
      </c>
      <c r="E3239" s="23" t="s">
        <v>25</v>
      </c>
      <c r="F3239" s="23" t="s">
        <v>1388</v>
      </c>
      <c r="G3239" s="31" t="s">
        <v>69</v>
      </c>
      <c r="H3239" s="58" t="s">
        <v>50</v>
      </c>
      <c r="I3239" s="37" t="str">
        <f>VLOOKUP(H3239,'Flow Location'!$A$1:$B$21,2,FALSE)</f>
        <v>Contained On Site, not within 5 ft. of Bayou/Surface Water/Drainage Ditch</v>
      </c>
      <c r="J3239" s="52">
        <v>0.0</v>
      </c>
      <c r="K3239" s="51" t="s">
        <v>29</v>
      </c>
      <c r="L3239" s="37" t="str">
        <f>VLOOKUP(K3239,'Structure type'!$A$1:$B$15,2,FALSE)</f>
        <v>Manhole</v>
      </c>
      <c r="M3239" s="51" t="s">
        <v>30</v>
      </c>
      <c r="N3239" s="23" t="str">
        <f>VLOOKUP(M3239,'Excursion Cause'!$A$1:$B$34,2,FALSE)</f>
        <v>Grease Blockage</v>
      </c>
      <c r="O3239" s="53">
        <v>45272.0</v>
      </c>
      <c r="P3239" s="30">
        <v>0.5208333333333334</v>
      </c>
      <c r="Q3239" s="29">
        <v>45272.0</v>
      </c>
      <c r="R3239" s="30">
        <v>0.5215277777777778</v>
      </c>
      <c r="S3239" s="59">
        <v>0.0</v>
      </c>
      <c r="T3239" s="23" t="s">
        <v>3749</v>
      </c>
      <c r="U3239" s="56"/>
      <c r="V3239" s="56"/>
      <c r="W3239" s="35">
        <v>29.6833901</v>
      </c>
      <c r="X3239" s="35">
        <v>-95.4892670999999</v>
      </c>
      <c r="AA3239" s="33"/>
      <c r="AB3239" s="33"/>
      <c r="AC3239" s="33"/>
      <c r="AD3239" s="33"/>
      <c r="AE3239" s="33"/>
      <c r="AF3239" s="33"/>
      <c r="AG3239" s="33"/>
      <c r="AH3239" s="33"/>
      <c r="AI3239" s="33"/>
      <c r="AJ3239" s="33"/>
      <c r="AK3239" s="33"/>
      <c r="AL3239" s="33"/>
      <c r="AM3239" s="33"/>
      <c r="AN3239" s="33"/>
      <c r="AO3239" s="33"/>
    </row>
    <row r="3240" ht="15.75" customHeight="1">
      <c r="A3240" s="50">
        <v>55079.0</v>
      </c>
      <c r="B3240" s="23">
        <v>2023.0</v>
      </c>
      <c r="C3240" s="36" t="str">
        <f t="shared" si="7"/>
        <v>617 WARNER ST,Houston,TX</v>
      </c>
      <c r="D3240" s="51" t="s">
        <v>1061</v>
      </c>
      <c r="E3240" s="23" t="s">
        <v>25</v>
      </c>
      <c r="F3240" s="23" t="s">
        <v>1388</v>
      </c>
      <c r="G3240" s="31" t="s">
        <v>653</v>
      </c>
      <c r="H3240" s="58" t="s">
        <v>50</v>
      </c>
      <c r="I3240" s="37" t="str">
        <f>VLOOKUP(H3240,'Flow Location'!$A$1:$B$21,2,FALSE)</f>
        <v>Contained On Site, not within 5 ft. of Bayou/Surface Water/Drainage Ditch</v>
      </c>
      <c r="J3240" s="52">
        <v>0.0</v>
      </c>
      <c r="K3240" s="51" t="s">
        <v>45</v>
      </c>
      <c r="L3240" s="37" t="str">
        <f>VLOOKUP(K3240,'Structure type'!$A$1:$B$15,2,FALSE)</f>
        <v>City Cleanout</v>
      </c>
      <c r="M3240" s="51" t="s">
        <v>30</v>
      </c>
      <c r="N3240" s="23" t="str">
        <f>VLOOKUP(M3240,'Excursion Cause'!$A$1:$B$34,2,FALSE)</f>
        <v>Grease Blockage</v>
      </c>
      <c r="O3240" s="53">
        <v>45272.0</v>
      </c>
      <c r="P3240" s="30">
        <v>0.6027777777777777</v>
      </c>
      <c r="Q3240" s="29">
        <v>45272.0</v>
      </c>
      <c r="R3240" s="30">
        <v>0.6034722222222222</v>
      </c>
      <c r="S3240" s="59">
        <v>0.0</v>
      </c>
      <c r="T3240" s="23" t="s">
        <v>3749</v>
      </c>
      <c r="U3240" s="56"/>
      <c r="V3240" s="56"/>
      <c r="W3240" s="35">
        <v>29.8409649</v>
      </c>
      <c r="X3240" s="35">
        <v>-95.3667419</v>
      </c>
      <c r="AA3240" s="33"/>
      <c r="AB3240" s="33"/>
      <c r="AC3240" s="33"/>
      <c r="AD3240" s="33"/>
      <c r="AE3240" s="33"/>
      <c r="AF3240" s="33"/>
      <c r="AG3240" s="33"/>
      <c r="AH3240" s="33"/>
      <c r="AI3240" s="33"/>
      <c r="AJ3240" s="33"/>
      <c r="AK3240" s="33"/>
      <c r="AL3240" s="33"/>
      <c r="AM3240" s="33"/>
      <c r="AN3240" s="33"/>
      <c r="AO3240" s="33"/>
    </row>
    <row r="3241" ht="15.75" customHeight="1">
      <c r="A3241" s="50">
        <v>55081.0</v>
      </c>
      <c r="B3241" s="23">
        <v>2023.0</v>
      </c>
      <c r="C3241" s="36" t="str">
        <f t="shared" si="7"/>
        <v>8020 CORA ST,Houston,TX</v>
      </c>
      <c r="D3241" s="51" t="s">
        <v>5095</v>
      </c>
      <c r="E3241" s="23" t="s">
        <v>25</v>
      </c>
      <c r="F3241" s="23" t="s">
        <v>1388</v>
      </c>
      <c r="G3241" s="31" t="s">
        <v>502</v>
      </c>
      <c r="H3241" s="58" t="s">
        <v>5096</v>
      </c>
      <c r="I3241" s="37" t="str">
        <f>VLOOKUP(H3241,'Flow Location'!$A$1:$B$21,2,FALSE)</f>
        <v>#N/A</v>
      </c>
      <c r="J3241" s="52">
        <v>0.0</v>
      </c>
      <c r="K3241" s="51" t="s">
        <v>45</v>
      </c>
      <c r="L3241" s="37" t="str">
        <f>VLOOKUP(K3241,'Structure type'!$A$1:$B$15,2,FALSE)</f>
        <v>City Cleanout</v>
      </c>
      <c r="M3241" s="51" t="s">
        <v>56</v>
      </c>
      <c r="N3241" s="23" t="str">
        <f>VLOOKUP(M3241,'Excursion Cause'!$A$1:$B$34,2,FALSE)</f>
        <v>Rags/Wipes</v>
      </c>
      <c r="O3241" s="53">
        <v>45272.0</v>
      </c>
      <c r="P3241" s="30">
        <v>0.6631944444444444</v>
      </c>
      <c r="Q3241" s="29">
        <v>45272.0</v>
      </c>
      <c r="R3241" s="30">
        <v>0.6638888888888889</v>
      </c>
      <c r="S3241" s="59">
        <v>0.0</v>
      </c>
      <c r="T3241" s="23" t="s">
        <v>3756</v>
      </c>
      <c r="U3241" s="56"/>
      <c r="V3241" s="56"/>
      <c r="W3241" s="35">
        <v>29.8739042</v>
      </c>
      <c r="X3241" s="35">
        <v>-95.4410461</v>
      </c>
      <c r="AA3241" s="33"/>
      <c r="AB3241" s="33"/>
      <c r="AC3241" s="33"/>
      <c r="AD3241" s="33"/>
      <c r="AE3241" s="33"/>
      <c r="AF3241" s="33"/>
      <c r="AG3241" s="33"/>
      <c r="AH3241" s="33"/>
      <c r="AI3241" s="33"/>
      <c r="AJ3241" s="33"/>
      <c r="AK3241" s="33"/>
      <c r="AL3241" s="33"/>
      <c r="AM3241" s="33"/>
      <c r="AN3241" s="33"/>
      <c r="AO3241" s="33"/>
    </row>
    <row r="3242" ht="15.75" customHeight="1">
      <c r="A3242" s="50">
        <v>55083.0</v>
      </c>
      <c r="B3242" s="23">
        <v>2023.0</v>
      </c>
      <c r="C3242" s="36" t="str">
        <f t="shared" si="7"/>
        <v>8006 DUNLAP ST,Houston,TX</v>
      </c>
      <c r="D3242" s="51" t="s">
        <v>2015</v>
      </c>
      <c r="E3242" s="23" t="s">
        <v>25</v>
      </c>
      <c r="F3242" s="23" t="s">
        <v>1388</v>
      </c>
      <c r="G3242" s="31" t="s">
        <v>471</v>
      </c>
      <c r="H3242" s="58" t="s">
        <v>28</v>
      </c>
      <c r="I3242" s="37" t="str">
        <f>VLOOKUP(H3242,'Flow Location'!$A$1:$B$21,2,FALSE)</f>
        <v>Storm Sewer (not contained)</v>
      </c>
      <c r="J3242" s="52">
        <v>508.0</v>
      </c>
      <c r="K3242" s="51" t="s">
        <v>45</v>
      </c>
      <c r="L3242" s="37" t="str">
        <f>VLOOKUP(K3242,'Structure type'!$A$1:$B$15,2,FALSE)</f>
        <v>City Cleanout</v>
      </c>
      <c r="M3242" s="51" t="s">
        <v>30</v>
      </c>
      <c r="N3242" s="23" t="str">
        <f>VLOOKUP(M3242,'Excursion Cause'!$A$1:$B$34,2,FALSE)</f>
        <v>Grease Blockage</v>
      </c>
      <c r="O3242" s="53">
        <v>45273.0</v>
      </c>
      <c r="P3242" s="30">
        <v>0.36180555555555555</v>
      </c>
      <c r="Q3242" s="29">
        <v>45273.0</v>
      </c>
      <c r="R3242" s="30">
        <v>0.7145833333333333</v>
      </c>
      <c r="S3242" s="59">
        <v>1.0</v>
      </c>
      <c r="T3242" s="23" t="s">
        <v>3749</v>
      </c>
      <c r="U3242" s="56"/>
      <c r="V3242" s="56"/>
      <c r="W3242" s="35">
        <v>29.6933038</v>
      </c>
      <c r="X3242" s="35">
        <v>-95.4948435</v>
      </c>
      <c r="AA3242" s="33"/>
      <c r="AB3242" s="33"/>
      <c r="AC3242" s="33"/>
      <c r="AD3242" s="33"/>
      <c r="AE3242" s="33"/>
      <c r="AF3242" s="33"/>
      <c r="AG3242" s="33"/>
      <c r="AH3242" s="33"/>
      <c r="AI3242" s="33"/>
      <c r="AJ3242" s="33"/>
      <c r="AK3242" s="33"/>
      <c r="AL3242" s="33"/>
      <c r="AM3242" s="33"/>
      <c r="AN3242" s="33"/>
      <c r="AO3242" s="33"/>
    </row>
    <row r="3243" ht="15.75" customHeight="1">
      <c r="A3243" s="50">
        <v>55085.0</v>
      </c>
      <c r="B3243" s="23">
        <v>2023.0</v>
      </c>
      <c r="C3243" s="36" t="str">
        <f t="shared" si="7"/>
        <v>2705 SAM WILSON ST,Houston,TX</v>
      </c>
      <c r="D3243" s="51" t="s">
        <v>3981</v>
      </c>
      <c r="E3243" s="23" t="s">
        <v>25</v>
      </c>
      <c r="F3243" s="23" t="s">
        <v>1388</v>
      </c>
      <c r="G3243" s="31" t="s">
        <v>86</v>
      </c>
      <c r="H3243" s="58" t="s">
        <v>50</v>
      </c>
      <c r="I3243" s="37" t="str">
        <f>VLOOKUP(H3243,'Flow Location'!$A$1:$B$21,2,FALSE)</f>
        <v>Contained On Site, not within 5 ft. of Bayou/Surface Water/Drainage Ditch</v>
      </c>
      <c r="J3243" s="52">
        <v>0.0</v>
      </c>
      <c r="K3243" s="51" t="s">
        <v>45</v>
      </c>
      <c r="L3243" s="37" t="str">
        <f>VLOOKUP(K3243,'Structure type'!$A$1:$B$15,2,FALSE)</f>
        <v>City Cleanout</v>
      </c>
      <c r="M3243" s="51" t="s">
        <v>30</v>
      </c>
      <c r="N3243" s="23" t="str">
        <f>VLOOKUP(M3243,'Excursion Cause'!$A$1:$B$34,2,FALSE)</f>
        <v>Grease Blockage</v>
      </c>
      <c r="O3243" s="53">
        <v>45273.0</v>
      </c>
      <c r="P3243" s="30">
        <v>0.4979166666666667</v>
      </c>
      <c r="Q3243" s="29">
        <v>45273.0</v>
      </c>
      <c r="R3243" s="30">
        <v>0.4986111111111111</v>
      </c>
      <c r="S3243" s="59">
        <v>0.0</v>
      </c>
      <c r="T3243" s="23" t="s">
        <v>3743</v>
      </c>
      <c r="U3243" s="56"/>
      <c r="V3243" s="56"/>
      <c r="W3243" s="35">
        <v>29.7865773</v>
      </c>
      <c r="X3243" s="35">
        <v>-95.3145594</v>
      </c>
      <c r="AA3243" s="33"/>
      <c r="AB3243" s="33"/>
      <c r="AC3243" s="33"/>
      <c r="AD3243" s="33"/>
      <c r="AE3243" s="33"/>
      <c r="AF3243" s="33"/>
      <c r="AG3243" s="33"/>
      <c r="AH3243" s="33"/>
      <c r="AI3243" s="33"/>
      <c r="AJ3243" s="33"/>
      <c r="AK3243" s="33"/>
      <c r="AL3243" s="33"/>
      <c r="AM3243" s="33"/>
      <c r="AN3243" s="33"/>
      <c r="AO3243" s="33"/>
    </row>
    <row r="3244" ht="15.75" customHeight="1">
      <c r="A3244" s="50">
        <v>55086.0</v>
      </c>
      <c r="B3244" s="23">
        <v>2023.0</v>
      </c>
      <c r="C3244" s="36" t="str">
        <f t="shared" si="7"/>
        <v>8559 BEECHNUT ST,Houston,TX</v>
      </c>
      <c r="D3244" s="51" t="s">
        <v>5097</v>
      </c>
      <c r="E3244" s="23" t="s">
        <v>25</v>
      </c>
      <c r="F3244" s="23" t="s">
        <v>1388</v>
      </c>
      <c r="G3244" s="31" t="s">
        <v>100</v>
      </c>
      <c r="H3244" s="58" t="s">
        <v>28</v>
      </c>
      <c r="I3244" s="37" t="str">
        <f>VLOOKUP(H3244,'Flow Location'!$A$1:$B$21,2,FALSE)</f>
        <v>Storm Sewer (not contained)</v>
      </c>
      <c r="J3244" s="52">
        <v>121.0</v>
      </c>
      <c r="K3244" s="51" t="s">
        <v>45</v>
      </c>
      <c r="L3244" s="37" t="str">
        <f>VLOOKUP(K3244,'Structure type'!$A$1:$B$15,2,FALSE)</f>
        <v>City Cleanout</v>
      </c>
      <c r="M3244" s="51" t="s">
        <v>30</v>
      </c>
      <c r="N3244" s="23" t="str">
        <f>VLOOKUP(M3244,'Excursion Cause'!$A$1:$B$34,2,FALSE)</f>
        <v>Grease Blockage</v>
      </c>
      <c r="O3244" s="53">
        <v>45273.0</v>
      </c>
      <c r="P3244" s="30">
        <v>0.50625</v>
      </c>
      <c r="Q3244" s="29">
        <v>45273.0</v>
      </c>
      <c r="R3244" s="30">
        <v>0.5902777777777778</v>
      </c>
      <c r="S3244" s="59">
        <v>1.0</v>
      </c>
      <c r="T3244" s="23" t="s">
        <v>3756</v>
      </c>
      <c r="U3244" s="56"/>
      <c r="V3244" s="56"/>
      <c r="W3244" s="35">
        <v>29.6906553</v>
      </c>
      <c r="X3244" s="35">
        <v>-95.5355155</v>
      </c>
      <c r="AA3244" s="33"/>
      <c r="AB3244" s="33"/>
      <c r="AC3244" s="33"/>
      <c r="AD3244" s="33"/>
      <c r="AE3244" s="33"/>
      <c r="AF3244" s="33"/>
      <c r="AG3244" s="33"/>
      <c r="AH3244" s="33"/>
      <c r="AI3244" s="33"/>
      <c r="AJ3244" s="33"/>
      <c r="AK3244" s="33"/>
      <c r="AL3244" s="33"/>
      <c r="AM3244" s="33"/>
      <c r="AN3244" s="33"/>
      <c r="AO3244" s="33"/>
    </row>
    <row r="3245" ht="15.75" customHeight="1">
      <c r="A3245" s="50">
        <v>55087.0</v>
      </c>
      <c r="B3245" s="23">
        <v>2023.0</v>
      </c>
      <c r="C3245" s="36" t="str">
        <f t="shared" si="7"/>
        <v>111 FM 1959 RD,Houston,TX</v>
      </c>
      <c r="D3245" s="51" t="s">
        <v>5098</v>
      </c>
      <c r="E3245" s="23" t="s">
        <v>25</v>
      </c>
      <c r="F3245" s="23" t="s">
        <v>1388</v>
      </c>
      <c r="G3245" s="31" t="s">
        <v>49</v>
      </c>
      <c r="H3245" s="58" t="s">
        <v>28</v>
      </c>
      <c r="I3245" s="37" t="str">
        <f>VLOOKUP(H3245,'Flow Location'!$A$1:$B$21,2,FALSE)</f>
        <v>Storm Sewer (not contained)</v>
      </c>
      <c r="J3245" s="52">
        <v>2668.0</v>
      </c>
      <c r="K3245" s="51" t="s">
        <v>29</v>
      </c>
      <c r="L3245" s="37" t="str">
        <f>VLOOKUP(K3245,'Structure type'!$A$1:$B$15,2,FALSE)</f>
        <v>Manhole</v>
      </c>
      <c r="M3245" s="51" t="s">
        <v>81</v>
      </c>
      <c r="N3245" s="23" t="str">
        <f>VLOOKUP(M3245,'Excursion Cause'!$A$1:$B$34,2,FALSE)</f>
        <v>Collection system structural failure</v>
      </c>
      <c r="O3245" s="53">
        <v>45272.0</v>
      </c>
      <c r="P3245" s="30">
        <v>0.6756944444444445</v>
      </c>
      <c r="Q3245" s="29">
        <v>45273.0</v>
      </c>
      <c r="R3245" s="30">
        <v>0.6020833333333333</v>
      </c>
      <c r="S3245" s="59">
        <v>2.0</v>
      </c>
      <c r="T3245" s="23" t="s">
        <v>3745</v>
      </c>
      <c r="U3245" s="56"/>
      <c r="V3245" s="56"/>
      <c r="W3245" s="35">
        <v>29.6002455</v>
      </c>
      <c r="X3245" s="35">
        <v>-95.1772199</v>
      </c>
      <c r="AA3245" s="33"/>
      <c r="AB3245" s="33"/>
      <c r="AC3245" s="33"/>
      <c r="AD3245" s="33"/>
      <c r="AE3245" s="33"/>
      <c r="AF3245" s="33"/>
      <c r="AG3245" s="33"/>
      <c r="AH3245" s="33"/>
      <c r="AI3245" s="33"/>
      <c r="AJ3245" s="33"/>
      <c r="AK3245" s="33"/>
      <c r="AL3245" s="33"/>
      <c r="AM3245" s="33"/>
      <c r="AN3245" s="33"/>
      <c r="AO3245" s="33"/>
    </row>
    <row r="3246" ht="15.75" customHeight="1">
      <c r="A3246" s="50">
        <v>55088.0</v>
      </c>
      <c r="B3246" s="23">
        <v>2023.0</v>
      </c>
      <c r="C3246" s="36" t="str">
        <f t="shared" si="7"/>
        <v>10526 SIERRA DR,Houston,TX</v>
      </c>
      <c r="D3246" s="51" t="s">
        <v>5099</v>
      </c>
      <c r="E3246" s="23" t="s">
        <v>25</v>
      </c>
      <c r="F3246" s="23" t="s">
        <v>1388</v>
      </c>
      <c r="G3246" s="31" t="s">
        <v>105</v>
      </c>
      <c r="H3246" s="58" t="s">
        <v>50</v>
      </c>
      <c r="I3246" s="37" t="str">
        <f>VLOOKUP(H3246,'Flow Location'!$A$1:$B$21,2,FALSE)</f>
        <v>Contained On Site, not within 5 ft. of Bayou/Surface Water/Drainage Ditch</v>
      </c>
      <c r="J3246" s="52">
        <v>0.0</v>
      </c>
      <c r="K3246" s="51" t="s">
        <v>45</v>
      </c>
      <c r="L3246" s="37" t="str">
        <f>VLOOKUP(K3246,'Structure type'!$A$1:$B$15,2,FALSE)</f>
        <v>City Cleanout</v>
      </c>
      <c r="M3246" s="51" t="s">
        <v>56</v>
      </c>
      <c r="N3246" s="23" t="str">
        <f>VLOOKUP(M3246,'Excursion Cause'!$A$1:$B$34,2,FALSE)</f>
        <v>Rags/Wipes</v>
      </c>
      <c r="O3246" s="53">
        <v>45273.0</v>
      </c>
      <c r="P3246" s="30">
        <v>0.5638888888888889</v>
      </c>
      <c r="Q3246" s="29">
        <v>45273.0</v>
      </c>
      <c r="R3246" s="30">
        <v>0.5645833333333333</v>
      </c>
      <c r="S3246" s="59">
        <v>0.0</v>
      </c>
      <c r="T3246" s="23" t="s">
        <v>3756</v>
      </c>
      <c r="U3246" s="56"/>
      <c r="V3246" s="56"/>
      <c r="W3246" s="35">
        <v>29.644951</v>
      </c>
      <c r="X3246" s="35">
        <v>-95.3746122</v>
      </c>
      <c r="AA3246" s="33"/>
      <c r="AB3246" s="33"/>
      <c r="AC3246" s="33"/>
      <c r="AD3246" s="33"/>
      <c r="AE3246" s="33"/>
      <c r="AF3246" s="33"/>
      <c r="AG3246" s="33"/>
      <c r="AH3246" s="33"/>
      <c r="AI3246" s="33"/>
      <c r="AJ3246" s="33"/>
      <c r="AK3246" s="33"/>
      <c r="AL3246" s="33"/>
      <c r="AM3246" s="33"/>
      <c r="AN3246" s="33"/>
      <c r="AO3246" s="33"/>
    </row>
    <row r="3247" ht="15.75" customHeight="1">
      <c r="A3247" s="50">
        <v>55089.0</v>
      </c>
      <c r="B3247" s="23">
        <v>2023.0</v>
      </c>
      <c r="C3247" s="36" t="str">
        <f t="shared" si="7"/>
        <v>12320 BELLAIRE BLVD,Houston,TX</v>
      </c>
      <c r="D3247" s="51" t="s">
        <v>5100</v>
      </c>
      <c r="E3247" s="23" t="s">
        <v>25</v>
      </c>
      <c r="F3247" s="23" t="s">
        <v>1388</v>
      </c>
      <c r="G3247" s="31" t="s">
        <v>91</v>
      </c>
      <c r="H3247" s="58" t="s">
        <v>50</v>
      </c>
      <c r="I3247" s="37" t="str">
        <f>VLOOKUP(H3247,'Flow Location'!$A$1:$B$21,2,FALSE)</f>
        <v>Contained On Site, not within 5 ft. of Bayou/Surface Water/Drainage Ditch</v>
      </c>
      <c r="J3247" s="52">
        <v>0.0</v>
      </c>
      <c r="K3247" s="51" t="s">
        <v>45</v>
      </c>
      <c r="L3247" s="37" t="str">
        <f>VLOOKUP(K3247,'Structure type'!$A$1:$B$15,2,FALSE)</f>
        <v>City Cleanout</v>
      </c>
      <c r="M3247" s="51" t="s">
        <v>30</v>
      </c>
      <c r="N3247" s="23" t="str">
        <f>VLOOKUP(M3247,'Excursion Cause'!$A$1:$B$34,2,FALSE)</f>
        <v>Grease Blockage</v>
      </c>
      <c r="O3247" s="53">
        <v>45273.0</v>
      </c>
      <c r="P3247" s="30">
        <v>0.6027777777777777</v>
      </c>
      <c r="Q3247" s="29">
        <v>45273.0</v>
      </c>
      <c r="R3247" s="30">
        <v>0.6034722222222222</v>
      </c>
      <c r="S3247" s="59">
        <v>0.0</v>
      </c>
      <c r="T3247" s="23" t="s">
        <v>3743</v>
      </c>
      <c r="U3247" s="56"/>
      <c r="V3247" s="56"/>
      <c r="W3247" s="35">
        <v>29.7044834</v>
      </c>
      <c r="X3247" s="35">
        <v>-95.5981231</v>
      </c>
      <c r="AA3247" s="33"/>
      <c r="AB3247" s="33"/>
      <c r="AC3247" s="33"/>
      <c r="AD3247" s="33"/>
      <c r="AE3247" s="33"/>
      <c r="AF3247" s="33"/>
      <c r="AG3247" s="33"/>
      <c r="AH3247" s="33"/>
      <c r="AI3247" s="33"/>
      <c r="AJ3247" s="33"/>
      <c r="AK3247" s="33"/>
      <c r="AL3247" s="33"/>
      <c r="AM3247" s="33"/>
      <c r="AN3247" s="33"/>
      <c r="AO3247" s="33"/>
    </row>
    <row r="3248" ht="15.75" customHeight="1">
      <c r="A3248" s="50">
        <v>55093.0</v>
      </c>
      <c r="B3248" s="23">
        <v>2023.0</v>
      </c>
      <c r="C3248" s="36" t="str">
        <f t="shared" si="7"/>
        <v>5915 ENGLEFORD ST,Houston,TX</v>
      </c>
      <c r="D3248" s="51" t="s">
        <v>5101</v>
      </c>
      <c r="E3248" s="23" t="s">
        <v>25</v>
      </c>
      <c r="F3248" s="23" t="s">
        <v>1388</v>
      </c>
      <c r="G3248" s="31" t="s">
        <v>43</v>
      </c>
      <c r="H3248" s="58" t="s">
        <v>50</v>
      </c>
      <c r="I3248" s="37" t="str">
        <f>VLOOKUP(H3248,'Flow Location'!$A$1:$B$21,2,FALSE)</f>
        <v>Contained On Site, not within 5 ft. of Bayou/Surface Water/Drainage Ditch</v>
      </c>
      <c r="J3248" s="52">
        <v>0.0</v>
      </c>
      <c r="K3248" s="51" t="s">
        <v>45</v>
      </c>
      <c r="L3248" s="37" t="str">
        <f>VLOOKUP(K3248,'Structure type'!$A$1:$B$15,2,FALSE)</f>
        <v>City Cleanout</v>
      </c>
      <c r="M3248" s="51" t="s">
        <v>56</v>
      </c>
      <c r="N3248" s="23" t="str">
        <f>VLOOKUP(M3248,'Excursion Cause'!$A$1:$B$34,2,FALSE)</f>
        <v>Rags/Wipes</v>
      </c>
      <c r="O3248" s="53">
        <v>45274.0</v>
      </c>
      <c r="P3248" s="30">
        <v>0.3659722222222222</v>
      </c>
      <c r="Q3248" s="29">
        <v>45274.0</v>
      </c>
      <c r="R3248" s="30">
        <v>0.36666666666666664</v>
      </c>
      <c r="S3248" s="59">
        <v>0.0</v>
      </c>
      <c r="T3248" s="23" t="s">
        <v>1436</v>
      </c>
      <c r="U3248" s="56"/>
      <c r="V3248" s="56"/>
      <c r="W3248" s="35">
        <v>29.7925993</v>
      </c>
      <c r="X3248" s="35">
        <v>-95.3117003999999</v>
      </c>
      <c r="AA3248" s="33"/>
      <c r="AB3248" s="33"/>
      <c r="AC3248" s="33"/>
      <c r="AD3248" s="33"/>
      <c r="AE3248" s="33"/>
      <c r="AF3248" s="33"/>
      <c r="AG3248" s="33"/>
      <c r="AH3248" s="33"/>
      <c r="AI3248" s="33"/>
      <c r="AJ3248" s="33"/>
      <c r="AK3248" s="33"/>
      <c r="AL3248" s="33"/>
      <c r="AM3248" s="33"/>
      <c r="AN3248" s="33"/>
      <c r="AO3248" s="33"/>
    </row>
    <row r="3249" ht="15.75" customHeight="1">
      <c r="A3249" s="50">
        <v>56095.0</v>
      </c>
      <c r="B3249" s="23">
        <v>2023.0</v>
      </c>
      <c r="C3249" s="36" t="str">
        <f t="shared" si="7"/>
        <v>2920 HOLMAN ST,Houston,TX</v>
      </c>
      <c r="D3249" s="51" t="s">
        <v>5102</v>
      </c>
      <c r="E3249" s="23" t="s">
        <v>25</v>
      </c>
      <c r="F3249" s="23" t="s">
        <v>1388</v>
      </c>
      <c r="G3249" s="31" t="s">
        <v>308</v>
      </c>
      <c r="H3249" s="58" t="s">
        <v>50</v>
      </c>
      <c r="I3249" s="37" t="str">
        <f>VLOOKUP(H3249,'Flow Location'!$A$1:$B$21,2,FALSE)</f>
        <v>Contained On Site, not within 5 ft. of Bayou/Surface Water/Drainage Ditch</v>
      </c>
      <c r="J3249" s="52">
        <v>0.0</v>
      </c>
      <c r="K3249" s="51" t="s">
        <v>45</v>
      </c>
      <c r="L3249" s="37" t="str">
        <f>VLOOKUP(K3249,'Structure type'!$A$1:$B$15,2,FALSE)</f>
        <v>City Cleanout</v>
      </c>
      <c r="M3249" s="51" t="s">
        <v>56</v>
      </c>
      <c r="N3249" s="23" t="str">
        <f>VLOOKUP(M3249,'Excursion Cause'!$A$1:$B$34,2,FALSE)</f>
        <v>Rags/Wipes</v>
      </c>
      <c r="O3249" s="53">
        <v>45274.0</v>
      </c>
      <c r="P3249" s="30">
        <v>0.3763888888888889</v>
      </c>
      <c r="Q3249" s="29">
        <v>45274.0</v>
      </c>
      <c r="R3249" s="30">
        <v>0.3770833333333333</v>
      </c>
      <c r="S3249" s="59">
        <v>0.0</v>
      </c>
      <c r="T3249" s="23" t="s">
        <v>3743</v>
      </c>
      <c r="U3249" s="56"/>
      <c r="V3249" s="56"/>
      <c r="W3249" s="35">
        <v>29.7294251</v>
      </c>
      <c r="X3249" s="35">
        <v>-95.3617488</v>
      </c>
      <c r="AA3249" s="33"/>
      <c r="AB3249" s="33"/>
      <c r="AC3249" s="33"/>
      <c r="AD3249" s="33"/>
      <c r="AE3249" s="33"/>
      <c r="AF3249" s="33"/>
      <c r="AG3249" s="33"/>
      <c r="AH3249" s="33"/>
      <c r="AI3249" s="33"/>
      <c r="AJ3249" s="33"/>
      <c r="AK3249" s="33"/>
      <c r="AL3249" s="33"/>
      <c r="AM3249" s="33"/>
      <c r="AN3249" s="33"/>
      <c r="AO3249" s="33"/>
    </row>
    <row r="3250" ht="15.75" customHeight="1">
      <c r="A3250" s="50">
        <v>56097.0</v>
      </c>
      <c r="B3250" s="23">
        <v>2023.0</v>
      </c>
      <c r="C3250" s="36" t="str">
        <f t="shared" si="7"/>
        <v>15714 GATEBRIAR DR,Houston,TX</v>
      </c>
      <c r="D3250" s="51" t="s">
        <v>5103</v>
      </c>
      <c r="E3250" s="23" t="s">
        <v>25</v>
      </c>
      <c r="F3250" s="23" t="s">
        <v>1388</v>
      </c>
      <c r="G3250" s="31" t="s">
        <v>166</v>
      </c>
      <c r="H3250" s="58" t="s">
        <v>50</v>
      </c>
      <c r="I3250" s="37" t="str">
        <f>VLOOKUP(H3250,'Flow Location'!$A$1:$B$21,2,FALSE)</f>
        <v>Contained On Site, not within 5 ft. of Bayou/Surface Water/Drainage Ditch</v>
      </c>
      <c r="J3250" s="52">
        <v>0.0</v>
      </c>
      <c r="K3250" s="51" t="s">
        <v>51</v>
      </c>
      <c r="L3250" s="37" t="str">
        <f>VLOOKUP(K3250,'Structure type'!$A$1:$B$15,2,FALSE)</f>
        <v>Private Cleanout</v>
      </c>
      <c r="M3250" s="51" t="s">
        <v>81</v>
      </c>
      <c r="N3250" s="23" t="str">
        <f>VLOOKUP(M3250,'Excursion Cause'!$A$1:$B$34,2,FALSE)</f>
        <v>Collection system structural failure</v>
      </c>
      <c r="O3250" s="53">
        <v>45274.0</v>
      </c>
      <c r="P3250" s="30">
        <v>0.3951388888888889</v>
      </c>
      <c r="Q3250" s="29">
        <v>45274.0</v>
      </c>
      <c r="R3250" s="30">
        <v>0.3958333333333333</v>
      </c>
      <c r="S3250" s="59">
        <v>0.0</v>
      </c>
      <c r="T3250" s="23" t="s">
        <v>3756</v>
      </c>
      <c r="U3250" s="56"/>
      <c r="V3250" s="56"/>
      <c r="W3250" s="35">
        <v>29.5980606</v>
      </c>
      <c r="X3250" s="35">
        <v>-95.4995965</v>
      </c>
      <c r="AA3250" s="33"/>
      <c r="AB3250" s="33"/>
      <c r="AC3250" s="33"/>
      <c r="AD3250" s="33"/>
      <c r="AE3250" s="33"/>
      <c r="AF3250" s="33"/>
      <c r="AG3250" s="33"/>
      <c r="AH3250" s="33"/>
      <c r="AI3250" s="33"/>
      <c r="AJ3250" s="33"/>
      <c r="AK3250" s="33"/>
      <c r="AL3250" s="33"/>
      <c r="AM3250" s="33"/>
      <c r="AN3250" s="33"/>
      <c r="AO3250" s="33"/>
    </row>
    <row r="3251" ht="15.75" customHeight="1">
      <c r="A3251" s="50">
        <v>56098.0</v>
      </c>
      <c r="B3251" s="23">
        <v>2023.0</v>
      </c>
      <c r="C3251" s="36" t="str">
        <f t="shared" si="7"/>
        <v>2002 WAYSIDE DR,Houston,TX</v>
      </c>
      <c r="D3251" s="51" t="s">
        <v>4016</v>
      </c>
      <c r="E3251" s="23" t="s">
        <v>25</v>
      </c>
      <c r="F3251" s="23" t="s">
        <v>1388</v>
      </c>
      <c r="G3251" s="31" t="s">
        <v>141</v>
      </c>
      <c r="H3251" s="58" t="s">
        <v>1493</v>
      </c>
      <c r="I3251" s="37" t="str">
        <f>VLOOKUP(H3251,'Flow Location'!$A$1:$B$21,2,FALSE)</f>
        <v>Contained On Site, not within 5 ft. of Bayou/Surface Water/Drainage Ditch</v>
      </c>
      <c r="J3251" s="52">
        <v>0.0</v>
      </c>
      <c r="K3251" s="51" t="s">
        <v>45</v>
      </c>
      <c r="L3251" s="37" t="str">
        <f>VLOOKUP(K3251,'Structure type'!$A$1:$B$15,2,FALSE)</f>
        <v>City Cleanout</v>
      </c>
      <c r="M3251" s="51" t="s">
        <v>30</v>
      </c>
      <c r="N3251" s="23" t="str">
        <f>VLOOKUP(M3251,'Excursion Cause'!$A$1:$B$34,2,FALSE)</f>
        <v>Grease Blockage</v>
      </c>
      <c r="O3251" s="53">
        <v>45274.0</v>
      </c>
      <c r="P3251" s="30">
        <v>0.48055555555555557</v>
      </c>
      <c r="Q3251" s="29">
        <v>45274.0</v>
      </c>
      <c r="R3251" s="30">
        <v>0.48125</v>
      </c>
      <c r="S3251" s="59">
        <v>0.0</v>
      </c>
      <c r="T3251" s="23" t="s">
        <v>1473</v>
      </c>
      <c r="U3251" s="56"/>
      <c r="V3251" s="56"/>
      <c r="W3251" s="35">
        <v>29.7182977</v>
      </c>
      <c r="X3251" s="35">
        <v>-95.3138565</v>
      </c>
      <c r="AA3251" s="33"/>
      <c r="AB3251" s="33"/>
      <c r="AC3251" s="33"/>
      <c r="AD3251" s="33"/>
      <c r="AE3251" s="33"/>
      <c r="AF3251" s="33"/>
      <c r="AG3251" s="33"/>
      <c r="AH3251" s="33"/>
      <c r="AI3251" s="33"/>
      <c r="AJ3251" s="33"/>
      <c r="AK3251" s="33"/>
      <c r="AL3251" s="33"/>
      <c r="AM3251" s="33"/>
      <c r="AN3251" s="33"/>
      <c r="AO3251" s="33"/>
    </row>
    <row r="3252" ht="15.75" customHeight="1">
      <c r="A3252" s="50">
        <v>56099.0</v>
      </c>
      <c r="B3252" s="23">
        <v>2023.0</v>
      </c>
      <c r="C3252" s="36" t="str">
        <f t="shared" si="7"/>
        <v>13405 EAST FWY,Houston,TX</v>
      </c>
      <c r="D3252" s="51" t="s">
        <v>5104</v>
      </c>
      <c r="E3252" s="23" t="s">
        <v>25</v>
      </c>
      <c r="F3252" s="23" t="s">
        <v>1388</v>
      </c>
      <c r="G3252" s="31" t="s">
        <v>623</v>
      </c>
      <c r="H3252" s="58" t="s">
        <v>28</v>
      </c>
      <c r="I3252" s="37" t="str">
        <f>VLOOKUP(H3252,'Flow Location'!$A$1:$B$21,2,FALSE)</f>
        <v>Storm Sewer (not contained)</v>
      </c>
      <c r="J3252" s="52">
        <v>325.0</v>
      </c>
      <c r="K3252" s="51" t="s">
        <v>51</v>
      </c>
      <c r="L3252" s="37" t="str">
        <f>VLOOKUP(K3252,'Structure type'!$A$1:$B$15,2,FALSE)</f>
        <v>Private Cleanout</v>
      </c>
      <c r="M3252" s="51" t="s">
        <v>30</v>
      </c>
      <c r="N3252" s="23" t="str">
        <f>VLOOKUP(M3252,'Excursion Cause'!$A$1:$B$34,2,FALSE)</f>
        <v>Grease Blockage</v>
      </c>
      <c r="O3252" s="53">
        <v>45274.0</v>
      </c>
      <c r="P3252" s="30">
        <v>0.5083333333333333</v>
      </c>
      <c r="Q3252" s="29">
        <v>45274.0</v>
      </c>
      <c r="R3252" s="30">
        <v>0.7340277777777777</v>
      </c>
      <c r="S3252" s="59">
        <v>1.0</v>
      </c>
      <c r="T3252" s="23" t="s">
        <v>1462</v>
      </c>
      <c r="U3252" s="56"/>
      <c r="V3252" s="56"/>
      <c r="W3252" s="35">
        <v>29.7714087</v>
      </c>
      <c r="X3252" s="35">
        <v>-95.1856962</v>
      </c>
      <c r="AA3252" s="33"/>
      <c r="AB3252" s="33"/>
      <c r="AC3252" s="33"/>
      <c r="AD3252" s="33"/>
      <c r="AE3252" s="33"/>
      <c r="AF3252" s="33"/>
      <c r="AG3252" s="33"/>
      <c r="AH3252" s="33"/>
      <c r="AI3252" s="33"/>
      <c r="AJ3252" s="33"/>
      <c r="AK3252" s="33"/>
      <c r="AL3252" s="33"/>
      <c r="AM3252" s="33"/>
      <c r="AN3252" s="33"/>
      <c r="AO3252" s="33"/>
    </row>
    <row r="3253" ht="15.75" customHeight="1">
      <c r="A3253" s="50">
        <v>56100.0</v>
      </c>
      <c r="B3253" s="23">
        <v>2023.0</v>
      </c>
      <c r="C3253" s="36" t="str">
        <f t="shared" si="7"/>
        <v>2415 MCGOWEN ST,Houston,TX</v>
      </c>
      <c r="D3253" s="51" t="s">
        <v>5105</v>
      </c>
      <c r="E3253" s="23" t="s">
        <v>25</v>
      </c>
      <c r="F3253" s="23" t="s">
        <v>1388</v>
      </c>
      <c r="G3253" s="31" t="s">
        <v>308</v>
      </c>
      <c r="H3253" s="58" t="s">
        <v>50</v>
      </c>
      <c r="I3253" s="37" t="str">
        <f>VLOOKUP(H3253,'Flow Location'!$A$1:$B$21,2,FALSE)</f>
        <v>Contained On Site, not within 5 ft. of Bayou/Surface Water/Drainage Ditch</v>
      </c>
      <c r="J3253" s="52">
        <v>0.0</v>
      </c>
      <c r="K3253" s="51" t="s">
        <v>51</v>
      </c>
      <c r="L3253" s="37" t="str">
        <f>VLOOKUP(K3253,'Structure type'!$A$1:$B$15,2,FALSE)</f>
        <v>Private Cleanout</v>
      </c>
      <c r="M3253" s="51" t="s">
        <v>30</v>
      </c>
      <c r="N3253" s="23" t="str">
        <f>VLOOKUP(M3253,'Excursion Cause'!$A$1:$B$34,2,FALSE)</f>
        <v>Grease Blockage</v>
      </c>
      <c r="O3253" s="53">
        <v>45274.0</v>
      </c>
      <c r="P3253" s="30">
        <v>0.55</v>
      </c>
      <c r="Q3253" s="29">
        <v>45274.0</v>
      </c>
      <c r="R3253" s="30">
        <v>0.5506944444444445</v>
      </c>
      <c r="S3253" s="59">
        <v>0.0</v>
      </c>
      <c r="T3253" s="23" t="s">
        <v>3749</v>
      </c>
      <c r="U3253" s="56"/>
      <c r="V3253" s="56"/>
      <c r="W3253" s="35">
        <v>29.7380095</v>
      </c>
      <c r="X3253" s="35">
        <v>-95.3614274999999</v>
      </c>
      <c r="AA3253" s="33"/>
      <c r="AB3253" s="33"/>
      <c r="AC3253" s="33"/>
      <c r="AD3253" s="33"/>
      <c r="AE3253" s="33"/>
      <c r="AF3253" s="33"/>
      <c r="AG3253" s="33"/>
      <c r="AH3253" s="33"/>
      <c r="AI3253" s="33"/>
      <c r="AJ3253" s="33"/>
      <c r="AK3253" s="33"/>
      <c r="AL3253" s="33"/>
      <c r="AM3253" s="33"/>
      <c r="AN3253" s="33"/>
      <c r="AO3253" s="33"/>
    </row>
    <row r="3254" ht="15.75" customHeight="1">
      <c r="A3254" s="50">
        <v>56103.0</v>
      </c>
      <c r="B3254" s="23">
        <v>2023.0</v>
      </c>
      <c r="C3254" s="36" t="str">
        <f t="shared" si="7"/>
        <v>11515 MISTY GLEN LN,Houston,TX</v>
      </c>
      <c r="D3254" s="51" t="s">
        <v>5106</v>
      </c>
      <c r="E3254" s="23" t="s">
        <v>25</v>
      </c>
      <c r="F3254" s="23" t="s">
        <v>1388</v>
      </c>
      <c r="G3254" s="31" t="s">
        <v>154</v>
      </c>
      <c r="H3254" s="58" t="s">
        <v>50</v>
      </c>
      <c r="I3254" s="37" t="str">
        <f>VLOOKUP(H3254,'Flow Location'!$A$1:$B$21,2,FALSE)</f>
        <v>Contained On Site, not within 5 ft. of Bayou/Surface Water/Drainage Ditch</v>
      </c>
      <c r="J3254" s="52">
        <v>0.0</v>
      </c>
      <c r="K3254" s="51" t="s">
        <v>51</v>
      </c>
      <c r="L3254" s="37" t="str">
        <f>VLOOKUP(K3254,'Structure type'!$A$1:$B$15,2,FALSE)</f>
        <v>Private Cleanout</v>
      </c>
      <c r="M3254" s="51" t="s">
        <v>52</v>
      </c>
      <c r="N3254" s="23" t="str">
        <f>VLOOKUP(M3254,'Excursion Cause'!$A$1:$B$34,2,FALSE)</f>
        <v>Collection system structural blockage</v>
      </c>
      <c r="O3254" s="53">
        <v>45275.0</v>
      </c>
      <c r="P3254" s="30">
        <v>0.40069444444444446</v>
      </c>
      <c r="Q3254" s="29">
        <v>45275.0</v>
      </c>
      <c r="R3254" s="30">
        <v>0.4013888888888889</v>
      </c>
      <c r="S3254" s="59">
        <v>0.0</v>
      </c>
      <c r="T3254" s="23" t="s">
        <v>1391</v>
      </c>
      <c r="U3254" s="56"/>
      <c r="V3254" s="56"/>
      <c r="W3254" s="35">
        <v>29.656803</v>
      </c>
      <c r="X3254" s="35">
        <v>-95.5783208</v>
      </c>
      <c r="AA3254" s="33"/>
      <c r="AB3254" s="33"/>
      <c r="AC3254" s="33"/>
      <c r="AD3254" s="33"/>
      <c r="AE3254" s="33"/>
      <c r="AF3254" s="33"/>
      <c r="AG3254" s="33"/>
      <c r="AH3254" s="33"/>
      <c r="AI3254" s="33"/>
      <c r="AJ3254" s="33"/>
      <c r="AK3254" s="33"/>
      <c r="AL3254" s="33"/>
      <c r="AM3254" s="33"/>
      <c r="AN3254" s="33"/>
      <c r="AO3254" s="33"/>
    </row>
    <row r="3255" ht="15.75" customHeight="1">
      <c r="A3255" s="50">
        <v>56109.0</v>
      </c>
      <c r="B3255" s="23">
        <v>2023.0</v>
      </c>
      <c r="C3255" s="36" t="str">
        <f t="shared" si="7"/>
        <v>1005 DEFENDER ST,Houston,TX</v>
      </c>
      <c r="D3255" s="51" t="s">
        <v>908</v>
      </c>
      <c r="E3255" s="23" t="s">
        <v>25</v>
      </c>
      <c r="F3255" s="23" t="s">
        <v>1388</v>
      </c>
      <c r="G3255" s="31" t="s">
        <v>247</v>
      </c>
      <c r="H3255" s="58" t="s">
        <v>28</v>
      </c>
      <c r="I3255" s="37" t="str">
        <f>VLOOKUP(H3255,'Flow Location'!$A$1:$B$21,2,FALSE)</f>
        <v>Storm Sewer (not contained)</v>
      </c>
      <c r="J3255" s="52">
        <v>0.0</v>
      </c>
      <c r="K3255" s="51" t="s">
        <v>29</v>
      </c>
      <c r="L3255" s="37" t="str">
        <f>VLOOKUP(K3255,'Structure type'!$A$1:$B$15,2,FALSE)</f>
        <v>Manhole</v>
      </c>
      <c r="M3255" s="51" t="s">
        <v>52</v>
      </c>
      <c r="N3255" s="23" t="str">
        <f>VLOOKUP(M3255,'Excursion Cause'!$A$1:$B$34,2,FALSE)</f>
        <v>Collection system structural blockage</v>
      </c>
      <c r="O3255" s="53">
        <v>45275.0</v>
      </c>
      <c r="P3255" s="30">
        <v>0.5020833333333333</v>
      </c>
      <c r="Q3255" s="29">
        <v>45275.0</v>
      </c>
      <c r="R3255" s="30">
        <v>0.5027777777777778</v>
      </c>
      <c r="S3255" s="59">
        <v>0.0</v>
      </c>
      <c r="T3255" s="23" t="s">
        <v>118</v>
      </c>
      <c r="U3255" s="56"/>
      <c r="V3255" s="56"/>
      <c r="W3255" s="35">
        <v>29.7410654</v>
      </c>
      <c r="X3255" s="35">
        <v>-95.2637302</v>
      </c>
      <c r="AA3255" s="33"/>
      <c r="AB3255" s="33"/>
      <c r="AC3255" s="33"/>
      <c r="AD3255" s="33"/>
      <c r="AE3255" s="33"/>
      <c r="AF3255" s="33"/>
      <c r="AG3255" s="33"/>
      <c r="AH3255" s="33"/>
      <c r="AI3255" s="33"/>
      <c r="AJ3255" s="33"/>
      <c r="AK3255" s="33"/>
      <c r="AL3255" s="33"/>
      <c r="AM3255" s="33"/>
      <c r="AN3255" s="33"/>
      <c r="AO3255" s="33"/>
    </row>
    <row r="3256" ht="15.75" customHeight="1">
      <c r="A3256" s="50">
        <v>56114.0</v>
      </c>
      <c r="B3256" s="23">
        <v>2023.0</v>
      </c>
      <c r="C3256" s="36" t="str">
        <f t="shared" si="7"/>
        <v>9006 BEECHNUT ST,Houston,TX</v>
      </c>
      <c r="D3256" s="51" t="s">
        <v>3829</v>
      </c>
      <c r="E3256" s="23" t="s">
        <v>25</v>
      </c>
      <c r="F3256" s="23" t="s">
        <v>1388</v>
      </c>
      <c r="G3256" s="31" t="s">
        <v>100</v>
      </c>
      <c r="H3256" s="58" t="s">
        <v>50</v>
      </c>
      <c r="I3256" s="37" t="str">
        <f>VLOOKUP(H3256,'Flow Location'!$A$1:$B$21,2,FALSE)</f>
        <v>Contained On Site, not within 5 ft. of Bayou/Surface Water/Drainage Ditch</v>
      </c>
      <c r="J3256" s="52">
        <v>8328.0</v>
      </c>
      <c r="K3256" s="51" t="s">
        <v>29</v>
      </c>
      <c r="L3256" s="37" t="str">
        <f>VLOOKUP(K3256,'Structure type'!$A$1:$B$15,2,FALSE)</f>
        <v>Manhole</v>
      </c>
      <c r="M3256" s="51" t="s">
        <v>30</v>
      </c>
      <c r="N3256" s="23" t="str">
        <f>VLOOKUP(M3256,'Excursion Cause'!$A$1:$B$34,2,FALSE)</f>
        <v>Grease Blockage</v>
      </c>
      <c r="O3256" s="53">
        <v>45275.0</v>
      </c>
      <c r="P3256" s="30">
        <v>0.6347222222222222</v>
      </c>
      <c r="Q3256" s="29">
        <v>45277.0</v>
      </c>
      <c r="R3256" s="30">
        <v>0.5625</v>
      </c>
      <c r="S3256" s="59">
        <v>3.0</v>
      </c>
      <c r="T3256" s="23" t="s">
        <v>3749</v>
      </c>
      <c r="U3256" s="56"/>
      <c r="V3256" s="56"/>
      <c r="W3256" s="35">
        <v>29.6910204</v>
      </c>
      <c r="X3256" s="35">
        <v>-95.5424587</v>
      </c>
      <c r="AA3256" s="33"/>
      <c r="AB3256" s="33"/>
      <c r="AC3256" s="33"/>
      <c r="AD3256" s="33"/>
      <c r="AE3256" s="33"/>
      <c r="AF3256" s="33"/>
      <c r="AG3256" s="33"/>
      <c r="AH3256" s="33"/>
      <c r="AI3256" s="33"/>
      <c r="AJ3256" s="33"/>
      <c r="AK3256" s="33"/>
      <c r="AL3256" s="33"/>
      <c r="AM3256" s="33"/>
      <c r="AN3256" s="33"/>
      <c r="AO3256" s="33"/>
    </row>
    <row r="3257" ht="15.75" customHeight="1">
      <c r="A3257" s="50">
        <v>56116.0</v>
      </c>
      <c r="B3257" s="23">
        <v>2023.0</v>
      </c>
      <c r="C3257" s="36" t="str">
        <f t="shared" si="7"/>
        <v>5805 GRAPEVINE ST,Houston,TX</v>
      </c>
      <c r="D3257" s="51" t="s">
        <v>5107</v>
      </c>
      <c r="E3257" s="23" t="s">
        <v>25</v>
      </c>
      <c r="F3257" s="23" t="s">
        <v>1388</v>
      </c>
      <c r="G3257" s="31" t="s">
        <v>384</v>
      </c>
      <c r="H3257" s="58" t="s">
        <v>1977</v>
      </c>
      <c r="I3257" s="37" t="str">
        <f>VLOOKUP(H3257,'Flow Location'!$A$1:$B$21,2,FALSE)</f>
        <v>Bayou/surface water/drainage ditch</v>
      </c>
      <c r="J3257" s="52">
        <v>0.0</v>
      </c>
      <c r="K3257" s="51" t="s">
        <v>29</v>
      </c>
      <c r="L3257" s="37" t="str">
        <f>VLOOKUP(K3257,'Structure type'!$A$1:$B$15,2,FALSE)</f>
        <v>Manhole</v>
      </c>
      <c r="M3257" s="51" t="s">
        <v>30</v>
      </c>
      <c r="N3257" s="23" t="str">
        <f>VLOOKUP(M3257,'Excursion Cause'!$A$1:$B$34,2,FALSE)</f>
        <v>Grease Blockage</v>
      </c>
      <c r="O3257" s="53">
        <v>45275.0</v>
      </c>
      <c r="P3257" s="30">
        <v>0.6944444444444444</v>
      </c>
      <c r="Q3257" s="29">
        <v>45275.0</v>
      </c>
      <c r="R3257" s="30">
        <v>0.6951388888888889</v>
      </c>
      <c r="S3257" s="59">
        <v>0.0</v>
      </c>
      <c r="T3257" s="23" t="s">
        <v>1462</v>
      </c>
      <c r="U3257" s="56"/>
      <c r="V3257" s="56"/>
      <c r="W3257" s="35">
        <v>29.6157698</v>
      </c>
      <c r="X3257" s="35">
        <v>-95.4702859</v>
      </c>
      <c r="AA3257" s="33"/>
      <c r="AB3257" s="33"/>
      <c r="AC3257" s="33"/>
      <c r="AD3257" s="33"/>
      <c r="AE3257" s="33"/>
      <c r="AF3257" s="33"/>
      <c r="AG3257" s="33"/>
      <c r="AH3257" s="33"/>
      <c r="AI3257" s="33"/>
      <c r="AJ3257" s="33"/>
      <c r="AK3257" s="33"/>
      <c r="AL3257" s="33"/>
      <c r="AM3257" s="33"/>
      <c r="AN3257" s="33"/>
      <c r="AO3257" s="33"/>
    </row>
    <row r="3258" ht="15.75" customHeight="1">
      <c r="A3258" s="50">
        <v>57122.0</v>
      </c>
      <c r="B3258" s="23">
        <v>2023.0</v>
      </c>
      <c r="C3258" s="36" t="str">
        <f t="shared" si="7"/>
        <v>4410 MERWIN ST,Houston,TX</v>
      </c>
      <c r="D3258" s="51" t="s">
        <v>5108</v>
      </c>
      <c r="E3258" s="23" t="s">
        <v>25</v>
      </c>
      <c r="F3258" s="23" t="s">
        <v>1388</v>
      </c>
      <c r="G3258" s="31" t="s">
        <v>1621</v>
      </c>
      <c r="H3258" s="58" t="s">
        <v>50</v>
      </c>
      <c r="I3258" s="37" t="str">
        <f>VLOOKUP(H3258,'Flow Location'!$A$1:$B$21,2,FALSE)</f>
        <v>Contained On Site, not within 5 ft. of Bayou/Surface Water/Drainage Ditch</v>
      </c>
      <c r="J3258" s="52">
        <v>0.0</v>
      </c>
      <c r="K3258" s="51" t="s">
        <v>51</v>
      </c>
      <c r="L3258" s="37" t="str">
        <f>VLOOKUP(K3258,'Structure type'!$A$1:$B$15,2,FALSE)</f>
        <v>Private Cleanout</v>
      </c>
      <c r="M3258" s="51" t="s">
        <v>30</v>
      </c>
      <c r="N3258" s="23" t="str">
        <f>VLOOKUP(M3258,'Excursion Cause'!$A$1:$B$34,2,FALSE)</f>
        <v>Grease Blockage</v>
      </c>
      <c r="O3258" s="53">
        <v>45277.0</v>
      </c>
      <c r="P3258" s="30">
        <v>0.7631944444444444</v>
      </c>
      <c r="Q3258" s="29">
        <v>45277.0</v>
      </c>
      <c r="R3258" s="30">
        <v>0.7638888888888888</v>
      </c>
      <c r="S3258" s="59">
        <v>0.0</v>
      </c>
      <c r="T3258" s="23" t="s">
        <v>1462</v>
      </c>
      <c r="U3258" s="56"/>
      <c r="V3258" s="56"/>
      <c r="W3258" s="35">
        <v>29.7312929</v>
      </c>
      <c r="X3258" s="35">
        <v>-95.4500875</v>
      </c>
      <c r="AA3258" s="33"/>
      <c r="AB3258" s="33"/>
      <c r="AC3258" s="33"/>
      <c r="AD3258" s="33"/>
      <c r="AE3258" s="33"/>
      <c r="AF3258" s="33"/>
      <c r="AG3258" s="33"/>
      <c r="AH3258" s="33"/>
      <c r="AI3258" s="33"/>
      <c r="AJ3258" s="33"/>
      <c r="AK3258" s="33"/>
      <c r="AL3258" s="33"/>
      <c r="AM3258" s="33"/>
      <c r="AN3258" s="33"/>
      <c r="AO3258" s="33"/>
    </row>
    <row r="3259" ht="15.75" customHeight="1">
      <c r="A3259" s="50">
        <v>57132.0</v>
      </c>
      <c r="B3259" s="23">
        <v>2023.0</v>
      </c>
      <c r="C3259" s="36" t="str">
        <f t="shared" si="7"/>
        <v>8136 TIDWELL RD,Houston,TX</v>
      </c>
      <c r="D3259" s="51" t="s">
        <v>5109</v>
      </c>
      <c r="E3259" s="23" t="s">
        <v>25</v>
      </c>
      <c r="F3259" s="23" t="s">
        <v>1388</v>
      </c>
      <c r="G3259" s="31" t="s">
        <v>177</v>
      </c>
      <c r="H3259" s="58" t="s">
        <v>50</v>
      </c>
      <c r="I3259" s="37" t="str">
        <f>VLOOKUP(H3259,'Flow Location'!$A$1:$B$21,2,FALSE)</f>
        <v>Contained On Site, not within 5 ft. of Bayou/Surface Water/Drainage Ditch</v>
      </c>
      <c r="J3259" s="52">
        <v>0.0</v>
      </c>
      <c r="K3259" s="51" t="s">
        <v>782</v>
      </c>
      <c r="L3259" s="37" t="str">
        <f>VLOOKUP(K3259,'Structure type'!$A$1:$B$15,2,FALSE)</f>
        <v>Private Sample Well</v>
      </c>
      <c r="M3259" s="51" t="s">
        <v>52</v>
      </c>
      <c r="N3259" s="23" t="str">
        <f>VLOOKUP(M3259,'Excursion Cause'!$A$1:$B$34,2,FALSE)</f>
        <v>Collection system structural blockage</v>
      </c>
      <c r="O3259" s="53">
        <v>45278.0</v>
      </c>
      <c r="P3259" s="30">
        <v>0.5534722222222223</v>
      </c>
      <c r="Q3259" s="29">
        <v>45278.0</v>
      </c>
      <c r="R3259" s="30">
        <v>0.5541666666666667</v>
      </c>
      <c r="S3259" s="59">
        <v>0.0</v>
      </c>
      <c r="T3259" s="23" t="s">
        <v>118</v>
      </c>
      <c r="U3259" s="56"/>
      <c r="V3259" s="56"/>
      <c r="W3259" s="35">
        <v>29.8494748</v>
      </c>
      <c r="X3259" s="35">
        <v>-95.2764512</v>
      </c>
      <c r="AA3259" s="33"/>
      <c r="AB3259" s="33"/>
      <c r="AC3259" s="33"/>
      <c r="AD3259" s="33"/>
      <c r="AE3259" s="33"/>
      <c r="AF3259" s="33"/>
      <c r="AG3259" s="33"/>
      <c r="AH3259" s="33"/>
      <c r="AI3259" s="33"/>
      <c r="AJ3259" s="33"/>
      <c r="AK3259" s="33"/>
      <c r="AL3259" s="33"/>
      <c r="AM3259" s="33"/>
      <c r="AN3259" s="33"/>
      <c r="AO3259" s="33"/>
    </row>
    <row r="3260" ht="15.75" customHeight="1">
      <c r="A3260" s="50">
        <v>57133.0</v>
      </c>
      <c r="B3260" s="23">
        <v>2023.0</v>
      </c>
      <c r="C3260" s="36" t="str">
        <f t="shared" si="7"/>
        <v>6125 HILLCROFT AVE,Houston,TX</v>
      </c>
      <c r="D3260" s="51" t="s">
        <v>5110</v>
      </c>
      <c r="E3260" s="23" t="s">
        <v>25</v>
      </c>
      <c r="F3260" s="23" t="s">
        <v>1388</v>
      </c>
      <c r="G3260" s="31" t="s">
        <v>287</v>
      </c>
      <c r="H3260" s="58" t="s">
        <v>5096</v>
      </c>
      <c r="I3260" s="37" t="str">
        <f>VLOOKUP(H3260,'Flow Location'!$A$1:$B$21,2,FALSE)</f>
        <v>#N/A</v>
      </c>
      <c r="J3260" s="52">
        <v>0.0</v>
      </c>
      <c r="K3260" s="51" t="s">
        <v>29</v>
      </c>
      <c r="L3260" s="37" t="str">
        <f>VLOOKUP(K3260,'Structure type'!$A$1:$B$15,2,FALSE)</f>
        <v>Manhole</v>
      </c>
      <c r="M3260" s="51" t="s">
        <v>30</v>
      </c>
      <c r="N3260" s="23" t="str">
        <f>VLOOKUP(M3260,'Excursion Cause'!$A$1:$B$34,2,FALSE)</f>
        <v>Grease Blockage</v>
      </c>
      <c r="O3260" s="53">
        <v>45278.0</v>
      </c>
      <c r="P3260" s="30">
        <v>0.575</v>
      </c>
      <c r="Q3260" s="29">
        <v>45278.0</v>
      </c>
      <c r="R3260" s="30">
        <v>0.5756944444444444</v>
      </c>
      <c r="S3260" s="59">
        <v>0.0</v>
      </c>
      <c r="T3260" s="23" t="s">
        <v>3749</v>
      </c>
      <c r="U3260" s="56"/>
      <c r="V3260" s="56"/>
      <c r="W3260" s="35">
        <v>29.7139047</v>
      </c>
      <c r="X3260" s="35">
        <v>-95.4947124</v>
      </c>
      <c r="AA3260" s="33"/>
      <c r="AB3260" s="33"/>
      <c r="AC3260" s="33"/>
      <c r="AD3260" s="33"/>
      <c r="AE3260" s="33"/>
      <c r="AF3260" s="33"/>
      <c r="AG3260" s="33"/>
      <c r="AH3260" s="33"/>
      <c r="AI3260" s="33"/>
      <c r="AJ3260" s="33"/>
      <c r="AK3260" s="33"/>
      <c r="AL3260" s="33"/>
      <c r="AM3260" s="33"/>
      <c r="AN3260" s="33"/>
      <c r="AO3260" s="33"/>
    </row>
    <row r="3261" ht="15.75" customHeight="1">
      <c r="A3261" s="50">
        <v>57136.0</v>
      </c>
      <c r="B3261" s="23">
        <v>2023.0</v>
      </c>
      <c r="C3261" s="36" t="str">
        <f t="shared" si="7"/>
        <v>7123 AVENUE O,Houston,TX</v>
      </c>
      <c r="D3261" s="51" t="s">
        <v>5111</v>
      </c>
      <c r="E3261" s="23" t="s">
        <v>25</v>
      </c>
      <c r="F3261" s="23" t="s">
        <v>1388</v>
      </c>
      <c r="G3261" s="31" t="s">
        <v>227</v>
      </c>
      <c r="H3261" s="58" t="s">
        <v>50</v>
      </c>
      <c r="I3261" s="37" t="str">
        <f>VLOOKUP(H3261,'Flow Location'!$A$1:$B$21,2,FALSE)</f>
        <v>Contained On Site, not within 5 ft. of Bayou/Surface Water/Drainage Ditch</v>
      </c>
      <c r="J3261" s="52">
        <v>0.0</v>
      </c>
      <c r="K3261" s="51" t="s">
        <v>51</v>
      </c>
      <c r="L3261" s="37" t="str">
        <f>VLOOKUP(K3261,'Structure type'!$A$1:$B$15,2,FALSE)</f>
        <v>Private Cleanout</v>
      </c>
      <c r="M3261" s="51" t="s">
        <v>52</v>
      </c>
      <c r="N3261" s="23" t="str">
        <f>VLOOKUP(M3261,'Excursion Cause'!$A$1:$B$34,2,FALSE)</f>
        <v>Collection system structural blockage</v>
      </c>
      <c r="O3261" s="53">
        <v>45279.0</v>
      </c>
      <c r="P3261" s="30">
        <v>0.3854166666666667</v>
      </c>
      <c r="Q3261" s="29">
        <v>45279.0</v>
      </c>
      <c r="R3261" s="30">
        <v>0.3861111111111111</v>
      </c>
      <c r="S3261" s="59">
        <v>0.0</v>
      </c>
      <c r="T3261" s="23" t="s">
        <v>3745</v>
      </c>
      <c r="U3261" s="56"/>
      <c r="V3261" s="56"/>
      <c r="W3261" s="35">
        <v>29.7443469999999</v>
      </c>
      <c r="X3261" s="35">
        <v>-95.2950915</v>
      </c>
      <c r="AA3261" s="33"/>
      <c r="AB3261" s="33"/>
      <c r="AC3261" s="33"/>
      <c r="AD3261" s="33"/>
      <c r="AE3261" s="33"/>
      <c r="AF3261" s="33"/>
      <c r="AG3261" s="33"/>
      <c r="AH3261" s="33"/>
      <c r="AI3261" s="33"/>
      <c r="AJ3261" s="33"/>
      <c r="AK3261" s="33"/>
      <c r="AL3261" s="33"/>
      <c r="AM3261" s="33"/>
      <c r="AN3261" s="33"/>
      <c r="AO3261" s="33"/>
    </row>
    <row r="3262" ht="15.75" customHeight="1">
      <c r="A3262" s="50">
        <v>57139.0</v>
      </c>
      <c r="B3262" s="23">
        <v>2023.0</v>
      </c>
      <c r="C3262" s="36" t="str">
        <f t="shared" si="7"/>
        <v>414 TURNER DR,Houston,TX</v>
      </c>
      <c r="D3262" s="51" t="s">
        <v>5112</v>
      </c>
      <c r="E3262" s="23" t="s">
        <v>25</v>
      </c>
      <c r="F3262" s="23" t="s">
        <v>1388</v>
      </c>
      <c r="G3262" s="31" t="s">
        <v>275</v>
      </c>
      <c r="H3262" s="58" t="s">
        <v>50</v>
      </c>
      <c r="I3262" s="37" t="str">
        <f>VLOOKUP(H3262,'Flow Location'!$A$1:$B$21,2,FALSE)</f>
        <v>Contained On Site, not within 5 ft. of Bayou/Surface Water/Drainage Ditch</v>
      </c>
      <c r="J3262" s="52">
        <v>0.0</v>
      </c>
      <c r="K3262" s="51" t="s">
        <v>45</v>
      </c>
      <c r="L3262" s="37" t="str">
        <f>VLOOKUP(K3262,'Structure type'!$A$1:$B$15,2,FALSE)</f>
        <v>City Cleanout</v>
      </c>
      <c r="M3262" s="51" t="s">
        <v>56</v>
      </c>
      <c r="N3262" s="23" t="str">
        <f>VLOOKUP(M3262,'Excursion Cause'!$A$1:$B$34,2,FALSE)</f>
        <v>Rags/Wipes</v>
      </c>
      <c r="O3262" s="53">
        <v>45279.0</v>
      </c>
      <c r="P3262" s="30">
        <v>0.4131944444444444</v>
      </c>
      <c r="Q3262" s="29">
        <v>45279.0</v>
      </c>
      <c r="R3262" s="30">
        <v>0.41388888888888886</v>
      </c>
      <c r="S3262" s="59">
        <v>0.0</v>
      </c>
      <c r="T3262" s="23" t="s">
        <v>3743</v>
      </c>
      <c r="U3262" s="56"/>
      <c r="V3262" s="56"/>
      <c r="W3262" s="35">
        <v>29.8516114</v>
      </c>
      <c r="X3262" s="35">
        <v>-95.369849</v>
      </c>
      <c r="AA3262" s="33"/>
      <c r="AB3262" s="33"/>
      <c r="AC3262" s="33"/>
      <c r="AD3262" s="33"/>
      <c r="AE3262" s="33"/>
      <c r="AF3262" s="33"/>
      <c r="AG3262" s="33"/>
      <c r="AH3262" s="33"/>
      <c r="AI3262" s="33"/>
      <c r="AJ3262" s="33"/>
      <c r="AK3262" s="33"/>
      <c r="AL3262" s="33"/>
      <c r="AM3262" s="33"/>
      <c r="AN3262" s="33"/>
      <c r="AO3262" s="33"/>
    </row>
    <row r="3263" ht="15.75" customHeight="1">
      <c r="A3263" s="50">
        <v>57140.0</v>
      </c>
      <c r="B3263" s="23">
        <v>2023.0</v>
      </c>
      <c r="C3263" s="36" t="str">
        <f t="shared" si="7"/>
        <v>7114 DIXIE DR,Houston,TX</v>
      </c>
      <c r="D3263" s="51" t="s">
        <v>2368</v>
      </c>
      <c r="E3263" s="23" t="s">
        <v>25</v>
      </c>
      <c r="F3263" s="23" t="s">
        <v>1388</v>
      </c>
      <c r="G3263" s="31" t="s">
        <v>35</v>
      </c>
      <c r="H3263" s="58" t="s">
        <v>50</v>
      </c>
      <c r="I3263" s="37" t="str">
        <f>VLOOKUP(H3263,'Flow Location'!$A$1:$B$21,2,FALSE)</f>
        <v>Contained On Site, not within 5 ft. of Bayou/Surface Water/Drainage Ditch</v>
      </c>
      <c r="J3263" s="52">
        <v>0.0</v>
      </c>
      <c r="K3263" s="51" t="s">
        <v>45</v>
      </c>
      <c r="L3263" s="37" t="str">
        <f>VLOOKUP(K3263,'Structure type'!$A$1:$B$15,2,FALSE)</f>
        <v>City Cleanout</v>
      </c>
      <c r="M3263" s="51" t="s">
        <v>96</v>
      </c>
      <c r="N3263" s="23" t="str">
        <f>VLOOKUP(M3263,'Excursion Cause'!$A$1:$B$34,2,FALSE)</f>
        <v>Collection system temporary blockage</v>
      </c>
      <c r="O3263" s="53">
        <v>45279.0</v>
      </c>
      <c r="P3263" s="30">
        <v>0.4479166666666667</v>
      </c>
      <c r="Q3263" s="29">
        <v>45279.0</v>
      </c>
      <c r="R3263" s="30">
        <v>0.4486111111111111</v>
      </c>
      <c r="S3263" s="59">
        <v>0.0</v>
      </c>
      <c r="T3263" s="23" t="s">
        <v>3743</v>
      </c>
      <c r="U3263" s="56"/>
      <c r="V3263" s="56"/>
      <c r="W3263" s="35">
        <v>29.6805094</v>
      </c>
      <c r="X3263" s="35">
        <v>-95.3040427999999</v>
      </c>
      <c r="AA3263" s="33"/>
      <c r="AB3263" s="33"/>
      <c r="AC3263" s="33"/>
      <c r="AD3263" s="33"/>
      <c r="AE3263" s="33"/>
      <c r="AF3263" s="33"/>
      <c r="AG3263" s="33"/>
      <c r="AH3263" s="33"/>
      <c r="AI3263" s="33"/>
      <c r="AJ3263" s="33"/>
      <c r="AK3263" s="33"/>
      <c r="AL3263" s="33"/>
      <c r="AM3263" s="33"/>
      <c r="AN3263" s="33"/>
      <c r="AO3263" s="33"/>
    </row>
    <row r="3264" ht="15.75" customHeight="1">
      <c r="A3264" s="50">
        <v>57144.0</v>
      </c>
      <c r="B3264" s="23">
        <v>2023.0</v>
      </c>
      <c r="C3264" s="36" t="str">
        <f t="shared" si="7"/>
        <v>4408 SAYERS ST,Houston,TX</v>
      </c>
      <c r="D3264" s="51" t="s">
        <v>5113</v>
      </c>
      <c r="E3264" s="23" t="s">
        <v>25</v>
      </c>
      <c r="F3264" s="23" t="s">
        <v>1388</v>
      </c>
      <c r="G3264" s="31" t="s">
        <v>43</v>
      </c>
      <c r="H3264" s="58" t="s">
        <v>1977</v>
      </c>
      <c r="I3264" s="37" t="str">
        <f>VLOOKUP(H3264,'Flow Location'!$A$1:$B$21,2,FALSE)</f>
        <v>Bayou/surface water/drainage ditch</v>
      </c>
      <c r="J3264" s="52">
        <v>0.0</v>
      </c>
      <c r="K3264" s="51" t="s">
        <v>45</v>
      </c>
      <c r="L3264" s="37" t="str">
        <f>VLOOKUP(K3264,'Structure type'!$A$1:$B$15,2,FALSE)</f>
        <v>City Cleanout</v>
      </c>
      <c r="M3264" s="51" t="s">
        <v>56</v>
      </c>
      <c r="N3264" s="23" t="str">
        <f>VLOOKUP(M3264,'Excursion Cause'!$A$1:$B$34,2,FALSE)</f>
        <v>Rags/Wipes</v>
      </c>
      <c r="O3264" s="53">
        <v>45279.0</v>
      </c>
      <c r="P3264" s="30">
        <v>0.5520833333333334</v>
      </c>
      <c r="Q3264" s="29">
        <v>45279.0</v>
      </c>
      <c r="R3264" s="30">
        <v>0.5527777777777778</v>
      </c>
      <c r="S3264" s="59">
        <v>0.0</v>
      </c>
      <c r="T3264" s="23" t="s">
        <v>3743</v>
      </c>
      <c r="U3264" s="56"/>
      <c r="V3264" s="56"/>
      <c r="W3264" s="35">
        <v>29.8006204</v>
      </c>
      <c r="X3264" s="35">
        <v>-95.3311959</v>
      </c>
      <c r="AA3264" s="33"/>
      <c r="AB3264" s="33"/>
      <c r="AC3264" s="33"/>
      <c r="AD3264" s="33"/>
      <c r="AE3264" s="33"/>
      <c r="AF3264" s="33"/>
      <c r="AG3264" s="33"/>
      <c r="AH3264" s="33"/>
      <c r="AI3264" s="33"/>
      <c r="AJ3264" s="33"/>
      <c r="AK3264" s="33"/>
      <c r="AL3264" s="33"/>
      <c r="AM3264" s="33"/>
      <c r="AN3264" s="33"/>
      <c r="AO3264" s="33"/>
    </row>
    <row r="3265" ht="15.75" customHeight="1">
      <c r="A3265" s="50">
        <v>57148.0</v>
      </c>
      <c r="B3265" s="23">
        <v>2023.0</v>
      </c>
      <c r="C3265" s="36" t="str">
        <f t="shared" si="7"/>
        <v>4220 HARE ST,Houston,TX</v>
      </c>
      <c r="D3265" s="51" t="s">
        <v>5114</v>
      </c>
      <c r="E3265" s="23" t="s">
        <v>25</v>
      </c>
      <c r="F3265" s="23" t="s">
        <v>1388</v>
      </c>
      <c r="G3265" s="31" t="s">
        <v>86</v>
      </c>
      <c r="H3265" s="58" t="s">
        <v>44</v>
      </c>
      <c r="I3265" s="37" t="str">
        <f>VLOOKUP(H3265,'Flow Location'!$A$1:$B$21,2,FALSE)</f>
        <v>Bayou/surface water/drainage ditch</v>
      </c>
      <c r="J3265" s="52">
        <v>0.0</v>
      </c>
      <c r="K3265" s="51" t="s">
        <v>290</v>
      </c>
      <c r="L3265" s="37" t="str">
        <f>VLOOKUP(K3265,'Structure type'!$A$1:$B$15,2,FALSE)</f>
        <v>Gravity Main</v>
      </c>
      <c r="M3265" s="51" t="s">
        <v>52</v>
      </c>
      <c r="N3265" s="23" t="str">
        <f>VLOOKUP(M3265,'Excursion Cause'!$A$1:$B$34,2,FALSE)</f>
        <v>Collection system structural blockage</v>
      </c>
      <c r="O3265" s="53">
        <v>45279.0</v>
      </c>
      <c r="P3265" s="30">
        <v>0.5791666666666667</v>
      </c>
      <c r="Q3265" s="29">
        <v>45279.0</v>
      </c>
      <c r="R3265" s="30">
        <v>0.5798611111111112</v>
      </c>
      <c r="S3265" s="59">
        <v>0.0</v>
      </c>
      <c r="T3265" s="23" t="s">
        <v>1391</v>
      </c>
      <c r="U3265" s="56"/>
      <c r="V3265" s="56"/>
      <c r="W3265" s="35">
        <v>29.7690962</v>
      </c>
      <c r="X3265" s="35">
        <v>-95.3278285999999</v>
      </c>
      <c r="AA3265" s="33"/>
      <c r="AB3265" s="33"/>
      <c r="AC3265" s="33"/>
      <c r="AD3265" s="33"/>
      <c r="AE3265" s="33"/>
      <c r="AF3265" s="33"/>
      <c r="AG3265" s="33"/>
      <c r="AH3265" s="33"/>
      <c r="AI3265" s="33"/>
      <c r="AJ3265" s="33"/>
      <c r="AK3265" s="33"/>
      <c r="AL3265" s="33"/>
      <c r="AM3265" s="33"/>
      <c r="AN3265" s="33"/>
      <c r="AO3265" s="33"/>
    </row>
    <row r="3266" ht="15.75" customHeight="1">
      <c r="A3266" s="50">
        <v>57151.0</v>
      </c>
      <c r="B3266" s="23">
        <v>2023.0</v>
      </c>
      <c r="C3266" s="36" t="str">
        <f t="shared" si="7"/>
        <v>9788 CLAREWOOD DR,Houston,TX</v>
      </c>
      <c r="D3266" s="51" t="s">
        <v>5115</v>
      </c>
      <c r="E3266" s="23" t="s">
        <v>25</v>
      </c>
      <c r="F3266" s="23" t="s">
        <v>1388</v>
      </c>
      <c r="G3266" s="31" t="s">
        <v>100</v>
      </c>
      <c r="H3266" s="58" t="s">
        <v>28</v>
      </c>
      <c r="I3266" s="37" t="str">
        <f>VLOOKUP(H3266,'Flow Location'!$A$1:$B$21,2,FALSE)</f>
        <v>Storm Sewer (not contained)</v>
      </c>
      <c r="J3266" s="52">
        <v>1085.0</v>
      </c>
      <c r="K3266" s="51" t="s">
        <v>29</v>
      </c>
      <c r="L3266" s="37" t="str">
        <f>VLOOKUP(K3266,'Structure type'!$A$1:$B$15,2,FALSE)</f>
        <v>Manhole</v>
      </c>
      <c r="M3266" s="51" t="s">
        <v>30</v>
      </c>
      <c r="N3266" s="23" t="str">
        <f>VLOOKUP(M3266,'Excursion Cause'!$A$1:$B$34,2,FALSE)</f>
        <v>Grease Blockage</v>
      </c>
      <c r="O3266" s="53">
        <v>45279.0</v>
      </c>
      <c r="P3266" s="30">
        <v>0.6236111111111111</v>
      </c>
      <c r="Q3266" s="29">
        <v>45279.0</v>
      </c>
      <c r="R3266" s="30">
        <v>0.7743055555555556</v>
      </c>
      <c r="S3266" s="59">
        <v>5.0</v>
      </c>
      <c r="T3266" s="23" t="s">
        <v>3749</v>
      </c>
      <c r="U3266" s="56"/>
      <c r="V3266" s="56"/>
      <c r="W3266" s="35">
        <v>29.707813</v>
      </c>
      <c r="X3266" s="35">
        <v>-95.5532376</v>
      </c>
      <c r="AA3266" s="33"/>
      <c r="AB3266" s="33"/>
      <c r="AC3266" s="33"/>
      <c r="AD3266" s="33"/>
      <c r="AE3266" s="33"/>
      <c r="AF3266" s="33"/>
      <c r="AG3266" s="33"/>
      <c r="AH3266" s="33"/>
      <c r="AI3266" s="33"/>
      <c r="AJ3266" s="33"/>
      <c r="AK3266" s="33"/>
      <c r="AL3266" s="33"/>
      <c r="AM3266" s="33"/>
      <c r="AN3266" s="33"/>
      <c r="AO3266" s="33"/>
    </row>
    <row r="3267" ht="15.75" customHeight="1">
      <c r="A3267" s="50">
        <v>57154.0</v>
      </c>
      <c r="B3267" s="23">
        <v>2023.0</v>
      </c>
      <c r="C3267" s="36" t="str">
        <f t="shared" si="7"/>
        <v>611 PORTWALL ST,Houston,TX</v>
      </c>
      <c r="D3267" s="51" t="s">
        <v>5116</v>
      </c>
      <c r="E3267" s="23" t="s">
        <v>25</v>
      </c>
      <c r="F3267" s="23" t="s">
        <v>1388</v>
      </c>
      <c r="G3267" s="31" t="s">
        <v>247</v>
      </c>
      <c r="H3267" s="58" t="s">
        <v>50</v>
      </c>
      <c r="I3267" s="37" t="str">
        <f>VLOOKUP(H3267,'Flow Location'!$A$1:$B$21,2,FALSE)</f>
        <v>Contained On Site, not within 5 ft. of Bayou/Surface Water/Drainage Ditch</v>
      </c>
      <c r="J3267" s="52">
        <v>2648.0</v>
      </c>
      <c r="K3267" s="51" t="s">
        <v>29</v>
      </c>
      <c r="L3267" s="37" t="str">
        <f>VLOOKUP(K3267,'Structure type'!$A$1:$B$15,2,FALSE)</f>
        <v>Manhole</v>
      </c>
      <c r="M3267" s="51" t="s">
        <v>30</v>
      </c>
      <c r="N3267" s="23" t="str">
        <f>VLOOKUP(M3267,'Excursion Cause'!$A$1:$B$34,2,FALSE)</f>
        <v>Grease Blockage</v>
      </c>
      <c r="O3267" s="53">
        <v>45279.0</v>
      </c>
      <c r="P3267" s="30">
        <v>0.6493055555555556</v>
      </c>
      <c r="Q3267" s="29">
        <v>45280.0</v>
      </c>
      <c r="R3267" s="30">
        <v>0.56875</v>
      </c>
      <c r="S3267" s="59">
        <v>2.0</v>
      </c>
      <c r="T3267" s="23" t="s">
        <v>3749</v>
      </c>
      <c r="U3267" s="56"/>
      <c r="V3267" s="56"/>
      <c r="W3267" s="35">
        <v>29.7786589999999</v>
      </c>
      <c r="X3267" s="35">
        <v>-95.2754556</v>
      </c>
      <c r="AA3267" s="33"/>
      <c r="AB3267" s="33"/>
      <c r="AC3267" s="33"/>
      <c r="AD3267" s="33"/>
      <c r="AE3267" s="33"/>
      <c r="AF3267" s="33"/>
      <c r="AG3267" s="33"/>
      <c r="AH3267" s="33"/>
      <c r="AI3267" s="33"/>
      <c r="AJ3267" s="33"/>
      <c r="AK3267" s="33"/>
      <c r="AL3267" s="33"/>
      <c r="AM3267" s="33"/>
      <c r="AN3267" s="33"/>
      <c r="AO3267" s="33"/>
    </row>
    <row r="3268" ht="15.75" customHeight="1">
      <c r="A3268" s="50">
        <v>57156.0</v>
      </c>
      <c r="B3268" s="23">
        <v>2023.0</v>
      </c>
      <c r="C3268" s="36" t="str">
        <f t="shared" si="7"/>
        <v>1341 TULANE ST,Houston,TX</v>
      </c>
      <c r="D3268" s="51" t="s">
        <v>5117</v>
      </c>
      <c r="E3268" s="23" t="s">
        <v>25</v>
      </c>
      <c r="F3268" s="23" t="s">
        <v>1388</v>
      </c>
      <c r="G3268" s="31" t="s">
        <v>232</v>
      </c>
      <c r="H3268" s="58" t="s">
        <v>50</v>
      </c>
      <c r="I3268" s="37" t="str">
        <f>VLOOKUP(H3268,'Flow Location'!$A$1:$B$21,2,FALSE)</f>
        <v>Contained On Site, not within 5 ft. of Bayou/Surface Water/Drainage Ditch</v>
      </c>
      <c r="J3268" s="52">
        <v>0.0</v>
      </c>
      <c r="K3268" s="51" t="s">
        <v>51</v>
      </c>
      <c r="L3268" s="37" t="str">
        <f>VLOOKUP(K3268,'Structure type'!$A$1:$B$15,2,FALSE)</f>
        <v>Private Cleanout</v>
      </c>
      <c r="M3268" s="51" t="s">
        <v>30</v>
      </c>
      <c r="N3268" s="23" t="str">
        <f>VLOOKUP(M3268,'Excursion Cause'!$A$1:$B$34,2,FALSE)</f>
        <v>Grease Blockage</v>
      </c>
      <c r="O3268" s="53">
        <v>45279.0</v>
      </c>
      <c r="P3268" s="30">
        <v>0.6805555555555556</v>
      </c>
      <c r="Q3268" s="29">
        <v>45279.0</v>
      </c>
      <c r="R3268" s="30">
        <v>0.68125</v>
      </c>
      <c r="S3268" s="59">
        <v>0.0</v>
      </c>
      <c r="T3268" s="23" t="s">
        <v>3749</v>
      </c>
      <c r="U3268" s="56"/>
      <c r="V3268" s="56"/>
      <c r="W3268" s="35">
        <v>29.7958435</v>
      </c>
      <c r="X3268" s="35">
        <v>-95.4026708999999</v>
      </c>
      <c r="AA3268" s="33"/>
      <c r="AB3268" s="33"/>
      <c r="AC3268" s="33"/>
      <c r="AD3268" s="33"/>
      <c r="AE3268" s="33"/>
      <c r="AF3268" s="33"/>
      <c r="AG3268" s="33"/>
      <c r="AH3268" s="33"/>
      <c r="AI3268" s="33"/>
      <c r="AJ3268" s="33"/>
      <c r="AK3268" s="33"/>
      <c r="AL3268" s="33"/>
      <c r="AM3268" s="33"/>
      <c r="AN3268" s="33"/>
      <c r="AO3268" s="33"/>
    </row>
    <row r="3269" ht="15.75" customHeight="1">
      <c r="A3269" s="50">
        <v>57161.0</v>
      </c>
      <c r="B3269" s="23">
        <v>2023.0</v>
      </c>
      <c r="C3269" s="36" t="str">
        <f t="shared" si="7"/>
        <v>6735 GREY OAKS DR,Houston,TX</v>
      </c>
      <c r="D3269" s="51" t="s">
        <v>5118</v>
      </c>
      <c r="E3269" s="23" t="s">
        <v>25</v>
      </c>
      <c r="F3269" s="23" t="s">
        <v>1388</v>
      </c>
      <c r="G3269" s="31" t="s">
        <v>3256</v>
      </c>
      <c r="H3269" s="58" t="s">
        <v>28</v>
      </c>
      <c r="I3269" s="37" t="str">
        <f>VLOOKUP(H3269,'Flow Location'!$A$1:$B$21,2,FALSE)</f>
        <v>Storm Sewer (not contained)</v>
      </c>
      <c r="J3269" s="52">
        <v>8874.0</v>
      </c>
      <c r="K3269" s="51" t="s">
        <v>29</v>
      </c>
      <c r="L3269" s="37" t="str">
        <f>VLOOKUP(K3269,'Structure type'!$A$1:$B$15,2,FALSE)</f>
        <v>Manhole</v>
      </c>
      <c r="M3269" s="51" t="s">
        <v>52</v>
      </c>
      <c r="N3269" s="23" t="str">
        <f>VLOOKUP(M3269,'Excursion Cause'!$A$1:$B$34,2,FALSE)</f>
        <v>Collection system structural blockage</v>
      </c>
      <c r="O3269" s="53">
        <v>45280.0</v>
      </c>
      <c r="P3269" s="30">
        <v>0.45208333333333334</v>
      </c>
      <c r="Q3269" s="29">
        <v>45281.0</v>
      </c>
      <c r="R3269" s="30">
        <v>0.4791666666666667</v>
      </c>
      <c r="S3269" s="59">
        <v>6.0</v>
      </c>
      <c r="T3269" s="23" t="s">
        <v>3745</v>
      </c>
      <c r="U3269" s="56"/>
      <c r="V3269" s="56"/>
      <c r="W3269" s="35">
        <v>29.901317</v>
      </c>
      <c r="X3269" s="35">
        <v>-95.2893637</v>
      </c>
      <c r="AA3269" s="33"/>
      <c r="AB3269" s="33"/>
      <c r="AC3269" s="33"/>
      <c r="AD3269" s="33"/>
      <c r="AE3269" s="33"/>
      <c r="AF3269" s="33"/>
      <c r="AG3269" s="33"/>
      <c r="AH3269" s="33"/>
      <c r="AI3269" s="33"/>
      <c r="AJ3269" s="33"/>
      <c r="AK3269" s="33"/>
      <c r="AL3269" s="33"/>
      <c r="AM3269" s="33"/>
      <c r="AN3269" s="33"/>
      <c r="AO3269" s="33"/>
    </row>
    <row r="3270" ht="15.75" customHeight="1">
      <c r="A3270" s="50">
        <v>57165.0</v>
      </c>
      <c r="B3270" s="23">
        <v>2023.0</v>
      </c>
      <c r="C3270" s="36" t="str">
        <f t="shared" si="7"/>
        <v>4929 REVEILLE ST,Houston,TX</v>
      </c>
      <c r="D3270" s="51" t="s">
        <v>5119</v>
      </c>
      <c r="E3270" s="23" t="s">
        <v>25</v>
      </c>
      <c r="F3270" s="23" t="s">
        <v>1388</v>
      </c>
      <c r="G3270" s="31"/>
      <c r="H3270" s="58" t="s">
        <v>1977</v>
      </c>
      <c r="I3270" s="37" t="str">
        <f>VLOOKUP(H3270,'Flow Location'!$A$1:$B$21,2,FALSE)</f>
        <v>Bayou/surface water/drainage ditch</v>
      </c>
      <c r="J3270" s="52">
        <v>180.0</v>
      </c>
      <c r="K3270" s="51" t="s">
        <v>190</v>
      </c>
      <c r="L3270" s="37" t="str">
        <f>VLOOKUP(K3270,'Structure type'!$A$1:$B$15,2,FALSE)</f>
        <v>Force Main</v>
      </c>
      <c r="M3270" s="51" t="s">
        <v>620</v>
      </c>
      <c r="N3270" s="23" t="str">
        <f>VLOOKUP(M3270,'Excursion Cause'!$A$1:$B$34,2,FALSE)</f>
        <v>Air Relief Valve (ARV) Failure</v>
      </c>
      <c r="O3270" s="53">
        <v>45280.0</v>
      </c>
      <c r="P3270" s="30">
        <v>0.45069444444444445</v>
      </c>
      <c r="Q3270" s="29">
        <v>45280.0</v>
      </c>
      <c r="R3270" s="30">
        <v>0.7340277777777777</v>
      </c>
      <c r="S3270" s="59">
        <v>0.0</v>
      </c>
      <c r="T3270" s="23" t="s">
        <v>118</v>
      </c>
      <c r="U3270" s="56"/>
      <c r="V3270" s="56"/>
      <c r="W3270" s="35">
        <v>29.6751614</v>
      </c>
      <c r="X3270" s="35">
        <v>-95.2888716</v>
      </c>
      <c r="AA3270" s="33"/>
      <c r="AB3270" s="33"/>
      <c r="AC3270" s="33"/>
      <c r="AD3270" s="33"/>
      <c r="AE3270" s="33"/>
      <c r="AF3270" s="33"/>
      <c r="AG3270" s="33"/>
      <c r="AH3270" s="33"/>
      <c r="AI3270" s="33"/>
      <c r="AJ3270" s="33"/>
      <c r="AK3270" s="33"/>
      <c r="AL3270" s="33"/>
      <c r="AM3270" s="33"/>
      <c r="AN3270" s="33"/>
      <c r="AO3270" s="33"/>
    </row>
    <row r="3271" ht="15.75" customHeight="1">
      <c r="A3271" s="50">
        <v>57166.0</v>
      </c>
      <c r="B3271" s="23">
        <v>2023.0</v>
      </c>
      <c r="C3271" s="36" t="str">
        <f t="shared" si="7"/>
        <v>5433 CAPLIN ST,Houston,TX</v>
      </c>
      <c r="D3271" s="51" t="s">
        <v>5120</v>
      </c>
      <c r="E3271" s="23" t="s">
        <v>25</v>
      </c>
      <c r="F3271" s="23" t="s">
        <v>1388</v>
      </c>
      <c r="G3271" s="31" t="s">
        <v>43</v>
      </c>
      <c r="H3271" s="58" t="s">
        <v>44</v>
      </c>
      <c r="I3271" s="37" t="str">
        <f>VLOOKUP(H3271,'Flow Location'!$A$1:$B$21,2,FALSE)</f>
        <v>Bayou/surface water/drainage ditch</v>
      </c>
      <c r="J3271" s="52">
        <v>0.0</v>
      </c>
      <c r="K3271" s="51" t="s">
        <v>29</v>
      </c>
      <c r="L3271" s="37" t="str">
        <f>VLOOKUP(K3271,'Structure type'!$A$1:$B$15,2,FALSE)</f>
        <v>Manhole</v>
      </c>
      <c r="M3271" s="51" t="s">
        <v>52</v>
      </c>
      <c r="N3271" s="23" t="str">
        <f>VLOOKUP(M3271,'Excursion Cause'!$A$1:$B$34,2,FALSE)</f>
        <v>Collection system structural blockage</v>
      </c>
      <c r="O3271" s="53">
        <v>45280.0</v>
      </c>
      <c r="P3271" s="30">
        <v>0.5048611111111111</v>
      </c>
      <c r="Q3271" s="29">
        <v>45280.0</v>
      </c>
      <c r="R3271" s="30">
        <v>0.5055555555555555</v>
      </c>
      <c r="S3271" s="59">
        <v>0.0</v>
      </c>
      <c r="T3271" s="23" t="s">
        <v>3745</v>
      </c>
      <c r="U3271" s="56"/>
      <c r="V3271" s="56"/>
      <c r="W3271" s="35">
        <v>29.8146325</v>
      </c>
      <c r="X3271" s="35">
        <v>-95.3149904</v>
      </c>
      <c r="AA3271" s="33"/>
      <c r="AB3271" s="33"/>
      <c r="AC3271" s="33"/>
      <c r="AD3271" s="33"/>
      <c r="AE3271" s="33"/>
      <c r="AF3271" s="33"/>
      <c r="AG3271" s="33"/>
      <c r="AH3271" s="33"/>
      <c r="AI3271" s="33"/>
      <c r="AJ3271" s="33"/>
      <c r="AK3271" s="33"/>
      <c r="AL3271" s="33"/>
      <c r="AM3271" s="33"/>
      <c r="AN3271" s="33"/>
      <c r="AO3271" s="33"/>
    </row>
    <row r="3272" ht="15.75" customHeight="1">
      <c r="A3272" s="50">
        <v>57168.0</v>
      </c>
      <c r="B3272" s="23">
        <v>2023.0</v>
      </c>
      <c r="C3272" s="36" t="str">
        <f t="shared" si="7"/>
        <v>2011 GANO ST,Houston,TX</v>
      </c>
      <c r="D3272" s="51" t="s">
        <v>5121</v>
      </c>
      <c r="E3272" s="23" t="s">
        <v>25</v>
      </c>
      <c r="F3272" s="23" t="s">
        <v>1388</v>
      </c>
      <c r="G3272" s="31" t="s">
        <v>161</v>
      </c>
      <c r="H3272" s="58" t="s">
        <v>28</v>
      </c>
      <c r="I3272" s="37" t="str">
        <f>VLOOKUP(H3272,'Flow Location'!$A$1:$B$21,2,FALSE)</f>
        <v>Storm Sewer (not contained)</v>
      </c>
      <c r="J3272" s="52">
        <v>0.0</v>
      </c>
      <c r="K3272" s="51" t="s">
        <v>45</v>
      </c>
      <c r="L3272" s="37" t="str">
        <f>VLOOKUP(K3272,'Structure type'!$A$1:$B$15,2,FALSE)</f>
        <v>City Cleanout</v>
      </c>
      <c r="M3272" s="51" t="s">
        <v>56</v>
      </c>
      <c r="N3272" s="23" t="str">
        <f>VLOOKUP(M3272,'Excursion Cause'!$A$1:$B$34,2,FALSE)</f>
        <v>Rags/Wipes</v>
      </c>
      <c r="O3272" s="53">
        <v>45280.0</v>
      </c>
      <c r="P3272" s="30">
        <v>0.5534722222222223</v>
      </c>
      <c r="Q3272" s="29">
        <v>45280.0</v>
      </c>
      <c r="R3272" s="30">
        <v>0.5541666666666667</v>
      </c>
      <c r="S3272" s="59">
        <v>0.0</v>
      </c>
      <c r="T3272" s="23" t="s">
        <v>3756</v>
      </c>
      <c r="U3272" s="56"/>
      <c r="V3272" s="56"/>
      <c r="W3272" s="35">
        <v>29.7799052</v>
      </c>
      <c r="X3272" s="35">
        <v>-95.3548778</v>
      </c>
      <c r="AA3272" s="33"/>
      <c r="AB3272" s="33"/>
      <c r="AC3272" s="33"/>
      <c r="AD3272" s="33"/>
      <c r="AE3272" s="33"/>
      <c r="AF3272" s="33"/>
      <c r="AG3272" s="33"/>
      <c r="AH3272" s="33"/>
      <c r="AI3272" s="33"/>
      <c r="AJ3272" s="33"/>
      <c r="AK3272" s="33"/>
      <c r="AL3272" s="33"/>
      <c r="AM3272" s="33"/>
      <c r="AN3272" s="33"/>
      <c r="AO3272" s="33"/>
    </row>
    <row r="3273" ht="15.75" customHeight="1">
      <c r="A3273" s="50">
        <v>57176.0</v>
      </c>
      <c r="B3273" s="23">
        <v>2023.0</v>
      </c>
      <c r="C3273" s="36" t="str">
        <f t="shared" si="7"/>
        <v>10530 SIERRA DR,Houston,TX</v>
      </c>
      <c r="D3273" s="51" t="s">
        <v>5122</v>
      </c>
      <c r="E3273" s="23" t="s">
        <v>25</v>
      </c>
      <c r="F3273" s="23" t="s">
        <v>1388</v>
      </c>
      <c r="G3273" s="31" t="s">
        <v>105</v>
      </c>
      <c r="H3273" s="58" t="s">
        <v>50</v>
      </c>
      <c r="I3273" s="37" t="str">
        <f>VLOOKUP(H3273,'Flow Location'!$A$1:$B$21,2,FALSE)</f>
        <v>Contained On Site, not within 5 ft. of Bayou/Surface Water/Drainage Ditch</v>
      </c>
      <c r="J3273" s="52">
        <v>0.0</v>
      </c>
      <c r="K3273" s="51" t="s">
        <v>45</v>
      </c>
      <c r="L3273" s="37" t="str">
        <f>VLOOKUP(K3273,'Structure type'!$A$1:$B$15,2,FALSE)</f>
        <v>City Cleanout</v>
      </c>
      <c r="M3273" s="51" t="s">
        <v>56</v>
      </c>
      <c r="N3273" s="23" t="str">
        <f>VLOOKUP(M3273,'Excursion Cause'!$A$1:$B$34,2,FALSE)</f>
        <v>Rags/Wipes</v>
      </c>
      <c r="O3273" s="53">
        <v>45281.0</v>
      </c>
      <c r="P3273" s="30">
        <v>0.35833333333333334</v>
      </c>
      <c r="Q3273" s="29">
        <v>45281.0</v>
      </c>
      <c r="R3273" s="30">
        <v>0.3590277777777778</v>
      </c>
      <c r="S3273" s="59">
        <v>0.0</v>
      </c>
      <c r="T3273" s="23" t="s">
        <v>3743</v>
      </c>
      <c r="U3273" s="56"/>
      <c r="V3273" s="56"/>
      <c r="W3273" s="35">
        <v>29.6447934</v>
      </c>
      <c r="X3273" s="35">
        <v>-95.3745845999999</v>
      </c>
      <c r="AA3273" s="33"/>
      <c r="AB3273" s="33"/>
      <c r="AC3273" s="33"/>
      <c r="AD3273" s="33"/>
      <c r="AE3273" s="33"/>
      <c r="AF3273" s="33"/>
      <c r="AG3273" s="33"/>
      <c r="AH3273" s="33"/>
      <c r="AI3273" s="33"/>
      <c r="AJ3273" s="33"/>
      <c r="AK3273" s="33"/>
      <c r="AL3273" s="33"/>
      <c r="AM3273" s="33"/>
      <c r="AN3273" s="33"/>
      <c r="AO3273" s="33"/>
    </row>
    <row r="3274" ht="15.75" customHeight="1">
      <c r="A3274" s="50">
        <v>57178.0</v>
      </c>
      <c r="B3274" s="23">
        <v>2023.0</v>
      </c>
      <c r="C3274" s="36" t="str">
        <f t="shared" si="7"/>
        <v>7159 VANDEMAN ST,Houston,TX</v>
      </c>
      <c r="D3274" s="51" t="s">
        <v>5123</v>
      </c>
      <c r="E3274" s="23" t="s">
        <v>25</v>
      </c>
      <c r="F3274" s="23" t="s">
        <v>1388</v>
      </c>
      <c r="G3274" s="31" t="s">
        <v>35</v>
      </c>
      <c r="H3274" s="58" t="s">
        <v>50</v>
      </c>
      <c r="I3274" s="37" t="str">
        <f>VLOOKUP(H3274,'Flow Location'!$A$1:$B$21,2,FALSE)</f>
        <v>Contained On Site, not within 5 ft. of Bayou/Surface Water/Drainage Ditch</v>
      </c>
      <c r="J3274" s="52">
        <v>0.0</v>
      </c>
      <c r="K3274" s="51" t="s">
        <v>45</v>
      </c>
      <c r="L3274" s="37" t="str">
        <f>VLOOKUP(K3274,'Structure type'!$A$1:$B$15,2,FALSE)</f>
        <v>City Cleanout</v>
      </c>
      <c r="M3274" s="51" t="s">
        <v>56</v>
      </c>
      <c r="N3274" s="23" t="str">
        <f>VLOOKUP(M3274,'Excursion Cause'!$A$1:$B$34,2,FALSE)</f>
        <v>Rags/Wipes</v>
      </c>
      <c r="O3274" s="53">
        <v>45281.0</v>
      </c>
      <c r="P3274" s="30">
        <v>0.4375</v>
      </c>
      <c r="Q3274" s="29">
        <v>45281.0</v>
      </c>
      <c r="R3274" s="30">
        <v>0.43819444444444444</v>
      </c>
      <c r="S3274" s="59">
        <v>0.0</v>
      </c>
      <c r="T3274" s="23" t="s">
        <v>1436</v>
      </c>
      <c r="U3274" s="56"/>
      <c r="V3274" s="56"/>
      <c r="W3274" s="35">
        <v>29.7142807999999</v>
      </c>
      <c r="X3274" s="35">
        <v>-95.2905885</v>
      </c>
      <c r="AA3274" s="33"/>
      <c r="AB3274" s="33"/>
      <c r="AC3274" s="33"/>
      <c r="AD3274" s="33"/>
      <c r="AE3274" s="33"/>
      <c r="AF3274" s="33"/>
      <c r="AG3274" s="33"/>
      <c r="AH3274" s="33"/>
      <c r="AI3274" s="33"/>
      <c r="AJ3274" s="33"/>
      <c r="AK3274" s="33"/>
      <c r="AL3274" s="33"/>
      <c r="AM3274" s="33"/>
      <c r="AN3274" s="33"/>
      <c r="AO3274" s="33"/>
    </row>
    <row r="3275" ht="15.75" customHeight="1">
      <c r="A3275" s="50">
        <v>57179.0</v>
      </c>
      <c r="B3275" s="23">
        <v>2023.0</v>
      </c>
      <c r="C3275" s="36" t="str">
        <f t="shared" si="7"/>
        <v>3805 WIPPRECHT ST,Houston,TX</v>
      </c>
      <c r="D3275" s="51" t="s">
        <v>4986</v>
      </c>
      <c r="E3275" s="23" t="s">
        <v>25</v>
      </c>
      <c r="F3275" s="23" t="s">
        <v>1388</v>
      </c>
      <c r="G3275" s="31" t="s">
        <v>43</v>
      </c>
      <c r="H3275" s="58" t="s">
        <v>87</v>
      </c>
      <c r="I3275" s="37" t="str">
        <f>VLOOKUP(H3275,'Flow Location'!$A$1:$B$21,2,FALSE)</f>
        <v>Within 5 ft. of Bayou/Surface Water/Drainage Ditch</v>
      </c>
      <c r="J3275" s="52">
        <v>0.0</v>
      </c>
      <c r="K3275" s="51" t="s">
        <v>45</v>
      </c>
      <c r="L3275" s="37" t="str">
        <f>VLOOKUP(K3275,'Structure type'!$A$1:$B$15,2,FALSE)</f>
        <v>City Cleanout</v>
      </c>
      <c r="M3275" s="51" t="s">
        <v>30</v>
      </c>
      <c r="N3275" s="23" t="str">
        <f>VLOOKUP(M3275,'Excursion Cause'!$A$1:$B$34,2,FALSE)</f>
        <v>Grease Blockage</v>
      </c>
      <c r="O3275" s="53">
        <v>45281.0</v>
      </c>
      <c r="P3275" s="30">
        <v>0.44722222222222224</v>
      </c>
      <c r="Q3275" s="29">
        <v>45281.0</v>
      </c>
      <c r="R3275" s="30">
        <v>0.4479166666666667</v>
      </c>
      <c r="S3275" s="59">
        <v>0.0</v>
      </c>
      <c r="T3275" s="23" t="s">
        <v>3743</v>
      </c>
      <c r="U3275" s="56"/>
      <c r="V3275" s="56"/>
      <c r="W3275" s="35">
        <v>29.79428</v>
      </c>
      <c r="X3275" s="35">
        <v>-95.3224829999999</v>
      </c>
      <c r="AA3275" s="33"/>
      <c r="AB3275" s="33"/>
      <c r="AC3275" s="33"/>
      <c r="AD3275" s="33"/>
      <c r="AE3275" s="33"/>
      <c r="AF3275" s="33"/>
      <c r="AG3275" s="33"/>
      <c r="AH3275" s="33"/>
      <c r="AI3275" s="33"/>
      <c r="AJ3275" s="33"/>
      <c r="AK3275" s="33"/>
      <c r="AL3275" s="33"/>
      <c r="AM3275" s="33"/>
      <c r="AN3275" s="33"/>
      <c r="AO3275" s="33"/>
    </row>
    <row r="3276" ht="15.75" customHeight="1">
      <c r="A3276" s="50">
        <v>57180.0</v>
      </c>
      <c r="B3276" s="23">
        <v>2023.0</v>
      </c>
      <c r="C3276" s="36" t="str">
        <f t="shared" si="7"/>
        <v>2602 DEAMS ST,Houston,TX</v>
      </c>
      <c r="D3276" s="51" t="s">
        <v>5124</v>
      </c>
      <c r="E3276" s="23" t="s">
        <v>25</v>
      </c>
      <c r="F3276" s="23" t="s">
        <v>1388</v>
      </c>
      <c r="G3276" s="31" t="s">
        <v>109</v>
      </c>
      <c r="H3276" s="58" t="s">
        <v>28</v>
      </c>
      <c r="I3276" s="37" t="str">
        <f>VLOOKUP(H3276,'Flow Location'!$A$1:$B$21,2,FALSE)</f>
        <v>Storm Sewer (not contained)</v>
      </c>
      <c r="J3276" s="52">
        <v>0.0</v>
      </c>
      <c r="K3276" s="51" t="s">
        <v>45</v>
      </c>
      <c r="L3276" s="37" t="str">
        <f>VLOOKUP(K3276,'Structure type'!$A$1:$B$15,2,FALSE)</f>
        <v>City Cleanout</v>
      </c>
      <c r="M3276" s="51" t="s">
        <v>52</v>
      </c>
      <c r="N3276" s="23" t="str">
        <f>VLOOKUP(M3276,'Excursion Cause'!$A$1:$B$34,2,FALSE)</f>
        <v>Collection system structural blockage</v>
      </c>
      <c r="O3276" s="53">
        <v>45281.0</v>
      </c>
      <c r="P3276" s="30">
        <v>0.4666666666666667</v>
      </c>
      <c r="Q3276" s="29">
        <v>45281.0</v>
      </c>
      <c r="R3276" s="30">
        <v>0.4673611111111111</v>
      </c>
      <c r="S3276" s="59">
        <v>0.0</v>
      </c>
      <c r="T3276" s="23" t="s">
        <v>3756</v>
      </c>
      <c r="U3276" s="56"/>
      <c r="V3276" s="56"/>
      <c r="W3276" s="35">
        <v>29.8336742</v>
      </c>
      <c r="X3276" s="35">
        <v>-95.3452829</v>
      </c>
      <c r="AA3276" s="33"/>
      <c r="AB3276" s="33"/>
      <c r="AC3276" s="33"/>
      <c r="AD3276" s="33"/>
      <c r="AE3276" s="33"/>
      <c r="AF3276" s="33"/>
      <c r="AG3276" s="33"/>
      <c r="AH3276" s="33"/>
      <c r="AI3276" s="33"/>
      <c r="AJ3276" s="33"/>
      <c r="AK3276" s="33"/>
      <c r="AL3276" s="33"/>
      <c r="AM3276" s="33"/>
      <c r="AN3276" s="33"/>
      <c r="AO3276" s="33"/>
    </row>
    <row r="3277" ht="15.75" customHeight="1">
      <c r="A3277" s="50">
        <v>57188.0</v>
      </c>
      <c r="B3277" s="23">
        <v>2023.0</v>
      </c>
      <c r="C3277" s="36" t="str">
        <f t="shared" si="7"/>
        <v>8050 HARRISBURG BLVD,Houston,TX</v>
      </c>
      <c r="D3277" s="51" t="s">
        <v>5125</v>
      </c>
      <c r="E3277" s="23" t="s">
        <v>25</v>
      </c>
      <c r="F3277" s="23" t="s">
        <v>1388</v>
      </c>
      <c r="G3277" s="31" t="s">
        <v>365</v>
      </c>
      <c r="H3277" s="58" t="s">
        <v>28</v>
      </c>
      <c r="I3277" s="37" t="str">
        <f>VLOOKUP(H3277,'Flow Location'!$A$1:$B$21,2,FALSE)</f>
        <v>Storm Sewer (not contained)</v>
      </c>
      <c r="J3277" s="52">
        <v>0.0</v>
      </c>
      <c r="K3277" s="51" t="s">
        <v>29</v>
      </c>
      <c r="L3277" s="37" t="str">
        <f>VLOOKUP(K3277,'Structure type'!$A$1:$B$15,2,FALSE)</f>
        <v>Manhole</v>
      </c>
      <c r="M3277" s="51" t="s">
        <v>56</v>
      </c>
      <c r="N3277" s="23" t="str">
        <f>VLOOKUP(M3277,'Excursion Cause'!$A$1:$B$34,2,FALSE)</f>
        <v>Rags/Wipes</v>
      </c>
      <c r="O3277" s="53">
        <v>45281.0</v>
      </c>
      <c r="P3277" s="30">
        <v>0.6347222222222222</v>
      </c>
      <c r="Q3277" s="29">
        <v>45281.0</v>
      </c>
      <c r="R3277" s="30">
        <v>0.6354166666666666</v>
      </c>
      <c r="S3277" s="59">
        <v>0.0</v>
      </c>
      <c r="T3277" s="23" t="s">
        <v>3749</v>
      </c>
      <c r="U3277" s="56"/>
      <c r="V3277" s="56"/>
      <c r="W3277" s="35">
        <v>29.728349</v>
      </c>
      <c r="X3277" s="35">
        <v>-95.2811785</v>
      </c>
      <c r="AA3277" s="33"/>
      <c r="AB3277" s="33"/>
      <c r="AC3277" s="33"/>
      <c r="AD3277" s="33"/>
      <c r="AE3277" s="33"/>
      <c r="AF3277" s="33"/>
      <c r="AG3277" s="33"/>
      <c r="AH3277" s="33"/>
      <c r="AI3277" s="33"/>
      <c r="AJ3277" s="33"/>
      <c r="AK3277" s="33"/>
      <c r="AL3277" s="33"/>
      <c r="AM3277" s="33"/>
      <c r="AN3277" s="33"/>
      <c r="AO3277" s="33"/>
    </row>
    <row r="3278" ht="15.75" customHeight="1">
      <c r="A3278" s="50">
        <v>57191.0</v>
      </c>
      <c r="B3278" s="23">
        <v>2023.0</v>
      </c>
      <c r="C3278" s="36" t="str">
        <f t="shared" si="7"/>
        <v>6917 CORPUS CHRISTI ST,Houston,TX</v>
      </c>
      <c r="D3278" s="51" t="s">
        <v>5126</v>
      </c>
      <c r="E3278" s="23" t="s">
        <v>25</v>
      </c>
      <c r="F3278" s="23" t="s">
        <v>1388</v>
      </c>
      <c r="G3278" s="31" t="s">
        <v>86</v>
      </c>
      <c r="H3278" s="58" t="s">
        <v>50</v>
      </c>
      <c r="I3278" s="37" t="str">
        <f>VLOOKUP(H3278,'Flow Location'!$A$1:$B$21,2,FALSE)</f>
        <v>Contained On Site, not within 5 ft. of Bayou/Surface Water/Drainage Ditch</v>
      </c>
      <c r="J3278" s="52">
        <v>0.0</v>
      </c>
      <c r="K3278" s="51" t="s">
        <v>45</v>
      </c>
      <c r="L3278" s="37" t="str">
        <f>VLOOKUP(K3278,'Structure type'!$A$1:$B$15,2,FALSE)</f>
        <v>City Cleanout</v>
      </c>
      <c r="M3278" s="51" t="s">
        <v>56</v>
      </c>
      <c r="N3278" s="23" t="str">
        <f>VLOOKUP(M3278,'Excursion Cause'!$A$1:$B$34,2,FALSE)</f>
        <v>Rags/Wipes</v>
      </c>
      <c r="O3278" s="53">
        <v>45281.0</v>
      </c>
      <c r="P3278" s="30">
        <v>0.7131944444444445</v>
      </c>
      <c r="Q3278" s="29">
        <v>45281.0</v>
      </c>
      <c r="R3278" s="30">
        <v>0.7138888888888889</v>
      </c>
      <c r="S3278" s="59">
        <v>0.0</v>
      </c>
      <c r="T3278" s="23" t="s">
        <v>3743</v>
      </c>
      <c r="U3278" s="56"/>
      <c r="V3278" s="56"/>
      <c r="W3278" s="35">
        <v>29.7822273</v>
      </c>
      <c r="X3278" s="35">
        <v>-95.3004212</v>
      </c>
      <c r="AA3278" s="33"/>
      <c r="AB3278" s="33"/>
      <c r="AC3278" s="33"/>
      <c r="AD3278" s="33"/>
      <c r="AE3278" s="33"/>
      <c r="AF3278" s="33"/>
      <c r="AG3278" s="33"/>
      <c r="AH3278" s="33"/>
      <c r="AI3278" s="33"/>
      <c r="AJ3278" s="33"/>
      <c r="AK3278" s="33"/>
      <c r="AL3278" s="33"/>
      <c r="AM3278" s="33"/>
      <c r="AN3278" s="33"/>
      <c r="AO3278" s="33"/>
    </row>
    <row r="3279" ht="15.75" customHeight="1">
      <c r="A3279" s="50">
        <v>57193.0</v>
      </c>
      <c r="B3279" s="23">
        <v>2023.0</v>
      </c>
      <c r="C3279" s="36" t="str">
        <f t="shared" si="7"/>
        <v>13203 BABBITT ST,Houston,TX</v>
      </c>
      <c r="D3279" s="51" t="s">
        <v>5127</v>
      </c>
      <c r="E3279" s="23" t="s">
        <v>25</v>
      </c>
      <c r="F3279" s="23" t="s">
        <v>1388</v>
      </c>
      <c r="G3279" s="31" t="s">
        <v>49</v>
      </c>
      <c r="H3279" s="58" t="s">
        <v>28</v>
      </c>
      <c r="I3279" s="37" t="str">
        <f>VLOOKUP(H3279,'Flow Location'!$A$1:$B$21,2,FALSE)</f>
        <v>Storm Sewer (not contained)</v>
      </c>
      <c r="J3279" s="52">
        <v>390.0</v>
      </c>
      <c r="K3279" s="51" t="s">
        <v>29</v>
      </c>
      <c r="L3279" s="37" t="str">
        <f>VLOOKUP(K3279,'Structure type'!$A$1:$B$15,2,FALSE)</f>
        <v>Manhole</v>
      </c>
      <c r="M3279" s="51" t="s">
        <v>3239</v>
      </c>
      <c r="N3279" s="23" t="str">
        <f>VLOOKUP(M3279,'Excursion Cause'!$A$1:$B$34,2,FALSE)</f>
        <v>Collection system temporary blockage</v>
      </c>
      <c r="O3279" s="53">
        <v>45281.0</v>
      </c>
      <c r="P3279" s="30">
        <v>0.6527777777777778</v>
      </c>
      <c r="Q3279" s="29">
        <v>45281.0</v>
      </c>
      <c r="R3279" s="30">
        <v>0.7881944444444444</v>
      </c>
      <c r="S3279" s="59">
        <v>2.0</v>
      </c>
      <c r="T3279" s="23" t="s">
        <v>1462</v>
      </c>
      <c r="U3279" s="56"/>
      <c r="V3279" s="56"/>
      <c r="W3279" s="35">
        <v>29.6170885</v>
      </c>
      <c r="X3279" s="35">
        <v>-95.1970877</v>
      </c>
      <c r="AA3279" s="33"/>
      <c r="AB3279" s="33"/>
      <c r="AC3279" s="33"/>
      <c r="AD3279" s="33"/>
      <c r="AE3279" s="33"/>
      <c r="AF3279" s="33"/>
      <c r="AG3279" s="33"/>
      <c r="AH3279" s="33"/>
      <c r="AI3279" s="33"/>
      <c r="AJ3279" s="33"/>
      <c r="AK3279" s="33"/>
      <c r="AL3279" s="33"/>
      <c r="AM3279" s="33"/>
      <c r="AN3279" s="33"/>
      <c r="AO3279" s="33"/>
    </row>
    <row r="3280" ht="15.75" customHeight="1">
      <c r="A3280" s="50">
        <v>57197.0</v>
      </c>
      <c r="B3280" s="23">
        <v>2023.0</v>
      </c>
      <c r="C3280" s="36" t="str">
        <f t="shared" si="7"/>
        <v>1511 LAWNDALE PLZ,Houston,TX</v>
      </c>
      <c r="D3280" s="51" t="s">
        <v>5128</v>
      </c>
      <c r="E3280" s="23" t="s">
        <v>25</v>
      </c>
      <c r="F3280" s="23" t="s">
        <v>1388</v>
      </c>
      <c r="G3280" s="31" t="s">
        <v>141</v>
      </c>
      <c r="H3280" s="58" t="s">
        <v>28</v>
      </c>
      <c r="I3280" s="37" t="str">
        <f>VLOOKUP(H3280,'Flow Location'!$A$1:$B$21,2,FALSE)</f>
        <v>Storm Sewer (not contained)</v>
      </c>
      <c r="J3280" s="52">
        <v>0.0</v>
      </c>
      <c r="K3280" s="51" t="s">
        <v>29</v>
      </c>
      <c r="L3280" s="37" t="str">
        <f>VLOOKUP(K3280,'Structure type'!$A$1:$B$15,2,FALSE)</f>
        <v>Manhole</v>
      </c>
      <c r="M3280" s="51" t="s">
        <v>30</v>
      </c>
      <c r="N3280" s="23" t="str">
        <f>VLOOKUP(M3280,'Excursion Cause'!$A$1:$B$34,2,FALSE)</f>
        <v>Grease Blockage</v>
      </c>
      <c r="O3280" s="53">
        <v>45282.0</v>
      </c>
      <c r="P3280" s="30">
        <v>0.44930555555555557</v>
      </c>
      <c r="Q3280" s="29">
        <v>45282.0</v>
      </c>
      <c r="R3280" s="30">
        <v>0.45</v>
      </c>
      <c r="S3280" s="59">
        <v>0.0</v>
      </c>
      <c r="T3280" s="23" t="s">
        <v>3749</v>
      </c>
      <c r="U3280" s="56"/>
      <c r="V3280" s="56"/>
      <c r="W3280" s="35">
        <v>29.7179879</v>
      </c>
      <c r="X3280" s="35">
        <v>-95.2968449999999</v>
      </c>
      <c r="AA3280" s="33"/>
      <c r="AB3280" s="33"/>
      <c r="AC3280" s="33"/>
      <c r="AD3280" s="33"/>
      <c r="AE3280" s="33"/>
      <c r="AF3280" s="33"/>
      <c r="AG3280" s="33"/>
      <c r="AH3280" s="33"/>
      <c r="AI3280" s="33"/>
      <c r="AJ3280" s="33"/>
      <c r="AK3280" s="33"/>
      <c r="AL3280" s="33"/>
      <c r="AM3280" s="33"/>
      <c r="AN3280" s="33"/>
      <c r="AO3280" s="33"/>
    </row>
    <row r="3281" ht="15.75" customHeight="1">
      <c r="A3281" s="50">
        <v>57198.0</v>
      </c>
      <c r="B3281" s="23">
        <v>2023.0</v>
      </c>
      <c r="C3281" s="36" t="str">
        <f t="shared" si="7"/>
        <v>2207 BRAZOS ST,Houston,TX</v>
      </c>
      <c r="D3281" s="51" t="s">
        <v>5129</v>
      </c>
      <c r="E3281" s="23" t="s">
        <v>25</v>
      </c>
      <c r="F3281" s="23" t="s">
        <v>1388</v>
      </c>
      <c r="G3281" s="31" t="s">
        <v>463</v>
      </c>
      <c r="H3281" s="58" t="s">
        <v>50</v>
      </c>
      <c r="I3281" s="37" t="str">
        <f>VLOOKUP(H3281,'Flow Location'!$A$1:$B$21,2,FALSE)</f>
        <v>Contained On Site, not within 5 ft. of Bayou/Surface Water/Drainage Ditch</v>
      </c>
      <c r="J3281" s="52">
        <v>230.0</v>
      </c>
      <c r="K3281" s="51" t="s">
        <v>29</v>
      </c>
      <c r="L3281" s="37" t="str">
        <f>VLOOKUP(K3281,'Structure type'!$A$1:$B$15,2,FALSE)</f>
        <v>Manhole</v>
      </c>
      <c r="M3281" s="51" t="s">
        <v>30</v>
      </c>
      <c r="N3281" s="23" t="str">
        <f>VLOOKUP(M3281,'Excursion Cause'!$A$1:$B$34,2,FALSE)</f>
        <v>Grease Blockage</v>
      </c>
      <c r="O3281" s="53">
        <v>45282.0</v>
      </c>
      <c r="P3281" s="30">
        <v>0.4861111111111111</v>
      </c>
      <c r="Q3281" s="29">
        <v>45282.0</v>
      </c>
      <c r="R3281" s="30">
        <v>0.5659722222222222</v>
      </c>
      <c r="S3281" s="59">
        <v>2.0</v>
      </c>
      <c r="T3281" s="23" t="s">
        <v>1462</v>
      </c>
      <c r="U3281" s="56"/>
      <c r="V3281" s="56"/>
      <c r="W3281" s="35">
        <v>29.7503412</v>
      </c>
      <c r="X3281" s="35">
        <v>-95.376294</v>
      </c>
      <c r="AA3281" s="33"/>
      <c r="AB3281" s="33"/>
      <c r="AC3281" s="33"/>
      <c r="AD3281" s="33"/>
      <c r="AE3281" s="33"/>
      <c r="AF3281" s="33"/>
      <c r="AG3281" s="33"/>
      <c r="AH3281" s="33"/>
      <c r="AI3281" s="33"/>
      <c r="AJ3281" s="33"/>
      <c r="AK3281" s="33"/>
      <c r="AL3281" s="33"/>
      <c r="AM3281" s="33"/>
      <c r="AN3281" s="33"/>
      <c r="AO3281" s="33"/>
    </row>
    <row r="3282" ht="15.75" customHeight="1">
      <c r="A3282" s="50">
        <v>57202.0</v>
      </c>
      <c r="B3282" s="23">
        <v>2023.0</v>
      </c>
      <c r="C3282" s="36" t="str">
        <f t="shared" si="7"/>
        <v>2501 BERING DR,Houston,TX</v>
      </c>
      <c r="D3282" s="51" t="s">
        <v>5130</v>
      </c>
      <c r="E3282" s="23" t="s">
        <v>25</v>
      </c>
      <c r="F3282" s="23" t="s">
        <v>1388</v>
      </c>
      <c r="G3282" s="31" t="s">
        <v>689</v>
      </c>
      <c r="H3282" s="58" t="s">
        <v>50</v>
      </c>
      <c r="I3282" s="37" t="str">
        <f>VLOOKUP(H3282,'Flow Location'!$A$1:$B$21,2,FALSE)</f>
        <v>Contained On Site, not within 5 ft. of Bayou/Surface Water/Drainage Ditch</v>
      </c>
      <c r="J3282" s="52">
        <v>0.0</v>
      </c>
      <c r="K3282" s="51" t="s">
        <v>29</v>
      </c>
      <c r="L3282" s="37" t="str">
        <f>VLOOKUP(K3282,'Structure type'!$A$1:$B$15,2,FALSE)</f>
        <v>Manhole</v>
      </c>
      <c r="M3282" s="51" t="s">
        <v>30</v>
      </c>
      <c r="N3282" s="23" t="str">
        <f>VLOOKUP(M3282,'Excursion Cause'!$A$1:$B$34,2,FALSE)</f>
        <v>Grease Blockage</v>
      </c>
      <c r="O3282" s="53">
        <v>45282.0</v>
      </c>
      <c r="P3282" s="30">
        <v>0.45902777777777776</v>
      </c>
      <c r="Q3282" s="29">
        <v>45282.0</v>
      </c>
      <c r="R3282" s="30">
        <v>0.4597222222222222</v>
      </c>
      <c r="S3282" s="59">
        <v>0.0</v>
      </c>
      <c r="T3282" s="23" t="s">
        <v>3749</v>
      </c>
      <c r="U3282" s="56"/>
      <c r="V3282" s="56"/>
      <c r="W3282" s="35">
        <v>29.7403166999999</v>
      </c>
      <c r="X3282" s="35">
        <v>-95.4788051</v>
      </c>
      <c r="AA3282" s="33"/>
      <c r="AB3282" s="33"/>
      <c r="AC3282" s="33"/>
      <c r="AD3282" s="33"/>
      <c r="AE3282" s="33"/>
      <c r="AF3282" s="33"/>
      <c r="AG3282" s="33"/>
      <c r="AH3282" s="33"/>
      <c r="AI3282" s="33"/>
      <c r="AJ3282" s="33"/>
      <c r="AK3282" s="33"/>
      <c r="AL3282" s="33"/>
      <c r="AM3282" s="33"/>
      <c r="AN3282" s="33"/>
      <c r="AO3282" s="33"/>
    </row>
    <row r="3283" ht="15.75" customHeight="1">
      <c r="A3283" s="50">
        <v>57203.0</v>
      </c>
      <c r="B3283" s="23">
        <v>2023.0</v>
      </c>
      <c r="C3283" s="36" t="str">
        <f t="shared" si="7"/>
        <v>7002 LACY HILL DR,Houston,TX</v>
      </c>
      <c r="D3283" s="51" t="s">
        <v>5131</v>
      </c>
      <c r="E3283" s="23" t="s">
        <v>25</v>
      </c>
      <c r="F3283" s="23" t="s">
        <v>1388</v>
      </c>
      <c r="G3283" s="31" t="s">
        <v>100</v>
      </c>
      <c r="H3283" s="58" t="s">
        <v>28</v>
      </c>
      <c r="I3283" s="37" t="str">
        <f>VLOOKUP(H3283,'Flow Location'!$A$1:$B$21,2,FALSE)</f>
        <v>Storm Sewer (not contained)</v>
      </c>
      <c r="J3283" s="52">
        <v>110.0</v>
      </c>
      <c r="K3283" s="51" t="s">
        <v>29</v>
      </c>
      <c r="L3283" s="37" t="str">
        <f>VLOOKUP(K3283,'Structure type'!$A$1:$B$15,2,FALSE)</f>
        <v>Manhole</v>
      </c>
      <c r="M3283" s="51" t="s">
        <v>30</v>
      </c>
      <c r="N3283" s="23" t="str">
        <f>VLOOKUP(M3283,'Excursion Cause'!$A$1:$B$34,2,FALSE)</f>
        <v>Grease Blockage</v>
      </c>
      <c r="O3283" s="53">
        <v>45282.0</v>
      </c>
      <c r="P3283" s="30">
        <v>0.6319444444444444</v>
      </c>
      <c r="Q3283" s="29">
        <v>45282.0</v>
      </c>
      <c r="R3283" s="30">
        <v>0.7083333333333334</v>
      </c>
      <c r="S3283" s="59">
        <v>1.0</v>
      </c>
      <c r="T3283" s="23" t="s">
        <v>3749</v>
      </c>
      <c r="U3283" s="56"/>
      <c r="V3283" s="56"/>
      <c r="W3283" s="35">
        <v>29.7038466</v>
      </c>
      <c r="X3283" s="35">
        <v>-95.5439897999999</v>
      </c>
      <c r="AA3283" s="33"/>
      <c r="AB3283" s="33"/>
      <c r="AC3283" s="33"/>
      <c r="AD3283" s="33"/>
      <c r="AE3283" s="33"/>
      <c r="AF3283" s="33"/>
      <c r="AG3283" s="33"/>
      <c r="AH3283" s="33"/>
      <c r="AI3283" s="33"/>
      <c r="AJ3283" s="33"/>
      <c r="AK3283" s="33"/>
      <c r="AL3283" s="33"/>
      <c r="AM3283" s="33"/>
      <c r="AN3283" s="33"/>
      <c r="AO3283" s="33"/>
    </row>
    <row r="3284" ht="15.75" customHeight="1">
      <c r="A3284" s="50">
        <v>57205.0</v>
      </c>
      <c r="B3284" s="23">
        <v>2023.0</v>
      </c>
      <c r="C3284" s="36" t="str">
        <f t="shared" si="7"/>
        <v>6731 GREY OAKS DR,Houston,TX</v>
      </c>
      <c r="D3284" s="51" t="s">
        <v>5132</v>
      </c>
      <c r="E3284" s="23" t="s">
        <v>25</v>
      </c>
      <c r="F3284" s="23" t="s">
        <v>1388</v>
      </c>
      <c r="G3284" s="31" t="s">
        <v>3256</v>
      </c>
      <c r="H3284" s="58" t="s">
        <v>5096</v>
      </c>
      <c r="I3284" s="37" t="str">
        <f>VLOOKUP(H3284,'Flow Location'!$A$1:$B$21,2,FALSE)</f>
        <v>#N/A</v>
      </c>
      <c r="J3284" s="52">
        <v>552.0</v>
      </c>
      <c r="K3284" s="51" t="s">
        <v>29</v>
      </c>
      <c r="L3284" s="37" t="str">
        <f>VLOOKUP(K3284,'Structure type'!$A$1:$B$15,2,FALSE)</f>
        <v>Manhole</v>
      </c>
      <c r="M3284" s="51" t="s">
        <v>366</v>
      </c>
      <c r="N3284" s="23" t="str">
        <f>VLOOKUP(M3284,'Excursion Cause'!$A$1:$B$34,2,FALSE)</f>
        <v>Collection system structural blockage</v>
      </c>
      <c r="O3284" s="53">
        <v>45283.0</v>
      </c>
      <c r="P3284" s="30">
        <v>0.43472222222222223</v>
      </c>
      <c r="Q3284" s="29">
        <v>45283.0</v>
      </c>
      <c r="R3284" s="30">
        <v>0.5625</v>
      </c>
      <c r="S3284" s="59">
        <v>3.0</v>
      </c>
      <c r="T3284" s="23" t="s">
        <v>3745</v>
      </c>
      <c r="U3284" s="56"/>
      <c r="V3284" s="56"/>
      <c r="W3284" s="35">
        <v>29.9013088</v>
      </c>
      <c r="X3284" s="35">
        <v>-95.2895678</v>
      </c>
      <c r="AA3284" s="33"/>
      <c r="AB3284" s="33"/>
      <c r="AC3284" s="33"/>
      <c r="AD3284" s="33"/>
      <c r="AE3284" s="33"/>
      <c r="AF3284" s="33"/>
      <c r="AG3284" s="33"/>
      <c r="AH3284" s="33"/>
      <c r="AI3284" s="33"/>
      <c r="AJ3284" s="33"/>
      <c r="AK3284" s="33"/>
      <c r="AL3284" s="33"/>
      <c r="AM3284" s="33"/>
      <c r="AN3284" s="33"/>
      <c r="AO3284" s="33"/>
    </row>
    <row r="3285" ht="15.75" customHeight="1">
      <c r="A3285" s="50">
        <v>57206.0</v>
      </c>
      <c r="B3285" s="23">
        <v>2023.0</v>
      </c>
      <c r="C3285" s="36" t="str">
        <f t="shared" si="7"/>
        <v>6800 SHAVELSON ST,Houston,TX</v>
      </c>
      <c r="D3285" s="51" t="s">
        <v>1259</v>
      </c>
      <c r="E3285" s="23" t="s">
        <v>25</v>
      </c>
      <c r="F3285" s="23" t="s">
        <v>1388</v>
      </c>
      <c r="G3285" s="31" t="s">
        <v>27</v>
      </c>
      <c r="H3285" s="58" t="s">
        <v>50</v>
      </c>
      <c r="I3285" s="37" t="str">
        <f>VLOOKUP(H3285,'Flow Location'!$A$1:$B$21,2,FALSE)</f>
        <v>Contained On Site, not within 5 ft. of Bayou/Surface Water/Drainage Ditch</v>
      </c>
      <c r="J3285" s="52">
        <v>247.0</v>
      </c>
      <c r="K3285" s="51" t="s">
        <v>29</v>
      </c>
      <c r="L3285" s="37" t="str">
        <f>VLOOKUP(K3285,'Structure type'!$A$1:$B$15,2,FALSE)</f>
        <v>Manhole</v>
      </c>
      <c r="M3285" s="51" t="s">
        <v>30</v>
      </c>
      <c r="N3285" s="23" t="str">
        <f>VLOOKUP(M3285,'Excursion Cause'!$A$1:$B$34,2,FALSE)</f>
        <v>Grease Blockage</v>
      </c>
      <c r="O3285" s="53">
        <v>45283.0</v>
      </c>
      <c r="P3285" s="30">
        <v>0.4</v>
      </c>
      <c r="Q3285" s="29">
        <v>45283.0</v>
      </c>
      <c r="R3285" s="30">
        <v>0.5715277777777777</v>
      </c>
      <c r="S3285" s="59">
        <v>1.0</v>
      </c>
      <c r="T3285" s="23" t="s">
        <v>3749</v>
      </c>
      <c r="U3285" s="56"/>
      <c r="V3285" s="56"/>
      <c r="W3285" s="35">
        <v>29.7873023</v>
      </c>
      <c r="X3285" s="35">
        <v>-95.4685044</v>
      </c>
      <c r="AA3285" s="33"/>
      <c r="AB3285" s="33"/>
      <c r="AC3285" s="33"/>
      <c r="AD3285" s="33"/>
      <c r="AE3285" s="33"/>
      <c r="AF3285" s="33"/>
      <c r="AG3285" s="33"/>
      <c r="AH3285" s="33"/>
      <c r="AI3285" s="33"/>
      <c r="AJ3285" s="33"/>
      <c r="AK3285" s="33"/>
      <c r="AL3285" s="33"/>
      <c r="AM3285" s="33"/>
      <c r="AN3285" s="33"/>
      <c r="AO3285" s="33"/>
    </row>
    <row r="3286" ht="15.75" customHeight="1">
      <c r="A3286" s="50">
        <v>57212.0</v>
      </c>
      <c r="B3286" s="23">
        <v>2023.0</v>
      </c>
      <c r="C3286" s="36" t="str">
        <f t="shared" si="7"/>
        <v>6122 CAVANAUGH ST,Houston,TX</v>
      </c>
      <c r="D3286" s="51" t="s">
        <v>5133</v>
      </c>
      <c r="E3286" s="23" t="s">
        <v>25</v>
      </c>
      <c r="F3286" s="23" t="s">
        <v>1388</v>
      </c>
      <c r="G3286" s="31" t="s">
        <v>238</v>
      </c>
      <c r="H3286" s="58" t="s">
        <v>50</v>
      </c>
      <c r="I3286" s="37" t="str">
        <f>VLOOKUP(H3286,'Flow Location'!$A$1:$B$21,2,FALSE)</f>
        <v>Contained On Site, not within 5 ft. of Bayou/Surface Water/Drainage Ditch</v>
      </c>
      <c r="J3286" s="52">
        <v>0.0</v>
      </c>
      <c r="K3286" s="51" t="s">
        <v>51</v>
      </c>
      <c r="L3286" s="37" t="str">
        <f>VLOOKUP(K3286,'Structure type'!$A$1:$B$15,2,FALSE)</f>
        <v>Private Cleanout</v>
      </c>
      <c r="M3286" s="51" t="s">
        <v>52</v>
      </c>
      <c r="N3286" s="23" t="str">
        <f>VLOOKUP(M3286,'Excursion Cause'!$A$1:$B$34,2,FALSE)</f>
        <v>Collection system structural blockage</v>
      </c>
      <c r="O3286" s="53">
        <v>45283.0</v>
      </c>
      <c r="P3286" s="30">
        <v>0.5659722222222222</v>
      </c>
      <c r="Q3286" s="29">
        <v>45283.0</v>
      </c>
      <c r="R3286" s="30">
        <v>0.5666666666666667</v>
      </c>
      <c r="S3286" s="59">
        <v>0.0</v>
      </c>
      <c r="T3286" s="23" t="s">
        <v>118</v>
      </c>
      <c r="U3286" s="56"/>
      <c r="V3286" s="56"/>
      <c r="W3286" s="35">
        <v>29.6918083</v>
      </c>
      <c r="X3286" s="35">
        <v>-95.3357209</v>
      </c>
      <c r="AA3286" s="33"/>
      <c r="AB3286" s="33"/>
      <c r="AC3286" s="33"/>
      <c r="AD3286" s="33"/>
      <c r="AE3286" s="33"/>
      <c r="AF3286" s="33"/>
      <c r="AG3286" s="33"/>
      <c r="AH3286" s="33"/>
      <c r="AI3286" s="33"/>
      <c r="AJ3286" s="33"/>
      <c r="AK3286" s="33"/>
      <c r="AL3286" s="33"/>
      <c r="AM3286" s="33"/>
      <c r="AN3286" s="33"/>
      <c r="AO3286" s="33"/>
    </row>
    <row r="3287" ht="15.75" customHeight="1">
      <c r="A3287" s="50">
        <v>57213.0</v>
      </c>
      <c r="B3287" s="23">
        <v>2023.0</v>
      </c>
      <c r="C3287" s="36" t="str">
        <f t="shared" si="7"/>
        <v>2202 LYNNFIELD ST,Houston,TX</v>
      </c>
      <c r="D3287" s="51" t="s">
        <v>5134</v>
      </c>
      <c r="E3287" s="23" t="s">
        <v>25</v>
      </c>
      <c r="F3287" s="23" t="s">
        <v>1388</v>
      </c>
      <c r="G3287" s="31" t="s">
        <v>109</v>
      </c>
      <c r="H3287" s="58" t="s">
        <v>44</v>
      </c>
      <c r="I3287" s="37" t="str">
        <f>VLOOKUP(H3287,'Flow Location'!$A$1:$B$21,2,FALSE)</f>
        <v>Bayou/surface water/drainage ditch</v>
      </c>
      <c r="J3287" s="52">
        <v>0.0</v>
      </c>
      <c r="K3287" s="51" t="s">
        <v>51</v>
      </c>
      <c r="L3287" s="37" t="str">
        <f>VLOOKUP(K3287,'Structure type'!$A$1:$B$15,2,FALSE)</f>
        <v>Private Cleanout</v>
      </c>
      <c r="M3287" s="51" t="s">
        <v>56</v>
      </c>
      <c r="N3287" s="23" t="str">
        <f>VLOOKUP(M3287,'Excursion Cause'!$A$1:$B$34,2,FALSE)</f>
        <v>Rags/Wipes</v>
      </c>
      <c r="O3287" s="53">
        <v>45283.0</v>
      </c>
      <c r="P3287" s="30">
        <v>0.5694444444444444</v>
      </c>
      <c r="Q3287" s="29">
        <v>45283.0</v>
      </c>
      <c r="R3287" s="30">
        <v>0.5701388888888889</v>
      </c>
      <c r="S3287" s="59">
        <v>0.0</v>
      </c>
      <c r="T3287" s="23" t="s">
        <v>3743</v>
      </c>
      <c r="U3287" s="56"/>
      <c r="V3287" s="56"/>
      <c r="W3287" s="35">
        <v>29.8200114</v>
      </c>
      <c r="X3287" s="35">
        <v>-95.3487158</v>
      </c>
      <c r="AA3287" s="33"/>
      <c r="AB3287" s="33"/>
      <c r="AC3287" s="33"/>
      <c r="AD3287" s="33"/>
      <c r="AE3287" s="33"/>
      <c r="AF3287" s="33"/>
      <c r="AG3287" s="33"/>
      <c r="AH3287" s="33"/>
      <c r="AI3287" s="33"/>
      <c r="AJ3287" s="33"/>
      <c r="AK3287" s="33"/>
      <c r="AL3287" s="33"/>
      <c r="AM3287" s="33"/>
      <c r="AN3287" s="33"/>
      <c r="AO3287" s="33"/>
    </row>
    <row r="3288" ht="15.75" customHeight="1">
      <c r="A3288" s="50">
        <v>57220.0</v>
      </c>
      <c r="B3288" s="23">
        <v>2023.0</v>
      </c>
      <c r="C3288" s="36" t="str">
        <f t="shared" si="7"/>
        <v>7030 BENT BRANCH DR,Houston,TX</v>
      </c>
      <c r="D3288" s="51" t="s">
        <v>5135</v>
      </c>
      <c r="E3288" s="23" t="s">
        <v>25</v>
      </c>
      <c r="F3288" s="23" t="s">
        <v>1388</v>
      </c>
      <c r="G3288" s="31" t="s">
        <v>502</v>
      </c>
      <c r="H3288" s="58" t="s">
        <v>50</v>
      </c>
      <c r="I3288" s="37" t="str">
        <f>VLOOKUP(H3288,'Flow Location'!$A$1:$B$21,2,FALSE)</f>
        <v>Contained On Site, not within 5 ft. of Bayou/Surface Water/Drainage Ditch</v>
      </c>
      <c r="J3288" s="52">
        <v>0.0</v>
      </c>
      <c r="K3288" s="51" t="s">
        <v>51</v>
      </c>
      <c r="L3288" s="37" t="str">
        <f>VLOOKUP(K3288,'Structure type'!$A$1:$B$15,2,FALSE)</f>
        <v>Private Cleanout</v>
      </c>
      <c r="M3288" s="51" t="s">
        <v>30</v>
      </c>
      <c r="N3288" s="23" t="str">
        <f>VLOOKUP(M3288,'Excursion Cause'!$A$1:$B$34,2,FALSE)</f>
        <v>Grease Blockage</v>
      </c>
      <c r="O3288" s="53">
        <v>45284.0</v>
      </c>
      <c r="P3288" s="30">
        <v>0.4395833333333333</v>
      </c>
      <c r="Q3288" s="29">
        <v>45284.0</v>
      </c>
      <c r="R3288" s="30">
        <v>0.44027777777777777</v>
      </c>
      <c r="S3288" s="59">
        <v>0.0</v>
      </c>
      <c r="T3288" s="23" t="s">
        <v>1462</v>
      </c>
      <c r="U3288" s="56"/>
      <c r="V3288" s="56"/>
      <c r="W3288" s="35">
        <v>29.8723759</v>
      </c>
      <c r="X3288" s="35">
        <v>-95.4816743999999</v>
      </c>
      <c r="AA3288" s="33"/>
      <c r="AB3288" s="33"/>
      <c r="AC3288" s="33"/>
      <c r="AD3288" s="33"/>
      <c r="AE3288" s="33"/>
      <c r="AF3288" s="33"/>
      <c r="AG3288" s="33"/>
      <c r="AH3288" s="33"/>
      <c r="AI3288" s="33"/>
      <c r="AJ3288" s="33"/>
      <c r="AK3288" s="33"/>
      <c r="AL3288" s="33"/>
      <c r="AM3288" s="33"/>
      <c r="AN3288" s="33"/>
      <c r="AO3288" s="33"/>
    </row>
    <row r="3289" ht="15.75" customHeight="1">
      <c r="A3289" s="50">
        <v>57222.0</v>
      </c>
      <c r="B3289" s="23">
        <v>2023.0</v>
      </c>
      <c r="C3289" s="36" t="str">
        <f t="shared" si="7"/>
        <v>2408 STAPLES ST,Houston,TX</v>
      </c>
      <c r="D3289" s="51" t="s">
        <v>3823</v>
      </c>
      <c r="E3289" s="23" t="s">
        <v>25</v>
      </c>
      <c r="F3289" s="23" t="s">
        <v>1388</v>
      </c>
      <c r="G3289" s="31" t="s">
        <v>43</v>
      </c>
      <c r="H3289" s="58" t="s">
        <v>50</v>
      </c>
      <c r="I3289" s="37" t="str">
        <f>VLOOKUP(H3289,'Flow Location'!$A$1:$B$21,2,FALSE)</f>
        <v>Contained On Site, not within 5 ft. of Bayou/Surface Water/Drainage Ditch</v>
      </c>
      <c r="J3289" s="52">
        <v>0.0</v>
      </c>
      <c r="K3289" s="51" t="s">
        <v>45</v>
      </c>
      <c r="L3289" s="37" t="str">
        <f>VLOOKUP(K3289,'Structure type'!$A$1:$B$15,2,FALSE)</f>
        <v>City Cleanout</v>
      </c>
      <c r="M3289" s="51" t="s">
        <v>30</v>
      </c>
      <c r="N3289" s="23" t="str">
        <f>VLOOKUP(M3289,'Excursion Cause'!$A$1:$B$34,2,FALSE)</f>
        <v>Grease Blockage</v>
      </c>
      <c r="O3289" s="53">
        <v>45284.0</v>
      </c>
      <c r="P3289" s="30">
        <v>0.4979166666666667</v>
      </c>
      <c r="Q3289" s="29">
        <v>45284.0</v>
      </c>
      <c r="R3289" s="30">
        <v>0.4986111111111111</v>
      </c>
      <c r="S3289" s="59">
        <v>0.0</v>
      </c>
      <c r="T3289" s="23" t="s">
        <v>3743</v>
      </c>
      <c r="U3289" s="56"/>
      <c r="V3289" s="56"/>
      <c r="W3289" s="35">
        <v>29.784163</v>
      </c>
      <c r="X3289" s="35">
        <v>-95.3348015999999</v>
      </c>
      <c r="AA3289" s="33"/>
      <c r="AB3289" s="33"/>
      <c r="AC3289" s="33"/>
      <c r="AD3289" s="33"/>
      <c r="AE3289" s="33"/>
      <c r="AF3289" s="33"/>
      <c r="AG3289" s="33"/>
      <c r="AH3289" s="33"/>
      <c r="AI3289" s="33"/>
      <c r="AJ3289" s="33"/>
      <c r="AK3289" s="33"/>
      <c r="AL3289" s="33"/>
      <c r="AM3289" s="33"/>
      <c r="AN3289" s="33"/>
      <c r="AO3289" s="33"/>
    </row>
    <row r="3290" ht="15.75" customHeight="1">
      <c r="A3290" s="50">
        <v>57224.0</v>
      </c>
      <c r="B3290" s="23">
        <v>2023.0</v>
      </c>
      <c r="C3290" s="36" t="str">
        <f t="shared" si="7"/>
        <v>2418 B QUENBY ST,Houston,TX</v>
      </c>
      <c r="D3290" s="51" t="s">
        <v>5136</v>
      </c>
      <c r="E3290" s="23" t="s">
        <v>25</v>
      </c>
      <c r="F3290" s="23" t="s">
        <v>1388</v>
      </c>
      <c r="G3290" s="31" t="s">
        <v>3158</v>
      </c>
      <c r="H3290" s="58" t="s">
        <v>28</v>
      </c>
      <c r="I3290" s="37" t="str">
        <f>VLOOKUP(H3290,'Flow Location'!$A$1:$B$21,2,FALSE)</f>
        <v>Storm Sewer (not contained)</v>
      </c>
      <c r="J3290" s="52">
        <v>258.0</v>
      </c>
      <c r="K3290" s="51" t="s">
        <v>51</v>
      </c>
      <c r="L3290" s="37" t="str">
        <f>VLOOKUP(K3290,'Structure type'!$A$1:$B$15,2,FALSE)</f>
        <v>Private Cleanout</v>
      </c>
      <c r="M3290" s="51" t="s">
        <v>52</v>
      </c>
      <c r="N3290" s="23" t="str">
        <f>VLOOKUP(M3290,'Excursion Cause'!$A$1:$B$34,2,FALSE)</f>
        <v>Collection system structural blockage</v>
      </c>
      <c r="O3290" s="53">
        <v>45284.0</v>
      </c>
      <c r="P3290" s="30">
        <v>0.5493055555555556</v>
      </c>
      <c r="Q3290" s="29">
        <v>45284.0</v>
      </c>
      <c r="R3290" s="30">
        <v>0.6388888888888888</v>
      </c>
      <c r="S3290" s="59">
        <v>2.0</v>
      </c>
      <c r="T3290" s="23" t="s">
        <v>3756</v>
      </c>
      <c r="U3290" s="56"/>
      <c r="V3290" s="56"/>
      <c r="W3290" s="35">
        <v>29.7216908</v>
      </c>
      <c r="X3290" s="35">
        <v>-95.4157901</v>
      </c>
      <c r="AA3290" s="33"/>
      <c r="AB3290" s="33"/>
      <c r="AC3290" s="33"/>
      <c r="AD3290" s="33"/>
      <c r="AE3290" s="33"/>
      <c r="AF3290" s="33"/>
      <c r="AG3290" s="33"/>
      <c r="AH3290" s="33"/>
      <c r="AI3290" s="33"/>
      <c r="AJ3290" s="33"/>
      <c r="AK3290" s="33"/>
      <c r="AL3290" s="33"/>
      <c r="AM3290" s="33"/>
      <c r="AN3290" s="33"/>
      <c r="AO3290" s="33"/>
    </row>
    <row r="3291" ht="15.75" customHeight="1">
      <c r="A3291" s="50">
        <v>57227.0</v>
      </c>
      <c r="B3291" s="23">
        <v>2023.0</v>
      </c>
      <c r="C3291" s="36" t="str">
        <f t="shared" si="7"/>
        <v>1611 ROSEWOOD ST,Houston,TX</v>
      </c>
      <c r="D3291" s="51" t="s">
        <v>5137</v>
      </c>
      <c r="E3291" s="23" t="s">
        <v>25</v>
      </c>
      <c r="F3291" s="23" t="s">
        <v>1388</v>
      </c>
      <c r="G3291" s="31" t="s">
        <v>308</v>
      </c>
      <c r="H3291" s="58" t="s">
        <v>50</v>
      </c>
      <c r="I3291" s="37" t="str">
        <f>VLOOKUP(H3291,'Flow Location'!$A$1:$B$21,2,FALSE)</f>
        <v>Contained On Site, not within 5 ft. of Bayou/Surface Water/Drainage Ditch</v>
      </c>
      <c r="J3291" s="52">
        <v>0.0</v>
      </c>
      <c r="K3291" s="51" t="s">
        <v>45</v>
      </c>
      <c r="L3291" s="37" t="str">
        <f>VLOOKUP(K3291,'Structure type'!$A$1:$B$15,2,FALSE)</f>
        <v>City Cleanout</v>
      </c>
      <c r="M3291" s="51" t="s">
        <v>30</v>
      </c>
      <c r="N3291" s="23" t="str">
        <f>VLOOKUP(M3291,'Excursion Cause'!$A$1:$B$34,2,FALSE)</f>
        <v>Grease Blockage</v>
      </c>
      <c r="O3291" s="53">
        <v>45285.0</v>
      </c>
      <c r="P3291" s="30">
        <v>0.41805555555555557</v>
      </c>
      <c r="Q3291" s="29">
        <v>45285.0</v>
      </c>
      <c r="R3291" s="30">
        <v>0.41875</v>
      </c>
      <c r="S3291" s="59">
        <v>0.0</v>
      </c>
      <c r="T3291" s="23" t="s">
        <v>3743</v>
      </c>
      <c r="U3291" s="56"/>
      <c r="V3291" s="56"/>
      <c r="W3291" s="35">
        <v>29.7303555</v>
      </c>
      <c r="X3291" s="35">
        <v>-95.3777267</v>
      </c>
      <c r="AA3291" s="33"/>
      <c r="AB3291" s="33"/>
      <c r="AC3291" s="33"/>
      <c r="AD3291" s="33"/>
      <c r="AE3291" s="33"/>
      <c r="AF3291" s="33"/>
      <c r="AG3291" s="33"/>
      <c r="AH3291" s="33"/>
      <c r="AI3291" s="33"/>
      <c r="AJ3291" s="33"/>
      <c r="AK3291" s="33"/>
      <c r="AL3291" s="33"/>
      <c r="AM3291" s="33"/>
      <c r="AN3291" s="33"/>
      <c r="AO3291" s="33"/>
    </row>
    <row r="3292" ht="15.75" customHeight="1">
      <c r="A3292" s="50">
        <v>57232.0</v>
      </c>
      <c r="B3292" s="23">
        <v>2023.0</v>
      </c>
      <c r="C3292" s="36" t="str">
        <f t="shared" si="7"/>
        <v>502 HARKNESS ST,Houston,TX</v>
      </c>
      <c r="D3292" s="51" t="s">
        <v>5138</v>
      </c>
      <c r="E3292" s="23" t="s">
        <v>25</v>
      </c>
      <c r="F3292" s="23" t="s">
        <v>1388</v>
      </c>
      <c r="G3292" s="31" t="s">
        <v>275</v>
      </c>
      <c r="H3292" s="58" t="s">
        <v>1977</v>
      </c>
      <c r="I3292" s="37" t="str">
        <f>VLOOKUP(H3292,'Flow Location'!$A$1:$B$21,2,FALSE)</f>
        <v>Bayou/surface water/drainage ditch</v>
      </c>
      <c r="J3292" s="52">
        <v>0.0</v>
      </c>
      <c r="K3292" s="51" t="s">
        <v>45</v>
      </c>
      <c r="L3292" s="37" t="str">
        <f>VLOOKUP(K3292,'Structure type'!$A$1:$B$15,2,FALSE)</f>
        <v>City Cleanout</v>
      </c>
      <c r="M3292" s="51" t="s">
        <v>30</v>
      </c>
      <c r="N3292" s="23" t="str">
        <f>VLOOKUP(M3292,'Excursion Cause'!$A$1:$B$34,2,FALSE)</f>
        <v>Grease Blockage</v>
      </c>
      <c r="O3292" s="53">
        <v>45286.0</v>
      </c>
      <c r="P3292" s="30">
        <v>0.4354166666666667</v>
      </c>
      <c r="Q3292" s="29">
        <v>45286.0</v>
      </c>
      <c r="R3292" s="30">
        <v>0.4361111111111111</v>
      </c>
      <c r="S3292" s="59">
        <v>0.0</v>
      </c>
      <c r="T3292" s="23" t="s">
        <v>1436</v>
      </c>
      <c r="U3292" s="56"/>
      <c r="V3292" s="56"/>
      <c r="W3292" s="35">
        <v>29.8525529</v>
      </c>
      <c r="X3292" s="35">
        <v>-95.3699716</v>
      </c>
      <c r="AA3292" s="33"/>
      <c r="AB3292" s="33"/>
      <c r="AC3292" s="33"/>
      <c r="AD3292" s="33"/>
      <c r="AE3292" s="33"/>
      <c r="AF3292" s="33"/>
      <c r="AG3292" s="33"/>
      <c r="AH3292" s="33"/>
      <c r="AI3292" s="33"/>
      <c r="AJ3292" s="33"/>
      <c r="AK3292" s="33"/>
      <c r="AL3292" s="33"/>
      <c r="AM3292" s="33"/>
      <c r="AN3292" s="33"/>
      <c r="AO3292" s="33"/>
    </row>
    <row r="3293" ht="15.75" customHeight="1">
      <c r="A3293" s="50">
        <v>57235.0</v>
      </c>
      <c r="B3293" s="23">
        <v>2023.0</v>
      </c>
      <c r="C3293" s="36" t="str">
        <f t="shared" si="7"/>
        <v>908 CANADIAN ST,Houston,TX</v>
      </c>
      <c r="D3293" s="51" t="s">
        <v>5139</v>
      </c>
      <c r="E3293" s="23" t="s">
        <v>25</v>
      </c>
      <c r="F3293" s="23" t="s">
        <v>1388</v>
      </c>
      <c r="G3293" s="31" t="s">
        <v>161</v>
      </c>
      <c r="H3293" s="58" t="s">
        <v>50</v>
      </c>
      <c r="I3293" s="37" t="str">
        <f>VLOOKUP(H3293,'Flow Location'!$A$1:$B$21,2,FALSE)</f>
        <v>Contained On Site, not within 5 ft. of Bayou/Surface Water/Drainage Ditch</v>
      </c>
      <c r="J3293" s="52">
        <v>0.0</v>
      </c>
      <c r="K3293" s="51" t="s">
        <v>45</v>
      </c>
      <c r="L3293" s="37" t="str">
        <f>VLOOKUP(K3293,'Structure type'!$A$1:$B$15,2,FALSE)</f>
        <v>City Cleanout</v>
      </c>
      <c r="M3293" s="51" t="s">
        <v>30</v>
      </c>
      <c r="N3293" s="23" t="str">
        <f>VLOOKUP(M3293,'Excursion Cause'!$A$1:$B$34,2,FALSE)</f>
        <v>Grease Blockage</v>
      </c>
      <c r="O3293" s="53">
        <v>45286.0</v>
      </c>
      <c r="P3293" s="30">
        <v>0.4527777777777778</v>
      </c>
      <c r="Q3293" s="29">
        <v>45286.0</v>
      </c>
      <c r="R3293" s="30">
        <v>0.4534722222222222</v>
      </c>
      <c r="S3293" s="59">
        <v>0.0</v>
      </c>
      <c r="T3293" s="23" t="s">
        <v>1436</v>
      </c>
      <c r="U3293" s="56"/>
      <c r="V3293" s="56"/>
      <c r="W3293" s="35">
        <v>29.804727</v>
      </c>
      <c r="X3293" s="35">
        <v>-95.3593223</v>
      </c>
      <c r="AA3293" s="33"/>
      <c r="AB3293" s="33"/>
      <c r="AC3293" s="33"/>
      <c r="AD3293" s="33"/>
      <c r="AE3293" s="33"/>
      <c r="AF3293" s="33"/>
      <c r="AG3293" s="33"/>
      <c r="AH3293" s="33"/>
      <c r="AI3293" s="33"/>
      <c r="AJ3293" s="33"/>
      <c r="AK3293" s="33"/>
      <c r="AL3293" s="33"/>
      <c r="AM3293" s="33"/>
      <c r="AN3293" s="33"/>
      <c r="AO3293" s="33"/>
    </row>
    <row r="3294" ht="15.75" customHeight="1">
      <c r="A3294" s="50">
        <v>57236.0</v>
      </c>
      <c r="B3294" s="23">
        <v>2023.0</v>
      </c>
      <c r="C3294" s="36" t="str">
        <f t="shared" si="7"/>
        <v>5511 HOHEN CIR,Houston,TX</v>
      </c>
      <c r="D3294" s="51" t="s">
        <v>5140</v>
      </c>
      <c r="E3294" s="23" t="s">
        <v>25</v>
      </c>
      <c r="F3294" s="23" t="s">
        <v>1388</v>
      </c>
      <c r="G3294" s="31" t="s">
        <v>222</v>
      </c>
      <c r="H3294" s="58" t="s">
        <v>1493</v>
      </c>
      <c r="I3294" s="37" t="str">
        <f>VLOOKUP(H3294,'Flow Location'!$A$1:$B$21,2,FALSE)</f>
        <v>Contained On Site, not within 5 ft. of Bayou/Surface Water/Drainage Ditch</v>
      </c>
      <c r="J3294" s="52">
        <v>0.0</v>
      </c>
      <c r="K3294" s="51" t="s">
        <v>45</v>
      </c>
      <c r="L3294" s="37" t="str">
        <f>VLOOKUP(K3294,'Structure type'!$A$1:$B$15,2,FALSE)</f>
        <v>City Cleanout</v>
      </c>
      <c r="M3294" s="51" t="s">
        <v>56</v>
      </c>
      <c r="N3294" s="23" t="str">
        <f>VLOOKUP(M3294,'Excursion Cause'!$A$1:$B$34,2,FALSE)</f>
        <v>Rags/Wipes</v>
      </c>
      <c r="O3294" s="53">
        <v>45286.0</v>
      </c>
      <c r="P3294" s="30">
        <v>0.45694444444444443</v>
      </c>
      <c r="Q3294" s="29">
        <v>45286.0</v>
      </c>
      <c r="R3294" s="30">
        <v>0.4576388888888889</v>
      </c>
      <c r="S3294" s="59">
        <v>0.0</v>
      </c>
      <c r="T3294" s="23" t="s">
        <v>3743</v>
      </c>
      <c r="U3294" s="56"/>
      <c r="V3294" s="56"/>
      <c r="W3294" s="35">
        <v>29.8456327</v>
      </c>
      <c r="X3294" s="35">
        <v>-95.4576165</v>
      </c>
      <c r="AA3294" s="33"/>
      <c r="AB3294" s="33"/>
      <c r="AC3294" s="33"/>
      <c r="AD3294" s="33"/>
      <c r="AE3294" s="33"/>
      <c r="AF3294" s="33"/>
      <c r="AG3294" s="33"/>
      <c r="AH3294" s="33"/>
      <c r="AI3294" s="33"/>
      <c r="AJ3294" s="33"/>
      <c r="AK3294" s="33"/>
      <c r="AL3294" s="33"/>
      <c r="AM3294" s="33"/>
      <c r="AN3294" s="33"/>
      <c r="AO3294" s="33"/>
    </row>
    <row r="3295" ht="15.75" customHeight="1">
      <c r="A3295" s="50">
        <v>57238.0</v>
      </c>
      <c r="B3295" s="23">
        <v>2023.0</v>
      </c>
      <c r="C3295" s="36" t="str">
        <f t="shared" si="7"/>
        <v>9125 NYSSA AVE,Houston,TX</v>
      </c>
      <c r="D3295" s="51" t="s">
        <v>5141</v>
      </c>
      <c r="E3295" s="23" t="s">
        <v>25</v>
      </c>
      <c r="F3295" s="23" t="s">
        <v>1388</v>
      </c>
      <c r="G3295" s="31" t="s">
        <v>387</v>
      </c>
      <c r="H3295" s="58" t="s">
        <v>50</v>
      </c>
      <c r="I3295" s="37" t="str">
        <f>VLOOKUP(H3295,'Flow Location'!$A$1:$B$21,2,FALSE)</f>
        <v>Contained On Site, not within 5 ft. of Bayou/Surface Water/Drainage Ditch</v>
      </c>
      <c r="J3295" s="52">
        <v>0.0</v>
      </c>
      <c r="K3295" s="51" t="s">
        <v>51</v>
      </c>
      <c r="L3295" s="37" t="str">
        <f>VLOOKUP(K3295,'Structure type'!$A$1:$B$15,2,FALSE)</f>
        <v>Private Cleanout</v>
      </c>
      <c r="M3295" s="51" t="s">
        <v>81</v>
      </c>
      <c r="N3295" s="23" t="str">
        <f>VLOOKUP(M3295,'Excursion Cause'!$A$1:$B$34,2,FALSE)</f>
        <v>Collection system structural failure</v>
      </c>
      <c r="O3295" s="53">
        <v>45286.0</v>
      </c>
      <c r="P3295" s="30">
        <v>0.4951388888888889</v>
      </c>
      <c r="Q3295" s="29">
        <v>45286.0</v>
      </c>
      <c r="R3295" s="30">
        <v>0.49583333333333335</v>
      </c>
      <c r="S3295" s="59">
        <v>0.0</v>
      </c>
      <c r="T3295" s="23" t="s">
        <v>1473</v>
      </c>
      <c r="U3295" s="56"/>
      <c r="V3295" s="56"/>
      <c r="W3295" s="35">
        <v>29.8599358</v>
      </c>
      <c r="X3295" s="35">
        <v>-95.2556913999999</v>
      </c>
      <c r="AA3295" s="33"/>
      <c r="AB3295" s="33"/>
      <c r="AC3295" s="33"/>
      <c r="AD3295" s="33"/>
      <c r="AE3295" s="33"/>
      <c r="AF3295" s="33"/>
      <c r="AG3295" s="33"/>
      <c r="AH3295" s="33"/>
      <c r="AI3295" s="33"/>
      <c r="AJ3295" s="33"/>
      <c r="AK3295" s="33"/>
      <c r="AL3295" s="33"/>
      <c r="AM3295" s="33"/>
      <c r="AN3295" s="33"/>
      <c r="AO3295" s="33"/>
    </row>
    <row r="3296" ht="15.75" customHeight="1">
      <c r="A3296" s="50">
        <v>57239.0</v>
      </c>
      <c r="B3296" s="23">
        <v>2023.0</v>
      </c>
      <c r="C3296" s="36" t="str">
        <f t="shared" si="7"/>
        <v>4730 PALISADE DR,Houston,TX</v>
      </c>
      <c r="D3296" s="51" t="s">
        <v>5142</v>
      </c>
      <c r="E3296" s="23" t="s">
        <v>25</v>
      </c>
      <c r="F3296" s="23" t="s">
        <v>1388</v>
      </c>
      <c r="G3296" s="31" t="s">
        <v>301</v>
      </c>
      <c r="H3296" s="58" t="s">
        <v>50</v>
      </c>
      <c r="I3296" s="37" t="str">
        <f>VLOOKUP(H3296,'Flow Location'!$A$1:$B$21,2,FALSE)</f>
        <v>Contained On Site, not within 5 ft. of Bayou/Surface Water/Drainage Ditch</v>
      </c>
      <c r="J3296" s="52">
        <v>0.0</v>
      </c>
      <c r="K3296" s="51" t="s">
        <v>51</v>
      </c>
      <c r="L3296" s="37" t="str">
        <f>VLOOKUP(K3296,'Structure type'!$A$1:$B$15,2,FALSE)</f>
        <v>Private Cleanout</v>
      </c>
      <c r="M3296" s="51" t="s">
        <v>30</v>
      </c>
      <c r="N3296" s="23" t="str">
        <f>VLOOKUP(M3296,'Excursion Cause'!$A$1:$B$34,2,FALSE)</f>
        <v>Grease Blockage</v>
      </c>
      <c r="O3296" s="53">
        <v>45286.0</v>
      </c>
      <c r="P3296" s="30">
        <v>0.5506944444444445</v>
      </c>
      <c r="Q3296" s="29">
        <v>45286.0</v>
      </c>
      <c r="R3296" s="30">
        <v>0.5513888888888889</v>
      </c>
      <c r="S3296" s="59">
        <v>0.0</v>
      </c>
      <c r="T3296" s="23" t="s">
        <v>3756</v>
      </c>
      <c r="U3296" s="56"/>
      <c r="V3296" s="56"/>
      <c r="W3296" s="35">
        <v>29.6466883</v>
      </c>
      <c r="X3296" s="35">
        <v>-95.3546477</v>
      </c>
      <c r="AA3296" s="33"/>
      <c r="AB3296" s="33"/>
      <c r="AC3296" s="33"/>
      <c r="AD3296" s="33"/>
      <c r="AE3296" s="33"/>
      <c r="AF3296" s="33"/>
      <c r="AG3296" s="33"/>
      <c r="AH3296" s="33"/>
      <c r="AI3296" s="33"/>
      <c r="AJ3296" s="33"/>
      <c r="AK3296" s="33"/>
      <c r="AL3296" s="33"/>
      <c r="AM3296" s="33"/>
      <c r="AN3296" s="33"/>
      <c r="AO3296" s="33"/>
    </row>
    <row r="3297" ht="15.75" customHeight="1">
      <c r="A3297" s="50">
        <v>57246.0</v>
      </c>
      <c r="B3297" s="23">
        <v>2023.0</v>
      </c>
      <c r="C3297" s="36" t="str">
        <f t="shared" si="7"/>
        <v>518 MELBOURNE ST,Houston,TX</v>
      </c>
      <c r="D3297" s="51" t="s">
        <v>5143</v>
      </c>
      <c r="E3297" s="23" t="s">
        <v>25</v>
      </c>
      <c r="F3297" s="23" t="s">
        <v>1388</v>
      </c>
      <c r="G3297" s="31" t="s">
        <v>653</v>
      </c>
      <c r="H3297" s="58" t="s">
        <v>50</v>
      </c>
      <c r="I3297" s="37" t="str">
        <f>VLOOKUP(H3297,'Flow Location'!$A$1:$B$21,2,FALSE)</f>
        <v>Contained On Site, not within 5 ft. of Bayou/Surface Water/Drainage Ditch</v>
      </c>
      <c r="J3297" s="52">
        <v>0.0</v>
      </c>
      <c r="K3297" s="51" t="s">
        <v>45</v>
      </c>
      <c r="L3297" s="37" t="str">
        <f>VLOOKUP(K3297,'Structure type'!$A$1:$B$15,2,FALSE)</f>
        <v>City Cleanout</v>
      </c>
      <c r="M3297" s="51" t="s">
        <v>56</v>
      </c>
      <c r="N3297" s="23" t="str">
        <f>VLOOKUP(M3297,'Excursion Cause'!$A$1:$B$34,2,FALSE)</f>
        <v>Rags/Wipes</v>
      </c>
      <c r="O3297" s="53">
        <v>45284.0</v>
      </c>
      <c r="P3297" s="30">
        <v>0.6909722222222222</v>
      </c>
      <c r="Q3297" s="29">
        <v>45284.0</v>
      </c>
      <c r="R3297" s="30">
        <v>0.6916666666666667</v>
      </c>
      <c r="S3297" s="59">
        <v>0.0</v>
      </c>
      <c r="T3297" s="23" t="s">
        <v>3756</v>
      </c>
      <c r="U3297" s="56"/>
      <c r="V3297" s="56"/>
      <c r="W3297" s="35">
        <v>29.8161771999999</v>
      </c>
      <c r="X3297" s="35">
        <v>-95.3643707999999</v>
      </c>
      <c r="AA3297" s="33"/>
      <c r="AB3297" s="33"/>
      <c r="AC3297" s="33"/>
      <c r="AD3297" s="33"/>
      <c r="AE3297" s="33"/>
      <c r="AF3297" s="33"/>
      <c r="AG3297" s="33"/>
      <c r="AH3297" s="33"/>
      <c r="AI3297" s="33"/>
      <c r="AJ3297" s="33"/>
      <c r="AK3297" s="33"/>
      <c r="AL3297" s="33"/>
      <c r="AM3297" s="33"/>
      <c r="AN3297" s="33"/>
      <c r="AO3297" s="33"/>
    </row>
    <row r="3298" ht="15.75" customHeight="1">
      <c r="A3298" s="50">
        <v>57248.0</v>
      </c>
      <c r="B3298" s="23">
        <v>2023.0</v>
      </c>
      <c r="C3298" s="36" t="str">
        <f t="shared" si="7"/>
        <v>1724 OAK TREE DR,Houston,TX</v>
      </c>
      <c r="D3298" s="51" t="s">
        <v>293</v>
      </c>
      <c r="E3298" s="23" t="s">
        <v>25</v>
      </c>
      <c r="F3298" s="23" t="s">
        <v>1388</v>
      </c>
      <c r="G3298" s="31" t="s">
        <v>294</v>
      </c>
      <c r="H3298" s="58" t="s">
        <v>2162</v>
      </c>
      <c r="I3298" s="37" t="str">
        <f>VLOOKUP(H3298,'Flow Location'!$A$1:$B$21,2,FALSE)</f>
        <v>Drainage Ditch</v>
      </c>
      <c r="J3298" s="52">
        <v>0.0</v>
      </c>
      <c r="K3298" s="51" t="s">
        <v>45</v>
      </c>
      <c r="L3298" s="37" t="str">
        <f>VLOOKUP(K3298,'Structure type'!$A$1:$B$15,2,FALSE)</f>
        <v>City Cleanout</v>
      </c>
      <c r="M3298" s="51" t="s">
        <v>56</v>
      </c>
      <c r="N3298" s="23" t="str">
        <f>VLOOKUP(M3298,'Excursion Cause'!$A$1:$B$34,2,FALSE)</f>
        <v>Rags/Wipes</v>
      </c>
      <c r="O3298" s="53">
        <v>45287.0</v>
      </c>
      <c r="P3298" s="30">
        <v>0.6652777777777777</v>
      </c>
      <c r="Q3298" s="29">
        <v>45287.0</v>
      </c>
      <c r="R3298" s="30">
        <v>0.6659722222222222</v>
      </c>
      <c r="S3298" s="59">
        <v>0.0</v>
      </c>
      <c r="T3298" s="23" t="s">
        <v>3756</v>
      </c>
      <c r="U3298" s="56"/>
      <c r="V3298" s="56"/>
      <c r="W3298" s="35">
        <v>29.8050071</v>
      </c>
      <c r="X3298" s="35">
        <v>-95.5258472</v>
      </c>
      <c r="AA3298" s="33"/>
      <c r="AB3298" s="33"/>
      <c r="AC3298" s="33"/>
      <c r="AD3298" s="33"/>
      <c r="AE3298" s="33"/>
      <c r="AF3298" s="33"/>
      <c r="AG3298" s="33"/>
      <c r="AH3298" s="33"/>
      <c r="AI3298" s="33"/>
      <c r="AJ3298" s="33"/>
      <c r="AK3298" s="33"/>
      <c r="AL3298" s="33"/>
      <c r="AM3298" s="33"/>
      <c r="AN3298" s="33"/>
      <c r="AO3298" s="33"/>
    </row>
    <row r="3299" ht="15.75" customHeight="1">
      <c r="A3299" s="50">
        <v>57251.0</v>
      </c>
      <c r="B3299" s="23">
        <v>2023.0</v>
      </c>
      <c r="C3299" s="36" t="str">
        <f t="shared" si="7"/>
        <v>7644 AVENUE E,Houston,TX</v>
      </c>
      <c r="D3299" s="51" t="s">
        <v>5144</v>
      </c>
      <c r="E3299" s="23" t="s">
        <v>25</v>
      </c>
      <c r="F3299" s="23" t="s">
        <v>1388</v>
      </c>
      <c r="G3299" s="31" t="s">
        <v>365</v>
      </c>
      <c r="H3299" s="58" t="s">
        <v>50</v>
      </c>
      <c r="I3299" s="37" t="str">
        <f>VLOOKUP(H3299,'Flow Location'!$A$1:$B$21,2,FALSE)</f>
        <v>Contained On Site, not within 5 ft. of Bayou/Surface Water/Drainage Ditch</v>
      </c>
      <c r="J3299" s="52">
        <v>0.0</v>
      </c>
      <c r="K3299" s="51" t="s">
        <v>51</v>
      </c>
      <c r="L3299" s="37" t="str">
        <f>VLOOKUP(K3299,'Structure type'!$A$1:$B$15,2,FALSE)</f>
        <v>Private Cleanout</v>
      </c>
      <c r="M3299" s="51" t="s">
        <v>56</v>
      </c>
      <c r="N3299" s="23" t="str">
        <f>VLOOKUP(M3299,'Excursion Cause'!$A$1:$B$34,2,FALSE)</f>
        <v>Rags/Wipes</v>
      </c>
      <c r="O3299" s="53">
        <v>45287.0</v>
      </c>
      <c r="P3299" s="30">
        <v>0.5402777777777777</v>
      </c>
      <c r="Q3299" s="29">
        <v>45287.0</v>
      </c>
      <c r="R3299" s="30">
        <v>0.5409722222222222</v>
      </c>
      <c r="S3299" s="59">
        <v>0.0</v>
      </c>
      <c r="T3299" s="23" t="s">
        <v>3749</v>
      </c>
      <c r="U3299" s="56"/>
      <c r="V3299" s="56"/>
      <c r="W3299" s="35">
        <v>29.733723</v>
      </c>
      <c r="X3299" s="35">
        <v>-95.2874868</v>
      </c>
      <c r="AA3299" s="33"/>
      <c r="AB3299" s="33"/>
      <c r="AC3299" s="33"/>
      <c r="AD3299" s="33"/>
      <c r="AE3299" s="33"/>
      <c r="AF3299" s="33"/>
      <c r="AG3299" s="33"/>
      <c r="AH3299" s="33"/>
      <c r="AI3299" s="33"/>
      <c r="AJ3299" s="33"/>
      <c r="AK3299" s="33"/>
      <c r="AL3299" s="33"/>
      <c r="AM3299" s="33"/>
      <c r="AN3299" s="33"/>
      <c r="AO3299" s="33"/>
    </row>
    <row r="3300" ht="15.75" customHeight="1">
      <c r="A3300" s="50">
        <v>57253.0</v>
      </c>
      <c r="B3300" s="23">
        <v>2023.0</v>
      </c>
      <c r="C3300" s="36" t="str">
        <f t="shared" si="7"/>
        <v>2933 BRACKENRIDGE ST,Houston,TX</v>
      </c>
      <c r="D3300" s="51" t="s">
        <v>5145</v>
      </c>
      <c r="E3300" s="23" t="s">
        <v>25</v>
      </c>
      <c r="F3300" s="23" t="s">
        <v>1388</v>
      </c>
      <c r="G3300" s="31" t="s">
        <v>43</v>
      </c>
      <c r="H3300" s="58" t="s">
        <v>44</v>
      </c>
      <c r="I3300" s="37" t="str">
        <f>VLOOKUP(H3300,'Flow Location'!$A$1:$B$21,2,FALSE)</f>
        <v>Bayou/surface water/drainage ditch</v>
      </c>
      <c r="J3300" s="52">
        <v>0.0</v>
      </c>
      <c r="K3300" s="51" t="s">
        <v>198</v>
      </c>
      <c r="L3300" s="37" t="str">
        <f>VLOOKUP(K3300,'Structure type'!$A$1:$B$15,2,FALSE)</f>
        <v>Service Lateral</v>
      </c>
      <c r="M3300" s="51" t="s">
        <v>52</v>
      </c>
      <c r="N3300" s="23" t="str">
        <f>VLOOKUP(M3300,'Excursion Cause'!$A$1:$B$34,2,FALSE)</f>
        <v>Collection system structural blockage</v>
      </c>
      <c r="O3300" s="53">
        <v>45287.0</v>
      </c>
      <c r="P3300" s="30">
        <v>0.5680555555555555</v>
      </c>
      <c r="Q3300" s="29">
        <v>45287.0</v>
      </c>
      <c r="R3300" s="30">
        <v>0.56875</v>
      </c>
      <c r="S3300" s="59">
        <v>0.0</v>
      </c>
      <c r="T3300" s="23" t="s">
        <v>3756</v>
      </c>
      <c r="U3300" s="56"/>
      <c r="V3300" s="56"/>
      <c r="W3300" s="35">
        <v>29.7885109</v>
      </c>
      <c r="X3300" s="35">
        <v>-95.3412989999999</v>
      </c>
      <c r="AA3300" s="33"/>
      <c r="AB3300" s="33"/>
      <c r="AC3300" s="33"/>
      <c r="AD3300" s="33"/>
      <c r="AE3300" s="33"/>
      <c r="AF3300" s="33"/>
      <c r="AG3300" s="33"/>
      <c r="AH3300" s="33"/>
      <c r="AI3300" s="33"/>
      <c r="AJ3300" s="33"/>
      <c r="AK3300" s="33"/>
      <c r="AL3300" s="33"/>
      <c r="AM3300" s="33"/>
      <c r="AN3300" s="33"/>
      <c r="AO3300" s="33"/>
    </row>
    <row r="3301" ht="15.75" customHeight="1">
      <c r="A3301" s="50">
        <v>57256.0</v>
      </c>
      <c r="B3301" s="23">
        <v>2023.0</v>
      </c>
      <c r="C3301" s="36" t="str">
        <f t="shared" si="7"/>
        <v>10259 COTTAGE FIELD RD,Houston,TX</v>
      </c>
      <c r="D3301" s="51" t="s">
        <v>5146</v>
      </c>
      <c r="E3301" s="23" t="s">
        <v>25</v>
      </c>
      <c r="F3301" s="23" t="s">
        <v>1388</v>
      </c>
      <c r="G3301" s="31" t="s">
        <v>344</v>
      </c>
      <c r="H3301" s="58" t="s">
        <v>144</v>
      </c>
      <c r="I3301" s="37" t="str">
        <f>VLOOKUP(H3301,'Flow Location'!$A$1:$B$21,2,FALSE)</f>
        <v>Storm Sewer - contained</v>
      </c>
      <c r="J3301" s="52">
        <v>0.0</v>
      </c>
      <c r="K3301" s="51" t="s">
        <v>45</v>
      </c>
      <c r="L3301" s="37" t="str">
        <f>VLOOKUP(K3301,'Structure type'!$A$1:$B$15,2,FALSE)</f>
        <v>City Cleanout</v>
      </c>
      <c r="M3301" s="51" t="s">
        <v>56</v>
      </c>
      <c r="N3301" s="23" t="str">
        <f>VLOOKUP(M3301,'Excursion Cause'!$A$1:$B$34,2,FALSE)</f>
        <v>Rags/Wipes</v>
      </c>
      <c r="O3301" s="53">
        <v>45287.0</v>
      </c>
      <c r="P3301" s="30">
        <v>0.6534722222222222</v>
      </c>
      <c r="Q3301" s="29">
        <v>45287.0</v>
      </c>
      <c r="R3301" s="30">
        <v>0.6541666666666667</v>
      </c>
      <c r="S3301" s="59">
        <v>0.0</v>
      </c>
      <c r="T3301" s="23" t="s">
        <v>3756</v>
      </c>
      <c r="U3301" s="56"/>
      <c r="V3301" s="56"/>
      <c r="W3301" s="35">
        <v>29.8345706</v>
      </c>
      <c r="X3301" s="35">
        <v>-95.5480496</v>
      </c>
      <c r="AA3301" s="33"/>
      <c r="AB3301" s="33"/>
      <c r="AC3301" s="33"/>
      <c r="AD3301" s="33"/>
      <c r="AE3301" s="33"/>
      <c r="AF3301" s="33"/>
      <c r="AG3301" s="33"/>
      <c r="AH3301" s="33"/>
      <c r="AI3301" s="33"/>
      <c r="AJ3301" s="33"/>
      <c r="AK3301" s="33"/>
      <c r="AL3301" s="33"/>
      <c r="AM3301" s="33"/>
      <c r="AN3301" s="33"/>
      <c r="AO3301" s="33"/>
    </row>
    <row r="3302" ht="15.75" customHeight="1">
      <c r="A3302" s="50">
        <v>57257.0</v>
      </c>
      <c r="B3302" s="23">
        <v>2023.0</v>
      </c>
      <c r="C3302" s="36" t="str">
        <f t="shared" si="7"/>
        <v>611 PORTWALL ST,Houston,TX</v>
      </c>
      <c r="D3302" s="51" t="s">
        <v>5116</v>
      </c>
      <c r="E3302" s="23" t="s">
        <v>25</v>
      </c>
      <c r="F3302" s="23" t="s">
        <v>1388</v>
      </c>
      <c r="G3302" s="31" t="s">
        <v>247</v>
      </c>
      <c r="H3302" s="58" t="s">
        <v>28</v>
      </c>
      <c r="I3302" s="37" t="str">
        <f>VLOOKUP(H3302,'Flow Location'!$A$1:$B$21,2,FALSE)</f>
        <v>Storm Sewer (not contained)</v>
      </c>
      <c r="J3302" s="52">
        <v>420.0</v>
      </c>
      <c r="K3302" s="51" t="s">
        <v>29</v>
      </c>
      <c r="L3302" s="37" t="str">
        <f>VLOOKUP(K3302,'Structure type'!$A$1:$B$15,2,FALSE)</f>
        <v>Manhole</v>
      </c>
      <c r="M3302" s="51" t="s">
        <v>30</v>
      </c>
      <c r="N3302" s="23" t="str">
        <f>VLOOKUP(M3302,'Excursion Cause'!$A$1:$B$34,2,FALSE)</f>
        <v>Grease Blockage</v>
      </c>
      <c r="O3302" s="53">
        <v>45287.0</v>
      </c>
      <c r="P3302" s="30">
        <v>0.7152777777777778</v>
      </c>
      <c r="Q3302" s="29">
        <v>45287.0</v>
      </c>
      <c r="R3302" s="30">
        <v>0.8611111111111112</v>
      </c>
      <c r="S3302" s="59">
        <v>2.0</v>
      </c>
      <c r="T3302" s="23" t="s">
        <v>3749</v>
      </c>
      <c r="U3302" s="56"/>
      <c r="V3302" s="56"/>
      <c r="W3302" s="35">
        <v>29.7786589999999</v>
      </c>
      <c r="X3302" s="35">
        <v>-95.2754556</v>
      </c>
      <c r="AA3302" s="33"/>
      <c r="AB3302" s="33"/>
      <c r="AC3302" s="33"/>
      <c r="AD3302" s="33"/>
      <c r="AE3302" s="33"/>
      <c r="AF3302" s="33"/>
      <c r="AG3302" s="33"/>
      <c r="AH3302" s="33"/>
      <c r="AI3302" s="33"/>
      <c r="AJ3302" s="33"/>
      <c r="AK3302" s="33"/>
      <c r="AL3302" s="33"/>
      <c r="AM3302" s="33"/>
      <c r="AN3302" s="33"/>
      <c r="AO3302" s="33"/>
    </row>
    <row r="3303" ht="15.75" customHeight="1">
      <c r="A3303" s="50">
        <v>57262.0</v>
      </c>
      <c r="B3303" s="23">
        <v>2023.0</v>
      </c>
      <c r="C3303" s="36" t="str">
        <f t="shared" si="7"/>
        <v>8337 CONSTELLATION LN,Houston,TX</v>
      </c>
      <c r="D3303" s="51" t="s">
        <v>5147</v>
      </c>
      <c r="E3303" s="23" t="s">
        <v>25</v>
      </c>
      <c r="F3303" s="23" t="s">
        <v>1388</v>
      </c>
      <c r="G3303" s="31" t="s">
        <v>95</v>
      </c>
      <c r="H3303" s="58" t="s">
        <v>50</v>
      </c>
      <c r="I3303" s="37" t="str">
        <f>VLOOKUP(H3303,'Flow Location'!$A$1:$B$21,2,FALSE)</f>
        <v>Contained On Site, not within 5 ft. of Bayou/Surface Water/Drainage Ditch</v>
      </c>
      <c r="J3303" s="52">
        <v>0.0</v>
      </c>
      <c r="K3303" s="51" t="s">
        <v>51</v>
      </c>
      <c r="L3303" s="37" t="str">
        <f>VLOOKUP(K3303,'Structure type'!$A$1:$B$15,2,FALSE)</f>
        <v>Private Cleanout</v>
      </c>
      <c r="M3303" s="51" t="s">
        <v>52</v>
      </c>
      <c r="N3303" s="23" t="str">
        <f>VLOOKUP(M3303,'Excursion Cause'!$A$1:$B$34,2,FALSE)</f>
        <v>Collection system structural blockage</v>
      </c>
      <c r="O3303" s="53">
        <v>45288.0</v>
      </c>
      <c r="P3303" s="30">
        <v>0.4486111111111111</v>
      </c>
      <c r="Q3303" s="29">
        <v>45288.0</v>
      </c>
      <c r="R3303" s="30">
        <v>0.44930555555555557</v>
      </c>
      <c r="S3303" s="59">
        <v>0.0</v>
      </c>
      <c r="T3303" s="23" t="s">
        <v>3743</v>
      </c>
      <c r="U3303" s="56"/>
      <c r="V3303" s="56"/>
      <c r="W3303" s="35">
        <v>29.6275449999999</v>
      </c>
      <c r="X3303" s="35">
        <v>-95.2693568</v>
      </c>
      <c r="AA3303" s="33"/>
      <c r="AB3303" s="33"/>
      <c r="AC3303" s="33"/>
      <c r="AD3303" s="33"/>
      <c r="AE3303" s="33"/>
      <c r="AF3303" s="33"/>
      <c r="AG3303" s="33"/>
      <c r="AH3303" s="33"/>
      <c r="AI3303" s="33"/>
      <c r="AJ3303" s="33"/>
      <c r="AK3303" s="33"/>
      <c r="AL3303" s="33"/>
      <c r="AM3303" s="33"/>
      <c r="AN3303" s="33"/>
      <c r="AO3303" s="33"/>
    </row>
    <row r="3304" ht="15.75" customHeight="1">
      <c r="A3304" s="50">
        <v>57263.0</v>
      </c>
      <c r="B3304" s="23">
        <v>2023.0</v>
      </c>
      <c r="C3304" s="36" t="str">
        <f t="shared" si="7"/>
        <v>5912 HAIGHT ST,Houston,TX</v>
      </c>
      <c r="D3304" s="51" t="s">
        <v>5148</v>
      </c>
      <c r="E3304" s="23" t="s">
        <v>25</v>
      </c>
      <c r="F3304" s="23" t="s">
        <v>1388</v>
      </c>
      <c r="G3304" s="31" t="s">
        <v>177</v>
      </c>
      <c r="H3304" s="58" t="s">
        <v>1977</v>
      </c>
      <c r="I3304" s="37" t="str">
        <f>VLOOKUP(H3304,'Flow Location'!$A$1:$B$21,2,FALSE)</f>
        <v>Bayou/surface water/drainage ditch</v>
      </c>
      <c r="J3304" s="52">
        <v>0.0</v>
      </c>
      <c r="K3304" s="51" t="s">
        <v>29</v>
      </c>
      <c r="L3304" s="37" t="str">
        <f>VLOOKUP(K3304,'Structure type'!$A$1:$B$15,2,FALSE)</f>
        <v>Manhole</v>
      </c>
      <c r="M3304" s="51" t="s">
        <v>56</v>
      </c>
      <c r="N3304" s="23" t="str">
        <f>VLOOKUP(M3304,'Excursion Cause'!$A$1:$B$34,2,FALSE)</f>
        <v>Rags/Wipes</v>
      </c>
      <c r="O3304" s="53">
        <v>45288.0</v>
      </c>
      <c r="P3304" s="30">
        <v>0.47430555555555554</v>
      </c>
      <c r="Q3304" s="29">
        <v>45288.0</v>
      </c>
      <c r="R3304" s="30">
        <v>0.475</v>
      </c>
      <c r="S3304" s="59">
        <v>0.0</v>
      </c>
      <c r="T3304" s="23" t="s">
        <v>3749</v>
      </c>
      <c r="U3304" s="56"/>
      <c r="V3304" s="56"/>
      <c r="W3304" s="35">
        <v>29.8166</v>
      </c>
      <c r="X3304" s="35">
        <v>-95.2758341</v>
      </c>
      <c r="AA3304" s="33"/>
      <c r="AB3304" s="33"/>
      <c r="AC3304" s="33"/>
      <c r="AD3304" s="33"/>
      <c r="AE3304" s="33"/>
      <c r="AF3304" s="33"/>
      <c r="AG3304" s="33"/>
      <c r="AH3304" s="33"/>
      <c r="AI3304" s="33"/>
      <c r="AJ3304" s="33"/>
      <c r="AK3304" s="33"/>
      <c r="AL3304" s="33"/>
      <c r="AM3304" s="33"/>
      <c r="AN3304" s="33"/>
      <c r="AO3304" s="33"/>
    </row>
    <row r="3305" ht="15.75" customHeight="1">
      <c r="A3305" s="50">
        <v>57264.0</v>
      </c>
      <c r="B3305" s="23">
        <v>2023.0</v>
      </c>
      <c r="C3305" s="36" t="str">
        <f t="shared" si="7"/>
        <v>6414 SILVER CHALICE DR,Houston,TX</v>
      </c>
      <c r="D3305" s="51" t="s">
        <v>5149</v>
      </c>
      <c r="E3305" s="23" t="s">
        <v>25</v>
      </c>
      <c r="F3305" s="23" t="s">
        <v>1388</v>
      </c>
      <c r="G3305" s="31" t="s">
        <v>502</v>
      </c>
      <c r="H3305" s="58" t="s">
        <v>50</v>
      </c>
      <c r="I3305" s="37" t="str">
        <f>VLOOKUP(H3305,'Flow Location'!$A$1:$B$21,2,FALSE)</f>
        <v>Contained On Site, not within 5 ft. of Bayou/Surface Water/Drainage Ditch</v>
      </c>
      <c r="J3305" s="52">
        <v>1376.0</v>
      </c>
      <c r="K3305" s="51" t="s">
        <v>29</v>
      </c>
      <c r="L3305" s="37" t="str">
        <f>VLOOKUP(K3305,'Structure type'!$A$1:$B$15,2,FALSE)</f>
        <v>Manhole</v>
      </c>
      <c r="M3305" s="51" t="s">
        <v>30</v>
      </c>
      <c r="N3305" s="23" t="str">
        <f>VLOOKUP(M3305,'Excursion Cause'!$A$1:$B$34,2,FALSE)</f>
        <v>Grease Blockage</v>
      </c>
      <c r="O3305" s="53">
        <v>45288.0</v>
      </c>
      <c r="P3305" s="30">
        <v>0.41944444444444445</v>
      </c>
      <c r="Q3305" s="29">
        <v>45289.0</v>
      </c>
      <c r="R3305" s="30">
        <v>0.375</v>
      </c>
      <c r="S3305" s="59">
        <v>1.0</v>
      </c>
      <c r="T3305" s="23" t="s">
        <v>3749</v>
      </c>
      <c r="U3305" s="56"/>
      <c r="V3305" s="56"/>
      <c r="W3305" s="35">
        <v>29.8714228</v>
      </c>
      <c r="X3305" s="35">
        <v>-95.4888618999999</v>
      </c>
      <c r="AA3305" s="33"/>
      <c r="AB3305" s="33"/>
      <c r="AC3305" s="33"/>
      <c r="AD3305" s="33"/>
      <c r="AE3305" s="33"/>
      <c r="AF3305" s="33"/>
      <c r="AG3305" s="33"/>
      <c r="AH3305" s="33"/>
      <c r="AI3305" s="33"/>
      <c r="AJ3305" s="33"/>
      <c r="AK3305" s="33"/>
      <c r="AL3305" s="33"/>
      <c r="AM3305" s="33"/>
      <c r="AN3305" s="33"/>
      <c r="AO3305" s="33"/>
    </row>
    <row r="3306" ht="15.75" customHeight="1">
      <c r="A3306" s="50">
        <v>57267.0</v>
      </c>
      <c r="B3306" s="23">
        <v>2023.0</v>
      </c>
      <c r="C3306" s="36" t="str">
        <f t="shared" si="7"/>
        <v>911 LITTLE YORK RD,Houston,TX</v>
      </c>
      <c r="D3306" s="51" t="s">
        <v>5150</v>
      </c>
      <c r="E3306" s="23" t="s">
        <v>25</v>
      </c>
      <c r="F3306" s="23" t="s">
        <v>1388</v>
      </c>
      <c r="G3306" s="31" t="s">
        <v>275</v>
      </c>
      <c r="H3306" s="58" t="s">
        <v>50</v>
      </c>
      <c r="I3306" s="37" t="str">
        <f>VLOOKUP(H3306,'Flow Location'!$A$1:$B$21,2,FALSE)</f>
        <v>Contained On Site, not within 5 ft. of Bayou/Surface Water/Drainage Ditch</v>
      </c>
      <c r="J3306" s="52">
        <v>0.0</v>
      </c>
      <c r="K3306" s="51" t="s">
        <v>45</v>
      </c>
      <c r="L3306" s="37" t="str">
        <f>VLOOKUP(K3306,'Structure type'!$A$1:$B$15,2,FALSE)</f>
        <v>City Cleanout</v>
      </c>
      <c r="M3306" s="51" t="s">
        <v>52</v>
      </c>
      <c r="N3306" s="23" t="str">
        <f>VLOOKUP(M3306,'Excursion Cause'!$A$1:$B$34,2,FALSE)</f>
        <v>Collection system structural blockage</v>
      </c>
      <c r="O3306" s="53">
        <v>45288.0</v>
      </c>
      <c r="P3306" s="30">
        <v>0.5284722222222222</v>
      </c>
      <c r="Q3306" s="29">
        <v>45288.0</v>
      </c>
      <c r="R3306" s="30">
        <v>0.5291666666666667</v>
      </c>
      <c r="S3306" s="59">
        <v>0.0</v>
      </c>
      <c r="T3306" s="23" t="s">
        <v>3743</v>
      </c>
      <c r="U3306" s="56"/>
      <c r="V3306" s="56"/>
      <c r="W3306" s="35">
        <v>29.871448</v>
      </c>
      <c r="X3306" s="35">
        <v>-95.3664146</v>
      </c>
      <c r="AA3306" s="33"/>
      <c r="AB3306" s="33"/>
      <c r="AC3306" s="33"/>
      <c r="AD3306" s="33"/>
      <c r="AE3306" s="33"/>
      <c r="AF3306" s="33"/>
      <c r="AG3306" s="33"/>
      <c r="AH3306" s="33"/>
      <c r="AI3306" s="33"/>
      <c r="AJ3306" s="33"/>
      <c r="AK3306" s="33"/>
      <c r="AL3306" s="33"/>
      <c r="AM3306" s="33"/>
      <c r="AN3306" s="33"/>
      <c r="AO3306" s="33"/>
    </row>
    <row r="3307" ht="15.75" customHeight="1">
      <c r="A3307" s="50">
        <v>57272.0</v>
      </c>
      <c r="B3307" s="23">
        <v>2023.0</v>
      </c>
      <c r="C3307" s="36" t="str">
        <f t="shared" si="7"/>
        <v>9310 LONG POINT RD,Houston,TX</v>
      </c>
      <c r="D3307" s="51" t="s">
        <v>1348</v>
      </c>
      <c r="E3307" s="23" t="s">
        <v>25</v>
      </c>
      <c r="F3307" s="23" t="s">
        <v>1388</v>
      </c>
      <c r="G3307" s="31" t="s">
        <v>27</v>
      </c>
      <c r="H3307" s="58" t="s">
        <v>44</v>
      </c>
      <c r="I3307" s="37" t="str">
        <f>VLOOKUP(H3307,'Flow Location'!$A$1:$B$21,2,FALSE)</f>
        <v>Bayou/surface water/drainage ditch</v>
      </c>
      <c r="J3307" s="52">
        <v>0.0</v>
      </c>
      <c r="K3307" s="51" t="s">
        <v>29</v>
      </c>
      <c r="L3307" s="37" t="str">
        <f>VLOOKUP(K3307,'Structure type'!$A$1:$B$15,2,FALSE)</f>
        <v>Manhole</v>
      </c>
      <c r="M3307" s="51" t="s">
        <v>30</v>
      </c>
      <c r="N3307" s="23" t="str">
        <f>VLOOKUP(M3307,'Excursion Cause'!$A$1:$B$34,2,FALSE)</f>
        <v>Grease Blockage</v>
      </c>
      <c r="O3307" s="53">
        <v>45288.0</v>
      </c>
      <c r="P3307" s="30">
        <v>0.6409722222222223</v>
      </c>
      <c r="Q3307" s="29">
        <v>45288.0</v>
      </c>
      <c r="R3307" s="30">
        <v>0.6416666666666667</v>
      </c>
      <c r="S3307" s="59">
        <v>0.0</v>
      </c>
      <c r="T3307" s="23" t="s">
        <v>1462</v>
      </c>
      <c r="U3307" s="56"/>
      <c r="V3307" s="56"/>
      <c r="W3307" s="35">
        <v>29.7992982</v>
      </c>
      <c r="X3307" s="35">
        <v>-95.5211331</v>
      </c>
      <c r="AA3307" s="33"/>
      <c r="AB3307" s="33"/>
      <c r="AC3307" s="33"/>
      <c r="AD3307" s="33"/>
      <c r="AE3307" s="33"/>
      <c r="AF3307" s="33"/>
      <c r="AG3307" s="33"/>
      <c r="AH3307" s="33"/>
      <c r="AI3307" s="33"/>
      <c r="AJ3307" s="33"/>
      <c r="AK3307" s="33"/>
      <c r="AL3307" s="33"/>
      <c r="AM3307" s="33"/>
      <c r="AN3307" s="33"/>
      <c r="AO3307" s="33"/>
    </row>
    <row r="3308" ht="15.75" customHeight="1">
      <c r="A3308" s="50">
        <v>57281.0</v>
      </c>
      <c r="B3308" s="23">
        <v>2023.0</v>
      </c>
      <c r="C3308" s="36" t="str">
        <f t="shared" si="7"/>
        <v>1135 MAJESTIC ST,Houston,TX</v>
      </c>
      <c r="D3308" s="51" t="s">
        <v>5151</v>
      </c>
      <c r="E3308" s="23" t="s">
        <v>25</v>
      </c>
      <c r="F3308" s="23" t="s">
        <v>1388</v>
      </c>
      <c r="G3308" s="31" t="s">
        <v>86</v>
      </c>
      <c r="H3308" s="58" t="s">
        <v>50</v>
      </c>
      <c r="I3308" s="37" t="str">
        <f>VLOOKUP(H3308,'Flow Location'!$A$1:$B$21,2,FALSE)</f>
        <v>Contained On Site, not within 5 ft. of Bayou/Surface Water/Drainage Ditch</v>
      </c>
      <c r="J3308" s="52">
        <v>0.0</v>
      </c>
      <c r="K3308" s="51" t="s">
        <v>198</v>
      </c>
      <c r="L3308" s="37" t="str">
        <f>VLOOKUP(K3308,'Structure type'!$A$1:$B$15,2,FALSE)</f>
        <v>Service Lateral</v>
      </c>
      <c r="M3308" s="51" t="s">
        <v>81</v>
      </c>
      <c r="N3308" s="23" t="str">
        <f>VLOOKUP(M3308,'Excursion Cause'!$A$1:$B$34,2,FALSE)</f>
        <v>Collection system structural failure</v>
      </c>
      <c r="O3308" s="53">
        <v>45289.0</v>
      </c>
      <c r="P3308" s="30">
        <v>0.4847222222222222</v>
      </c>
      <c r="Q3308" s="29">
        <v>45289.0</v>
      </c>
      <c r="R3308" s="30">
        <v>0.48541666666666666</v>
      </c>
      <c r="S3308" s="59">
        <v>0.0</v>
      </c>
      <c r="T3308" s="23" t="s">
        <v>118</v>
      </c>
      <c r="U3308" s="56"/>
      <c r="V3308" s="56"/>
      <c r="W3308" s="35">
        <v>29.7679188</v>
      </c>
      <c r="X3308" s="35">
        <v>-95.3020207</v>
      </c>
      <c r="AA3308" s="33"/>
      <c r="AB3308" s="33"/>
      <c r="AC3308" s="33"/>
      <c r="AD3308" s="33"/>
      <c r="AE3308" s="33"/>
      <c r="AF3308" s="33"/>
      <c r="AG3308" s="33"/>
      <c r="AH3308" s="33"/>
      <c r="AI3308" s="33"/>
      <c r="AJ3308" s="33"/>
      <c r="AK3308" s="33"/>
      <c r="AL3308" s="33"/>
      <c r="AM3308" s="33"/>
      <c r="AN3308" s="33"/>
      <c r="AO3308" s="33"/>
    </row>
    <row r="3309" ht="15.75" customHeight="1">
      <c r="A3309" s="50">
        <v>57286.0</v>
      </c>
      <c r="B3309" s="23">
        <v>2023.0</v>
      </c>
      <c r="C3309" s="36" t="str">
        <f t="shared" si="7"/>
        <v>5063 FIELDWOOD DR,Houston,TX</v>
      </c>
      <c r="D3309" s="51" t="s">
        <v>5152</v>
      </c>
      <c r="E3309" s="23" t="s">
        <v>25</v>
      </c>
      <c r="F3309" s="23" t="s">
        <v>1388</v>
      </c>
      <c r="G3309" s="31" t="s">
        <v>993</v>
      </c>
      <c r="H3309" s="58" t="s">
        <v>50</v>
      </c>
      <c r="I3309" s="37" t="str">
        <f>VLOOKUP(H3309,'Flow Location'!$A$1:$B$21,2,FALSE)</f>
        <v>Contained On Site, not within 5 ft. of Bayou/Surface Water/Drainage Ditch</v>
      </c>
      <c r="J3309" s="52">
        <v>314.0</v>
      </c>
      <c r="K3309" s="51" t="s">
        <v>29</v>
      </c>
      <c r="L3309" s="37" t="str">
        <f>VLOOKUP(K3309,'Structure type'!$A$1:$B$15,2,FALSE)</f>
        <v>Manhole</v>
      </c>
      <c r="M3309" s="51" t="s">
        <v>56</v>
      </c>
      <c r="N3309" s="23" t="str">
        <f>VLOOKUP(M3309,'Excursion Cause'!$A$1:$B$34,2,FALSE)</f>
        <v>Rags/Wipes</v>
      </c>
      <c r="O3309" s="53">
        <v>45289.0</v>
      </c>
      <c r="P3309" s="30">
        <v>0.5368055555555555</v>
      </c>
      <c r="Q3309" s="29">
        <v>45289.0</v>
      </c>
      <c r="R3309" s="30">
        <v>0.6458333333333334</v>
      </c>
      <c r="S3309" s="59">
        <v>2.0</v>
      </c>
      <c r="T3309" s="23" t="s">
        <v>3749</v>
      </c>
      <c r="U3309" s="56"/>
      <c r="V3309" s="56"/>
      <c r="W3309" s="35">
        <v>29.752233</v>
      </c>
      <c r="X3309" s="35">
        <v>-95.4654534</v>
      </c>
      <c r="AA3309" s="33"/>
      <c r="AB3309" s="33"/>
      <c r="AC3309" s="33"/>
      <c r="AD3309" s="33"/>
      <c r="AE3309" s="33"/>
      <c r="AF3309" s="33"/>
      <c r="AG3309" s="33"/>
      <c r="AH3309" s="33"/>
      <c r="AI3309" s="33"/>
      <c r="AJ3309" s="33"/>
      <c r="AK3309" s="33"/>
      <c r="AL3309" s="33"/>
      <c r="AM3309" s="33"/>
      <c r="AN3309" s="33"/>
      <c r="AO3309" s="33"/>
    </row>
    <row r="3310" ht="15.75" customHeight="1">
      <c r="A3310" s="50">
        <v>57288.0</v>
      </c>
      <c r="B3310" s="23">
        <v>2023.0</v>
      </c>
      <c r="C3310" s="36" t="str">
        <f t="shared" si="7"/>
        <v>2519 HUFFMAN EASTGATE RD,Houston,TX</v>
      </c>
      <c r="D3310" s="51" t="s">
        <v>5153</v>
      </c>
      <c r="E3310" s="23" t="s">
        <v>25</v>
      </c>
      <c r="F3310" s="23" t="s">
        <v>1388</v>
      </c>
      <c r="G3310" s="31" t="s">
        <v>422</v>
      </c>
      <c r="H3310" s="58" t="s">
        <v>1977</v>
      </c>
      <c r="I3310" s="37" t="str">
        <f>VLOOKUP(H3310,'Flow Location'!$A$1:$B$21,2,FALSE)</f>
        <v>Bayou/surface water/drainage ditch</v>
      </c>
      <c r="J3310" s="52">
        <v>60592.0</v>
      </c>
      <c r="K3310" s="51" t="s">
        <v>29</v>
      </c>
      <c r="L3310" s="37" t="str">
        <f>VLOOKUP(K3310,'Structure type'!$A$1:$B$15,2,FALSE)</f>
        <v>Manhole</v>
      </c>
      <c r="M3310" s="51" t="s">
        <v>5154</v>
      </c>
      <c r="N3310" s="51" t="s">
        <v>5154</v>
      </c>
      <c r="O3310" s="53">
        <v>45285.0</v>
      </c>
      <c r="P3310" s="30">
        <v>0.25</v>
      </c>
      <c r="Q3310" s="29">
        <v>45286.0</v>
      </c>
      <c r="R3310" s="30">
        <v>0.8333333333333334</v>
      </c>
      <c r="S3310" s="59">
        <v>27.0</v>
      </c>
      <c r="T3310" s="23" t="s">
        <v>118</v>
      </c>
      <c r="U3310" s="56"/>
      <c r="V3310" s="56"/>
      <c r="W3310" s="35">
        <v>30.03851</v>
      </c>
      <c r="X3310" s="35">
        <v>-95.0771319</v>
      </c>
      <c r="AA3310" s="33"/>
      <c r="AB3310" s="33"/>
      <c r="AC3310" s="33"/>
      <c r="AD3310" s="33"/>
      <c r="AE3310" s="33"/>
      <c r="AF3310" s="33"/>
      <c r="AG3310" s="33"/>
      <c r="AH3310" s="33"/>
      <c r="AI3310" s="33"/>
      <c r="AJ3310" s="33"/>
      <c r="AK3310" s="33"/>
      <c r="AL3310" s="33"/>
      <c r="AM3310" s="33"/>
      <c r="AN3310" s="33"/>
      <c r="AO3310" s="33"/>
    </row>
    <row r="3311" ht="15.75" customHeight="1">
      <c r="A3311" s="50">
        <v>57290.0</v>
      </c>
      <c r="B3311" s="23">
        <v>2023.0</v>
      </c>
      <c r="C3311" s="36" t="str">
        <f t="shared" si="7"/>
        <v>1510 SOLO ST,Houston,TX</v>
      </c>
      <c r="D3311" s="51" t="s">
        <v>5155</v>
      </c>
      <c r="E3311" s="23" t="s">
        <v>25</v>
      </c>
      <c r="F3311" s="23" t="s">
        <v>1388</v>
      </c>
      <c r="G3311" s="31" t="s">
        <v>86</v>
      </c>
      <c r="H3311" s="58" t="s">
        <v>50</v>
      </c>
      <c r="I3311" s="37" t="str">
        <f>VLOOKUP(H3311,'Flow Location'!$A$1:$B$21,2,FALSE)</f>
        <v>Contained On Site, not within 5 ft. of Bayou/Surface Water/Drainage Ditch</v>
      </c>
      <c r="J3311" s="52">
        <v>0.0</v>
      </c>
      <c r="K3311" s="51" t="s">
        <v>45</v>
      </c>
      <c r="L3311" s="37" t="str">
        <f>VLOOKUP(K3311,'Structure type'!$A$1:$B$15,2,FALSE)</f>
        <v>City Cleanout</v>
      </c>
      <c r="M3311" s="51" t="s">
        <v>30</v>
      </c>
      <c r="N3311" s="23" t="str">
        <f>VLOOKUP(M3311,'Excursion Cause'!$A$1:$B$34,2,FALSE)</f>
        <v>Grease Blockage</v>
      </c>
      <c r="O3311" s="53">
        <v>45289.0</v>
      </c>
      <c r="P3311" s="30">
        <v>0.6840277777777778</v>
      </c>
      <c r="Q3311" s="29">
        <v>45289.0</v>
      </c>
      <c r="R3311" s="30">
        <v>0.6847222222222222</v>
      </c>
      <c r="S3311" s="59">
        <v>0.0</v>
      </c>
      <c r="T3311" s="23" t="s">
        <v>1473</v>
      </c>
      <c r="U3311" s="56"/>
      <c r="V3311" s="56"/>
      <c r="W3311" s="35">
        <v>29.7757674</v>
      </c>
      <c r="X3311" s="35">
        <v>-95.3209555999999</v>
      </c>
      <c r="AA3311" s="33"/>
      <c r="AB3311" s="33"/>
      <c r="AC3311" s="33"/>
      <c r="AD3311" s="33"/>
      <c r="AE3311" s="33"/>
      <c r="AF3311" s="33"/>
      <c r="AG3311" s="33"/>
      <c r="AH3311" s="33"/>
      <c r="AI3311" s="33"/>
      <c r="AJ3311" s="33"/>
      <c r="AK3311" s="33"/>
      <c r="AL3311" s="33"/>
      <c r="AM3311" s="33"/>
      <c r="AN3311" s="33"/>
      <c r="AO3311" s="33"/>
    </row>
    <row r="3312" ht="15.75" customHeight="1">
      <c r="A3312" s="50">
        <v>57296.0</v>
      </c>
      <c r="B3312" s="23">
        <v>2023.0</v>
      </c>
      <c r="C3312" s="36" t="str">
        <f t="shared" si="7"/>
        <v>3602 SARDIS LN,Houston,TX</v>
      </c>
      <c r="D3312" s="51" t="s">
        <v>5156</v>
      </c>
      <c r="E3312" s="23" t="s">
        <v>25</v>
      </c>
      <c r="F3312" s="23" t="s">
        <v>1388</v>
      </c>
      <c r="G3312" s="31" t="s">
        <v>502</v>
      </c>
      <c r="H3312" s="58" t="s">
        <v>28</v>
      </c>
      <c r="I3312" s="37" t="str">
        <f>VLOOKUP(H3312,'Flow Location'!$A$1:$B$21,2,FALSE)</f>
        <v>Storm Sewer (not contained)</v>
      </c>
      <c r="J3312" s="52">
        <v>0.0</v>
      </c>
      <c r="K3312" s="51" t="s">
        <v>29</v>
      </c>
      <c r="L3312" s="37" t="str">
        <f>VLOOKUP(K3312,'Structure type'!$A$1:$B$15,2,FALSE)</f>
        <v>Manhole</v>
      </c>
      <c r="M3312" s="51" t="s">
        <v>30</v>
      </c>
      <c r="N3312" s="23" t="str">
        <f>VLOOKUP(M3312,'Excursion Cause'!$A$1:$B$34,2,FALSE)</f>
        <v>Grease Blockage</v>
      </c>
      <c r="O3312" s="53">
        <v>45290.0</v>
      </c>
      <c r="P3312" s="30">
        <v>0.41458333333333336</v>
      </c>
      <c r="Q3312" s="29">
        <v>45290.0</v>
      </c>
      <c r="R3312" s="30">
        <v>0.4152777777777778</v>
      </c>
      <c r="S3312" s="59">
        <v>0.0</v>
      </c>
      <c r="T3312" s="23" t="s">
        <v>1462</v>
      </c>
      <c r="U3312" s="56"/>
      <c r="V3312" s="56"/>
      <c r="W3312" s="35">
        <v>29.8755174</v>
      </c>
      <c r="X3312" s="35">
        <v>-95.4577685</v>
      </c>
      <c r="AA3312" s="33"/>
      <c r="AB3312" s="33"/>
      <c r="AC3312" s="33"/>
      <c r="AD3312" s="33"/>
      <c r="AE3312" s="33"/>
      <c r="AF3312" s="33"/>
      <c r="AG3312" s="33"/>
      <c r="AH3312" s="33"/>
      <c r="AI3312" s="33"/>
      <c r="AJ3312" s="33"/>
      <c r="AK3312" s="33"/>
      <c r="AL3312" s="33"/>
      <c r="AM3312" s="33"/>
      <c r="AN3312" s="33"/>
      <c r="AO3312" s="33"/>
    </row>
    <row r="3313" ht="15.75" customHeight="1">
      <c r="A3313" s="50">
        <v>57299.0</v>
      </c>
      <c r="B3313" s="23">
        <v>2023.0</v>
      </c>
      <c r="C3313" s="36" t="str">
        <f t="shared" si="7"/>
        <v>3944 ARLINGTON SQUARE DR,Houston,TX</v>
      </c>
      <c r="D3313" s="51" t="s">
        <v>5157</v>
      </c>
      <c r="E3313" s="23" t="s">
        <v>25</v>
      </c>
      <c r="F3313" s="23" t="s">
        <v>1388</v>
      </c>
      <c r="G3313" s="31" t="s">
        <v>49</v>
      </c>
      <c r="H3313" s="58" t="s">
        <v>28</v>
      </c>
      <c r="I3313" s="37" t="str">
        <f>VLOOKUP(H3313,'Flow Location'!$A$1:$B$21,2,FALSE)</f>
        <v>Storm Sewer (not contained)</v>
      </c>
      <c r="J3313" s="52">
        <v>140.0</v>
      </c>
      <c r="K3313" s="51" t="s">
        <v>51</v>
      </c>
      <c r="L3313" s="37" t="str">
        <f>VLOOKUP(K3313,'Structure type'!$A$1:$B$15,2,FALSE)</f>
        <v>Private Cleanout</v>
      </c>
      <c r="M3313" s="51" t="s">
        <v>56</v>
      </c>
      <c r="N3313" s="23" t="str">
        <f>VLOOKUP(M3313,'Excursion Cause'!$A$1:$B$34,2,FALSE)</f>
        <v>Rags/Wipes</v>
      </c>
      <c r="O3313" s="53">
        <v>45290.0</v>
      </c>
      <c r="P3313" s="30">
        <v>0.6805555555555556</v>
      </c>
      <c r="Q3313" s="29">
        <v>45290.0</v>
      </c>
      <c r="R3313" s="30">
        <v>0.7291666666666666</v>
      </c>
      <c r="S3313" s="59">
        <v>2.0</v>
      </c>
      <c r="T3313" s="23" t="s">
        <v>1462</v>
      </c>
      <c r="U3313" s="56"/>
      <c r="V3313" s="56"/>
      <c r="W3313" s="35">
        <v>29.6452284</v>
      </c>
      <c r="X3313" s="35">
        <v>-95.2175535</v>
      </c>
      <c r="AA3313" s="33"/>
      <c r="AB3313" s="33"/>
      <c r="AC3313" s="33"/>
      <c r="AD3313" s="33"/>
      <c r="AE3313" s="33"/>
      <c r="AF3313" s="33"/>
      <c r="AG3313" s="33"/>
      <c r="AH3313" s="33"/>
      <c r="AI3313" s="33"/>
      <c r="AJ3313" s="33"/>
      <c r="AK3313" s="33"/>
      <c r="AL3313" s="33"/>
      <c r="AM3313" s="33"/>
      <c r="AN3313" s="33"/>
      <c r="AO3313" s="33"/>
    </row>
    <row r="3314" ht="15.75" customHeight="1">
      <c r="A3314" s="50">
        <v>57302.0</v>
      </c>
      <c r="B3314" s="23">
        <v>2023.0</v>
      </c>
      <c r="C3314" s="36" t="str">
        <f t="shared" si="7"/>
        <v>2120 WALKER ST,Houston,TX</v>
      </c>
      <c r="D3314" s="51" t="s">
        <v>2129</v>
      </c>
      <c r="E3314" s="23" t="s">
        <v>25</v>
      </c>
      <c r="F3314" s="23" t="s">
        <v>1388</v>
      </c>
      <c r="G3314" s="31" t="s">
        <v>172</v>
      </c>
      <c r="H3314" s="58" t="s">
        <v>50</v>
      </c>
      <c r="I3314" s="37" t="str">
        <f>VLOOKUP(H3314,'Flow Location'!$A$1:$B$21,2,FALSE)</f>
        <v>Contained On Site, not within 5 ft. of Bayou/Surface Water/Drainage Ditch</v>
      </c>
      <c r="J3314" s="52">
        <v>0.0</v>
      </c>
      <c r="K3314" s="51" t="s">
        <v>29</v>
      </c>
      <c r="L3314" s="37" t="str">
        <f>VLOOKUP(K3314,'Structure type'!$A$1:$B$15,2,FALSE)</f>
        <v>Manhole</v>
      </c>
      <c r="M3314" s="51" t="s">
        <v>56</v>
      </c>
      <c r="N3314" s="23" t="str">
        <f>VLOOKUP(M3314,'Excursion Cause'!$A$1:$B$34,2,FALSE)</f>
        <v>Rags/Wipes</v>
      </c>
      <c r="O3314" s="53">
        <v>45291.0</v>
      </c>
      <c r="P3314" s="30">
        <v>0.3402777777777778</v>
      </c>
      <c r="Q3314" s="29">
        <v>45291.0</v>
      </c>
      <c r="R3314" s="30">
        <v>0.34097222222222223</v>
      </c>
      <c r="S3314" s="59">
        <v>0.0</v>
      </c>
      <c r="T3314" s="23" t="s">
        <v>1462</v>
      </c>
      <c r="U3314" s="56"/>
      <c r="V3314" s="56"/>
      <c r="W3314" s="35">
        <v>29.7516517</v>
      </c>
      <c r="X3314" s="35">
        <v>-95.3548005999999</v>
      </c>
      <c r="AA3314" s="33"/>
      <c r="AB3314" s="33"/>
      <c r="AC3314" s="33"/>
      <c r="AD3314" s="33"/>
      <c r="AE3314" s="33"/>
      <c r="AF3314" s="33"/>
      <c r="AG3314" s="33"/>
      <c r="AH3314" s="33"/>
      <c r="AI3314" s="33"/>
      <c r="AJ3314" s="33"/>
      <c r="AK3314" s="33"/>
      <c r="AL3314" s="33"/>
      <c r="AM3314" s="33"/>
      <c r="AN3314" s="33"/>
      <c r="AO3314" s="33"/>
    </row>
    <row r="3315" ht="15.75" customHeight="1">
      <c r="A3315" s="50">
        <v>57305.0</v>
      </c>
      <c r="B3315" s="23">
        <v>2023.0</v>
      </c>
      <c r="C3315" s="36" t="str">
        <f t="shared" si="7"/>
        <v>10938 CHEEVES DR,Houston,TX</v>
      </c>
      <c r="D3315" s="51" t="s">
        <v>1583</v>
      </c>
      <c r="E3315" s="23" t="s">
        <v>25</v>
      </c>
      <c r="F3315" s="23" t="s">
        <v>1388</v>
      </c>
      <c r="G3315" s="31" t="s">
        <v>326</v>
      </c>
      <c r="H3315" s="58" t="s">
        <v>50</v>
      </c>
      <c r="I3315" s="37" t="str">
        <f>VLOOKUP(H3315,'Flow Location'!$A$1:$B$21,2,FALSE)</f>
        <v>Contained On Site, not within 5 ft. of Bayou/Surface Water/Drainage Ditch</v>
      </c>
      <c r="J3315" s="52">
        <v>0.0</v>
      </c>
      <c r="K3315" s="51" t="s">
        <v>198</v>
      </c>
      <c r="L3315" s="37" t="str">
        <f>VLOOKUP(K3315,'Structure type'!$A$1:$B$15,2,FALSE)</f>
        <v>Service Lateral</v>
      </c>
      <c r="M3315" s="51" t="s">
        <v>30</v>
      </c>
      <c r="N3315" s="23" t="str">
        <f>VLOOKUP(M3315,'Excursion Cause'!$A$1:$B$34,2,FALSE)</f>
        <v>Grease Blockage</v>
      </c>
      <c r="O3315" s="53">
        <v>45291.0</v>
      </c>
      <c r="P3315" s="30">
        <v>0.48680555555555555</v>
      </c>
      <c r="Q3315" s="29">
        <v>45291.0</v>
      </c>
      <c r="R3315" s="30">
        <v>0.4875</v>
      </c>
      <c r="S3315" s="59">
        <v>0.0</v>
      </c>
      <c r="T3315" s="23" t="s">
        <v>1462</v>
      </c>
      <c r="U3315" s="56"/>
      <c r="V3315" s="56"/>
      <c r="W3315" s="35">
        <v>29.8749126</v>
      </c>
      <c r="X3315" s="35">
        <v>-95.2926708</v>
      </c>
      <c r="AA3315" s="33"/>
      <c r="AB3315" s="33"/>
      <c r="AC3315" s="33"/>
      <c r="AD3315" s="33"/>
      <c r="AE3315" s="33"/>
      <c r="AF3315" s="33"/>
      <c r="AG3315" s="33"/>
      <c r="AH3315" s="33"/>
      <c r="AI3315" s="33"/>
      <c r="AJ3315" s="33"/>
      <c r="AK3315" s="33"/>
      <c r="AL3315" s="33"/>
      <c r="AM3315" s="33"/>
      <c r="AN3315" s="33"/>
      <c r="AO3315" s="33"/>
    </row>
    <row r="3316" ht="15.75" customHeight="1">
      <c r="A3316" s="60">
        <v>57310.0</v>
      </c>
      <c r="B3316" s="61">
        <v>2024.0</v>
      </c>
      <c r="C3316" s="36" t="str">
        <f t="shared" si="7"/>
        <v>211 BRYAN ST,Houston,TX</v>
      </c>
      <c r="D3316" s="51" t="s">
        <v>5158</v>
      </c>
      <c r="E3316" s="23" t="s">
        <v>25</v>
      </c>
      <c r="F3316" s="23" t="s">
        <v>1388</v>
      </c>
      <c r="G3316" s="62" t="str">
        <f t="shared" ref="G3316:G3687" si="8">geo2(C3316)</f>
        <v>77011</v>
      </c>
      <c r="H3316" s="58" t="s">
        <v>50</v>
      </c>
      <c r="I3316" s="37" t="str">
        <f>VLOOKUP(H3316,'Flow Location'!$A$1:$B$21,2,FALSE)</f>
        <v>Contained On Site, not within 5 ft. of Bayou/Surface Water/Drainage Ditch</v>
      </c>
      <c r="J3316" s="63">
        <v>0.0</v>
      </c>
      <c r="K3316" s="51" t="s">
        <v>45</v>
      </c>
      <c r="L3316" s="37" t="str">
        <f>VLOOKUP(K3316,'Structure type'!$A$1:$B$15,2,FALSE)</f>
        <v>City Cleanout</v>
      </c>
      <c r="M3316" s="51" t="s">
        <v>30</v>
      </c>
      <c r="N3316" s="23" t="str">
        <f>VLOOKUP(M3316,'Excursion Cause'!$A$1:$B$34,2,FALSE)</f>
        <v>Grease Blockage</v>
      </c>
      <c r="O3316" s="53">
        <v>45292.0</v>
      </c>
      <c r="P3316" s="54">
        <v>0.3548611111111111</v>
      </c>
      <c r="Q3316" s="55">
        <v>45292.0</v>
      </c>
      <c r="R3316" s="54">
        <v>0.35555555555555557</v>
      </c>
      <c r="S3316" s="52">
        <v>0.0</v>
      </c>
      <c r="T3316" s="51" t="s">
        <v>1436</v>
      </c>
      <c r="U3316" s="56"/>
      <c r="V3316" s="56"/>
      <c r="W3316" s="35">
        <v>29.7445454</v>
      </c>
      <c r="X3316" s="35">
        <v>-95.3245604</v>
      </c>
      <c r="AA3316" s="33"/>
      <c r="AB3316" s="33"/>
      <c r="AC3316" s="33"/>
      <c r="AD3316" s="33"/>
      <c r="AE3316" s="33"/>
      <c r="AF3316" s="33"/>
      <c r="AG3316" s="33"/>
      <c r="AH3316" s="33"/>
      <c r="AI3316" s="33"/>
      <c r="AJ3316" s="33"/>
      <c r="AK3316" s="33"/>
      <c r="AL3316" s="33"/>
      <c r="AM3316" s="33"/>
      <c r="AN3316" s="33"/>
      <c r="AO3316" s="33"/>
    </row>
    <row r="3317" ht="15.75" customHeight="1">
      <c r="A3317" s="60">
        <v>57312.0</v>
      </c>
      <c r="B3317" s="61">
        <v>2024.0</v>
      </c>
      <c r="C3317" s="36" t="str">
        <f t="shared" si="7"/>
        <v>2514 LUCKY ST,Houston,TX</v>
      </c>
      <c r="D3317" s="51" t="s">
        <v>5159</v>
      </c>
      <c r="E3317" s="23" t="s">
        <v>25</v>
      </c>
      <c r="F3317" s="23" t="s">
        <v>1388</v>
      </c>
      <c r="G3317" s="62" t="str">
        <f t="shared" si="8"/>
        <v>77088</v>
      </c>
      <c r="H3317" s="58" t="s">
        <v>50</v>
      </c>
      <c r="I3317" s="37" t="str">
        <f>VLOOKUP(H3317,'Flow Location'!$A$1:$B$21,2,FALSE)</f>
        <v>Contained On Site, not within 5 ft. of Bayou/Surface Water/Drainage Ditch</v>
      </c>
      <c r="J3317" s="63">
        <v>0.0</v>
      </c>
      <c r="K3317" s="51" t="s">
        <v>45</v>
      </c>
      <c r="L3317" s="37" t="str">
        <f>VLOOKUP(K3317,'Structure type'!$A$1:$B$15,2,FALSE)</f>
        <v>City Cleanout</v>
      </c>
      <c r="M3317" s="51" t="s">
        <v>56</v>
      </c>
      <c r="N3317" s="23" t="str">
        <f>VLOOKUP(M3317,'Excursion Cause'!$A$1:$B$34,2,FALSE)</f>
        <v>Rags/Wipes</v>
      </c>
      <c r="O3317" s="53">
        <v>45292.0</v>
      </c>
      <c r="P3317" s="54">
        <v>0.40625</v>
      </c>
      <c r="Q3317" s="55">
        <v>45292.0</v>
      </c>
      <c r="R3317" s="54">
        <v>0.40694444444444444</v>
      </c>
      <c r="S3317" s="52">
        <v>0.0</v>
      </c>
      <c r="T3317" s="51" t="s">
        <v>1436</v>
      </c>
      <c r="U3317" s="56"/>
      <c r="V3317" s="56"/>
      <c r="W3317" s="35">
        <v>29.8700577</v>
      </c>
      <c r="X3317" s="35">
        <v>-95.4501128</v>
      </c>
      <c r="AA3317" s="33"/>
      <c r="AB3317" s="33"/>
      <c r="AC3317" s="33"/>
      <c r="AD3317" s="33"/>
      <c r="AE3317" s="33"/>
      <c r="AF3317" s="33"/>
      <c r="AG3317" s="33"/>
      <c r="AH3317" s="33"/>
      <c r="AI3317" s="33"/>
      <c r="AJ3317" s="33"/>
      <c r="AK3317" s="33"/>
      <c r="AL3317" s="33"/>
      <c r="AM3317" s="33"/>
      <c r="AN3317" s="33"/>
      <c r="AO3317" s="33"/>
    </row>
    <row r="3318" ht="15.75" customHeight="1">
      <c r="A3318" s="60">
        <v>57314.0</v>
      </c>
      <c r="B3318" s="61">
        <v>2024.0</v>
      </c>
      <c r="C3318" s="36" t="str">
        <f t="shared" si="7"/>
        <v>3838 SEARLE DR,Houston,TX</v>
      </c>
      <c r="D3318" s="51" t="s">
        <v>3896</v>
      </c>
      <c r="E3318" s="23" t="s">
        <v>25</v>
      </c>
      <c r="F3318" s="23" t="s">
        <v>1388</v>
      </c>
      <c r="G3318" s="62" t="str">
        <f t="shared" si="8"/>
        <v>77009</v>
      </c>
      <c r="H3318" s="58" t="s">
        <v>44</v>
      </c>
      <c r="I3318" s="37" t="str">
        <f>VLOOKUP(H3318,'Flow Location'!$A$1:$B$21,2,FALSE)</f>
        <v>Bayou/surface water/drainage ditch</v>
      </c>
      <c r="J3318" s="63">
        <v>0.0</v>
      </c>
      <c r="K3318" s="51" t="s">
        <v>198</v>
      </c>
      <c r="L3318" s="37" t="str">
        <f>VLOOKUP(K3318,'Structure type'!$A$1:$B$15,2,FALSE)</f>
        <v>Service Lateral</v>
      </c>
      <c r="M3318" s="51" t="s">
        <v>81</v>
      </c>
      <c r="N3318" s="23" t="str">
        <f>VLOOKUP(M3318,'Excursion Cause'!$A$1:$B$34,2,FALSE)</f>
        <v>Collection system structural failure</v>
      </c>
      <c r="O3318" s="53">
        <v>45292.0</v>
      </c>
      <c r="P3318" s="54">
        <v>0.44722222222222224</v>
      </c>
      <c r="Q3318" s="55">
        <v>45292.0</v>
      </c>
      <c r="R3318" s="54">
        <v>0.4479166666666667</v>
      </c>
      <c r="S3318" s="52">
        <v>0.0</v>
      </c>
      <c r="T3318" s="51" t="s">
        <v>33</v>
      </c>
      <c r="U3318" s="56"/>
      <c r="V3318" s="56"/>
      <c r="W3318" s="35">
        <v>29.7935765</v>
      </c>
      <c r="X3318" s="35">
        <v>-95.3680091999999</v>
      </c>
      <c r="AA3318" s="33"/>
      <c r="AB3318" s="33"/>
      <c r="AC3318" s="33"/>
      <c r="AD3318" s="33"/>
      <c r="AE3318" s="33"/>
      <c r="AF3318" s="33"/>
      <c r="AG3318" s="33"/>
      <c r="AH3318" s="33"/>
      <c r="AI3318" s="33"/>
      <c r="AJ3318" s="33"/>
      <c r="AK3318" s="33"/>
      <c r="AL3318" s="33"/>
      <c r="AM3318" s="33"/>
      <c r="AN3318" s="33"/>
      <c r="AO3318" s="33"/>
    </row>
    <row r="3319" ht="15.75" customHeight="1">
      <c r="A3319" s="60">
        <v>57317.0</v>
      </c>
      <c r="B3319" s="61">
        <v>2024.0</v>
      </c>
      <c r="C3319" s="36" t="str">
        <f t="shared" si="7"/>
        <v>7009 SAINT AUGUSTINE ST,Houston,TX</v>
      </c>
      <c r="D3319" s="51" t="s">
        <v>5160</v>
      </c>
      <c r="E3319" s="23" t="s">
        <v>25</v>
      </c>
      <c r="F3319" s="23" t="s">
        <v>1388</v>
      </c>
      <c r="G3319" s="62" t="str">
        <f t="shared" si="8"/>
        <v>77021</v>
      </c>
      <c r="H3319" s="58" t="s">
        <v>50</v>
      </c>
      <c r="I3319" s="37" t="str">
        <f>VLOOKUP(H3319,'Flow Location'!$A$1:$B$21,2,FALSE)</f>
        <v>Contained On Site, not within 5 ft. of Bayou/Surface Water/Drainage Ditch</v>
      </c>
      <c r="J3319" s="63">
        <v>0.0</v>
      </c>
      <c r="K3319" s="51" t="s">
        <v>45</v>
      </c>
      <c r="L3319" s="37" t="str">
        <f>VLOOKUP(K3319,'Structure type'!$A$1:$B$15,2,FALSE)</f>
        <v>City Cleanout</v>
      </c>
      <c r="M3319" s="51" t="s">
        <v>30</v>
      </c>
      <c r="N3319" s="23" t="str">
        <f>VLOOKUP(M3319,'Excursion Cause'!$A$1:$B$34,2,FALSE)</f>
        <v>Grease Blockage</v>
      </c>
      <c r="O3319" s="53">
        <v>45292.0</v>
      </c>
      <c r="P3319" s="54">
        <v>0.3819444444444444</v>
      </c>
      <c r="Q3319" s="55">
        <v>45292.0</v>
      </c>
      <c r="R3319" s="54">
        <v>0.38263888888888886</v>
      </c>
      <c r="S3319" s="52">
        <v>0.0</v>
      </c>
      <c r="T3319" s="51" t="s">
        <v>1436</v>
      </c>
      <c r="U3319" s="56"/>
      <c r="V3319" s="56"/>
      <c r="W3319" s="35">
        <v>29.6885776</v>
      </c>
      <c r="X3319" s="35">
        <v>-95.359915</v>
      </c>
      <c r="AA3319" s="33"/>
      <c r="AB3319" s="33"/>
      <c r="AC3319" s="33"/>
      <c r="AD3319" s="33"/>
      <c r="AE3319" s="33"/>
      <c r="AF3319" s="33"/>
      <c r="AG3319" s="33"/>
      <c r="AH3319" s="33"/>
      <c r="AI3319" s="33"/>
      <c r="AJ3319" s="33"/>
      <c r="AK3319" s="33"/>
      <c r="AL3319" s="33"/>
      <c r="AM3319" s="33"/>
      <c r="AN3319" s="33"/>
      <c r="AO3319" s="33"/>
    </row>
    <row r="3320" ht="15.75" customHeight="1">
      <c r="A3320" s="60">
        <v>57318.0</v>
      </c>
      <c r="B3320" s="61">
        <v>2024.0</v>
      </c>
      <c r="C3320" s="36" t="str">
        <f t="shared" si="7"/>
        <v>3607 WILLOWOOD LN,Houston,TX</v>
      </c>
      <c r="D3320" s="51" t="s">
        <v>5161</v>
      </c>
      <c r="E3320" s="23" t="s">
        <v>25</v>
      </c>
      <c r="F3320" s="23" t="s">
        <v>1388</v>
      </c>
      <c r="G3320" s="62" t="str">
        <f t="shared" si="8"/>
        <v>77023</v>
      </c>
      <c r="H3320" s="58" t="s">
        <v>50</v>
      </c>
      <c r="I3320" s="37" t="str">
        <f>VLOOKUP(H3320,'Flow Location'!$A$1:$B$21,2,FALSE)</f>
        <v>Contained On Site, not within 5 ft. of Bayou/Surface Water/Drainage Ditch</v>
      </c>
      <c r="J3320" s="63">
        <v>0.0</v>
      </c>
      <c r="K3320" s="51" t="s">
        <v>29</v>
      </c>
      <c r="L3320" s="37" t="str">
        <f>VLOOKUP(K3320,'Structure type'!$A$1:$B$15,2,FALSE)</f>
        <v>Manhole</v>
      </c>
      <c r="M3320" s="51" t="s">
        <v>56</v>
      </c>
      <c r="N3320" s="23" t="str">
        <f>VLOOKUP(M3320,'Excursion Cause'!$A$1:$B$34,2,FALSE)</f>
        <v>Rags/Wipes</v>
      </c>
      <c r="O3320" s="53">
        <v>45292.0</v>
      </c>
      <c r="P3320" s="54">
        <v>0.44513888888888886</v>
      </c>
      <c r="Q3320" s="55">
        <v>45292.0</v>
      </c>
      <c r="R3320" s="54">
        <v>0.44583333333333336</v>
      </c>
      <c r="S3320" s="52">
        <v>0.0</v>
      </c>
      <c r="T3320" s="51" t="s">
        <v>1462</v>
      </c>
      <c r="U3320" s="56"/>
      <c r="V3320" s="56"/>
      <c r="W3320" s="35">
        <v>29.6996403</v>
      </c>
      <c r="X3320" s="35">
        <v>-95.3232804</v>
      </c>
      <c r="AA3320" s="33"/>
      <c r="AB3320" s="33"/>
      <c r="AC3320" s="33"/>
      <c r="AD3320" s="33"/>
      <c r="AE3320" s="33"/>
      <c r="AF3320" s="33"/>
      <c r="AG3320" s="33"/>
      <c r="AH3320" s="33"/>
      <c r="AI3320" s="33"/>
      <c r="AJ3320" s="33"/>
      <c r="AK3320" s="33"/>
      <c r="AL3320" s="33"/>
      <c r="AM3320" s="33"/>
      <c r="AN3320" s="33"/>
      <c r="AO3320" s="33"/>
    </row>
    <row r="3321" ht="15.75" customHeight="1">
      <c r="A3321" s="60">
        <v>57320.0</v>
      </c>
      <c r="B3321" s="61">
        <v>2024.0</v>
      </c>
      <c r="C3321" s="36" t="str">
        <f t="shared" si="7"/>
        <v>707 CLAY ST,Houston,TX</v>
      </c>
      <c r="D3321" s="51" t="s">
        <v>5162</v>
      </c>
      <c r="E3321" s="23" t="s">
        <v>25</v>
      </c>
      <c r="F3321" s="23" t="s">
        <v>1388</v>
      </c>
      <c r="G3321" s="62" t="str">
        <f t="shared" si="8"/>
        <v>77002</v>
      </c>
      <c r="H3321" s="58" t="s">
        <v>50</v>
      </c>
      <c r="I3321" s="37" t="str">
        <f>VLOOKUP(H3321,'Flow Location'!$A$1:$B$21,2,FALSE)</f>
        <v>Contained On Site, not within 5 ft. of Bayou/Surface Water/Drainage Ditch</v>
      </c>
      <c r="J3321" s="63">
        <v>0.0</v>
      </c>
      <c r="K3321" s="51" t="s">
        <v>51</v>
      </c>
      <c r="L3321" s="37" t="str">
        <f>VLOOKUP(K3321,'Structure type'!$A$1:$B$15,2,FALSE)</f>
        <v>Private Cleanout</v>
      </c>
      <c r="M3321" s="51" t="s">
        <v>52</v>
      </c>
      <c r="N3321" s="23" t="str">
        <f>VLOOKUP(M3321,'Excursion Cause'!$A$1:$B$34,2,FALSE)</f>
        <v>Collection system structural blockage</v>
      </c>
      <c r="O3321" s="53">
        <v>45292.0</v>
      </c>
      <c r="P3321" s="54">
        <v>0.5319444444444444</v>
      </c>
      <c r="Q3321" s="55">
        <v>45292.0</v>
      </c>
      <c r="R3321" s="54">
        <v>0.5326388888888889</v>
      </c>
      <c r="S3321" s="52">
        <v>0.0</v>
      </c>
      <c r="T3321" s="51" t="s">
        <v>3745</v>
      </c>
      <c r="U3321" s="56"/>
      <c r="V3321" s="56"/>
      <c r="W3321" s="35">
        <v>29.755822</v>
      </c>
      <c r="X3321" s="35">
        <v>-95.3695489</v>
      </c>
      <c r="AA3321" s="33"/>
      <c r="AB3321" s="33"/>
      <c r="AC3321" s="33"/>
      <c r="AD3321" s="33"/>
      <c r="AE3321" s="33"/>
      <c r="AF3321" s="33"/>
      <c r="AG3321" s="33"/>
      <c r="AH3321" s="33"/>
      <c r="AI3321" s="33"/>
      <c r="AJ3321" s="33"/>
      <c r="AK3321" s="33"/>
      <c r="AL3321" s="33"/>
      <c r="AM3321" s="33"/>
      <c r="AN3321" s="33"/>
      <c r="AO3321" s="33"/>
    </row>
    <row r="3322" ht="15.75" customHeight="1">
      <c r="A3322" s="60">
        <v>57321.0</v>
      </c>
      <c r="B3322" s="61">
        <v>2024.0</v>
      </c>
      <c r="C3322" s="36" t="str">
        <f t="shared" si="7"/>
        <v>8201 RICHMOND AVE,Houston,TX</v>
      </c>
      <c r="D3322" s="51" t="s">
        <v>880</v>
      </c>
      <c r="E3322" s="23" t="s">
        <v>25</v>
      </c>
      <c r="F3322" s="23" t="s">
        <v>1388</v>
      </c>
      <c r="G3322" s="62" t="str">
        <f t="shared" si="8"/>
        <v>77063</v>
      </c>
      <c r="H3322" s="58" t="s">
        <v>50</v>
      </c>
      <c r="I3322" s="37" t="str">
        <f>VLOOKUP(H3322,'Flow Location'!$A$1:$B$21,2,FALSE)</f>
        <v>Contained On Site, not within 5 ft. of Bayou/Surface Water/Drainage Ditch</v>
      </c>
      <c r="J3322" s="63">
        <v>0.0</v>
      </c>
      <c r="K3322" s="51" t="s">
        <v>45</v>
      </c>
      <c r="L3322" s="37" t="str">
        <f>VLOOKUP(K3322,'Structure type'!$A$1:$B$15,2,FALSE)</f>
        <v>City Cleanout</v>
      </c>
      <c r="M3322" s="51" t="s">
        <v>56</v>
      </c>
      <c r="N3322" s="23" t="str">
        <f>VLOOKUP(M3322,'Excursion Cause'!$A$1:$B$34,2,FALSE)</f>
        <v>Rags/Wipes</v>
      </c>
      <c r="O3322" s="53">
        <v>45293.0</v>
      </c>
      <c r="P3322" s="54">
        <v>0.3416666666666667</v>
      </c>
      <c r="Q3322" s="55">
        <v>45293.0</v>
      </c>
      <c r="R3322" s="54">
        <v>0.3423611111111111</v>
      </c>
      <c r="S3322" s="52">
        <v>0.0</v>
      </c>
      <c r="T3322" s="51" t="s">
        <v>1473</v>
      </c>
      <c r="U3322" s="56"/>
      <c r="V3322" s="56"/>
      <c r="W3322" s="35">
        <v>29.7282739</v>
      </c>
      <c r="X3322" s="35">
        <v>-95.5128105</v>
      </c>
      <c r="AA3322" s="33"/>
      <c r="AB3322" s="33"/>
      <c r="AC3322" s="33"/>
      <c r="AD3322" s="33"/>
      <c r="AE3322" s="33"/>
      <c r="AF3322" s="33"/>
      <c r="AG3322" s="33"/>
      <c r="AH3322" s="33"/>
      <c r="AI3322" s="33"/>
      <c r="AJ3322" s="33"/>
      <c r="AK3322" s="33"/>
      <c r="AL3322" s="33"/>
      <c r="AM3322" s="33"/>
      <c r="AN3322" s="33"/>
      <c r="AO3322" s="33"/>
    </row>
    <row r="3323" ht="15.75" customHeight="1">
      <c r="A3323" s="60">
        <v>57324.0</v>
      </c>
      <c r="B3323" s="61">
        <v>2024.0</v>
      </c>
      <c r="C3323" s="36" t="str">
        <f t="shared" si="7"/>
        <v>8503 WIER DR,Houston,TX</v>
      </c>
      <c r="D3323" s="51" t="s">
        <v>5163</v>
      </c>
      <c r="E3323" s="23" t="s">
        <v>25</v>
      </c>
      <c r="F3323" s="23" t="s">
        <v>1388</v>
      </c>
      <c r="G3323" s="62" t="str">
        <f t="shared" si="8"/>
        <v>77017</v>
      </c>
      <c r="H3323" s="58" t="s">
        <v>50</v>
      </c>
      <c r="I3323" s="37" t="str">
        <f>VLOOKUP(H3323,'Flow Location'!$A$1:$B$21,2,FALSE)</f>
        <v>Contained On Site, not within 5 ft. of Bayou/Surface Water/Drainage Ditch</v>
      </c>
      <c r="J3323" s="63">
        <v>0.0</v>
      </c>
      <c r="K3323" s="51" t="s">
        <v>51</v>
      </c>
      <c r="L3323" s="37" t="str">
        <f>VLOOKUP(K3323,'Structure type'!$A$1:$B$15,2,FALSE)</f>
        <v>Private Cleanout</v>
      </c>
      <c r="M3323" s="51" t="s">
        <v>30</v>
      </c>
      <c r="N3323" s="23" t="str">
        <f>VLOOKUP(M3323,'Excursion Cause'!$A$1:$B$34,2,FALSE)</f>
        <v>Grease Blockage</v>
      </c>
      <c r="O3323" s="53">
        <v>45293.0</v>
      </c>
      <c r="P3323" s="54">
        <v>0.48680555555555555</v>
      </c>
      <c r="Q3323" s="55">
        <v>45293.0</v>
      </c>
      <c r="R3323" s="54">
        <v>0.4875</v>
      </c>
      <c r="S3323" s="52">
        <v>0.0</v>
      </c>
      <c r="T3323" s="51" t="s">
        <v>1462</v>
      </c>
      <c r="U3323" s="56"/>
      <c r="V3323" s="56"/>
      <c r="W3323" s="35">
        <v>29.6855682</v>
      </c>
      <c r="X3323" s="35">
        <v>-95.2570272</v>
      </c>
      <c r="AA3323" s="33"/>
      <c r="AB3323" s="33"/>
      <c r="AC3323" s="33"/>
      <c r="AD3323" s="33"/>
      <c r="AE3323" s="33"/>
      <c r="AF3323" s="33"/>
      <c r="AG3323" s="33"/>
      <c r="AH3323" s="33"/>
      <c r="AI3323" s="33"/>
      <c r="AJ3323" s="33"/>
      <c r="AK3323" s="33"/>
      <c r="AL3323" s="33"/>
      <c r="AM3323" s="33"/>
      <c r="AN3323" s="33"/>
      <c r="AO3323" s="33"/>
    </row>
    <row r="3324" ht="15.75" customHeight="1">
      <c r="A3324" s="60">
        <v>57325.0</v>
      </c>
      <c r="B3324" s="61">
        <v>2024.0</v>
      </c>
      <c r="C3324" s="36" t="str">
        <f t="shared" si="7"/>
        <v>905 CANADIAN ST,Houston,TX</v>
      </c>
      <c r="D3324" s="51" t="s">
        <v>5164</v>
      </c>
      <c r="E3324" s="23" t="s">
        <v>25</v>
      </c>
      <c r="F3324" s="23" t="s">
        <v>1388</v>
      </c>
      <c r="G3324" s="62" t="str">
        <f t="shared" si="8"/>
        <v>77009</v>
      </c>
      <c r="H3324" s="58" t="s">
        <v>50</v>
      </c>
      <c r="I3324" s="37" t="str">
        <f>VLOOKUP(H3324,'Flow Location'!$A$1:$B$21,2,FALSE)</f>
        <v>Contained On Site, not within 5 ft. of Bayou/Surface Water/Drainage Ditch</v>
      </c>
      <c r="J3324" s="63">
        <v>0.0</v>
      </c>
      <c r="K3324" s="51" t="s">
        <v>51</v>
      </c>
      <c r="L3324" s="37" t="str">
        <f>VLOOKUP(K3324,'Structure type'!$A$1:$B$15,2,FALSE)</f>
        <v>Private Cleanout</v>
      </c>
      <c r="M3324" s="51" t="s">
        <v>30</v>
      </c>
      <c r="N3324" s="23" t="str">
        <f>VLOOKUP(M3324,'Excursion Cause'!$A$1:$B$34,2,FALSE)</f>
        <v>Grease Blockage</v>
      </c>
      <c r="O3324" s="53">
        <v>45293.0</v>
      </c>
      <c r="P3324" s="54">
        <v>0.4673611111111111</v>
      </c>
      <c r="Q3324" s="55">
        <v>45293.0</v>
      </c>
      <c r="R3324" s="54">
        <v>0.46805555555555556</v>
      </c>
      <c r="S3324" s="52">
        <v>0.0</v>
      </c>
      <c r="T3324" s="51" t="s">
        <v>118</v>
      </c>
      <c r="U3324" s="56"/>
      <c r="V3324" s="56"/>
      <c r="W3324" s="35">
        <v>29.8051401</v>
      </c>
      <c r="X3324" s="35">
        <v>-95.3595148</v>
      </c>
      <c r="AA3324" s="33"/>
      <c r="AB3324" s="33"/>
      <c r="AC3324" s="33"/>
      <c r="AD3324" s="33"/>
      <c r="AE3324" s="33"/>
      <c r="AF3324" s="33"/>
      <c r="AG3324" s="33"/>
      <c r="AH3324" s="33"/>
      <c r="AI3324" s="33"/>
      <c r="AJ3324" s="33"/>
      <c r="AK3324" s="33"/>
      <c r="AL3324" s="33"/>
      <c r="AM3324" s="33"/>
      <c r="AN3324" s="33"/>
      <c r="AO3324" s="33"/>
    </row>
    <row r="3325" ht="15.75" customHeight="1">
      <c r="A3325" s="60">
        <v>57331.0</v>
      </c>
      <c r="B3325" s="61">
        <v>2024.0</v>
      </c>
      <c r="C3325" s="36" t="str">
        <f t="shared" si="7"/>
        <v>6809 ALDERSON ST,Houston,TX</v>
      </c>
      <c r="D3325" s="51" t="s">
        <v>5165</v>
      </c>
      <c r="E3325" s="23" t="s">
        <v>25</v>
      </c>
      <c r="F3325" s="23" t="s">
        <v>1388</v>
      </c>
      <c r="G3325" s="62" t="str">
        <f t="shared" si="8"/>
        <v>77020</v>
      </c>
      <c r="H3325" s="58" t="s">
        <v>50</v>
      </c>
      <c r="I3325" s="37" t="str">
        <f>VLOOKUP(H3325,'Flow Location'!$A$1:$B$21,2,FALSE)</f>
        <v>Contained On Site, not within 5 ft. of Bayou/Surface Water/Drainage Ditch</v>
      </c>
      <c r="J3325" s="63">
        <v>0.0</v>
      </c>
      <c r="K3325" s="51" t="s">
        <v>51</v>
      </c>
      <c r="L3325" s="37" t="str">
        <f>VLOOKUP(K3325,'Structure type'!$A$1:$B$15,2,FALSE)</f>
        <v>Private Cleanout</v>
      </c>
      <c r="M3325" s="51" t="s">
        <v>52</v>
      </c>
      <c r="N3325" s="23" t="str">
        <f>VLOOKUP(M3325,'Excursion Cause'!$A$1:$B$34,2,FALSE)</f>
        <v>Collection system structural blockage</v>
      </c>
      <c r="O3325" s="53">
        <v>45293.0</v>
      </c>
      <c r="P3325" s="54">
        <v>0.5638888888888889</v>
      </c>
      <c r="Q3325" s="55">
        <v>45293.0</v>
      </c>
      <c r="R3325" s="54">
        <v>0.5645833333333333</v>
      </c>
      <c r="S3325" s="52">
        <v>0.0</v>
      </c>
      <c r="T3325" s="51" t="s">
        <v>118</v>
      </c>
      <c r="U3325" s="56"/>
      <c r="V3325" s="56"/>
      <c r="W3325" s="35">
        <v>29.7871678</v>
      </c>
      <c r="X3325" s="35">
        <v>-95.3017866</v>
      </c>
      <c r="AA3325" s="33"/>
      <c r="AB3325" s="33"/>
      <c r="AC3325" s="33"/>
      <c r="AD3325" s="33"/>
      <c r="AE3325" s="33"/>
      <c r="AF3325" s="33"/>
      <c r="AG3325" s="33"/>
      <c r="AH3325" s="33"/>
      <c r="AI3325" s="33"/>
      <c r="AJ3325" s="33"/>
      <c r="AK3325" s="33"/>
      <c r="AL3325" s="33"/>
      <c r="AM3325" s="33"/>
      <c r="AN3325" s="33"/>
      <c r="AO3325" s="33"/>
    </row>
    <row r="3326" ht="15.75" customHeight="1">
      <c r="A3326" s="60">
        <v>57335.0</v>
      </c>
      <c r="B3326" s="61">
        <v>2024.0</v>
      </c>
      <c r="C3326" s="36" t="str">
        <f t="shared" si="7"/>
        <v>8034 CRESTVIEW DR,Houston,TX</v>
      </c>
      <c r="D3326" s="51" t="s">
        <v>5166</v>
      </c>
      <c r="E3326" s="23" t="s">
        <v>25</v>
      </c>
      <c r="F3326" s="23" t="s">
        <v>1388</v>
      </c>
      <c r="G3326" s="62" t="str">
        <f t="shared" si="8"/>
        <v>77028</v>
      </c>
      <c r="H3326" s="58" t="s">
        <v>1977</v>
      </c>
      <c r="I3326" s="37" t="str">
        <f>VLOOKUP(H3326,'Flow Location'!$A$1:$B$21,2,FALSE)</f>
        <v>Bayou/surface water/drainage ditch</v>
      </c>
      <c r="J3326" s="63">
        <v>0.0</v>
      </c>
      <c r="K3326" s="51" t="s">
        <v>45</v>
      </c>
      <c r="L3326" s="37" t="str">
        <f>VLOOKUP(K3326,'Structure type'!$A$1:$B$15,2,FALSE)</f>
        <v>City Cleanout</v>
      </c>
      <c r="M3326" s="51" t="s">
        <v>56</v>
      </c>
      <c r="N3326" s="23" t="str">
        <f>VLOOKUP(M3326,'Excursion Cause'!$A$1:$B$34,2,FALSE)</f>
        <v>Rags/Wipes</v>
      </c>
      <c r="O3326" s="53">
        <v>45293.0</v>
      </c>
      <c r="P3326" s="54">
        <v>0.6638888888888889</v>
      </c>
      <c r="Q3326" s="55">
        <v>45293.0</v>
      </c>
      <c r="R3326" s="54">
        <v>0.6645833333333333</v>
      </c>
      <c r="S3326" s="52">
        <v>0.0</v>
      </c>
      <c r="T3326" s="51" t="s">
        <v>3743</v>
      </c>
      <c r="U3326" s="56"/>
      <c r="V3326" s="56"/>
      <c r="W3326" s="35">
        <v>29.8368318</v>
      </c>
      <c r="X3326" s="35">
        <v>-95.2806478</v>
      </c>
      <c r="AA3326" s="33"/>
      <c r="AB3326" s="33"/>
      <c r="AC3326" s="33"/>
      <c r="AD3326" s="33"/>
      <c r="AE3326" s="33"/>
      <c r="AF3326" s="33"/>
      <c r="AG3326" s="33"/>
      <c r="AH3326" s="33"/>
      <c r="AI3326" s="33"/>
      <c r="AJ3326" s="33"/>
      <c r="AK3326" s="33"/>
      <c r="AL3326" s="33"/>
      <c r="AM3326" s="33"/>
      <c r="AN3326" s="33"/>
      <c r="AO3326" s="33"/>
    </row>
    <row r="3327" ht="15.75" customHeight="1">
      <c r="A3327" s="60">
        <v>57341.0</v>
      </c>
      <c r="B3327" s="61">
        <v>2024.0</v>
      </c>
      <c r="C3327" s="36" t="str">
        <f t="shared" si="7"/>
        <v>2027 PERSA ST,Houston,TX</v>
      </c>
      <c r="D3327" s="51" t="s">
        <v>5167</v>
      </c>
      <c r="E3327" s="23" t="s">
        <v>25</v>
      </c>
      <c r="F3327" s="23" t="s">
        <v>1388</v>
      </c>
      <c r="G3327" s="62" t="str">
        <f t="shared" si="8"/>
        <v>77019</v>
      </c>
      <c r="H3327" s="58" t="s">
        <v>50</v>
      </c>
      <c r="I3327" s="37" t="str">
        <f>VLOOKUP(H3327,'Flow Location'!$A$1:$B$21,2,FALSE)</f>
        <v>Contained On Site, not within 5 ft. of Bayou/Surface Water/Drainage Ditch</v>
      </c>
      <c r="J3327" s="63">
        <v>0.0</v>
      </c>
      <c r="K3327" s="51" t="s">
        <v>29</v>
      </c>
      <c r="L3327" s="37" t="str">
        <f>VLOOKUP(K3327,'Structure type'!$A$1:$B$15,2,FALSE)</f>
        <v>Manhole</v>
      </c>
      <c r="M3327" s="51" t="s">
        <v>96</v>
      </c>
      <c r="N3327" s="23" t="str">
        <f>VLOOKUP(M3327,'Excursion Cause'!$A$1:$B$34,2,FALSE)</f>
        <v>Collection system temporary blockage</v>
      </c>
      <c r="O3327" s="53">
        <v>45293.0</v>
      </c>
      <c r="P3327" s="54">
        <v>0.7388888888888889</v>
      </c>
      <c r="Q3327" s="55">
        <v>45293.0</v>
      </c>
      <c r="R3327" s="54">
        <v>0.7395833333333334</v>
      </c>
      <c r="S3327" s="52">
        <v>0.0</v>
      </c>
      <c r="T3327" s="51" t="s">
        <v>3749</v>
      </c>
      <c r="U3327" s="56"/>
      <c r="V3327" s="56"/>
      <c r="W3327" s="35">
        <v>29.746994</v>
      </c>
      <c r="X3327" s="35">
        <v>-95.4123022</v>
      </c>
      <c r="AA3327" s="33"/>
      <c r="AB3327" s="33"/>
      <c r="AC3327" s="33"/>
      <c r="AD3327" s="33"/>
      <c r="AE3327" s="33"/>
      <c r="AF3327" s="33"/>
      <c r="AG3327" s="33"/>
      <c r="AH3327" s="33"/>
      <c r="AI3327" s="33"/>
      <c r="AJ3327" s="33"/>
      <c r="AK3327" s="33"/>
      <c r="AL3327" s="33"/>
      <c r="AM3327" s="33"/>
      <c r="AN3327" s="33"/>
      <c r="AO3327" s="33"/>
    </row>
    <row r="3328" ht="15.75" customHeight="1">
      <c r="A3328" s="60">
        <v>57342.0</v>
      </c>
      <c r="B3328" s="61">
        <v>2024.0</v>
      </c>
      <c r="C3328" s="36" t="str">
        <f t="shared" si="7"/>
        <v>5714 GULF BANK RD,Houston,TX</v>
      </c>
      <c r="D3328" s="51" t="s">
        <v>5168</v>
      </c>
      <c r="E3328" s="23" t="s">
        <v>25</v>
      </c>
      <c r="F3328" s="23" t="s">
        <v>1388</v>
      </c>
      <c r="G3328" s="62" t="str">
        <f t="shared" si="8"/>
        <v>77088</v>
      </c>
      <c r="H3328" s="58" t="s">
        <v>28</v>
      </c>
      <c r="I3328" s="37" t="str">
        <f>VLOOKUP(H3328,'Flow Location'!$A$1:$B$21,2,FALSE)</f>
        <v>Storm Sewer (not contained)</v>
      </c>
      <c r="J3328" s="63">
        <v>300.0</v>
      </c>
      <c r="K3328" s="51" t="s">
        <v>29</v>
      </c>
      <c r="L3328" s="37" t="str">
        <f>VLOOKUP(K3328,'Structure type'!$A$1:$B$15,2,FALSE)</f>
        <v>Manhole</v>
      </c>
      <c r="M3328" s="51" t="s">
        <v>30</v>
      </c>
      <c r="N3328" s="23" t="str">
        <f>VLOOKUP(M3328,'Excursion Cause'!$A$1:$B$34,2,FALSE)</f>
        <v>Grease Blockage</v>
      </c>
      <c r="O3328" s="53">
        <v>45294.0</v>
      </c>
      <c r="P3328" s="54">
        <v>0.3854166666666667</v>
      </c>
      <c r="Q3328" s="55">
        <v>45294.0</v>
      </c>
      <c r="R3328" s="54">
        <v>0.4895833333333333</v>
      </c>
      <c r="S3328" s="52">
        <v>2.0</v>
      </c>
      <c r="T3328" s="51" t="s">
        <v>3749</v>
      </c>
      <c r="U3328" s="56"/>
      <c r="V3328" s="56"/>
      <c r="W3328" s="35">
        <v>29.8843738</v>
      </c>
      <c r="X3328" s="35">
        <v>-95.4704496999999</v>
      </c>
      <c r="AA3328" s="33"/>
      <c r="AB3328" s="33"/>
      <c r="AC3328" s="33"/>
      <c r="AD3328" s="33"/>
      <c r="AE3328" s="33"/>
      <c r="AF3328" s="33"/>
      <c r="AG3328" s="33"/>
      <c r="AH3328" s="33"/>
      <c r="AI3328" s="33"/>
      <c r="AJ3328" s="33"/>
      <c r="AK3328" s="33"/>
      <c r="AL3328" s="33"/>
      <c r="AM3328" s="33"/>
      <c r="AN3328" s="33"/>
      <c r="AO3328" s="33"/>
    </row>
    <row r="3329" ht="15.75" customHeight="1">
      <c r="A3329" s="60">
        <v>57345.0</v>
      </c>
      <c r="B3329" s="61">
        <v>2024.0</v>
      </c>
      <c r="C3329" s="36" t="str">
        <f t="shared" si="7"/>
        <v>7606 BELLFORT ST,Houston,TX</v>
      </c>
      <c r="D3329" s="51" t="s">
        <v>5169</v>
      </c>
      <c r="E3329" s="23" t="s">
        <v>25</v>
      </c>
      <c r="F3329" s="23" t="s">
        <v>1388</v>
      </c>
      <c r="G3329" s="62" t="str">
        <f t="shared" si="8"/>
        <v>77061</v>
      </c>
      <c r="H3329" s="58" t="s">
        <v>50</v>
      </c>
      <c r="I3329" s="37" t="str">
        <f>VLOOKUP(H3329,'Flow Location'!$A$1:$B$21,2,FALSE)</f>
        <v>Contained On Site, not within 5 ft. of Bayou/Surface Water/Drainage Ditch</v>
      </c>
      <c r="J3329" s="63">
        <v>0.0</v>
      </c>
      <c r="K3329" s="51" t="s">
        <v>51</v>
      </c>
      <c r="L3329" s="37" t="str">
        <f>VLOOKUP(K3329,'Structure type'!$A$1:$B$15,2,FALSE)</f>
        <v>Private Cleanout</v>
      </c>
      <c r="M3329" s="51" t="s">
        <v>96</v>
      </c>
      <c r="N3329" s="23" t="str">
        <f>VLOOKUP(M3329,'Excursion Cause'!$A$1:$B$34,2,FALSE)</f>
        <v>Collection system temporary blockage</v>
      </c>
      <c r="O3329" s="53">
        <v>45294.0</v>
      </c>
      <c r="P3329" s="54">
        <v>0.4201388888888889</v>
      </c>
      <c r="Q3329" s="55">
        <v>45294.0</v>
      </c>
      <c r="R3329" s="54">
        <v>0.42083333333333334</v>
      </c>
      <c r="S3329" s="52">
        <v>0.0</v>
      </c>
      <c r="T3329" s="51" t="s">
        <v>118</v>
      </c>
      <c r="U3329" s="56"/>
      <c r="V3329" s="56"/>
      <c r="W3329" s="35">
        <v>29.6749589999999</v>
      </c>
      <c r="X3329" s="35">
        <v>-95.2686605</v>
      </c>
      <c r="AA3329" s="33"/>
      <c r="AB3329" s="33"/>
      <c r="AC3329" s="33"/>
      <c r="AD3329" s="33"/>
      <c r="AE3329" s="33"/>
      <c r="AF3329" s="33"/>
      <c r="AG3329" s="33"/>
      <c r="AH3329" s="33"/>
      <c r="AI3329" s="33"/>
      <c r="AJ3329" s="33"/>
      <c r="AK3329" s="33"/>
      <c r="AL3329" s="33"/>
      <c r="AM3329" s="33"/>
      <c r="AN3329" s="33"/>
      <c r="AO3329" s="33"/>
    </row>
    <row r="3330" ht="15.75" customHeight="1">
      <c r="A3330" s="60">
        <v>57347.0</v>
      </c>
      <c r="B3330" s="61">
        <v>2024.0</v>
      </c>
      <c r="C3330" s="36" t="str">
        <f t="shared" si="7"/>
        <v>2347 SUMMIT WAY CT,Houston,TX</v>
      </c>
      <c r="D3330" s="51" t="s">
        <v>5170</v>
      </c>
      <c r="E3330" s="23" t="s">
        <v>25</v>
      </c>
      <c r="F3330" s="23" t="s">
        <v>1388</v>
      </c>
      <c r="G3330" s="62" t="str">
        <f t="shared" si="8"/>
        <v>77339</v>
      </c>
      <c r="H3330" s="58" t="s">
        <v>50</v>
      </c>
      <c r="I3330" s="37" t="str">
        <f>VLOOKUP(H3330,'Flow Location'!$A$1:$B$21,2,FALSE)</f>
        <v>Contained On Site, not within 5 ft. of Bayou/Surface Water/Drainage Ditch</v>
      </c>
      <c r="J3330" s="63">
        <v>0.0</v>
      </c>
      <c r="K3330" s="51" t="s">
        <v>29</v>
      </c>
      <c r="L3330" s="37" t="str">
        <f>VLOOKUP(K3330,'Structure type'!$A$1:$B$15,2,FALSE)</f>
        <v>Manhole</v>
      </c>
      <c r="M3330" s="51" t="s">
        <v>56</v>
      </c>
      <c r="N3330" s="23" t="str">
        <f>VLOOKUP(M3330,'Excursion Cause'!$A$1:$B$34,2,FALSE)</f>
        <v>Rags/Wipes</v>
      </c>
      <c r="O3330" s="53">
        <v>45294.0</v>
      </c>
      <c r="P3330" s="54">
        <v>0.39375</v>
      </c>
      <c r="Q3330" s="55">
        <v>45294.0</v>
      </c>
      <c r="R3330" s="54">
        <v>0.39444444444444443</v>
      </c>
      <c r="S3330" s="52">
        <v>0.0</v>
      </c>
      <c r="T3330" s="51" t="s">
        <v>3749</v>
      </c>
      <c r="U3330" s="56"/>
      <c r="V3330" s="56"/>
      <c r="W3330" s="35">
        <v>30.0483593</v>
      </c>
      <c r="X3330" s="35">
        <v>-95.2315187999999</v>
      </c>
      <c r="AA3330" s="33"/>
      <c r="AB3330" s="33"/>
      <c r="AC3330" s="33"/>
      <c r="AD3330" s="33"/>
      <c r="AE3330" s="33"/>
      <c r="AF3330" s="33"/>
      <c r="AG3330" s="33"/>
      <c r="AH3330" s="33"/>
      <c r="AI3330" s="33"/>
      <c r="AJ3330" s="33"/>
      <c r="AK3330" s="33"/>
      <c r="AL3330" s="33"/>
      <c r="AM3330" s="33"/>
      <c r="AN3330" s="33"/>
      <c r="AO3330" s="33"/>
    </row>
    <row r="3331" ht="15.75" customHeight="1">
      <c r="A3331" s="60">
        <v>57351.0</v>
      </c>
      <c r="B3331" s="61">
        <v>2024.0</v>
      </c>
      <c r="C3331" s="36" t="str">
        <f t="shared" si="7"/>
        <v>5017 DENMARK ST,Houston,TX</v>
      </c>
      <c r="D3331" s="51" t="s">
        <v>2742</v>
      </c>
      <c r="E3331" s="23" t="s">
        <v>25</v>
      </c>
      <c r="F3331" s="23" t="s">
        <v>1388</v>
      </c>
      <c r="G3331" s="62" t="str">
        <f t="shared" si="8"/>
        <v>77016</v>
      </c>
      <c r="H3331" s="58" t="s">
        <v>28</v>
      </c>
      <c r="I3331" s="37" t="str">
        <f>VLOOKUP(H3331,'Flow Location'!$A$1:$B$21,2,FALSE)</f>
        <v>Storm Sewer (not contained)</v>
      </c>
      <c r="J3331" s="63">
        <v>0.0</v>
      </c>
      <c r="K3331" s="51" t="s">
        <v>45</v>
      </c>
      <c r="L3331" s="37" t="str">
        <f>VLOOKUP(K3331,'Structure type'!$A$1:$B$15,2,FALSE)</f>
        <v>City Cleanout</v>
      </c>
      <c r="M3331" s="51" t="s">
        <v>56</v>
      </c>
      <c r="N3331" s="23" t="str">
        <f>VLOOKUP(M3331,'Excursion Cause'!$A$1:$B$34,2,FALSE)</f>
        <v>Rags/Wipes</v>
      </c>
      <c r="O3331" s="53">
        <v>45294.0</v>
      </c>
      <c r="P3331" s="54">
        <v>0.48541666666666666</v>
      </c>
      <c r="Q3331" s="55">
        <v>45294.0</v>
      </c>
      <c r="R3331" s="54">
        <v>0.4861111111111111</v>
      </c>
      <c r="S3331" s="52">
        <v>0.0</v>
      </c>
      <c r="T3331" s="51" t="s">
        <v>3743</v>
      </c>
      <c r="U3331" s="56"/>
      <c r="V3331" s="56"/>
      <c r="W3331" s="35">
        <v>29.8277345</v>
      </c>
      <c r="X3331" s="35">
        <v>-95.3168756</v>
      </c>
      <c r="AA3331" s="33"/>
      <c r="AB3331" s="33"/>
      <c r="AC3331" s="33"/>
      <c r="AD3331" s="33"/>
      <c r="AE3331" s="33"/>
      <c r="AF3331" s="33"/>
      <c r="AG3331" s="33"/>
      <c r="AH3331" s="33"/>
      <c r="AI3331" s="33"/>
      <c r="AJ3331" s="33"/>
      <c r="AK3331" s="33"/>
      <c r="AL3331" s="33"/>
      <c r="AM3331" s="33"/>
      <c r="AN3331" s="33"/>
      <c r="AO3331" s="33"/>
    </row>
    <row r="3332" ht="15.75" customHeight="1">
      <c r="A3332" s="60">
        <v>57352.0</v>
      </c>
      <c r="B3332" s="61">
        <v>2024.0</v>
      </c>
      <c r="C3332" s="36" t="str">
        <f t="shared" si="7"/>
        <v>3960 INVERNESS DR,Houston,TX</v>
      </c>
      <c r="D3332" s="51" t="s">
        <v>4973</v>
      </c>
      <c r="E3332" s="23" t="s">
        <v>25</v>
      </c>
      <c r="F3332" s="23" t="s">
        <v>1388</v>
      </c>
      <c r="G3332" s="62" t="str">
        <f t="shared" si="8"/>
        <v>77019</v>
      </c>
      <c r="H3332" s="58" t="s">
        <v>50</v>
      </c>
      <c r="I3332" s="37" t="str">
        <f>VLOOKUP(H3332,'Flow Location'!$A$1:$B$21,2,FALSE)</f>
        <v>Contained On Site, not within 5 ft. of Bayou/Surface Water/Drainage Ditch</v>
      </c>
      <c r="J3332" s="63">
        <v>0.0</v>
      </c>
      <c r="K3332" s="51" t="s">
        <v>29</v>
      </c>
      <c r="L3332" s="37" t="str">
        <f>VLOOKUP(K3332,'Structure type'!$A$1:$B$15,2,FALSE)</f>
        <v>Manhole</v>
      </c>
      <c r="M3332" s="51" t="s">
        <v>56</v>
      </c>
      <c r="N3332" s="23" t="str">
        <f>VLOOKUP(M3332,'Excursion Cause'!$A$1:$B$34,2,FALSE)</f>
        <v>Rags/Wipes</v>
      </c>
      <c r="O3332" s="53">
        <v>45294.0</v>
      </c>
      <c r="P3332" s="54">
        <v>0.5027777777777778</v>
      </c>
      <c r="Q3332" s="55">
        <v>45294.0</v>
      </c>
      <c r="R3332" s="54">
        <v>0.5027777777777778</v>
      </c>
      <c r="S3332" s="52">
        <v>0.0</v>
      </c>
      <c r="T3332" s="51" t="s">
        <v>1462</v>
      </c>
      <c r="U3332" s="56"/>
      <c r="V3332" s="56"/>
      <c r="W3332" s="35">
        <v>29.7525722</v>
      </c>
      <c r="X3332" s="35">
        <v>-95.4440801</v>
      </c>
      <c r="AA3332" s="33"/>
      <c r="AB3332" s="33"/>
      <c r="AC3332" s="33"/>
      <c r="AD3332" s="33"/>
      <c r="AE3332" s="33"/>
      <c r="AF3332" s="33"/>
      <c r="AG3332" s="33"/>
      <c r="AH3332" s="33"/>
      <c r="AI3332" s="33"/>
      <c r="AJ3332" s="33"/>
      <c r="AK3332" s="33"/>
      <c r="AL3332" s="33"/>
      <c r="AM3332" s="33"/>
      <c r="AN3332" s="33"/>
      <c r="AO3332" s="33"/>
    </row>
    <row r="3333" ht="15.75" customHeight="1">
      <c r="A3333" s="60">
        <v>57358.0</v>
      </c>
      <c r="B3333" s="61">
        <v>2024.0</v>
      </c>
      <c r="C3333" s="36" t="str">
        <f t="shared" si="7"/>
        <v>6614 WESTON ST,Houston,TX</v>
      </c>
      <c r="D3333" s="51" t="s">
        <v>499</v>
      </c>
      <c r="E3333" s="23" t="s">
        <v>25</v>
      </c>
      <c r="F3333" s="23" t="s">
        <v>1388</v>
      </c>
      <c r="G3333" s="62" t="str">
        <f t="shared" si="8"/>
        <v>77021</v>
      </c>
      <c r="H3333" s="58" t="s">
        <v>28</v>
      </c>
      <c r="I3333" s="37" t="str">
        <f>VLOOKUP(H3333,'Flow Location'!$A$1:$B$21,2,FALSE)</f>
        <v>Storm Sewer (not contained)</v>
      </c>
      <c r="J3333" s="63">
        <v>0.0</v>
      </c>
      <c r="K3333" s="51" t="s">
        <v>29</v>
      </c>
      <c r="L3333" s="37" t="str">
        <f>VLOOKUP(K3333,'Structure type'!$A$1:$B$15,2,FALSE)</f>
        <v>Manhole</v>
      </c>
      <c r="M3333" s="51" t="s">
        <v>3329</v>
      </c>
      <c r="N3333" s="23" t="str">
        <f>VLOOKUP(M3333,'Excursion Cause'!$A$1:$B$34,2,FALSE)</f>
        <v>Collection system temporary blockage</v>
      </c>
      <c r="O3333" s="53">
        <v>45294.0</v>
      </c>
      <c r="P3333" s="54">
        <v>0.6159722222222223</v>
      </c>
      <c r="Q3333" s="55">
        <v>45294.0</v>
      </c>
      <c r="R3333" s="54">
        <v>0.6166666666666667</v>
      </c>
      <c r="S3333" s="52">
        <v>0.0</v>
      </c>
      <c r="T3333" s="51" t="s">
        <v>118</v>
      </c>
      <c r="U3333" s="56"/>
      <c r="V3333" s="56"/>
      <c r="W3333" s="35">
        <v>29.6904858</v>
      </c>
      <c r="X3333" s="35">
        <v>-95.3467424999999</v>
      </c>
      <c r="AA3333" s="33"/>
      <c r="AB3333" s="33"/>
      <c r="AC3333" s="33"/>
      <c r="AD3333" s="33"/>
      <c r="AE3333" s="33"/>
      <c r="AF3333" s="33"/>
      <c r="AG3333" s="33"/>
      <c r="AH3333" s="33"/>
      <c r="AI3333" s="33"/>
      <c r="AJ3333" s="33"/>
      <c r="AK3333" s="33"/>
      <c r="AL3333" s="33"/>
      <c r="AM3333" s="33"/>
      <c r="AN3333" s="33"/>
      <c r="AO3333" s="33"/>
    </row>
    <row r="3334" ht="15.75" customHeight="1">
      <c r="A3334" s="60">
        <v>57361.0</v>
      </c>
      <c r="B3334" s="61">
        <v>2024.0</v>
      </c>
      <c r="C3334" s="36" t="str">
        <f t="shared" si="7"/>
        <v>3402 LAS PALMAS ST,Houston,TX</v>
      </c>
      <c r="D3334" s="51" t="s">
        <v>5171</v>
      </c>
      <c r="E3334" s="23" t="s">
        <v>25</v>
      </c>
      <c r="F3334" s="23" t="s">
        <v>1388</v>
      </c>
      <c r="G3334" s="62" t="str">
        <f t="shared" si="8"/>
        <v>77027</v>
      </c>
      <c r="H3334" s="58" t="s">
        <v>50</v>
      </c>
      <c r="I3334" s="37" t="str">
        <f>VLOOKUP(H3334,'Flow Location'!$A$1:$B$21,2,FALSE)</f>
        <v>Contained On Site, not within 5 ft. of Bayou/Surface Water/Drainage Ditch</v>
      </c>
      <c r="J3334" s="63">
        <v>0.0</v>
      </c>
      <c r="K3334" s="51" t="s">
        <v>51</v>
      </c>
      <c r="L3334" s="37" t="str">
        <f>VLOOKUP(K3334,'Structure type'!$A$1:$B$15,2,FALSE)</f>
        <v>Private Cleanout</v>
      </c>
      <c r="M3334" s="51" t="s">
        <v>30</v>
      </c>
      <c r="N3334" s="23" t="str">
        <f>VLOOKUP(M3334,'Excursion Cause'!$A$1:$B$34,2,FALSE)</f>
        <v>Grease Blockage</v>
      </c>
      <c r="O3334" s="53">
        <v>45294.0</v>
      </c>
      <c r="P3334" s="54">
        <v>0.7215277777777778</v>
      </c>
      <c r="Q3334" s="55">
        <v>45294.0</v>
      </c>
      <c r="R3334" s="54">
        <v>0.7222222222222222</v>
      </c>
      <c r="S3334" s="52">
        <v>0.0</v>
      </c>
      <c r="T3334" s="51" t="s">
        <v>3749</v>
      </c>
      <c r="U3334" s="56"/>
      <c r="V3334" s="56"/>
      <c r="W3334" s="35">
        <v>29.7347872</v>
      </c>
      <c r="X3334" s="35">
        <v>-95.4444080999999</v>
      </c>
      <c r="AA3334" s="33"/>
      <c r="AB3334" s="33"/>
      <c r="AC3334" s="33"/>
      <c r="AD3334" s="33"/>
      <c r="AE3334" s="33"/>
      <c r="AF3334" s="33"/>
      <c r="AG3334" s="33"/>
      <c r="AH3334" s="33"/>
      <c r="AI3334" s="33"/>
      <c r="AJ3334" s="33"/>
      <c r="AK3334" s="33"/>
      <c r="AL3334" s="33"/>
      <c r="AM3334" s="33"/>
      <c r="AN3334" s="33"/>
      <c r="AO3334" s="33"/>
    </row>
    <row r="3335" ht="15.75" customHeight="1">
      <c r="A3335" s="60">
        <v>57362.0</v>
      </c>
      <c r="B3335" s="61">
        <v>2024.0</v>
      </c>
      <c r="C3335" s="36" t="str">
        <f t="shared" si="7"/>
        <v>2701 BAY AREA BLVD,Houston,TX</v>
      </c>
      <c r="D3335" s="51" t="s">
        <v>5172</v>
      </c>
      <c r="E3335" s="23" t="s">
        <v>25</v>
      </c>
      <c r="F3335" s="23" t="s">
        <v>1388</v>
      </c>
      <c r="G3335" s="62" t="str">
        <f t="shared" si="8"/>
        <v>77058</v>
      </c>
      <c r="H3335" s="58" t="s">
        <v>50</v>
      </c>
      <c r="I3335" s="37" t="str">
        <f>VLOOKUP(H3335,'Flow Location'!$A$1:$B$21,2,FALSE)</f>
        <v>Contained On Site, not within 5 ft. of Bayou/Surface Water/Drainage Ditch</v>
      </c>
      <c r="J3335" s="63">
        <v>0.0</v>
      </c>
      <c r="K3335" s="51" t="s">
        <v>190</v>
      </c>
      <c r="L3335" s="37" t="str">
        <f>VLOOKUP(K3335,'Structure type'!$A$1:$B$15,2,FALSE)</f>
        <v>Force Main</v>
      </c>
      <c r="M3335" s="51" t="s">
        <v>81</v>
      </c>
      <c r="N3335" s="23" t="str">
        <f>VLOOKUP(M3335,'Excursion Cause'!$A$1:$B$34,2,FALSE)</f>
        <v>Collection system structural failure</v>
      </c>
      <c r="O3335" s="53">
        <v>45294.0</v>
      </c>
      <c r="P3335" s="54">
        <v>0.7611111111111111</v>
      </c>
      <c r="Q3335" s="55">
        <v>45294.0</v>
      </c>
      <c r="R3335" s="54">
        <v>0.7618055555555555</v>
      </c>
      <c r="S3335" s="52">
        <v>0.0</v>
      </c>
      <c r="T3335" s="51" t="s">
        <v>1391</v>
      </c>
      <c r="U3335" s="56"/>
      <c r="V3335" s="56"/>
      <c r="W3335" s="35">
        <v>29.5771801999999</v>
      </c>
      <c r="X3335" s="35">
        <v>-95.1070077</v>
      </c>
      <c r="AA3335" s="33"/>
      <c r="AB3335" s="33"/>
      <c r="AC3335" s="33"/>
      <c r="AD3335" s="33"/>
      <c r="AE3335" s="33"/>
      <c r="AF3335" s="33"/>
      <c r="AG3335" s="33"/>
      <c r="AH3335" s="33"/>
      <c r="AI3335" s="33"/>
      <c r="AJ3335" s="33"/>
      <c r="AK3335" s="33"/>
      <c r="AL3335" s="33"/>
      <c r="AM3335" s="33"/>
      <c r="AN3335" s="33"/>
      <c r="AO3335" s="33"/>
    </row>
    <row r="3336" ht="15.75" customHeight="1">
      <c r="A3336" s="60">
        <v>57369.0</v>
      </c>
      <c r="B3336" s="61">
        <v>2024.0</v>
      </c>
      <c r="C3336" s="36" t="str">
        <f t="shared" si="7"/>
        <v>791 FAIR ST,Houston,TX</v>
      </c>
      <c r="D3336" s="51" t="s">
        <v>5173</v>
      </c>
      <c r="E3336" s="23" t="s">
        <v>25</v>
      </c>
      <c r="F3336" s="23" t="s">
        <v>1388</v>
      </c>
      <c r="G3336" s="62" t="str">
        <f t="shared" si="8"/>
        <v>77088</v>
      </c>
      <c r="H3336" s="58" t="s">
        <v>1977</v>
      </c>
      <c r="I3336" s="37" t="str">
        <f>VLOOKUP(H3336,'Flow Location'!$A$1:$B$21,2,FALSE)</f>
        <v>Bayou/surface water/drainage ditch</v>
      </c>
      <c r="J3336" s="63">
        <v>0.0</v>
      </c>
      <c r="K3336" s="51" t="s">
        <v>45</v>
      </c>
      <c r="L3336" s="37" t="str">
        <f>VLOOKUP(K3336,'Structure type'!$A$1:$B$15,2,FALSE)</f>
        <v>City Cleanout</v>
      </c>
      <c r="M3336" s="51" t="s">
        <v>30</v>
      </c>
      <c r="N3336" s="23" t="str">
        <f>VLOOKUP(M3336,'Excursion Cause'!$A$1:$B$34,2,FALSE)</f>
        <v>Grease Blockage</v>
      </c>
      <c r="O3336" s="53">
        <v>45295.0</v>
      </c>
      <c r="P3336" s="54">
        <v>0.5180555555555556</v>
      </c>
      <c r="Q3336" s="55">
        <v>45295.0</v>
      </c>
      <c r="R3336" s="54">
        <v>0.51875</v>
      </c>
      <c r="S3336" s="52">
        <v>0.0</v>
      </c>
      <c r="T3336" s="51" t="s">
        <v>3743</v>
      </c>
      <c r="U3336" s="56"/>
      <c r="V3336" s="56"/>
      <c r="W3336" s="35">
        <v>29.8725228</v>
      </c>
      <c r="X3336" s="35">
        <v>-95.4168234</v>
      </c>
      <c r="AA3336" s="33"/>
      <c r="AB3336" s="33"/>
      <c r="AC3336" s="33"/>
      <c r="AD3336" s="33"/>
      <c r="AE3336" s="33"/>
      <c r="AF3336" s="33"/>
      <c r="AG3336" s="33"/>
      <c r="AH3336" s="33"/>
      <c r="AI3336" s="33"/>
      <c r="AJ3336" s="33"/>
      <c r="AK3336" s="33"/>
      <c r="AL3336" s="33"/>
      <c r="AM3336" s="33"/>
      <c r="AN3336" s="33"/>
      <c r="AO3336" s="33"/>
    </row>
    <row r="3337" ht="15.75" customHeight="1">
      <c r="A3337" s="60">
        <v>57374.0</v>
      </c>
      <c r="B3337" s="61">
        <v>2024.0</v>
      </c>
      <c r="C3337" s="36" t="str">
        <f t="shared" si="7"/>
        <v>8136 TIDWELL RD,Houston,TX</v>
      </c>
      <c r="D3337" s="51" t="s">
        <v>5109</v>
      </c>
      <c r="E3337" s="23" t="s">
        <v>25</v>
      </c>
      <c r="F3337" s="23" t="s">
        <v>1388</v>
      </c>
      <c r="G3337" s="62" t="str">
        <f t="shared" si="8"/>
        <v>77028</v>
      </c>
      <c r="H3337" s="58" t="s">
        <v>50</v>
      </c>
      <c r="I3337" s="37" t="str">
        <f>VLOOKUP(H3337,'Flow Location'!$A$1:$B$21,2,FALSE)</f>
        <v>Contained On Site, not within 5 ft. of Bayou/Surface Water/Drainage Ditch</v>
      </c>
      <c r="J3337" s="63">
        <v>0.0</v>
      </c>
      <c r="K3337" s="51" t="s">
        <v>948</v>
      </c>
      <c r="L3337" s="37" t="str">
        <f>VLOOKUP(K3337,'Structure type'!$A$1:$B$15,2,FALSE)</f>
        <v>Private Grease Trap</v>
      </c>
      <c r="M3337" s="51" t="s">
        <v>52</v>
      </c>
      <c r="N3337" s="23" t="str">
        <f>VLOOKUP(M3337,'Excursion Cause'!$A$1:$B$34,2,FALSE)</f>
        <v>Collection system structural blockage</v>
      </c>
      <c r="O3337" s="53">
        <v>45295.0</v>
      </c>
      <c r="P3337" s="54">
        <v>0.5743055555555555</v>
      </c>
      <c r="Q3337" s="55">
        <v>45295.0</v>
      </c>
      <c r="R3337" s="54">
        <v>0.575</v>
      </c>
      <c r="S3337" s="52">
        <v>0.0</v>
      </c>
      <c r="T3337" s="51" t="s">
        <v>118</v>
      </c>
      <c r="U3337" s="56"/>
      <c r="V3337" s="56"/>
      <c r="W3337" s="35">
        <v>29.8494748</v>
      </c>
      <c r="X3337" s="35">
        <v>-95.2764512</v>
      </c>
      <c r="AA3337" s="33"/>
      <c r="AB3337" s="33"/>
      <c r="AC3337" s="33"/>
      <c r="AD3337" s="33"/>
      <c r="AE3337" s="33"/>
      <c r="AF3337" s="33"/>
      <c r="AG3337" s="33"/>
      <c r="AH3337" s="33"/>
      <c r="AI3337" s="33"/>
      <c r="AJ3337" s="33"/>
      <c r="AK3337" s="33"/>
      <c r="AL3337" s="33"/>
      <c r="AM3337" s="33"/>
      <c r="AN3337" s="33"/>
      <c r="AO3337" s="33"/>
    </row>
    <row r="3338" ht="15.75" customHeight="1">
      <c r="A3338" s="60">
        <v>57376.0</v>
      </c>
      <c r="B3338" s="61">
        <v>2024.0</v>
      </c>
      <c r="C3338" s="36" t="str">
        <f t="shared" si="7"/>
        <v>3221 QUITMAN ST,Houston,TX</v>
      </c>
      <c r="D3338" s="51" t="s">
        <v>5174</v>
      </c>
      <c r="E3338" s="23" t="s">
        <v>25</v>
      </c>
      <c r="F3338" s="23" t="s">
        <v>1388</v>
      </c>
      <c r="G3338" s="62" t="str">
        <f t="shared" si="8"/>
        <v>77026</v>
      </c>
      <c r="H3338" s="58" t="s">
        <v>1977</v>
      </c>
      <c r="I3338" s="37" t="str">
        <f>VLOOKUP(H3338,'Flow Location'!$A$1:$B$21,2,FALSE)</f>
        <v>Bayou/surface water/drainage ditch</v>
      </c>
      <c r="J3338" s="63">
        <v>0.0</v>
      </c>
      <c r="K3338" s="51" t="s">
        <v>45</v>
      </c>
      <c r="L3338" s="37" t="str">
        <f>VLOOKUP(K3338,'Structure type'!$A$1:$B$15,2,FALSE)</f>
        <v>City Cleanout</v>
      </c>
      <c r="M3338" s="51" t="s">
        <v>30</v>
      </c>
      <c r="N3338" s="23" t="str">
        <f>VLOOKUP(M3338,'Excursion Cause'!$A$1:$B$34,2,FALSE)</f>
        <v>Grease Blockage</v>
      </c>
      <c r="O3338" s="53">
        <v>45295.0</v>
      </c>
      <c r="P3338" s="54">
        <v>0.61875</v>
      </c>
      <c r="Q3338" s="55">
        <v>45295.0</v>
      </c>
      <c r="R3338" s="54">
        <v>0.6194444444444445</v>
      </c>
      <c r="S3338" s="52">
        <v>0.0</v>
      </c>
      <c r="T3338" s="51" t="s">
        <v>3756</v>
      </c>
      <c r="U3338" s="56"/>
      <c r="V3338" s="56"/>
      <c r="W3338" s="35">
        <v>29.7839623</v>
      </c>
      <c r="X3338" s="35">
        <v>-95.3369876</v>
      </c>
      <c r="AA3338" s="33"/>
      <c r="AB3338" s="33"/>
      <c r="AC3338" s="33"/>
      <c r="AD3338" s="33"/>
      <c r="AE3338" s="33"/>
      <c r="AF3338" s="33"/>
      <c r="AG3338" s="33"/>
      <c r="AH3338" s="33"/>
      <c r="AI3338" s="33"/>
      <c r="AJ3338" s="33"/>
      <c r="AK3338" s="33"/>
      <c r="AL3338" s="33"/>
      <c r="AM3338" s="33"/>
      <c r="AN3338" s="33"/>
      <c r="AO3338" s="33"/>
    </row>
    <row r="3339" ht="15.75" customHeight="1">
      <c r="A3339" s="60">
        <v>57379.0</v>
      </c>
      <c r="B3339" s="61">
        <v>2024.0</v>
      </c>
      <c r="C3339" s="36" t="str">
        <f t="shared" si="7"/>
        <v>9202 SEEKER ST,Houston,TX</v>
      </c>
      <c r="D3339" s="51" t="s">
        <v>5175</v>
      </c>
      <c r="E3339" s="23" t="s">
        <v>25</v>
      </c>
      <c r="F3339" s="23" t="s">
        <v>1388</v>
      </c>
      <c r="G3339" s="62" t="str">
        <f t="shared" si="8"/>
        <v>77028</v>
      </c>
      <c r="H3339" s="58" t="s">
        <v>44</v>
      </c>
      <c r="I3339" s="37" t="str">
        <f>VLOOKUP(H3339,'Flow Location'!$A$1:$B$21,2,FALSE)</f>
        <v>Bayou/surface water/drainage ditch</v>
      </c>
      <c r="J3339" s="63">
        <v>0.0</v>
      </c>
      <c r="K3339" s="51" t="s">
        <v>290</v>
      </c>
      <c r="L3339" s="37" t="str">
        <f>VLOOKUP(K3339,'Structure type'!$A$1:$B$15,2,FALSE)</f>
        <v>Gravity Main</v>
      </c>
      <c r="M3339" s="51" t="s">
        <v>81</v>
      </c>
      <c r="N3339" s="23" t="str">
        <f>VLOOKUP(M3339,'Excursion Cause'!$A$1:$B$34,2,FALSE)</f>
        <v>Collection system structural failure</v>
      </c>
      <c r="O3339" s="53">
        <v>45295.0</v>
      </c>
      <c r="P3339" s="54">
        <v>0.6826388888888889</v>
      </c>
      <c r="Q3339" s="55">
        <v>45295.0</v>
      </c>
      <c r="R3339" s="54">
        <v>0.6833333333333333</v>
      </c>
      <c r="S3339" s="52">
        <v>0.0</v>
      </c>
      <c r="T3339" s="51" t="s">
        <v>292</v>
      </c>
      <c r="U3339" s="56"/>
      <c r="V3339" s="56"/>
      <c r="W3339" s="35">
        <v>29.8459864</v>
      </c>
      <c r="X3339" s="35">
        <v>-95.2724815</v>
      </c>
      <c r="AA3339" s="33"/>
      <c r="AB3339" s="33"/>
      <c r="AC3339" s="33"/>
      <c r="AD3339" s="33"/>
      <c r="AE3339" s="33"/>
      <c r="AF3339" s="33"/>
      <c r="AG3339" s="33"/>
      <c r="AH3339" s="33"/>
      <c r="AI3339" s="33"/>
      <c r="AJ3339" s="33"/>
      <c r="AK3339" s="33"/>
      <c r="AL3339" s="33"/>
      <c r="AM3339" s="33"/>
      <c r="AN3339" s="33"/>
      <c r="AO3339" s="33"/>
    </row>
    <row r="3340" ht="15.75" customHeight="1">
      <c r="A3340" s="60">
        <v>57380.0</v>
      </c>
      <c r="B3340" s="61">
        <v>2024.0</v>
      </c>
      <c r="C3340" s="36" t="str">
        <f t="shared" si="7"/>
        <v>4701 PEASE ST,Houston,TX</v>
      </c>
      <c r="D3340" s="51" t="s">
        <v>738</v>
      </c>
      <c r="E3340" s="23" t="s">
        <v>25</v>
      </c>
      <c r="F3340" s="23" t="s">
        <v>1388</v>
      </c>
      <c r="G3340" s="62" t="str">
        <f t="shared" si="8"/>
        <v>77023</v>
      </c>
      <c r="H3340" s="58" t="s">
        <v>28</v>
      </c>
      <c r="I3340" s="37" t="str">
        <f>VLOOKUP(H3340,'Flow Location'!$A$1:$B$21,2,FALSE)</f>
        <v>Storm Sewer (not contained)</v>
      </c>
      <c r="J3340" s="63">
        <v>6160.0</v>
      </c>
      <c r="K3340" s="51" t="s">
        <v>29</v>
      </c>
      <c r="L3340" s="37" t="str">
        <f>VLOOKUP(K3340,'Structure type'!$A$1:$B$15,2,FALSE)</f>
        <v>Manhole</v>
      </c>
      <c r="M3340" s="51" t="s">
        <v>5176</v>
      </c>
      <c r="N3340" s="23" t="str">
        <f>VLOOKUP(M3340,'Excursion Cause'!$A$1:$B$34,2,FALSE)</f>
        <v>#N/A</v>
      </c>
      <c r="O3340" s="53">
        <v>45296.0</v>
      </c>
      <c r="P3340" s="54">
        <v>0.3458333333333333</v>
      </c>
      <c r="Q3340" s="55">
        <v>45296.0</v>
      </c>
      <c r="R3340" s="54">
        <v>0.55625</v>
      </c>
      <c r="S3340" s="52">
        <v>20.0</v>
      </c>
      <c r="T3340" s="51" t="s">
        <v>3835</v>
      </c>
      <c r="U3340" s="56"/>
      <c r="V3340" s="56"/>
      <c r="W3340" s="35">
        <v>29.7339611</v>
      </c>
      <c r="X3340" s="35">
        <v>-95.3320437</v>
      </c>
      <c r="AA3340" s="33"/>
      <c r="AB3340" s="33"/>
      <c r="AC3340" s="33"/>
      <c r="AD3340" s="33"/>
      <c r="AE3340" s="33"/>
      <c r="AF3340" s="33"/>
      <c r="AG3340" s="33"/>
      <c r="AH3340" s="33"/>
      <c r="AI3340" s="33"/>
      <c r="AJ3340" s="33"/>
      <c r="AK3340" s="33"/>
      <c r="AL3340" s="33"/>
      <c r="AM3340" s="33"/>
      <c r="AN3340" s="33"/>
      <c r="AO3340" s="33"/>
    </row>
    <row r="3341" ht="15.75" customHeight="1">
      <c r="A3341" s="60">
        <v>57381.0</v>
      </c>
      <c r="B3341" s="61">
        <v>2024.0</v>
      </c>
      <c r="C3341" s="36" t="str">
        <f t="shared" si="7"/>
        <v>1006 HACKNEY ST,Houston,TX</v>
      </c>
      <c r="D3341" s="51" t="s">
        <v>792</v>
      </c>
      <c r="E3341" s="23" t="s">
        <v>25</v>
      </c>
      <c r="F3341" s="23" t="s">
        <v>1388</v>
      </c>
      <c r="G3341" s="62" t="str">
        <f t="shared" si="8"/>
        <v>77023</v>
      </c>
      <c r="H3341" s="58" t="s">
        <v>28</v>
      </c>
      <c r="I3341" s="37" t="str">
        <f>VLOOKUP(H3341,'Flow Location'!$A$1:$B$21,2,FALSE)</f>
        <v>Storm Sewer (not contained)</v>
      </c>
      <c r="J3341" s="63">
        <v>4580.0</v>
      </c>
      <c r="K3341" s="51" t="s">
        <v>29</v>
      </c>
      <c r="L3341" s="37" t="str">
        <f>VLOOKUP(K3341,'Structure type'!$A$1:$B$15,2,FALSE)</f>
        <v>Manhole</v>
      </c>
      <c r="M3341" s="51" t="s">
        <v>5176</v>
      </c>
      <c r="N3341" s="23" t="str">
        <f>VLOOKUP(M3341,'Excursion Cause'!$A$1:$B$34,2,FALSE)</f>
        <v>#N/A</v>
      </c>
      <c r="O3341" s="53">
        <v>45296.0</v>
      </c>
      <c r="P3341" s="54">
        <v>0.3597222222222222</v>
      </c>
      <c r="Q3341" s="55">
        <v>45296.0</v>
      </c>
      <c r="R3341" s="54">
        <v>0.5506944444444445</v>
      </c>
      <c r="S3341" s="52">
        <v>17.0</v>
      </c>
      <c r="T3341" s="51" t="s">
        <v>3835</v>
      </c>
      <c r="U3341" s="56"/>
      <c r="V3341" s="56"/>
      <c r="W3341" s="35">
        <v>29.7300828</v>
      </c>
      <c r="X3341" s="35">
        <v>-95.3176786</v>
      </c>
      <c r="AA3341" s="33"/>
      <c r="AB3341" s="33"/>
      <c r="AC3341" s="33"/>
      <c r="AD3341" s="33"/>
      <c r="AE3341" s="33"/>
      <c r="AF3341" s="33"/>
      <c r="AG3341" s="33"/>
      <c r="AH3341" s="33"/>
      <c r="AI3341" s="33"/>
      <c r="AJ3341" s="33"/>
      <c r="AK3341" s="33"/>
      <c r="AL3341" s="33"/>
      <c r="AM3341" s="33"/>
      <c r="AN3341" s="33"/>
      <c r="AO3341" s="33"/>
    </row>
    <row r="3342" ht="15.75" customHeight="1">
      <c r="A3342" s="60">
        <v>57382.0</v>
      </c>
      <c r="B3342" s="61">
        <v>2024.0</v>
      </c>
      <c r="C3342" s="36" t="str">
        <f t="shared" si="7"/>
        <v>6335 BROOKSIDE DR,Houston,TX</v>
      </c>
      <c r="D3342" s="51" t="s">
        <v>793</v>
      </c>
      <c r="E3342" s="23" t="s">
        <v>25</v>
      </c>
      <c r="F3342" s="23" t="s">
        <v>1388</v>
      </c>
      <c r="G3342" s="62" t="str">
        <f t="shared" si="8"/>
        <v>77023</v>
      </c>
      <c r="H3342" s="58" t="s">
        <v>28</v>
      </c>
      <c r="I3342" s="37" t="str">
        <f>VLOOKUP(H3342,'Flow Location'!$A$1:$B$21,2,FALSE)</f>
        <v>Storm Sewer (not contained)</v>
      </c>
      <c r="J3342" s="63">
        <v>4964.0</v>
      </c>
      <c r="K3342" s="51" t="s">
        <v>29</v>
      </c>
      <c r="L3342" s="37" t="str">
        <f>VLOOKUP(K3342,'Structure type'!$A$1:$B$15,2,FALSE)</f>
        <v>Manhole</v>
      </c>
      <c r="M3342" s="51" t="s">
        <v>5176</v>
      </c>
      <c r="N3342" s="23" t="str">
        <f>VLOOKUP(M3342,'Excursion Cause'!$A$1:$B$34,2,FALSE)</f>
        <v>#N/A</v>
      </c>
      <c r="O3342" s="53">
        <v>45296.0</v>
      </c>
      <c r="P3342" s="54">
        <v>0.36527777777777776</v>
      </c>
      <c r="Q3342" s="55">
        <v>45296.0</v>
      </c>
      <c r="R3342" s="54">
        <v>0.55</v>
      </c>
      <c r="S3342" s="52">
        <v>19.0</v>
      </c>
      <c r="T3342" s="51" t="s">
        <v>3961</v>
      </c>
      <c r="U3342" s="56"/>
      <c r="V3342" s="56"/>
      <c r="W3342" s="35">
        <v>29.7297384</v>
      </c>
      <c r="X3342" s="35">
        <v>-95.3154347</v>
      </c>
      <c r="AA3342" s="33"/>
      <c r="AB3342" s="33"/>
      <c r="AC3342" s="33"/>
      <c r="AD3342" s="33"/>
      <c r="AE3342" s="33"/>
      <c r="AF3342" s="33"/>
      <c r="AG3342" s="33"/>
      <c r="AH3342" s="33"/>
      <c r="AI3342" s="33"/>
      <c r="AJ3342" s="33"/>
      <c r="AK3342" s="33"/>
      <c r="AL3342" s="33"/>
      <c r="AM3342" s="33"/>
      <c r="AN3342" s="33"/>
      <c r="AO3342" s="33"/>
    </row>
    <row r="3343" ht="15.75" customHeight="1">
      <c r="A3343" s="60">
        <v>57383.0</v>
      </c>
      <c r="B3343" s="61">
        <v>2024.0</v>
      </c>
      <c r="C3343" s="36" t="str">
        <f t="shared" si="7"/>
        <v>6820 LYONS AVE,Houston,TX</v>
      </c>
      <c r="D3343" s="51" t="s">
        <v>461</v>
      </c>
      <c r="E3343" s="23" t="s">
        <v>25</v>
      </c>
      <c r="F3343" s="23" t="s">
        <v>1388</v>
      </c>
      <c r="G3343" s="62" t="str">
        <f t="shared" si="8"/>
        <v>77020</v>
      </c>
      <c r="H3343" s="58" t="s">
        <v>28</v>
      </c>
      <c r="I3343" s="37" t="str">
        <f>VLOOKUP(H3343,'Flow Location'!$A$1:$B$21,2,FALSE)</f>
        <v>Storm Sewer (not contained)</v>
      </c>
      <c r="J3343" s="63">
        <v>7770.0</v>
      </c>
      <c r="K3343" s="51" t="s">
        <v>29</v>
      </c>
      <c r="L3343" s="37" t="str">
        <f>VLOOKUP(K3343,'Structure type'!$A$1:$B$15,2,FALSE)</f>
        <v>Manhole</v>
      </c>
      <c r="M3343" s="51" t="s">
        <v>5176</v>
      </c>
      <c r="N3343" s="23" t="str">
        <f>VLOOKUP(M3343,'Excursion Cause'!$A$1:$B$34,2,FALSE)</f>
        <v>#N/A</v>
      </c>
      <c r="O3343" s="53">
        <v>45296.0</v>
      </c>
      <c r="P3343" s="54">
        <v>0.37777777777777777</v>
      </c>
      <c r="Q3343" s="55">
        <v>45296.0</v>
      </c>
      <c r="R3343" s="54">
        <v>0.6159722222222223</v>
      </c>
      <c r="S3343" s="52">
        <v>23.0</v>
      </c>
      <c r="T3343" s="51" t="s">
        <v>3835</v>
      </c>
      <c r="U3343" s="56"/>
      <c r="V3343" s="56"/>
      <c r="W3343" s="35">
        <v>29.7763237</v>
      </c>
      <c r="X3343" s="35">
        <v>-95.3015022</v>
      </c>
      <c r="AA3343" s="33"/>
      <c r="AB3343" s="33"/>
      <c r="AC3343" s="33"/>
      <c r="AD3343" s="33"/>
      <c r="AE3343" s="33"/>
      <c r="AF3343" s="33"/>
      <c r="AG3343" s="33"/>
      <c r="AH3343" s="33"/>
      <c r="AI3343" s="33"/>
      <c r="AJ3343" s="33"/>
      <c r="AK3343" s="33"/>
      <c r="AL3343" s="33"/>
      <c r="AM3343" s="33"/>
      <c r="AN3343" s="33"/>
      <c r="AO3343" s="33"/>
    </row>
    <row r="3344" ht="15.75" customHeight="1">
      <c r="A3344" s="60">
        <v>57384.0</v>
      </c>
      <c r="B3344" s="61">
        <v>2024.0</v>
      </c>
      <c r="C3344" s="36" t="str">
        <f t="shared" si="7"/>
        <v>8265 KIRBY DR,Houston,TX</v>
      </c>
      <c r="D3344" s="51" t="s">
        <v>5177</v>
      </c>
      <c r="E3344" s="23" t="s">
        <v>25</v>
      </c>
      <c r="F3344" s="23" t="s">
        <v>1388</v>
      </c>
      <c r="G3344" s="62" t="str">
        <f t="shared" si="8"/>
        <v>77054</v>
      </c>
      <c r="H3344" s="58" t="s">
        <v>50</v>
      </c>
      <c r="I3344" s="37" t="str">
        <f>VLOOKUP(H3344,'Flow Location'!$A$1:$B$21,2,FALSE)</f>
        <v>Contained On Site, not within 5 ft. of Bayou/Surface Water/Drainage Ditch</v>
      </c>
      <c r="J3344" s="63">
        <v>0.0</v>
      </c>
      <c r="K3344" s="51" t="s">
        <v>29</v>
      </c>
      <c r="L3344" s="37" t="str">
        <f>VLOOKUP(K3344,'Structure type'!$A$1:$B$15,2,FALSE)</f>
        <v>Manhole</v>
      </c>
      <c r="M3344" s="51" t="s">
        <v>96</v>
      </c>
      <c r="N3344" s="23" t="str">
        <f>VLOOKUP(M3344,'Excursion Cause'!$A$1:$B$34,2,FALSE)</f>
        <v>Collection system temporary blockage</v>
      </c>
      <c r="O3344" s="53">
        <v>45296.0</v>
      </c>
      <c r="P3344" s="54">
        <v>0.3819444444444444</v>
      </c>
      <c r="Q3344" s="55">
        <v>45296.0</v>
      </c>
      <c r="R3344" s="54">
        <v>0.38263888888888886</v>
      </c>
      <c r="S3344" s="52">
        <v>0.0</v>
      </c>
      <c r="T3344" s="51" t="s">
        <v>118</v>
      </c>
      <c r="U3344" s="56"/>
      <c r="V3344" s="56"/>
      <c r="W3344" s="35">
        <v>29.688619</v>
      </c>
      <c r="X3344" s="35">
        <v>-95.412076</v>
      </c>
      <c r="AA3344" s="33"/>
      <c r="AB3344" s="33"/>
      <c r="AC3344" s="33"/>
      <c r="AD3344" s="33"/>
      <c r="AE3344" s="33"/>
      <c r="AF3344" s="33"/>
      <c r="AG3344" s="33"/>
      <c r="AH3344" s="33"/>
      <c r="AI3344" s="33"/>
      <c r="AJ3344" s="33"/>
      <c r="AK3344" s="33"/>
      <c r="AL3344" s="33"/>
      <c r="AM3344" s="33"/>
      <c r="AN3344" s="33"/>
      <c r="AO3344" s="33"/>
    </row>
    <row r="3345" ht="15.75" customHeight="1">
      <c r="A3345" s="60">
        <v>57387.0</v>
      </c>
      <c r="B3345" s="61">
        <v>2024.0</v>
      </c>
      <c r="C3345" s="36" t="str">
        <f t="shared" si="7"/>
        <v>1301 WAYSIDE DR,Houston,TX</v>
      </c>
      <c r="D3345" s="51" t="s">
        <v>459</v>
      </c>
      <c r="E3345" s="23" t="s">
        <v>25</v>
      </c>
      <c r="F3345" s="23" t="s">
        <v>1388</v>
      </c>
      <c r="G3345" s="62" t="str">
        <f t="shared" si="8"/>
        <v>77011</v>
      </c>
      <c r="H3345" s="58" t="s">
        <v>28</v>
      </c>
      <c r="I3345" s="37" t="str">
        <f>VLOOKUP(H3345,'Flow Location'!$A$1:$B$21,2,FALSE)</f>
        <v>Storm Sewer (not contained)</v>
      </c>
      <c r="J3345" s="63">
        <v>3990.0</v>
      </c>
      <c r="K3345" s="51" t="s">
        <v>29</v>
      </c>
      <c r="L3345" s="37" t="str">
        <f>VLOOKUP(K3345,'Structure type'!$A$1:$B$15,2,FALSE)</f>
        <v>Manhole</v>
      </c>
      <c r="M3345" s="51" t="s">
        <v>5176</v>
      </c>
      <c r="N3345" s="23" t="str">
        <f>VLOOKUP(M3345,'Excursion Cause'!$A$1:$B$34,2,FALSE)</f>
        <v>#N/A</v>
      </c>
      <c r="O3345" s="53">
        <v>45296.0</v>
      </c>
      <c r="P3345" s="54">
        <v>0.44722222222222224</v>
      </c>
      <c r="Q3345" s="55">
        <v>45296.0</v>
      </c>
      <c r="R3345" s="54">
        <v>0.5395833333333333</v>
      </c>
      <c r="S3345" s="52">
        <v>30.0</v>
      </c>
      <c r="T3345" s="51" t="s">
        <v>3835</v>
      </c>
      <c r="U3345" s="56"/>
      <c r="V3345" s="56"/>
      <c r="W3345" s="35">
        <v>29.773051</v>
      </c>
      <c r="X3345" s="35">
        <v>-95.291747</v>
      </c>
      <c r="AA3345" s="33"/>
      <c r="AB3345" s="33"/>
      <c r="AC3345" s="33"/>
      <c r="AD3345" s="33"/>
      <c r="AE3345" s="33"/>
      <c r="AF3345" s="33"/>
      <c r="AG3345" s="33"/>
      <c r="AH3345" s="33"/>
      <c r="AI3345" s="33"/>
      <c r="AJ3345" s="33"/>
      <c r="AK3345" s="33"/>
      <c r="AL3345" s="33"/>
      <c r="AM3345" s="33"/>
      <c r="AN3345" s="33"/>
      <c r="AO3345" s="33"/>
    </row>
    <row r="3346" ht="15.75" customHeight="1">
      <c r="A3346" s="60">
        <v>57390.0</v>
      </c>
      <c r="B3346" s="61">
        <v>2024.0</v>
      </c>
      <c r="C3346" s="36" t="str">
        <f t="shared" si="7"/>
        <v>11503 SAGEDOWNE LN,Houston,TX</v>
      </c>
      <c r="D3346" s="51" t="s">
        <v>5178</v>
      </c>
      <c r="E3346" s="23" t="s">
        <v>25</v>
      </c>
      <c r="F3346" s="23" t="s">
        <v>1388</v>
      </c>
      <c r="G3346" s="62" t="str">
        <f t="shared" si="8"/>
        <v>77089</v>
      </c>
      <c r="H3346" s="58" t="s">
        <v>28</v>
      </c>
      <c r="I3346" s="37" t="str">
        <f>VLOOKUP(H3346,'Flow Location'!$A$1:$B$21,2,FALSE)</f>
        <v>Storm Sewer (not contained)</v>
      </c>
      <c r="J3346" s="63">
        <v>1200.0</v>
      </c>
      <c r="K3346" s="51" t="s">
        <v>29</v>
      </c>
      <c r="L3346" s="37" t="str">
        <f>VLOOKUP(K3346,'Structure type'!$A$1:$B$15,2,FALSE)</f>
        <v>Manhole</v>
      </c>
      <c r="M3346" s="51" t="s">
        <v>5176</v>
      </c>
      <c r="N3346" s="23" t="str">
        <f>VLOOKUP(M3346,'Excursion Cause'!$A$1:$B$34,2,FALSE)</f>
        <v>#N/A</v>
      </c>
      <c r="O3346" s="53">
        <v>45296.0</v>
      </c>
      <c r="P3346" s="54">
        <v>0.38680555555555557</v>
      </c>
      <c r="Q3346" s="55">
        <v>45296.0</v>
      </c>
      <c r="R3346" s="54">
        <v>0.4701388888888889</v>
      </c>
      <c r="S3346" s="52">
        <v>10.0</v>
      </c>
      <c r="T3346" s="51" t="s">
        <v>118</v>
      </c>
      <c r="U3346" s="56"/>
      <c r="V3346" s="56"/>
      <c r="W3346" s="35">
        <v>29.5974771</v>
      </c>
      <c r="X3346" s="35">
        <v>-95.2124159999999</v>
      </c>
      <c r="AA3346" s="33"/>
      <c r="AB3346" s="33"/>
      <c r="AC3346" s="33"/>
      <c r="AD3346" s="33"/>
      <c r="AE3346" s="33"/>
      <c r="AF3346" s="33"/>
      <c r="AG3346" s="33"/>
      <c r="AH3346" s="33"/>
      <c r="AI3346" s="33"/>
      <c r="AJ3346" s="33"/>
      <c r="AK3346" s="33"/>
      <c r="AL3346" s="33"/>
      <c r="AM3346" s="33"/>
      <c r="AN3346" s="33"/>
      <c r="AO3346" s="33"/>
    </row>
    <row r="3347" ht="15.75" customHeight="1">
      <c r="A3347" s="60">
        <v>57392.0</v>
      </c>
      <c r="B3347" s="61">
        <v>2024.0</v>
      </c>
      <c r="C3347" s="36" t="str">
        <f t="shared" si="7"/>
        <v>8201 RICHMOND AVE,Houston,TX</v>
      </c>
      <c r="D3347" s="51" t="s">
        <v>880</v>
      </c>
      <c r="E3347" s="23" t="s">
        <v>25</v>
      </c>
      <c r="F3347" s="23" t="s">
        <v>1388</v>
      </c>
      <c r="G3347" s="62" t="str">
        <f t="shared" si="8"/>
        <v>77063</v>
      </c>
      <c r="H3347" s="58" t="s">
        <v>28</v>
      </c>
      <c r="I3347" s="37" t="str">
        <f>VLOOKUP(H3347,'Flow Location'!$A$1:$B$21,2,FALSE)</f>
        <v>Storm Sewer (not contained)</v>
      </c>
      <c r="J3347" s="63">
        <v>3615.0</v>
      </c>
      <c r="K3347" s="51" t="s">
        <v>45</v>
      </c>
      <c r="L3347" s="37" t="str">
        <f>VLOOKUP(K3347,'Structure type'!$A$1:$B$15,2,FALSE)</f>
        <v>City Cleanout</v>
      </c>
      <c r="M3347" s="51" t="s">
        <v>30</v>
      </c>
      <c r="N3347" s="23" t="str">
        <f>VLOOKUP(M3347,'Excursion Cause'!$A$1:$B$34,2,FALSE)</f>
        <v>Grease Blockage</v>
      </c>
      <c r="O3347" s="53">
        <v>45296.0</v>
      </c>
      <c r="P3347" s="54">
        <v>0.5729166666666666</v>
      </c>
      <c r="Q3347" s="55">
        <v>45297.0</v>
      </c>
      <c r="R3347" s="54">
        <v>0.4097222222222222</v>
      </c>
      <c r="S3347" s="52">
        <v>3.0</v>
      </c>
      <c r="T3347" s="51" t="s">
        <v>1436</v>
      </c>
      <c r="U3347" s="56"/>
      <c r="V3347" s="56"/>
      <c r="W3347" s="35">
        <v>29.7282739</v>
      </c>
      <c r="X3347" s="35">
        <v>-95.5128105</v>
      </c>
      <c r="AA3347" s="33"/>
      <c r="AB3347" s="33"/>
      <c r="AC3347" s="33"/>
      <c r="AD3347" s="33"/>
      <c r="AE3347" s="33"/>
      <c r="AF3347" s="33"/>
      <c r="AG3347" s="33"/>
      <c r="AH3347" s="33"/>
      <c r="AI3347" s="33"/>
      <c r="AJ3347" s="33"/>
      <c r="AK3347" s="33"/>
      <c r="AL3347" s="33"/>
      <c r="AM3347" s="33"/>
      <c r="AN3347" s="33"/>
      <c r="AO3347" s="33"/>
    </row>
    <row r="3348" ht="15.75" customHeight="1">
      <c r="A3348" s="60">
        <v>57396.0</v>
      </c>
      <c r="B3348" s="61">
        <v>2024.0</v>
      </c>
      <c r="C3348" s="36" t="str">
        <f t="shared" si="7"/>
        <v>6747 LAWNDALE ST,Houston,TX</v>
      </c>
      <c r="D3348" s="51" t="s">
        <v>3688</v>
      </c>
      <c r="E3348" s="23" t="s">
        <v>25</v>
      </c>
      <c r="F3348" s="23" t="s">
        <v>1388</v>
      </c>
      <c r="G3348" s="62" t="str">
        <f t="shared" si="8"/>
        <v>77011</v>
      </c>
      <c r="H3348" s="58" t="s">
        <v>44</v>
      </c>
      <c r="I3348" s="37" t="str">
        <f>VLOOKUP(H3348,'Flow Location'!$A$1:$B$21,2,FALSE)</f>
        <v>Bayou/surface water/drainage ditch</v>
      </c>
      <c r="J3348" s="63">
        <v>0.0</v>
      </c>
      <c r="K3348" s="51" t="s">
        <v>29</v>
      </c>
      <c r="L3348" s="37" t="str">
        <f>VLOOKUP(K3348,'Structure type'!$A$1:$B$15,2,FALSE)</f>
        <v>Manhole</v>
      </c>
      <c r="M3348" s="51" t="s">
        <v>5176</v>
      </c>
      <c r="N3348" s="23" t="str">
        <f>VLOOKUP(M3348,'Excursion Cause'!$A$1:$B$34,2,FALSE)</f>
        <v>#N/A</v>
      </c>
      <c r="O3348" s="53">
        <v>45296.0</v>
      </c>
      <c r="P3348" s="54">
        <v>0.6631944444444444</v>
      </c>
      <c r="Q3348" s="55">
        <v>45296.0</v>
      </c>
      <c r="R3348" s="54">
        <v>0.6638888888888889</v>
      </c>
      <c r="S3348" s="52">
        <v>0.0</v>
      </c>
      <c r="T3348" s="51" t="s">
        <v>118</v>
      </c>
      <c r="U3348" s="56"/>
      <c r="V3348" s="56"/>
      <c r="W3348" s="35">
        <v>29.7230744</v>
      </c>
      <c r="X3348" s="35">
        <v>-95.3060569</v>
      </c>
      <c r="AA3348" s="33"/>
      <c r="AB3348" s="33"/>
      <c r="AC3348" s="33"/>
      <c r="AD3348" s="33"/>
      <c r="AE3348" s="33"/>
      <c r="AF3348" s="33"/>
      <c r="AG3348" s="33"/>
      <c r="AH3348" s="33"/>
      <c r="AI3348" s="33"/>
      <c r="AJ3348" s="33"/>
      <c r="AK3348" s="33"/>
      <c r="AL3348" s="33"/>
      <c r="AM3348" s="33"/>
      <c r="AN3348" s="33"/>
      <c r="AO3348" s="33"/>
    </row>
    <row r="3349" ht="15.75" customHeight="1">
      <c r="A3349" s="60">
        <v>57397.0</v>
      </c>
      <c r="B3349" s="61">
        <v>2024.0</v>
      </c>
      <c r="C3349" s="36" t="str">
        <f t="shared" si="7"/>
        <v>418 ARMSTRONG ST,Houston,TX</v>
      </c>
      <c r="D3349" s="51" t="s">
        <v>5179</v>
      </c>
      <c r="E3349" s="23" t="s">
        <v>25</v>
      </c>
      <c r="F3349" s="23" t="s">
        <v>1388</v>
      </c>
      <c r="G3349" s="62" t="str">
        <f t="shared" si="8"/>
        <v>77029</v>
      </c>
      <c r="H3349" s="58" t="s">
        <v>1977</v>
      </c>
      <c r="I3349" s="37" t="str">
        <f>VLOOKUP(H3349,'Flow Location'!$A$1:$B$21,2,FALSE)</f>
        <v>Bayou/surface water/drainage ditch</v>
      </c>
      <c r="J3349" s="63">
        <v>0.0</v>
      </c>
      <c r="K3349" s="51" t="s">
        <v>45</v>
      </c>
      <c r="L3349" s="37" t="str">
        <f>VLOOKUP(K3349,'Structure type'!$A$1:$B$15,2,FALSE)</f>
        <v>City Cleanout</v>
      </c>
      <c r="M3349" s="51" t="s">
        <v>56</v>
      </c>
      <c r="N3349" s="23" t="str">
        <f>VLOOKUP(M3349,'Excursion Cause'!$A$1:$B$34,2,FALSE)</f>
        <v>Rags/Wipes</v>
      </c>
      <c r="O3349" s="53">
        <v>45297.0</v>
      </c>
      <c r="P3349" s="54">
        <v>0.3645833333333333</v>
      </c>
      <c r="Q3349" s="55">
        <v>45297.0</v>
      </c>
      <c r="R3349" s="54">
        <v>0.36527777777777776</v>
      </c>
      <c r="S3349" s="52">
        <v>0.0</v>
      </c>
      <c r="T3349" s="51" t="s">
        <v>1436</v>
      </c>
      <c r="U3349" s="56"/>
      <c r="V3349" s="56"/>
      <c r="W3349" s="35">
        <v>29.7366635</v>
      </c>
      <c r="X3349" s="35">
        <v>-95.2541409</v>
      </c>
      <c r="AA3349" s="33"/>
      <c r="AB3349" s="33"/>
      <c r="AC3349" s="33"/>
      <c r="AD3349" s="33"/>
      <c r="AE3349" s="33"/>
      <c r="AF3349" s="33"/>
      <c r="AG3349" s="33"/>
      <c r="AH3349" s="33"/>
      <c r="AI3349" s="33"/>
      <c r="AJ3349" s="33"/>
      <c r="AK3349" s="33"/>
      <c r="AL3349" s="33"/>
      <c r="AM3349" s="33"/>
      <c r="AN3349" s="33"/>
      <c r="AO3349" s="33"/>
    </row>
    <row r="3350" ht="15.75" customHeight="1">
      <c r="A3350" s="60">
        <v>57398.0</v>
      </c>
      <c r="B3350" s="61">
        <v>2024.0</v>
      </c>
      <c r="C3350" s="36" t="str">
        <f t="shared" si="7"/>
        <v>4102 LEMAC DR,Houston,TX</v>
      </c>
      <c r="D3350" s="51" t="s">
        <v>2538</v>
      </c>
      <c r="E3350" s="23" t="s">
        <v>25</v>
      </c>
      <c r="F3350" s="23" t="s">
        <v>1388</v>
      </c>
      <c r="G3350" s="62" t="str">
        <f t="shared" si="8"/>
        <v>77025</v>
      </c>
      <c r="H3350" s="58" t="s">
        <v>50</v>
      </c>
      <c r="I3350" s="37" t="str">
        <f>VLOOKUP(H3350,'Flow Location'!$A$1:$B$21,2,FALSE)</f>
        <v>Contained On Site, not within 5 ft. of Bayou/Surface Water/Drainage Ditch</v>
      </c>
      <c r="J3350" s="63">
        <v>0.0</v>
      </c>
      <c r="K3350" s="51" t="s">
        <v>45</v>
      </c>
      <c r="L3350" s="37" t="str">
        <f>VLOOKUP(K3350,'Structure type'!$A$1:$B$15,2,FALSE)</f>
        <v>City Cleanout</v>
      </c>
      <c r="M3350" s="51" t="s">
        <v>56</v>
      </c>
      <c r="N3350" s="23" t="str">
        <f>VLOOKUP(M3350,'Excursion Cause'!$A$1:$B$34,2,FALSE)</f>
        <v>Rags/Wipes</v>
      </c>
      <c r="O3350" s="53">
        <v>45297.0</v>
      </c>
      <c r="P3350" s="54">
        <v>0.3625</v>
      </c>
      <c r="Q3350" s="55">
        <v>45297.0</v>
      </c>
      <c r="R3350" s="54">
        <v>0.36319444444444443</v>
      </c>
      <c r="S3350" s="52">
        <v>0.0</v>
      </c>
      <c r="T3350" s="51" t="s">
        <v>1436</v>
      </c>
      <c r="U3350" s="56"/>
      <c r="V3350" s="56"/>
      <c r="W3350" s="35">
        <v>29.6787418</v>
      </c>
      <c r="X3350" s="35">
        <v>-95.4430776999999</v>
      </c>
      <c r="AA3350" s="33"/>
      <c r="AB3350" s="33"/>
      <c r="AC3350" s="33"/>
      <c r="AD3350" s="33"/>
      <c r="AE3350" s="33"/>
      <c r="AF3350" s="33"/>
      <c r="AG3350" s="33"/>
      <c r="AH3350" s="33"/>
      <c r="AI3350" s="33"/>
      <c r="AJ3350" s="33"/>
      <c r="AK3350" s="33"/>
      <c r="AL3350" s="33"/>
      <c r="AM3350" s="33"/>
      <c r="AN3350" s="33"/>
      <c r="AO3350" s="33"/>
    </row>
    <row r="3351" ht="15.75" customHeight="1">
      <c r="A3351" s="60">
        <v>57399.0</v>
      </c>
      <c r="B3351" s="61">
        <v>2024.0</v>
      </c>
      <c r="C3351" s="36" t="str">
        <f t="shared" si="7"/>
        <v>12686 COULSON ST,Houston,TX</v>
      </c>
      <c r="D3351" s="51" t="s">
        <v>1319</v>
      </c>
      <c r="E3351" s="23" t="s">
        <v>25</v>
      </c>
      <c r="F3351" s="23" t="s">
        <v>1388</v>
      </c>
      <c r="G3351" s="62" t="str">
        <f t="shared" si="8"/>
        <v>77015</v>
      </c>
      <c r="H3351" s="58" t="s">
        <v>28</v>
      </c>
      <c r="I3351" s="37" t="str">
        <f>VLOOKUP(H3351,'Flow Location'!$A$1:$B$21,2,FALSE)</f>
        <v>Storm Sewer (not contained)</v>
      </c>
      <c r="J3351" s="63">
        <v>0.0</v>
      </c>
      <c r="K3351" s="51" t="s">
        <v>45</v>
      </c>
      <c r="L3351" s="37" t="str">
        <f>VLOOKUP(K3351,'Structure type'!$A$1:$B$15,2,FALSE)</f>
        <v>City Cleanout</v>
      </c>
      <c r="M3351" s="51" t="s">
        <v>56</v>
      </c>
      <c r="N3351" s="23" t="str">
        <f>VLOOKUP(M3351,'Excursion Cause'!$A$1:$B$34,2,FALSE)</f>
        <v>Rags/Wipes</v>
      </c>
      <c r="O3351" s="53">
        <v>45297.0</v>
      </c>
      <c r="P3351" s="54">
        <v>0.39791666666666664</v>
      </c>
      <c r="Q3351" s="55">
        <v>45297.0</v>
      </c>
      <c r="R3351" s="54">
        <v>0.39861111111111114</v>
      </c>
      <c r="S3351" s="52">
        <v>0.0</v>
      </c>
      <c r="T3351" s="51" t="s">
        <v>1436</v>
      </c>
      <c r="U3351" s="56"/>
      <c r="V3351" s="56"/>
      <c r="W3351" s="35">
        <v>29.7624648</v>
      </c>
      <c r="X3351" s="35">
        <v>-95.2088476999999</v>
      </c>
      <c r="AA3351" s="33"/>
      <c r="AB3351" s="33"/>
      <c r="AC3351" s="33"/>
      <c r="AD3351" s="33"/>
      <c r="AE3351" s="33"/>
      <c r="AF3351" s="33"/>
      <c r="AG3351" s="33"/>
      <c r="AH3351" s="33"/>
      <c r="AI3351" s="33"/>
      <c r="AJ3351" s="33"/>
      <c r="AK3351" s="33"/>
      <c r="AL3351" s="33"/>
      <c r="AM3351" s="33"/>
      <c r="AN3351" s="33"/>
      <c r="AO3351" s="33"/>
    </row>
    <row r="3352" ht="15.75" customHeight="1">
      <c r="A3352" s="60">
        <v>57400.0</v>
      </c>
      <c r="B3352" s="61">
        <v>2024.0</v>
      </c>
      <c r="C3352" s="36" t="str">
        <f t="shared" si="7"/>
        <v>2019 WALKER ST,Houston,TX</v>
      </c>
      <c r="D3352" s="51" t="s">
        <v>1312</v>
      </c>
      <c r="E3352" s="23" t="s">
        <v>25</v>
      </c>
      <c r="F3352" s="23" t="s">
        <v>1388</v>
      </c>
      <c r="G3352" s="62" t="str">
        <f t="shared" si="8"/>
        <v>77003</v>
      </c>
      <c r="H3352" s="58" t="s">
        <v>50</v>
      </c>
      <c r="I3352" s="37" t="str">
        <f>VLOOKUP(H3352,'Flow Location'!$A$1:$B$21,2,FALSE)</f>
        <v>Contained On Site, not within 5 ft. of Bayou/Surface Water/Drainage Ditch</v>
      </c>
      <c r="J3352" s="63">
        <v>0.0</v>
      </c>
      <c r="K3352" s="51" t="s">
        <v>45</v>
      </c>
      <c r="L3352" s="37" t="str">
        <f>VLOOKUP(K3352,'Structure type'!$A$1:$B$15,2,FALSE)</f>
        <v>City Cleanout</v>
      </c>
      <c r="M3352" s="51" t="s">
        <v>56</v>
      </c>
      <c r="N3352" s="23" t="str">
        <f>VLOOKUP(M3352,'Excursion Cause'!$A$1:$B$34,2,FALSE)</f>
        <v>Rags/Wipes</v>
      </c>
      <c r="O3352" s="53">
        <v>45297.0</v>
      </c>
      <c r="P3352" s="54">
        <v>0.3958333333333333</v>
      </c>
      <c r="Q3352" s="55">
        <v>45297.0</v>
      </c>
      <c r="R3352" s="54">
        <v>0.39652777777777776</v>
      </c>
      <c r="S3352" s="52">
        <v>0.0</v>
      </c>
      <c r="T3352" s="51" t="s">
        <v>3743</v>
      </c>
      <c r="U3352" s="56"/>
      <c r="V3352" s="56"/>
      <c r="W3352" s="35">
        <v>29.7523196999999</v>
      </c>
      <c r="X3352" s="35">
        <v>-95.3548916</v>
      </c>
      <c r="AA3352" s="33"/>
      <c r="AB3352" s="33"/>
      <c r="AC3352" s="33"/>
      <c r="AD3352" s="33"/>
      <c r="AE3352" s="33"/>
      <c r="AF3352" s="33"/>
      <c r="AG3352" s="33"/>
      <c r="AH3352" s="33"/>
      <c r="AI3352" s="33"/>
      <c r="AJ3352" s="33"/>
      <c r="AK3352" s="33"/>
      <c r="AL3352" s="33"/>
      <c r="AM3352" s="33"/>
      <c r="AN3352" s="33"/>
      <c r="AO3352" s="33"/>
    </row>
    <row r="3353" ht="15.75" customHeight="1">
      <c r="A3353" s="60">
        <v>57405.0</v>
      </c>
      <c r="B3353" s="61">
        <v>2024.0</v>
      </c>
      <c r="C3353" s="36" t="str">
        <f t="shared" si="7"/>
        <v>6011 IRISH HILL DR,Houston,TX</v>
      </c>
      <c r="D3353" s="51" t="s">
        <v>5180</v>
      </c>
      <c r="E3353" s="23" t="s">
        <v>25</v>
      </c>
      <c r="F3353" s="23" t="s">
        <v>1388</v>
      </c>
      <c r="G3353" s="62" t="str">
        <f t="shared" si="8"/>
        <v>77053</v>
      </c>
      <c r="H3353" s="58" t="s">
        <v>50</v>
      </c>
      <c r="I3353" s="37" t="str">
        <f>VLOOKUP(H3353,'Flow Location'!$A$1:$B$21,2,FALSE)</f>
        <v>Contained On Site, not within 5 ft. of Bayou/Surface Water/Drainage Ditch</v>
      </c>
      <c r="J3353" s="63">
        <v>222.0</v>
      </c>
      <c r="K3353" s="51" t="s">
        <v>29</v>
      </c>
      <c r="L3353" s="37" t="str">
        <f>VLOOKUP(K3353,'Structure type'!$A$1:$B$15,2,FALSE)</f>
        <v>Manhole</v>
      </c>
      <c r="M3353" s="51" t="s">
        <v>30</v>
      </c>
      <c r="N3353" s="23" t="str">
        <f>VLOOKUP(M3353,'Excursion Cause'!$A$1:$B$34,2,FALSE)</f>
        <v>Grease Blockage</v>
      </c>
      <c r="O3353" s="53">
        <v>45297.0</v>
      </c>
      <c r="P3353" s="54">
        <v>0.5444444444444444</v>
      </c>
      <c r="Q3353" s="55">
        <v>45297.0</v>
      </c>
      <c r="R3353" s="54">
        <v>0.6215277777777778</v>
      </c>
      <c r="S3353" s="52">
        <v>2.0</v>
      </c>
      <c r="T3353" s="51" t="s">
        <v>3749</v>
      </c>
      <c r="U3353" s="56"/>
      <c r="V3353" s="56"/>
      <c r="W3353" s="35">
        <v>29.5989867</v>
      </c>
      <c r="X3353" s="35">
        <v>-95.4748137999999</v>
      </c>
      <c r="AA3353" s="33"/>
      <c r="AB3353" s="33"/>
      <c r="AC3353" s="33"/>
      <c r="AD3353" s="33"/>
      <c r="AE3353" s="33"/>
      <c r="AF3353" s="33"/>
      <c r="AG3353" s="33"/>
      <c r="AH3353" s="33"/>
      <c r="AI3353" s="33"/>
      <c r="AJ3353" s="33"/>
      <c r="AK3353" s="33"/>
      <c r="AL3353" s="33"/>
      <c r="AM3353" s="33"/>
      <c r="AN3353" s="33"/>
      <c r="AO3353" s="33"/>
    </row>
    <row r="3354" ht="15.75" customHeight="1">
      <c r="A3354" s="60">
        <v>57406.0</v>
      </c>
      <c r="B3354" s="61">
        <v>2024.0</v>
      </c>
      <c r="C3354" s="36" t="str">
        <f t="shared" si="7"/>
        <v>9870 GAYLORD DR,Houston,TX</v>
      </c>
      <c r="D3354" s="51" t="s">
        <v>5181</v>
      </c>
      <c r="E3354" s="23" t="s">
        <v>25</v>
      </c>
      <c r="F3354" s="23" t="s">
        <v>1388</v>
      </c>
      <c r="G3354" s="62" t="str">
        <f t="shared" si="8"/>
        <v>77024</v>
      </c>
      <c r="H3354" s="58" t="s">
        <v>28</v>
      </c>
      <c r="I3354" s="37" t="str">
        <f>VLOOKUP(H3354,'Flow Location'!$A$1:$B$21,2,FALSE)</f>
        <v>Storm Sewer (not contained)</v>
      </c>
      <c r="J3354" s="63">
        <v>234.0</v>
      </c>
      <c r="K3354" s="51" t="s">
        <v>29</v>
      </c>
      <c r="L3354" s="37" t="str">
        <f>VLOOKUP(K3354,'Structure type'!$A$1:$B$15,2,FALSE)</f>
        <v>Manhole</v>
      </c>
      <c r="M3354" s="51" t="s">
        <v>30</v>
      </c>
      <c r="N3354" s="23" t="str">
        <f>VLOOKUP(M3354,'Excursion Cause'!$A$1:$B$34,2,FALSE)</f>
        <v>Grease Blockage</v>
      </c>
      <c r="O3354" s="53">
        <v>45297.0</v>
      </c>
      <c r="P3354" s="54">
        <v>0.54375</v>
      </c>
      <c r="Q3354" s="55">
        <v>45297.0</v>
      </c>
      <c r="R3354" s="54">
        <v>0.625</v>
      </c>
      <c r="S3354" s="52">
        <v>2.0</v>
      </c>
      <c r="T3354" s="51" t="s">
        <v>1462</v>
      </c>
      <c r="U3354" s="56"/>
      <c r="V3354" s="56"/>
      <c r="W3354" s="35">
        <v>29.7815595</v>
      </c>
      <c r="X3354" s="35">
        <v>-95.5347323</v>
      </c>
      <c r="AA3354" s="33"/>
      <c r="AB3354" s="33"/>
      <c r="AC3354" s="33"/>
      <c r="AD3354" s="33"/>
      <c r="AE3354" s="33"/>
      <c r="AF3354" s="33"/>
      <c r="AG3354" s="33"/>
      <c r="AH3354" s="33"/>
      <c r="AI3354" s="33"/>
      <c r="AJ3354" s="33"/>
      <c r="AK3354" s="33"/>
      <c r="AL3354" s="33"/>
      <c r="AM3354" s="33"/>
      <c r="AN3354" s="33"/>
      <c r="AO3354" s="33"/>
    </row>
    <row r="3355" ht="15.75" customHeight="1">
      <c r="A3355" s="60">
        <v>57407.0</v>
      </c>
      <c r="B3355" s="61">
        <v>2024.0</v>
      </c>
      <c r="C3355" s="36" t="str">
        <f t="shared" si="7"/>
        <v>3802 TUAM ST,Houston,TX</v>
      </c>
      <c r="D3355" s="51" t="s">
        <v>5182</v>
      </c>
      <c r="E3355" s="23" t="s">
        <v>25</v>
      </c>
      <c r="F3355" s="23" t="s">
        <v>1388</v>
      </c>
      <c r="G3355" s="62" t="str">
        <f t="shared" si="8"/>
        <v>77004</v>
      </c>
      <c r="H3355" s="58" t="s">
        <v>28</v>
      </c>
      <c r="I3355" s="37" t="str">
        <f>VLOOKUP(H3355,'Flow Location'!$A$1:$B$21,2,FALSE)</f>
        <v>Storm Sewer (not contained)</v>
      </c>
      <c r="J3355" s="63">
        <v>2338.0</v>
      </c>
      <c r="K3355" s="51" t="s">
        <v>45</v>
      </c>
      <c r="L3355" s="37" t="str">
        <f>VLOOKUP(K3355,'Structure type'!$A$1:$B$15,2,FALSE)</f>
        <v>City Cleanout</v>
      </c>
      <c r="M3355" s="51" t="s">
        <v>30</v>
      </c>
      <c r="N3355" s="23" t="str">
        <f>VLOOKUP(M3355,'Excursion Cause'!$A$1:$B$34,2,FALSE)</f>
        <v>Grease Blockage</v>
      </c>
      <c r="O3355" s="53">
        <v>45297.0</v>
      </c>
      <c r="P3355" s="54">
        <v>0.6340277777777777</v>
      </c>
      <c r="Q3355" s="55">
        <v>45298.0</v>
      </c>
      <c r="R3355" s="54">
        <v>0.44583333333333336</v>
      </c>
      <c r="S3355" s="52">
        <v>2.0</v>
      </c>
      <c r="T3355" s="51" t="s">
        <v>1436</v>
      </c>
      <c r="U3355" s="56"/>
      <c r="V3355" s="56"/>
      <c r="W3355" s="35">
        <v>29.7295266</v>
      </c>
      <c r="X3355" s="35">
        <v>-95.3461105</v>
      </c>
      <c r="AA3355" s="33"/>
      <c r="AB3355" s="33"/>
      <c r="AC3355" s="33"/>
      <c r="AD3355" s="33"/>
      <c r="AE3355" s="33"/>
      <c r="AF3355" s="33"/>
      <c r="AG3355" s="33"/>
      <c r="AH3355" s="33"/>
      <c r="AI3355" s="33"/>
      <c r="AJ3355" s="33"/>
      <c r="AK3355" s="33"/>
      <c r="AL3355" s="33"/>
      <c r="AM3355" s="33"/>
      <c r="AN3355" s="33"/>
      <c r="AO3355" s="33"/>
    </row>
    <row r="3356" ht="15.75" customHeight="1">
      <c r="A3356" s="60">
        <v>57409.0</v>
      </c>
      <c r="B3356" s="61">
        <v>2024.0</v>
      </c>
      <c r="C3356" s="36" t="str">
        <f t="shared" si="7"/>
        <v>5854 SAN FELIPE ST,Houston,TX</v>
      </c>
      <c r="D3356" s="51" t="s">
        <v>3383</v>
      </c>
      <c r="E3356" s="23" t="s">
        <v>25</v>
      </c>
      <c r="F3356" s="23" t="s">
        <v>1388</v>
      </c>
      <c r="G3356" s="62" t="str">
        <f t="shared" si="8"/>
        <v>77057</v>
      </c>
      <c r="H3356" s="58" t="s">
        <v>1977</v>
      </c>
      <c r="I3356" s="37" t="str">
        <f>VLOOKUP(H3356,'Flow Location'!$A$1:$B$21,2,FALSE)</f>
        <v>Bayou/surface water/drainage ditch</v>
      </c>
      <c r="J3356" s="63">
        <v>2798.0</v>
      </c>
      <c r="K3356" s="51" t="s">
        <v>29</v>
      </c>
      <c r="L3356" s="37" t="str">
        <f>VLOOKUP(K3356,'Structure type'!$A$1:$B$15,2,FALSE)</f>
        <v>Manhole</v>
      </c>
      <c r="M3356" s="51" t="s">
        <v>30</v>
      </c>
      <c r="N3356" s="23" t="str">
        <f>VLOOKUP(M3356,'Excursion Cause'!$A$1:$B$34,2,FALSE)</f>
        <v>Grease Blockage</v>
      </c>
      <c r="O3356" s="53">
        <v>45298.0</v>
      </c>
      <c r="P3356" s="54">
        <v>0.47291666666666665</v>
      </c>
      <c r="Q3356" s="55">
        <v>45299.0</v>
      </c>
      <c r="R3356" s="54">
        <v>0.4444444444444444</v>
      </c>
      <c r="S3356" s="52">
        <v>2.0</v>
      </c>
      <c r="T3356" s="51" t="s">
        <v>3749</v>
      </c>
      <c r="U3356" s="56"/>
      <c r="V3356" s="56"/>
      <c r="W3356" s="35">
        <v>29.7510345</v>
      </c>
      <c r="X3356" s="35">
        <v>-95.4835568</v>
      </c>
      <c r="AA3356" s="33"/>
      <c r="AB3356" s="33"/>
      <c r="AC3356" s="33"/>
      <c r="AD3356" s="33"/>
      <c r="AE3356" s="33"/>
      <c r="AF3356" s="33"/>
      <c r="AG3356" s="33"/>
      <c r="AH3356" s="33"/>
      <c r="AI3356" s="33"/>
      <c r="AJ3356" s="33"/>
      <c r="AK3356" s="33"/>
      <c r="AL3356" s="33"/>
      <c r="AM3356" s="33"/>
      <c r="AN3356" s="33"/>
      <c r="AO3356" s="33"/>
    </row>
    <row r="3357" ht="15.75" customHeight="1">
      <c r="A3357" s="60">
        <v>57415.0</v>
      </c>
      <c r="B3357" s="61">
        <v>2024.0</v>
      </c>
      <c r="C3357" s="36" t="str">
        <f t="shared" si="7"/>
        <v>16334 TIBURON WAY,Houston,TX</v>
      </c>
      <c r="D3357" s="51" t="s">
        <v>5183</v>
      </c>
      <c r="E3357" s="23" t="s">
        <v>25</v>
      </c>
      <c r="F3357" s="23" t="s">
        <v>1388</v>
      </c>
      <c r="G3357" s="62" t="str">
        <f t="shared" si="8"/>
        <v>77053</v>
      </c>
      <c r="H3357" s="58" t="s">
        <v>50</v>
      </c>
      <c r="I3357" s="37" t="str">
        <f>VLOOKUP(H3357,'Flow Location'!$A$1:$B$21,2,FALSE)</f>
        <v>Contained On Site, not within 5 ft. of Bayou/Surface Water/Drainage Ditch</v>
      </c>
      <c r="J3357" s="63">
        <v>0.0</v>
      </c>
      <c r="K3357" s="51" t="s">
        <v>45</v>
      </c>
      <c r="L3357" s="37" t="str">
        <f>VLOOKUP(K3357,'Structure type'!$A$1:$B$15,2,FALSE)</f>
        <v>City Cleanout</v>
      </c>
      <c r="M3357" s="51" t="s">
        <v>81</v>
      </c>
      <c r="N3357" s="23" t="str">
        <f>VLOOKUP(M3357,'Excursion Cause'!$A$1:$B$34,2,FALSE)</f>
        <v>Collection system structural failure</v>
      </c>
      <c r="O3357" s="53">
        <v>45298.0</v>
      </c>
      <c r="P3357" s="54">
        <v>0.6145833333333334</v>
      </c>
      <c r="Q3357" s="55">
        <v>45298.0</v>
      </c>
      <c r="R3357" s="54">
        <v>0.6152777777777778</v>
      </c>
      <c r="S3357" s="52">
        <v>0.0</v>
      </c>
      <c r="T3357" s="51" t="s">
        <v>3745</v>
      </c>
      <c r="U3357" s="56"/>
      <c r="V3357" s="56"/>
      <c r="W3357" s="35">
        <v>29.5888746</v>
      </c>
      <c r="X3357" s="35">
        <v>-95.4837002</v>
      </c>
      <c r="AA3357" s="33"/>
      <c r="AB3357" s="33"/>
      <c r="AC3357" s="33"/>
      <c r="AD3357" s="33"/>
      <c r="AE3357" s="33"/>
      <c r="AF3357" s="33"/>
      <c r="AG3357" s="33"/>
      <c r="AH3357" s="33"/>
      <c r="AI3357" s="33"/>
      <c r="AJ3357" s="33"/>
      <c r="AK3357" s="33"/>
      <c r="AL3357" s="33"/>
      <c r="AM3357" s="33"/>
      <c r="AN3357" s="33"/>
      <c r="AO3357" s="33"/>
    </row>
    <row r="3358" ht="15.75" customHeight="1">
      <c r="A3358" s="60">
        <v>57416.0</v>
      </c>
      <c r="B3358" s="61">
        <v>2024.0</v>
      </c>
      <c r="C3358" s="36" t="str">
        <f t="shared" si="7"/>
        <v>11714 MOONMIST DR,Houston,TX</v>
      </c>
      <c r="D3358" s="51" t="s">
        <v>5184</v>
      </c>
      <c r="E3358" s="23" t="s">
        <v>25</v>
      </c>
      <c r="F3358" s="23" t="s">
        <v>1388</v>
      </c>
      <c r="G3358" s="62" t="str">
        <f t="shared" si="8"/>
        <v>77072</v>
      </c>
      <c r="H3358" s="58" t="s">
        <v>50</v>
      </c>
      <c r="I3358" s="37" t="str">
        <f>VLOOKUP(H3358,'Flow Location'!$A$1:$B$21,2,FALSE)</f>
        <v>Contained On Site, not within 5 ft. of Bayou/Surface Water/Drainage Ditch</v>
      </c>
      <c r="J3358" s="63">
        <v>1023.0</v>
      </c>
      <c r="K3358" s="51" t="s">
        <v>29</v>
      </c>
      <c r="L3358" s="37" t="str">
        <f>VLOOKUP(K3358,'Structure type'!$A$1:$B$15,2,FALSE)</f>
        <v>Manhole</v>
      </c>
      <c r="M3358" s="51" t="s">
        <v>81</v>
      </c>
      <c r="N3358" s="23" t="str">
        <f>VLOOKUP(M3358,'Excursion Cause'!$A$1:$B$34,2,FALSE)</f>
        <v>Collection system structural failure</v>
      </c>
      <c r="O3358" s="53">
        <v>45299.0</v>
      </c>
      <c r="P3358" s="54">
        <v>0.3638888888888889</v>
      </c>
      <c r="Q3358" s="55">
        <v>45300.0</v>
      </c>
      <c r="R3358" s="54">
        <v>0.7847222222222222</v>
      </c>
      <c r="S3358" s="52">
        <v>0.0</v>
      </c>
      <c r="T3358" s="51" t="s">
        <v>5185</v>
      </c>
      <c r="U3358" s="56"/>
      <c r="V3358" s="56"/>
      <c r="W3358" s="35">
        <v>29.7087723</v>
      </c>
      <c r="X3358" s="35">
        <v>-95.5857776</v>
      </c>
      <c r="AA3358" s="33"/>
      <c r="AB3358" s="33"/>
      <c r="AC3358" s="33"/>
      <c r="AD3358" s="33"/>
      <c r="AE3358" s="33"/>
      <c r="AF3358" s="33"/>
      <c r="AG3358" s="33"/>
      <c r="AH3358" s="33"/>
      <c r="AI3358" s="33"/>
      <c r="AJ3358" s="33"/>
      <c r="AK3358" s="33"/>
      <c r="AL3358" s="33"/>
      <c r="AM3358" s="33"/>
      <c r="AN3358" s="33"/>
      <c r="AO3358" s="33"/>
    </row>
    <row r="3359" ht="15.75" customHeight="1">
      <c r="A3359" s="60">
        <v>57417.0</v>
      </c>
      <c r="B3359" s="61">
        <v>2024.0</v>
      </c>
      <c r="C3359" s="36" t="str">
        <f t="shared" si="7"/>
        <v>4915 WALKER ST,Houston,TX</v>
      </c>
      <c r="D3359" s="51" t="s">
        <v>5186</v>
      </c>
      <c r="E3359" s="23" t="s">
        <v>25</v>
      </c>
      <c r="F3359" s="23" t="s">
        <v>1388</v>
      </c>
      <c r="G3359" s="62" t="str">
        <f t="shared" si="8"/>
        <v>77023</v>
      </c>
      <c r="H3359" s="58" t="s">
        <v>50</v>
      </c>
      <c r="I3359" s="37" t="str">
        <f>VLOOKUP(H3359,'Flow Location'!$A$1:$B$21,2,FALSE)</f>
        <v>Contained On Site, not within 5 ft. of Bayou/Surface Water/Drainage Ditch</v>
      </c>
      <c r="J3359" s="63">
        <v>0.0</v>
      </c>
      <c r="K3359" s="51" t="s">
        <v>51</v>
      </c>
      <c r="L3359" s="37" t="str">
        <f>VLOOKUP(K3359,'Structure type'!$A$1:$B$15,2,FALSE)</f>
        <v>Private Cleanout</v>
      </c>
      <c r="M3359" s="51" t="s">
        <v>30</v>
      </c>
      <c r="N3359" s="23" t="str">
        <f>VLOOKUP(M3359,'Excursion Cause'!$A$1:$B$34,2,FALSE)</f>
        <v>Grease Blockage</v>
      </c>
      <c r="O3359" s="53">
        <v>45299.0</v>
      </c>
      <c r="P3359" s="54">
        <v>0.3951388888888889</v>
      </c>
      <c r="Q3359" s="55">
        <v>45299.0</v>
      </c>
      <c r="R3359" s="54">
        <v>0.3958333333333333</v>
      </c>
      <c r="S3359" s="52">
        <v>0.0</v>
      </c>
      <c r="T3359" s="51" t="s">
        <v>1436</v>
      </c>
      <c r="U3359" s="56"/>
      <c r="V3359" s="56"/>
      <c r="W3359" s="35">
        <v>29.7394314</v>
      </c>
      <c r="X3359" s="35">
        <v>-95.3260811999999</v>
      </c>
      <c r="AA3359" s="33"/>
      <c r="AB3359" s="33"/>
      <c r="AC3359" s="33"/>
      <c r="AD3359" s="33"/>
      <c r="AE3359" s="33"/>
      <c r="AF3359" s="33"/>
      <c r="AG3359" s="33"/>
      <c r="AH3359" s="33"/>
      <c r="AI3359" s="33"/>
      <c r="AJ3359" s="33"/>
      <c r="AK3359" s="33"/>
      <c r="AL3359" s="33"/>
      <c r="AM3359" s="33"/>
      <c r="AN3359" s="33"/>
      <c r="AO3359" s="33"/>
    </row>
    <row r="3360" ht="15.75" customHeight="1">
      <c r="A3360" s="60">
        <v>57419.0</v>
      </c>
      <c r="B3360" s="61">
        <v>2024.0</v>
      </c>
      <c r="C3360" s="36" t="str">
        <f t="shared" si="7"/>
        <v>5954 SOUTHSEAS ST,Houston,TX</v>
      </c>
      <c r="D3360" s="51" t="s">
        <v>5187</v>
      </c>
      <c r="E3360" s="23" t="s">
        <v>25</v>
      </c>
      <c r="F3360" s="23" t="s">
        <v>1388</v>
      </c>
      <c r="G3360" s="62" t="str">
        <f t="shared" si="8"/>
        <v>77033</v>
      </c>
      <c r="H3360" s="58" t="s">
        <v>50</v>
      </c>
      <c r="I3360" s="37" t="str">
        <f>VLOOKUP(H3360,'Flow Location'!$A$1:$B$21,2,FALSE)</f>
        <v>Contained On Site, not within 5 ft. of Bayou/Surface Water/Drainage Ditch</v>
      </c>
      <c r="J3360" s="63">
        <v>0.0</v>
      </c>
      <c r="K3360" s="51" t="s">
        <v>51</v>
      </c>
      <c r="L3360" s="37" t="str">
        <f>VLOOKUP(K3360,'Structure type'!$A$1:$B$15,2,FALSE)</f>
        <v>Private Cleanout</v>
      </c>
      <c r="M3360" s="51" t="s">
        <v>56</v>
      </c>
      <c r="N3360" s="23" t="str">
        <f>VLOOKUP(M3360,'Excursion Cause'!$A$1:$B$34,2,FALSE)</f>
        <v>Rags/Wipes</v>
      </c>
      <c r="O3360" s="53">
        <v>45299.0</v>
      </c>
      <c r="P3360" s="54">
        <v>0.42083333333333334</v>
      </c>
      <c r="Q3360" s="55">
        <v>45299.0</v>
      </c>
      <c r="R3360" s="54">
        <v>0.4215277777777778</v>
      </c>
      <c r="S3360" s="52">
        <v>0.0</v>
      </c>
      <c r="T3360" s="51" t="s">
        <v>3743</v>
      </c>
      <c r="U3360" s="56"/>
      <c r="V3360" s="56"/>
      <c r="W3360" s="35">
        <v>29.6762704</v>
      </c>
      <c r="X3360" s="35">
        <v>-95.3294518</v>
      </c>
      <c r="AA3360" s="33"/>
      <c r="AB3360" s="33"/>
      <c r="AC3360" s="33"/>
      <c r="AD3360" s="33"/>
      <c r="AE3360" s="33"/>
      <c r="AF3360" s="33"/>
      <c r="AG3360" s="33"/>
      <c r="AH3360" s="33"/>
      <c r="AI3360" s="33"/>
      <c r="AJ3360" s="33"/>
      <c r="AK3360" s="33"/>
      <c r="AL3360" s="33"/>
      <c r="AM3360" s="33"/>
      <c r="AN3360" s="33"/>
      <c r="AO3360" s="33"/>
    </row>
    <row r="3361" ht="15.75" customHeight="1">
      <c r="A3361" s="60">
        <v>57420.0</v>
      </c>
      <c r="B3361" s="61">
        <v>2024.0</v>
      </c>
      <c r="C3361" s="36" t="str">
        <f t="shared" si="7"/>
        <v>7354 LE HAVRE RD,Houston,TX</v>
      </c>
      <c r="D3361" s="51" t="s">
        <v>5188</v>
      </c>
      <c r="E3361" s="23" t="s">
        <v>25</v>
      </c>
      <c r="F3361" s="23" t="s">
        <v>1388</v>
      </c>
      <c r="G3361" s="62" t="str">
        <f t="shared" si="8"/>
        <v>77033</v>
      </c>
      <c r="H3361" s="58" t="s">
        <v>1493</v>
      </c>
      <c r="I3361" s="37" t="str">
        <f>VLOOKUP(H3361,'Flow Location'!$A$1:$B$21,2,FALSE)</f>
        <v>Contained On Site, not within 5 ft. of Bayou/Surface Water/Drainage Ditch</v>
      </c>
      <c r="J3361" s="63">
        <v>0.0</v>
      </c>
      <c r="K3361" s="51" t="s">
        <v>45</v>
      </c>
      <c r="L3361" s="37" t="str">
        <f>VLOOKUP(K3361,'Structure type'!$A$1:$B$15,2,FALSE)</f>
        <v>City Cleanout</v>
      </c>
      <c r="M3361" s="51" t="s">
        <v>56</v>
      </c>
      <c r="N3361" s="23" t="str">
        <f>VLOOKUP(M3361,'Excursion Cause'!$A$1:$B$34,2,FALSE)</f>
        <v>Rags/Wipes</v>
      </c>
      <c r="O3361" s="53">
        <v>45299.0</v>
      </c>
      <c r="P3361" s="54">
        <v>0.46111111111111114</v>
      </c>
      <c r="Q3361" s="55">
        <v>45299.0</v>
      </c>
      <c r="R3361" s="54">
        <v>0.4618055555555556</v>
      </c>
      <c r="S3361" s="52">
        <v>0.0</v>
      </c>
      <c r="T3361" s="51" t="s">
        <v>3743</v>
      </c>
      <c r="U3361" s="56"/>
      <c r="V3361" s="56"/>
      <c r="W3361" s="35">
        <v>29.6769414</v>
      </c>
      <c r="X3361" s="35">
        <v>-95.3429536</v>
      </c>
      <c r="AA3361" s="33"/>
      <c r="AB3361" s="33"/>
      <c r="AC3361" s="33"/>
      <c r="AD3361" s="33"/>
      <c r="AE3361" s="33"/>
      <c r="AF3361" s="33"/>
      <c r="AG3361" s="33"/>
      <c r="AH3361" s="33"/>
      <c r="AI3361" s="33"/>
      <c r="AJ3361" s="33"/>
      <c r="AK3361" s="33"/>
      <c r="AL3361" s="33"/>
      <c r="AM3361" s="33"/>
      <c r="AN3361" s="33"/>
      <c r="AO3361" s="33"/>
    </row>
    <row r="3362" ht="15.75" customHeight="1">
      <c r="A3362" s="60">
        <v>57421.0</v>
      </c>
      <c r="B3362" s="61">
        <v>2024.0</v>
      </c>
      <c r="C3362" s="36" t="str">
        <f t="shared" si="7"/>
        <v>15922 LENCLAIRE DR,Houston,TX</v>
      </c>
      <c r="D3362" s="51" t="s">
        <v>5080</v>
      </c>
      <c r="E3362" s="23" t="s">
        <v>25</v>
      </c>
      <c r="F3362" s="23" t="s">
        <v>1388</v>
      </c>
      <c r="G3362" s="62" t="str">
        <f t="shared" si="8"/>
        <v>77053</v>
      </c>
      <c r="H3362" s="58" t="s">
        <v>28</v>
      </c>
      <c r="I3362" s="37" t="str">
        <f>VLOOKUP(H3362,'Flow Location'!$A$1:$B$21,2,FALSE)</f>
        <v>Storm Sewer (not contained)</v>
      </c>
      <c r="J3362" s="63">
        <v>588.0</v>
      </c>
      <c r="K3362" s="51" t="s">
        <v>29</v>
      </c>
      <c r="L3362" s="37" t="str">
        <f>VLOOKUP(K3362,'Structure type'!$A$1:$B$15,2,FALSE)</f>
        <v>Manhole</v>
      </c>
      <c r="M3362" s="51" t="s">
        <v>30</v>
      </c>
      <c r="N3362" s="23" t="str">
        <f>VLOOKUP(M3362,'Excursion Cause'!$A$1:$B$34,2,FALSE)</f>
        <v>Grease Blockage</v>
      </c>
      <c r="O3362" s="53">
        <v>45299.0</v>
      </c>
      <c r="P3362" s="54">
        <v>0.4375</v>
      </c>
      <c r="Q3362" s="55">
        <v>45299.0</v>
      </c>
      <c r="R3362" s="54">
        <v>0.5736111111111111</v>
      </c>
      <c r="S3362" s="52">
        <v>3.0</v>
      </c>
      <c r="T3362" s="51" t="s">
        <v>3749</v>
      </c>
      <c r="U3362" s="56"/>
      <c r="V3362" s="56"/>
      <c r="W3362" s="35">
        <v>29.5954474</v>
      </c>
      <c r="X3362" s="35">
        <v>-95.4710025999999</v>
      </c>
      <c r="AA3362" s="33"/>
      <c r="AB3362" s="33"/>
      <c r="AC3362" s="33"/>
      <c r="AD3362" s="33"/>
      <c r="AE3362" s="33"/>
      <c r="AF3362" s="33"/>
      <c r="AG3362" s="33"/>
      <c r="AH3362" s="33"/>
      <c r="AI3362" s="33"/>
      <c r="AJ3362" s="33"/>
      <c r="AK3362" s="33"/>
      <c r="AL3362" s="33"/>
      <c r="AM3362" s="33"/>
      <c r="AN3362" s="33"/>
      <c r="AO3362" s="33"/>
    </row>
    <row r="3363" ht="15.75" customHeight="1">
      <c r="A3363" s="60">
        <v>57423.0</v>
      </c>
      <c r="B3363" s="61">
        <v>2024.0</v>
      </c>
      <c r="C3363" s="36" t="str">
        <f t="shared" si="7"/>
        <v>7505 HOWTON ST,Houston,TX</v>
      </c>
      <c r="D3363" s="51" t="s">
        <v>5189</v>
      </c>
      <c r="E3363" s="23" t="s">
        <v>25</v>
      </c>
      <c r="F3363" s="23" t="s">
        <v>1388</v>
      </c>
      <c r="G3363" s="62" t="str">
        <f t="shared" si="8"/>
        <v>77028</v>
      </c>
      <c r="H3363" s="58" t="s">
        <v>28</v>
      </c>
      <c r="I3363" s="37" t="str">
        <f>VLOOKUP(H3363,'Flow Location'!$A$1:$B$21,2,FALSE)</f>
        <v>Storm Sewer (not contained)</v>
      </c>
      <c r="J3363" s="63">
        <v>386.0</v>
      </c>
      <c r="K3363" s="51" t="s">
        <v>29</v>
      </c>
      <c r="L3363" s="37" t="str">
        <f>VLOOKUP(K3363,'Structure type'!$A$1:$B$15,2,FALSE)</f>
        <v>Manhole</v>
      </c>
      <c r="M3363" s="51" t="s">
        <v>30</v>
      </c>
      <c r="N3363" s="23" t="str">
        <f>VLOOKUP(M3363,'Excursion Cause'!$A$1:$B$34,2,FALSE)</f>
        <v>Grease Blockage</v>
      </c>
      <c r="O3363" s="53">
        <v>45299.0</v>
      </c>
      <c r="P3363" s="54">
        <v>0.4666666666666667</v>
      </c>
      <c r="Q3363" s="55">
        <v>45299.0</v>
      </c>
      <c r="R3363" s="54">
        <v>0.6006944444444444</v>
      </c>
      <c r="S3363" s="52">
        <v>2.0</v>
      </c>
      <c r="T3363" s="51" t="s">
        <v>3749</v>
      </c>
      <c r="U3363" s="56"/>
      <c r="V3363" s="56"/>
      <c r="W3363" s="35">
        <v>29.818151</v>
      </c>
      <c r="X3363" s="35">
        <v>-95.2932943</v>
      </c>
      <c r="AA3363" s="33"/>
      <c r="AB3363" s="33"/>
      <c r="AC3363" s="33"/>
      <c r="AD3363" s="33"/>
      <c r="AE3363" s="33"/>
      <c r="AF3363" s="33"/>
      <c r="AG3363" s="33"/>
      <c r="AH3363" s="33"/>
      <c r="AI3363" s="33"/>
      <c r="AJ3363" s="33"/>
      <c r="AK3363" s="33"/>
      <c r="AL3363" s="33"/>
      <c r="AM3363" s="33"/>
      <c r="AN3363" s="33"/>
      <c r="AO3363" s="33"/>
    </row>
    <row r="3364" ht="15.75" customHeight="1">
      <c r="A3364" s="60">
        <v>57424.0</v>
      </c>
      <c r="B3364" s="61">
        <v>2024.0</v>
      </c>
      <c r="C3364" s="36" t="str">
        <f t="shared" si="7"/>
        <v>2002 WAYSIDE DR,Houston,TX</v>
      </c>
      <c r="D3364" s="51" t="s">
        <v>4016</v>
      </c>
      <c r="E3364" s="23" t="s">
        <v>25</v>
      </c>
      <c r="F3364" s="23" t="s">
        <v>1388</v>
      </c>
      <c r="G3364" s="62" t="str">
        <f t="shared" si="8"/>
        <v>77023</v>
      </c>
      <c r="H3364" s="58" t="s">
        <v>50</v>
      </c>
      <c r="I3364" s="37" t="str">
        <f>VLOOKUP(H3364,'Flow Location'!$A$1:$B$21,2,FALSE)</f>
        <v>Contained On Site, not within 5 ft. of Bayou/Surface Water/Drainage Ditch</v>
      </c>
      <c r="J3364" s="63">
        <v>0.0</v>
      </c>
      <c r="K3364" s="51" t="s">
        <v>45</v>
      </c>
      <c r="L3364" s="37" t="str">
        <f>VLOOKUP(K3364,'Structure type'!$A$1:$B$15,2,FALSE)</f>
        <v>City Cleanout</v>
      </c>
      <c r="M3364" s="51" t="s">
        <v>56</v>
      </c>
      <c r="N3364" s="23" t="str">
        <f>VLOOKUP(M3364,'Excursion Cause'!$A$1:$B$34,2,FALSE)</f>
        <v>Rags/Wipes</v>
      </c>
      <c r="O3364" s="53">
        <v>45299.0</v>
      </c>
      <c r="P3364" s="54">
        <v>0.5236111111111111</v>
      </c>
      <c r="Q3364" s="55">
        <v>45299.0</v>
      </c>
      <c r="R3364" s="54">
        <v>0.5243055555555556</v>
      </c>
      <c r="S3364" s="52">
        <v>0.0</v>
      </c>
      <c r="T3364" s="51" t="s">
        <v>1436</v>
      </c>
      <c r="U3364" s="56"/>
      <c r="V3364" s="56"/>
      <c r="W3364" s="35">
        <v>29.7182977</v>
      </c>
      <c r="X3364" s="35">
        <v>-95.3138565</v>
      </c>
      <c r="AA3364" s="33"/>
      <c r="AB3364" s="33"/>
      <c r="AC3364" s="33"/>
      <c r="AD3364" s="33"/>
      <c r="AE3364" s="33"/>
      <c r="AF3364" s="33"/>
      <c r="AG3364" s="33"/>
      <c r="AH3364" s="33"/>
      <c r="AI3364" s="33"/>
      <c r="AJ3364" s="33"/>
      <c r="AK3364" s="33"/>
      <c r="AL3364" s="33"/>
      <c r="AM3364" s="33"/>
      <c r="AN3364" s="33"/>
      <c r="AO3364" s="33"/>
    </row>
    <row r="3365" ht="15.75" customHeight="1">
      <c r="A3365" s="60">
        <v>57428.0</v>
      </c>
      <c r="B3365" s="61">
        <v>2024.0</v>
      </c>
      <c r="C3365" s="36" t="str">
        <f t="shared" si="7"/>
        <v>11150 BEECHNUT ST,Houston,TX</v>
      </c>
      <c r="D3365" s="51" t="s">
        <v>1442</v>
      </c>
      <c r="E3365" s="23" t="s">
        <v>25</v>
      </c>
      <c r="F3365" s="23" t="s">
        <v>1388</v>
      </c>
      <c r="G3365" s="62" t="str">
        <f t="shared" si="8"/>
        <v>77072</v>
      </c>
      <c r="H3365" s="58" t="s">
        <v>28</v>
      </c>
      <c r="I3365" s="37" t="str">
        <f>VLOOKUP(H3365,'Flow Location'!$A$1:$B$21,2,FALSE)</f>
        <v>Storm Sewer (not contained)</v>
      </c>
      <c r="J3365" s="63">
        <v>0.0</v>
      </c>
      <c r="K3365" s="51" t="s">
        <v>45</v>
      </c>
      <c r="L3365" s="37" t="str">
        <f>VLOOKUP(K3365,'Structure type'!$A$1:$B$15,2,FALSE)</f>
        <v>City Cleanout</v>
      </c>
      <c r="M3365" s="51" t="s">
        <v>56</v>
      </c>
      <c r="N3365" s="23" t="str">
        <f>VLOOKUP(M3365,'Excursion Cause'!$A$1:$B$34,2,FALSE)</f>
        <v>Rags/Wipes</v>
      </c>
      <c r="O3365" s="53">
        <v>45299.0</v>
      </c>
      <c r="P3365" s="54">
        <v>0.6340277777777777</v>
      </c>
      <c r="Q3365" s="55">
        <v>45299.0</v>
      </c>
      <c r="R3365" s="54">
        <v>0.6347222222222222</v>
      </c>
      <c r="S3365" s="52">
        <v>0.0</v>
      </c>
      <c r="T3365" s="51" t="s">
        <v>1436</v>
      </c>
      <c r="U3365" s="56"/>
      <c r="V3365" s="56"/>
      <c r="W3365" s="35">
        <v>29.6883639</v>
      </c>
      <c r="X3365" s="35">
        <v>-95.5738298</v>
      </c>
      <c r="AA3365" s="33"/>
      <c r="AB3365" s="33"/>
      <c r="AC3365" s="33"/>
      <c r="AD3365" s="33"/>
      <c r="AE3365" s="33"/>
      <c r="AF3365" s="33"/>
      <c r="AG3365" s="33"/>
      <c r="AH3365" s="33"/>
      <c r="AI3365" s="33"/>
      <c r="AJ3365" s="33"/>
      <c r="AK3365" s="33"/>
      <c r="AL3365" s="33"/>
      <c r="AM3365" s="33"/>
      <c r="AN3365" s="33"/>
      <c r="AO3365" s="33"/>
    </row>
    <row r="3366" ht="15.75" customHeight="1">
      <c r="A3366" s="60">
        <v>57431.0</v>
      </c>
      <c r="B3366" s="61">
        <v>2024.0</v>
      </c>
      <c r="C3366" s="36" t="str">
        <f t="shared" si="7"/>
        <v>3731 BROOKVALE DR,Houston,TX</v>
      </c>
      <c r="D3366" s="51" t="s">
        <v>5190</v>
      </c>
      <c r="E3366" s="23" t="s">
        <v>25</v>
      </c>
      <c r="F3366" s="23" t="s">
        <v>1388</v>
      </c>
      <c r="G3366" s="62" t="str">
        <f t="shared" si="8"/>
        <v>77038</v>
      </c>
      <c r="H3366" s="58" t="s">
        <v>50</v>
      </c>
      <c r="I3366" s="37" t="str">
        <f>VLOOKUP(H3366,'Flow Location'!$A$1:$B$21,2,FALSE)</f>
        <v>Contained On Site, not within 5 ft. of Bayou/Surface Water/Drainage Ditch</v>
      </c>
      <c r="J3366" s="63">
        <v>0.0</v>
      </c>
      <c r="K3366" s="51" t="s">
        <v>198</v>
      </c>
      <c r="L3366" s="37" t="str">
        <f>VLOOKUP(K3366,'Structure type'!$A$1:$B$15,2,FALSE)</f>
        <v>Service Lateral</v>
      </c>
      <c r="M3366" s="51" t="s">
        <v>81</v>
      </c>
      <c r="N3366" s="23" t="str">
        <f>VLOOKUP(M3366,'Excursion Cause'!$A$1:$B$34,2,FALSE)</f>
        <v>Collection system structural failure</v>
      </c>
      <c r="O3366" s="53">
        <v>45299.0</v>
      </c>
      <c r="P3366" s="54">
        <v>0.6368055555555555</v>
      </c>
      <c r="Q3366" s="55">
        <v>45299.0</v>
      </c>
      <c r="R3366" s="54">
        <v>0.6375</v>
      </c>
      <c r="S3366" s="52">
        <v>0.0</v>
      </c>
      <c r="T3366" s="51" t="s">
        <v>1436</v>
      </c>
      <c r="U3366" s="56"/>
      <c r="V3366" s="56"/>
      <c r="W3366" s="35">
        <v>29.9146701</v>
      </c>
      <c r="X3366" s="35">
        <v>-95.4488749</v>
      </c>
      <c r="AA3366" s="33"/>
      <c r="AB3366" s="33"/>
      <c r="AC3366" s="33"/>
      <c r="AD3366" s="33"/>
      <c r="AE3366" s="33"/>
      <c r="AF3366" s="33"/>
      <c r="AG3366" s="33"/>
      <c r="AH3366" s="33"/>
      <c r="AI3366" s="33"/>
      <c r="AJ3366" s="33"/>
      <c r="AK3366" s="33"/>
      <c r="AL3366" s="33"/>
      <c r="AM3366" s="33"/>
      <c r="AN3366" s="33"/>
      <c r="AO3366" s="33"/>
    </row>
    <row r="3367" ht="15.75" customHeight="1">
      <c r="A3367" s="60">
        <v>57434.0</v>
      </c>
      <c r="B3367" s="61">
        <v>2024.0</v>
      </c>
      <c r="C3367" s="36" t="str">
        <f t="shared" si="7"/>
        <v>5542 TUPPER LAKE DR,Houston,TX</v>
      </c>
      <c r="D3367" s="51" t="s">
        <v>5191</v>
      </c>
      <c r="E3367" s="23" t="s">
        <v>25</v>
      </c>
      <c r="F3367" s="23" t="s">
        <v>1388</v>
      </c>
      <c r="G3367" s="62" t="str">
        <f t="shared" si="8"/>
        <v>77056</v>
      </c>
      <c r="H3367" s="58" t="s">
        <v>28</v>
      </c>
      <c r="I3367" s="37" t="str">
        <f>VLOOKUP(H3367,'Flow Location'!$A$1:$B$21,2,FALSE)</f>
        <v>Storm Sewer (not contained)</v>
      </c>
      <c r="J3367" s="63">
        <v>1592.5</v>
      </c>
      <c r="K3367" s="51" t="s">
        <v>29</v>
      </c>
      <c r="L3367" s="37" t="str">
        <f>VLOOKUP(K3367,'Structure type'!$A$1:$B$15,2,FALSE)</f>
        <v>Manhole</v>
      </c>
      <c r="M3367" s="51" t="s">
        <v>52</v>
      </c>
      <c r="N3367" s="23" t="str">
        <f>VLOOKUP(M3367,'Excursion Cause'!$A$1:$B$34,2,FALSE)</f>
        <v>Collection system structural blockage</v>
      </c>
      <c r="O3367" s="53">
        <v>45300.0</v>
      </c>
      <c r="P3367" s="54">
        <v>0.39305555555555555</v>
      </c>
      <c r="Q3367" s="55">
        <v>45302.0</v>
      </c>
      <c r="R3367" s="54">
        <v>0.6048611111111111</v>
      </c>
      <c r="S3367" s="52">
        <v>0.0</v>
      </c>
      <c r="T3367" s="51" t="s">
        <v>1391</v>
      </c>
      <c r="U3367" s="56"/>
      <c r="V3367" s="56"/>
      <c r="W3367" s="35">
        <v>29.7611107</v>
      </c>
      <c r="X3367" s="35">
        <v>-95.4754464</v>
      </c>
      <c r="AA3367" s="33"/>
      <c r="AB3367" s="33"/>
      <c r="AC3367" s="33"/>
      <c r="AD3367" s="33"/>
      <c r="AE3367" s="33"/>
      <c r="AF3367" s="33"/>
      <c r="AG3367" s="33"/>
      <c r="AH3367" s="33"/>
      <c r="AI3367" s="33"/>
      <c r="AJ3367" s="33"/>
      <c r="AK3367" s="33"/>
      <c r="AL3367" s="33"/>
      <c r="AM3367" s="33"/>
      <c r="AN3367" s="33"/>
      <c r="AO3367" s="33"/>
    </row>
    <row r="3368" ht="15.75" customHeight="1">
      <c r="A3368" s="60">
        <v>57435.0</v>
      </c>
      <c r="B3368" s="61">
        <v>2024.0</v>
      </c>
      <c r="C3368" s="36" t="str">
        <f t="shared" si="7"/>
        <v>848 YALE ST,Houston,TX</v>
      </c>
      <c r="D3368" s="51" t="s">
        <v>5192</v>
      </c>
      <c r="E3368" s="23" t="s">
        <v>25</v>
      </c>
      <c r="F3368" s="23" t="s">
        <v>1388</v>
      </c>
      <c r="G3368" s="62" t="str">
        <f t="shared" si="8"/>
        <v>77007</v>
      </c>
      <c r="H3368" s="58" t="s">
        <v>28</v>
      </c>
      <c r="I3368" s="37" t="str">
        <f>VLOOKUP(H3368,'Flow Location'!$A$1:$B$21,2,FALSE)</f>
        <v>Storm Sewer (not contained)</v>
      </c>
      <c r="J3368" s="63">
        <v>3290.0</v>
      </c>
      <c r="K3368" s="51" t="s">
        <v>29</v>
      </c>
      <c r="L3368" s="37" t="str">
        <f>VLOOKUP(K3368,'Structure type'!$A$1:$B$15,2,FALSE)</f>
        <v>Manhole</v>
      </c>
      <c r="M3368" s="51" t="s">
        <v>30</v>
      </c>
      <c r="N3368" s="23" t="str">
        <f>VLOOKUP(M3368,'Excursion Cause'!$A$1:$B$34,2,FALSE)</f>
        <v>Grease Blockage</v>
      </c>
      <c r="O3368" s="53">
        <v>45300.0</v>
      </c>
      <c r="P3368" s="54">
        <v>0.3888888888888889</v>
      </c>
      <c r="Q3368" s="55">
        <v>45301.0</v>
      </c>
      <c r="R3368" s="54">
        <v>0.53125</v>
      </c>
      <c r="S3368" s="52">
        <v>2.0</v>
      </c>
      <c r="T3368" s="51" t="s">
        <v>1462</v>
      </c>
      <c r="U3368" s="56"/>
      <c r="V3368" s="56"/>
      <c r="W3368" s="35">
        <v>29.7866331</v>
      </c>
      <c r="X3368" s="35">
        <v>-95.3985134</v>
      </c>
      <c r="AA3368" s="33"/>
      <c r="AB3368" s="33"/>
      <c r="AC3368" s="33"/>
      <c r="AD3368" s="33"/>
      <c r="AE3368" s="33"/>
      <c r="AF3368" s="33"/>
      <c r="AG3368" s="33"/>
      <c r="AH3368" s="33"/>
      <c r="AI3368" s="33"/>
      <c r="AJ3368" s="33"/>
      <c r="AK3368" s="33"/>
      <c r="AL3368" s="33"/>
      <c r="AM3368" s="33"/>
      <c r="AN3368" s="33"/>
      <c r="AO3368" s="33"/>
    </row>
    <row r="3369" ht="15.75" customHeight="1">
      <c r="A3369" s="60">
        <v>57436.0</v>
      </c>
      <c r="B3369" s="61">
        <v>2024.0</v>
      </c>
      <c r="C3369" s="36" t="str">
        <f t="shared" si="7"/>
        <v>18 COURTLANDT PL,Houston,TX</v>
      </c>
      <c r="D3369" s="51" t="s">
        <v>5193</v>
      </c>
      <c r="E3369" s="23" t="s">
        <v>25</v>
      </c>
      <c r="F3369" s="23" t="s">
        <v>1388</v>
      </c>
      <c r="G3369" s="62" t="str">
        <f t="shared" si="8"/>
        <v>77006</v>
      </c>
      <c r="H3369" s="58" t="s">
        <v>28</v>
      </c>
      <c r="I3369" s="37" t="str">
        <f>VLOOKUP(H3369,'Flow Location'!$A$1:$B$21,2,FALSE)</f>
        <v>Storm Sewer (not contained)</v>
      </c>
      <c r="J3369" s="63">
        <v>0.0</v>
      </c>
      <c r="K3369" s="51" t="s">
        <v>45</v>
      </c>
      <c r="L3369" s="37" t="str">
        <f>VLOOKUP(K3369,'Structure type'!$A$1:$B$15,2,FALSE)</f>
        <v>City Cleanout</v>
      </c>
      <c r="M3369" s="51" t="s">
        <v>30</v>
      </c>
      <c r="N3369" s="23" t="str">
        <f>VLOOKUP(M3369,'Excursion Cause'!$A$1:$B$34,2,FALSE)</f>
        <v>Grease Blockage</v>
      </c>
      <c r="O3369" s="53">
        <v>45300.0</v>
      </c>
      <c r="P3369" s="54">
        <v>0.43194444444444446</v>
      </c>
      <c r="Q3369" s="55">
        <v>45300.0</v>
      </c>
      <c r="R3369" s="54">
        <v>0.4326388888888889</v>
      </c>
      <c r="S3369" s="52">
        <v>0.0</v>
      </c>
      <c r="T3369" s="51" t="s">
        <v>3743</v>
      </c>
      <c r="U3369" s="56"/>
      <c r="V3369" s="56"/>
      <c r="W3369" s="35">
        <v>29.74392</v>
      </c>
      <c r="X3369" s="35">
        <v>-95.3847736</v>
      </c>
      <c r="AA3369" s="33"/>
      <c r="AB3369" s="33"/>
      <c r="AC3369" s="33"/>
      <c r="AD3369" s="33"/>
      <c r="AE3369" s="33"/>
      <c r="AF3369" s="33"/>
      <c r="AG3369" s="33"/>
      <c r="AH3369" s="33"/>
      <c r="AI3369" s="33"/>
      <c r="AJ3369" s="33"/>
      <c r="AK3369" s="33"/>
      <c r="AL3369" s="33"/>
      <c r="AM3369" s="33"/>
      <c r="AN3369" s="33"/>
      <c r="AO3369" s="33"/>
    </row>
    <row r="3370" ht="15.75" customHeight="1">
      <c r="A3370" s="60">
        <v>57438.0</v>
      </c>
      <c r="B3370" s="61">
        <v>2024.0</v>
      </c>
      <c r="C3370" s="36" t="str">
        <f t="shared" si="7"/>
        <v>8013 WILLOW ST,Houston,TX</v>
      </c>
      <c r="D3370" s="51" t="s">
        <v>5194</v>
      </c>
      <c r="E3370" s="23" t="s">
        <v>25</v>
      </c>
      <c r="F3370" s="23" t="s">
        <v>1388</v>
      </c>
      <c r="G3370" s="62" t="str">
        <f t="shared" si="8"/>
        <v>77088</v>
      </c>
      <c r="H3370" s="58" t="s">
        <v>28</v>
      </c>
      <c r="I3370" s="37" t="str">
        <f>VLOOKUP(H3370,'Flow Location'!$A$1:$B$21,2,FALSE)</f>
        <v>Storm Sewer (not contained)</v>
      </c>
      <c r="J3370" s="63">
        <v>0.0</v>
      </c>
      <c r="K3370" s="51" t="s">
        <v>198</v>
      </c>
      <c r="L3370" s="37" t="str">
        <f>VLOOKUP(K3370,'Structure type'!$A$1:$B$15,2,FALSE)</f>
        <v>Service Lateral</v>
      </c>
      <c r="M3370" s="51" t="s">
        <v>81</v>
      </c>
      <c r="N3370" s="23" t="str">
        <f>VLOOKUP(M3370,'Excursion Cause'!$A$1:$B$34,2,FALSE)</f>
        <v>Collection system structural failure</v>
      </c>
      <c r="O3370" s="53">
        <v>45300.0</v>
      </c>
      <c r="P3370" s="54">
        <v>0.46805555555555556</v>
      </c>
      <c r="Q3370" s="55">
        <v>45300.0</v>
      </c>
      <c r="R3370" s="54">
        <v>0.46875</v>
      </c>
      <c r="S3370" s="52">
        <v>0.0</v>
      </c>
      <c r="T3370" s="51" t="s">
        <v>1391</v>
      </c>
      <c r="U3370" s="56"/>
      <c r="V3370" s="56"/>
      <c r="W3370" s="35">
        <v>29.8735554</v>
      </c>
      <c r="X3370" s="35">
        <v>-95.4358632</v>
      </c>
      <c r="AA3370" s="33"/>
      <c r="AB3370" s="33"/>
      <c r="AC3370" s="33"/>
      <c r="AD3370" s="33"/>
      <c r="AE3370" s="33"/>
      <c r="AF3370" s="33"/>
      <c r="AG3370" s="33"/>
      <c r="AH3370" s="33"/>
      <c r="AI3370" s="33"/>
      <c r="AJ3370" s="33"/>
      <c r="AK3370" s="33"/>
      <c r="AL3370" s="33"/>
      <c r="AM3370" s="33"/>
      <c r="AN3370" s="33"/>
      <c r="AO3370" s="33"/>
    </row>
    <row r="3371" ht="15.75" customHeight="1">
      <c r="A3371" s="60">
        <v>57439.0</v>
      </c>
      <c r="B3371" s="61">
        <v>2024.0</v>
      </c>
      <c r="C3371" s="36" t="str">
        <f t="shared" si="7"/>
        <v>3214 CRAWFORD ST,Houston,TX</v>
      </c>
      <c r="D3371" s="51" t="s">
        <v>5195</v>
      </c>
      <c r="E3371" s="23" t="s">
        <v>25</v>
      </c>
      <c r="F3371" s="23" t="s">
        <v>1388</v>
      </c>
      <c r="G3371" s="62" t="str">
        <f t="shared" si="8"/>
        <v>77004</v>
      </c>
      <c r="H3371" s="58" t="s">
        <v>28</v>
      </c>
      <c r="I3371" s="37" t="str">
        <f>VLOOKUP(H3371,'Flow Location'!$A$1:$B$21,2,FALSE)</f>
        <v>Storm Sewer (not contained)</v>
      </c>
      <c r="J3371" s="63">
        <v>0.0</v>
      </c>
      <c r="K3371" s="51" t="s">
        <v>51</v>
      </c>
      <c r="L3371" s="37" t="str">
        <f>VLOOKUP(K3371,'Structure type'!$A$1:$B$15,2,FALSE)</f>
        <v>Private Cleanout</v>
      </c>
      <c r="M3371" s="51" t="s">
        <v>81</v>
      </c>
      <c r="N3371" s="23" t="str">
        <f>VLOOKUP(M3371,'Excursion Cause'!$A$1:$B$34,2,FALSE)</f>
        <v>Collection system structural failure</v>
      </c>
      <c r="O3371" s="53">
        <v>45300.0</v>
      </c>
      <c r="P3371" s="54">
        <v>0.4875</v>
      </c>
      <c r="Q3371" s="55">
        <v>45300.0</v>
      </c>
      <c r="R3371" s="54">
        <v>0.48819444444444443</v>
      </c>
      <c r="S3371" s="52">
        <v>0.0</v>
      </c>
      <c r="T3371" s="51" t="s">
        <v>1391</v>
      </c>
      <c r="U3371" s="56"/>
      <c r="V3371" s="56"/>
      <c r="W3371" s="35">
        <v>29.7381894</v>
      </c>
      <c r="X3371" s="35">
        <v>-95.3725882999999</v>
      </c>
      <c r="AA3371" s="33"/>
      <c r="AB3371" s="33"/>
      <c r="AC3371" s="33"/>
      <c r="AD3371" s="33"/>
      <c r="AE3371" s="33"/>
      <c r="AF3371" s="33"/>
      <c r="AG3371" s="33"/>
      <c r="AH3371" s="33"/>
      <c r="AI3371" s="33"/>
      <c r="AJ3371" s="33"/>
      <c r="AK3371" s="33"/>
      <c r="AL3371" s="33"/>
      <c r="AM3371" s="33"/>
      <c r="AN3371" s="33"/>
      <c r="AO3371" s="33"/>
    </row>
    <row r="3372" ht="15.75" customHeight="1">
      <c r="A3372" s="60">
        <v>57440.0</v>
      </c>
      <c r="B3372" s="61">
        <v>2024.0</v>
      </c>
      <c r="C3372" s="36" t="str">
        <f t="shared" si="7"/>
        <v>5854 SAN FELIPE ST,Houston,TX</v>
      </c>
      <c r="D3372" s="51" t="s">
        <v>3383</v>
      </c>
      <c r="E3372" s="23" t="s">
        <v>25</v>
      </c>
      <c r="F3372" s="23" t="s">
        <v>1388</v>
      </c>
      <c r="G3372" s="62" t="str">
        <f t="shared" si="8"/>
        <v>77057</v>
      </c>
      <c r="H3372" s="58" t="s">
        <v>50</v>
      </c>
      <c r="I3372" s="37" t="str">
        <f>VLOOKUP(H3372,'Flow Location'!$A$1:$B$21,2,FALSE)</f>
        <v>Contained On Site, not within 5 ft. of Bayou/Surface Water/Drainage Ditch</v>
      </c>
      <c r="J3372" s="63">
        <v>596.0</v>
      </c>
      <c r="K3372" s="51" t="s">
        <v>29</v>
      </c>
      <c r="L3372" s="37" t="str">
        <f>VLOOKUP(K3372,'Structure type'!$A$1:$B$15,2,FALSE)</f>
        <v>Manhole</v>
      </c>
      <c r="M3372" s="51" t="s">
        <v>30</v>
      </c>
      <c r="N3372" s="23" t="str">
        <f>VLOOKUP(M3372,'Excursion Cause'!$A$1:$B$34,2,FALSE)</f>
        <v>Grease Blockage</v>
      </c>
      <c r="O3372" s="53">
        <v>45300.0</v>
      </c>
      <c r="P3372" s="54">
        <v>0.37777777777777777</v>
      </c>
      <c r="Q3372" s="55">
        <v>45300.0</v>
      </c>
      <c r="R3372" s="54">
        <v>0.7916666666666666</v>
      </c>
      <c r="S3372" s="52">
        <v>1.0</v>
      </c>
      <c r="T3372" s="51" t="s">
        <v>1462</v>
      </c>
      <c r="U3372" s="56"/>
      <c r="V3372" s="56"/>
      <c r="W3372" s="35">
        <v>29.7510345</v>
      </c>
      <c r="X3372" s="35">
        <v>-95.4835568</v>
      </c>
      <c r="AA3372" s="33"/>
      <c r="AB3372" s="33"/>
      <c r="AC3372" s="33"/>
      <c r="AD3372" s="33"/>
      <c r="AE3372" s="33"/>
      <c r="AF3372" s="33"/>
      <c r="AG3372" s="33"/>
      <c r="AH3372" s="33"/>
      <c r="AI3372" s="33"/>
      <c r="AJ3372" s="33"/>
      <c r="AK3372" s="33"/>
      <c r="AL3372" s="33"/>
      <c r="AM3372" s="33"/>
      <c r="AN3372" s="33"/>
      <c r="AO3372" s="33"/>
    </row>
    <row r="3373" ht="15.75" customHeight="1">
      <c r="A3373" s="60">
        <v>57443.0</v>
      </c>
      <c r="B3373" s="61">
        <v>2024.0</v>
      </c>
      <c r="C3373" s="36" t="str">
        <f t="shared" si="7"/>
        <v>4102 MANGUM RD,Houston,TX</v>
      </c>
      <c r="D3373" s="51" t="s">
        <v>4151</v>
      </c>
      <c r="E3373" s="23" t="s">
        <v>25</v>
      </c>
      <c r="F3373" s="23" t="s">
        <v>1388</v>
      </c>
      <c r="G3373" s="62" t="str">
        <f t="shared" si="8"/>
        <v>77092</v>
      </c>
      <c r="H3373" s="58" t="s">
        <v>28</v>
      </c>
      <c r="I3373" s="37" t="str">
        <f>VLOOKUP(H3373,'Flow Location'!$A$1:$B$21,2,FALSE)</f>
        <v>Storm Sewer (not contained)</v>
      </c>
      <c r="J3373" s="63">
        <v>0.0</v>
      </c>
      <c r="K3373" s="51" t="s">
        <v>45</v>
      </c>
      <c r="L3373" s="37" t="str">
        <f>VLOOKUP(K3373,'Structure type'!$A$1:$B$15,2,FALSE)</f>
        <v>City Cleanout</v>
      </c>
      <c r="M3373" s="51" t="s">
        <v>56</v>
      </c>
      <c r="N3373" s="23" t="str">
        <f>VLOOKUP(M3373,'Excursion Cause'!$A$1:$B$34,2,FALSE)</f>
        <v>Rags/Wipes</v>
      </c>
      <c r="O3373" s="53">
        <v>45300.0</v>
      </c>
      <c r="P3373" s="54">
        <v>0.6215277777777778</v>
      </c>
      <c r="Q3373" s="55">
        <v>45300.0</v>
      </c>
      <c r="R3373" s="54">
        <v>0.6222222222222222</v>
      </c>
      <c r="S3373" s="52">
        <v>0.0</v>
      </c>
      <c r="T3373" s="51" t="s">
        <v>1436</v>
      </c>
      <c r="U3373" s="56"/>
      <c r="V3373" s="56"/>
      <c r="W3373" s="35">
        <v>29.8279639</v>
      </c>
      <c r="X3373" s="35">
        <v>-95.4614402999999</v>
      </c>
      <c r="AA3373" s="33"/>
      <c r="AB3373" s="33"/>
      <c r="AC3373" s="33"/>
      <c r="AD3373" s="33"/>
      <c r="AE3373" s="33"/>
      <c r="AF3373" s="33"/>
      <c r="AG3373" s="33"/>
      <c r="AH3373" s="33"/>
      <c r="AI3373" s="33"/>
      <c r="AJ3373" s="33"/>
      <c r="AK3373" s="33"/>
      <c r="AL3373" s="33"/>
      <c r="AM3373" s="33"/>
      <c r="AN3373" s="33"/>
      <c r="AO3373" s="33"/>
    </row>
    <row r="3374" ht="15.75" customHeight="1">
      <c r="A3374" s="60">
        <v>57449.0</v>
      </c>
      <c r="B3374" s="61">
        <v>2024.0</v>
      </c>
      <c r="C3374" s="36" t="str">
        <f t="shared" si="7"/>
        <v>15731 TANYA CIR,Houston,TX</v>
      </c>
      <c r="D3374" s="51" t="s">
        <v>5196</v>
      </c>
      <c r="E3374" s="23" t="s">
        <v>25</v>
      </c>
      <c r="F3374" s="23" t="s">
        <v>1388</v>
      </c>
      <c r="G3374" s="62" t="str">
        <f t="shared" si="8"/>
        <v>77079</v>
      </c>
      <c r="H3374" s="58" t="s">
        <v>50</v>
      </c>
      <c r="I3374" s="37" t="str">
        <f>VLOOKUP(H3374,'Flow Location'!$A$1:$B$21,2,FALSE)</f>
        <v>Contained On Site, not within 5 ft. of Bayou/Surface Water/Drainage Ditch</v>
      </c>
      <c r="J3374" s="63">
        <v>0.0</v>
      </c>
      <c r="K3374" s="51" t="s">
        <v>51</v>
      </c>
      <c r="L3374" s="37" t="str">
        <f>VLOOKUP(K3374,'Structure type'!$A$1:$B$15,2,FALSE)</f>
        <v>Private Cleanout</v>
      </c>
      <c r="M3374" s="51" t="s">
        <v>30</v>
      </c>
      <c r="N3374" s="23" t="str">
        <f>VLOOKUP(M3374,'Excursion Cause'!$A$1:$B$34,2,FALSE)</f>
        <v>Grease Blockage</v>
      </c>
      <c r="O3374" s="53">
        <v>45301.0</v>
      </c>
      <c r="P3374" s="54">
        <v>0.37569444444444444</v>
      </c>
      <c r="Q3374" s="55">
        <v>45301.0</v>
      </c>
      <c r="R3374" s="54">
        <v>0.3763888888888889</v>
      </c>
      <c r="S3374" s="52">
        <v>0.0</v>
      </c>
      <c r="T3374" s="51" t="s">
        <v>1473</v>
      </c>
      <c r="U3374" s="56"/>
      <c r="V3374" s="56"/>
      <c r="W3374" s="35">
        <v>29.7725394</v>
      </c>
      <c r="X3374" s="35">
        <v>-95.6348003999999</v>
      </c>
      <c r="AA3374" s="33"/>
      <c r="AB3374" s="33"/>
      <c r="AC3374" s="33"/>
      <c r="AD3374" s="33"/>
      <c r="AE3374" s="33"/>
      <c r="AF3374" s="33"/>
      <c r="AG3374" s="33"/>
      <c r="AH3374" s="33"/>
      <c r="AI3374" s="33"/>
      <c r="AJ3374" s="33"/>
      <c r="AK3374" s="33"/>
      <c r="AL3374" s="33"/>
      <c r="AM3374" s="33"/>
      <c r="AN3374" s="33"/>
      <c r="AO3374" s="33"/>
    </row>
    <row r="3375" ht="15.75" customHeight="1">
      <c r="A3375" s="60">
        <v>57450.0</v>
      </c>
      <c r="B3375" s="61">
        <v>2024.0</v>
      </c>
      <c r="C3375" s="36" t="str">
        <f t="shared" si="7"/>
        <v>5005 BRADY ST,Houston,TX</v>
      </c>
      <c r="D3375" s="51" t="s">
        <v>5197</v>
      </c>
      <c r="E3375" s="23" t="s">
        <v>25</v>
      </c>
      <c r="F3375" s="23" t="s">
        <v>1388</v>
      </c>
      <c r="G3375" s="62" t="str">
        <f t="shared" si="8"/>
        <v>77011</v>
      </c>
      <c r="H3375" s="58" t="s">
        <v>50</v>
      </c>
      <c r="I3375" s="37" t="str">
        <f>VLOOKUP(H3375,'Flow Location'!$A$1:$B$21,2,FALSE)</f>
        <v>Contained On Site, not within 5 ft. of Bayou/Surface Water/Drainage Ditch</v>
      </c>
      <c r="J3375" s="63">
        <v>0.0</v>
      </c>
      <c r="K3375" s="51" t="s">
        <v>45</v>
      </c>
      <c r="L3375" s="37" t="str">
        <f>VLOOKUP(K3375,'Structure type'!$A$1:$B$15,2,FALSE)</f>
        <v>City Cleanout</v>
      </c>
      <c r="M3375" s="51" t="s">
        <v>30</v>
      </c>
      <c r="N3375" s="23" t="str">
        <f>VLOOKUP(M3375,'Excursion Cause'!$A$1:$B$34,2,FALSE)</f>
        <v>Grease Blockage</v>
      </c>
      <c r="O3375" s="53">
        <v>45301.0</v>
      </c>
      <c r="P3375" s="54">
        <v>0.375</v>
      </c>
      <c r="Q3375" s="55">
        <v>45301.0</v>
      </c>
      <c r="R3375" s="54">
        <v>0.37569444444444444</v>
      </c>
      <c r="S3375" s="52">
        <v>0.0</v>
      </c>
      <c r="T3375" s="51" t="s">
        <v>1436</v>
      </c>
      <c r="U3375" s="56"/>
      <c r="V3375" s="56"/>
      <c r="W3375" s="35">
        <v>29.74611</v>
      </c>
      <c r="X3375" s="35">
        <v>-95.3238743</v>
      </c>
      <c r="AA3375" s="33"/>
      <c r="AB3375" s="33"/>
      <c r="AC3375" s="33"/>
      <c r="AD3375" s="33"/>
      <c r="AE3375" s="33"/>
      <c r="AF3375" s="33"/>
      <c r="AG3375" s="33"/>
      <c r="AH3375" s="33"/>
      <c r="AI3375" s="33"/>
      <c r="AJ3375" s="33"/>
      <c r="AK3375" s="33"/>
      <c r="AL3375" s="33"/>
      <c r="AM3375" s="33"/>
      <c r="AN3375" s="33"/>
      <c r="AO3375" s="33"/>
    </row>
    <row r="3376" ht="15.75" customHeight="1">
      <c r="A3376" s="60">
        <v>57456.0</v>
      </c>
      <c r="B3376" s="61">
        <v>2024.0</v>
      </c>
      <c r="C3376" s="36" t="str">
        <f t="shared" si="7"/>
        <v>4502 SHARON ST,Houston,TX</v>
      </c>
      <c r="D3376" s="51" t="s">
        <v>5198</v>
      </c>
      <c r="E3376" s="23" t="s">
        <v>25</v>
      </c>
      <c r="F3376" s="23" t="s">
        <v>1388</v>
      </c>
      <c r="G3376" s="62" t="str">
        <f t="shared" si="8"/>
        <v>77020</v>
      </c>
      <c r="H3376" s="58" t="s">
        <v>28</v>
      </c>
      <c r="I3376" s="37" t="str">
        <f>VLOOKUP(H3376,'Flow Location'!$A$1:$B$21,2,FALSE)</f>
        <v>Storm Sewer (not contained)</v>
      </c>
      <c r="J3376" s="63">
        <v>0.0</v>
      </c>
      <c r="K3376" s="51" t="s">
        <v>45</v>
      </c>
      <c r="L3376" s="37" t="str">
        <f>VLOOKUP(K3376,'Structure type'!$A$1:$B$15,2,FALSE)</f>
        <v>City Cleanout</v>
      </c>
      <c r="M3376" s="51" t="s">
        <v>96</v>
      </c>
      <c r="N3376" s="23" t="str">
        <f>VLOOKUP(M3376,'Excursion Cause'!$A$1:$B$34,2,FALSE)</f>
        <v>Collection system temporary blockage</v>
      </c>
      <c r="O3376" s="53">
        <v>45301.0</v>
      </c>
      <c r="P3376" s="54">
        <v>0.46041666666666664</v>
      </c>
      <c r="Q3376" s="55">
        <v>45301.0</v>
      </c>
      <c r="R3376" s="54">
        <v>0.46111111111111114</v>
      </c>
      <c r="S3376" s="52">
        <v>0.0</v>
      </c>
      <c r="T3376" s="51" t="s">
        <v>1462</v>
      </c>
      <c r="U3376" s="56"/>
      <c r="V3376" s="56"/>
      <c r="W3376" s="35">
        <v>29.7714812</v>
      </c>
      <c r="X3376" s="35">
        <v>-95.3254225</v>
      </c>
      <c r="AA3376" s="33"/>
      <c r="AB3376" s="33"/>
      <c r="AC3376" s="33"/>
      <c r="AD3376" s="33"/>
      <c r="AE3376" s="33"/>
      <c r="AF3376" s="33"/>
      <c r="AG3376" s="33"/>
      <c r="AH3376" s="33"/>
      <c r="AI3376" s="33"/>
      <c r="AJ3376" s="33"/>
      <c r="AK3376" s="33"/>
      <c r="AL3376" s="33"/>
      <c r="AM3376" s="33"/>
      <c r="AN3376" s="33"/>
      <c r="AO3376" s="33"/>
    </row>
    <row r="3377" ht="15.75" customHeight="1">
      <c r="A3377" s="60">
        <v>57461.0</v>
      </c>
      <c r="B3377" s="61">
        <v>2024.0</v>
      </c>
      <c r="C3377" s="36" t="str">
        <f t="shared" si="7"/>
        <v>5954 SOUTHSEAS ST,Houston,TX</v>
      </c>
      <c r="D3377" s="51" t="s">
        <v>5187</v>
      </c>
      <c r="E3377" s="23" t="s">
        <v>25</v>
      </c>
      <c r="F3377" s="23" t="s">
        <v>1388</v>
      </c>
      <c r="G3377" s="62" t="str">
        <f t="shared" si="8"/>
        <v>77033</v>
      </c>
      <c r="H3377" s="58" t="s">
        <v>50</v>
      </c>
      <c r="I3377" s="37" t="str">
        <f>VLOOKUP(H3377,'Flow Location'!$A$1:$B$21,2,FALSE)</f>
        <v>Contained On Site, not within 5 ft. of Bayou/Surface Water/Drainage Ditch</v>
      </c>
      <c r="J3377" s="63">
        <v>0.0</v>
      </c>
      <c r="K3377" s="51" t="s">
        <v>51</v>
      </c>
      <c r="L3377" s="37" t="str">
        <f>VLOOKUP(K3377,'Structure type'!$A$1:$B$15,2,FALSE)</f>
        <v>Private Cleanout</v>
      </c>
      <c r="M3377" s="51" t="s">
        <v>81</v>
      </c>
      <c r="N3377" s="23" t="str">
        <f>VLOOKUP(M3377,'Excursion Cause'!$A$1:$B$34,2,FALSE)</f>
        <v>Collection system structural failure</v>
      </c>
      <c r="O3377" s="53">
        <v>45301.0</v>
      </c>
      <c r="P3377" s="54">
        <v>0.4979166666666667</v>
      </c>
      <c r="Q3377" s="55">
        <v>45301.0</v>
      </c>
      <c r="R3377" s="54">
        <v>0.4986111111111111</v>
      </c>
      <c r="S3377" s="52">
        <v>0.0</v>
      </c>
      <c r="T3377" s="51" t="s">
        <v>1473</v>
      </c>
      <c r="U3377" s="56"/>
      <c r="V3377" s="56"/>
      <c r="W3377" s="35">
        <v>29.6762704</v>
      </c>
      <c r="X3377" s="35">
        <v>-95.3294518</v>
      </c>
      <c r="AA3377" s="33"/>
      <c r="AB3377" s="33"/>
      <c r="AC3377" s="33"/>
      <c r="AD3377" s="33"/>
      <c r="AE3377" s="33"/>
      <c r="AF3377" s="33"/>
      <c r="AG3377" s="33"/>
      <c r="AH3377" s="33"/>
      <c r="AI3377" s="33"/>
      <c r="AJ3377" s="33"/>
      <c r="AK3377" s="33"/>
      <c r="AL3377" s="33"/>
      <c r="AM3377" s="33"/>
      <c r="AN3377" s="33"/>
      <c r="AO3377" s="33"/>
    </row>
    <row r="3378" ht="15.75" customHeight="1">
      <c r="A3378" s="60">
        <v>57463.0</v>
      </c>
      <c r="B3378" s="61">
        <v>2024.0</v>
      </c>
      <c r="C3378" s="36" t="str">
        <f t="shared" si="7"/>
        <v>6507 SOUTHBROOK DR,Houston,TX</v>
      </c>
      <c r="D3378" s="51" t="s">
        <v>5199</v>
      </c>
      <c r="E3378" s="23" t="s">
        <v>25</v>
      </c>
      <c r="F3378" s="23" t="s">
        <v>1388</v>
      </c>
      <c r="G3378" s="62" t="str">
        <f t="shared" si="8"/>
        <v>77087</v>
      </c>
      <c r="H3378" s="58" t="s">
        <v>50</v>
      </c>
      <c r="I3378" s="37" t="str">
        <f>VLOOKUP(H3378,'Flow Location'!$A$1:$B$21,2,FALSE)</f>
        <v>Contained On Site, not within 5 ft. of Bayou/Surface Water/Drainage Ditch</v>
      </c>
      <c r="J3378" s="63">
        <v>0.0</v>
      </c>
      <c r="K3378" s="51" t="s">
        <v>45</v>
      </c>
      <c r="L3378" s="37" t="str">
        <f>VLOOKUP(K3378,'Structure type'!$A$1:$B$15,2,FALSE)</f>
        <v>City Cleanout</v>
      </c>
      <c r="M3378" s="51" t="s">
        <v>81</v>
      </c>
      <c r="N3378" s="23" t="str">
        <f>VLOOKUP(M3378,'Excursion Cause'!$A$1:$B$34,2,FALSE)</f>
        <v>Collection system structural failure</v>
      </c>
      <c r="O3378" s="53">
        <v>45301.0</v>
      </c>
      <c r="P3378" s="54">
        <v>0.5736111111111111</v>
      </c>
      <c r="Q3378" s="55">
        <v>45301.0</v>
      </c>
      <c r="R3378" s="54">
        <v>0.5743055555555555</v>
      </c>
      <c r="S3378" s="52">
        <v>0.0</v>
      </c>
      <c r="T3378" s="51" t="s">
        <v>1473</v>
      </c>
      <c r="U3378" s="56"/>
      <c r="V3378" s="56"/>
      <c r="W3378" s="35">
        <v>29.6586017</v>
      </c>
      <c r="X3378" s="35">
        <v>-95.3112714999999</v>
      </c>
      <c r="AA3378" s="33"/>
      <c r="AB3378" s="33"/>
      <c r="AC3378" s="33"/>
      <c r="AD3378" s="33"/>
      <c r="AE3378" s="33"/>
      <c r="AF3378" s="33"/>
      <c r="AG3378" s="33"/>
      <c r="AH3378" s="33"/>
      <c r="AI3378" s="33"/>
      <c r="AJ3378" s="33"/>
      <c r="AK3378" s="33"/>
      <c r="AL3378" s="33"/>
      <c r="AM3378" s="33"/>
      <c r="AN3378" s="33"/>
      <c r="AO3378" s="33"/>
    </row>
    <row r="3379" ht="15.75" customHeight="1">
      <c r="A3379" s="60">
        <v>57464.0</v>
      </c>
      <c r="B3379" s="61">
        <v>2024.0</v>
      </c>
      <c r="C3379" s="36" t="str">
        <f t="shared" si="7"/>
        <v>7612 MAGNOLIA ST,Houston,TX</v>
      </c>
      <c r="D3379" s="51" t="s">
        <v>5200</v>
      </c>
      <c r="E3379" s="23" t="s">
        <v>25</v>
      </c>
      <c r="F3379" s="23" t="s">
        <v>1388</v>
      </c>
      <c r="G3379" s="62" t="str">
        <f t="shared" si="8"/>
        <v>77023</v>
      </c>
      <c r="H3379" s="58" t="s">
        <v>50</v>
      </c>
      <c r="I3379" s="37" t="str">
        <f>VLOOKUP(H3379,'Flow Location'!$A$1:$B$21,2,FALSE)</f>
        <v>Contained On Site, not within 5 ft. of Bayou/Surface Water/Drainage Ditch</v>
      </c>
      <c r="J3379" s="63">
        <v>0.0</v>
      </c>
      <c r="K3379" s="51" t="s">
        <v>51</v>
      </c>
      <c r="L3379" s="37" t="str">
        <f>VLOOKUP(K3379,'Structure type'!$A$1:$B$15,2,FALSE)</f>
        <v>Private Cleanout</v>
      </c>
      <c r="M3379" s="51" t="s">
        <v>30</v>
      </c>
      <c r="N3379" s="23" t="str">
        <f>VLOOKUP(M3379,'Excursion Cause'!$A$1:$B$34,2,FALSE)</f>
        <v>Grease Blockage</v>
      </c>
      <c r="O3379" s="53">
        <v>45301.0</v>
      </c>
      <c r="P3379" s="54">
        <v>0.58125</v>
      </c>
      <c r="Q3379" s="55">
        <v>45301.0</v>
      </c>
      <c r="R3379" s="54">
        <v>0.5819444444444445</v>
      </c>
      <c r="S3379" s="52">
        <v>0.0</v>
      </c>
      <c r="T3379" s="51" t="s">
        <v>1462</v>
      </c>
      <c r="U3379" s="56"/>
      <c r="V3379" s="56"/>
      <c r="W3379" s="35">
        <v>29.7188183</v>
      </c>
      <c r="X3379" s="35">
        <v>-95.2914919</v>
      </c>
      <c r="AA3379" s="33"/>
      <c r="AB3379" s="33"/>
      <c r="AC3379" s="33"/>
      <c r="AD3379" s="33"/>
      <c r="AE3379" s="33"/>
      <c r="AF3379" s="33"/>
      <c r="AG3379" s="33"/>
      <c r="AH3379" s="33"/>
      <c r="AI3379" s="33"/>
      <c r="AJ3379" s="33"/>
      <c r="AK3379" s="33"/>
      <c r="AL3379" s="33"/>
      <c r="AM3379" s="33"/>
      <c r="AN3379" s="33"/>
      <c r="AO3379" s="33"/>
    </row>
    <row r="3380" ht="15.75" customHeight="1">
      <c r="A3380" s="60">
        <v>57467.0</v>
      </c>
      <c r="B3380" s="61">
        <v>2024.0</v>
      </c>
      <c r="C3380" s="36" t="str">
        <f t="shared" si="7"/>
        <v>617 WARNER ST,Houston,TX</v>
      </c>
      <c r="D3380" s="51" t="s">
        <v>1061</v>
      </c>
      <c r="E3380" s="23" t="s">
        <v>25</v>
      </c>
      <c r="F3380" s="23" t="s">
        <v>1388</v>
      </c>
      <c r="G3380" s="62" t="str">
        <f t="shared" si="8"/>
        <v>77022</v>
      </c>
      <c r="H3380" s="58" t="s">
        <v>28</v>
      </c>
      <c r="I3380" s="37" t="str">
        <f>VLOOKUP(H3380,'Flow Location'!$A$1:$B$21,2,FALSE)</f>
        <v>Storm Sewer (not contained)</v>
      </c>
      <c r="J3380" s="63">
        <v>0.0</v>
      </c>
      <c r="K3380" s="51" t="s">
        <v>45</v>
      </c>
      <c r="L3380" s="37" t="str">
        <f>VLOOKUP(K3380,'Structure type'!$A$1:$B$15,2,FALSE)</f>
        <v>City Cleanout</v>
      </c>
      <c r="M3380" s="51" t="s">
        <v>52</v>
      </c>
      <c r="N3380" s="23" t="str">
        <f>VLOOKUP(M3380,'Excursion Cause'!$A$1:$B$34,2,FALSE)</f>
        <v>Collection system structural blockage</v>
      </c>
      <c r="O3380" s="53">
        <v>45301.0</v>
      </c>
      <c r="P3380" s="54">
        <v>0.6493055555555556</v>
      </c>
      <c r="Q3380" s="55">
        <v>45301.0</v>
      </c>
      <c r="R3380" s="54">
        <v>0.65</v>
      </c>
      <c r="S3380" s="52">
        <v>0.0</v>
      </c>
      <c r="T3380" s="51" t="s">
        <v>3743</v>
      </c>
      <c r="U3380" s="56"/>
      <c r="V3380" s="56"/>
      <c r="W3380" s="35">
        <v>29.8409649</v>
      </c>
      <c r="X3380" s="35">
        <v>-95.3667419</v>
      </c>
      <c r="AA3380" s="33"/>
      <c r="AB3380" s="33"/>
      <c r="AC3380" s="33"/>
      <c r="AD3380" s="33"/>
      <c r="AE3380" s="33"/>
      <c r="AF3380" s="33"/>
      <c r="AG3380" s="33"/>
      <c r="AH3380" s="33"/>
      <c r="AI3380" s="33"/>
      <c r="AJ3380" s="33"/>
      <c r="AK3380" s="33"/>
      <c r="AL3380" s="33"/>
      <c r="AM3380" s="33"/>
      <c r="AN3380" s="33"/>
      <c r="AO3380" s="33"/>
    </row>
    <row r="3381" ht="15.75" customHeight="1">
      <c r="A3381" s="60">
        <v>57470.0</v>
      </c>
      <c r="B3381" s="61">
        <v>2024.0</v>
      </c>
      <c r="C3381" s="36" t="str">
        <f t="shared" si="7"/>
        <v>8234 JET PILOT AVE,Houston,TX</v>
      </c>
      <c r="D3381" s="51" t="s">
        <v>5201</v>
      </c>
      <c r="E3381" s="23" t="s">
        <v>25</v>
      </c>
      <c r="F3381" s="23" t="s">
        <v>1388</v>
      </c>
      <c r="G3381" s="62" t="str">
        <f t="shared" si="8"/>
        <v>77075</v>
      </c>
      <c r="H3381" s="58" t="s">
        <v>1493</v>
      </c>
      <c r="I3381" s="37" t="str">
        <f>VLOOKUP(H3381,'Flow Location'!$A$1:$B$21,2,FALSE)</f>
        <v>Contained On Site, not within 5 ft. of Bayou/Surface Water/Drainage Ditch</v>
      </c>
      <c r="J3381" s="63">
        <v>0.0</v>
      </c>
      <c r="K3381" s="51" t="s">
        <v>45</v>
      </c>
      <c r="L3381" s="37" t="str">
        <f>VLOOKUP(K3381,'Structure type'!$A$1:$B$15,2,FALSE)</f>
        <v>City Cleanout</v>
      </c>
      <c r="M3381" s="51" t="s">
        <v>30</v>
      </c>
      <c r="N3381" s="23" t="str">
        <f>VLOOKUP(M3381,'Excursion Cause'!$A$1:$B$34,2,FALSE)</f>
        <v>Grease Blockage</v>
      </c>
      <c r="O3381" s="53">
        <v>45301.0</v>
      </c>
      <c r="P3381" s="54">
        <v>0.6659722222222222</v>
      </c>
      <c r="Q3381" s="55">
        <v>45301.0</v>
      </c>
      <c r="R3381" s="54">
        <v>0.6666666666666666</v>
      </c>
      <c r="S3381" s="52">
        <v>0.0</v>
      </c>
      <c r="T3381" s="51" t="s">
        <v>3756</v>
      </c>
      <c r="U3381" s="56"/>
      <c r="V3381" s="56"/>
      <c r="W3381" s="35">
        <v>29.6327798</v>
      </c>
      <c r="X3381" s="35">
        <v>-95.2721782</v>
      </c>
      <c r="AA3381" s="33"/>
      <c r="AB3381" s="33"/>
      <c r="AC3381" s="33"/>
      <c r="AD3381" s="33"/>
      <c r="AE3381" s="33"/>
      <c r="AF3381" s="33"/>
      <c r="AG3381" s="33"/>
      <c r="AH3381" s="33"/>
      <c r="AI3381" s="33"/>
      <c r="AJ3381" s="33"/>
      <c r="AK3381" s="33"/>
      <c r="AL3381" s="33"/>
      <c r="AM3381" s="33"/>
      <c r="AN3381" s="33"/>
      <c r="AO3381" s="33"/>
    </row>
    <row r="3382" ht="15.75" customHeight="1">
      <c r="A3382" s="60">
        <v>57472.0</v>
      </c>
      <c r="B3382" s="61">
        <v>2024.0</v>
      </c>
      <c r="C3382" s="36" t="str">
        <f t="shared" si="7"/>
        <v>3402 LAS PALMAS ST,Houston,TX</v>
      </c>
      <c r="D3382" s="51" t="s">
        <v>5171</v>
      </c>
      <c r="E3382" s="23" t="s">
        <v>25</v>
      </c>
      <c r="F3382" s="23" t="s">
        <v>1388</v>
      </c>
      <c r="G3382" s="62" t="str">
        <f t="shared" si="8"/>
        <v>77027</v>
      </c>
      <c r="H3382" s="58" t="s">
        <v>50</v>
      </c>
      <c r="I3382" s="37" t="str">
        <f>VLOOKUP(H3382,'Flow Location'!$A$1:$B$21,2,FALSE)</f>
        <v>Contained On Site, not within 5 ft. of Bayou/Surface Water/Drainage Ditch</v>
      </c>
      <c r="J3382" s="63">
        <v>0.0</v>
      </c>
      <c r="K3382" s="51" t="s">
        <v>51</v>
      </c>
      <c r="L3382" s="37" t="str">
        <f>VLOOKUP(K3382,'Structure type'!$A$1:$B$15,2,FALSE)</f>
        <v>Private Cleanout</v>
      </c>
      <c r="M3382" s="51" t="s">
        <v>30</v>
      </c>
      <c r="N3382" s="23" t="str">
        <f>VLOOKUP(M3382,'Excursion Cause'!$A$1:$B$34,2,FALSE)</f>
        <v>Grease Blockage</v>
      </c>
      <c r="O3382" s="53">
        <v>45301.0</v>
      </c>
      <c r="P3382" s="54">
        <v>0.3548611111111111</v>
      </c>
      <c r="Q3382" s="55">
        <v>45301.0</v>
      </c>
      <c r="R3382" s="54">
        <v>0.35555555555555557</v>
      </c>
      <c r="S3382" s="52">
        <v>0.0</v>
      </c>
      <c r="T3382" s="51" t="s">
        <v>3749</v>
      </c>
      <c r="U3382" s="56"/>
      <c r="V3382" s="56"/>
      <c r="W3382" s="35">
        <v>29.7347872</v>
      </c>
      <c r="X3382" s="35">
        <v>-95.4444080999999</v>
      </c>
      <c r="AA3382" s="33"/>
      <c r="AB3382" s="33"/>
      <c r="AC3382" s="33"/>
      <c r="AD3382" s="33"/>
      <c r="AE3382" s="33"/>
      <c r="AF3382" s="33"/>
      <c r="AG3382" s="33"/>
      <c r="AH3382" s="33"/>
      <c r="AI3382" s="33"/>
      <c r="AJ3382" s="33"/>
      <c r="AK3382" s="33"/>
      <c r="AL3382" s="33"/>
      <c r="AM3382" s="33"/>
      <c r="AN3382" s="33"/>
      <c r="AO3382" s="33"/>
    </row>
    <row r="3383" ht="15.75" customHeight="1">
      <c r="A3383" s="60">
        <v>57473.0</v>
      </c>
      <c r="B3383" s="61">
        <v>2024.0</v>
      </c>
      <c r="C3383" s="36" t="str">
        <f t="shared" si="7"/>
        <v>10210 EMNORA LN,Houston,TX</v>
      </c>
      <c r="D3383" s="51" t="s">
        <v>5202</v>
      </c>
      <c r="E3383" s="23" t="s">
        <v>25</v>
      </c>
      <c r="F3383" s="23" t="s">
        <v>1388</v>
      </c>
      <c r="G3383" s="62" t="str">
        <f t="shared" si="8"/>
        <v>77043</v>
      </c>
      <c r="H3383" s="58" t="s">
        <v>28</v>
      </c>
      <c r="I3383" s="37" t="str">
        <f>VLOOKUP(H3383,'Flow Location'!$A$1:$B$21,2,FALSE)</f>
        <v>Storm Sewer (not contained)</v>
      </c>
      <c r="J3383" s="63">
        <v>855.0</v>
      </c>
      <c r="K3383" s="51" t="s">
        <v>198</v>
      </c>
      <c r="L3383" s="37" t="str">
        <f>VLOOKUP(K3383,'Structure type'!$A$1:$B$15,2,FALSE)</f>
        <v>Service Lateral</v>
      </c>
      <c r="M3383" s="51" t="s">
        <v>81</v>
      </c>
      <c r="N3383" s="23" t="str">
        <f>VLOOKUP(M3383,'Excursion Cause'!$A$1:$B$34,2,FALSE)</f>
        <v>Collection system structural failure</v>
      </c>
      <c r="O3383" s="53">
        <v>45302.0</v>
      </c>
      <c r="P3383" s="54">
        <v>0.39652777777777776</v>
      </c>
      <c r="Q3383" s="55">
        <v>45303.0</v>
      </c>
      <c r="R3383" s="54">
        <v>0.5833333333333334</v>
      </c>
      <c r="S3383" s="52">
        <v>1.0</v>
      </c>
      <c r="T3383" s="51" t="s">
        <v>118</v>
      </c>
      <c r="U3383" s="56"/>
      <c r="V3383" s="56"/>
      <c r="W3383" s="35">
        <v>29.81564</v>
      </c>
      <c r="X3383" s="35">
        <v>-95.5459171999999</v>
      </c>
      <c r="AA3383" s="33"/>
      <c r="AB3383" s="33"/>
      <c r="AC3383" s="33"/>
      <c r="AD3383" s="33"/>
      <c r="AE3383" s="33"/>
      <c r="AF3383" s="33"/>
      <c r="AG3383" s="33"/>
      <c r="AH3383" s="33"/>
      <c r="AI3383" s="33"/>
      <c r="AJ3383" s="33"/>
      <c r="AK3383" s="33"/>
      <c r="AL3383" s="33"/>
      <c r="AM3383" s="33"/>
      <c r="AN3383" s="33"/>
      <c r="AO3383" s="33"/>
    </row>
    <row r="3384" ht="15.75" customHeight="1">
      <c r="A3384" s="60">
        <v>57474.0</v>
      </c>
      <c r="B3384" s="61">
        <v>2024.0</v>
      </c>
      <c r="C3384" s="36" t="str">
        <f t="shared" si="7"/>
        <v>1520 MILFORD ST,Houston,TX</v>
      </c>
      <c r="D3384" s="51" t="s">
        <v>5203</v>
      </c>
      <c r="E3384" s="23" t="s">
        <v>25</v>
      </c>
      <c r="F3384" s="23" t="s">
        <v>1388</v>
      </c>
      <c r="G3384" s="62" t="str">
        <f t="shared" si="8"/>
        <v>77006</v>
      </c>
      <c r="H3384" s="58" t="s">
        <v>50</v>
      </c>
      <c r="I3384" s="37" t="str">
        <f>VLOOKUP(H3384,'Flow Location'!$A$1:$B$21,2,FALSE)</f>
        <v>Contained On Site, not within 5 ft. of Bayou/Surface Water/Drainage Ditch</v>
      </c>
      <c r="J3384" s="63">
        <v>23.0</v>
      </c>
      <c r="K3384" s="51" t="s">
        <v>290</v>
      </c>
      <c r="L3384" s="37" t="str">
        <f>VLOOKUP(K3384,'Structure type'!$A$1:$B$15,2,FALSE)</f>
        <v>Gravity Main</v>
      </c>
      <c r="M3384" s="51" t="s">
        <v>81</v>
      </c>
      <c r="N3384" s="23" t="str">
        <f>VLOOKUP(M3384,'Excursion Cause'!$A$1:$B$34,2,FALSE)</f>
        <v>Collection system structural failure</v>
      </c>
      <c r="O3384" s="53">
        <v>45302.0</v>
      </c>
      <c r="P3384" s="54">
        <v>0.44027777777777777</v>
      </c>
      <c r="Q3384" s="55">
        <v>45302.0</v>
      </c>
      <c r="R3384" s="54">
        <v>0.6236111111111111</v>
      </c>
      <c r="S3384" s="52">
        <v>0.0</v>
      </c>
      <c r="T3384" s="51" t="s">
        <v>1391</v>
      </c>
      <c r="U3384" s="56"/>
      <c r="V3384" s="56"/>
      <c r="W3384" s="35">
        <v>29.7293412</v>
      </c>
      <c r="X3384" s="35">
        <v>-95.3983112999999</v>
      </c>
      <c r="AA3384" s="33"/>
      <c r="AB3384" s="33"/>
      <c r="AC3384" s="33"/>
      <c r="AD3384" s="33"/>
      <c r="AE3384" s="33"/>
      <c r="AF3384" s="33"/>
      <c r="AG3384" s="33"/>
      <c r="AH3384" s="33"/>
      <c r="AI3384" s="33"/>
      <c r="AJ3384" s="33"/>
      <c r="AK3384" s="33"/>
      <c r="AL3384" s="33"/>
      <c r="AM3384" s="33"/>
      <c r="AN3384" s="33"/>
      <c r="AO3384" s="33"/>
    </row>
    <row r="3385" ht="15.75" customHeight="1">
      <c r="A3385" s="60">
        <v>57494.0</v>
      </c>
      <c r="B3385" s="61">
        <v>2024.0</v>
      </c>
      <c r="C3385" s="36" t="str">
        <f t="shared" si="7"/>
        <v>300 GILPIN ST,Houston,TX</v>
      </c>
      <c r="D3385" s="51" t="s">
        <v>5204</v>
      </c>
      <c r="E3385" s="23" t="s">
        <v>25</v>
      </c>
      <c r="F3385" s="23" t="s">
        <v>1388</v>
      </c>
      <c r="G3385" s="62" t="str">
        <f t="shared" si="8"/>
        <v>77034</v>
      </c>
      <c r="H3385" s="58" t="s">
        <v>1493</v>
      </c>
      <c r="I3385" s="37" t="str">
        <f>VLOOKUP(H3385,'Flow Location'!$A$1:$B$21,2,FALSE)</f>
        <v>Contained On Site, not within 5 ft. of Bayou/Surface Water/Drainage Ditch</v>
      </c>
      <c r="J3385" s="63">
        <v>0.0</v>
      </c>
      <c r="K3385" s="51" t="s">
        <v>190</v>
      </c>
      <c r="L3385" s="37" t="str">
        <f>VLOOKUP(K3385,'Structure type'!$A$1:$B$15,2,FALSE)</f>
        <v>Force Main</v>
      </c>
      <c r="M3385" s="51" t="s">
        <v>81</v>
      </c>
      <c r="N3385" s="23" t="str">
        <f>VLOOKUP(M3385,'Excursion Cause'!$A$1:$B$34,2,FALSE)</f>
        <v>Collection system structural failure</v>
      </c>
      <c r="O3385" s="53">
        <v>45297.0</v>
      </c>
      <c r="P3385" s="54">
        <v>0.9465277777777777</v>
      </c>
      <c r="Q3385" s="55">
        <v>45297.0</v>
      </c>
      <c r="R3385" s="54">
        <v>0.9472222222222222</v>
      </c>
      <c r="S3385" s="52">
        <v>0.0</v>
      </c>
      <c r="T3385" s="51" t="s">
        <v>118</v>
      </c>
      <c r="U3385" s="56"/>
      <c r="V3385" s="56"/>
      <c r="W3385" s="35">
        <v>29.6428744</v>
      </c>
      <c r="X3385" s="35">
        <v>-95.2205913</v>
      </c>
      <c r="AA3385" s="33"/>
      <c r="AB3385" s="33"/>
      <c r="AC3385" s="33"/>
      <c r="AD3385" s="33"/>
      <c r="AE3385" s="33"/>
      <c r="AF3385" s="33"/>
      <c r="AG3385" s="33"/>
      <c r="AH3385" s="33"/>
      <c r="AI3385" s="33"/>
      <c r="AJ3385" s="33"/>
      <c r="AK3385" s="33"/>
      <c r="AL3385" s="33"/>
      <c r="AM3385" s="33"/>
      <c r="AN3385" s="33"/>
      <c r="AO3385" s="33"/>
    </row>
    <row r="3386" ht="15.75" customHeight="1">
      <c r="A3386" s="60">
        <v>57489.0</v>
      </c>
      <c r="B3386" s="61">
        <v>2024.0</v>
      </c>
      <c r="C3386" s="36" t="str">
        <f t="shared" si="7"/>
        <v>963 VICTORY DR,Houston,TX</v>
      </c>
      <c r="D3386" s="51" t="s">
        <v>5205</v>
      </c>
      <c r="E3386" s="23" t="s">
        <v>25</v>
      </c>
      <c r="F3386" s="23" t="s">
        <v>1388</v>
      </c>
      <c r="G3386" s="62" t="str">
        <f t="shared" si="8"/>
        <v>77088</v>
      </c>
      <c r="H3386" s="58" t="s">
        <v>50</v>
      </c>
      <c r="I3386" s="37" t="str">
        <f>VLOOKUP(H3386,'Flow Location'!$A$1:$B$21,2,FALSE)</f>
        <v>Contained On Site, not within 5 ft. of Bayou/Surface Water/Drainage Ditch</v>
      </c>
      <c r="J3386" s="63">
        <v>0.0</v>
      </c>
      <c r="K3386" s="51" t="s">
        <v>51</v>
      </c>
      <c r="L3386" s="37" t="str">
        <f>VLOOKUP(K3386,'Structure type'!$A$1:$B$15,2,FALSE)</f>
        <v>Private Cleanout</v>
      </c>
      <c r="M3386" s="51" t="s">
        <v>52</v>
      </c>
      <c r="N3386" s="23" t="str">
        <f>VLOOKUP(M3386,'Excursion Cause'!$A$1:$B$34,2,FALSE)</f>
        <v>Collection system structural blockage</v>
      </c>
      <c r="O3386" s="53">
        <v>45303.0</v>
      </c>
      <c r="P3386" s="54">
        <v>0.3854166666666667</v>
      </c>
      <c r="Q3386" s="55">
        <v>45303.0</v>
      </c>
      <c r="R3386" s="54">
        <v>0.3861111111111111</v>
      </c>
      <c r="S3386" s="52">
        <v>0.0</v>
      </c>
      <c r="T3386" s="51" t="s">
        <v>3745</v>
      </c>
      <c r="U3386" s="56"/>
      <c r="V3386" s="56"/>
      <c r="W3386" s="35">
        <v>29.8706149999999</v>
      </c>
      <c r="X3386" s="35">
        <v>-95.4256427999999</v>
      </c>
      <c r="AA3386" s="33"/>
      <c r="AB3386" s="33"/>
      <c r="AC3386" s="33"/>
      <c r="AD3386" s="33"/>
      <c r="AE3386" s="33"/>
      <c r="AF3386" s="33"/>
      <c r="AG3386" s="33"/>
      <c r="AH3386" s="33"/>
      <c r="AI3386" s="33"/>
      <c r="AJ3386" s="33"/>
      <c r="AK3386" s="33"/>
      <c r="AL3386" s="33"/>
      <c r="AM3386" s="33"/>
      <c r="AN3386" s="33"/>
      <c r="AO3386" s="33"/>
    </row>
    <row r="3387" ht="15.75" customHeight="1">
      <c r="A3387" s="60">
        <v>57490.0</v>
      </c>
      <c r="B3387" s="61">
        <v>2024.0</v>
      </c>
      <c r="C3387" s="36" t="str">
        <f t="shared" si="7"/>
        <v>111 9TH ST,Houston,TX</v>
      </c>
      <c r="D3387" s="51" t="s">
        <v>5206</v>
      </c>
      <c r="E3387" s="23" t="s">
        <v>25</v>
      </c>
      <c r="F3387" s="23" t="s">
        <v>1388</v>
      </c>
      <c r="G3387" s="62" t="str">
        <f t="shared" si="8"/>
        <v>77007</v>
      </c>
      <c r="H3387" s="58" t="s">
        <v>50</v>
      </c>
      <c r="I3387" s="37" t="str">
        <f>VLOOKUP(H3387,'Flow Location'!$A$1:$B$21,2,FALSE)</f>
        <v>Contained On Site, not within 5 ft. of Bayou/Surface Water/Drainage Ditch</v>
      </c>
      <c r="J3387" s="63">
        <v>2776.0</v>
      </c>
      <c r="K3387" s="51" t="s">
        <v>29</v>
      </c>
      <c r="L3387" s="37" t="str">
        <f>VLOOKUP(K3387,'Structure type'!$A$1:$B$15,2,FALSE)</f>
        <v>Manhole</v>
      </c>
      <c r="M3387" s="51" t="s">
        <v>52</v>
      </c>
      <c r="N3387" s="23" t="str">
        <f>VLOOKUP(M3387,'Excursion Cause'!$A$1:$B$34,2,FALSE)</f>
        <v>Collection system structural blockage</v>
      </c>
      <c r="O3387" s="53">
        <v>45303.0</v>
      </c>
      <c r="P3387" s="54">
        <v>0.36944444444444446</v>
      </c>
      <c r="Q3387" s="55">
        <v>45304.0</v>
      </c>
      <c r="R3387" s="54">
        <v>0.3333333333333333</v>
      </c>
      <c r="S3387" s="52">
        <v>2.0</v>
      </c>
      <c r="T3387" s="51" t="s">
        <v>3749</v>
      </c>
      <c r="U3387" s="56"/>
      <c r="V3387" s="56"/>
      <c r="W3387" s="35">
        <v>29.7872418</v>
      </c>
      <c r="X3387" s="35">
        <v>-95.3968</v>
      </c>
      <c r="AA3387" s="33"/>
      <c r="AB3387" s="33"/>
      <c r="AC3387" s="33"/>
      <c r="AD3387" s="33"/>
      <c r="AE3387" s="33"/>
      <c r="AF3387" s="33"/>
      <c r="AG3387" s="33"/>
      <c r="AH3387" s="33"/>
      <c r="AI3387" s="33"/>
      <c r="AJ3387" s="33"/>
      <c r="AK3387" s="33"/>
      <c r="AL3387" s="33"/>
      <c r="AM3387" s="33"/>
      <c r="AN3387" s="33"/>
      <c r="AO3387" s="33"/>
    </row>
    <row r="3388" ht="15.75" customHeight="1">
      <c r="A3388" s="60">
        <v>57498.0</v>
      </c>
      <c r="B3388" s="61">
        <v>2024.0</v>
      </c>
      <c r="C3388" s="36" t="str">
        <f t="shared" si="7"/>
        <v>9555 CROFTON ST,Houston,TX</v>
      </c>
      <c r="D3388" s="51" t="s">
        <v>1224</v>
      </c>
      <c r="E3388" s="23" t="s">
        <v>25</v>
      </c>
      <c r="F3388" s="23" t="s">
        <v>1388</v>
      </c>
      <c r="G3388" s="62" t="str">
        <f t="shared" si="8"/>
        <v>77016</v>
      </c>
      <c r="H3388" s="58" t="s">
        <v>28</v>
      </c>
      <c r="I3388" s="37" t="str">
        <f>VLOOKUP(H3388,'Flow Location'!$A$1:$B$21,2,FALSE)</f>
        <v>Storm Sewer (not contained)</v>
      </c>
      <c r="J3388" s="63">
        <v>884.0</v>
      </c>
      <c r="K3388" s="51" t="s">
        <v>29</v>
      </c>
      <c r="L3388" s="37" t="str">
        <f>VLOOKUP(K3388,'Structure type'!$A$1:$B$15,2,FALSE)</f>
        <v>Manhole</v>
      </c>
      <c r="M3388" s="51" t="s">
        <v>30</v>
      </c>
      <c r="N3388" s="23" t="str">
        <f>VLOOKUP(M3388,'Excursion Cause'!$A$1:$B$34,2,FALSE)</f>
        <v>Grease Blockage</v>
      </c>
      <c r="O3388" s="53">
        <v>45304.0</v>
      </c>
      <c r="P3388" s="54">
        <v>0.3701388888888889</v>
      </c>
      <c r="Q3388" s="55">
        <v>45304.0</v>
      </c>
      <c r="R3388" s="54">
        <v>0.6770833333333334</v>
      </c>
      <c r="S3388" s="52">
        <v>2.0</v>
      </c>
      <c r="T3388" s="51" t="s">
        <v>3749</v>
      </c>
      <c r="U3388" s="56"/>
      <c r="V3388" s="56"/>
      <c r="W3388" s="35">
        <v>29.8504768</v>
      </c>
      <c r="X3388" s="35">
        <v>-95.3001634</v>
      </c>
      <c r="AA3388" s="33"/>
      <c r="AB3388" s="33"/>
      <c r="AC3388" s="33"/>
      <c r="AD3388" s="33"/>
      <c r="AE3388" s="33"/>
      <c r="AF3388" s="33"/>
      <c r="AG3388" s="33"/>
      <c r="AH3388" s="33"/>
      <c r="AI3388" s="33"/>
      <c r="AJ3388" s="33"/>
      <c r="AK3388" s="33"/>
      <c r="AL3388" s="33"/>
      <c r="AM3388" s="33"/>
      <c r="AN3388" s="33"/>
      <c r="AO3388" s="33"/>
    </row>
    <row r="3389" ht="15.75" customHeight="1">
      <c r="A3389" s="60">
        <v>57500.0</v>
      </c>
      <c r="B3389" s="61">
        <v>2024.0</v>
      </c>
      <c r="C3389" s="36" t="str">
        <f t="shared" si="7"/>
        <v>8510 SUNDERLAND RD,Houston,TX</v>
      </c>
      <c r="D3389" s="51" t="s">
        <v>5207</v>
      </c>
      <c r="E3389" s="23" t="s">
        <v>25</v>
      </c>
      <c r="F3389" s="23" t="s">
        <v>1388</v>
      </c>
      <c r="G3389" s="62" t="str">
        <f t="shared" si="8"/>
        <v>77028</v>
      </c>
      <c r="H3389" s="58" t="s">
        <v>44</v>
      </c>
      <c r="I3389" s="37" t="str">
        <f>VLOOKUP(H3389,'Flow Location'!$A$1:$B$21,2,FALSE)</f>
        <v>Bayou/surface water/drainage ditch</v>
      </c>
      <c r="J3389" s="63">
        <v>0.0</v>
      </c>
      <c r="K3389" s="51" t="s">
        <v>45</v>
      </c>
      <c r="L3389" s="37" t="str">
        <f>VLOOKUP(K3389,'Structure type'!$A$1:$B$15,2,FALSE)</f>
        <v>City Cleanout</v>
      </c>
      <c r="M3389" s="51" t="s">
        <v>52</v>
      </c>
      <c r="N3389" s="23" t="str">
        <f>VLOOKUP(M3389,'Excursion Cause'!$A$1:$B$34,2,FALSE)</f>
        <v>Collection system structural blockage</v>
      </c>
      <c r="O3389" s="53">
        <v>45304.0</v>
      </c>
      <c r="P3389" s="54">
        <v>0.39375</v>
      </c>
      <c r="Q3389" s="55">
        <v>45304.0</v>
      </c>
      <c r="R3389" s="54">
        <v>0.39444444444444443</v>
      </c>
      <c r="S3389" s="52">
        <v>0.0</v>
      </c>
      <c r="T3389" s="51" t="s">
        <v>3756</v>
      </c>
      <c r="U3389" s="56"/>
      <c r="V3389" s="56"/>
      <c r="W3389" s="35">
        <v>29.8441631</v>
      </c>
      <c r="X3389" s="35">
        <v>-95.268056</v>
      </c>
      <c r="AA3389" s="33"/>
      <c r="AB3389" s="33"/>
      <c r="AC3389" s="33"/>
      <c r="AD3389" s="33"/>
      <c r="AE3389" s="33"/>
      <c r="AF3389" s="33"/>
      <c r="AG3389" s="33"/>
      <c r="AH3389" s="33"/>
      <c r="AI3389" s="33"/>
      <c r="AJ3389" s="33"/>
      <c r="AK3389" s="33"/>
      <c r="AL3389" s="33"/>
      <c r="AM3389" s="33"/>
      <c r="AN3389" s="33"/>
      <c r="AO3389" s="33"/>
    </row>
    <row r="3390" ht="15.75" customHeight="1">
      <c r="A3390" s="60">
        <v>57503.0</v>
      </c>
      <c r="B3390" s="61">
        <v>2024.0</v>
      </c>
      <c r="C3390" s="36" t="str">
        <f t="shared" si="7"/>
        <v>12500 GULF FWY,Houston,TX</v>
      </c>
      <c r="D3390" s="51" t="s">
        <v>5208</v>
      </c>
      <c r="E3390" s="23" t="s">
        <v>25</v>
      </c>
      <c r="F3390" s="23" t="s">
        <v>1388</v>
      </c>
      <c r="G3390" s="62" t="str">
        <f t="shared" si="8"/>
        <v>77089</v>
      </c>
      <c r="H3390" s="58" t="s">
        <v>50</v>
      </c>
      <c r="I3390" s="37" t="str">
        <f>VLOOKUP(H3390,'Flow Location'!$A$1:$B$21,2,FALSE)</f>
        <v>Contained On Site, not within 5 ft. of Bayou/Surface Water/Drainage Ditch</v>
      </c>
      <c r="J3390" s="63">
        <v>0.0</v>
      </c>
      <c r="K3390" s="51" t="s">
        <v>29</v>
      </c>
      <c r="L3390" s="37" t="str">
        <f>VLOOKUP(K3390,'Structure type'!$A$1:$B$15,2,FALSE)</f>
        <v>Manhole</v>
      </c>
      <c r="M3390" s="51" t="s">
        <v>30</v>
      </c>
      <c r="N3390" s="23" t="str">
        <f>VLOOKUP(M3390,'Excursion Cause'!$A$1:$B$34,2,FALSE)</f>
        <v>Grease Blockage</v>
      </c>
      <c r="O3390" s="53">
        <v>45304.0</v>
      </c>
      <c r="P3390" s="54">
        <v>0.5069444444444444</v>
      </c>
      <c r="Q3390" s="55">
        <v>45304.0</v>
      </c>
      <c r="R3390" s="54">
        <v>0.5076388888888889</v>
      </c>
      <c r="S3390" s="52">
        <v>0.0</v>
      </c>
      <c r="T3390" s="51" t="s">
        <v>1462</v>
      </c>
      <c r="U3390" s="56"/>
      <c r="V3390" s="56"/>
      <c r="W3390" s="35">
        <v>29.6164752</v>
      </c>
      <c r="X3390" s="35">
        <v>-95.2179408</v>
      </c>
      <c r="AA3390" s="33"/>
      <c r="AB3390" s="33"/>
      <c r="AC3390" s="33"/>
      <c r="AD3390" s="33"/>
      <c r="AE3390" s="33"/>
      <c r="AF3390" s="33"/>
      <c r="AG3390" s="33"/>
      <c r="AH3390" s="33"/>
      <c r="AI3390" s="33"/>
      <c r="AJ3390" s="33"/>
      <c r="AK3390" s="33"/>
      <c r="AL3390" s="33"/>
      <c r="AM3390" s="33"/>
      <c r="AN3390" s="33"/>
      <c r="AO3390" s="33"/>
    </row>
    <row r="3391" ht="15.75" customHeight="1">
      <c r="A3391" s="60">
        <v>57507.0</v>
      </c>
      <c r="B3391" s="61">
        <v>2024.0</v>
      </c>
      <c r="C3391" s="36" t="str">
        <f t="shared" si="7"/>
        <v>2019 WALKER ST,Houston,TX</v>
      </c>
      <c r="D3391" s="51" t="s">
        <v>1312</v>
      </c>
      <c r="E3391" s="23" t="s">
        <v>25</v>
      </c>
      <c r="F3391" s="23" t="s">
        <v>1388</v>
      </c>
      <c r="G3391" s="62" t="str">
        <f t="shared" si="8"/>
        <v>77003</v>
      </c>
      <c r="H3391" s="58" t="s">
        <v>50</v>
      </c>
      <c r="I3391" s="37" t="str">
        <f>VLOOKUP(H3391,'Flow Location'!$A$1:$B$21,2,FALSE)</f>
        <v>Contained On Site, not within 5 ft. of Bayou/Surface Water/Drainage Ditch</v>
      </c>
      <c r="J3391" s="63">
        <v>0.0</v>
      </c>
      <c r="K3391" s="51" t="s">
        <v>45</v>
      </c>
      <c r="L3391" s="37" t="str">
        <f>VLOOKUP(K3391,'Structure type'!$A$1:$B$15,2,FALSE)</f>
        <v>City Cleanout</v>
      </c>
      <c r="M3391" s="51" t="s">
        <v>56</v>
      </c>
      <c r="N3391" s="23" t="str">
        <f>VLOOKUP(M3391,'Excursion Cause'!$A$1:$B$34,2,FALSE)</f>
        <v>Rags/Wipes</v>
      </c>
      <c r="O3391" s="53">
        <v>45305.0</v>
      </c>
      <c r="P3391" s="54">
        <v>0.33194444444444443</v>
      </c>
      <c r="Q3391" s="55">
        <v>45305.0</v>
      </c>
      <c r="R3391" s="54">
        <v>0.3326388888888889</v>
      </c>
      <c r="S3391" s="52">
        <v>0.0</v>
      </c>
      <c r="T3391" s="51" t="s">
        <v>1473</v>
      </c>
      <c r="U3391" s="56"/>
      <c r="V3391" s="56"/>
      <c r="W3391" s="35">
        <v>29.7523196999999</v>
      </c>
      <c r="X3391" s="35">
        <v>-95.3548916</v>
      </c>
      <c r="AA3391" s="33"/>
      <c r="AB3391" s="33"/>
      <c r="AC3391" s="33"/>
      <c r="AD3391" s="33"/>
      <c r="AE3391" s="33"/>
      <c r="AF3391" s="33"/>
      <c r="AG3391" s="33"/>
      <c r="AH3391" s="33"/>
      <c r="AI3391" s="33"/>
      <c r="AJ3391" s="33"/>
      <c r="AK3391" s="33"/>
      <c r="AL3391" s="33"/>
      <c r="AM3391" s="33"/>
      <c r="AN3391" s="33"/>
      <c r="AO3391" s="33"/>
    </row>
    <row r="3392" ht="15.75" customHeight="1">
      <c r="A3392" s="60">
        <v>57508.0</v>
      </c>
      <c r="B3392" s="61">
        <v>2024.0</v>
      </c>
      <c r="C3392" s="36" t="str">
        <f t="shared" si="7"/>
        <v>2571 JUDIWAY ST,Houston,TX</v>
      </c>
      <c r="D3392" s="51" t="s">
        <v>5209</v>
      </c>
      <c r="E3392" s="23" t="s">
        <v>25</v>
      </c>
      <c r="F3392" s="23" t="s">
        <v>1388</v>
      </c>
      <c r="G3392" s="62" t="str">
        <f t="shared" si="8"/>
        <v>77018</v>
      </c>
      <c r="H3392" s="58" t="s">
        <v>28</v>
      </c>
      <c r="I3392" s="37" t="str">
        <f>VLOOKUP(H3392,'Flow Location'!$A$1:$B$21,2,FALSE)</f>
        <v>Storm Sewer (not contained)</v>
      </c>
      <c r="J3392" s="63">
        <v>0.0</v>
      </c>
      <c r="K3392" s="51" t="s">
        <v>29</v>
      </c>
      <c r="L3392" s="37" t="str">
        <f>VLOOKUP(K3392,'Structure type'!$A$1:$B$15,2,FALSE)</f>
        <v>Manhole</v>
      </c>
      <c r="M3392" s="51" t="s">
        <v>96</v>
      </c>
      <c r="N3392" s="23" t="str">
        <f>VLOOKUP(M3392,'Excursion Cause'!$A$1:$B$34,2,FALSE)</f>
        <v>Collection system temporary blockage</v>
      </c>
      <c r="O3392" s="53">
        <v>45305.0</v>
      </c>
      <c r="P3392" s="54">
        <v>0.35833333333333334</v>
      </c>
      <c r="Q3392" s="55">
        <v>45305.0</v>
      </c>
      <c r="R3392" s="54">
        <v>0.3590277777777778</v>
      </c>
      <c r="S3392" s="52">
        <v>0.0</v>
      </c>
      <c r="T3392" s="51" t="s">
        <v>3745</v>
      </c>
      <c r="U3392" s="56"/>
      <c r="V3392" s="56"/>
      <c r="W3392" s="35">
        <v>29.8204247</v>
      </c>
      <c r="X3392" s="35">
        <v>-95.4453559999999</v>
      </c>
      <c r="AA3392" s="33"/>
      <c r="AB3392" s="33"/>
      <c r="AC3392" s="33"/>
      <c r="AD3392" s="33"/>
      <c r="AE3392" s="33"/>
      <c r="AF3392" s="33"/>
      <c r="AG3392" s="33"/>
      <c r="AH3392" s="33"/>
      <c r="AI3392" s="33"/>
      <c r="AJ3392" s="33"/>
      <c r="AK3392" s="33"/>
      <c r="AL3392" s="33"/>
      <c r="AM3392" s="33"/>
      <c r="AN3392" s="33"/>
      <c r="AO3392" s="33"/>
    </row>
    <row r="3393" ht="15.75" customHeight="1">
      <c r="A3393" s="60">
        <v>57511.0</v>
      </c>
      <c r="B3393" s="61">
        <v>2024.0</v>
      </c>
      <c r="C3393" s="36" t="str">
        <f t="shared" si="7"/>
        <v>9502 NARNIA SPRINGS CT,Houston,TX</v>
      </c>
      <c r="D3393" s="51" t="s">
        <v>5210</v>
      </c>
      <c r="E3393" s="23" t="s">
        <v>25</v>
      </c>
      <c r="F3393" s="23" t="s">
        <v>1388</v>
      </c>
      <c r="G3393" s="62" t="str">
        <f t="shared" si="8"/>
        <v>77075</v>
      </c>
      <c r="H3393" s="58" t="s">
        <v>28</v>
      </c>
      <c r="I3393" s="37" t="str">
        <f>VLOOKUP(H3393,'Flow Location'!$A$1:$B$21,2,FALSE)</f>
        <v>Storm Sewer (not contained)</v>
      </c>
      <c r="J3393" s="63">
        <v>3206.0</v>
      </c>
      <c r="K3393" s="51" t="s">
        <v>29</v>
      </c>
      <c r="L3393" s="37" t="str">
        <f>VLOOKUP(K3393,'Structure type'!$A$1:$B$15,2,FALSE)</f>
        <v>Manhole</v>
      </c>
      <c r="M3393" s="51" t="s">
        <v>30</v>
      </c>
      <c r="N3393" s="23" t="str">
        <f>VLOOKUP(M3393,'Excursion Cause'!$A$1:$B$34,2,FALSE)</f>
        <v>Grease Blockage</v>
      </c>
      <c r="O3393" s="53">
        <v>45305.0</v>
      </c>
      <c r="P3393" s="54">
        <v>0.38680555555555557</v>
      </c>
      <c r="Q3393" s="55">
        <v>45306.0</v>
      </c>
      <c r="R3393" s="54">
        <v>0.5</v>
      </c>
      <c r="S3393" s="52">
        <v>2.0</v>
      </c>
      <c r="T3393" s="51" t="s">
        <v>1462</v>
      </c>
      <c r="U3393" s="56"/>
      <c r="V3393" s="56"/>
      <c r="W3393" s="35">
        <v>29.6323711999999</v>
      </c>
      <c r="X3393" s="35">
        <v>-95.2424741</v>
      </c>
      <c r="AA3393" s="33"/>
      <c r="AB3393" s="33"/>
      <c r="AC3393" s="33"/>
      <c r="AD3393" s="33"/>
      <c r="AE3393" s="33"/>
      <c r="AF3393" s="33"/>
      <c r="AG3393" s="33"/>
      <c r="AH3393" s="33"/>
      <c r="AI3393" s="33"/>
      <c r="AJ3393" s="33"/>
      <c r="AK3393" s="33"/>
      <c r="AL3393" s="33"/>
      <c r="AM3393" s="33"/>
      <c r="AN3393" s="33"/>
      <c r="AO3393" s="33"/>
    </row>
    <row r="3394" ht="15.75" customHeight="1">
      <c r="A3394" s="60">
        <v>57515.0</v>
      </c>
      <c r="B3394" s="61">
        <v>2024.0</v>
      </c>
      <c r="C3394" s="36" t="str">
        <f t="shared" si="7"/>
        <v>6602 KELLER ST,Houston,TX</v>
      </c>
      <c r="D3394" s="51" t="s">
        <v>4149</v>
      </c>
      <c r="E3394" s="23" t="s">
        <v>25</v>
      </c>
      <c r="F3394" s="23" t="s">
        <v>1388</v>
      </c>
      <c r="G3394" s="62" t="str">
        <f t="shared" si="8"/>
        <v>77087</v>
      </c>
      <c r="H3394" s="58" t="s">
        <v>50</v>
      </c>
      <c r="I3394" s="37" t="str">
        <f>VLOOKUP(H3394,'Flow Location'!$A$1:$B$21,2,FALSE)</f>
        <v>Contained On Site, not within 5 ft. of Bayou/Surface Water/Drainage Ditch</v>
      </c>
      <c r="J3394" s="63">
        <v>0.0</v>
      </c>
      <c r="K3394" s="51" t="s">
        <v>29</v>
      </c>
      <c r="L3394" s="37" t="str">
        <f>VLOOKUP(K3394,'Structure type'!$A$1:$B$15,2,FALSE)</f>
        <v>Manhole</v>
      </c>
      <c r="M3394" s="51" t="s">
        <v>30</v>
      </c>
      <c r="N3394" s="23" t="str">
        <f>VLOOKUP(M3394,'Excursion Cause'!$A$1:$B$34,2,FALSE)</f>
        <v>Grease Blockage</v>
      </c>
      <c r="O3394" s="53">
        <v>45306.0</v>
      </c>
      <c r="P3394" s="54">
        <v>0.41597222222222224</v>
      </c>
      <c r="Q3394" s="55">
        <v>45306.0</v>
      </c>
      <c r="R3394" s="54">
        <v>0.4166666666666667</v>
      </c>
      <c r="S3394" s="52">
        <v>0.0</v>
      </c>
      <c r="T3394" s="51" t="s">
        <v>1462</v>
      </c>
      <c r="U3394" s="56"/>
      <c r="V3394" s="56"/>
      <c r="W3394" s="35">
        <v>29.7056746</v>
      </c>
      <c r="X3394" s="35">
        <v>-95.3004697</v>
      </c>
      <c r="AA3394" s="33"/>
      <c r="AB3394" s="33"/>
      <c r="AC3394" s="33"/>
      <c r="AD3394" s="33"/>
      <c r="AE3394" s="33"/>
      <c r="AF3394" s="33"/>
      <c r="AG3394" s="33"/>
      <c r="AH3394" s="33"/>
      <c r="AI3394" s="33"/>
      <c r="AJ3394" s="33"/>
      <c r="AK3394" s="33"/>
      <c r="AL3394" s="33"/>
      <c r="AM3394" s="33"/>
      <c r="AN3394" s="33"/>
      <c r="AO3394" s="33"/>
    </row>
    <row r="3395" ht="15.75" customHeight="1">
      <c r="A3395" s="60">
        <v>57516.0</v>
      </c>
      <c r="B3395" s="61">
        <v>2024.0</v>
      </c>
      <c r="C3395" s="36" t="str">
        <f t="shared" si="7"/>
        <v>1485 SILVERADO DR,Houston,TX</v>
      </c>
      <c r="D3395" s="51" t="s">
        <v>5211</v>
      </c>
      <c r="E3395" s="23" t="s">
        <v>25</v>
      </c>
      <c r="F3395" s="23" t="s">
        <v>1388</v>
      </c>
      <c r="G3395" s="62" t="str">
        <f t="shared" si="8"/>
        <v>77077</v>
      </c>
      <c r="H3395" s="58" t="s">
        <v>28</v>
      </c>
      <c r="I3395" s="37" t="str">
        <f>VLOOKUP(H3395,'Flow Location'!$A$1:$B$21,2,FALSE)</f>
        <v>Storm Sewer (not contained)</v>
      </c>
      <c r="J3395" s="63">
        <v>65.0</v>
      </c>
      <c r="K3395" s="51" t="s">
        <v>29</v>
      </c>
      <c r="L3395" s="37" t="str">
        <f>VLOOKUP(K3395,'Structure type'!$A$1:$B$15,2,FALSE)</f>
        <v>Manhole</v>
      </c>
      <c r="M3395" s="51" t="s">
        <v>30</v>
      </c>
      <c r="N3395" s="23" t="str">
        <f>VLOOKUP(M3395,'Excursion Cause'!$A$1:$B$34,2,FALSE)</f>
        <v>Grease Blockage</v>
      </c>
      <c r="O3395" s="53">
        <v>45306.0</v>
      </c>
      <c r="P3395" s="54">
        <v>0.4548611111111111</v>
      </c>
      <c r="Q3395" s="55">
        <v>45306.0</v>
      </c>
      <c r="R3395" s="54">
        <v>0.5</v>
      </c>
      <c r="S3395" s="52">
        <v>1.0</v>
      </c>
      <c r="T3395" s="51" t="s">
        <v>3749</v>
      </c>
      <c r="U3395" s="56"/>
      <c r="V3395" s="56"/>
      <c r="W3395" s="35">
        <v>29.7550007</v>
      </c>
      <c r="X3395" s="35">
        <v>-95.6088769999999</v>
      </c>
      <c r="AA3395" s="33"/>
      <c r="AB3395" s="33"/>
      <c r="AC3395" s="33"/>
      <c r="AD3395" s="33"/>
      <c r="AE3395" s="33"/>
      <c r="AF3395" s="33"/>
      <c r="AG3395" s="33"/>
      <c r="AH3395" s="33"/>
      <c r="AI3395" s="33"/>
      <c r="AJ3395" s="33"/>
      <c r="AK3395" s="33"/>
      <c r="AL3395" s="33"/>
      <c r="AM3395" s="33"/>
      <c r="AN3395" s="33"/>
      <c r="AO3395" s="33"/>
    </row>
    <row r="3396" ht="15.75" customHeight="1">
      <c r="A3396" s="60">
        <v>57522.0</v>
      </c>
      <c r="B3396" s="61">
        <v>2024.0</v>
      </c>
      <c r="C3396" s="36" t="str">
        <f t="shared" si="7"/>
        <v>6231 LOCKE LN,Houston,TX</v>
      </c>
      <c r="D3396" s="51" t="s">
        <v>4965</v>
      </c>
      <c r="E3396" s="23" t="s">
        <v>25</v>
      </c>
      <c r="F3396" s="23" t="s">
        <v>1388</v>
      </c>
      <c r="G3396" s="62" t="str">
        <f t="shared" si="8"/>
        <v>77057</v>
      </c>
      <c r="H3396" s="58" t="s">
        <v>50</v>
      </c>
      <c r="I3396" s="37" t="str">
        <f>VLOOKUP(H3396,'Flow Location'!$A$1:$B$21,2,FALSE)</f>
        <v>Contained On Site, not within 5 ft. of Bayou/Surface Water/Drainage Ditch</v>
      </c>
      <c r="J3396" s="63">
        <v>0.0</v>
      </c>
      <c r="K3396" s="51" t="s">
        <v>51</v>
      </c>
      <c r="L3396" s="37" t="str">
        <f>VLOOKUP(K3396,'Structure type'!$A$1:$B$15,2,FALSE)</f>
        <v>Private Cleanout</v>
      </c>
      <c r="M3396" s="51" t="s">
        <v>96</v>
      </c>
      <c r="N3396" s="23" t="str">
        <f>VLOOKUP(M3396,'Excursion Cause'!$A$1:$B$34,2,FALSE)</f>
        <v>Collection system temporary blockage</v>
      </c>
      <c r="O3396" s="53">
        <v>45307.0</v>
      </c>
      <c r="P3396" s="54">
        <v>0.4166666666666667</v>
      </c>
      <c r="Q3396" s="55">
        <v>45307.0</v>
      </c>
      <c r="R3396" s="54">
        <v>0.4173611111111111</v>
      </c>
      <c r="S3396" s="52">
        <v>0.0</v>
      </c>
      <c r="T3396" s="51" t="s">
        <v>3756</v>
      </c>
      <c r="U3396" s="56"/>
      <c r="V3396" s="56"/>
      <c r="W3396" s="35">
        <v>29.7384434</v>
      </c>
      <c r="X3396" s="35">
        <v>-95.494106</v>
      </c>
      <c r="AA3396" s="33"/>
      <c r="AB3396" s="33"/>
      <c r="AC3396" s="33"/>
      <c r="AD3396" s="33"/>
      <c r="AE3396" s="33"/>
      <c r="AF3396" s="33"/>
      <c r="AG3396" s="33"/>
      <c r="AH3396" s="33"/>
      <c r="AI3396" s="33"/>
      <c r="AJ3396" s="33"/>
      <c r="AK3396" s="33"/>
      <c r="AL3396" s="33"/>
      <c r="AM3396" s="33"/>
      <c r="AN3396" s="33"/>
      <c r="AO3396" s="33"/>
    </row>
    <row r="3397" ht="15.75" customHeight="1">
      <c r="A3397" s="60">
        <v>57523.0</v>
      </c>
      <c r="B3397" s="61">
        <v>2024.0</v>
      </c>
      <c r="C3397" s="36" t="str">
        <f t="shared" si="7"/>
        <v>9602 KENSINGTON DR,Houston,TX</v>
      </c>
      <c r="D3397" s="51" t="s">
        <v>5212</v>
      </c>
      <c r="E3397" s="23" t="s">
        <v>25</v>
      </c>
      <c r="F3397" s="23" t="s">
        <v>1388</v>
      </c>
      <c r="G3397" s="62" t="str">
        <f t="shared" si="8"/>
        <v>77031</v>
      </c>
      <c r="H3397" s="58" t="s">
        <v>28</v>
      </c>
      <c r="I3397" s="37" t="str">
        <f>VLOOKUP(H3397,'Flow Location'!$A$1:$B$21,2,FALSE)</f>
        <v>Storm Sewer (not contained)</v>
      </c>
      <c r="J3397" s="63">
        <v>3114.0</v>
      </c>
      <c r="K3397" s="51" t="s">
        <v>29</v>
      </c>
      <c r="L3397" s="37" t="str">
        <f>VLOOKUP(K3397,'Structure type'!$A$1:$B$15,2,FALSE)</f>
        <v>Manhole</v>
      </c>
      <c r="M3397" s="51" t="s">
        <v>30</v>
      </c>
      <c r="N3397" s="23" t="str">
        <f>VLOOKUP(M3397,'Excursion Cause'!$A$1:$B$34,2,FALSE)</f>
        <v>Grease Blockage</v>
      </c>
      <c r="O3397" s="53">
        <v>45307.0</v>
      </c>
      <c r="P3397" s="54">
        <v>0.41875</v>
      </c>
      <c r="Q3397" s="55">
        <v>45308.0</v>
      </c>
      <c r="R3397" s="54">
        <v>0.5</v>
      </c>
      <c r="S3397" s="52">
        <v>2.0</v>
      </c>
      <c r="T3397" s="51" t="s">
        <v>3749</v>
      </c>
      <c r="U3397" s="56"/>
      <c r="V3397" s="56"/>
      <c r="W3397" s="35">
        <v>29.6476047</v>
      </c>
      <c r="X3397" s="35">
        <v>-95.5472499999999</v>
      </c>
      <c r="AA3397" s="33"/>
      <c r="AB3397" s="33"/>
      <c r="AC3397" s="33"/>
      <c r="AD3397" s="33"/>
      <c r="AE3397" s="33"/>
      <c r="AF3397" s="33"/>
      <c r="AG3397" s="33"/>
      <c r="AH3397" s="33"/>
      <c r="AI3397" s="33"/>
      <c r="AJ3397" s="33"/>
      <c r="AK3397" s="33"/>
      <c r="AL3397" s="33"/>
      <c r="AM3397" s="33"/>
      <c r="AN3397" s="33"/>
      <c r="AO3397" s="33"/>
    </row>
    <row r="3398" ht="15.75" customHeight="1">
      <c r="A3398" s="60">
        <v>57526.0</v>
      </c>
      <c r="B3398" s="61">
        <v>2024.0</v>
      </c>
      <c r="C3398" s="36" t="str">
        <f t="shared" si="7"/>
        <v>9872 LEDGE ST,Houston,TX</v>
      </c>
      <c r="D3398" s="51" t="s">
        <v>5213</v>
      </c>
      <c r="E3398" s="23" t="s">
        <v>25</v>
      </c>
      <c r="F3398" s="23" t="s">
        <v>1388</v>
      </c>
      <c r="G3398" s="62" t="str">
        <f t="shared" si="8"/>
        <v>77034</v>
      </c>
      <c r="H3398" s="58" t="s">
        <v>50</v>
      </c>
      <c r="I3398" s="37" t="str">
        <f>VLOOKUP(H3398,'Flow Location'!$A$1:$B$21,2,FALSE)</f>
        <v>Contained On Site, not within 5 ft. of Bayou/Surface Water/Drainage Ditch</v>
      </c>
      <c r="J3398" s="63">
        <v>210.0</v>
      </c>
      <c r="K3398" s="51" t="s">
        <v>29</v>
      </c>
      <c r="L3398" s="37" t="str">
        <f>VLOOKUP(K3398,'Structure type'!$A$1:$B$15,2,FALSE)</f>
        <v>Manhole</v>
      </c>
      <c r="M3398" s="51" t="s">
        <v>30</v>
      </c>
      <c r="N3398" s="23" t="str">
        <f>VLOOKUP(M3398,'Excursion Cause'!$A$1:$B$34,2,FALSE)</f>
        <v>Grease Blockage</v>
      </c>
      <c r="O3398" s="53">
        <v>45307.0</v>
      </c>
      <c r="P3398" s="54">
        <v>0.5861111111111111</v>
      </c>
      <c r="Q3398" s="55">
        <v>45307.0</v>
      </c>
      <c r="R3398" s="54">
        <v>0.6590277777777778</v>
      </c>
      <c r="S3398" s="52">
        <v>2.0</v>
      </c>
      <c r="T3398" s="51" t="s">
        <v>3749</v>
      </c>
      <c r="U3398" s="56"/>
      <c r="V3398" s="56"/>
      <c r="W3398" s="35">
        <v>29.636221</v>
      </c>
      <c r="X3398" s="35">
        <v>-95.2394322</v>
      </c>
      <c r="AA3398" s="33"/>
      <c r="AB3398" s="33"/>
      <c r="AC3398" s="33"/>
      <c r="AD3398" s="33"/>
      <c r="AE3398" s="33"/>
      <c r="AF3398" s="33"/>
      <c r="AG3398" s="33"/>
      <c r="AH3398" s="33"/>
      <c r="AI3398" s="33"/>
      <c r="AJ3398" s="33"/>
      <c r="AK3398" s="33"/>
      <c r="AL3398" s="33"/>
      <c r="AM3398" s="33"/>
      <c r="AN3398" s="33"/>
      <c r="AO3398" s="33"/>
    </row>
    <row r="3399" ht="15.75" customHeight="1">
      <c r="A3399" s="60">
        <v>57527.0</v>
      </c>
      <c r="B3399" s="61">
        <v>2024.0</v>
      </c>
      <c r="C3399" s="36" t="str">
        <f t="shared" si="7"/>
        <v>7470 HAYWOOD DR,Houston,TX</v>
      </c>
      <c r="D3399" s="51" t="s">
        <v>5214</v>
      </c>
      <c r="E3399" s="23" t="s">
        <v>25</v>
      </c>
      <c r="F3399" s="23" t="s">
        <v>1388</v>
      </c>
      <c r="G3399" s="62" t="str">
        <f t="shared" si="8"/>
        <v>77061</v>
      </c>
      <c r="H3399" s="58" t="s">
        <v>50</v>
      </c>
      <c r="I3399" s="37" t="str">
        <f>VLOOKUP(H3399,'Flow Location'!$A$1:$B$21,2,FALSE)</f>
        <v>Contained On Site, not within 5 ft. of Bayou/Surface Water/Drainage Ditch</v>
      </c>
      <c r="J3399" s="63">
        <v>0.0</v>
      </c>
      <c r="K3399" s="51" t="s">
        <v>45</v>
      </c>
      <c r="L3399" s="37" t="str">
        <f>VLOOKUP(K3399,'Structure type'!$A$1:$B$15,2,FALSE)</f>
        <v>City Cleanout</v>
      </c>
      <c r="M3399" s="51" t="s">
        <v>56</v>
      </c>
      <c r="N3399" s="23" t="str">
        <f>VLOOKUP(M3399,'Excursion Cause'!$A$1:$B$34,2,FALSE)</f>
        <v>Rags/Wipes</v>
      </c>
      <c r="O3399" s="53">
        <v>45307.0</v>
      </c>
      <c r="P3399" s="54">
        <v>0.5868055555555556</v>
      </c>
      <c r="Q3399" s="55">
        <v>45307.0</v>
      </c>
      <c r="R3399" s="54">
        <v>0.5875</v>
      </c>
      <c r="S3399" s="52">
        <v>0.0</v>
      </c>
      <c r="T3399" s="51" t="s">
        <v>1436</v>
      </c>
      <c r="U3399" s="56"/>
      <c r="V3399" s="56"/>
      <c r="W3399" s="35">
        <v>29.6673034</v>
      </c>
      <c r="X3399" s="35">
        <v>-95.2942420999999</v>
      </c>
      <c r="AA3399" s="33"/>
      <c r="AB3399" s="33"/>
      <c r="AC3399" s="33"/>
      <c r="AD3399" s="33"/>
      <c r="AE3399" s="33"/>
      <c r="AF3399" s="33"/>
      <c r="AG3399" s="33"/>
      <c r="AH3399" s="33"/>
      <c r="AI3399" s="33"/>
      <c r="AJ3399" s="33"/>
      <c r="AK3399" s="33"/>
      <c r="AL3399" s="33"/>
      <c r="AM3399" s="33"/>
      <c r="AN3399" s="33"/>
      <c r="AO3399" s="33"/>
    </row>
    <row r="3400" ht="15.75" customHeight="1">
      <c r="A3400" s="60">
        <v>57531.0</v>
      </c>
      <c r="B3400" s="61">
        <v>2024.0</v>
      </c>
      <c r="C3400" s="36" t="str">
        <f t="shared" si="7"/>
        <v>9237 HILLIS ST,Houston,TX</v>
      </c>
      <c r="D3400" s="51" t="s">
        <v>5215</v>
      </c>
      <c r="E3400" s="23" t="s">
        <v>25</v>
      </c>
      <c r="F3400" s="23" t="s">
        <v>1388</v>
      </c>
      <c r="G3400" s="62" t="str">
        <f t="shared" si="8"/>
        <v>77028</v>
      </c>
      <c r="H3400" s="58" t="s">
        <v>44</v>
      </c>
      <c r="I3400" s="37" t="str">
        <f>VLOOKUP(H3400,'Flow Location'!$A$1:$B$21,2,FALSE)</f>
        <v>Bayou/surface water/drainage ditch</v>
      </c>
      <c r="J3400" s="63">
        <v>537.0</v>
      </c>
      <c r="K3400" s="51" t="s">
        <v>290</v>
      </c>
      <c r="L3400" s="37" t="str">
        <f>VLOOKUP(K3400,'Structure type'!$A$1:$B$15,2,FALSE)</f>
        <v>Gravity Main</v>
      </c>
      <c r="M3400" s="51" t="s">
        <v>81</v>
      </c>
      <c r="N3400" s="23" t="str">
        <f>VLOOKUP(M3400,'Excursion Cause'!$A$1:$B$34,2,FALSE)</f>
        <v>Collection system structural failure</v>
      </c>
      <c r="O3400" s="53">
        <v>45307.0</v>
      </c>
      <c r="P3400" s="54">
        <v>0.6972222222222222</v>
      </c>
      <c r="Q3400" s="55">
        <v>45307.0</v>
      </c>
      <c r="R3400" s="54">
        <v>0.8215277777777777</v>
      </c>
      <c r="S3400" s="52">
        <v>3.0</v>
      </c>
      <c r="T3400" s="51" t="s">
        <v>118</v>
      </c>
      <c r="U3400" s="56"/>
      <c r="V3400" s="56"/>
      <c r="W3400" s="35">
        <v>29.8474969</v>
      </c>
      <c r="X3400" s="35">
        <v>-95.2692395999999</v>
      </c>
      <c r="AA3400" s="33"/>
      <c r="AB3400" s="33"/>
      <c r="AC3400" s="33"/>
      <c r="AD3400" s="33"/>
      <c r="AE3400" s="33"/>
      <c r="AF3400" s="33"/>
      <c r="AG3400" s="33"/>
      <c r="AH3400" s="33"/>
      <c r="AI3400" s="33"/>
      <c r="AJ3400" s="33"/>
      <c r="AK3400" s="33"/>
      <c r="AL3400" s="33"/>
      <c r="AM3400" s="33"/>
      <c r="AN3400" s="33"/>
      <c r="AO3400" s="33"/>
    </row>
    <row r="3401" ht="15.75" customHeight="1">
      <c r="A3401" s="60">
        <v>57532.0</v>
      </c>
      <c r="B3401" s="61">
        <v>2024.0</v>
      </c>
      <c r="C3401" s="36" t="str">
        <f t="shared" si="7"/>
        <v>11714 MOONMIST DR,Houston,TX</v>
      </c>
      <c r="D3401" s="51" t="s">
        <v>5184</v>
      </c>
      <c r="E3401" s="23" t="s">
        <v>25</v>
      </c>
      <c r="F3401" s="23" t="s">
        <v>1388</v>
      </c>
      <c r="G3401" s="62" t="str">
        <f t="shared" si="8"/>
        <v>77072</v>
      </c>
      <c r="H3401" s="58" t="s">
        <v>28</v>
      </c>
      <c r="I3401" s="37" t="str">
        <f>VLOOKUP(H3401,'Flow Location'!$A$1:$B$21,2,FALSE)</f>
        <v>Storm Sewer (not contained)</v>
      </c>
      <c r="J3401" s="63">
        <v>232.0</v>
      </c>
      <c r="K3401" s="51" t="s">
        <v>29</v>
      </c>
      <c r="L3401" s="37" t="str">
        <f>VLOOKUP(K3401,'Structure type'!$A$1:$B$15,2,FALSE)</f>
        <v>Manhole</v>
      </c>
      <c r="M3401" s="51" t="s">
        <v>81</v>
      </c>
      <c r="N3401" s="23" t="str">
        <f>VLOOKUP(M3401,'Excursion Cause'!$A$1:$B$34,2,FALSE)</f>
        <v>Collection system structural failure</v>
      </c>
      <c r="O3401" s="53">
        <v>45307.0</v>
      </c>
      <c r="P3401" s="54">
        <v>0.6958333333333333</v>
      </c>
      <c r="Q3401" s="55">
        <v>45307.0</v>
      </c>
      <c r="R3401" s="54">
        <v>0.8569444444444444</v>
      </c>
      <c r="S3401" s="52">
        <v>1.0</v>
      </c>
      <c r="T3401" s="51" t="s">
        <v>3745</v>
      </c>
      <c r="U3401" s="56"/>
      <c r="V3401" s="56"/>
      <c r="W3401" s="35">
        <v>29.7087723</v>
      </c>
      <c r="X3401" s="35">
        <v>-95.5857776</v>
      </c>
      <c r="AA3401" s="33"/>
      <c r="AB3401" s="33"/>
      <c r="AC3401" s="33"/>
      <c r="AD3401" s="33"/>
      <c r="AE3401" s="33"/>
      <c r="AF3401" s="33"/>
      <c r="AG3401" s="33"/>
      <c r="AH3401" s="33"/>
      <c r="AI3401" s="33"/>
      <c r="AJ3401" s="33"/>
      <c r="AK3401" s="33"/>
      <c r="AL3401" s="33"/>
      <c r="AM3401" s="33"/>
      <c r="AN3401" s="33"/>
      <c r="AO3401" s="33"/>
    </row>
    <row r="3402" ht="15.75" customHeight="1">
      <c r="A3402" s="60">
        <v>57535.0</v>
      </c>
      <c r="B3402" s="61">
        <v>2024.0</v>
      </c>
      <c r="C3402" s="36" t="str">
        <f t="shared" si="7"/>
        <v>2303 WYNDAM HEIGHTS LN,Houston,TX</v>
      </c>
      <c r="D3402" s="51" t="s">
        <v>5216</v>
      </c>
      <c r="E3402" s="23" t="s">
        <v>25</v>
      </c>
      <c r="F3402" s="23" t="s">
        <v>1388</v>
      </c>
      <c r="G3402" s="62" t="str">
        <f t="shared" si="8"/>
        <v>77077</v>
      </c>
      <c r="H3402" s="58" t="s">
        <v>28</v>
      </c>
      <c r="I3402" s="37" t="str">
        <f>VLOOKUP(H3402,'Flow Location'!$A$1:$B$21,2,FALSE)</f>
        <v>Storm Sewer (not contained)</v>
      </c>
      <c r="J3402" s="63">
        <v>1932.0</v>
      </c>
      <c r="K3402" s="51" t="s">
        <v>29</v>
      </c>
      <c r="L3402" s="37" t="str">
        <f>VLOOKUP(K3402,'Structure type'!$A$1:$B$15,2,FALSE)</f>
        <v>Manhole</v>
      </c>
      <c r="M3402" s="51" t="s">
        <v>30</v>
      </c>
      <c r="N3402" s="23" t="str">
        <f>VLOOKUP(M3402,'Excursion Cause'!$A$1:$B$34,2,FALSE)</f>
        <v>Grease Blockage</v>
      </c>
      <c r="O3402" s="53">
        <v>45308.0</v>
      </c>
      <c r="P3402" s="54">
        <v>0.38055555555555554</v>
      </c>
      <c r="Q3402" s="55">
        <v>45308.0</v>
      </c>
      <c r="R3402" s="54">
        <v>0.6041666666666666</v>
      </c>
      <c r="S3402" s="52">
        <v>6.0</v>
      </c>
      <c r="T3402" s="51" t="s">
        <v>3749</v>
      </c>
      <c r="U3402" s="56"/>
      <c r="V3402" s="56"/>
      <c r="W3402" s="35">
        <v>29.7397119999999</v>
      </c>
      <c r="X3402" s="35">
        <v>-95.6289145</v>
      </c>
      <c r="AA3402" s="33"/>
      <c r="AB3402" s="33"/>
      <c r="AC3402" s="33"/>
      <c r="AD3402" s="33"/>
      <c r="AE3402" s="33"/>
      <c r="AF3402" s="33"/>
      <c r="AG3402" s="33"/>
      <c r="AH3402" s="33"/>
      <c r="AI3402" s="33"/>
      <c r="AJ3402" s="33"/>
      <c r="AK3402" s="33"/>
      <c r="AL3402" s="33"/>
      <c r="AM3402" s="33"/>
      <c r="AN3402" s="33"/>
      <c r="AO3402" s="33"/>
    </row>
    <row r="3403" ht="15.75" customHeight="1">
      <c r="A3403" s="60">
        <v>57537.0</v>
      </c>
      <c r="B3403" s="61">
        <v>2024.0</v>
      </c>
      <c r="C3403" s="36" t="str">
        <f t="shared" si="7"/>
        <v>4329 MAGGIE ST,Houston,TX</v>
      </c>
      <c r="D3403" s="51" t="s">
        <v>5217</v>
      </c>
      <c r="E3403" s="23" t="s">
        <v>25</v>
      </c>
      <c r="F3403" s="23" t="s">
        <v>1388</v>
      </c>
      <c r="G3403" s="62" t="str">
        <f t="shared" si="8"/>
        <v>77051</v>
      </c>
      <c r="H3403" s="58" t="s">
        <v>50</v>
      </c>
      <c r="I3403" s="37" t="str">
        <f>VLOOKUP(H3403,'Flow Location'!$A$1:$B$21,2,FALSE)</f>
        <v>Contained On Site, not within 5 ft. of Bayou/Surface Water/Drainage Ditch</v>
      </c>
      <c r="J3403" s="63">
        <v>0.0</v>
      </c>
      <c r="K3403" s="51" t="s">
        <v>29</v>
      </c>
      <c r="L3403" s="37" t="str">
        <f>VLOOKUP(K3403,'Structure type'!$A$1:$B$15,2,FALSE)</f>
        <v>Manhole</v>
      </c>
      <c r="M3403" s="51" t="s">
        <v>30</v>
      </c>
      <c r="N3403" s="23" t="str">
        <f>VLOOKUP(M3403,'Excursion Cause'!$A$1:$B$34,2,FALSE)</f>
        <v>Grease Blockage</v>
      </c>
      <c r="O3403" s="53">
        <v>45308.0</v>
      </c>
      <c r="P3403" s="54">
        <v>0.43819444444444444</v>
      </c>
      <c r="Q3403" s="55">
        <v>45308.0</v>
      </c>
      <c r="R3403" s="54">
        <v>0.4388888888888889</v>
      </c>
      <c r="S3403" s="52">
        <v>0.0</v>
      </c>
      <c r="T3403" s="51" t="s">
        <v>3749</v>
      </c>
      <c r="U3403" s="56"/>
      <c r="V3403" s="56"/>
      <c r="W3403" s="35">
        <v>29.6623594</v>
      </c>
      <c r="X3403" s="35">
        <v>-95.3632260999999</v>
      </c>
      <c r="AA3403" s="33"/>
      <c r="AB3403" s="33"/>
      <c r="AC3403" s="33"/>
      <c r="AD3403" s="33"/>
      <c r="AE3403" s="33"/>
      <c r="AF3403" s="33"/>
      <c r="AG3403" s="33"/>
      <c r="AH3403" s="33"/>
      <c r="AI3403" s="33"/>
      <c r="AJ3403" s="33"/>
      <c r="AK3403" s="33"/>
      <c r="AL3403" s="33"/>
      <c r="AM3403" s="33"/>
      <c r="AN3403" s="33"/>
      <c r="AO3403" s="33"/>
    </row>
    <row r="3404" ht="15.75" customHeight="1">
      <c r="A3404" s="60">
        <v>57539.0</v>
      </c>
      <c r="B3404" s="61">
        <v>2024.0</v>
      </c>
      <c r="C3404" s="36" t="str">
        <f t="shared" si="7"/>
        <v>1631 NOCTURNE LN,Houston,TX</v>
      </c>
      <c r="D3404" s="51" t="s">
        <v>5218</v>
      </c>
      <c r="E3404" s="23" t="s">
        <v>25</v>
      </c>
      <c r="F3404" s="23" t="s">
        <v>1388</v>
      </c>
      <c r="G3404" s="62" t="str">
        <f t="shared" si="8"/>
        <v>77043</v>
      </c>
      <c r="H3404" s="58" t="s">
        <v>28</v>
      </c>
      <c r="I3404" s="37" t="str">
        <f>VLOOKUP(H3404,'Flow Location'!$A$1:$B$21,2,FALSE)</f>
        <v>Storm Sewer (not contained)</v>
      </c>
      <c r="J3404" s="63">
        <v>0.0</v>
      </c>
      <c r="K3404" s="51" t="s">
        <v>29</v>
      </c>
      <c r="L3404" s="37" t="str">
        <f>VLOOKUP(K3404,'Structure type'!$A$1:$B$15,2,FALSE)</f>
        <v>Manhole</v>
      </c>
      <c r="M3404" s="51" t="s">
        <v>81</v>
      </c>
      <c r="N3404" s="23" t="str">
        <f>VLOOKUP(M3404,'Excursion Cause'!$A$1:$B$34,2,FALSE)</f>
        <v>Collection system structural failure</v>
      </c>
      <c r="O3404" s="53">
        <v>45308.0</v>
      </c>
      <c r="P3404" s="54">
        <v>0.4701388888888889</v>
      </c>
      <c r="Q3404" s="55">
        <v>45308.0</v>
      </c>
      <c r="R3404" s="54">
        <v>0.4708333333333333</v>
      </c>
      <c r="S3404" s="52">
        <v>0.0</v>
      </c>
      <c r="T3404" s="51" t="s">
        <v>3749</v>
      </c>
      <c r="U3404" s="56"/>
      <c r="V3404" s="56"/>
      <c r="W3404" s="35">
        <v>29.8008984</v>
      </c>
      <c r="X3404" s="35">
        <v>-95.5486442999999</v>
      </c>
      <c r="AA3404" s="33"/>
      <c r="AB3404" s="33"/>
      <c r="AC3404" s="33"/>
      <c r="AD3404" s="33"/>
      <c r="AE3404" s="33"/>
      <c r="AF3404" s="33"/>
      <c r="AG3404" s="33"/>
      <c r="AH3404" s="33"/>
      <c r="AI3404" s="33"/>
      <c r="AJ3404" s="33"/>
      <c r="AK3404" s="33"/>
      <c r="AL3404" s="33"/>
      <c r="AM3404" s="33"/>
      <c r="AN3404" s="33"/>
      <c r="AO3404" s="33"/>
    </row>
    <row r="3405" ht="15.75" customHeight="1">
      <c r="A3405" s="60">
        <v>57540.0</v>
      </c>
      <c r="B3405" s="61">
        <v>2024.0</v>
      </c>
      <c r="C3405" s="36" t="str">
        <f t="shared" si="7"/>
        <v>4511 WIPPRECHT ST,Houston,TX</v>
      </c>
      <c r="D3405" s="51" t="s">
        <v>4127</v>
      </c>
      <c r="E3405" s="23" t="s">
        <v>25</v>
      </c>
      <c r="F3405" s="23" t="s">
        <v>1388</v>
      </c>
      <c r="G3405" s="62" t="str">
        <f t="shared" si="8"/>
        <v>77026</v>
      </c>
      <c r="H3405" s="58" t="s">
        <v>50</v>
      </c>
      <c r="I3405" s="37" t="str">
        <f>VLOOKUP(H3405,'Flow Location'!$A$1:$B$21,2,FALSE)</f>
        <v>Contained On Site, not within 5 ft. of Bayou/Surface Water/Drainage Ditch</v>
      </c>
      <c r="J3405" s="63">
        <v>130.0</v>
      </c>
      <c r="K3405" s="51" t="s">
        <v>45</v>
      </c>
      <c r="L3405" s="37" t="str">
        <f>VLOOKUP(K3405,'Structure type'!$A$1:$B$15,2,FALSE)</f>
        <v>City Cleanout</v>
      </c>
      <c r="M3405" s="51" t="s">
        <v>30</v>
      </c>
      <c r="N3405" s="23" t="str">
        <f>VLOOKUP(M3405,'Excursion Cause'!$A$1:$B$34,2,FALSE)</f>
        <v>Grease Blockage</v>
      </c>
      <c r="O3405" s="53">
        <v>45308.0</v>
      </c>
      <c r="P3405" s="54">
        <v>0.5138888888888888</v>
      </c>
      <c r="Q3405" s="55">
        <v>45308.0</v>
      </c>
      <c r="R3405" s="54">
        <v>0.6041666666666666</v>
      </c>
      <c r="S3405" s="52">
        <v>1.0</v>
      </c>
      <c r="T3405" s="51" t="s">
        <v>3756</v>
      </c>
      <c r="U3405" s="56"/>
      <c r="V3405" s="56"/>
      <c r="W3405" s="35">
        <v>29.8017563</v>
      </c>
      <c r="X3405" s="35">
        <v>-95.3228515</v>
      </c>
      <c r="AA3405" s="33"/>
      <c r="AB3405" s="33"/>
      <c r="AC3405" s="33"/>
      <c r="AD3405" s="33"/>
      <c r="AE3405" s="33"/>
      <c r="AF3405" s="33"/>
      <c r="AG3405" s="33"/>
      <c r="AH3405" s="33"/>
      <c r="AI3405" s="33"/>
      <c r="AJ3405" s="33"/>
      <c r="AK3405" s="33"/>
      <c r="AL3405" s="33"/>
      <c r="AM3405" s="33"/>
      <c r="AN3405" s="33"/>
      <c r="AO3405" s="33"/>
    </row>
    <row r="3406" ht="15.75" customHeight="1">
      <c r="A3406" s="60">
        <v>57541.0</v>
      </c>
      <c r="B3406" s="61">
        <v>2024.0</v>
      </c>
      <c r="C3406" s="36" t="str">
        <f t="shared" si="7"/>
        <v>8234 JET PILOT AVE,Houston,TX</v>
      </c>
      <c r="D3406" s="51" t="s">
        <v>5201</v>
      </c>
      <c r="E3406" s="23" t="s">
        <v>25</v>
      </c>
      <c r="F3406" s="23" t="s">
        <v>1388</v>
      </c>
      <c r="G3406" s="62" t="str">
        <f t="shared" si="8"/>
        <v>77075</v>
      </c>
      <c r="H3406" s="58" t="s">
        <v>50</v>
      </c>
      <c r="I3406" s="37" t="str">
        <f>VLOOKUP(H3406,'Flow Location'!$A$1:$B$21,2,FALSE)</f>
        <v>Contained On Site, not within 5 ft. of Bayou/Surface Water/Drainage Ditch</v>
      </c>
      <c r="J3406" s="63">
        <v>0.0</v>
      </c>
      <c r="K3406" s="51" t="s">
        <v>45</v>
      </c>
      <c r="L3406" s="37" t="str">
        <f>VLOOKUP(K3406,'Structure type'!$A$1:$B$15,2,FALSE)</f>
        <v>City Cleanout</v>
      </c>
      <c r="M3406" s="51" t="s">
        <v>30</v>
      </c>
      <c r="N3406" s="23" t="str">
        <f>VLOOKUP(M3406,'Excursion Cause'!$A$1:$B$34,2,FALSE)</f>
        <v>Grease Blockage</v>
      </c>
      <c r="O3406" s="53">
        <v>45308.0</v>
      </c>
      <c r="P3406" s="54">
        <v>0.5354166666666667</v>
      </c>
      <c r="Q3406" s="55">
        <v>45308.0</v>
      </c>
      <c r="R3406" s="54">
        <v>0.5361111111111111</v>
      </c>
      <c r="S3406" s="52">
        <v>0.0</v>
      </c>
      <c r="T3406" s="51" t="s">
        <v>1473</v>
      </c>
      <c r="U3406" s="56"/>
      <c r="V3406" s="56"/>
      <c r="W3406" s="35">
        <v>29.6327798</v>
      </c>
      <c r="X3406" s="35">
        <v>-95.2721782</v>
      </c>
      <c r="AA3406" s="33"/>
      <c r="AB3406" s="33"/>
      <c r="AC3406" s="33"/>
      <c r="AD3406" s="33"/>
      <c r="AE3406" s="33"/>
      <c r="AF3406" s="33"/>
      <c r="AG3406" s="33"/>
      <c r="AH3406" s="33"/>
      <c r="AI3406" s="33"/>
      <c r="AJ3406" s="33"/>
      <c r="AK3406" s="33"/>
      <c r="AL3406" s="33"/>
      <c r="AM3406" s="33"/>
      <c r="AN3406" s="33"/>
      <c r="AO3406" s="33"/>
    </row>
    <row r="3407" ht="15.75" customHeight="1">
      <c r="A3407" s="60">
        <v>57547.0</v>
      </c>
      <c r="B3407" s="61">
        <v>2024.0</v>
      </c>
      <c r="C3407" s="36" t="str">
        <f t="shared" si="7"/>
        <v>6602 KELLER ST,Houston,TX</v>
      </c>
      <c r="D3407" s="51" t="s">
        <v>4149</v>
      </c>
      <c r="E3407" s="23" t="s">
        <v>25</v>
      </c>
      <c r="F3407" s="23" t="s">
        <v>1388</v>
      </c>
      <c r="G3407" s="62" t="str">
        <f t="shared" si="8"/>
        <v>77087</v>
      </c>
      <c r="H3407" s="58" t="s">
        <v>50</v>
      </c>
      <c r="I3407" s="37" t="str">
        <f>VLOOKUP(H3407,'Flow Location'!$A$1:$B$21,2,FALSE)</f>
        <v>Contained On Site, not within 5 ft. of Bayou/Surface Water/Drainage Ditch</v>
      </c>
      <c r="J3407" s="63">
        <v>294.0</v>
      </c>
      <c r="K3407" s="51" t="s">
        <v>45</v>
      </c>
      <c r="L3407" s="37" t="str">
        <f>VLOOKUP(K3407,'Structure type'!$A$1:$B$15,2,FALSE)</f>
        <v>City Cleanout</v>
      </c>
      <c r="M3407" s="51" t="s">
        <v>30</v>
      </c>
      <c r="N3407" s="23" t="str">
        <f>VLOOKUP(M3407,'Excursion Cause'!$A$1:$B$34,2,FALSE)</f>
        <v>Grease Blockage</v>
      </c>
      <c r="O3407" s="53">
        <v>45308.0</v>
      </c>
      <c r="P3407" s="54">
        <v>0.5986111111111111</v>
      </c>
      <c r="Q3407" s="55">
        <v>45308.0</v>
      </c>
      <c r="R3407" s="54">
        <v>0.6666666666666666</v>
      </c>
      <c r="S3407" s="52">
        <v>3.0</v>
      </c>
      <c r="T3407" s="51" t="s">
        <v>3749</v>
      </c>
      <c r="U3407" s="56"/>
      <c r="V3407" s="56"/>
      <c r="W3407" s="35">
        <v>29.7056746</v>
      </c>
      <c r="X3407" s="35">
        <v>-95.3004697</v>
      </c>
      <c r="AA3407" s="33"/>
      <c r="AB3407" s="33"/>
      <c r="AC3407" s="33"/>
      <c r="AD3407" s="33"/>
      <c r="AE3407" s="33"/>
      <c r="AF3407" s="33"/>
      <c r="AG3407" s="33"/>
      <c r="AH3407" s="33"/>
      <c r="AI3407" s="33"/>
      <c r="AJ3407" s="33"/>
      <c r="AK3407" s="33"/>
      <c r="AL3407" s="33"/>
      <c r="AM3407" s="33"/>
      <c r="AN3407" s="33"/>
      <c r="AO3407" s="33"/>
    </row>
    <row r="3408" ht="15.75" customHeight="1">
      <c r="A3408" s="60">
        <v>57550.0</v>
      </c>
      <c r="B3408" s="61">
        <v>2024.0</v>
      </c>
      <c r="C3408" s="36" t="str">
        <f t="shared" si="7"/>
        <v>10919 JUTLAND RD,Houston,TX</v>
      </c>
      <c r="D3408" s="51" t="s">
        <v>5219</v>
      </c>
      <c r="E3408" s="23" t="s">
        <v>25</v>
      </c>
      <c r="F3408" s="23" t="s">
        <v>1388</v>
      </c>
      <c r="G3408" s="62" t="str">
        <f t="shared" si="8"/>
        <v>77048</v>
      </c>
      <c r="H3408" s="58" t="s">
        <v>50</v>
      </c>
      <c r="I3408" s="37" t="str">
        <f>VLOOKUP(H3408,'Flow Location'!$A$1:$B$21,2,FALSE)</f>
        <v>Contained On Site, not within 5 ft. of Bayou/Surface Water/Drainage Ditch</v>
      </c>
      <c r="J3408" s="63">
        <v>0.0</v>
      </c>
      <c r="K3408" s="51" t="s">
        <v>51</v>
      </c>
      <c r="L3408" s="37" t="str">
        <f>VLOOKUP(K3408,'Structure type'!$A$1:$B$15,2,FALSE)</f>
        <v>Private Cleanout</v>
      </c>
      <c r="M3408" s="51" t="s">
        <v>56</v>
      </c>
      <c r="N3408" s="23" t="str">
        <f>VLOOKUP(M3408,'Excursion Cause'!$A$1:$B$34,2,FALSE)</f>
        <v>Rags/Wipes</v>
      </c>
      <c r="O3408" s="53">
        <v>45308.0</v>
      </c>
      <c r="P3408" s="54">
        <v>0.66875</v>
      </c>
      <c r="Q3408" s="55">
        <v>45308.0</v>
      </c>
      <c r="R3408" s="54">
        <v>0.6694444444444444</v>
      </c>
      <c r="S3408" s="52">
        <v>0.0</v>
      </c>
      <c r="T3408" s="51" t="s">
        <v>3756</v>
      </c>
      <c r="U3408" s="56"/>
      <c r="V3408" s="56"/>
      <c r="W3408" s="35">
        <v>29.6400469</v>
      </c>
      <c r="X3408" s="35">
        <v>-95.3480984</v>
      </c>
      <c r="AA3408" s="33"/>
      <c r="AB3408" s="33"/>
      <c r="AC3408" s="33"/>
      <c r="AD3408" s="33"/>
      <c r="AE3408" s="33"/>
      <c r="AF3408" s="33"/>
      <c r="AG3408" s="33"/>
      <c r="AH3408" s="33"/>
      <c r="AI3408" s="33"/>
      <c r="AJ3408" s="33"/>
      <c r="AK3408" s="33"/>
      <c r="AL3408" s="33"/>
      <c r="AM3408" s="33"/>
      <c r="AN3408" s="33"/>
      <c r="AO3408" s="33"/>
    </row>
    <row r="3409" ht="15.75" customHeight="1">
      <c r="A3409" s="60">
        <v>57552.0</v>
      </c>
      <c r="B3409" s="61">
        <v>2024.0</v>
      </c>
      <c r="C3409" s="36" t="str">
        <f t="shared" si="7"/>
        <v>1830 ROUND LAKE DR,Houston,TX</v>
      </c>
      <c r="D3409" s="51" t="s">
        <v>5220</v>
      </c>
      <c r="E3409" s="23" t="s">
        <v>25</v>
      </c>
      <c r="F3409" s="23" t="s">
        <v>1388</v>
      </c>
      <c r="G3409" s="62" t="str">
        <f t="shared" si="8"/>
        <v>77077</v>
      </c>
      <c r="H3409" s="58" t="s">
        <v>50</v>
      </c>
      <c r="I3409" s="37" t="str">
        <f>VLOOKUP(H3409,'Flow Location'!$A$1:$B$21,2,FALSE)</f>
        <v>Contained On Site, not within 5 ft. of Bayou/Surface Water/Drainage Ditch</v>
      </c>
      <c r="J3409" s="63">
        <v>0.0</v>
      </c>
      <c r="K3409" s="51" t="s">
        <v>51</v>
      </c>
      <c r="L3409" s="37" t="str">
        <f>VLOOKUP(K3409,'Structure type'!$A$1:$B$15,2,FALSE)</f>
        <v>Private Cleanout</v>
      </c>
      <c r="M3409" s="51" t="s">
        <v>759</v>
      </c>
      <c r="N3409" s="23" t="str">
        <f>VLOOKUP(M3409,'Excursion Cause'!$A$1:$B$34,2,FALSE)</f>
        <v>Roots</v>
      </c>
      <c r="O3409" s="53">
        <v>45309.0</v>
      </c>
      <c r="P3409" s="54">
        <v>0.4131944444444444</v>
      </c>
      <c r="Q3409" s="55">
        <v>45309.0</v>
      </c>
      <c r="R3409" s="54">
        <v>0.41388888888888886</v>
      </c>
      <c r="S3409" s="52">
        <v>0.0</v>
      </c>
      <c r="T3409" s="51" t="s">
        <v>118</v>
      </c>
      <c r="U3409" s="56"/>
      <c r="V3409" s="56"/>
      <c r="W3409" s="35">
        <v>29.7430907999999</v>
      </c>
      <c r="X3409" s="35">
        <v>-95.6020065</v>
      </c>
      <c r="AA3409" s="33"/>
      <c r="AB3409" s="33"/>
      <c r="AC3409" s="33"/>
      <c r="AD3409" s="33"/>
      <c r="AE3409" s="33"/>
      <c r="AF3409" s="33"/>
      <c r="AG3409" s="33"/>
      <c r="AH3409" s="33"/>
      <c r="AI3409" s="33"/>
      <c r="AJ3409" s="33"/>
      <c r="AK3409" s="33"/>
      <c r="AL3409" s="33"/>
      <c r="AM3409" s="33"/>
      <c r="AN3409" s="33"/>
      <c r="AO3409" s="33"/>
    </row>
    <row r="3410" ht="15.75" customHeight="1">
      <c r="A3410" s="60">
        <v>57561.0</v>
      </c>
      <c r="B3410" s="61">
        <v>2024.0</v>
      </c>
      <c r="C3410" s="36" t="str">
        <f t="shared" si="7"/>
        <v>420 COLQUITT ST,Houston,TX</v>
      </c>
      <c r="D3410" s="51" t="s">
        <v>5221</v>
      </c>
      <c r="E3410" s="23" t="s">
        <v>25</v>
      </c>
      <c r="F3410" s="23" t="s">
        <v>1388</v>
      </c>
      <c r="G3410" s="62" t="str">
        <f t="shared" si="8"/>
        <v>77006</v>
      </c>
      <c r="H3410" s="58" t="s">
        <v>50</v>
      </c>
      <c r="I3410" s="37" t="str">
        <f>VLOOKUP(H3410,'Flow Location'!$A$1:$B$21,2,FALSE)</f>
        <v>Contained On Site, not within 5 ft. of Bayou/Surface Water/Drainage Ditch</v>
      </c>
      <c r="J3410" s="63">
        <v>0.0</v>
      </c>
      <c r="K3410" s="51" t="s">
        <v>45</v>
      </c>
      <c r="L3410" s="37" t="str">
        <f>VLOOKUP(K3410,'Structure type'!$A$1:$B$15,2,FALSE)</f>
        <v>City Cleanout</v>
      </c>
      <c r="M3410" s="51" t="s">
        <v>56</v>
      </c>
      <c r="N3410" s="23" t="str">
        <f>VLOOKUP(M3410,'Excursion Cause'!$A$1:$B$34,2,FALSE)</f>
        <v>Rags/Wipes</v>
      </c>
      <c r="O3410" s="53">
        <v>45309.0</v>
      </c>
      <c r="P3410" s="54">
        <v>0.6743055555555556</v>
      </c>
      <c r="Q3410" s="55">
        <v>45309.0</v>
      </c>
      <c r="R3410" s="54">
        <v>0.675</v>
      </c>
      <c r="S3410" s="52">
        <v>0.0</v>
      </c>
      <c r="T3410" s="51" t="s">
        <v>3743</v>
      </c>
      <c r="U3410" s="56"/>
      <c r="V3410" s="56"/>
      <c r="W3410" s="35">
        <v>29.7356442</v>
      </c>
      <c r="X3410" s="35">
        <v>-95.385063</v>
      </c>
      <c r="AA3410" s="33"/>
      <c r="AB3410" s="33"/>
      <c r="AC3410" s="33"/>
      <c r="AD3410" s="33"/>
      <c r="AE3410" s="33"/>
      <c r="AF3410" s="33"/>
      <c r="AG3410" s="33"/>
      <c r="AH3410" s="33"/>
      <c r="AI3410" s="33"/>
      <c r="AJ3410" s="33"/>
      <c r="AK3410" s="33"/>
      <c r="AL3410" s="33"/>
      <c r="AM3410" s="33"/>
      <c r="AN3410" s="33"/>
      <c r="AO3410" s="33"/>
    </row>
    <row r="3411" ht="15.75" customHeight="1">
      <c r="A3411" s="60">
        <v>57562.0</v>
      </c>
      <c r="B3411" s="61">
        <v>2024.0</v>
      </c>
      <c r="C3411" s="36" t="str">
        <f t="shared" si="7"/>
        <v>203 SYLVESTER RD,Houston,TX</v>
      </c>
      <c r="D3411" s="51" t="s">
        <v>5222</v>
      </c>
      <c r="E3411" s="23" t="s">
        <v>25</v>
      </c>
      <c r="F3411" s="23" t="s">
        <v>1388</v>
      </c>
      <c r="G3411" s="62" t="str">
        <f t="shared" si="8"/>
        <v>77009</v>
      </c>
      <c r="H3411" s="58" t="s">
        <v>50</v>
      </c>
      <c r="I3411" s="37" t="str">
        <f>VLOOKUP(H3411,'Flow Location'!$A$1:$B$21,2,FALSE)</f>
        <v>Contained On Site, not within 5 ft. of Bayou/Surface Water/Drainage Ditch</v>
      </c>
      <c r="J3411" s="63">
        <v>0.0</v>
      </c>
      <c r="K3411" s="51" t="s">
        <v>45</v>
      </c>
      <c r="L3411" s="37" t="str">
        <f>VLOOKUP(K3411,'Structure type'!$A$1:$B$15,2,FALSE)</f>
        <v>City Cleanout</v>
      </c>
      <c r="M3411" s="51" t="s">
        <v>30</v>
      </c>
      <c r="N3411" s="23" t="str">
        <f>VLOOKUP(M3411,'Excursion Cause'!$A$1:$B$34,2,FALSE)</f>
        <v>Grease Blockage</v>
      </c>
      <c r="O3411" s="53">
        <v>45309.0</v>
      </c>
      <c r="P3411" s="54">
        <v>0.7020833333333333</v>
      </c>
      <c r="Q3411" s="55">
        <v>45309.0</v>
      </c>
      <c r="R3411" s="54">
        <v>0.7027777777777777</v>
      </c>
      <c r="S3411" s="52">
        <v>0.0</v>
      </c>
      <c r="T3411" s="51" t="s">
        <v>1473</v>
      </c>
      <c r="U3411" s="56"/>
      <c r="V3411" s="56"/>
      <c r="W3411" s="35">
        <v>29.8114305</v>
      </c>
      <c r="X3411" s="35">
        <v>-95.3713617</v>
      </c>
      <c r="AA3411" s="33"/>
      <c r="AB3411" s="33"/>
      <c r="AC3411" s="33"/>
      <c r="AD3411" s="33"/>
      <c r="AE3411" s="33"/>
      <c r="AF3411" s="33"/>
      <c r="AG3411" s="33"/>
      <c r="AH3411" s="33"/>
      <c r="AI3411" s="33"/>
      <c r="AJ3411" s="33"/>
      <c r="AK3411" s="33"/>
      <c r="AL3411" s="33"/>
      <c r="AM3411" s="33"/>
      <c r="AN3411" s="33"/>
      <c r="AO3411" s="33"/>
    </row>
    <row r="3412" ht="15.75" customHeight="1">
      <c r="A3412" s="60">
        <v>57563.0</v>
      </c>
      <c r="B3412" s="61">
        <v>2024.0</v>
      </c>
      <c r="C3412" s="36" t="str">
        <f t="shared" si="7"/>
        <v>8433 PARNELL ST,Houston,TX</v>
      </c>
      <c r="D3412" s="51" t="s">
        <v>5223</v>
      </c>
      <c r="E3412" s="23" t="s">
        <v>25</v>
      </c>
      <c r="F3412" s="23" t="s">
        <v>1388</v>
      </c>
      <c r="G3412" s="62" t="str">
        <f t="shared" si="8"/>
        <v>77051</v>
      </c>
      <c r="H3412" s="58" t="s">
        <v>1493</v>
      </c>
      <c r="I3412" s="37" t="str">
        <f>VLOOKUP(H3412,'Flow Location'!$A$1:$B$21,2,FALSE)</f>
        <v>Contained On Site, not within 5 ft. of Bayou/Surface Water/Drainage Ditch</v>
      </c>
      <c r="J3412" s="63">
        <v>0.0</v>
      </c>
      <c r="K3412" s="51" t="s">
        <v>51</v>
      </c>
      <c r="L3412" s="37" t="str">
        <f>VLOOKUP(K3412,'Structure type'!$A$1:$B$15,2,FALSE)</f>
        <v>Private Cleanout</v>
      </c>
      <c r="M3412" s="51" t="s">
        <v>81</v>
      </c>
      <c r="N3412" s="23" t="str">
        <f>VLOOKUP(M3412,'Excursion Cause'!$A$1:$B$34,2,FALSE)</f>
        <v>Collection system structural failure</v>
      </c>
      <c r="O3412" s="53">
        <v>45310.0</v>
      </c>
      <c r="P3412" s="54">
        <v>0.3798611111111111</v>
      </c>
      <c r="Q3412" s="55">
        <v>45310.0</v>
      </c>
      <c r="R3412" s="54">
        <v>0.38055555555555554</v>
      </c>
      <c r="S3412" s="52">
        <v>0.0</v>
      </c>
      <c r="T3412" s="51" t="s">
        <v>118</v>
      </c>
      <c r="U3412" s="56"/>
      <c r="V3412" s="56"/>
      <c r="W3412" s="35">
        <v>29.669656</v>
      </c>
      <c r="X3412" s="35">
        <v>-95.3749909</v>
      </c>
      <c r="AA3412" s="33"/>
      <c r="AB3412" s="33"/>
      <c r="AC3412" s="33"/>
      <c r="AD3412" s="33"/>
      <c r="AE3412" s="33"/>
      <c r="AF3412" s="33"/>
      <c r="AG3412" s="33"/>
      <c r="AH3412" s="33"/>
      <c r="AI3412" s="33"/>
      <c r="AJ3412" s="33"/>
      <c r="AK3412" s="33"/>
      <c r="AL3412" s="33"/>
      <c r="AM3412" s="33"/>
      <c r="AN3412" s="33"/>
      <c r="AO3412" s="33"/>
    </row>
    <row r="3413" ht="15.75" customHeight="1">
      <c r="A3413" s="60">
        <v>57564.0</v>
      </c>
      <c r="B3413" s="61">
        <v>2024.0</v>
      </c>
      <c r="C3413" s="36" t="str">
        <f t="shared" si="7"/>
        <v>6608 AVENUE F,Houston,TX</v>
      </c>
      <c r="D3413" s="51" t="s">
        <v>5224</v>
      </c>
      <c r="E3413" s="23" t="s">
        <v>25</v>
      </c>
      <c r="F3413" s="23" t="s">
        <v>1388</v>
      </c>
      <c r="G3413" s="62" t="str">
        <f t="shared" si="8"/>
        <v>77011</v>
      </c>
      <c r="H3413" s="58" t="s">
        <v>50</v>
      </c>
      <c r="I3413" s="37" t="str">
        <f>VLOOKUP(H3413,'Flow Location'!$A$1:$B$21,2,FALSE)</f>
        <v>Contained On Site, not within 5 ft. of Bayou/Surface Water/Drainage Ditch</v>
      </c>
      <c r="J3413" s="63">
        <v>0.0</v>
      </c>
      <c r="K3413" s="51" t="s">
        <v>198</v>
      </c>
      <c r="L3413" s="37" t="str">
        <f>VLOOKUP(K3413,'Structure type'!$A$1:$B$15,2,FALSE)</f>
        <v>Service Lateral</v>
      </c>
      <c r="M3413" s="51" t="s">
        <v>52</v>
      </c>
      <c r="N3413" s="23" t="str">
        <f>VLOOKUP(M3413,'Excursion Cause'!$A$1:$B$34,2,FALSE)</f>
        <v>Collection system structural blockage</v>
      </c>
      <c r="O3413" s="53">
        <v>45310.0</v>
      </c>
      <c r="P3413" s="54">
        <v>0.37777777777777777</v>
      </c>
      <c r="Q3413" s="55">
        <v>45310.0</v>
      </c>
      <c r="R3413" s="54">
        <v>0.3784722222222222</v>
      </c>
      <c r="S3413" s="52">
        <v>0.0</v>
      </c>
      <c r="T3413" s="51" t="s">
        <v>118</v>
      </c>
      <c r="U3413" s="56"/>
      <c r="V3413" s="56"/>
      <c r="W3413" s="35">
        <v>29.741309</v>
      </c>
      <c r="X3413" s="35">
        <v>-95.3085555</v>
      </c>
      <c r="AA3413" s="33"/>
      <c r="AB3413" s="33"/>
      <c r="AC3413" s="33"/>
      <c r="AD3413" s="33"/>
      <c r="AE3413" s="33"/>
      <c r="AF3413" s="33"/>
      <c r="AG3413" s="33"/>
      <c r="AH3413" s="33"/>
      <c r="AI3413" s="33"/>
      <c r="AJ3413" s="33"/>
      <c r="AK3413" s="33"/>
      <c r="AL3413" s="33"/>
      <c r="AM3413" s="33"/>
      <c r="AN3413" s="33"/>
      <c r="AO3413" s="33"/>
    </row>
    <row r="3414" ht="15.75" customHeight="1">
      <c r="A3414" s="60">
        <v>57568.0</v>
      </c>
      <c r="B3414" s="61">
        <v>2024.0</v>
      </c>
      <c r="C3414" s="36" t="str">
        <f t="shared" si="7"/>
        <v>501 AVONDALE ST,Houston,TX</v>
      </c>
      <c r="D3414" s="51" t="s">
        <v>5225</v>
      </c>
      <c r="E3414" s="23" t="s">
        <v>25</v>
      </c>
      <c r="F3414" s="23" t="s">
        <v>1388</v>
      </c>
      <c r="G3414" s="62" t="str">
        <f t="shared" si="8"/>
        <v>77006</v>
      </c>
      <c r="H3414" s="58" t="s">
        <v>50</v>
      </c>
      <c r="I3414" s="37" t="str">
        <f>VLOOKUP(H3414,'Flow Location'!$A$1:$B$21,2,FALSE)</f>
        <v>Contained On Site, not within 5 ft. of Bayou/Surface Water/Drainage Ditch</v>
      </c>
      <c r="J3414" s="63">
        <v>0.0</v>
      </c>
      <c r="K3414" s="51" t="s">
        <v>51</v>
      </c>
      <c r="L3414" s="37" t="str">
        <f>VLOOKUP(K3414,'Structure type'!$A$1:$B$15,2,FALSE)</f>
        <v>Private Cleanout</v>
      </c>
      <c r="M3414" s="51" t="s">
        <v>52</v>
      </c>
      <c r="N3414" s="23" t="str">
        <f>VLOOKUP(M3414,'Excursion Cause'!$A$1:$B$34,2,FALSE)</f>
        <v>Collection system structural blockage</v>
      </c>
      <c r="O3414" s="53">
        <v>45310.0</v>
      </c>
      <c r="P3414" s="54">
        <v>0.4534722222222222</v>
      </c>
      <c r="Q3414" s="55">
        <v>45310.0</v>
      </c>
      <c r="R3414" s="54">
        <v>0.45416666666666666</v>
      </c>
      <c r="S3414" s="52">
        <v>0.0</v>
      </c>
      <c r="T3414" s="51" t="s">
        <v>1391</v>
      </c>
      <c r="U3414" s="56"/>
      <c r="V3414" s="56"/>
      <c r="W3414" s="35">
        <v>29.7456597</v>
      </c>
      <c r="X3414" s="35">
        <v>-95.3874727</v>
      </c>
      <c r="AA3414" s="33"/>
      <c r="AB3414" s="33"/>
      <c r="AC3414" s="33"/>
      <c r="AD3414" s="33"/>
      <c r="AE3414" s="33"/>
      <c r="AF3414" s="33"/>
      <c r="AG3414" s="33"/>
      <c r="AH3414" s="33"/>
      <c r="AI3414" s="33"/>
      <c r="AJ3414" s="33"/>
      <c r="AK3414" s="33"/>
      <c r="AL3414" s="33"/>
      <c r="AM3414" s="33"/>
      <c r="AN3414" s="33"/>
      <c r="AO3414" s="33"/>
    </row>
    <row r="3415" ht="15.75" customHeight="1">
      <c r="A3415" s="60">
        <v>57571.0</v>
      </c>
      <c r="B3415" s="61">
        <v>2024.0</v>
      </c>
      <c r="C3415" s="36" t="str">
        <f t="shared" si="7"/>
        <v>16442 GOLD RIDGE LN,Houston,TX</v>
      </c>
      <c r="D3415" s="51" t="s">
        <v>5226</v>
      </c>
      <c r="E3415" s="23" t="s">
        <v>25</v>
      </c>
      <c r="F3415" s="23" t="s">
        <v>1388</v>
      </c>
      <c r="G3415" s="62" t="str">
        <f t="shared" si="8"/>
        <v>77053</v>
      </c>
      <c r="H3415" s="58" t="s">
        <v>28</v>
      </c>
      <c r="I3415" s="37" t="str">
        <f>VLOOKUP(H3415,'Flow Location'!$A$1:$B$21,2,FALSE)</f>
        <v>Storm Sewer (not contained)</v>
      </c>
      <c r="J3415" s="63">
        <v>96.0</v>
      </c>
      <c r="K3415" s="51" t="s">
        <v>29</v>
      </c>
      <c r="L3415" s="37" t="str">
        <f>VLOOKUP(K3415,'Structure type'!$A$1:$B$15,2,FALSE)</f>
        <v>Manhole</v>
      </c>
      <c r="M3415" s="51" t="s">
        <v>30</v>
      </c>
      <c r="N3415" s="23" t="str">
        <f>VLOOKUP(M3415,'Excursion Cause'!$A$1:$B$34,2,FALSE)</f>
        <v>Grease Blockage</v>
      </c>
      <c r="O3415" s="53">
        <v>45310.0</v>
      </c>
      <c r="P3415" s="54">
        <v>0.4888888888888889</v>
      </c>
      <c r="Q3415" s="55">
        <v>45310.0</v>
      </c>
      <c r="R3415" s="54">
        <v>0.5555555555555556</v>
      </c>
      <c r="S3415" s="52">
        <v>1.0</v>
      </c>
      <c r="T3415" s="51" t="s">
        <v>3749</v>
      </c>
      <c r="U3415" s="56"/>
      <c r="V3415" s="56"/>
      <c r="W3415" s="35">
        <v>29.5850618</v>
      </c>
      <c r="X3415" s="35">
        <v>-95.4688319999999</v>
      </c>
      <c r="AA3415" s="33"/>
      <c r="AB3415" s="33"/>
      <c r="AC3415" s="33"/>
      <c r="AD3415" s="33"/>
      <c r="AE3415" s="33"/>
      <c r="AF3415" s="33"/>
      <c r="AG3415" s="33"/>
      <c r="AH3415" s="33"/>
      <c r="AI3415" s="33"/>
      <c r="AJ3415" s="33"/>
      <c r="AK3415" s="33"/>
      <c r="AL3415" s="33"/>
      <c r="AM3415" s="33"/>
      <c r="AN3415" s="33"/>
      <c r="AO3415" s="33"/>
    </row>
    <row r="3416" ht="15.75" customHeight="1">
      <c r="A3416" s="60">
        <v>57575.0</v>
      </c>
      <c r="B3416" s="61">
        <v>2024.0</v>
      </c>
      <c r="C3416" s="36" t="str">
        <f t="shared" si="7"/>
        <v>12605 MCNAIR ST,Houston,TX</v>
      </c>
      <c r="D3416" s="51" t="s">
        <v>5227</v>
      </c>
      <c r="E3416" s="23" t="s">
        <v>25</v>
      </c>
      <c r="F3416" s="23" t="s">
        <v>1388</v>
      </c>
      <c r="G3416" s="62" t="str">
        <f t="shared" si="8"/>
        <v>77015</v>
      </c>
      <c r="H3416" s="58" t="s">
        <v>28</v>
      </c>
      <c r="I3416" s="37" t="str">
        <f>VLOOKUP(H3416,'Flow Location'!$A$1:$B$21,2,FALSE)</f>
        <v>Storm Sewer (not contained)</v>
      </c>
      <c r="J3416" s="63">
        <v>0.0</v>
      </c>
      <c r="K3416" s="51" t="s">
        <v>198</v>
      </c>
      <c r="L3416" s="37" t="str">
        <f>VLOOKUP(K3416,'Structure type'!$A$1:$B$15,2,FALSE)</f>
        <v>Service Lateral</v>
      </c>
      <c r="M3416" s="51" t="s">
        <v>30</v>
      </c>
      <c r="N3416" s="23" t="str">
        <f>VLOOKUP(M3416,'Excursion Cause'!$A$1:$B$34,2,FALSE)</f>
        <v>Grease Blockage</v>
      </c>
      <c r="O3416" s="53">
        <v>45310.0</v>
      </c>
      <c r="P3416" s="54">
        <v>0.5416666666666666</v>
      </c>
      <c r="Q3416" s="55">
        <v>45310.0</v>
      </c>
      <c r="R3416" s="54">
        <v>0.5423611111111111</v>
      </c>
      <c r="S3416" s="52">
        <v>0.0</v>
      </c>
      <c r="T3416" s="51" t="s">
        <v>1462</v>
      </c>
      <c r="U3416" s="56"/>
      <c r="V3416" s="56"/>
      <c r="W3416" s="35">
        <v>29.77292</v>
      </c>
      <c r="X3416" s="35">
        <v>-95.212418</v>
      </c>
      <c r="AA3416" s="33"/>
      <c r="AB3416" s="33"/>
      <c r="AC3416" s="33"/>
      <c r="AD3416" s="33"/>
      <c r="AE3416" s="33"/>
      <c r="AF3416" s="33"/>
      <c r="AG3416" s="33"/>
      <c r="AH3416" s="33"/>
      <c r="AI3416" s="33"/>
      <c r="AJ3416" s="33"/>
      <c r="AK3416" s="33"/>
      <c r="AL3416" s="33"/>
      <c r="AM3416" s="33"/>
      <c r="AN3416" s="33"/>
      <c r="AO3416" s="33"/>
    </row>
    <row r="3417" ht="15.75" customHeight="1">
      <c r="A3417" s="60">
        <v>57581.0</v>
      </c>
      <c r="B3417" s="61">
        <v>2024.0</v>
      </c>
      <c r="C3417" s="36" t="str">
        <f t="shared" si="7"/>
        <v>13504 HOOPER RD,Houston,TX</v>
      </c>
      <c r="D3417" s="51" t="s">
        <v>5228</v>
      </c>
      <c r="E3417" s="23" t="s">
        <v>25</v>
      </c>
      <c r="F3417" s="23" t="s">
        <v>1388</v>
      </c>
      <c r="G3417" s="62" t="str">
        <f t="shared" si="8"/>
        <v>77047</v>
      </c>
      <c r="H3417" s="58" t="s">
        <v>50</v>
      </c>
      <c r="I3417" s="37" t="str">
        <f>VLOOKUP(H3417,'Flow Location'!$A$1:$B$21,2,FALSE)</f>
        <v>Contained On Site, not within 5 ft. of Bayou/Surface Water/Drainage Ditch</v>
      </c>
      <c r="J3417" s="63">
        <v>0.0</v>
      </c>
      <c r="K3417" s="51" t="s">
        <v>29</v>
      </c>
      <c r="L3417" s="37" t="str">
        <f>VLOOKUP(K3417,'Structure type'!$A$1:$B$15,2,FALSE)</f>
        <v>Manhole</v>
      </c>
      <c r="M3417" s="51" t="s">
        <v>30</v>
      </c>
      <c r="N3417" s="23" t="str">
        <f>VLOOKUP(M3417,'Excursion Cause'!$A$1:$B$34,2,FALSE)</f>
        <v>Grease Blockage</v>
      </c>
      <c r="O3417" s="53">
        <v>45309.0</v>
      </c>
      <c r="P3417" s="54">
        <v>0.5555555555555556</v>
      </c>
      <c r="Q3417" s="55">
        <v>45309.0</v>
      </c>
      <c r="R3417" s="54">
        <v>0.55625</v>
      </c>
      <c r="S3417" s="52">
        <v>0.0</v>
      </c>
      <c r="T3417" s="51" t="s">
        <v>3749</v>
      </c>
      <c r="U3417" s="56"/>
      <c r="V3417" s="56"/>
      <c r="W3417" s="35">
        <v>29.6112199</v>
      </c>
      <c r="X3417" s="35">
        <v>-95.4054699</v>
      </c>
      <c r="AA3417" s="33"/>
      <c r="AB3417" s="33"/>
      <c r="AC3417" s="33"/>
      <c r="AD3417" s="33"/>
      <c r="AE3417" s="33"/>
      <c r="AF3417" s="33"/>
      <c r="AG3417" s="33"/>
      <c r="AH3417" s="33"/>
      <c r="AI3417" s="33"/>
      <c r="AJ3417" s="33"/>
      <c r="AK3417" s="33"/>
      <c r="AL3417" s="33"/>
      <c r="AM3417" s="33"/>
      <c r="AN3417" s="33"/>
      <c r="AO3417" s="33"/>
    </row>
    <row r="3418" ht="15.75" customHeight="1">
      <c r="A3418" s="60">
        <v>57582.0</v>
      </c>
      <c r="B3418" s="61">
        <v>2024.0</v>
      </c>
      <c r="C3418" s="36" t="str">
        <f t="shared" si="7"/>
        <v>12934 PEGGYS LN,Houston,TX</v>
      </c>
      <c r="D3418" s="51" t="s">
        <v>5229</v>
      </c>
      <c r="E3418" s="23" t="s">
        <v>25</v>
      </c>
      <c r="F3418" s="23" t="s">
        <v>1388</v>
      </c>
      <c r="G3418" s="62" t="str">
        <f t="shared" si="8"/>
        <v>77015</v>
      </c>
      <c r="H3418" s="58" t="s">
        <v>1493</v>
      </c>
      <c r="I3418" s="37" t="str">
        <f>VLOOKUP(H3418,'Flow Location'!$A$1:$B$21,2,FALSE)</f>
        <v>Contained On Site, not within 5 ft. of Bayou/Surface Water/Drainage Ditch</v>
      </c>
      <c r="J3418" s="63">
        <v>0.0</v>
      </c>
      <c r="K3418" s="51" t="s">
        <v>29</v>
      </c>
      <c r="L3418" s="37" t="str">
        <f>VLOOKUP(K3418,'Structure type'!$A$1:$B$15,2,FALSE)</f>
        <v>Manhole</v>
      </c>
      <c r="M3418" s="51" t="s">
        <v>30</v>
      </c>
      <c r="N3418" s="23" t="str">
        <f>VLOOKUP(M3418,'Excursion Cause'!$A$1:$B$34,2,FALSE)</f>
        <v>Grease Blockage</v>
      </c>
      <c r="O3418" s="53">
        <v>45310.0</v>
      </c>
      <c r="P3418" s="54">
        <v>0.7388888888888889</v>
      </c>
      <c r="Q3418" s="55">
        <v>45310.0</v>
      </c>
      <c r="R3418" s="54">
        <v>0.7395833333333334</v>
      </c>
      <c r="S3418" s="52">
        <v>0.0</v>
      </c>
      <c r="T3418" s="51" t="s">
        <v>3749</v>
      </c>
      <c r="U3418" s="56"/>
      <c r="V3418" s="56"/>
      <c r="W3418" s="35">
        <v>29.7612895</v>
      </c>
      <c r="X3418" s="35">
        <v>-95.1982652</v>
      </c>
      <c r="AA3418" s="33"/>
      <c r="AB3418" s="33"/>
      <c r="AC3418" s="33"/>
      <c r="AD3418" s="33"/>
      <c r="AE3418" s="33"/>
      <c r="AF3418" s="33"/>
      <c r="AG3418" s="33"/>
      <c r="AH3418" s="33"/>
      <c r="AI3418" s="33"/>
      <c r="AJ3418" s="33"/>
      <c r="AK3418" s="33"/>
      <c r="AL3418" s="33"/>
      <c r="AM3418" s="33"/>
      <c r="AN3418" s="33"/>
      <c r="AO3418" s="33"/>
    </row>
    <row r="3419" ht="15.75" customHeight="1">
      <c r="A3419" s="60">
        <v>57583.0</v>
      </c>
      <c r="B3419" s="61">
        <v>2024.0</v>
      </c>
      <c r="C3419" s="36" t="str">
        <f t="shared" si="7"/>
        <v>4207 ROGERS ST,Houston,TX</v>
      </c>
      <c r="D3419" s="51" t="s">
        <v>5230</v>
      </c>
      <c r="E3419" s="23" t="s">
        <v>25</v>
      </c>
      <c r="F3419" s="23" t="s">
        <v>1388</v>
      </c>
      <c r="G3419" s="62" t="str">
        <f t="shared" si="8"/>
        <v>77022</v>
      </c>
      <c r="H3419" s="58" t="s">
        <v>50</v>
      </c>
      <c r="I3419" s="37" t="str">
        <f>VLOOKUP(H3419,'Flow Location'!$A$1:$B$21,2,FALSE)</f>
        <v>Contained On Site, not within 5 ft. of Bayou/Surface Water/Drainage Ditch</v>
      </c>
      <c r="J3419" s="63">
        <v>0.0</v>
      </c>
      <c r="K3419" s="51" t="s">
        <v>51</v>
      </c>
      <c r="L3419" s="37" t="str">
        <f>VLOOKUP(K3419,'Structure type'!$A$1:$B$15,2,FALSE)</f>
        <v>Private Cleanout</v>
      </c>
      <c r="M3419" s="51" t="s">
        <v>30</v>
      </c>
      <c r="N3419" s="23" t="str">
        <f>VLOOKUP(M3419,'Excursion Cause'!$A$1:$B$34,2,FALSE)</f>
        <v>Grease Blockage</v>
      </c>
      <c r="O3419" s="53">
        <v>45311.0</v>
      </c>
      <c r="P3419" s="54">
        <v>0.3784722222222222</v>
      </c>
      <c r="Q3419" s="55">
        <v>45311.0</v>
      </c>
      <c r="R3419" s="54">
        <v>0.37916666666666665</v>
      </c>
      <c r="S3419" s="52">
        <v>0.0</v>
      </c>
      <c r="T3419" s="51" t="s">
        <v>3743</v>
      </c>
      <c r="U3419" s="56"/>
      <c r="V3419" s="56"/>
      <c r="W3419" s="35">
        <v>29.8258565</v>
      </c>
      <c r="X3419" s="35">
        <v>-95.386072</v>
      </c>
      <c r="AA3419" s="33"/>
      <c r="AB3419" s="33"/>
      <c r="AC3419" s="33"/>
      <c r="AD3419" s="33"/>
      <c r="AE3419" s="33"/>
      <c r="AF3419" s="33"/>
      <c r="AG3419" s="33"/>
      <c r="AH3419" s="33"/>
      <c r="AI3419" s="33"/>
      <c r="AJ3419" s="33"/>
      <c r="AK3419" s="33"/>
      <c r="AL3419" s="33"/>
      <c r="AM3419" s="33"/>
      <c r="AN3419" s="33"/>
      <c r="AO3419" s="33"/>
    </row>
    <row r="3420" ht="15.75" customHeight="1">
      <c r="A3420" s="60">
        <v>57584.0</v>
      </c>
      <c r="B3420" s="61">
        <v>2024.0</v>
      </c>
      <c r="C3420" s="36" t="str">
        <f t="shared" si="7"/>
        <v>10147 VALLEY WIND DR,Houston,TX</v>
      </c>
      <c r="D3420" s="51" t="s">
        <v>505</v>
      </c>
      <c r="E3420" s="23" t="s">
        <v>25</v>
      </c>
      <c r="F3420" s="23" t="s">
        <v>1388</v>
      </c>
      <c r="G3420" s="62" t="str">
        <f t="shared" si="8"/>
        <v>77078</v>
      </c>
      <c r="H3420" s="58" t="s">
        <v>50</v>
      </c>
      <c r="I3420" s="37" t="str">
        <f>VLOOKUP(H3420,'Flow Location'!$A$1:$B$21,2,FALSE)</f>
        <v>Contained On Site, not within 5 ft. of Bayou/Surface Water/Drainage Ditch</v>
      </c>
      <c r="J3420" s="63">
        <v>0.0</v>
      </c>
      <c r="K3420" s="51" t="s">
        <v>45</v>
      </c>
      <c r="L3420" s="37" t="str">
        <f>VLOOKUP(K3420,'Structure type'!$A$1:$B$15,2,FALSE)</f>
        <v>City Cleanout</v>
      </c>
      <c r="M3420" s="51" t="s">
        <v>30</v>
      </c>
      <c r="N3420" s="23" t="str">
        <f>VLOOKUP(M3420,'Excursion Cause'!$A$1:$B$34,2,FALSE)</f>
        <v>Grease Blockage</v>
      </c>
      <c r="O3420" s="53">
        <v>45311.0</v>
      </c>
      <c r="P3420" s="54">
        <v>0.3541666666666667</v>
      </c>
      <c r="Q3420" s="55">
        <v>45311.0</v>
      </c>
      <c r="R3420" s="54">
        <v>0.3548611111111111</v>
      </c>
      <c r="S3420" s="52">
        <v>0.0</v>
      </c>
      <c r="T3420" s="51" t="s">
        <v>1462</v>
      </c>
      <c r="U3420" s="56"/>
      <c r="V3420" s="56"/>
      <c r="W3420" s="35">
        <v>29.8478666999999</v>
      </c>
      <c r="X3420" s="35">
        <v>-95.2360686</v>
      </c>
      <c r="AA3420" s="33"/>
      <c r="AB3420" s="33"/>
      <c r="AC3420" s="33"/>
      <c r="AD3420" s="33"/>
      <c r="AE3420" s="33"/>
      <c r="AF3420" s="33"/>
      <c r="AG3420" s="33"/>
      <c r="AH3420" s="33"/>
      <c r="AI3420" s="33"/>
      <c r="AJ3420" s="33"/>
      <c r="AK3420" s="33"/>
      <c r="AL3420" s="33"/>
      <c r="AM3420" s="33"/>
      <c r="AN3420" s="33"/>
      <c r="AO3420" s="33"/>
    </row>
    <row r="3421" ht="15.75" customHeight="1">
      <c r="A3421" s="60">
        <v>57586.0</v>
      </c>
      <c r="B3421" s="61">
        <v>2024.0</v>
      </c>
      <c r="C3421" s="36" t="str">
        <f t="shared" si="7"/>
        <v>2509 DICKEY PL,Houston,TX</v>
      </c>
      <c r="D3421" s="51" t="s">
        <v>5231</v>
      </c>
      <c r="E3421" s="23" t="s">
        <v>25</v>
      </c>
      <c r="F3421" s="23" t="s">
        <v>1388</v>
      </c>
      <c r="G3421" s="62" t="str">
        <f t="shared" si="8"/>
        <v>77019</v>
      </c>
      <c r="H3421" s="58" t="s">
        <v>50</v>
      </c>
      <c r="I3421" s="37" t="str">
        <f>VLOOKUP(H3421,'Flow Location'!$A$1:$B$21,2,FALSE)</f>
        <v>Contained On Site, not within 5 ft. of Bayou/Surface Water/Drainage Ditch</v>
      </c>
      <c r="J3421" s="63">
        <v>0.0</v>
      </c>
      <c r="K3421" s="51" t="s">
        <v>51</v>
      </c>
      <c r="L3421" s="37" t="str">
        <f>VLOOKUP(K3421,'Structure type'!$A$1:$B$15,2,FALSE)</f>
        <v>Private Cleanout</v>
      </c>
      <c r="M3421" s="51" t="s">
        <v>30</v>
      </c>
      <c r="N3421" s="23" t="str">
        <f>VLOOKUP(M3421,'Excursion Cause'!$A$1:$B$34,2,FALSE)</f>
        <v>Grease Blockage</v>
      </c>
      <c r="O3421" s="53">
        <v>45311.0</v>
      </c>
      <c r="P3421" s="54">
        <v>0.5694444444444444</v>
      </c>
      <c r="Q3421" s="55">
        <v>45311.0</v>
      </c>
      <c r="R3421" s="54">
        <v>0.5701388888888889</v>
      </c>
      <c r="S3421" s="52">
        <v>0.0</v>
      </c>
      <c r="T3421" s="51" t="s">
        <v>1462</v>
      </c>
      <c r="U3421" s="56"/>
      <c r="V3421" s="56"/>
      <c r="W3421" s="35">
        <v>29.743394</v>
      </c>
      <c r="X3421" s="35">
        <v>-95.4153089</v>
      </c>
      <c r="AA3421" s="33"/>
      <c r="AB3421" s="33"/>
      <c r="AC3421" s="33"/>
      <c r="AD3421" s="33"/>
      <c r="AE3421" s="33"/>
      <c r="AF3421" s="33"/>
      <c r="AG3421" s="33"/>
      <c r="AH3421" s="33"/>
      <c r="AI3421" s="33"/>
      <c r="AJ3421" s="33"/>
      <c r="AK3421" s="33"/>
      <c r="AL3421" s="33"/>
      <c r="AM3421" s="33"/>
      <c r="AN3421" s="33"/>
      <c r="AO3421" s="33"/>
    </row>
    <row r="3422" ht="15.75" customHeight="1">
      <c r="A3422" s="60">
        <v>57592.0</v>
      </c>
      <c r="B3422" s="61">
        <v>2024.0</v>
      </c>
      <c r="C3422" s="36" t="str">
        <f t="shared" si="7"/>
        <v>3346 AIRPORT BLVD,Houston,TX</v>
      </c>
      <c r="D3422" s="51" t="s">
        <v>5232</v>
      </c>
      <c r="E3422" s="23" t="s">
        <v>25</v>
      </c>
      <c r="F3422" s="23" t="s">
        <v>1388</v>
      </c>
      <c r="G3422" s="62" t="str">
        <f t="shared" si="8"/>
        <v>77051</v>
      </c>
      <c r="H3422" s="58" t="s">
        <v>1493</v>
      </c>
      <c r="I3422" s="37" t="str">
        <f>VLOOKUP(H3422,'Flow Location'!$A$1:$B$21,2,FALSE)</f>
        <v>Contained On Site, not within 5 ft. of Bayou/Surface Water/Drainage Ditch</v>
      </c>
      <c r="J3422" s="63">
        <v>0.0</v>
      </c>
      <c r="K3422" s="51" t="s">
        <v>198</v>
      </c>
      <c r="L3422" s="37" t="str">
        <f>VLOOKUP(K3422,'Structure type'!$A$1:$B$15,2,FALSE)</f>
        <v>Service Lateral</v>
      </c>
      <c r="M3422" s="51" t="s">
        <v>81</v>
      </c>
      <c r="N3422" s="23" t="str">
        <f>VLOOKUP(M3422,'Excursion Cause'!$A$1:$B$34,2,FALSE)</f>
        <v>Collection system structural failure</v>
      </c>
      <c r="O3422" s="53">
        <v>45312.0</v>
      </c>
      <c r="P3422" s="54">
        <v>0.38333333333333336</v>
      </c>
      <c r="Q3422" s="55">
        <v>45312.0</v>
      </c>
      <c r="R3422" s="54">
        <v>0.3840277777777778</v>
      </c>
      <c r="S3422" s="52">
        <v>0.0</v>
      </c>
      <c r="T3422" s="51" t="s">
        <v>1391</v>
      </c>
      <c r="U3422" s="56"/>
      <c r="V3422" s="56"/>
      <c r="W3422" s="35">
        <v>29.6435657</v>
      </c>
      <c r="X3422" s="35">
        <v>-95.3738068999999</v>
      </c>
      <c r="AA3422" s="33"/>
      <c r="AB3422" s="33"/>
      <c r="AC3422" s="33"/>
      <c r="AD3422" s="33"/>
      <c r="AE3422" s="33"/>
      <c r="AF3422" s="33"/>
      <c r="AG3422" s="33"/>
      <c r="AH3422" s="33"/>
      <c r="AI3422" s="33"/>
      <c r="AJ3422" s="33"/>
      <c r="AK3422" s="33"/>
      <c r="AL3422" s="33"/>
      <c r="AM3422" s="33"/>
      <c r="AN3422" s="33"/>
      <c r="AO3422" s="33"/>
    </row>
    <row r="3423" ht="15.75" customHeight="1">
      <c r="A3423" s="60">
        <v>57593.0</v>
      </c>
      <c r="B3423" s="61">
        <v>2024.0</v>
      </c>
      <c r="C3423" s="36" t="str">
        <f t="shared" si="7"/>
        <v>10113 DULCIMER ST,Houston,TX</v>
      </c>
      <c r="D3423" s="51" t="s">
        <v>5233</v>
      </c>
      <c r="E3423" s="23" t="s">
        <v>25</v>
      </c>
      <c r="F3423" s="23" t="s">
        <v>1388</v>
      </c>
      <c r="G3423" s="62" t="str">
        <f t="shared" si="8"/>
        <v>77051</v>
      </c>
      <c r="H3423" s="58" t="s">
        <v>50</v>
      </c>
      <c r="I3423" s="37" t="str">
        <f>VLOOKUP(H3423,'Flow Location'!$A$1:$B$21,2,FALSE)</f>
        <v>Contained On Site, not within 5 ft. of Bayou/Surface Water/Drainage Ditch</v>
      </c>
      <c r="J3423" s="63">
        <v>0.0</v>
      </c>
      <c r="K3423" s="51" t="s">
        <v>45</v>
      </c>
      <c r="L3423" s="37" t="str">
        <f>VLOOKUP(K3423,'Structure type'!$A$1:$B$15,2,FALSE)</f>
        <v>City Cleanout</v>
      </c>
      <c r="M3423" s="51" t="s">
        <v>30</v>
      </c>
      <c r="N3423" s="23" t="str">
        <f>VLOOKUP(M3423,'Excursion Cause'!$A$1:$B$34,2,FALSE)</f>
        <v>Grease Blockage</v>
      </c>
      <c r="O3423" s="53">
        <v>45312.0</v>
      </c>
      <c r="P3423" s="54">
        <v>0.4222222222222222</v>
      </c>
      <c r="Q3423" s="55">
        <v>45312.0</v>
      </c>
      <c r="R3423" s="54">
        <v>0.42291666666666666</v>
      </c>
      <c r="S3423" s="52">
        <v>0.0</v>
      </c>
      <c r="T3423" s="51" t="s">
        <v>1436</v>
      </c>
      <c r="U3423" s="56"/>
      <c r="V3423" s="56"/>
      <c r="W3423" s="35">
        <v>29.6488158</v>
      </c>
      <c r="X3423" s="35">
        <v>-95.3767159</v>
      </c>
      <c r="AA3423" s="33"/>
      <c r="AB3423" s="33"/>
      <c r="AC3423" s="33"/>
      <c r="AD3423" s="33"/>
      <c r="AE3423" s="33"/>
      <c r="AF3423" s="33"/>
      <c r="AG3423" s="33"/>
      <c r="AH3423" s="33"/>
      <c r="AI3423" s="33"/>
      <c r="AJ3423" s="33"/>
      <c r="AK3423" s="33"/>
      <c r="AL3423" s="33"/>
      <c r="AM3423" s="33"/>
      <c r="AN3423" s="33"/>
      <c r="AO3423" s="33"/>
    </row>
    <row r="3424" ht="15.75" customHeight="1">
      <c r="A3424" s="60">
        <v>57599.0</v>
      </c>
      <c r="B3424" s="61">
        <v>2024.0</v>
      </c>
      <c r="C3424" s="36" t="str">
        <f t="shared" si="7"/>
        <v>13346 KNOLLCREST ST,Houston,TX</v>
      </c>
      <c r="D3424" s="51" t="s">
        <v>5234</v>
      </c>
      <c r="E3424" s="23" t="s">
        <v>25</v>
      </c>
      <c r="F3424" s="23" t="s">
        <v>1388</v>
      </c>
      <c r="G3424" s="62" t="str">
        <f t="shared" si="8"/>
        <v>77015</v>
      </c>
      <c r="H3424" s="58" t="s">
        <v>50</v>
      </c>
      <c r="I3424" s="37" t="str">
        <f>VLOOKUP(H3424,'Flow Location'!$A$1:$B$21,2,FALSE)</f>
        <v>Contained On Site, not within 5 ft. of Bayou/Surface Water/Drainage Ditch</v>
      </c>
      <c r="J3424" s="63">
        <v>0.0</v>
      </c>
      <c r="K3424" s="51" t="s">
        <v>51</v>
      </c>
      <c r="L3424" s="37" t="str">
        <f>VLOOKUP(K3424,'Structure type'!$A$1:$B$15,2,FALSE)</f>
        <v>Private Cleanout</v>
      </c>
      <c r="M3424" s="51" t="s">
        <v>56</v>
      </c>
      <c r="N3424" s="23" t="str">
        <f>VLOOKUP(M3424,'Excursion Cause'!$A$1:$B$34,2,FALSE)</f>
        <v>Rags/Wipes</v>
      </c>
      <c r="O3424" s="53">
        <v>45312.0</v>
      </c>
      <c r="P3424" s="54">
        <v>0.6930555555555555</v>
      </c>
      <c r="Q3424" s="55">
        <v>45312.0</v>
      </c>
      <c r="R3424" s="54">
        <v>0.69375</v>
      </c>
      <c r="S3424" s="52">
        <v>0.0</v>
      </c>
      <c r="T3424" s="51" t="s">
        <v>3743</v>
      </c>
      <c r="U3424" s="56"/>
      <c r="V3424" s="56"/>
      <c r="W3424" s="35">
        <v>29.7787517</v>
      </c>
      <c r="X3424" s="35">
        <v>-95.1888139</v>
      </c>
      <c r="AA3424" s="33"/>
      <c r="AB3424" s="33"/>
      <c r="AC3424" s="33"/>
      <c r="AD3424" s="33"/>
      <c r="AE3424" s="33"/>
      <c r="AF3424" s="33"/>
      <c r="AG3424" s="33"/>
      <c r="AH3424" s="33"/>
      <c r="AI3424" s="33"/>
      <c r="AJ3424" s="33"/>
      <c r="AK3424" s="33"/>
      <c r="AL3424" s="33"/>
      <c r="AM3424" s="33"/>
      <c r="AN3424" s="33"/>
      <c r="AO3424" s="33"/>
    </row>
    <row r="3425" ht="15.75" customHeight="1">
      <c r="A3425" s="60">
        <v>57601.0</v>
      </c>
      <c r="B3425" s="61">
        <v>2024.0</v>
      </c>
      <c r="C3425" s="36" t="str">
        <f t="shared" si="7"/>
        <v>16720 PARK ROW DR,Houston,TX</v>
      </c>
      <c r="D3425" s="51" t="s">
        <v>5235</v>
      </c>
      <c r="E3425" s="23" t="s">
        <v>25</v>
      </c>
      <c r="F3425" s="23" t="s">
        <v>1388</v>
      </c>
      <c r="G3425" s="62" t="str">
        <f t="shared" si="8"/>
        <v>77084</v>
      </c>
      <c r="H3425" s="58" t="s">
        <v>50</v>
      </c>
      <c r="I3425" s="37" t="str">
        <f>VLOOKUP(H3425,'Flow Location'!$A$1:$B$21,2,FALSE)</f>
        <v>Contained On Site, not within 5 ft. of Bayou/Surface Water/Drainage Ditch</v>
      </c>
      <c r="J3425" s="63">
        <v>0.0</v>
      </c>
      <c r="K3425" s="51" t="s">
        <v>45</v>
      </c>
      <c r="L3425" s="37" t="str">
        <f>VLOOKUP(K3425,'Structure type'!$A$1:$B$15,2,FALSE)</f>
        <v>City Cleanout</v>
      </c>
      <c r="M3425" s="51" t="s">
        <v>56</v>
      </c>
      <c r="N3425" s="23" t="str">
        <f>VLOOKUP(M3425,'Excursion Cause'!$A$1:$B$34,2,FALSE)</f>
        <v>Rags/Wipes</v>
      </c>
      <c r="O3425" s="53">
        <v>45313.0</v>
      </c>
      <c r="P3425" s="54">
        <v>0.37777777777777777</v>
      </c>
      <c r="Q3425" s="55">
        <v>45313.0</v>
      </c>
      <c r="R3425" s="54">
        <v>0.3784722222222222</v>
      </c>
      <c r="S3425" s="52">
        <v>0.0</v>
      </c>
      <c r="T3425" s="51" t="s">
        <v>3743</v>
      </c>
      <c r="U3425" s="56"/>
      <c r="V3425" s="56"/>
      <c r="W3425" s="35">
        <v>29.7899587</v>
      </c>
      <c r="X3425" s="35">
        <v>-95.6739729</v>
      </c>
      <c r="AA3425" s="33"/>
      <c r="AB3425" s="33"/>
      <c r="AC3425" s="33"/>
      <c r="AD3425" s="33"/>
      <c r="AE3425" s="33"/>
      <c r="AF3425" s="33"/>
      <c r="AG3425" s="33"/>
      <c r="AH3425" s="33"/>
      <c r="AI3425" s="33"/>
      <c r="AJ3425" s="33"/>
      <c r="AK3425" s="33"/>
      <c r="AL3425" s="33"/>
      <c r="AM3425" s="33"/>
      <c r="AN3425" s="33"/>
      <c r="AO3425" s="33"/>
    </row>
    <row r="3426" ht="15.75" customHeight="1">
      <c r="A3426" s="60">
        <v>57603.0</v>
      </c>
      <c r="B3426" s="61">
        <v>2024.0</v>
      </c>
      <c r="C3426" s="36" t="str">
        <f t="shared" si="7"/>
        <v>5202 DARLING ST,Houston,TX</v>
      </c>
      <c r="D3426" s="51" t="s">
        <v>5236</v>
      </c>
      <c r="E3426" s="23" t="s">
        <v>25</v>
      </c>
      <c r="F3426" s="23" t="s">
        <v>1388</v>
      </c>
      <c r="G3426" s="62" t="str">
        <f t="shared" si="8"/>
        <v>77007</v>
      </c>
      <c r="H3426" s="58" t="s">
        <v>50</v>
      </c>
      <c r="I3426" s="37" t="str">
        <f>VLOOKUP(H3426,'Flow Location'!$A$1:$B$21,2,FALSE)</f>
        <v>Contained On Site, not within 5 ft. of Bayou/Surface Water/Drainage Ditch</v>
      </c>
      <c r="J3426" s="63">
        <v>1509.0</v>
      </c>
      <c r="K3426" s="51" t="s">
        <v>51</v>
      </c>
      <c r="L3426" s="37" t="str">
        <f>VLOOKUP(K3426,'Structure type'!$A$1:$B$15,2,FALSE)</f>
        <v>Private Cleanout</v>
      </c>
      <c r="M3426" s="51" t="s">
        <v>30</v>
      </c>
      <c r="N3426" s="23" t="str">
        <f>VLOOKUP(M3426,'Excursion Cause'!$A$1:$B$34,2,FALSE)</f>
        <v>Grease Blockage</v>
      </c>
      <c r="O3426" s="53">
        <v>45313.0</v>
      </c>
      <c r="P3426" s="54">
        <v>0.41180555555555554</v>
      </c>
      <c r="Q3426" s="55">
        <v>45314.0</v>
      </c>
      <c r="R3426" s="54">
        <v>0.4597222222222222</v>
      </c>
      <c r="S3426" s="52">
        <v>1.0</v>
      </c>
      <c r="T3426" s="51" t="s">
        <v>3749</v>
      </c>
      <c r="U3426" s="56"/>
      <c r="V3426" s="56"/>
      <c r="W3426" s="35">
        <v>29.780081</v>
      </c>
      <c r="X3426" s="35">
        <v>-95.4138141</v>
      </c>
      <c r="AA3426" s="33"/>
      <c r="AB3426" s="33"/>
      <c r="AC3426" s="33"/>
      <c r="AD3426" s="33"/>
      <c r="AE3426" s="33"/>
      <c r="AF3426" s="33"/>
      <c r="AG3426" s="33"/>
      <c r="AH3426" s="33"/>
      <c r="AI3426" s="33"/>
      <c r="AJ3426" s="33"/>
      <c r="AK3426" s="33"/>
      <c r="AL3426" s="33"/>
      <c r="AM3426" s="33"/>
      <c r="AN3426" s="33"/>
      <c r="AO3426" s="33"/>
    </row>
    <row r="3427" ht="15.75" customHeight="1">
      <c r="A3427" s="60">
        <v>57604.0</v>
      </c>
      <c r="B3427" s="61">
        <v>2024.0</v>
      </c>
      <c r="C3427" s="36" t="str">
        <f t="shared" si="7"/>
        <v>3806 WESTHAMPTON DR,Houston,TX</v>
      </c>
      <c r="D3427" s="51" t="s">
        <v>5237</v>
      </c>
      <c r="E3427" s="23" t="s">
        <v>25</v>
      </c>
      <c r="F3427" s="23" t="s">
        <v>1388</v>
      </c>
      <c r="G3427" s="62" t="str">
        <f t="shared" si="8"/>
        <v>77045</v>
      </c>
      <c r="H3427" s="58" t="s">
        <v>50</v>
      </c>
      <c r="I3427" s="37" t="str">
        <f>VLOOKUP(H3427,'Flow Location'!$A$1:$B$21,2,FALSE)</f>
        <v>Contained On Site, not within 5 ft. of Bayou/Surface Water/Drainage Ditch</v>
      </c>
      <c r="J3427" s="63">
        <v>0.0</v>
      </c>
      <c r="K3427" s="51" t="s">
        <v>45</v>
      </c>
      <c r="L3427" s="37" t="str">
        <f>VLOOKUP(K3427,'Structure type'!$A$1:$B$15,2,FALSE)</f>
        <v>City Cleanout</v>
      </c>
      <c r="M3427" s="51" t="s">
        <v>81</v>
      </c>
      <c r="N3427" s="23" t="str">
        <f>VLOOKUP(M3427,'Excursion Cause'!$A$1:$B$34,2,FALSE)</f>
        <v>Collection system structural failure</v>
      </c>
      <c r="O3427" s="53">
        <v>45313.0</v>
      </c>
      <c r="P3427" s="54">
        <v>0.4041666666666667</v>
      </c>
      <c r="Q3427" s="55">
        <v>45313.0</v>
      </c>
      <c r="R3427" s="54">
        <v>0.4048611111111111</v>
      </c>
      <c r="S3427" s="52">
        <v>0.0</v>
      </c>
      <c r="T3427" s="51" t="s">
        <v>3743</v>
      </c>
      <c r="U3427" s="56"/>
      <c r="V3427" s="56"/>
      <c r="W3427" s="35">
        <v>29.6257323</v>
      </c>
      <c r="X3427" s="35">
        <v>-95.4337451</v>
      </c>
      <c r="AA3427" s="33"/>
      <c r="AB3427" s="33"/>
      <c r="AC3427" s="33"/>
      <c r="AD3427" s="33"/>
      <c r="AE3427" s="33"/>
      <c r="AF3427" s="33"/>
      <c r="AG3427" s="33"/>
      <c r="AH3427" s="33"/>
      <c r="AI3427" s="33"/>
      <c r="AJ3427" s="33"/>
      <c r="AK3427" s="33"/>
      <c r="AL3427" s="33"/>
      <c r="AM3427" s="33"/>
      <c r="AN3427" s="33"/>
      <c r="AO3427" s="33"/>
    </row>
    <row r="3428" ht="15.75" customHeight="1">
      <c r="A3428" s="60">
        <v>57605.0</v>
      </c>
      <c r="B3428" s="61">
        <v>2024.0</v>
      </c>
      <c r="C3428" s="36" t="str">
        <f t="shared" si="7"/>
        <v>5227 KILKENNY DR,Houston,TX</v>
      </c>
      <c r="D3428" s="51" t="s">
        <v>5238</v>
      </c>
      <c r="E3428" s="23" t="s">
        <v>25</v>
      </c>
      <c r="F3428" s="23" t="s">
        <v>1388</v>
      </c>
      <c r="G3428" s="62" t="str">
        <f t="shared" si="8"/>
        <v>77048</v>
      </c>
      <c r="H3428" s="58" t="s">
        <v>50</v>
      </c>
      <c r="I3428" s="37" t="str">
        <f>VLOOKUP(H3428,'Flow Location'!$A$1:$B$21,2,FALSE)</f>
        <v>Contained On Site, not within 5 ft. of Bayou/Surface Water/Drainage Ditch</v>
      </c>
      <c r="J3428" s="63">
        <v>0.0</v>
      </c>
      <c r="K3428" s="51" t="s">
        <v>51</v>
      </c>
      <c r="L3428" s="37" t="str">
        <f>VLOOKUP(K3428,'Structure type'!$A$1:$B$15,2,FALSE)</f>
        <v>Private Cleanout</v>
      </c>
      <c r="M3428" s="51" t="s">
        <v>52</v>
      </c>
      <c r="N3428" s="23" t="str">
        <f>VLOOKUP(M3428,'Excursion Cause'!$A$1:$B$34,2,FALSE)</f>
        <v>Collection system structural blockage</v>
      </c>
      <c r="O3428" s="53">
        <v>45313.0</v>
      </c>
      <c r="P3428" s="54">
        <v>0.4479166666666667</v>
      </c>
      <c r="Q3428" s="55">
        <v>45313.0</v>
      </c>
      <c r="R3428" s="54">
        <v>0.4486111111111111</v>
      </c>
      <c r="S3428" s="52">
        <v>0.0</v>
      </c>
      <c r="T3428" s="51" t="s">
        <v>118</v>
      </c>
      <c r="U3428" s="56"/>
      <c r="V3428" s="56"/>
      <c r="W3428" s="35">
        <v>29.625204</v>
      </c>
      <c r="X3428" s="35">
        <v>-95.3454464</v>
      </c>
      <c r="AA3428" s="33"/>
      <c r="AB3428" s="33"/>
      <c r="AC3428" s="33"/>
      <c r="AD3428" s="33"/>
      <c r="AE3428" s="33"/>
      <c r="AF3428" s="33"/>
      <c r="AG3428" s="33"/>
      <c r="AH3428" s="33"/>
      <c r="AI3428" s="33"/>
      <c r="AJ3428" s="33"/>
      <c r="AK3428" s="33"/>
      <c r="AL3428" s="33"/>
      <c r="AM3428" s="33"/>
      <c r="AN3428" s="33"/>
      <c r="AO3428" s="33"/>
    </row>
    <row r="3429" ht="15.75" customHeight="1">
      <c r="A3429" s="60">
        <v>57607.0</v>
      </c>
      <c r="B3429" s="61">
        <v>2024.0</v>
      </c>
      <c r="C3429" s="36" t="str">
        <f t="shared" si="7"/>
        <v>5135 GREEN TREE RD,Houston,TX</v>
      </c>
      <c r="D3429" s="51" t="s">
        <v>5239</v>
      </c>
      <c r="E3429" s="23" t="s">
        <v>25</v>
      </c>
      <c r="F3429" s="23" t="s">
        <v>1388</v>
      </c>
      <c r="G3429" s="62" t="str">
        <f t="shared" si="8"/>
        <v>77056</v>
      </c>
      <c r="H3429" s="58" t="s">
        <v>50</v>
      </c>
      <c r="I3429" s="37" t="str">
        <f>VLOOKUP(H3429,'Flow Location'!$A$1:$B$21,2,FALSE)</f>
        <v>Contained On Site, not within 5 ft. of Bayou/Surface Water/Drainage Ditch</v>
      </c>
      <c r="J3429" s="63">
        <v>0.0</v>
      </c>
      <c r="K3429" s="51" t="s">
        <v>51</v>
      </c>
      <c r="L3429" s="37" t="str">
        <f>VLOOKUP(K3429,'Structure type'!$A$1:$B$15,2,FALSE)</f>
        <v>Private Cleanout</v>
      </c>
      <c r="M3429" s="51" t="s">
        <v>81</v>
      </c>
      <c r="N3429" s="23" t="str">
        <f>VLOOKUP(M3429,'Excursion Cause'!$A$1:$B$34,2,FALSE)</f>
        <v>Collection system structural failure</v>
      </c>
      <c r="O3429" s="53">
        <v>45313.0</v>
      </c>
      <c r="P3429" s="54">
        <v>0.4548611111111111</v>
      </c>
      <c r="Q3429" s="55">
        <v>45313.0</v>
      </c>
      <c r="R3429" s="54">
        <v>0.45555555555555555</v>
      </c>
      <c r="S3429" s="52">
        <v>0.0</v>
      </c>
      <c r="T3429" s="51" t="s">
        <v>1473</v>
      </c>
      <c r="U3429" s="56"/>
      <c r="V3429" s="56"/>
      <c r="W3429" s="35">
        <v>29.7650414</v>
      </c>
      <c r="X3429" s="35">
        <v>-95.4670709999999</v>
      </c>
      <c r="AA3429" s="33"/>
      <c r="AB3429" s="33"/>
      <c r="AC3429" s="33"/>
      <c r="AD3429" s="33"/>
      <c r="AE3429" s="33"/>
      <c r="AF3429" s="33"/>
      <c r="AG3429" s="33"/>
      <c r="AH3429" s="33"/>
      <c r="AI3429" s="33"/>
      <c r="AJ3429" s="33"/>
      <c r="AK3429" s="33"/>
      <c r="AL3429" s="33"/>
      <c r="AM3429" s="33"/>
      <c r="AN3429" s="33"/>
      <c r="AO3429" s="33"/>
    </row>
    <row r="3430" ht="15.75" customHeight="1">
      <c r="A3430" s="60">
        <v>57609.0</v>
      </c>
      <c r="B3430" s="61">
        <v>2024.0</v>
      </c>
      <c r="C3430" s="36" t="str">
        <f t="shared" si="7"/>
        <v>4125 WOODHAVEN ST,Houston,TX</v>
      </c>
      <c r="D3430" s="51" t="s">
        <v>5240</v>
      </c>
      <c r="E3430" s="23" t="s">
        <v>25</v>
      </c>
      <c r="F3430" s="23" t="s">
        <v>1388</v>
      </c>
      <c r="G3430" s="62" t="str">
        <f t="shared" si="8"/>
        <v>77025</v>
      </c>
      <c r="H3430" s="58" t="s">
        <v>50</v>
      </c>
      <c r="I3430" s="37" t="str">
        <f>VLOOKUP(H3430,'Flow Location'!$A$1:$B$21,2,FALSE)</f>
        <v>Contained On Site, not within 5 ft. of Bayou/Surface Water/Drainage Ditch</v>
      </c>
      <c r="J3430" s="63">
        <v>0.0</v>
      </c>
      <c r="K3430" s="51" t="s">
        <v>45</v>
      </c>
      <c r="L3430" s="37" t="str">
        <f>VLOOKUP(K3430,'Structure type'!$A$1:$B$15,2,FALSE)</f>
        <v>City Cleanout</v>
      </c>
      <c r="M3430" s="51" t="s">
        <v>56</v>
      </c>
      <c r="N3430" s="23" t="str">
        <f>VLOOKUP(M3430,'Excursion Cause'!$A$1:$B$34,2,FALSE)</f>
        <v>Rags/Wipes</v>
      </c>
      <c r="O3430" s="53">
        <v>45313.0</v>
      </c>
      <c r="P3430" s="54">
        <v>0.5423611111111111</v>
      </c>
      <c r="Q3430" s="55">
        <v>45313.0</v>
      </c>
      <c r="R3430" s="54">
        <v>0.5430555555555555</v>
      </c>
      <c r="S3430" s="52">
        <v>0.0</v>
      </c>
      <c r="T3430" s="51" t="s">
        <v>1436</v>
      </c>
      <c r="U3430" s="56"/>
      <c r="V3430" s="56"/>
      <c r="W3430" s="35">
        <v>29.6652665</v>
      </c>
      <c r="X3430" s="35">
        <v>-95.443124</v>
      </c>
      <c r="AA3430" s="33"/>
      <c r="AB3430" s="33"/>
      <c r="AC3430" s="33"/>
      <c r="AD3430" s="33"/>
      <c r="AE3430" s="33"/>
      <c r="AF3430" s="33"/>
      <c r="AG3430" s="33"/>
      <c r="AH3430" s="33"/>
      <c r="AI3430" s="33"/>
      <c r="AJ3430" s="33"/>
      <c r="AK3430" s="33"/>
      <c r="AL3430" s="33"/>
      <c r="AM3430" s="33"/>
      <c r="AN3430" s="33"/>
      <c r="AO3430" s="33"/>
    </row>
    <row r="3431" ht="15.75" customHeight="1">
      <c r="A3431" s="60">
        <v>57610.0</v>
      </c>
      <c r="B3431" s="61">
        <v>2024.0</v>
      </c>
      <c r="C3431" s="36" t="str">
        <f t="shared" si="7"/>
        <v>4804 BLALOCK RD,Houston,TX</v>
      </c>
      <c r="D3431" s="51" t="s">
        <v>5241</v>
      </c>
      <c r="E3431" s="23" t="s">
        <v>25</v>
      </c>
      <c r="F3431" s="23" t="s">
        <v>1388</v>
      </c>
      <c r="G3431" s="62" t="str">
        <f t="shared" si="8"/>
        <v>77055</v>
      </c>
      <c r="H3431" s="58" t="s">
        <v>50</v>
      </c>
      <c r="I3431" s="37" t="str">
        <f>VLOOKUP(H3431,'Flow Location'!$A$1:$B$21,2,FALSE)</f>
        <v>Contained On Site, not within 5 ft. of Bayou/Surface Water/Drainage Ditch</v>
      </c>
      <c r="J3431" s="63">
        <v>0.0</v>
      </c>
      <c r="K3431" s="51" t="s">
        <v>51</v>
      </c>
      <c r="L3431" s="37" t="str">
        <f>VLOOKUP(K3431,'Structure type'!$A$1:$B$15,2,FALSE)</f>
        <v>Private Cleanout</v>
      </c>
      <c r="M3431" s="51" t="s">
        <v>81</v>
      </c>
      <c r="N3431" s="23" t="str">
        <f>VLOOKUP(M3431,'Excursion Cause'!$A$1:$B$34,2,FALSE)</f>
        <v>Collection system structural failure</v>
      </c>
      <c r="O3431" s="53">
        <v>45313.0</v>
      </c>
      <c r="P3431" s="54">
        <v>0.5645833333333333</v>
      </c>
      <c r="Q3431" s="55">
        <v>45313.0</v>
      </c>
      <c r="R3431" s="54">
        <v>0.5652777777777778</v>
      </c>
      <c r="S3431" s="52">
        <v>0.0</v>
      </c>
      <c r="T3431" s="51" t="s">
        <v>118</v>
      </c>
      <c r="U3431" s="56"/>
      <c r="V3431" s="56"/>
      <c r="W3431" s="35">
        <v>29.810896</v>
      </c>
      <c r="X3431" s="35">
        <v>-95.4941154</v>
      </c>
      <c r="AA3431" s="33"/>
      <c r="AB3431" s="33"/>
      <c r="AC3431" s="33"/>
      <c r="AD3431" s="33"/>
      <c r="AE3431" s="33"/>
      <c r="AF3431" s="33"/>
      <c r="AG3431" s="33"/>
      <c r="AH3431" s="33"/>
      <c r="AI3431" s="33"/>
      <c r="AJ3431" s="33"/>
      <c r="AK3431" s="33"/>
      <c r="AL3431" s="33"/>
      <c r="AM3431" s="33"/>
      <c r="AN3431" s="33"/>
      <c r="AO3431" s="33"/>
    </row>
    <row r="3432" ht="15.75" customHeight="1">
      <c r="A3432" s="60">
        <v>57611.0</v>
      </c>
      <c r="B3432" s="61">
        <v>2024.0</v>
      </c>
      <c r="C3432" s="36" t="str">
        <f t="shared" si="7"/>
        <v>6567 HOLLISTER ST,Houston,TX</v>
      </c>
      <c r="D3432" s="51" t="s">
        <v>5242</v>
      </c>
      <c r="E3432" s="23" t="s">
        <v>25</v>
      </c>
      <c r="F3432" s="23" t="s">
        <v>1388</v>
      </c>
      <c r="G3432" s="62" t="str">
        <f t="shared" si="8"/>
        <v>77040</v>
      </c>
      <c r="H3432" s="58" t="s">
        <v>28</v>
      </c>
      <c r="I3432" s="37" t="str">
        <f>VLOOKUP(H3432,'Flow Location'!$A$1:$B$21,2,FALSE)</f>
        <v>Storm Sewer (not contained)</v>
      </c>
      <c r="J3432" s="63">
        <v>1156.0</v>
      </c>
      <c r="K3432" s="51" t="s">
        <v>29</v>
      </c>
      <c r="L3432" s="37" t="str">
        <f>VLOOKUP(K3432,'Structure type'!$A$1:$B$15,2,FALSE)</f>
        <v>Manhole</v>
      </c>
      <c r="M3432" s="51" t="s">
        <v>30</v>
      </c>
      <c r="N3432" s="23" t="str">
        <f>VLOOKUP(M3432,'Excursion Cause'!$A$1:$B$34,2,FALSE)</f>
        <v>Grease Blockage</v>
      </c>
      <c r="O3432" s="53">
        <v>45313.0</v>
      </c>
      <c r="P3432" s="54">
        <v>0.6034722222222222</v>
      </c>
      <c r="Q3432" s="55">
        <v>45314.0</v>
      </c>
      <c r="R3432" s="54">
        <v>0.40625</v>
      </c>
      <c r="S3432" s="52">
        <v>1.0</v>
      </c>
      <c r="T3432" s="51" t="s">
        <v>3749</v>
      </c>
      <c r="U3432" s="56"/>
      <c r="V3432" s="56"/>
      <c r="W3432" s="35">
        <v>29.8599572999999</v>
      </c>
      <c r="X3432" s="35">
        <v>-95.5049926</v>
      </c>
      <c r="AA3432" s="33"/>
      <c r="AB3432" s="33"/>
      <c r="AC3432" s="33"/>
      <c r="AD3432" s="33"/>
      <c r="AE3432" s="33"/>
      <c r="AF3432" s="33"/>
      <c r="AG3432" s="33"/>
      <c r="AH3432" s="33"/>
      <c r="AI3432" s="33"/>
      <c r="AJ3432" s="33"/>
      <c r="AK3432" s="33"/>
      <c r="AL3432" s="33"/>
      <c r="AM3432" s="33"/>
      <c r="AN3432" s="33"/>
      <c r="AO3432" s="33"/>
    </row>
    <row r="3433" ht="15.75" customHeight="1">
      <c r="A3433" s="60">
        <v>57612.0</v>
      </c>
      <c r="B3433" s="61">
        <v>2024.0</v>
      </c>
      <c r="C3433" s="36" t="str">
        <f t="shared" si="7"/>
        <v>3802 TUAM ST,Houston,TX</v>
      </c>
      <c r="D3433" s="51" t="s">
        <v>5182</v>
      </c>
      <c r="E3433" s="23" t="s">
        <v>25</v>
      </c>
      <c r="F3433" s="23" t="s">
        <v>1388</v>
      </c>
      <c r="G3433" s="62" t="str">
        <f t="shared" si="8"/>
        <v>77004</v>
      </c>
      <c r="H3433" s="58" t="s">
        <v>28</v>
      </c>
      <c r="I3433" s="37" t="str">
        <f>VLOOKUP(H3433,'Flow Location'!$A$1:$B$21,2,FALSE)</f>
        <v>Storm Sewer (not contained)</v>
      </c>
      <c r="J3433" s="63">
        <v>2123.0</v>
      </c>
      <c r="K3433" s="51" t="s">
        <v>45</v>
      </c>
      <c r="L3433" s="37" t="str">
        <f>VLOOKUP(K3433,'Structure type'!$A$1:$B$15,2,FALSE)</f>
        <v>City Cleanout</v>
      </c>
      <c r="M3433" s="51" t="s">
        <v>30</v>
      </c>
      <c r="N3433" s="23" t="str">
        <f>VLOOKUP(M3433,'Excursion Cause'!$A$1:$B$34,2,FALSE)</f>
        <v>Grease Blockage</v>
      </c>
      <c r="O3433" s="53">
        <v>45313.0</v>
      </c>
      <c r="P3433" s="54">
        <v>0.6340277777777777</v>
      </c>
      <c r="Q3433" s="55">
        <v>45316.0</v>
      </c>
      <c r="R3433" s="54">
        <v>0.5833333333333334</v>
      </c>
      <c r="S3433" s="52">
        <v>0.0</v>
      </c>
      <c r="T3433" s="51" t="s">
        <v>1462</v>
      </c>
      <c r="U3433" s="56"/>
      <c r="V3433" s="56"/>
      <c r="W3433" s="35">
        <v>29.7295266</v>
      </c>
      <c r="X3433" s="35">
        <v>-95.3461105</v>
      </c>
      <c r="AA3433" s="33"/>
      <c r="AB3433" s="33"/>
      <c r="AC3433" s="33"/>
      <c r="AD3433" s="33"/>
      <c r="AE3433" s="33"/>
      <c r="AF3433" s="33"/>
      <c r="AG3433" s="33"/>
      <c r="AH3433" s="33"/>
      <c r="AI3433" s="33"/>
      <c r="AJ3433" s="33"/>
      <c r="AK3433" s="33"/>
      <c r="AL3433" s="33"/>
      <c r="AM3433" s="33"/>
      <c r="AN3433" s="33"/>
      <c r="AO3433" s="33"/>
    </row>
    <row r="3434" ht="15.75" customHeight="1">
      <c r="A3434" s="60">
        <v>57614.0</v>
      </c>
      <c r="B3434" s="61">
        <v>2024.0</v>
      </c>
      <c r="C3434" s="36" t="str">
        <f t="shared" si="7"/>
        <v>12686 COULSON ST,Houston,TX</v>
      </c>
      <c r="D3434" s="51" t="s">
        <v>1319</v>
      </c>
      <c r="E3434" s="23" t="s">
        <v>25</v>
      </c>
      <c r="F3434" s="23" t="s">
        <v>1388</v>
      </c>
      <c r="G3434" s="62" t="str">
        <f t="shared" si="8"/>
        <v>77015</v>
      </c>
      <c r="H3434" s="58" t="s">
        <v>50</v>
      </c>
      <c r="I3434" s="37" t="str">
        <f>VLOOKUP(H3434,'Flow Location'!$A$1:$B$21,2,FALSE)</f>
        <v>Contained On Site, not within 5 ft. of Bayou/Surface Water/Drainage Ditch</v>
      </c>
      <c r="J3434" s="63">
        <v>0.0</v>
      </c>
      <c r="K3434" s="51" t="s">
        <v>45</v>
      </c>
      <c r="L3434" s="37" t="str">
        <f>VLOOKUP(K3434,'Structure type'!$A$1:$B$15,2,FALSE)</f>
        <v>City Cleanout</v>
      </c>
      <c r="M3434" s="51" t="s">
        <v>56</v>
      </c>
      <c r="N3434" s="23" t="str">
        <f>VLOOKUP(M3434,'Excursion Cause'!$A$1:$B$34,2,FALSE)</f>
        <v>Rags/Wipes</v>
      </c>
      <c r="O3434" s="53">
        <v>45313.0</v>
      </c>
      <c r="P3434" s="54">
        <v>0.6743055555555556</v>
      </c>
      <c r="Q3434" s="55">
        <v>45313.0</v>
      </c>
      <c r="R3434" s="54">
        <v>0.675</v>
      </c>
      <c r="S3434" s="52">
        <v>0.0</v>
      </c>
      <c r="T3434" s="51" t="s">
        <v>3743</v>
      </c>
      <c r="U3434" s="56"/>
      <c r="V3434" s="56"/>
      <c r="W3434" s="35">
        <v>29.7624648</v>
      </c>
      <c r="X3434" s="35">
        <v>-95.2088476999999</v>
      </c>
      <c r="AA3434" s="33"/>
      <c r="AB3434" s="33"/>
      <c r="AC3434" s="33"/>
      <c r="AD3434" s="33"/>
      <c r="AE3434" s="33"/>
      <c r="AF3434" s="33"/>
      <c r="AG3434" s="33"/>
      <c r="AH3434" s="33"/>
      <c r="AI3434" s="33"/>
      <c r="AJ3434" s="33"/>
      <c r="AK3434" s="33"/>
      <c r="AL3434" s="33"/>
      <c r="AM3434" s="33"/>
      <c r="AN3434" s="33"/>
      <c r="AO3434" s="33"/>
    </row>
    <row r="3435" ht="15.75" customHeight="1">
      <c r="A3435" s="60">
        <v>57615.0</v>
      </c>
      <c r="B3435" s="61">
        <v>2024.0</v>
      </c>
      <c r="C3435" s="36" t="str">
        <f t="shared" si="7"/>
        <v>4402 VERDOME LN,Houston,TX</v>
      </c>
      <c r="D3435" s="51" t="s">
        <v>5243</v>
      </c>
      <c r="E3435" s="23" t="s">
        <v>25</v>
      </c>
      <c r="F3435" s="23" t="s">
        <v>1388</v>
      </c>
      <c r="G3435" s="62" t="str">
        <f t="shared" si="8"/>
        <v>77092</v>
      </c>
      <c r="H3435" s="58" t="s">
        <v>28</v>
      </c>
      <c r="I3435" s="37" t="str">
        <f>VLOOKUP(H3435,'Flow Location'!$A$1:$B$21,2,FALSE)</f>
        <v>Storm Sewer (not contained)</v>
      </c>
      <c r="J3435" s="63">
        <v>2212.0</v>
      </c>
      <c r="K3435" s="51" t="s">
        <v>29</v>
      </c>
      <c r="L3435" s="37" t="str">
        <f>VLOOKUP(K3435,'Structure type'!$A$1:$B$15,2,FALSE)</f>
        <v>Manhole</v>
      </c>
      <c r="M3435" s="51" t="s">
        <v>56</v>
      </c>
      <c r="N3435" s="23" t="str">
        <f>VLOOKUP(M3435,'Excursion Cause'!$A$1:$B$34,2,FALSE)</f>
        <v>Rags/Wipes</v>
      </c>
      <c r="O3435" s="53">
        <v>45313.0</v>
      </c>
      <c r="P3435" s="54">
        <v>0.6666666666666666</v>
      </c>
      <c r="Q3435" s="55">
        <v>45314.0</v>
      </c>
      <c r="R3435" s="54">
        <v>0.43472222222222223</v>
      </c>
      <c r="S3435" s="52">
        <v>2.0</v>
      </c>
      <c r="T3435" s="51" t="s">
        <v>3749</v>
      </c>
      <c r="U3435" s="56"/>
      <c r="V3435" s="56"/>
      <c r="W3435" s="35">
        <v>29.8361308</v>
      </c>
      <c r="X3435" s="35">
        <v>-95.4574069999999</v>
      </c>
      <c r="AA3435" s="33"/>
      <c r="AB3435" s="33"/>
      <c r="AC3435" s="33"/>
      <c r="AD3435" s="33"/>
      <c r="AE3435" s="33"/>
      <c r="AF3435" s="33"/>
      <c r="AG3435" s="33"/>
      <c r="AH3435" s="33"/>
      <c r="AI3435" s="33"/>
      <c r="AJ3435" s="33"/>
      <c r="AK3435" s="33"/>
      <c r="AL3435" s="33"/>
      <c r="AM3435" s="33"/>
      <c r="AN3435" s="33"/>
      <c r="AO3435" s="33"/>
    </row>
    <row r="3436" ht="15.75" customHeight="1">
      <c r="A3436" s="60">
        <v>57620.0</v>
      </c>
      <c r="B3436" s="61">
        <v>2024.0</v>
      </c>
      <c r="C3436" s="36" t="str">
        <f t="shared" si="7"/>
        <v>209 25TH ST,Houston,TX</v>
      </c>
      <c r="D3436" s="51" t="s">
        <v>5244</v>
      </c>
      <c r="E3436" s="23" t="s">
        <v>25</v>
      </c>
      <c r="F3436" s="23" t="s">
        <v>1388</v>
      </c>
      <c r="G3436" s="62" t="str">
        <f t="shared" si="8"/>
        <v>77008</v>
      </c>
      <c r="H3436" s="58" t="s">
        <v>50</v>
      </c>
      <c r="I3436" s="37" t="str">
        <f>VLOOKUP(H3436,'Flow Location'!$A$1:$B$21,2,FALSE)</f>
        <v>Contained On Site, not within 5 ft. of Bayou/Surface Water/Drainage Ditch</v>
      </c>
      <c r="J3436" s="63">
        <v>0.0</v>
      </c>
      <c r="K3436" s="51" t="s">
        <v>45</v>
      </c>
      <c r="L3436" s="37" t="str">
        <f>VLOOKUP(K3436,'Structure type'!$A$1:$B$15,2,FALSE)</f>
        <v>City Cleanout</v>
      </c>
      <c r="M3436" s="51" t="s">
        <v>30</v>
      </c>
      <c r="N3436" s="23" t="str">
        <f>VLOOKUP(M3436,'Excursion Cause'!$A$1:$B$34,2,FALSE)</f>
        <v>Grease Blockage</v>
      </c>
      <c r="O3436" s="53">
        <v>45314.0</v>
      </c>
      <c r="P3436" s="54">
        <v>0.3854166666666667</v>
      </c>
      <c r="Q3436" s="55">
        <v>45314.0</v>
      </c>
      <c r="R3436" s="54">
        <v>0.3861111111111111</v>
      </c>
      <c r="S3436" s="52">
        <v>0.0</v>
      </c>
      <c r="T3436" s="51" t="s">
        <v>5245</v>
      </c>
      <c r="U3436" s="56"/>
      <c r="V3436" s="56"/>
      <c r="W3436" s="35">
        <v>29.8092773</v>
      </c>
      <c r="X3436" s="35">
        <v>-95.3995824</v>
      </c>
      <c r="AA3436" s="33"/>
      <c r="AB3436" s="33"/>
      <c r="AC3436" s="33"/>
      <c r="AD3436" s="33"/>
      <c r="AE3436" s="33"/>
      <c r="AF3436" s="33"/>
      <c r="AG3436" s="33"/>
      <c r="AH3436" s="33"/>
      <c r="AI3436" s="33"/>
      <c r="AJ3436" s="33"/>
      <c r="AK3436" s="33"/>
      <c r="AL3436" s="33"/>
      <c r="AM3436" s="33"/>
      <c r="AN3436" s="33"/>
      <c r="AO3436" s="33"/>
    </row>
    <row r="3437" ht="15.75" customHeight="1">
      <c r="A3437" s="60">
        <v>57623.0</v>
      </c>
      <c r="B3437" s="61">
        <v>2024.0</v>
      </c>
      <c r="C3437" s="36" t="str">
        <f t="shared" si="7"/>
        <v>13802 BRITOAK LN,Houston,TX</v>
      </c>
      <c r="D3437" s="51" t="s">
        <v>5246</v>
      </c>
      <c r="E3437" s="23" t="s">
        <v>25</v>
      </c>
      <c r="F3437" s="23" t="s">
        <v>1388</v>
      </c>
      <c r="G3437" s="62" t="str">
        <f t="shared" si="8"/>
        <v>77079</v>
      </c>
      <c r="H3437" s="58" t="s">
        <v>28</v>
      </c>
      <c r="I3437" s="37" t="str">
        <f>VLOOKUP(H3437,'Flow Location'!$A$1:$B$21,2,FALSE)</f>
        <v>Storm Sewer (not contained)</v>
      </c>
      <c r="J3437" s="63">
        <v>1646.0</v>
      </c>
      <c r="K3437" s="51" t="s">
        <v>29</v>
      </c>
      <c r="L3437" s="37" t="str">
        <f>VLOOKUP(K3437,'Structure type'!$A$1:$B$15,2,FALSE)</f>
        <v>Manhole</v>
      </c>
      <c r="M3437" s="51" t="s">
        <v>30</v>
      </c>
      <c r="N3437" s="23" t="str">
        <f>VLOOKUP(M3437,'Excursion Cause'!$A$1:$B$34,2,FALSE)</f>
        <v>Grease Blockage</v>
      </c>
      <c r="O3437" s="53">
        <v>45314.0</v>
      </c>
      <c r="P3437" s="54">
        <v>0.46111111111111114</v>
      </c>
      <c r="Q3437" s="55">
        <v>45316.0</v>
      </c>
      <c r="R3437" s="54">
        <v>0.6041666666666666</v>
      </c>
      <c r="S3437" s="52">
        <v>1.0</v>
      </c>
      <c r="T3437" s="51" t="s">
        <v>3926</v>
      </c>
      <c r="U3437" s="56"/>
      <c r="V3437" s="56"/>
      <c r="W3437" s="35">
        <v>29.7830804</v>
      </c>
      <c r="X3437" s="35">
        <v>-95.5859136</v>
      </c>
      <c r="AA3437" s="33"/>
      <c r="AB3437" s="33"/>
      <c r="AC3437" s="33"/>
      <c r="AD3437" s="33"/>
      <c r="AE3437" s="33"/>
      <c r="AF3437" s="33"/>
      <c r="AG3437" s="33"/>
      <c r="AH3437" s="33"/>
      <c r="AI3437" s="33"/>
      <c r="AJ3437" s="33"/>
      <c r="AK3437" s="33"/>
      <c r="AL3437" s="33"/>
      <c r="AM3437" s="33"/>
      <c r="AN3437" s="33"/>
      <c r="AO3437" s="33"/>
    </row>
    <row r="3438" ht="15.75" customHeight="1">
      <c r="A3438" s="60">
        <v>57625.0</v>
      </c>
      <c r="B3438" s="61">
        <v>2024.0</v>
      </c>
      <c r="C3438" s="36" t="str">
        <f t="shared" si="7"/>
        <v>5240 PEASE ST,Houston,TX</v>
      </c>
      <c r="D3438" s="51" t="s">
        <v>5247</v>
      </c>
      <c r="E3438" s="23" t="s">
        <v>25</v>
      </c>
      <c r="F3438" s="23" t="s">
        <v>1388</v>
      </c>
      <c r="G3438" s="62" t="str">
        <f t="shared" si="8"/>
        <v>77023</v>
      </c>
      <c r="H3438" s="58" t="s">
        <v>28</v>
      </c>
      <c r="I3438" s="37" t="str">
        <f>VLOOKUP(H3438,'Flow Location'!$A$1:$B$21,2,FALSE)</f>
        <v>Storm Sewer (not contained)</v>
      </c>
      <c r="J3438" s="63">
        <v>40.0</v>
      </c>
      <c r="K3438" s="51" t="s">
        <v>29</v>
      </c>
      <c r="L3438" s="37" t="str">
        <f>VLOOKUP(K3438,'Structure type'!$A$1:$B$15,2,FALSE)</f>
        <v>Manhole</v>
      </c>
      <c r="M3438" s="51" t="s">
        <v>96</v>
      </c>
      <c r="N3438" s="23" t="str">
        <f>VLOOKUP(M3438,'Excursion Cause'!$A$1:$B$34,2,FALSE)</f>
        <v>Collection system temporary blockage</v>
      </c>
      <c r="O3438" s="53">
        <v>45314.0</v>
      </c>
      <c r="P3438" s="54">
        <v>0.5486111111111112</v>
      </c>
      <c r="Q3438" s="55">
        <v>45314.0</v>
      </c>
      <c r="R3438" s="54">
        <v>0.6041666666666666</v>
      </c>
      <c r="S3438" s="52">
        <v>0.0</v>
      </c>
      <c r="T3438" s="51" t="s">
        <v>118</v>
      </c>
      <c r="U3438" s="56"/>
      <c r="V3438" s="56"/>
      <c r="W3438" s="35">
        <v>29.7316041</v>
      </c>
      <c r="X3438" s="35">
        <v>-95.3224941</v>
      </c>
      <c r="AA3438" s="33"/>
      <c r="AB3438" s="33"/>
      <c r="AC3438" s="33"/>
      <c r="AD3438" s="33"/>
      <c r="AE3438" s="33"/>
      <c r="AF3438" s="33"/>
      <c r="AG3438" s="33"/>
      <c r="AH3438" s="33"/>
      <c r="AI3438" s="33"/>
      <c r="AJ3438" s="33"/>
      <c r="AK3438" s="33"/>
      <c r="AL3438" s="33"/>
      <c r="AM3438" s="33"/>
      <c r="AN3438" s="33"/>
      <c r="AO3438" s="33"/>
    </row>
    <row r="3439" ht="15.75" customHeight="1">
      <c r="A3439" s="60">
        <v>57629.0</v>
      </c>
      <c r="B3439" s="61">
        <v>2024.0</v>
      </c>
      <c r="C3439" s="36" t="str">
        <f t="shared" si="7"/>
        <v>5410 CANTERWAY DR,Houston,TX</v>
      </c>
      <c r="D3439" s="51" t="s">
        <v>5248</v>
      </c>
      <c r="E3439" s="23" t="s">
        <v>25</v>
      </c>
      <c r="F3439" s="23" t="s">
        <v>1388</v>
      </c>
      <c r="G3439" s="62" t="str">
        <f t="shared" si="8"/>
        <v>77048</v>
      </c>
      <c r="H3439" s="58" t="s">
        <v>50</v>
      </c>
      <c r="I3439" s="37" t="str">
        <f>VLOOKUP(H3439,'Flow Location'!$A$1:$B$21,2,FALSE)</f>
        <v>Contained On Site, not within 5 ft. of Bayou/Surface Water/Drainage Ditch</v>
      </c>
      <c r="J3439" s="63">
        <v>0.0</v>
      </c>
      <c r="K3439" s="51" t="s">
        <v>51</v>
      </c>
      <c r="L3439" s="37" t="str">
        <f>VLOOKUP(K3439,'Structure type'!$A$1:$B$15,2,FALSE)</f>
        <v>Private Cleanout</v>
      </c>
      <c r="M3439" s="51" t="s">
        <v>56</v>
      </c>
      <c r="N3439" s="23" t="str">
        <f>VLOOKUP(M3439,'Excursion Cause'!$A$1:$B$34,2,FALSE)</f>
        <v>Rags/Wipes</v>
      </c>
      <c r="O3439" s="53">
        <v>45314.0</v>
      </c>
      <c r="P3439" s="54">
        <v>0.7034722222222223</v>
      </c>
      <c r="Q3439" s="55">
        <v>45314.0</v>
      </c>
      <c r="R3439" s="54">
        <v>0.7041666666666667</v>
      </c>
      <c r="S3439" s="52">
        <v>0.0</v>
      </c>
      <c r="T3439" s="51" t="s">
        <v>1436</v>
      </c>
      <c r="U3439" s="56"/>
      <c r="V3439" s="56"/>
      <c r="W3439" s="35">
        <v>29.6383962</v>
      </c>
      <c r="X3439" s="35">
        <v>-95.3407778999999</v>
      </c>
      <c r="AA3439" s="33"/>
      <c r="AB3439" s="33"/>
      <c r="AC3439" s="33"/>
      <c r="AD3439" s="33"/>
      <c r="AE3439" s="33"/>
      <c r="AF3439" s="33"/>
      <c r="AG3439" s="33"/>
      <c r="AH3439" s="33"/>
      <c r="AI3439" s="33"/>
      <c r="AJ3439" s="33"/>
      <c r="AK3439" s="33"/>
      <c r="AL3439" s="33"/>
      <c r="AM3439" s="33"/>
      <c r="AN3439" s="33"/>
      <c r="AO3439" s="33"/>
    </row>
    <row r="3440" ht="15.75" customHeight="1">
      <c r="A3440" s="60">
        <v>57630.0</v>
      </c>
      <c r="B3440" s="61">
        <v>2024.0</v>
      </c>
      <c r="C3440" s="36" t="str">
        <f t="shared" si="7"/>
        <v>9014 SHARPVIEW DR,Houston,TX</v>
      </c>
      <c r="D3440" s="51" t="s">
        <v>5249</v>
      </c>
      <c r="E3440" s="23" t="s">
        <v>25</v>
      </c>
      <c r="F3440" s="23" t="s">
        <v>1388</v>
      </c>
      <c r="G3440" s="62" t="str">
        <f t="shared" si="8"/>
        <v>77036</v>
      </c>
      <c r="H3440" s="58" t="s">
        <v>50</v>
      </c>
      <c r="I3440" s="37" t="str">
        <f>VLOOKUP(H3440,'Flow Location'!$A$1:$B$21,2,FALSE)</f>
        <v>Contained On Site, not within 5 ft. of Bayou/Surface Water/Drainage Ditch</v>
      </c>
      <c r="J3440" s="63">
        <v>0.0</v>
      </c>
      <c r="K3440" s="51" t="s">
        <v>3805</v>
      </c>
      <c r="L3440" s="37" t="str">
        <f>VLOOKUP(K3440,'Structure type'!$A$1:$B$15,2,FALSE)</f>
        <v>Building Backup</v>
      </c>
      <c r="M3440" s="51" t="s">
        <v>30</v>
      </c>
      <c r="N3440" s="23" t="str">
        <f>VLOOKUP(M3440,'Excursion Cause'!$A$1:$B$34,2,FALSE)</f>
        <v>Grease Blockage</v>
      </c>
      <c r="O3440" s="53">
        <v>45314.0</v>
      </c>
      <c r="P3440" s="54">
        <v>0.5131944444444444</v>
      </c>
      <c r="Q3440" s="55">
        <v>45314.0</v>
      </c>
      <c r="R3440" s="54">
        <v>0.5138888888888888</v>
      </c>
      <c r="S3440" s="52">
        <v>0.0</v>
      </c>
      <c r="T3440" s="51" t="s">
        <v>3749</v>
      </c>
      <c r="U3440" s="56"/>
      <c r="V3440" s="56"/>
      <c r="W3440" s="35">
        <v>29.6989015</v>
      </c>
      <c r="X3440" s="35">
        <v>-95.5435797999999</v>
      </c>
      <c r="AA3440" s="33"/>
      <c r="AB3440" s="33"/>
      <c r="AC3440" s="33"/>
      <c r="AD3440" s="33"/>
      <c r="AE3440" s="33"/>
      <c r="AF3440" s="33"/>
      <c r="AG3440" s="33"/>
      <c r="AH3440" s="33"/>
      <c r="AI3440" s="33"/>
      <c r="AJ3440" s="33"/>
      <c r="AK3440" s="33"/>
      <c r="AL3440" s="33"/>
      <c r="AM3440" s="33"/>
      <c r="AN3440" s="33"/>
      <c r="AO3440" s="33"/>
    </row>
    <row r="3441" ht="15.75" customHeight="1">
      <c r="A3441" s="60">
        <v>57632.0</v>
      </c>
      <c r="B3441" s="61">
        <v>2024.0</v>
      </c>
      <c r="C3441" s="36" t="str">
        <f t="shared" si="7"/>
        <v>4701 PEASE ST,Houston,TX</v>
      </c>
      <c r="D3441" s="51" t="s">
        <v>738</v>
      </c>
      <c r="E3441" s="23" t="s">
        <v>25</v>
      </c>
      <c r="F3441" s="23" t="s">
        <v>1388</v>
      </c>
      <c r="G3441" s="62" t="str">
        <f t="shared" si="8"/>
        <v>77023</v>
      </c>
      <c r="H3441" s="58" t="s">
        <v>28</v>
      </c>
      <c r="I3441" s="37" t="str">
        <f>VLOOKUP(H3441,'Flow Location'!$A$1:$B$21,2,FALSE)</f>
        <v>Storm Sewer (not contained)</v>
      </c>
      <c r="J3441" s="63">
        <v>4350.0</v>
      </c>
      <c r="K3441" s="51" t="s">
        <v>29</v>
      </c>
      <c r="L3441" s="37" t="str">
        <f>VLOOKUP(K3441,'Structure type'!$A$1:$B$15,2,FALSE)</f>
        <v>Manhole</v>
      </c>
      <c r="M3441" s="51" t="s">
        <v>5176</v>
      </c>
      <c r="N3441" s="23" t="str">
        <f>VLOOKUP(M3441,'Excursion Cause'!$A$1:$B$34,2,FALSE)</f>
        <v>#N/A</v>
      </c>
      <c r="O3441" s="53">
        <v>45315.0</v>
      </c>
      <c r="P3441" s="54">
        <v>0.36944444444444446</v>
      </c>
      <c r="Q3441" s="55">
        <v>45315.0</v>
      </c>
      <c r="R3441" s="54">
        <v>0.4361111111111111</v>
      </c>
      <c r="S3441" s="52">
        <v>45.0</v>
      </c>
      <c r="T3441" s="51" t="s">
        <v>118</v>
      </c>
      <c r="U3441" s="56"/>
      <c r="V3441" s="56"/>
      <c r="W3441" s="35">
        <v>29.7339611</v>
      </c>
      <c r="X3441" s="35">
        <v>-95.3320437</v>
      </c>
      <c r="AA3441" s="33"/>
      <c r="AB3441" s="33"/>
      <c r="AC3441" s="33"/>
      <c r="AD3441" s="33"/>
      <c r="AE3441" s="33"/>
      <c r="AF3441" s="33"/>
      <c r="AG3441" s="33"/>
      <c r="AH3441" s="33"/>
      <c r="AI3441" s="33"/>
      <c r="AJ3441" s="33"/>
      <c r="AK3441" s="33"/>
      <c r="AL3441" s="33"/>
      <c r="AM3441" s="33"/>
      <c r="AN3441" s="33"/>
      <c r="AO3441" s="33"/>
    </row>
    <row r="3442" ht="15.75" customHeight="1">
      <c r="A3442" s="60">
        <v>57633.0</v>
      </c>
      <c r="B3442" s="61">
        <v>2024.0</v>
      </c>
      <c r="C3442" s="36" t="str">
        <f t="shared" si="7"/>
        <v>1301 WAYSIDE DR,Houston,TX</v>
      </c>
      <c r="D3442" s="51" t="s">
        <v>459</v>
      </c>
      <c r="E3442" s="23" t="s">
        <v>25</v>
      </c>
      <c r="F3442" s="23" t="s">
        <v>1388</v>
      </c>
      <c r="G3442" s="62" t="str">
        <f t="shared" si="8"/>
        <v>77011</v>
      </c>
      <c r="H3442" s="58" t="s">
        <v>28</v>
      </c>
      <c r="I3442" s="37" t="str">
        <f>VLOOKUP(H3442,'Flow Location'!$A$1:$B$21,2,FALSE)</f>
        <v>Storm Sewer (not contained)</v>
      </c>
      <c r="J3442" s="63">
        <v>985.0</v>
      </c>
      <c r="K3442" s="51" t="s">
        <v>29</v>
      </c>
      <c r="L3442" s="37" t="str">
        <f>VLOOKUP(K3442,'Structure type'!$A$1:$B$15,2,FALSE)</f>
        <v>Manhole</v>
      </c>
      <c r="M3442" s="51" t="s">
        <v>5176</v>
      </c>
      <c r="N3442" s="23" t="str">
        <f>VLOOKUP(M3442,'Excursion Cause'!$A$1:$B$34,2,FALSE)</f>
        <v>#N/A</v>
      </c>
      <c r="O3442" s="53">
        <v>45315.0</v>
      </c>
      <c r="P3442" s="54">
        <v>0.37083333333333335</v>
      </c>
      <c r="Q3442" s="55">
        <v>45315.0</v>
      </c>
      <c r="R3442" s="54">
        <v>0.5083333333333333</v>
      </c>
      <c r="S3442" s="52">
        <v>5.0</v>
      </c>
      <c r="T3442" s="51" t="s">
        <v>118</v>
      </c>
      <c r="U3442" s="56"/>
      <c r="V3442" s="56"/>
      <c r="W3442" s="35">
        <v>29.773051</v>
      </c>
      <c r="X3442" s="35">
        <v>-95.291747</v>
      </c>
      <c r="AA3442" s="33"/>
      <c r="AB3442" s="33"/>
      <c r="AC3442" s="33"/>
      <c r="AD3442" s="33"/>
      <c r="AE3442" s="33"/>
      <c r="AF3442" s="33"/>
      <c r="AG3442" s="33"/>
      <c r="AH3442" s="33"/>
      <c r="AI3442" s="33"/>
      <c r="AJ3442" s="33"/>
      <c r="AK3442" s="33"/>
      <c r="AL3442" s="33"/>
      <c r="AM3442" s="33"/>
      <c r="AN3442" s="33"/>
      <c r="AO3442" s="33"/>
    </row>
    <row r="3443" ht="15.75" customHeight="1">
      <c r="A3443" s="60">
        <v>57634.0</v>
      </c>
      <c r="B3443" s="61">
        <v>2024.0</v>
      </c>
      <c r="C3443" s="36" t="str">
        <f t="shared" si="7"/>
        <v>6820 LYONS AVE,Houston,TX</v>
      </c>
      <c r="D3443" s="51" t="s">
        <v>461</v>
      </c>
      <c r="E3443" s="23" t="s">
        <v>25</v>
      </c>
      <c r="F3443" s="23" t="s">
        <v>1388</v>
      </c>
      <c r="G3443" s="62" t="str">
        <f t="shared" si="8"/>
        <v>77020</v>
      </c>
      <c r="H3443" s="58" t="s">
        <v>28</v>
      </c>
      <c r="I3443" s="37" t="str">
        <f>VLOOKUP(H3443,'Flow Location'!$A$1:$B$21,2,FALSE)</f>
        <v>Storm Sewer (not contained)</v>
      </c>
      <c r="J3443" s="63">
        <v>1337.0</v>
      </c>
      <c r="K3443" s="51" t="s">
        <v>29</v>
      </c>
      <c r="L3443" s="37" t="str">
        <f>VLOOKUP(K3443,'Structure type'!$A$1:$B$15,2,FALSE)</f>
        <v>Manhole</v>
      </c>
      <c r="M3443" s="51" t="s">
        <v>5176</v>
      </c>
      <c r="N3443" s="23" t="str">
        <f>VLOOKUP(M3443,'Excursion Cause'!$A$1:$B$34,2,FALSE)</f>
        <v>#N/A</v>
      </c>
      <c r="O3443" s="53">
        <v>45315.0</v>
      </c>
      <c r="P3443" s="54">
        <v>0.3729166666666667</v>
      </c>
      <c r="Q3443" s="55">
        <v>45315.0</v>
      </c>
      <c r="R3443" s="54">
        <v>0.5048611111111111</v>
      </c>
      <c r="S3443" s="52">
        <v>7.0</v>
      </c>
      <c r="T3443" s="51" t="s">
        <v>118</v>
      </c>
      <c r="U3443" s="56"/>
      <c r="V3443" s="56"/>
      <c r="W3443" s="35">
        <v>29.7763237</v>
      </c>
      <c r="X3443" s="35">
        <v>-95.3015022</v>
      </c>
      <c r="AA3443" s="33"/>
      <c r="AB3443" s="33"/>
      <c r="AC3443" s="33"/>
      <c r="AD3443" s="33"/>
      <c r="AE3443" s="33"/>
      <c r="AF3443" s="33"/>
      <c r="AG3443" s="33"/>
      <c r="AH3443" s="33"/>
      <c r="AI3443" s="33"/>
      <c r="AJ3443" s="33"/>
      <c r="AK3443" s="33"/>
      <c r="AL3443" s="33"/>
      <c r="AM3443" s="33"/>
      <c r="AN3443" s="33"/>
      <c r="AO3443" s="33"/>
    </row>
    <row r="3444" ht="15.75" customHeight="1">
      <c r="A3444" s="60">
        <v>57636.0</v>
      </c>
      <c r="B3444" s="61">
        <v>2024.0</v>
      </c>
      <c r="C3444" s="36" t="str">
        <f t="shared" si="7"/>
        <v>10315 CLIFFWOOD DR,Houston,TX</v>
      </c>
      <c r="D3444" s="51" t="s">
        <v>3960</v>
      </c>
      <c r="E3444" s="23" t="s">
        <v>25</v>
      </c>
      <c r="F3444" s="23" t="s">
        <v>1388</v>
      </c>
      <c r="G3444" s="62" t="str">
        <f t="shared" si="8"/>
        <v>77035</v>
      </c>
      <c r="H3444" s="58" t="s">
        <v>28</v>
      </c>
      <c r="I3444" s="37" t="str">
        <f>VLOOKUP(H3444,'Flow Location'!$A$1:$B$21,2,FALSE)</f>
        <v>Storm Sewer (not contained)</v>
      </c>
      <c r="J3444" s="63">
        <v>13950.0</v>
      </c>
      <c r="K3444" s="51" t="s">
        <v>29</v>
      </c>
      <c r="L3444" s="37" t="str">
        <f>VLOOKUP(K3444,'Structure type'!$A$1:$B$15,2,FALSE)</f>
        <v>Manhole</v>
      </c>
      <c r="M3444" s="51" t="s">
        <v>5176</v>
      </c>
      <c r="N3444" s="23" t="str">
        <f>VLOOKUP(M3444,'Excursion Cause'!$A$1:$B$34,2,FALSE)</f>
        <v>#N/A</v>
      </c>
      <c r="O3444" s="53">
        <v>45315.0</v>
      </c>
      <c r="P3444" s="54">
        <v>0.38819444444444445</v>
      </c>
      <c r="Q3444" s="55">
        <v>45315.0</v>
      </c>
      <c r="R3444" s="54">
        <v>0.7111111111111111</v>
      </c>
      <c r="S3444" s="52">
        <v>30.0</v>
      </c>
      <c r="T3444" s="51" t="s">
        <v>118</v>
      </c>
      <c r="U3444" s="56"/>
      <c r="V3444" s="56"/>
      <c r="W3444" s="35">
        <v>29.6693080999999</v>
      </c>
      <c r="X3444" s="35">
        <v>-95.4552369</v>
      </c>
      <c r="AA3444" s="33"/>
      <c r="AB3444" s="33"/>
      <c r="AC3444" s="33"/>
      <c r="AD3444" s="33"/>
      <c r="AE3444" s="33"/>
      <c r="AF3444" s="33"/>
      <c r="AG3444" s="33"/>
      <c r="AH3444" s="33"/>
      <c r="AI3444" s="33"/>
      <c r="AJ3444" s="33"/>
      <c r="AK3444" s="33"/>
      <c r="AL3444" s="33"/>
      <c r="AM3444" s="33"/>
      <c r="AN3444" s="33"/>
      <c r="AO3444" s="33"/>
    </row>
    <row r="3445" ht="15.75" customHeight="1">
      <c r="A3445" s="60">
        <v>57637.0</v>
      </c>
      <c r="B3445" s="61">
        <v>2024.0</v>
      </c>
      <c r="C3445" s="36" t="str">
        <f t="shared" si="7"/>
        <v>9427 KRISTIN DR,Houston,TX</v>
      </c>
      <c r="D3445" s="51" t="s">
        <v>5250</v>
      </c>
      <c r="E3445" s="23" t="s">
        <v>25</v>
      </c>
      <c r="F3445" s="23" t="s">
        <v>1388</v>
      </c>
      <c r="G3445" s="62" t="str">
        <f t="shared" si="8"/>
        <v>77031</v>
      </c>
      <c r="H3445" s="58" t="s">
        <v>50</v>
      </c>
      <c r="I3445" s="37" t="str">
        <f>VLOOKUP(H3445,'Flow Location'!$A$1:$B$21,2,FALSE)</f>
        <v>Contained On Site, not within 5 ft. of Bayou/Surface Water/Drainage Ditch</v>
      </c>
      <c r="J3445" s="63">
        <v>0.0</v>
      </c>
      <c r="K3445" s="51" t="s">
        <v>51</v>
      </c>
      <c r="L3445" s="37" t="str">
        <f>VLOOKUP(K3445,'Structure type'!$A$1:$B$15,2,FALSE)</f>
        <v>Private Cleanout</v>
      </c>
      <c r="M3445" s="51" t="s">
        <v>30</v>
      </c>
      <c r="N3445" s="23" t="str">
        <f>VLOOKUP(M3445,'Excursion Cause'!$A$1:$B$34,2,FALSE)</f>
        <v>Grease Blockage</v>
      </c>
      <c r="O3445" s="53">
        <v>45315.0</v>
      </c>
      <c r="P3445" s="54">
        <v>0.5</v>
      </c>
      <c r="Q3445" s="55">
        <v>45315.0</v>
      </c>
      <c r="R3445" s="54">
        <v>0.5006944444444444</v>
      </c>
      <c r="S3445" s="52">
        <v>0.0</v>
      </c>
      <c r="T3445" s="51" t="s">
        <v>1462</v>
      </c>
      <c r="U3445" s="56"/>
      <c r="V3445" s="56"/>
      <c r="W3445" s="35">
        <v>29.6649145</v>
      </c>
      <c r="X3445" s="35">
        <v>-95.5440588</v>
      </c>
      <c r="AA3445" s="33"/>
      <c r="AB3445" s="33"/>
      <c r="AC3445" s="33"/>
      <c r="AD3445" s="33"/>
      <c r="AE3445" s="33"/>
      <c r="AF3445" s="33"/>
      <c r="AG3445" s="33"/>
      <c r="AH3445" s="33"/>
      <c r="AI3445" s="33"/>
      <c r="AJ3445" s="33"/>
      <c r="AK3445" s="33"/>
      <c r="AL3445" s="33"/>
      <c r="AM3445" s="33"/>
      <c r="AN3445" s="33"/>
      <c r="AO3445" s="33"/>
    </row>
    <row r="3446" ht="15.75" customHeight="1">
      <c r="A3446" s="60">
        <v>57642.0</v>
      </c>
      <c r="B3446" s="61">
        <v>2024.0</v>
      </c>
      <c r="C3446" s="36" t="str">
        <f t="shared" si="7"/>
        <v>4115 GALVESTON RD,Houston,TX</v>
      </c>
      <c r="D3446" s="51" t="s">
        <v>5251</v>
      </c>
      <c r="E3446" s="23" t="s">
        <v>25</v>
      </c>
      <c r="F3446" s="23" t="s">
        <v>1388</v>
      </c>
      <c r="G3446" s="62" t="str">
        <f t="shared" si="8"/>
        <v>77017</v>
      </c>
      <c r="H3446" s="58" t="s">
        <v>50</v>
      </c>
      <c r="I3446" s="37" t="str">
        <f>VLOOKUP(H3446,'Flow Location'!$A$1:$B$21,2,FALSE)</f>
        <v>Contained On Site, not within 5 ft. of Bayou/Surface Water/Drainage Ditch</v>
      </c>
      <c r="J3446" s="63">
        <v>0.0</v>
      </c>
      <c r="K3446" s="51" t="s">
        <v>51</v>
      </c>
      <c r="L3446" s="37" t="str">
        <f>VLOOKUP(K3446,'Structure type'!$A$1:$B$15,2,FALSE)</f>
        <v>Private Cleanout</v>
      </c>
      <c r="M3446" s="51" t="s">
        <v>30</v>
      </c>
      <c r="N3446" s="23" t="str">
        <f>VLOOKUP(M3446,'Excursion Cause'!$A$1:$B$34,2,FALSE)</f>
        <v>Grease Blockage</v>
      </c>
      <c r="O3446" s="53">
        <v>45315.0</v>
      </c>
      <c r="P3446" s="54">
        <v>0.54375</v>
      </c>
      <c r="Q3446" s="55">
        <v>45315.0</v>
      </c>
      <c r="R3446" s="54">
        <v>0.5444444444444444</v>
      </c>
      <c r="S3446" s="52">
        <v>0.0</v>
      </c>
      <c r="T3446" s="51" t="s">
        <v>1462</v>
      </c>
      <c r="U3446" s="56"/>
      <c r="V3446" s="56"/>
      <c r="W3446" s="35">
        <v>29.6939931</v>
      </c>
      <c r="X3446" s="35">
        <v>-95.2623223</v>
      </c>
      <c r="AA3446" s="33"/>
      <c r="AB3446" s="33"/>
      <c r="AC3446" s="33"/>
      <c r="AD3446" s="33"/>
      <c r="AE3446" s="33"/>
      <c r="AF3446" s="33"/>
      <c r="AG3446" s="33"/>
      <c r="AH3446" s="33"/>
      <c r="AI3446" s="33"/>
      <c r="AJ3446" s="33"/>
      <c r="AK3446" s="33"/>
      <c r="AL3446" s="33"/>
      <c r="AM3446" s="33"/>
      <c r="AN3446" s="33"/>
      <c r="AO3446" s="33"/>
    </row>
    <row r="3447" ht="15.75" customHeight="1">
      <c r="A3447" s="60">
        <v>57644.0</v>
      </c>
      <c r="B3447" s="61">
        <v>2024.0</v>
      </c>
      <c r="C3447" s="36" t="str">
        <f t="shared" si="7"/>
        <v>10259 COTTAGE FIELD RD,Houston,TX</v>
      </c>
      <c r="D3447" s="51" t="s">
        <v>5146</v>
      </c>
      <c r="E3447" s="23" t="s">
        <v>25</v>
      </c>
      <c r="F3447" s="23" t="s">
        <v>1388</v>
      </c>
      <c r="G3447" s="62" t="str">
        <f t="shared" si="8"/>
        <v>77041</v>
      </c>
      <c r="H3447" s="58" t="s">
        <v>50</v>
      </c>
      <c r="I3447" s="37" t="str">
        <f>VLOOKUP(H3447,'Flow Location'!$A$1:$B$21,2,FALSE)</f>
        <v>Contained On Site, not within 5 ft. of Bayou/Surface Water/Drainage Ditch</v>
      </c>
      <c r="J3447" s="63">
        <v>0.0</v>
      </c>
      <c r="K3447" s="51" t="s">
        <v>45</v>
      </c>
      <c r="L3447" s="37" t="str">
        <f>VLOOKUP(K3447,'Structure type'!$A$1:$B$15,2,FALSE)</f>
        <v>City Cleanout</v>
      </c>
      <c r="M3447" s="51" t="s">
        <v>30</v>
      </c>
      <c r="N3447" s="23" t="str">
        <f>VLOOKUP(M3447,'Excursion Cause'!$A$1:$B$34,2,FALSE)</f>
        <v>Grease Blockage</v>
      </c>
      <c r="O3447" s="53">
        <v>45315.0</v>
      </c>
      <c r="P3447" s="54">
        <v>0.6381944444444444</v>
      </c>
      <c r="Q3447" s="55">
        <v>45315.0</v>
      </c>
      <c r="R3447" s="54">
        <v>0.6388888888888888</v>
      </c>
      <c r="S3447" s="52">
        <v>0.0</v>
      </c>
      <c r="T3447" s="51" t="s">
        <v>3749</v>
      </c>
      <c r="U3447" s="56"/>
      <c r="V3447" s="56"/>
      <c r="W3447" s="35">
        <v>29.8345706</v>
      </c>
      <c r="X3447" s="35">
        <v>-95.5480496</v>
      </c>
      <c r="AA3447" s="33"/>
      <c r="AB3447" s="33"/>
      <c r="AC3447" s="33"/>
      <c r="AD3447" s="33"/>
      <c r="AE3447" s="33"/>
      <c r="AF3447" s="33"/>
      <c r="AG3447" s="33"/>
      <c r="AH3447" s="33"/>
      <c r="AI3447" s="33"/>
      <c r="AJ3447" s="33"/>
      <c r="AK3447" s="33"/>
      <c r="AL3447" s="33"/>
      <c r="AM3447" s="33"/>
      <c r="AN3447" s="33"/>
      <c r="AO3447" s="33"/>
    </row>
    <row r="3448" ht="15.75" customHeight="1">
      <c r="A3448" s="60">
        <v>57645.0</v>
      </c>
      <c r="B3448" s="61">
        <v>2024.0</v>
      </c>
      <c r="C3448" s="36" t="str">
        <f t="shared" si="7"/>
        <v>4100 CLINTON DR,Houston,TX</v>
      </c>
      <c r="D3448" s="51" t="s">
        <v>3964</v>
      </c>
      <c r="E3448" s="23" t="s">
        <v>25</v>
      </c>
      <c r="F3448" s="23" t="s">
        <v>1388</v>
      </c>
      <c r="G3448" s="62" t="str">
        <f t="shared" si="8"/>
        <v>77020</v>
      </c>
      <c r="H3448" s="58" t="s">
        <v>28</v>
      </c>
      <c r="I3448" s="37" t="str">
        <f>VLOOKUP(H3448,'Flow Location'!$A$1:$B$21,2,FALSE)</f>
        <v>Storm Sewer (not contained)</v>
      </c>
      <c r="J3448" s="63">
        <v>13300.0</v>
      </c>
      <c r="K3448" s="51" t="s">
        <v>29</v>
      </c>
      <c r="L3448" s="37" t="str">
        <f>VLOOKUP(K3448,'Structure type'!$A$1:$B$15,2,FALSE)</f>
        <v>Manhole</v>
      </c>
      <c r="M3448" s="51" t="s">
        <v>81</v>
      </c>
      <c r="N3448" s="23" t="str">
        <f>VLOOKUP(M3448,'Excursion Cause'!$A$1:$B$34,2,FALSE)</f>
        <v>Collection system structural failure</v>
      </c>
      <c r="O3448" s="53">
        <v>45316.0</v>
      </c>
      <c r="P3448" s="54">
        <v>0.34305555555555556</v>
      </c>
      <c r="Q3448" s="55">
        <v>45316.0</v>
      </c>
      <c r="R3448" s="54">
        <v>0.3958333333333333</v>
      </c>
      <c r="S3448" s="52">
        <v>175.0</v>
      </c>
      <c r="T3448" s="51" t="s">
        <v>118</v>
      </c>
      <c r="U3448" s="56"/>
      <c r="V3448" s="56"/>
      <c r="W3448" s="35">
        <v>29.7647415</v>
      </c>
      <c r="X3448" s="35">
        <v>-95.3310427</v>
      </c>
      <c r="AA3448" s="33"/>
      <c r="AB3448" s="33"/>
      <c r="AC3448" s="33"/>
      <c r="AD3448" s="33"/>
      <c r="AE3448" s="33"/>
      <c r="AF3448" s="33"/>
      <c r="AG3448" s="33"/>
      <c r="AH3448" s="33"/>
      <c r="AI3448" s="33"/>
      <c r="AJ3448" s="33"/>
      <c r="AK3448" s="33"/>
      <c r="AL3448" s="33"/>
      <c r="AM3448" s="33"/>
      <c r="AN3448" s="33"/>
      <c r="AO3448" s="33"/>
    </row>
    <row r="3449" ht="15.75" customHeight="1">
      <c r="A3449" s="60">
        <v>57647.0</v>
      </c>
      <c r="B3449" s="61">
        <v>2024.0</v>
      </c>
      <c r="C3449" s="36" t="str">
        <f t="shared" si="7"/>
        <v>10202 HADDINGTON DR,Houston,TX</v>
      </c>
      <c r="D3449" s="51" t="s">
        <v>5252</v>
      </c>
      <c r="E3449" s="23" t="s">
        <v>25</v>
      </c>
      <c r="F3449" s="23" t="s">
        <v>1388</v>
      </c>
      <c r="G3449" s="62" t="str">
        <f t="shared" si="8"/>
        <v>77043</v>
      </c>
      <c r="H3449" s="58" t="s">
        <v>28</v>
      </c>
      <c r="I3449" s="37" t="str">
        <f>VLOOKUP(H3449,'Flow Location'!$A$1:$B$21,2,FALSE)</f>
        <v>Storm Sewer (not contained)</v>
      </c>
      <c r="J3449" s="63">
        <v>8787.0</v>
      </c>
      <c r="K3449" s="51" t="s">
        <v>29</v>
      </c>
      <c r="L3449" s="37" t="str">
        <f>VLOOKUP(K3449,'Structure type'!$A$1:$B$15,2,FALSE)</f>
        <v>Manhole</v>
      </c>
      <c r="M3449" s="51" t="s">
        <v>81</v>
      </c>
      <c r="N3449" s="23" t="str">
        <f>VLOOKUP(M3449,'Excursion Cause'!$A$1:$B$34,2,FALSE)</f>
        <v>Collection system structural failure</v>
      </c>
      <c r="O3449" s="53">
        <v>45316.0</v>
      </c>
      <c r="P3449" s="54">
        <v>0.39652777777777776</v>
      </c>
      <c r="Q3449" s="55">
        <v>45318.0</v>
      </c>
      <c r="R3449" s="54">
        <v>0.4305555555555556</v>
      </c>
      <c r="S3449" s="52">
        <v>3.0</v>
      </c>
      <c r="T3449" s="51" t="s">
        <v>3745</v>
      </c>
      <c r="U3449" s="56"/>
      <c r="V3449" s="56"/>
      <c r="W3449" s="35">
        <v>29.8017591</v>
      </c>
      <c r="X3449" s="35">
        <v>-95.5496434</v>
      </c>
      <c r="AA3449" s="33"/>
      <c r="AB3449" s="33"/>
      <c r="AC3449" s="33"/>
      <c r="AD3449" s="33"/>
      <c r="AE3449" s="33"/>
      <c r="AF3449" s="33"/>
      <c r="AG3449" s="33"/>
      <c r="AH3449" s="33"/>
      <c r="AI3449" s="33"/>
      <c r="AJ3449" s="33"/>
      <c r="AK3449" s="33"/>
      <c r="AL3449" s="33"/>
      <c r="AM3449" s="33"/>
      <c r="AN3449" s="33"/>
      <c r="AO3449" s="33"/>
    </row>
    <row r="3450" ht="15.75" customHeight="1">
      <c r="A3450" s="60">
        <v>57650.0</v>
      </c>
      <c r="B3450" s="61">
        <v>2024.0</v>
      </c>
      <c r="C3450" s="36" t="str">
        <f t="shared" si="7"/>
        <v>4424 STANFORD CT,Houston,TX</v>
      </c>
      <c r="D3450" s="51" t="s">
        <v>5253</v>
      </c>
      <c r="E3450" s="23" t="s">
        <v>25</v>
      </c>
      <c r="F3450" s="23" t="s">
        <v>1388</v>
      </c>
      <c r="G3450" s="62" t="str">
        <f t="shared" si="8"/>
        <v>77041</v>
      </c>
      <c r="H3450" s="58" t="s">
        <v>28</v>
      </c>
      <c r="I3450" s="37" t="str">
        <f>VLOOKUP(H3450,'Flow Location'!$A$1:$B$21,2,FALSE)</f>
        <v>Storm Sewer (not contained)</v>
      </c>
      <c r="J3450" s="63">
        <v>1415.0</v>
      </c>
      <c r="K3450" s="51" t="s">
        <v>29</v>
      </c>
      <c r="L3450" s="37" t="str">
        <f>VLOOKUP(K3450,'Structure type'!$A$1:$B$15,2,FALSE)</f>
        <v>Manhole</v>
      </c>
      <c r="M3450" s="51" t="s">
        <v>30</v>
      </c>
      <c r="N3450" s="23" t="str">
        <f>VLOOKUP(M3450,'Excursion Cause'!$A$1:$B$34,2,FALSE)</f>
        <v>Grease Blockage</v>
      </c>
      <c r="O3450" s="53">
        <v>45316.0</v>
      </c>
      <c r="P3450" s="54">
        <v>0.4965277777777778</v>
      </c>
      <c r="Q3450" s="55">
        <v>45317.0</v>
      </c>
      <c r="R3450" s="54">
        <v>0.4791666666666667</v>
      </c>
      <c r="S3450" s="52">
        <v>1.0</v>
      </c>
      <c r="T3450" s="51" t="s">
        <v>3749</v>
      </c>
      <c r="U3450" s="56"/>
      <c r="V3450" s="56"/>
      <c r="W3450" s="35">
        <v>29.8344096</v>
      </c>
      <c r="X3450" s="35">
        <v>-95.5473217</v>
      </c>
      <c r="AA3450" s="33"/>
      <c r="AB3450" s="33"/>
      <c r="AC3450" s="33"/>
      <c r="AD3450" s="33"/>
      <c r="AE3450" s="33"/>
      <c r="AF3450" s="33"/>
      <c r="AG3450" s="33"/>
      <c r="AH3450" s="33"/>
      <c r="AI3450" s="33"/>
      <c r="AJ3450" s="33"/>
      <c r="AK3450" s="33"/>
      <c r="AL3450" s="33"/>
      <c r="AM3450" s="33"/>
      <c r="AN3450" s="33"/>
      <c r="AO3450" s="33"/>
    </row>
    <row r="3451" ht="15.75" customHeight="1">
      <c r="A3451" s="60">
        <v>57652.0</v>
      </c>
      <c r="B3451" s="61">
        <v>2024.0</v>
      </c>
      <c r="C3451" s="36" t="str">
        <f t="shared" si="7"/>
        <v>8403 CAMBRIDGE ST,Houston,TX</v>
      </c>
      <c r="D3451" s="51" t="s">
        <v>5254</v>
      </c>
      <c r="E3451" s="23" t="s">
        <v>25</v>
      </c>
      <c r="F3451" s="23" t="s">
        <v>1388</v>
      </c>
      <c r="G3451" s="62" t="str">
        <f t="shared" si="8"/>
        <v>77054</v>
      </c>
      <c r="H3451" s="58" t="s">
        <v>28</v>
      </c>
      <c r="I3451" s="37" t="str">
        <f>VLOOKUP(H3451,'Flow Location'!$A$1:$B$21,2,FALSE)</f>
        <v>Storm Sewer (not contained)</v>
      </c>
      <c r="J3451" s="63">
        <v>1086.0</v>
      </c>
      <c r="K3451" s="51" t="s">
        <v>29</v>
      </c>
      <c r="L3451" s="37" t="str">
        <f>VLOOKUP(K3451,'Structure type'!$A$1:$B$15,2,FALSE)</f>
        <v>Manhole</v>
      </c>
      <c r="M3451" s="51" t="s">
        <v>5176</v>
      </c>
      <c r="N3451" s="23" t="str">
        <f>VLOOKUP(M3451,'Excursion Cause'!$A$1:$B$34,2,FALSE)</f>
        <v>#N/A</v>
      </c>
      <c r="O3451" s="53">
        <v>45316.0</v>
      </c>
      <c r="P3451" s="54">
        <v>0.4166666666666667</v>
      </c>
      <c r="Q3451" s="55">
        <v>45316.0</v>
      </c>
      <c r="R3451" s="54">
        <v>0.6680555555555555</v>
      </c>
      <c r="S3451" s="52">
        <v>3.0</v>
      </c>
      <c r="T3451" s="51" t="s">
        <v>118</v>
      </c>
      <c r="U3451" s="56"/>
      <c r="V3451" s="56"/>
      <c r="W3451" s="35">
        <v>29.6841961</v>
      </c>
      <c r="X3451" s="35">
        <v>-95.3945146</v>
      </c>
      <c r="AA3451" s="33"/>
      <c r="AB3451" s="33"/>
      <c r="AC3451" s="33"/>
      <c r="AD3451" s="33"/>
      <c r="AE3451" s="33"/>
      <c r="AF3451" s="33"/>
      <c r="AG3451" s="33"/>
      <c r="AH3451" s="33"/>
      <c r="AI3451" s="33"/>
      <c r="AJ3451" s="33"/>
      <c r="AK3451" s="33"/>
      <c r="AL3451" s="33"/>
      <c r="AM3451" s="33"/>
      <c r="AN3451" s="33"/>
      <c r="AO3451" s="33"/>
    </row>
    <row r="3452" ht="15.75" customHeight="1">
      <c r="A3452" s="60">
        <v>57653.0</v>
      </c>
      <c r="B3452" s="61">
        <v>2024.0</v>
      </c>
      <c r="C3452" s="36" t="str">
        <f t="shared" si="7"/>
        <v>7447 CAMBRIDGE ST,Houston,TX</v>
      </c>
      <c r="D3452" s="51" t="s">
        <v>5255</v>
      </c>
      <c r="E3452" s="23" t="s">
        <v>25</v>
      </c>
      <c r="F3452" s="23" t="s">
        <v>1388</v>
      </c>
      <c r="G3452" s="62" t="str">
        <f t="shared" si="8"/>
        <v>77054</v>
      </c>
      <c r="H3452" s="58" t="s">
        <v>28</v>
      </c>
      <c r="I3452" s="37" t="str">
        <f>VLOOKUP(H3452,'Flow Location'!$A$1:$B$21,2,FALSE)</f>
        <v>Storm Sewer (not contained)</v>
      </c>
      <c r="J3452" s="63">
        <v>864.0</v>
      </c>
      <c r="K3452" s="51" t="s">
        <v>29</v>
      </c>
      <c r="L3452" s="37" t="str">
        <f>VLOOKUP(K3452,'Structure type'!$A$1:$B$15,2,FALSE)</f>
        <v>Manhole</v>
      </c>
      <c r="M3452" s="51" t="s">
        <v>5176</v>
      </c>
      <c r="N3452" s="23" t="str">
        <f>VLOOKUP(M3452,'Excursion Cause'!$A$1:$B$34,2,FALSE)</f>
        <v>#N/A</v>
      </c>
      <c r="O3452" s="53">
        <v>45316.0</v>
      </c>
      <c r="P3452" s="54">
        <v>0.5173611111111112</v>
      </c>
      <c r="Q3452" s="55">
        <v>45316.0</v>
      </c>
      <c r="R3452" s="54">
        <v>0.6673611111111111</v>
      </c>
      <c r="S3452" s="52">
        <v>4.0</v>
      </c>
      <c r="T3452" s="51" t="s">
        <v>118</v>
      </c>
      <c r="U3452" s="56"/>
      <c r="V3452" s="56"/>
      <c r="W3452" s="35">
        <v>29.6960069</v>
      </c>
      <c r="X3452" s="35">
        <v>-95.3915177</v>
      </c>
      <c r="AA3452" s="33"/>
      <c r="AB3452" s="33"/>
      <c r="AC3452" s="33"/>
      <c r="AD3452" s="33"/>
      <c r="AE3452" s="33"/>
      <c r="AF3452" s="33"/>
      <c r="AG3452" s="33"/>
      <c r="AH3452" s="33"/>
      <c r="AI3452" s="33"/>
      <c r="AJ3452" s="33"/>
      <c r="AK3452" s="33"/>
      <c r="AL3452" s="33"/>
      <c r="AM3452" s="33"/>
      <c r="AN3452" s="33"/>
      <c r="AO3452" s="33"/>
    </row>
    <row r="3453" ht="15.75" customHeight="1">
      <c r="A3453" s="60">
        <v>57654.0</v>
      </c>
      <c r="B3453" s="61">
        <v>2024.0</v>
      </c>
      <c r="C3453" s="36" t="str">
        <f t="shared" si="7"/>
        <v>7575 CAMBRIDGE ST,Houston,TX</v>
      </c>
      <c r="D3453" s="51" t="s">
        <v>5256</v>
      </c>
      <c r="E3453" s="23" t="s">
        <v>25</v>
      </c>
      <c r="F3453" s="23" t="s">
        <v>1388</v>
      </c>
      <c r="G3453" s="62" t="str">
        <f t="shared" si="8"/>
        <v>77054</v>
      </c>
      <c r="H3453" s="58" t="s">
        <v>28</v>
      </c>
      <c r="I3453" s="37" t="str">
        <f>VLOOKUP(H3453,'Flow Location'!$A$1:$B$21,2,FALSE)</f>
        <v>Storm Sewer (not contained)</v>
      </c>
      <c r="J3453" s="63">
        <v>760.0</v>
      </c>
      <c r="K3453" s="51" t="s">
        <v>29</v>
      </c>
      <c r="L3453" s="37" t="str">
        <f>VLOOKUP(K3453,'Structure type'!$A$1:$B$15,2,FALSE)</f>
        <v>Manhole</v>
      </c>
      <c r="M3453" s="51" t="s">
        <v>5176</v>
      </c>
      <c r="N3453" s="23" t="str">
        <f>VLOOKUP(M3453,'Excursion Cause'!$A$1:$B$34,2,FALSE)</f>
        <v>#N/A</v>
      </c>
      <c r="O3453" s="53">
        <v>45316.0</v>
      </c>
      <c r="P3453" s="54">
        <v>0.5354166666666667</v>
      </c>
      <c r="Q3453" s="55">
        <v>45316.0</v>
      </c>
      <c r="R3453" s="54">
        <v>0.6673611111111111</v>
      </c>
      <c r="S3453" s="52">
        <v>4.0</v>
      </c>
      <c r="T3453" s="51" t="s">
        <v>118</v>
      </c>
      <c r="U3453" s="56"/>
      <c r="V3453" s="56"/>
      <c r="W3453" s="35">
        <v>29.6945366</v>
      </c>
      <c r="X3453" s="35">
        <v>-95.3919609</v>
      </c>
      <c r="AA3453" s="33"/>
      <c r="AB3453" s="33"/>
      <c r="AC3453" s="33"/>
      <c r="AD3453" s="33"/>
      <c r="AE3453" s="33"/>
      <c r="AF3453" s="33"/>
      <c r="AG3453" s="33"/>
      <c r="AH3453" s="33"/>
      <c r="AI3453" s="33"/>
      <c r="AJ3453" s="33"/>
      <c r="AK3453" s="33"/>
      <c r="AL3453" s="33"/>
      <c r="AM3453" s="33"/>
      <c r="AN3453" s="33"/>
      <c r="AO3453" s="33"/>
    </row>
    <row r="3454" ht="15.75" customHeight="1">
      <c r="A3454" s="60">
        <v>57658.0</v>
      </c>
      <c r="B3454" s="61">
        <v>2024.0</v>
      </c>
      <c r="C3454" s="36" t="str">
        <f t="shared" si="7"/>
        <v>4400 HARRISBURG BLVD,Houston,TX</v>
      </c>
      <c r="D3454" s="51" t="s">
        <v>5257</v>
      </c>
      <c r="E3454" s="23" t="s">
        <v>25</v>
      </c>
      <c r="F3454" s="23" t="s">
        <v>1388</v>
      </c>
      <c r="G3454" s="62" t="str">
        <f t="shared" si="8"/>
        <v>77011</v>
      </c>
      <c r="H3454" s="58" t="s">
        <v>50</v>
      </c>
      <c r="I3454" s="37" t="str">
        <f>VLOOKUP(H3454,'Flow Location'!$A$1:$B$21,2,FALSE)</f>
        <v>Contained On Site, not within 5 ft. of Bayou/Surface Water/Drainage Ditch</v>
      </c>
      <c r="J3454" s="63">
        <v>0.0</v>
      </c>
      <c r="K3454" s="51" t="s">
        <v>29</v>
      </c>
      <c r="L3454" s="37" t="str">
        <f>VLOOKUP(K3454,'Structure type'!$A$1:$B$15,2,FALSE)</f>
        <v>Manhole</v>
      </c>
      <c r="M3454" s="51" t="s">
        <v>96</v>
      </c>
      <c r="N3454" s="23" t="str">
        <f>VLOOKUP(M3454,'Excursion Cause'!$A$1:$B$34,2,FALSE)</f>
        <v>Collection system temporary blockage</v>
      </c>
      <c r="O3454" s="53">
        <v>45316.0</v>
      </c>
      <c r="P3454" s="54">
        <v>0.6659722222222222</v>
      </c>
      <c r="Q3454" s="55">
        <v>45316.0</v>
      </c>
      <c r="R3454" s="54">
        <v>0.6666666666666666</v>
      </c>
      <c r="S3454" s="52">
        <v>0.0</v>
      </c>
      <c r="T3454" s="51" t="s">
        <v>118</v>
      </c>
      <c r="U3454" s="56"/>
      <c r="V3454" s="56"/>
      <c r="W3454" s="35">
        <v>29.7437602</v>
      </c>
      <c r="X3454" s="35">
        <v>-95.3323501</v>
      </c>
      <c r="AA3454" s="33"/>
      <c r="AB3454" s="33"/>
      <c r="AC3454" s="33"/>
      <c r="AD3454" s="33"/>
      <c r="AE3454" s="33"/>
      <c r="AF3454" s="33"/>
      <c r="AG3454" s="33"/>
      <c r="AH3454" s="33"/>
      <c r="AI3454" s="33"/>
      <c r="AJ3454" s="33"/>
      <c r="AK3454" s="33"/>
      <c r="AL3454" s="33"/>
      <c r="AM3454" s="33"/>
      <c r="AN3454" s="33"/>
      <c r="AO3454" s="33"/>
    </row>
    <row r="3455" ht="15.75" customHeight="1">
      <c r="A3455" s="60">
        <v>57661.0</v>
      </c>
      <c r="B3455" s="61">
        <v>2024.0</v>
      </c>
      <c r="C3455" s="36" t="str">
        <f t="shared" si="7"/>
        <v>222 25TH ST,Houston,TX</v>
      </c>
      <c r="D3455" s="51" t="s">
        <v>5258</v>
      </c>
      <c r="E3455" s="23" t="s">
        <v>25</v>
      </c>
      <c r="F3455" s="23" t="s">
        <v>1388</v>
      </c>
      <c r="G3455" s="62" t="str">
        <f t="shared" si="8"/>
        <v>77008</v>
      </c>
      <c r="H3455" s="58" t="s">
        <v>50</v>
      </c>
      <c r="I3455" s="37" t="str">
        <f>VLOOKUP(H3455,'Flow Location'!$A$1:$B$21,2,FALSE)</f>
        <v>Contained On Site, not within 5 ft. of Bayou/Surface Water/Drainage Ditch</v>
      </c>
      <c r="J3455" s="63">
        <v>0.0</v>
      </c>
      <c r="K3455" s="51" t="s">
        <v>51</v>
      </c>
      <c r="L3455" s="37" t="str">
        <f>VLOOKUP(K3455,'Structure type'!$A$1:$B$15,2,FALSE)</f>
        <v>Private Cleanout</v>
      </c>
      <c r="M3455" s="51" t="s">
        <v>30</v>
      </c>
      <c r="N3455" s="23" t="str">
        <f>VLOOKUP(M3455,'Excursion Cause'!$A$1:$B$34,2,FALSE)</f>
        <v>Grease Blockage</v>
      </c>
      <c r="O3455" s="53">
        <v>45316.0</v>
      </c>
      <c r="P3455" s="54">
        <v>0.7166666666666667</v>
      </c>
      <c r="Q3455" s="55">
        <v>45316.0</v>
      </c>
      <c r="R3455" s="54">
        <v>0.7173611111111111</v>
      </c>
      <c r="S3455" s="52">
        <v>0.0</v>
      </c>
      <c r="T3455" s="51" t="s">
        <v>1462</v>
      </c>
      <c r="U3455" s="56"/>
      <c r="V3455" s="56"/>
      <c r="W3455" s="35">
        <v>29.808762</v>
      </c>
      <c r="X3455" s="35">
        <v>-95.4002359999999</v>
      </c>
      <c r="AA3455" s="33"/>
      <c r="AB3455" s="33"/>
      <c r="AC3455" s="33"/>
      <c r="AD3455" s="33"/>
      <c r="AE3455" s="33"/>
      <c r="AF3455" s="33"/>
      <c r="AG3455" s="33"/>
      <c r="AH3455" s="33"/>
      <c r="AI3455" s="33"/>
      <c r="AJ3455" s="33"/>
      <c r="AK3455" s="33"/>
      <c r="AL3455" s="33"/>
      <c r="AM3455" s="33"/>
      <c r="AN3455" s="33"/>
      <c r="AO3455" s="33"/>
    </row>
    <row r="3456" ht="15.75" customHeight="1">
      <c r="A3456" s="60">
        <v>57662.0</v>
      </c>
      <c r="B3456" s="61">
        <v>2024.0</v>
      </c>
      <c r="C3456" s="36" t="str">
        <f t="shared" si="7"/>
        <v>4701 ANDERSON RD,Houston,TX</v>
      </c>
      <c r="D3456" s="51" t="s">
        <v>5259</v>
      </c>
      <c r="E3456" s="23" t="s">
        <v>25</v>
      </c>
      <c r="F3456" s="23" t="s">
        <v>1388</v>
      </c>
      <c r="G3456" s="62" t="str">
        <f t="shared" si="8"/>
        <v>77053</v>
      </c>
      <c r="H3456" s="58" t="s">
        <v>50</v>
      </c>
      <c r="I3456" s="37" t="str">
        <f>VLOOKUP(H3456,'Flow Location'!$A$1:$B$21,2,FALSE)</f>
        <v>Contained On Site, not within 5 ft. of Bayou/Surface Water/Drainage Ditch</v>
      </c>
      <c r="J3456" s="63">
        <v>0.0</v>
      </c>
      <c r="K3456" s="51" t="s">
        <v>51</v>
      </c>
      <c r="L3456" s="37" t="str">
        <f>VLOOKUP(K3456,'Structure type'!$A$1:$B$15,2,FALSE)</f>
        <v>Private Cleanout</v>
      </c>
      <c r="M3456" s="51" t="s">
        <v>30</v>
      </c>
      <c r="N3456" s="23" t="str">
        <f>VLOOKUP(M3456,'Excursion Cause'!$A$1:$B$34,2,FALSE)</f>
        <v>Grease Blockage</v>
      </c>
      <c r="O3456" s="53">
        <v>45316.0</v>
      </c>
      <c r="P3456" s="54">
        <v>0.7756944444444445</v>
      </c>
      <c r="Q3456" s="55">
        <v>45316.0</v>
      </c>
      <c r="R3456" s="54">
        <v>0.7763888888888889</v>
      </c>
      <c r="S3456" s="52">
        <v>0.0</v>
      </c>
      <c r="T3456" s="51" t="s">
        <v>3749</v>
      </c>
      <c r="U3456" s="56"/>
      <c r="V3456" s="56"/>
      <c r="W3456" s="35">
        <v>29.6054262999999</v>
      </c>
      <c r="X3456" s="35">
        <v>-95.4488882</v>
      </c>
      <c r="AA3456" s="33"/>
      <c r="AB3456" s="33"/>
      <c r="AC3456" s="33"/>
      <c r="AD3456" s="33"/>
      <c r="AE3456" s="33"/>
      <c r="AF3456" s="33"/>
      <c r="AG3456" s="33"/>
      <c r="AH3456" s="33"/>
      <c r="AI3456" s="33"/>
      <c r="AJ3456" s="33"/>
      <c r="AK3456" s="33"/>
      <c r="AL3456" s="33"/>
      <c r="AM3456" s="33"/>
      <c r="AN3456" s="33"/>
      <c r="AO3456" s="33"/>
    </row>
    <row r="3457" ht="15.75" customHeight="1">
      <c r="A3457" s="60">
        <v>57663.0</v>
      </c>
      <c r="B3457" s="61">
        <v>2024.0</v>
      </c>
      <c r="C3457" s="36" t="str">
        <f t="shared" si="7"/>
        <v>801 ROUNDTREE ST,Houston,TX</v>
      </c>
      <c r="D3457" s="51" t="s">
        <v>5260</v>
      </c>
      <c r="E3457" s="23" t="s">
        <v>25</v>
      </c>
      <c r="F3457" s="23" t="s">
        <v>1388</v>
      </c>
      <c r="G3457" s="62" t="str">
        <f t="shared" si="8"/>
        <v>77015</v>
      </c>
      <c r="H3457" s="58" t="s">
        <v>144</v>
      </c>
      <c r="I3457" s="37" t="str">
        <f>VLOOKUP(H3457,'Flow Location'!$A$1:$B$21,2,FALSE)</f>
        <v>Storm Sewer - contained</v>
      </c>
      <c r="J3457" s="63">
        <v>0.0</v>
      </c>
      <c r="K3457" s="51" t="s">
        <v>51</v>
      </c>
      <c r="L3457" s="37" t="str">
        <f>VLOOKUP(K3457,'Structure type'!$A$1:$B$15,2,FALSE)</f>
        <v>Private Cleanout</v>
      </c>
      <c r="M3457" s="51" t="s">
        <v>56</v>
      </c>
      <c r="N3457" s="23" t="str">
        <f>VLOOKUP(M3457,'Excursion Cause'!$A$1:$B$34,2,FALSE)</f>
        <v>Rags/Wipes</v>
      </c>
      <c r="O3457" s="53">
        <v>45317.0</v>
      </c>
      <c r="P3457" s="54">
        <v>0.3715277777777778</v>
      </c>
      <c r="Q3457" s="55">
        <v>45317.0</v>
      </c>
      <c r="R3457" s="54">
        <v>0.37222222222222223</v>
      </c>
      <c r="S3457" s="52">
        <v>0.0</v>
      </c>
      <c r="T3457" s="51" t="s">
        <v>3743</v>
      </c>
      <c r="U3457" s="56"/>
      <c r="V3457" s="56"/>
      <c r="W3457" s="35">
        <v>29.7759141</v>
      </c>
      <c r="X3457" s="35">
        <v>-95.2151476999999</v>
      </c>
      <c r="AA3457" s="33"/>
      <c r="AB3457" s="33"/>
      <c r="AC3457" s="33"/>
      <c r="AD3457" s="33"/>
      <c r="AE3457" s="33"/>
      <c r="AF3457" s="33"/>
      <c r="AG3457" s="33"/>
      <c r="AH3457" s="33"/>
      <c r="AI3457" s="33"/>
      <c r="AJ3457" s="33"/>
      <c r="AK3457" s="33"/>
      <c r="AL3457" s="33"/>
      <c r="AM3457" s="33"/>
      <c r="AN3457" s="33"/>
      <c r="AO3457" s="33"/>
    </row>
    <row r="3458" ht="15.75" customHeight="1">
      <c r="A3458" s="60">
        <v>57666.0</v>
      </c>
      <c r="B3458" s="61">
        <v>2024.0</v>
      </c>
      <c r="C3458" s="36" t="str">
        <f t="shared" si="7"/>
        <v>4706 BLANTON BLVD,Houston,TX</v>
      </c>
      <c r="D3458" s="51" t="s">
        <v>5261</v>
      </c>
      <c r="E3458" s="23" t="s">
        <v>25</v>
      </c>
      <c r="F3458" s="23" t="s">
        <v>1388</v>
      </c>
      <c r="G3458" s="62" t="str">
        <f t="shared" si="8"/>
        <v>77092</v>
      </c>
      <c r="H3458" s="58" t="s">
        <v>28</v>
      </c>
      <c r="I3458" s="37" t="str">
        <f>VLOOKUP(H3458,'Flow Location'!$A$1:$B$21,2,FALSE)</f>
        <v>Storm Sewer (not contained)</v>
      </c>
      <c r="J3458" s="63">
        <v>1260.0</v>
      </c>
      <c r="K3458" s="51" t="s">
        <v>29</v>
      </c>
      <c r="L3458" s="37" t="str">
        <f>VLOOKUP(K3458,'Structure type'!$A$1:$B$15,2,FALSE)</f>
        <v>Manhole</v>
      </c>
      <c r="M3458" s="51" t="s">
        <v>81</v>
      </c>
      <c r="N3458" s="23" t="str">
        <f>VLOOKUP(M3458,'Excursion Cause'!$A$1:$B$34,2,FALSE)</f>
        <v>Collection system structural failure</v>
      </c>
      <c r="O3458" s="53">
        <v>45317.0</v>
      </c>
      <c r="P3458" s="54">
        <v>0.6875</v>
      </c>
      <c r="Q3458" s="55">
        <v>45318.0</v>
      </c>
      <c r="R3458" s="54">
        <v>0.5625</v>
      </c>
      <c r="S3458" s="52">
        <v>1.0</v>
      </c>
      <c r="T3458" s="51" t="s">
        <v>1391</v>
      </c>
      <c r="U3458" s="56"/>
      <c r="V3458" s="56"/>
      <c r="W3458" s="35">
        <v>29.836373</v>
      </c>
      <c r="X3458" s="35">
        <v>-95.4569975</v>
      </c>
      <c r="AA3458" s="33"/>
      <c r="AB3458" s="33"/>
      <c r="AC3458" s="33"/>
      <c r="AD3458" s="33"/>
      <c r="AE3458" s="33"/>
      <c r="AF3458" s="33"/>
      <c r="AG3458" s="33"/>
      <c r="AH3458" s="33"/>
      <c r="AI3458" s="33"/>
      <c r="AJ3458" s="33"/>
      <c r="AK3458" s="33"/>
      <c r="AL3458" s="33"/>
      <c r="AM3458" s="33"/>
      <c r="AN3458" s="33"/>
      <c r="AO3458" s="33"/>
    </row>
    <row r="3459" ht="15.75" customHeight="1">
      <c r="A3459" s="60">
        <v>57669.0</v>
      </c>
      <c r="B3459" s="61">
        <v>2024.0</v>
      </c>
      <c r="C3459" s="36" t="str">
        <f t="shared" si="7"/>
        <v>744 WORTHSHIRE ST,Houston,TX</v>
      </c>
      <c r="D3459" s="51" t="s">
        <v>5262</v>
      </c>
      <c r="E3459" s="23" t="s">
        <v>25</v>
      </c>
      <c r="F3459" s="23" t="s">
        <v>1388</v>
      </c>
      <c r="G3459" s="62" t="str">
        <f t="shared" si="8"/>
        <v>77008</v>
      </c>
      <c r="H3459" s="58" t="s">
        <v>50</v>
      </c>
      <c r="I3459" s="37" t="str">
        <f>VLOOKUP(H3459,'Flow Location'!$A$1:$B$21,2,FALSE)</f>
        <v>Contained On Site, not within 5 ft. of Bayou/Surface Water/Drainage Ditch</v>
      </c>
      <c r="J3459" s="63">
        <v>0.0</v>
      </c>
      <c r="K3459" s="51" t="s">
        <v>51</v>
      </c>
      <c r="L3459" s="37" t="str">
        <f>VLOOKUP(K3459,'Structure type'!$A$1:$B$15,2,FALSE)</f>
        <v>Private Cleanout</v>
      </c>
      <c r="M3459" s="51" t="s">
        <v>56</v>
      </c>
      <c r="N3459" s="23" t="str">
        <f>VLOOKUP(M3459,'Excursion Cause'!$A$1:$B$34,2,FALSE)</f>
        <v>Rags/Wipes</v>
      </c>
      <c r="O3459" s="53">
        <v>45317.0</v>
      </c>
      <c r="P3459" s="54">
        <v>0.46875</v>
      </c>
      <c r="Q3459" s="55">
        <v>45317.0</v>
      </c>
      <c r="R3459" s="54">
        <v>0.46944444444444444</v>
      </c>
      <c r="S3459" s="52">
        <v>0.0</v>
      </c>
      <c r="T3459" s="51" t="s">
        <v>118</v>
      </c>
      <c r="U3459" s="56"/>
      <c r="V3459" s="56"/>
      <c r="W3459" s="35">
        <v>29.7866091</v>
      </c>
      <c r="X3459" s="35">
        <v>-95.4148491</v>
      </c>
      <c r="AA3459" s="33"/>
      <c r="AB3459" s="33"/>
      <c r="AC3459" s="33"/>
      <c r="AD3459" s="33"/>
      <c r="AE3459" s="33"/>
      <c r="AF3459" s="33"/>
      <c r="AG3459" s="33"/>
      <c r="AH3459" s="33"/>
      <c r="AI3459" s="33"/>
      <c r="AJ3459" s="33"/>
      <c r="AK3459" s="33"/>
      <c r="AL3459" s="33"/>
      <c r="AM3459" s="33"/>
      <c r="AN3459" s="33"/>
      <c r="AO3459" s="33"/>
    </row>
    <row r="3460" ht="15.75" customHeight="1">
      <c r="A3460" s="60">
        <v>57670.0</v>
      </c>
      <c r="B3460" s="61">
        <v>2024.0</v>
      </c>
      <c r="C3460" s="36" t="str">
        <f t="shared" si="7"/>
        <v>1616 CHESTNUT ST,Houston,TX</v>
      </c>
      <c r="D3460" s="51" t="s">
        <v>5263</v>
      </c>
      <c r="E3460" s="23" t="s">
        <v>25</v>
      </c>
      <c r="F3460" s="23" t="s">
        <v>1388</v>
      </c>
      <c r="G3460" s="62" t="str">
        <f t="shared" si="8"/>
        <v>77009</v>
      </c>
      <c r="H3460" s="58" t="s">
        <v>28</v>
      </c>
      <c r="I3460" s="37" t="str">
        <f>VLOOKUP(H3460,'Flow Location'!$A$1:$B$21,2,FALSE)</f>
        <v>Storm Sewer (not contained)</v>
      </c>
      <c r="J3460" s="63">
        <v>0.0</v>
      </c>
      <c r="K3460" s="51" t="s">
        <v>51</v>
      </c>
      <c r="L3460" s="37" t="str">
        <f>VLOOKUP(K3460,'Structure type'!$A$1:$B$15,2,FALSE)</f>
        <v>Private Cleanout</v>
      </c>
      <c r="M3460" s="51" t="s">
        <v>30</v>
      </c>
      <c r="N3460" s="23" t="str">
        <f>VLOOKUP(M3460,'Excursion Cause'!$A$1:$B$34,2,FALSE)</f>
        <v>Grease Blockage</v>
      </c>
      <c r="O3460" s="53">
        <v>45317.0</v>
      </c>
      <c r="P3460" s="54">
        <v>0.48541666666666666</v>
      </c>
      <c r="Q3460" s="55">
        <v>45317.0</v>
      </c>
      <c r="R3460" s="54">
        <v>0.4861111111111111</v>
      </c>
      <c r="S3460" s="52">
        <v>0.0</v>
      </c>
      <c r="T3460" s="51" t="s">
        <v>3743</v>
      </c>
      <c r="U3460" s="56"/>
      <c r="V3460" s="56"/>
      <c r="W3460" s="35">
        <v>29.7748896</v>
      </c>
      <c r="X3460" s="35">
        <v>-95.3580554999999</v>
      </c>
      <c r="AA3460" s="33"/>
      <c r="AB3460" s="33"/>
      <c r="AC3460" s="33"/>
      <c r="AD3460" s="33"/>
      <c r="AE3460" s="33"/>
      <c r="AF3460" s="33"/>
      <c r="AG3460" s="33"/>
      <c r="AH3460" s="33"/>
      <c r="AI3460" s="33"/>
      <c r="AJ3460" s="33"/>
      <c r="AK3460" s="33"/>
      <c r="AL3460" s="33"/>
      <c r="AM3460" s="33"/>
      <c r="AN3460" s="33"/>
      <c r="AO3460" s="33"/>
    </row>
    <row r="3461" ht="15.75" customHeight="1">
      <c r="A3461" s="60">
        <v>57671.0</v>
      </c>
      <c r="B3461" s="61">
        <v>2024.0</v>
      </c>
      <c r="C3461" s="36" t="str">
        <f t="shared" si="7"/>
        <v>2412 CAMPBELL ST,Houston,TX</v>
      </c>
      <c r="D3461" s="51" t="s">
        <v>5264</v>
      </c>
      <c r="E3461" s="23" t="s">
        <v>25</v>
      </c>
      <c r="F3461" s="23" t="s">
        <v>1388</v>
      </c>
      <c r="G3461" s="62" t="str">
        <f t="shared" si="8"/>
        <v>77026</v>
      </c>
      <c r="H3461" s="58" t="s">
        <v>50</v>
      </c>
      <c r="I3461" s="37" t="str">
        <f>VLOOKUP(H3461,'Flow Location'!$A$1:$B$21,2,FALSE)</f>
        <v>Contained On Site, not within 5 ft. of Bayou/Surface Water/Drainage Ditch</v>
      </c>
      <c r="J3461" s="63">
        <v>0.0</v>
      </c>
      <c r="K3461" s="51" t="s">
        <v>45</v>
      </c>
      <c r="L3461" s="37" t="str">
        <f>VLOOKUP(K3461,'Structure type'!$A$1:$B$15,2,FALSE)</f>
        <v>City Cleanout</v>
      </c>
      <c r="M3461" s="51" t="s">
        <v>96</v>
      </c>
      <c r="N3461" s="23" t="str">
        <f>VLOOKUP(M3461,'Excursion Cause'!$A$1:$B$34,2,FALSE)</f>
        <v>Collection system temporary blockage</v>
      </c>
      <c r="O3461" s="53">
        <v>45317.0</v>
      </c>
      <c r="P3461" s="54">
        <v>0.50625</v>
      </c>
      <c r="Q3461" s="55">
        <v>45317.0</v>
      </c>
      <c r="R3461" s="54">
        <v>0.5069444444444444</v>
      </c>
      <c r="S3461" s="52">
        <v>0.0</v>
      </c>
      <c r="T3461" s="51" t="s">
        <v>3743</v>
      </c>
      <c r="U3461" s="56"/>
      <c r="V3461" s="56"/>
      <c r="W3461" s="35">
        <v>29.7824053</v>
      </c>
      <c r="X3461" s="35">
        <v>-95.345286</v>
      </c>
      <c r="AA3461" s="33"/>
      <c r="AB3461" s="33"/>
      <c r="AC3461" s="33"/>
      <c r="AD3461" s="33"/>
      <c r="AE3461" s="33"/>
      <c r="AF3461" s="33"/>
      <c r="AG3461" s="33"/>
      <c r="AH3461" s="33"/>
      <c r="AI3461" s="33"/>
      <c r="AJ3461" s="33"/>
      <c r="AK3461" s="33"/>
      <c r="AL3461" s="33"/>
      <c r="AM3461" s="33"/>
      <c r="AN3461" s="33"/>
      <c r="AO3461" s="33"/>
    </row>
    <row r="3462" ht="15.75" customHeight="1">
      <c r="A3462" s="60">
        <v>57672.0</v>
      </c>
      <c r="B3462" s="61">
        <v>2024.0</v>
      </c>
      <c r="C3462" s="36" t="str">
        <f t="shared" si="7"/>
        <v>955 MALCOLMS WAY,Houston,TX</v>
      </c>
      <c r="D3462" s="51" t="s">
        <v>5265</v>
      </c>
      <c r="E3462" s="23" t="s">
        <v>25</v>
      </c>
      <c r="F3462" s="23" t="s">
        <v>1388</v>
      </c>
      <c r="G3462" s="62" t="str">
        <f t="shared" si="8"/>
        <v>77336</v>
      </c>
      <c r="H3462" s="58" t="s">
        <v>28</v>
      </c>
      <c r="I3462" s="37" t="str">
        <f>VLOOKUP(H3462,'Flow Location'!$A$1:$B$21,2,FALSE)</f>
        <v>Storm Sewer (not contained)</v>
      </c>
      <c r="J3462" s="63">
        <v>762.0</v>
      </c>
      <c r="K3462" s="51" t="s">
        <v>29</v>
      </c>
      <c r="L3462" s="37" t="str">
        <f>VLOOKUP(K3462,'Structure type'!$A$1:$B$15,2,FALSE)</f>
        <v>Manhole</v>
      </c>
      <c r="M3462" s="51" t="s">
        <v>30</v>
      </c>
      <c r="N3462" s="23" t="str">
        <f>VLOOKUP(M3462,'Excursion Cause'!$A$1:$B$34,2,FALSE)</f>
        <v>Grease Blockage</v>
      </c>
      <c r="O3462" s="53">
        <v>45317.0</v>
      </c>
      <c r="P3462" s="54">
        <v>0.49722222222222223</v>
      </c>
      <c r="Q3462" s="55">
        <v>45317.0</v>
      </c>
      <c r="R3462" s="54">
        <v>0.6736111111111112</v>
      </c>
      <c r="S3462" s="52">
        <v>3.0</v>
      </c>
      <c r="T3462" s="51" t="s">
        <v>3749</v>
      </c>
      <c r="U3462" s="56"/>
      <c r="V3462" s="56"/>
      <c r="W3462" s="35">
        <v>30.0257834</v>
      </c>
      <c r="X3462" s="35">
        <v>-95.1024788</v>
      </c>
      <c r="AA3462" s="33"/>
      <c r="AB3462" s="33"/>
      <c r="AC3462" s="33"/>
      <c r="AD3462" s="33"/>
      <c r="AE3462" s="33"/>
      <c r="AF3462" s="33"/>
      <c r="AG3462" s="33"/>
      <c r="AH3462" s="33"/>
      <c r="AI3462" s="33"/>
      <c r="AJ3462" s="33"/>
      <c r="AK3462" s="33"/>
      <c r="AL3462" s="33"/>
      <c r="AM3462" s="33"/>
      <c r="AN3462" s="33"/>
      <c r="AO3462" s="33"/>
    </row>
    <row r="3463" ht="15.75" customHeight="1">
      <c r="A3463" s="60">
        <v>57674.0</v>
      </c>
      <c r="B3463" s="61">
        <v>2024.0</v>
      </c>
      <c r="C3463" s="36" t="str">
        <f t="shared" si="7"/>
        <v>13105 NORTHWEST FWY,Houston,TX</v>
      </c>
      <c r="D3463" s="51" t="s">
        <v>5266</v>
      </c>
      <c r="E3463" s="23" t="s">
        <v>25</v>
      </c>
      <c r="F3463" s="23" t="s">
        <v>1388</v>
      </c>
      <c r="G3463" s="62" t="str">
        <f t="shared" si="8"/>
        <v>77040</v>
      </c>
      <c r="H3463" s="58" t="s">
        <v>28</v>
      </c>
      <c r="I3463" s="37" t="str">
        <f>VLOOKUP(H3463,'Flow Location'!$A$1:$B$21,2,FALSE)</f>
        <v>Storm Sewer (not contained)</v>
      </c>
      <c r="J3463" s="63">
        <v>8685.0</v>
      </c>
      <c r="K3463" s="51" t="s">
        <v>29</v>
      </c>
      <c r="L3463" s="37" t="str">
        <f>VLOOKUP(K3463,'Structure type'!$A$1:$B$15,2,FALSE)</f>
        <v>Manhole</v>
      </c>
      <c r="M3463" s="51" t="s">
        <v>81</v>
      </c>
      <c r="N3463" s="23" t="str">
        <f>VLOOKUP(M3463,'Excursion Cause'!$A$1:$B$34,2,FALSE)</f>
        <v>Collection system structural failure</v>
      </c>
      <c r="O3463" s="53">
        <v>45317.0</v>
      </c>
      <c r="P3463" s="54">
        <v>0.5270833333333333</v>
      </c>
      <c r="Q3463" s="55">
        <v>45318.0</v>
      </c>
      <c r="R3463" s="54">
        <v>0.7333333333333333</v>
      </c>
      <c r="S3463" s="52">
        <v>5.0</v>
      </c>
      <c r="T3463" s="51" t="s">
        <v>1391</v>
      </c>
      <c r="U3463" s="56"/>
      <c r="V3463" s="56"/>
      <c r="W3463" s="35">
        <v>29.8449317</v>
      </c>
      <c r="X3463" s="35">
        <v>-95.5019611</v>
      </c>
      <c r="AA3463" s="33"/>
      <c r="AB3463" s="33"/>
      <c r="AC3463" s="33"/>
      <c r="AD3463" s="33"/>
      <c r="AE3463" s="33"/>
      <c r="AF3463" s="33"/>
      <c r="AG3463" s="33"/>
      <c r="AH3463" s="33"/>
      <c r="AI3463" s="33"/>
      <c r="AJ3463" s="33"/>
      <c r="AK3463" s="33"/>
      <c r="AL3463" s="33"/>
      <c r="AM3463" s="33"/>
      <c r="AN3463" s="33"/>
      <c r="AO3463" s="33"/>
    </row>
    <row r="3464" ht="15.75" customHeight="1">
      <c r="A3464" s="60">
        <v>57676.0</v>
      </c>
      <c r="B3464" s="61">
        <v>2024.0</v>
      </c>
      <c r="C3464" s="36" t="str">
        <f t="shared" si="7"/>
        <v>9614 VOGUE LN,Houston,TX</v>
      </c>
      <c r="D3464" s="51" t="s">
        <v>5267</v>
      </c>
      <c r="E3464" s="23" t="s">
        <v>25</v>
      </c>
      <c r="F3464" s="23" t="s">
        <v>1388</v>
      </c>
      <c r="G3464" s="62" t="str">
        <f t="shared" si="8"/>
        <v>77080</v>
      </c>
      <c r="H3464" s="58" t="s">
        <v>50</v>
      </c>
      <c r="I3464" s="37" t="str">
        <f>VLOOKUP(H3464,'Flow Location'!$A$1:$B$21,2,FALSE)</f>
        <v>Contained On Site, not within 5 ft. of Bayou/Surface Water/Drainage Ditch</v>
      </c>
      <c r="J3464" s="63">
        <v>0.0</v>
      </c>
      <c r="K3464" s="51" t="s">
        <v>51</v>
      </c>
      <c r="L3464" s="37" t="str">
        <f>VLOOKUP(K3464,'Structure type'!$A$1:$B$15,2,FALSE)</f>
        <v>Private Cleanout</v>
      </c>
      <c r="M3464" s="51" t="s">
        <v>52</v>
      </c>
      <c r="N3464" s="23" t="str">
        <f>VLOOKUP(M3464,'Excursion Cause'!$A$1:$B$34,2,FALSE)</f>
        <v>Collection system structural blockage</v>
      </c>
      <c r="O3464" s="53">
        <v>45317.0</v>
      </c>
      <c r="P3464" s="54">
        <v>0.5770833333333333</v>
      </c>
      <c r="Q3464" s="55">
        <v>45317.0</v>
      </c>
      <c r="R3464" s="54">
        <v>0.5777777777777777</v>
      </c>
      <c r="S3464" s="52">
        <v>0.0</v>
      </c>
      <c r="T3464" s="51" t="s">
        <v>3745</v>
      </c>
      <c r="U3464" s="56"/>
      <c r="V3464" s="56"/>
      <c r="W3464" s="35">
        <v>29.8125276</v>
      </c>
      <c r="X3464" s="35">
        <v>-95.5298033</v>
      </c>
      <c r="AA3464" s="33"/>
      <c r="AB3464" s="33"/>
      <c r="AC3464" s="33"/>
      <c r="AD3464" s="33"/>
      <c r="AE3464" s="33"/>
      <c r="AF3464" s="33"/>
      <c r="AG3464" s="33"/>
      <c r="AH3464" s="33"/>
      <c r="AI3464" s="33"/>
      <c r="AJ3464" s="33"/>
      <c r="AK3464" s="33"/>
      <c r="AL3464" s="33"/>
      <c r="AM3464" s="33"/>
      <c r="AN3464" s="33"/>
      <c r="AO3464" s="33"/>
    </row>
    <row r="3465" ht="15.75" customHeight="1">
      <c r="A3465" s="60">
        <v>57677.0</v>
      </c>
      <c r="B3465" s="61">
        <v>2024.0</v>
      </c>
      <c r="C3465" s="36" t="str">
        <f t="shared" si="7"/>
        <v>14430 BROADGREEN DR,Houston,TX</v>
      </c>
      <c r="D3465" s="51" t="s">
        <v>5268</v>
      </c>
      <c r="E3465" s="23" t="s">
        <v>25</v>
      </c>
      <c r="F3465" s="23" t="s">
        <v>1388</v>
      </c>
      <c r="G3465" s="62" t="str">
        <f t="shared" si="8"/>
        <v>77079</v>
      </c>
      <c r="H3465" s="58" t="s">
        <v>28</v>
      </c>
      <c r="I3465" s="37" t="str">
        <f>VLOOKUP(H3465,'Flow Location'!$A$1:$B$21,2,FALSE)</f>
        <v>Storm Sewer (not contained)</v>
      </c>
      <c r="J3465" s="63">
        <v>3002.0</v>
      </c>
      <c r="K3465" s="51" t="s">
        <v>29</v>
      </c>
      <c r="L3465" s="37" t="str">
        <f>VLOOKUP(K3465,'Structure type'!$A$1:$B$15,2,FALSE)</f>
        <v>Manhole</v>
      </c>
      <c r="M3465" s="51" t="s">
        <v>81</v>
      </c>
      <c r="N3465" s="23" t="str">
        <f>VLOOKUP(M3465,'Excursion Cause'!$A$1:$B$34,2,FALSE)</f>
        <v>Collection system structural failure</v>
      </c>
      <c r="O3465" s="53">
        <v>45317.0</v>
      </c>
      <c r="P3465" s="54">
        <v>0.5819444444444445</v>
      </c>
      <c r="Q3465" s="55">
        <v>45319.0</v>
      </c>
      <c r="R3465" s="54">
        <v>0.6666666666666666</v>
      </c>
      <c r="S3465" s="52">
        <v>1.0</v>
      </c>
      <c r="T3465" s="51" t="s">
        <v>3745</v>
      </c>
      <c r="U3465" s="56"/>
      <c r="V3465" s="56"/>
      <c r="W3465" s="35">
        <v>29.7682645</v>
      </c>
      <c r="X3465" s="35">
        <v>-95.6020635</v>
      </c>
      <c r="AA3465" s="33"/>
      <c r="AB3465" s="33"/>
      <c r="AC3465" s="33"/>
      <c r="AD3465" s="33"/>
      <c r="AE3465" s="33"/>
      <c r="AF3465" s="33"/>
      <c r="AG3465" s="33"/>
      <c r="AH3465" s="33"/>
      <c r="AI3465" s="33"/>
      <c r="AJ3465" s="33"/>
      <c r="AK3465" s="33"/>
      <c r="AL3465" s="33"/>
      <c r="AM3465" s="33"/>
      <c r="AN3465" s="33"/>
      <c r="AO3465" s="33"/>
    </row>
    <row r="3466" ht="15.75" customHeight="1">
      <c r="A3466" s="60">
        <v>57679.0</v>
      </c>
      <c r="B3466" s="61">
        <v>2024.0</v>
      </c>
      <c r="C3466" s="36" t="str">
        <f t="shared" si="7"/>
        <v>113 DE HAVEN ST,Houston,TX</v>
      </c>
      <c r="D3466" s="51" t="s">
        <v>5269</v>
      </c>
      <c r="E3466" s="23" t="s">
        <v>25</v>
      </c>
      <c r="F3466" s="23" t="s">
        <v>1388</v>
      </c>
      <c r="G3466" s="62" t="str">
        <f t="shared" si="8"/>
        <v>77029</v>
      </c>
      <c r="H3466" s="58" t="s">
        <v>50</v>
      </c>
      <c r="I3466" s="37" t="str">
        <f>VLOOKUP(H3466,'Flow Location'!$A$1:$B$21,2,FALSE)</f>
        <v>Contained On Site, not within 5 ft. of Bayou/Surface Water/Drainage Ditch</v>
      </c>
      <c r="J3466" s="63">
        <v>0.0</v>
      </c>
      <c r="K3466" s="51" t="s">
        <v>29</v>
      </c>
      <c r="L3466" s="37" t="str">
        <f>VLOOKUP(K3466,'Structure type'!$A$1:$B$15,2,FALSE)</f>
        <v>Manhole</v>
      </c>
      <c r="M3466" s="51" t="s">
        <v>3329</v>
      </c>
      <c r="N3466" s="23" t="str">
        <f>VLOOKUP(M3466,'Excursion Cause'!$A$1:$B$34,2,FALSE)</f>
        <v>Collection system temporary blockage</v>
      </c>
      <c r="O3466" s="53">
        <v>45317.0</v>
      </c>
      <c r="P3466" s="54">
        <v>0.6243055555555556</v>
      </c>
      <c r="Q3466" s="55">
        <v>45317.0</v>
      </c>
      <c r="R3466" s="54">
        <v>0.625</v>
      </c>
      <c r="S3466" s="52">
        <v>0.0</v>
      </c>
      <c r="T3466" s="51" t="s">
        <v>118</v>
      </c>
      <c r="U3466" s="56"/>
      <c r="V3466" s="56"/>
      <c r="W3466" s="35">
        <v>29.7378398</v>
      </c>
      <c r="X3466" s="35">
        <v>-95.2618119999999</v>
      </c>
      <c r="AA3466" s="33"/>
      <c r="AB3466" s="33"/>
      <c r="AC3466" s="33"/>
      <c r="AD3466" s="33"/>
      <c r="AE3466" s="33"/>
      <c r="AF3466" s="33"/>
      <c r="AG3466" s="33"/>
      <c r="AH3466" s="33"/>
      <c r="AI3466" s="33"/>
      <c r="AJ3466" s="33"/>
      <c r="AK3466" s="33"/>
      <c r="AL3466" s="33"/>
      <c r="AM3466" s="33"/>
      <c r="AN3466" s="33"/>
      <c r="AO3466" s="33"/>
    </row>
    <row r="3467" ht="15.75" customHeight="1">
      <c r="A3467" s="60">
        <v>57680.0</v>
      </c>
      <c r="B3467" s="61">
        <v>2024.0</v>
      </c>
      <c r="C3467" s="36" t="str">
        <f t="shared" si="7"/>
        <v>2904 WOODARD ST,Houston,TX</v>
      </c>
      <c r="D3467" s="51" t="s">
        <v>5270</v>
      </c>
      <c r="E3467" s="23" t="s">
        <v>25</v>
      </c>
      <c r="F3467" s="23" t="s">
        <v>1388</v>
      </c>
      <c r="G3467" s="62" t="str">
        <f t="shared" si="8"/>
        <v>77026</v>
      </c>
      <c r="H3467" s="58" t="s">
        <v>50</v>
      </c>
      <c r="I3467" s="37" t="str">
        <f>VLOOKUP(H3467,'Flow Location'!$A$1:$B$21,2,FALSE)</f>
        <v>Contained On Site, not within 5 ft. of Bayou/Surface Water/Drainage Ditch</v>
      </c>
      <c r="J3467" s="63">
        <v>0.0</v>
      </c>
      <c r="K3467" s="51" t="s">
        <v>45</v>
      </c>
      <c r="L3467" s="37" t="str">
        <f>VLOOKUP(K3467,'Structure type'!$A$1:$B$15,2,FALSE)</f>
        <v>City Cleanout</v>
      </c>
      <c r="M3467" s="51" t="s">
        <v>56</v>
      </c>
      <c r="N3467" s="23" t="str">
        <f>VLOOKUP(M3467,'Excursion Cause'!$A$1:$B$34,2,FALSE)</f>
        <v>Rags/Wipes</v>
      </c>
      <c r="O3467" s="53">
        <v>45317.0</v>
      </c>
      <c r="P3467" s="54">
        <v>0.6180555555555556</v>
      </c>
      <c r="Q3467" s="55">
        <v>45321.0</v>
      </c>
      <c r="R3467" s="54">
        <v>0.61875</v>
      </c>
      <c r="S3467" s="52">
        <v>0.0</v>
      </c>
      <c r="T3467" s="51" t="s">
        <v>1436</v>
      </c>
      <c r="U3467" s="56"/>
      <c r="V3467" s="56"/>
      <c r="W3467" s="35">
        <v>29.8108586</v>
      </c>
      <c r="X3467" s="35">
        <v>-95.3409104</v>
      </c>
      <c r="AA3467" s="33"/>
      <c r="AB3467" s="33"/>
      <c r="AC3467" s="33"/>
      <c r="AD3467" s="33"/>
      <c r="AE3467" s="33"/>
      <c r="AF3467" s="33"/>
      <c r="AG3467" s="33"/>
      <c r="AH3467" s="33"/>
      <c r="AI3467" s="33"/>
      <c r="AJ3467" s="33"/>
      <c r="AK3467" s="33"/>
      <c r="AL3467" s="33"/>
      <c r="AM3467" s="33"/>
      <c r="AN3467" s="33"/>
      <c r="AO3467" s="33"/>
    </row>
    <row r="3468" ht="15.75" customHeight="1">
      <c r="A3468" s="60">
        <v>57687.0</v>
      </c>
      <c r="B3468" s="61">
        <v>2024.0</v>
      </c>
      <c r="C3468" s="36" t="str">
        <f t="shared" si="7"/>
        <v>5240 PEASE ST,Houston,TX</v>
      </c>
      <c r="D3468" s="51" t="s">
        <v>5247</v>
      </c>
      <c r="E3468" s="23" t="s">
        <v>25</v>
      </c>
      <c r="F3468" s="23" t="s">
        <v>1388</v>
      </c>
      <c r="G3468" s="62" t="str">
        <f t="shared" si="8"/>
        <v>77023</v>
      </c>
      <c r="H3468" s="58" t="s">
        <v>28</v>
      </c>
      <c r="I3468" s="37" t="str">
        <f>VLOOKUP(H3468,'Flow Location'!$A$1:$B$21,2,FALSE)</f>
        <v>Storm Sewer (not contained)</v>
      </c>
      <c r="J3468" s="63">
        <v>2950.0</v>
      </c>
      <c r="K3468" s="51" t="s">
        <v>29</v>
      </c>
      <c r="L3468" s="37" t="str">
        <f>VLOOKUP(K3468,'Structure type'!$A$1:$B$15,2,FALSE)</f>
        <v>Manhole</v>
      </c>
      <c r="M3468" s="51" t="s">
        <v>30</v>
      </c>
      <c r="N3468" s="23" t="str">
        <f>VLOOKUP(M3468,'Excursion Cause'!$A$1:$B$34,2,FALSE)</f>
        <v>Grease Blockage</v>
      </c>
      <c r="O3468" s="53">
        <v>45318.0</v>
      </c>
      <c r="P3468" s="54">
        <v>0.4444444444444444</v>
      </c>
      <c r="Q3468" s="55">
        <v>45319.0</v>
      </c>
      <c r="R3468" s="54">
        <v>0.46875</v>
      </c>
      <c r="S3468" s="52">
        <v>2.0</v>
      </c>
      <c r="T3468" s="51" t="s">
        <v>1462</v>
      </c>
      <c r="U3468" s="56"/>
      <c r="V3468" s="56"/>
      <c r="W3468" s="35">
        <v>29.7316041</v>
      </c>
      <c r="X3468" s="35">
        <v>-95.3224941</v>
      </c>
      <c r="AA3468" s="33"/>
      <c r="AB3468" s="33"/>
      <c r="AC3468" s="33"/>
      <c r="AD3468" s="33"/>
      <c r="AE3468" s="33"/>
      <c r="AF3468" s="33"/>
      <c r="AG3468" s="33"/>
      <c r="AH3468" s="33"/>
      <c r="AI3468" s="33"/>
      <c r="AJ3468" s="33"/>
      <c r="AK3468" s="33"/>
      <c r="AL3468" s="33"/>
      <c r="AM3468" s="33"/>
      <c r="AN3468" s="33"/>
      <c r="AO3468" s="33"/>
    </row>
    <row r="3469" ht="15.75" customHeight="1">
      <c r="A3469" s="60">
        <v>57688.0</v>
      </c>
      <c r="B3469" s="61">
        <v>2024.0</v>
      </c>
      <c r="C3469" s="36" t="str">
        <f t="shared" si="7"/>
        <v>608 8TH 1/2 ST,Houston,TX</v>
      </c>
      <c r="D3469" s="51" t="s">
        <v>5271</v>
      </c>
      <c r="E3469" s="23" t="s">
        <v>25</v>
      </c>
      <c r="F3469" s="23" t="s">
        <v>1388</v>
      </c>
      <c r="G3469" s="62" t="str">
        <f t="shared" si="8"/>
        <v>77007</v>
      </c>
      <c r="H3469" s="58" t="s">
        <v>28</v>
      </c>
      <c r="I3469" s="37" t="str">
        <f>VLOOKUP(H3469,'Flow Location'!$A$1:$B$21,2,FALSE)</f>
        <v>Storm Sewer (not contained)</v>
      </c>
      <c r="J3469" s="63">
        <v>2829.0</v>
      </c>
      <c r="K3469" s="51" t="s">
        <v>290</v>
      </c>
      <c r="L3469" s="37" t="str">
        <f>VLOOKUP(K3469,'Structure type'!$A$1:$B$15,2,FALSE)</f>
        <v>Gravity Main</v>
      </c>
      <c r="M3469" s="51" t="s">
        <v>56</v>
      </c>
      <c r="N3469" s="23" t="str">
        <f>VLOOKUP(M3469,'Excursion Cause'!$A$1:$B$34,2,FALSE)</f>
        <v>Rags/Wipes</v>
      </c>
      <c r="O3469" s="53">
        <v>45318.0</v>
      </c>
      <c r="P3469" s="54">
        <v>0.4798611111111111</v>
      </c>
      <c r="Q3469" s="55">
        <v>45320.0</v>
      </c>
      <c r="R3469" s="54">
        <v>0.4444444444444444</v>
      </c>
      <c r="S3469" s="52">
        <v>1.0</v>
      </c>
      <c r="T3469" s="51" t="s">
        <v>1462</v>
      </c>
      <c r="U3469" s="56"/>
      <c r="V3469" s="56"/>
      <c r="W3469" s="35">
        <v>29.7858974</v>
      </c>
      <c r="X3469" s="35">
        <v>-95.3912493</v>
      </c>
      <c r="AA3469" s="33"/>
      <c r="AB3469" s="33"/>
      <c r="AC3469" s="33"/>
      <c r="AD3469" s="33"/>
      <c r="AE3469" s="33"/>
      <c r="AF3469" s="33"/>
      <c r="AG3469" s="33"/>
      <c r="AH3469" s="33"/>
      <c r="AI3469" s="33"/>
      <c r="AJ3469" s="33"/>
      <c r="AK3469" s="33"/>
      <c r="AL3469" s="33"/>
      <c r="AM3469" s="33"/>
      <c r="AN3469" s="33"/>
      <c r="AO3469" s="33"/>
    </row>
    <row r="3470" ht="15.75" customHeight="1">
      <c r="A3470" s="60">
        <v>57689.0</v>
      </c>
      <c r="B3470" s="61">
        <v>2024.0</v>
      </c>
      <c r="C3470" s="36" t="str">
        <f t="shared" si="7"/>
        <v>1405 COLLIER ST,Houston,TX</v>
      </c>
      <c r="D3470" s="51" t="s">
        <v>5272</v>
      </c>
      <c r="E3470" s="23" t="s">
        <v>25</v>
      </c>
      <c r="F3470" s="23" t="s">
        <v>1388</v>
      </c>
      <c r="G3470" s="62" t="str">
        <f t="shared" si="8"/>
        <v>77023</v>
      </c>
      <c r="H3470" s="58" t="s">
        <v>50</v>
      </c>
      <c r="I3470" s="37" t="str">
        <f>VLOOKUP(H3470,'Flow Location'!$A$1:$B$21,2,FALSE)</f>
        <v>Contained On Site, not within 5 ft. of Bayou/Surface Water/Drainage Ditch</v>
      </c>
      <c r="J3470" s="63">
        <v>3210.0</v>
      </c>
      <c r="K3470" s="51" t="s">
        <v>45</v>
      </c>
      <c r="L3470" s="37" t="str">
        <f>VLOOKUP(K3470,'Structure type'!$A$1:$B$15,2,FALSE)</f>
        <v>City Cleanout</v>
      </c>
      <c r="M3470" s="51" t="s">
        <v>30</v>
      </c>
      <c r="N3470" s="23" t="str">
        <f>VLOOKUP(M3470,'Excursion Cause'!$A$1:$B$34,2,FALSE)</f>
        <v>Grease Blockage</v>
      </c>
      <c r="O3470" s="53">
        <v>45318.0</v>
      </c>
      <c r="P3470" s="54">
        <v>0.46875</v>
      </c>
      <c r="Q3470" s="55">
        <v>45319.0</v>
      </c>
      <c r="R3470" s="54">
        <v>0.5833333333333334</v>
      </c>
      <c r="S3470" s="52">
        <v>2.0</v>
      </c>
      <c r="T3470" s="51" t="s">
        <v>3743</v>
      </c>
      <c r="U3470" s="56"/>
      <c r="V3470" s="56"/>
      <c r="W3470" s="35">
        <v>29.7327702</v>
      </c>
      <c r="X3470" s="35">
        <v>-95.3212583999999</v>
      </c>
      <c r="AA3470" s="33"/>
      <c r="AB3470" s="33"/>
      <c r="AC3470" s="33"/>
      <c r="AD3470" s="33"/>
      <c r="AE3470" s="33"/>
      <c r="AF3470" s="33"/>
      <c r="AG3470" s="33"/>
      <c r="AH3470" s="33"/>
      <c r="AI3470" s="33"/>
      <c r="AJ3470" s="33"/>
      <c r="AK3470" s="33"/>
      <c r="AL3470" s="33"/>
      <c r="AM3470" s="33"/>
      <c r="AN3470" s="33"/>
      <c r="AO3470" s="33"/>
    </row>
    <row r="3471" ht="15.75" customHeight="1">
      <c r="A3471" s="60">
        <v>57690.0</v>
      </c>
      <c r="B3471" s="61">
        <v>2024.0</v>
      </c>
      <c r="C3471" s="36" t="str">
        <f t="shared" si="7"/>
        <v>13001 NYACK DR,Houston,TX</v>
      </c>
      <c r="D3471" s="51" t="s">
        <v>3284</v>
      </c>
      <c r="E3471" s="23" t="s">
        <v>25</v>
      </c>
      <c r="F3471" s="23" t="s">
        <v>1388</v>
      </c>
      <c r="G3471" s="62" t="str">
        <f t="shared" si="8"/>
        <v>77089</v>
      </c>
      <c r="H3471" s="58" t="s">
        <v>28</v>
      </c>
      <c r="I3471" s="37" t="str">
        <f>VLOOKUP(H3471,'Flow Location'!$A$1:$B$21,2,FALSE)</f>
        <v>Storm Sewer (not contained)</v>
      </c>
      <c r="J3471" s="63">
        <v>1575.0</v>
      </c>
      <c r="K3471" s="51" t="s">
        <v>29</v>
      </c>
      <c r="L3471" s="37" t="str">
        <f>VLOOKUP(K3471,'Structure type'!$A$1:$B$15,2,FALSE)</f>
        <v>Manhole</v>
      </c>
      <c r="M3471" s="51" t="s">
        <v>30</v>
      </c>
      <c r="N3471" s="23" t="str">
        <f>VLOOKUP(M3471,'Excursion Cause'!$A$1:$B$34,2,FALSE)</f>
        <v>Grease Blockage</v>
      </c>
      <c r="O3471" s="53">
        <v>45318.0</v>
      </c>
      <c r="P3471" s="54">
        <v>0.4895833333333333</v>
      </c>
      <c r="Q3471" s="55">
        <v>45319.0</v>
      </c>
      <c r="R3471" s="54">
        <v>0.5833333333333334</v>
      </c>
      <c r="S3471" s="52">
        <v>1.0</v>
      </c>
      <c r="T3471" s="51" t="s">
        <v>3749</v>
      </c>
      <c r="U3471" s="56"/>
      <c r="V3471" s="56"/>
      <c r="W3471" s="35">
        <v>29.5958219</v>
      </c>
      <c r="X3471" s="35">
        <v>-95.1958392</v>
      </c>
      <c r="AA3471" s="33"/>
      <c r="AB3471" s="33"/>
      <c r="AC3471" s="33"/>
      <c r="AD3471" s="33"/>
      <c r="AE3471" s="33"/>
      <c r="AF3471" s="33"/>
      <c r="AG3471" s="33"/>
      <c r="AH3471" s="33"/>
      <c r="AI3471" s="33"/>
      <c r="AJ3471" s="33"/>
      <c r="AK3471" s="33"/>
      <c r="AL3471" s="33"/>
      <c r="AM3471" s="33"/>
      <c r="AN3471" s="33"/>
      <c r="AO3471" s="33"/>
    </row>
    <row r="3472" ht="15.75" customHeight="1">
      <c r="A3472" s="60">
        <v>57691.0</v>
      </c>
      <c r="B3472" s="61">
        <v>2024.0</v>
      </c>
      <c r="C3472" s="36" t="str">
        <f t="shared" si="7"/>
        <v>1922 EBONY LN,Houston,TX</v>
      </c>
      <c r="D3472" s="51" t="s">
        <v>5273</v>
      </c>
      <c r="E3472" s="23" t="s">
        <v>25</v>
      </c>
      <c r="F3472" s="23" t="s">
        <v>1388</v>
      </c>
      <c r="G3472" s="62" t="str">
        <f t="shared" si="8"/>
        <v>77018</v>
      </c>
      <c r="H3472" s="58" t="s">
        <v>28</v>
      </c>
      <c r="I3472" s="37" t="str">
        <f>VLOOKUP(H3472,'Flow Location'!$A$1:$B$21,2,FALSE)</f>
        <v>Storm Sewer (not contained)</v>
      </c>
      <c r="J3472" s="63">
        <v>0.0</v>
      </c>
      <c r="K3472" s="51" t="s">
        <v>29</v>
      </c>
      <c r="L3472" s="37" t="str">
        <f>VLOOKUP(K3472,'Structure type'!$A$1:$B$15,2,FALSE)</f>
        <v>Manhole</v>
      </c>
      <c r="M3472" s="51" t="s">
        <v>30</v>
      </c>
      <c r="N3472" s="23" t="str">
        <f>VLOOKUP(M3472,'Excursion Cause'!$A$1:$B$34,2,FALSE)</f>
        <v>Grease Blockage</v>
      </c>
      <c r="O3472" s="53">
        <v>45318.0</v>
      </c>
      <c r="P3472" s="54">
        <v>0.5069444444444444</v>
      </c>
      <c r="Q3472" s="55">
        <v>45318.0</v>
      </c>
      <c r="R3472" s="54">
        <v>0.5076388888888889</v>
      </c>
      <c r="S3472" s="52">
        <v>0.0</v>
      </c>
      <c r="T3472" s="51" t="s">
        <v>1462</v>
      </c>
      <c r="U3472" s="56"/>
      <c r="V3472" s="56"/>
      <c r="W3472" s="35">
        <v>29.8220433</v>
      </c>
      <c r="X3472" s="35">
        <v>-95.4470486</v>
      </c>
      <c r="AA3472" s="33"/>
      <c r="AB3472" s="33"/>
      <c r="AC3472" s="33"/>
      <c r="AD3472" s="33"/>
      <c r="AE3472" s="33"/>
      <c r="AF3472" s="33"/>
      <c r="AG3472" s="33"/>
      <c r="AH3472" s="33"/>
      <c r="AI3472" s="33"/>
      <c r="AJ3472" s="33"/>
      <c r="AK3472" s="33"/>
      <c r="AL3472" s="33"/>
      <c r="AM3472" s="33"/>
      <c r="AN3472" s="33"/>
      <c r="AO3472" s="33"/>
    </row>
    <row r="3473" ht="15.75" customHeight="1">
      <c r="A3473" s="60">
        <v>57698.0</v>
      </c>
      <c r="B3473" s="61">
        <v>2024.0</v>
      </c>
      <c r="C3473" s="36" t="str">
        <f t="shared" si="7"/>
        <v>8726 KALEWOOD DR,Houston,TX</v>
      </c>
      <c r="D3473" s="51" t="s">
        <v>5274</v>
      </c>
      <c r="E3473" s="23" t="s">
        <v>25</v>
      </c>
      <c r="F3473" s="23" t="s">
        <v>1388</v>
      </c>
      <c r="G3473" s="62" t="str">
        <f t="shared" si="8"/>
        <v>77099</v>
      </c>
      <c r="H3473" s="58" t="s">
        <v>50</v>
      </c>
      <c r="I3473" s="37" t="str">
        <f>VLOOKUP(H3473,'Flow Location'!$A$1:$B$21,2,FALSE)</f>
        <v>Contained On Site, not within 5 ft. of Bayou/Surface Water/Drainage Ditch</v>
      </c>
      <c r="J3473" s="63">
        <v>0.0</v>
      </c>
      <c r="K3473" s="51" t="s">
        <v>51</v>
      </c>
      <c r="L3473" s="37" t="str">
        <f>VLOOKUP(K3473,'Structure type'!$A$1:$B$15,2,FALSE)</f>
        <v>Private Cleanout</v>
      </c>
      <c r="M3473" s="51" t="s">
        <v>30</v>
      </c>
      <c r="N3473" s="23" t="str">
        <f>VLOOKUP(M3473,'Excursion Cause'!$A$1:$B$34,2,FALSE)</f>
        <v>Grease Blockage</v>
      </c>
      <c r="O3473" s="53">
        <v>45319.0</v>
      </c>
      <c r="P3473" s="54">
        <v>0.4354166666666667</v>
      </c>
      <c r="Q3473" s="55">
        <v>45319.0</v>
      </c>
      <c r="R3473" s="54">
        <v>0.4361111111111111</v>
      </c>
      <c r="S3473" s="52">
        <v>0.0</v>
      </c>
      <c r="T3473" s="51" t="s">
        <v>1436</v>
      </c>
      <c r="U3473" s="56"/>
      <c r="V3473" s="56"/>
      <c r="W3473" s="35">
        <v>29.6815049999999</v>
      </c>
      <c r="X3473" s="35">
        <v>-95.5863153</v>
      </c>
      <c r="AA3473" s="33"/>
      <c r="AB3473" s="33"/>
      <c r="AC3473" s="33"/>
      <c r="AD3473" s="33"/>
      <c r="AE3473" s="33"/>
      <c r="AF3473" s="33"/>
      <c r="AG3473" s="33"/>
      <c r="AH3473" s="33"/>
      <c r="AI3473" s="33"/>
      <c r="AJ3473" s="33"/>
      <c r="AK3473" s="33"/>
      <c r="AL3473" s="33"/>
      <c r="AM3473" s="33"/>
      <c r="AN3473" s="33"/>
      <c r="AO3473" s="33"/>
    </row>
    <row r="3474" ht="15.75" customHeight="1">
      <c r="A3474" s="60">
        <v>57700.0</v>
      </c>
      <c r="B3474" s="61">
        <v>2024.0</v>
      </c>
      <c r="C3474" s="36" t="str">
        <f t="shared" si="7"/>
        <v>6647 BRIAR GLADE DR,Houston,TX</v>
      </c>
      <c r="D3474" s="51" t="s">
        <v>5275</v>
      </c>
      <c r="E3474" s="23" t="s">
        <v>25</v>
      </c>
      <c r="F3474" s="23" t="s">
        <v>1388</v>
      </c>
      <c r="G3474" s="62" t="str">
        <f t="shared" si="8"/>
        <v>77072</v>
      </c>
      <c r="H3474" s="58" t="s">
        <v>28</v>
      </c>
      <c r="I3474" s="37" t="str">
        <f>VLOOKUP(H3474,'Flow Location'!$A$1:$B$21,2,FALSE)</f>
        <v>Storm Sewer (not contained)</v>
      </c>
      <c r="J3474" s="63">
        <v>8195.0</v>
      </c>
      <c r="K3474" s="51" t="s">
        <v>29</v>
      </c>
      <c r="L3474" s="37" t="str">
        <f>VLOOKUP(K3474,'Structure type'!$A$1:$B$15,2,FALSE)</f>
        <v>Manhole</v>
      </c>
      <c r="M3474" s="51" t="s">
        <v>30</v>
      </c>
      <c r="N3474" s="23" t="str">
        <f>VLOOKUP(M3474,'Excursion Cause'!$A$1:$B$34,2,FALSE)</f>
        <v>Grease Blockage</v>
      </c>
      <c r="O3474" s="53">
        <v>45319.0</v>
      </c>
      <c r="P3474" s="54">
        <v>0.4618055555555556</v>
      </c>
      <c r="Q3474" s="55">
        <v>45320.0</v>
      </c>
      <c r="R3474" s="54">
        <v>0.625</v>
      </c>
      <c r="S3474" s="52">
        <v>5.0</v>
      </c>
      <c r="T3474" s="51" t="s">
        <v>1462</v>
      </c>
      <c r="U3474" s="56"/>
      <c r="V3474" s="56"/>
      <c r="W3474" s="35">
        <v>29.7059564</v>
      </c>
      <c r="X3474" s="35">
        <v>-95.5701606</v>
      </c>
      <c r="AA3474" s="33"/>
      <c r="AB3474" s="33"/>
      <c r="AC3474" s="33"/>
      <c r="AD3474" s="33"/>
      <c r="AE3474" s="33"/>
      <c r="AF3474" s="33"/>
      <c r="AG3474" s="33"/>
      <c r="AH3474" s="33"/>
      <c r="AI3474" s="33"/>
      <c r="AJ3474" s="33"/>
      <c r="AK3474" s="33"/>
      <c r="AL3474" s="33"/>
      <c r="AM3474" s="33"/>
      <c r="AN3474" s="33"/>
      <c r="AO3474" s="33"/>
    </row>
    <row r="3475" ht="15.75" customHeight="1">
      <c r="A3475" s="60">
        <v>57701.0</v>
      </c>
      <c r="B3475" s="61">
        <v>2024.0</v>
      </c>
      <c r="C3475" s="36" t="str">
        <f t="shared" si="7"/>
        <v>3555 AIRPORT BLVD,Houston,TX</v>
      </c>
      <c r="D3475" s="51" t="s">
        <v>5276</v>
      </c>
      <c r="E3475" s="23" t="s">
        <v>25</v>
      </c>
      <c r="F3475" s="23" t="s">
        <v>1388</v>
      </c>
      <c r="G3475" s="62" t="str">
        <f t="shared" si="8"/>
        <v>77051</v>
      </c>
      <c r="H3475" s="58" t="s">
        <v>28</v>
      </c>
      <c r="I3475" s="37" t="str">
        <f>VLOOKUP(H3475,'Flow Location'!$A$1:$B$21,2,FALSE)</f>
        <v>Storm Sewer (not contained)</v>
      </c>
      <c r="J3475" s="63">
        <v>861.0</v>
      </c>
      <c r="K3475" s="51" t="s">
        <v>29</v>
      </c>
      <c r="L3475" s="37" t="str">
        <f>VLOOKUP(K3475,'Structure type'!$A$1:$B$15,2,FALSE)</f>
        <v>Manhole</v>
      </c>
      <c r="M3475" s="51" t="s">
        <v>56</v>
      </c>
      <c r="N3475" s="23" t="str">
        <f>VLOOKUP(M3475,'Excursion Cause'!$A$1:$B$34,2,FALSE)</f>
        <v>Rags/Wipes</v>
      </c>
      <c r="O3475" s="53">
        <v>45319.0</v>
      </c>
      <c r="P3475" s="54">
        <v>0.45555555555555555</v>
      </c>
      <c r="Q3475" s="55">
        <v>45319.0</v>
      </c>
      <c r="R3475" s="54">
        <v>0.6548611111111111</v>
      </c>
      <c r="S3475" s="52">
        <v>3.0</v>
      </c>
      <c r="T3475" s="51" t="s">
        <v>1462</v>
      </c>
      <c r="U3475" s="56"/>
      <c r="V3475" s="56"/>
      <c r="W3475" s="35">
        <v>29.6449839999999</v>
      </c>
      <c r="X3475" s="35">
        <v>-95.3698898999999</v>
      </c>
      <c r="AA3475" s="33"/>
      <c r="AB3475" s="33"/>
      <c r="AC3475" s="33"/>
      <c r="AD3475" s="33"/>
      <c r="AE3475" s="33"/>
      <c r="AF3475" s="33"/>
      <c r="AG3475" s="33"/>
      <c r="AH3475" s="33"/>
      <c r="AI3475" s="33"/>
      <c r="AJ3475" s="33"/>
      <c r="AK3475" s="33"/>
      <c r="AL3475" s="33"/>
      <c r="AM3475" s="33"/>
      <c r="AN3475" s="33"/>
      <c r="AO3475" s="33"/>
    </row>
    <row r="3476" ht="15.75" customHeight="1">
      <c r="A3476" s="60">
        <v>57703.0</v>
      </c>
      <c r="B3476" s="61">
        <v>2024.0</v>
      </c>
      <c r="C3476" s="36" t="str">
        <f t="shared" si="7"/>
        <v>7421 AVENUE F,Houston,TX</v>
      </c>
      <c r="D3476" s="51" t="s">
        <v>5277</v>
      </c>
      <c r="E3476" s="23" t="s">
        <v>25</v>
      </c>
      <c r="F3476" s="23" t="s">
        <v>1388</v>
      </c>
      <c r="G3476" s="62" t="str">
        <f t="shared" si="8"/>
        <v>77011</v>
      </c>
      <c r="H3476" s="58" t="s">
        <v>144</v>
      </c>
      <c r="I3476" s="37" t="str">
        <f>VLOOKUP(H3476,'Flow Location'!$A$1:$B$21,2,FALSE)</f>
        <v>Storm Sewer - contained</v>
      </c>
      <c r="J3476" s="63">
        <v>1120.0</v>
      </c>
      <c r="K3476" s="51" t="s">
        <v>45</v>
      </c>
      <c r="L3476" s="37" t="str">
        <f>VLOOKUP(K3476,'Structure type'!$A$1:$B$15,2,FALSE)</f>
        <v>City Cleanout</v>
      </c>
      <c r="M3476" s="51" t="s">
        <v>81</v>
      </c>
      <c r="N3476" s="23" t="str">
        <f>VLOOKUP(M3476,'Excursion Cause'!$A$1:$B$34,2,FALSE)</f>
        <v>Collection system structural failure</v>
      </c>
      <c r="O3476" s="53">
        <v>45319.0</v>
      </c>
      <c r="P3476" s="54">
        <v>0.5763888888888888</v>
      </c>
      <c r="Q3476" s="55">
        <v>45320.0</v>
      </c>
      <c r="R3476" s="54">
        <v>0.3541666666666667</v>
      </c>
      <c r="S3476" s="52">
        <v>1.0</v>
      </c>
      <c r="T3476" s="51" t="s">
        <v>1391</v>
      </c>
      <c r="U3476" s="56"/>
      <c r="V3476" s="56"/>
      <c r="W3476" s="35">
        <v>29.7362906</v>
      </c>
      <c r="X3476" s="35">
        <v>-95.291895</v>
      </c>
      <c r="AA3476" s="33"/>
      <c r="AB3476" s="33"/>
      <c r="AC3476" s="33"/>
      <c r="AD3476" s="33"/>
      <c r="AE3476" s="33"/>
      <c r="AF3476" s="33"/>
      <c r="AG3476" s="33"/>
      <c r="AH3476" s="33"/>
      <c r="AI3476" s="33"/>
      <c r="AJ3476" s="33"/>
      <c r="AK3476" s="33"/>
      <c r="AL3476" s="33"/>
      <c r="AM3476" s="33"/>
      <c r="AN3476" s="33"/>
      <c r="AO3476" s="33"/>
    </row>
    <row r="3477" ht="15.75" customHeight="1">
      <c r="A3477" s="60">
        <v>57705.0</v>
      </c>
      <c r="B3477" s="61">
        <v>2024.0</v>
      </c>
      <c r="C3477" s="36" t="str">
        <f t="shared" si="7"/>
        <v>10718 BRAEWICK DR,Houston,TX</v>
      </c>
      <c r="D3477" s="51" t="s">
        <v>5278</v>
      </c>
      <c r="E3477" s="23" t="s">
        <v>25</v>
      </c>
      <c r="F3477" s="23" t="s">
        <v>1388</v>
      </c>
      <c r="G3477" s="62" t="str">
        <f t="shared" si="8"/>
        <v>77096</v>
      </c>
      <c r="H3477" s="58" t="s">
        <v>28</v>
      </c>
      <c r="I3477" s="37" t="str">
        <f>VLOOKUP(H3477,'Flow Location'!$A$1:$B$21,2,FALSE)</f>
        <v>Storm Sewer (not contained)</v>
      </c>
      <c r="J3477" s="63">
        <v>762.0</v>
      </c>
      <c r="K3477" s="51" t="s">
        <v>29</v>
      </c>
      <c r="L3477" s="37" t="str">
        <f>VLOOKUP(K3477,'Structure type'!$A$1:$B$15,2,FALSE)</f>
        <v>Manhole</v>
      </c>
      <c r="M3477" s="51" t="s">
        <v>96</v>
      </c>
      <c r="N3477" s="23" t="str">
        <f>VLOOKUP(M3477,'Excursion Cause'!$A$1:$B$34,2,FALSE)</f>
        <v>Collection system temporary blockage</v>
      </c>
      <c r="O3477" s="53">
        <v>45319.0</v>
      </c>
      <c r="P3477" s="54">
        <v>0.5486111111111112</v>
      </c>
      <c r="Q3477" s="55">
        <v>45319.0</v>
      </c>
      <c r="R3477" s="54">
        <v>0.8131944444444444</v>
      </c>
      <c r="S3477" s="52">
        <v>2.0</v>
      </c>
      <c r="T3477" s="51" t="s">
        <v>5185</v>
      </c>
      <c r="U3477" s="56"/>
      <c r="V3477" s="56"/>
      <c r="W3477" s="35">
        <v>29.6639671</v>
      </c>
      <c r="X3477" s="35">
        <v>-95.49722</v>
      </c>
      <c r="AA3477" s="33"/>
      <c r="AB3477" s="33"/>
      <c r="AC3477" s="33"/>
      <c r="AD3477" s="33"/>
      <c r="AE3477" s="33"/>
      <c r="AF3477" s="33"/>
      <c r="AG3477" s="33"/>
      <c r="AH3477" s="33"/>
      <c r="AI3477" s="33"/>
      <c r="AJ3477" s="33"/>
      <c r="AK3477" s="33"/>
      <c r="AL3477" s="33"/>
      <c r="AM3477" s="33"/>
      <c r="AN3477" s="33"/>
      <c r="AO3477" s="33"/>
    </row>
    <row r="3478" ht="15.75" customHeight="1">
      <c r="A3478" s="60">
        <v>57707.0</v>
      </c>
      <c r="B3478" s="61">
        <v>2024.0</v>
      </c>
      <c r="C3478" s="36" t="str">
        <f t="shared" si="7"/>
        <v>2555 WESTHOLLOW DR,Houston,TX</v>
      </c>
      <c r="D3478" s="51" t="s">
        <v>5279</v>
      </c>
      <c r="E3478" s="23" t="s">
        <v>25</v>
      </c>
      <c r="F3478" s="23" t="s">
        <v>1388</v>
      </c>
      <c r="G3478" s="62" t="str">
        <f t="shared" si="8"/>
        <v>77082</v>
      </c>
      <c r="H3478" s="58" t="s">
        <v>1493</v>
      </c>
      <c r="I3478" s="37" t="str">
        <f>VLOOKUP(H3478,'Flow Location'!$A$1:$B$21,2,FALSE)</f>
        <v>Contained On Site, not within 5 ft. of Bayou/Surface Water/Drainage Ditch</v>
      </c>
      <c r="J3478" s="63">
        <v>1185.0</v>
      </c>
      <c r="K3478" s="51" t="s">
        <v>29</v>
      </c>
      <c r="L3478" s="37" t="str">
        <f>VLOOKUP(K3478,'Structure type'!$A$1:$B$15,2,FALSE)</f>
        <v>Manhole</v>
      </c>
      <c r="M3478" s="51" t="s">
        <v>30</v>
      </c>
      <c r="N3478" s="23" t="str">
        <f>VLOOKUP(M3478,'Excursion Cause'!$A$1:$B$34,2,FALSE)</f>
        <v>Grease Blockage</v>
      </c>
      <c r="O3478" s="53">
        <v>45320.0</v>
      </c>
      <c r="P3478" s="54">
        <v>0.3506944444444444</v>
      </c>
      <c r="Q3478" s="55">
        <v>45320.0</v>
      </c>
      <c r="R3478" s="54">
        <v>0.625</v>
      </c>
      <c r="S3478" s="52">
        <v>3.0</v>
      </c>
      <c r="T3478" s="51" t="s">
        <v>1462</v>
      </c>
      <c r="U3478" s="56"/>
      <c r="V3478" s="56"/>
      <c r="W3478" s="35">
        <v>29.7340441</v>
      </c>
      <c r="X3478" s="35">
        <v>-95.6360053</v>
      </c>
      <c r="AA3478" s="33"/>
      <c r="AB3478" s="33"/>
      <c r="AC3478" s="33"/>
      <c r="AD3478" s="33"/>
      <c r="AE3478" s="33"/>
      <c r="AF3478" s="33"/>
      <c r="AG3478" s="33"/>
      <c r="AH3478" s="33"/>
      <c r="AI3478" s="33"/>
      <c r="AJ3478" s="33"/>
      <c r="AK3478" s="33"/>
      <c r="AL3478" s="33"/>
      <c r="AM3478" s="33"/>
      <c r="AN3478" s="33"/>
      <c r="AO3478" s="33"/>
    </row>
    <row r="3479" ht="15.75" customHeight="1">
      <c r="A3479" s="60">
        <v>57711.0</v>
      </c>
      <c r="B3479" s="61">
        <v>2024.0</v>
      </c>
      <c r="C3479" s="36" t="str">
        <f t="shared" si="7"/>
        <v>12037 NAUGHTON ST,Houston,TX</v>
      </c>
      <c r="D3479" s="51" t="s">
        <v>5280</v>
      </c>
      <c r="E3479" s="23" t="s">
        <v>25</v>
      </c>
      <c r="F3479" s="23" t="s">
        <v>1388</v>
      </c>
      <c r="G3479" s="62" t="str">
        <f t="shared" si="8"/>
        <v>77024</v>
      </c>
      <c r="H3479" s="58" t="s">
        <v>50</v>
      </c>
      <c r="I3479" s="37" t="str">
        <f>VLOOKUP(H3479,'Flow Location'!$A$1:$B$21,2,FALSE)</f>
        <v>Contained On Site, not within 5 ft. of Bayou/Surface Water/Drainage Ditch</v>
      </c>
      <c r="J3479" s="63">
        <v>2362.0</v>
      </c>
      <c r="K3479" s="51" t="s">
        <v>51</v>
      </c>
      <c r="L3479" s="37" t="str">
        <f>VLOOKUP(K3479,'Structure type'!$A$1:$B$15,2,FALSE)</f>
        <v>Private Cleanout</v>
      </c>
      <c r="M3479" s="51" t="s">
        <v>30</v>
      </c>
      <c r="N3479" s="23" t="str">
        <f>VLOOKUP(M3479,'Excursion Cause'!$A$1:$B$34,2,FALSE)</f>
        <v>Grease Blockage</v>
      </c>
      <c r="O3479" s="53">
        <v>45320.0</v>
      </c>
      <c r="P3479" s="54">
        <v>0.41805555555555557</v>
      </c>
      <c r="Q3479" s="55">
        <v>45323.0</v>
      </c>
      <c r="R3479" s="54">
        <v>0.6986111111111111</v>
      </c>
      <c r="S3479" s="52">
        <v>0.0</v>
      </c>
      <c r="T3479" s="51" t="s">
        <v>1462</v>
      </c>
      <c r="U3479" s="56"/>
      <c r="V3479" s="56"/>
      <c r="W3479" s="35">
        <v>29.7548344</v>
      </c>
      <c r="X3479" s="35">
        <v>-95.5402173999999</v>
      </c>
      <c r="AA3479" s="33"/>
      <c r="AB3479" s="33"/>
      <c r="AC3479" s="33"/>
      <c r="AD3479" s="33"/>
      <c r="AE3479" s="33"/>
      <c r="AF3479" s="33"/>
      <c r="AG3479" s="33"/>
      <c r="AH3479" s="33"/>
      <c r="AI3479" s="33"/>
      <c r="AJ3479" s="33"/>
      <c r="AK3479" s="33"/>
      <c r="AL3479" s="33"/>
      <c r="AM3479" s="33"/>
      <c r="AN3479" s="33"/>
      <c r="AO3479" s="33"/>
    </row>
    <row r="3480" ht="15.75" customHeight="1">
      <c r="A3480" s="60">
        <v>57716.0</v>
      </c>
      <c r="B3480" s="61">
        <v>2024.0</v>
      </c>
      <c r="C3480" s="36" t="str">
        <f t="shared" si="7"/>
        <v>1517 ELLIOTT ST,Houston,TX</v>
      </c>
      <c r="D3480" s="51" t="s">
        <v>5281</v>
      </c>
      <c r="E3480" s="23" t="s">
        <v>25</v>
      </c>
      <c r="F3480" s="23" t="s">
        <v>1388</v>
      </c>
      <c r="G3480" s="62" t="str">
        <f t="shared" si="8"/>
        <v>77023</v>
      </c>
      <c r="H3480" s="58" t="s">
        <v>50</v>
      </c>
      <c r="I3480" s="37" t="str">
        <f>VLOOKUP(H3480,'Flow Location'!$A$1:$B$21,2,FALSE)</f>
        <v>Contained On Site, not within 5 ft. of Bayou/Surface Water/Drainage Ditch</v>
      </c>
      <c r="J3480" s="63">
        <v>3376.0</v>
      </c>
      <c r="K3480" s="51" t="s">
        <v>51</v>
      </c>
      <c r="L3480" s="37" t="str">
        <f>VLOOKUP(K3480,'Structure type'!$A$1:$B$15,2,FALSE)</f>
        <v>Private Cleanout</v>
      </c>
      <c r="M3480" s="51" t="s">
        <v>30</v>
      </c>
      <c r="N3480" s="23" t="str">
        <f>VLOOKUP(M3480,'Excursion Cause'!$A$1:$B$34,2,FALSE)</f>
        <v>Grease Blockage</v>
      </c>
      <c r="O3480" s="53">
        <v>45320.0</v>
      </c>
      <c r="P3480" s="54">
        <v>0.49722222222222223</v>
      </c>
      <c r="Q3480" s="55">
        <v>45321.0</v>
      </c>
      <c r="R3480" s="54">
        <v>0.6694444444444444</v>
      </c>
      <c r="S3480" s="52">
        <v>2.0</v>
      </c>
      <c r="T3480" s="51" t="s">
        <v>3749</v>
      </c>
      <c r="U3480" s="56"/>
      <c r="V3480" s="56"/>
      <c r="W3480" s="35">
        <v>29.7284887</v>
      </c>
      <c r="X3480" s="35">
        <v>-95.3267733</v>
      </c>
      <c r="AA3480" s="33"/>
      <c r="AB3480" s="33"/>
      <c r="AC3480" s="33"/>
      <c r="AD3480" s="33"/>
      <c r="AE3480" s="33"/>
      <c r="AF3480" s="33"/>
      <c r="AG3480" s="33"/>
      <c r="AH3480" s="33"/>
      <c r="AI3480" s="33"/>
      <c r="AJ3480" s="33"/>
      <c r="AK3480" s="33"/>
      <c r="AL3480" s="33"/>
      <c r="AM3480" s="33"/>
      <c r="AN3480" s="33"/>
      <c r="AO3480" s="33"/>
    </row>
    <row r="3481" ht="15.75" customHeight="1">
      <c r="A3481" s="60">
        <v>57720.0</v>
      </c>
      <c r="B3481" s="61">
        <v>2024.0</v>
      </c>
      <c r="C3481" s="36" t="str">
        <f t="shared" si="7"/>
        <v>10431 METRONOME DR,Houston,TX</v>
      </c>
      <c r="D3481" s="51" t="s">
        <v>5282</v>
      </c>
      <c r="E3481" s="23" t="s">
        <v>25</v>
      </c>
      <c r="F3481" s="23" t="s">
        <v>1388</v>
      </c>
      <c r="G3481" s="62" t="str">
        <f t="shared" si="8"/>
        <v>77043</v>
      </c>
      <c r="H3481" s="58" t="s">
        <v>28</v>
      </c>
      <c r="I3481" s="37" t="str">
        <f>VLOOKUP(H3481,'Flow Location'!$A$1:$B$21,2,FALSE)</f>
        <v>Storm Sewer (not contained)</v>
      </c>
      <c r="J3481" s="63">
        <v>136.0</v>
      </c>
      <c r="K3481" s="51" t="s">
        <v>29</v>
      </c>
      <c r="L3481" s="37" t="str">
        <f>VLOOKUP(K3481,'Structure type'!$A$1:$B$15,2,FALSE)</f>
        <v>Manhole</v>
      </c>
      <c r="M3481" s="51" t="s">
        <v>30</v>
      </c>
      <c r="N3481" s="23" t="str">
        <f>VLOOKUP(M3481,'Excursion Cause'!$A$1:$B$34,2,FALSE)</f>
        <v>Grease Blockage</v>
      </c>
      <c r="O3481" s="53">
        <v>45320.0</v>
      </c>
      <c r="P3481" s="54">
        <v>0.5506944444444445</v>
      </c>
      <c r="Q3481" s="55">
        <v>45320.0</v>
      </c>
      <c r="R3481" s="54">
        <v>0.7395833333333334</v>
      </c>
      <c r="S3481" s="52">
        <v>0.0</v>
      </c>
      <c r="T3481" s="51" t="s">
        <v>3749</v>
      </c>
      <c r="U3481" s="56"/>
      <c r="V3481" s="56"/>
      <c r="W3481" s="35">
        <v>29.8064385</v>
      </c>
      <c r="X3481" s="35">
        <v>-95.5517098999999</v>
      </c>
      <c r="AA3481" s="33"/>
      <c r="AB3481" s="33"/>
      <c r="AC3481" s="33"/>
      <c r="AD3481" s="33"/>
      <c r="AE3481" s="33"/>
      <c r="AF3481" s="33"/>
      <c r="AG3481" s="33"/>
      <c r="AH3481" s="33"/>
      <c r="AI3481" s="33"/>
      <c r="AJ3481" s="33"/>
      <c r="AK3481" s="33"/>
      <c r="AL3481" s="33"/>
      <c r="AM3481" s="33"/>
      <c r="AN3481" s="33"/>
      <c r="AO3481" s="33"/>
    </row>
    <row r="3482" ht="15.75" customHeight="1">
      <c r="A3482" s="60">
        <v>57725.0</v>
      </c>
      <c r="B3482" s="61">
        <v>2024.0</v>
      </c>
      <c r="C3482" s="36" t="str">
        <f t="shared" si="7"/>
        <v>1665 ELDRIDGE PKWY,Houston,TX</v>
      </c>
      <c r="D3482" s="51" t="s">
        <v>5283</v>
      </c>
      <c r="E3482" s="23" t="s">
        <v>25</v>
      </c>
      <c r="F3482" s="23" t="s">
        <v>1388</v>
      </c>
      <c r="G3482" s="62" t="str">
        <f t="shared" si="8"/>
        <v>77077</v>
      </c>
      <c r="H3482" s="58" t="s">
        <v>50</v>
      </c>
      <c r="I3482" s="37" t="str">
        <f>VLOOKUP(H3482,'Flow Location'!$A$1:$B$21,2,FALSE)</f>
        <v>Contained On Site, not within 5 ft. of Bayou/Surface Water/Drainage Ditch</v>
      </c>
      <c r="J3482" s="63">
        <v>698.0</v>
      </c>
      <c r="K3482" s="51" t="s">
        <v>51</v>
      </c>
      <c r="L3482" s="37" t="str">
        <f>VLOOKUP(K3482,'Structure type'!$A$1:$B$15,2,FALSE)</f>
        <v>Private Cleanout</v>
      </c>
      <c r="M3482" s="51" t="s">
        <v>81</v>
      </c>
      <c r="N3482" s="23" t="str">
        <f>VLOOKUP(M3482,'Excursion Cause'!$A$1:$B$34,2,FALSE)</f>
        <v>Collection system structural failure</v>
      </c>
      <c r="O3482" s="53">
        <v>45320.0</v>
      </c>
      <c r="P3482" s="54">
        <v>0.6083333333333333</v>
      </c>
      <c r="Q3482" s="55">
        <v>45321.0</v>
      </c>
      <c r="R3482" s="54">
        <v>0.5770833333333333</v>
      </c>
      <c r="S3482" s="52">
        <v>1.0</v>
      </c>
      <c r="T3482" s="51" t="s">
        <v>1391</v>
      </c>
      <c r="U3482" s="56"/>
      <c r="V3482" s="56"/>
      <c r="W3482" s="35">
        <v>29.7527348</v>
      </c>
      <c r="X3482" s="35">
        <v>-95.6249449</v>
      </c>
      <c r="AA3482" s="33"/>
      <c r="AB3482" s="33"/>
      <c r="AC3482" s="33"/>
      <c r="AD3482" s="33"/>
      <c r="AE3482" s="33"/>
      <c r="AF3482" s="33"/>
      <c r="AG3482" s="33"/>
      <c r="AH3482" s="33"/>
      <c r="AI3482" s="33"/>
      <c r="AJ3482" s="33"/>
      <c r="AK3482" s="33"/>
      <c r="AL3482" s="33"/>
      <c r="AM3482" s="33"/>
      <c r="AN3482" s="33"/>
      <c r="AO3482" s="33"/>
    </row>
    <row r="3483" ht="15.75" customHeight="1">
      <c r="A3483" s="60">
        <v>57728.0</v>
      </c>
      <c r="B3483" s="61">
        <v>2024.0</v>
      </c>
      <c r="C3483" s="36" t="str">
        <f t="shared" si="7"/>
        <v>2514 LUCKY ST,Houston,TX</v>
      </c>
      <c r="D3483" s="51" t="s">
        <v>5159</v>
      </c>
      <c r="E3483" s="23" t="s">
        <v>25</v>
      </c>
      <c r="F3483" s="23" t="s">
        <v>1388</v>
      </c>
      <c r="G3483" s="62" t="str">
        <f t="shared" si="8"/>
        <v>77088</v>
      </c>
      <c r="H3483" s="58" t="s">
        <v>50</v>
      </c>
      <c r="I3483" s="37" t="str">
        <f>VLOOKUP(H3483,'Flow Location'!$A$1:$B$21,2,FALSE)</f>
        <v>Contained On Site, not within 5 ft. of Bayou/Surface Water/Drainage Ditch</v>
      </c>
      <c r="J3483" s="63">
        <v>0.0</v>
      </c>
      <c r="K3483" s="51" t="s">
        <v>45</v>
      </c>
      <c r="L3483" s="37" t="str">
        <f>VLOOKUP(K3483,'Structure type'!$A$1:$B$15,2,FALSE)</f>
        <v>City Cleanout</v>
      </c>
      <c r="M3483" s="51" t="s">
        <v>81</v>
      </c>
      <c r="N3483" s="23" t="str">
        <f>VLOOKUP(M3483,'Excursion Cause'!$A$1:$B$34,2,FALSE)</f>
        <v>Collection system structural failure</v>
      </c>
      <c r="O3483" s="53">
        <v>45320.0</v>
      </c>
      <c r="P3483" s="54">
        <v>0.7006944444444444</v>
      </c>
      <c r="Q3483" s="55">
        <v>45320.0</v>
      </c>
      <c r="R3483" s="54">
        <v>0.7013888888888888</v>
      </c>
      <c r="S3483" s="52">
        <v>0.0</v>
      </c>
      <c r="T3483" s="51" t="s">
        <v>1436</v>
      </c>
      <c r="U3483" s="56"/>
      <c r="V3483" s="56"/>
      <c r="W3483" s="35">
        <v>29.8700577</v>
      </c>
      <c r="X3483" s="35">
        <v>-95.4501128</v>
      </c>
      <c r="AA3483" s="33"/>
      <c r="AB3483" s="33"/>
      <c r="AC3483" s="33"/>
      <c r="AD3483" s="33"/>
      <c r="AE3483" s="33"/>
      <c r="AF3483" s="33"/>
      <c r="AG3483" s="33"/>
      <c r="AH3483" s="33"/>
      <c r="AI3483" s="33"/>
      <c r="AJ3483" s="33"/>
      <c r="AK3483" s="33"/>
      <c r="AL3483" s="33"/>
      <c r="AM3483" s="33"/>
      <c r="AN3483" s="33"/>
      <c r="AO3483" s="33"/>
    </row>
    <row r="3484" ht="15.75" customHeight="1">
      <c r="A3484" s="60">
        <v>57729.0</v>
      </c>
      <c r="B3484" s="61">
        <v>2024.0</v>
      </c>
      <c r="C3484" s="36" t="str">
        <f t="shared" si="7"/>
        <v>6 BRIARWOOD CT,Houston,TX</v>
      </c>
      <c r="D3484" s="51" t="s">
        <v>5284</v>
      </c>
      <c r="E3484" s="23" t="s">
        <v>25</v>
      </c>
      <c r="F3484" s="23" t="s">
        <v>1388</v>
      </c>
      <c r="G3484" s="62" t="str">
        <f t="shared" si="8"/>
        <v>77019</v>
      </c>
      <c r="H3484" s="58" t="s">
        <v>50</v>
      </c>
      <c r="I3484" s="37" t="str">
        <f>VLOOKUP(H3484,'Flow Location'!$A$1:$B$21,2,FALSE)</f>
        <v>Contained On Site, not within 5 ft. of Bayou/Surface Water/Drainage Ditch</v>
      </c>
      <c r="J3484" s="63">
        <v>557.0</v>
      </c>
      <c r="K3484" s="51" t="s">
        <v>51</v>
      </c>
      <c r="L3484" s="37" t="str">
        <f>VLOOKUP(K3484,'Structure type'!$A$1:$B$15,2,FALSE)</f>
        <v>Private Cleanout</v>
      </c>
      <c r="M3484" s="51" t="s">
        <v>52</v>
      </c>
      <c r="N3484" s="23" t="str">
        <f>VLOOKUP(M3484,'Excursion Cause'!$A$1:$B$34,2,FALSE)</f>
        <v>Collection system structural blockage</v>
      </c>
      <c r="O3484" s="53">
        <v>45320.0</v>
      </c>
      <c r="P3484" s="54">
        <v>0.7493055555555556</v>
      </c>
      <c r="Q3484" s="55">
        <v>45321.0</v>
      </c>
      <c r="R3484" s="54">
        <v>0.5236111111111111</v>
      </c>
      <c r="S3484" s="52">
        <v>0.0</v>
      </c>
      <c r="T3484" s="51" t="s">
        <v>118</v>
      </c>
      <c r="U3484" s="56"/>
      <c r="V3484" s="56"/>
      <c r="W3484" s="35">
        <v>29.7457942</v>
      </c>
      <c r="X3484" s="35">
        <v>-95.4286724</v>
      </c>
      <c r="AA3484" s="33"/>
      <c r="AB3484" s="33"/>
      <c r="AC3484" s="33"/>
      <c r="AD3484" s="33"/>
      <c r="AE3484" s="33"/>
      <c r="AF3484" s="33"/>
      <c r="AG3484" s="33"/>
      <c r="AH3484" s="33"/>
      <c r="AI3484" s="33"/>
      <c r="AJ3484" s="33"/>
      <c r="AK3484" s="33"/>
      <c r="AL3484" s="33"/>
      <c r="AM3484" s="33"/>
      <c r="AN3484" s="33"/>
      <c r="AO3484" s="33"/>
    </row>
    <row r="3485" ht="15.75" customHeight="1">
      <c r="A3485" s="60">
        <v>57731.0</v>
      </c>
      <c r="B3485" s="61">
        <v>2024.0</v>
      </c>
      <c r="C3485" s="36" t="str">
        <f t="shared" si="7"/>
        <v>10121 GOLDCREST ST,Houston,TX</v>
      </c>
      <c r="D3485" s="51" t="s">
        <v>5285</v>
      </c>
      <c r="E3485" s="23" t="s">
        <v>25</v>
      </c>
      <c r="F3485" s="23" t="s">
        <v>1388</v>
      </c>
      <c r="G3485" s="62" t="str">
        <f t="shared" si="8"/>
        <v>77076</v>
      </c>
      <c r="H3485" s="58" t="s">
        <v>1977</v>
      </c>
      <c r="I3485" s="37" t="str">
        <f>VLOOKUP(H3485,'Flow Location'!$A$1:$B$21,2,FALSE)</f>
        <v>Bayou/surface water/drainage ditch</v>
      </c>
      <c r="J3485" s="63">
        <v>0.0</v>
      </c>
      <c r="K3485" s="51" t="s">
        <v>45</v>
      </c>
      <c r="L3485" s="37" t="str">
        <f>VLOOKUP(K3485,'Structure type'!$A$1:$B$15,2,FALSE)</f>
        <v>City Cleanout</v>
      </c>
      <c r="M3485" s="51" t="s">
        <v>56</v>
      </c>
      <c r="N3485" s="23" t="str">
        <f>VLOOKUP(M3485,'Excursion Cause'!$A$1:$B$34,2,FALSE)</f>
        <v>Rags/Wipes</v>
      </c>
      <c r="O3485" s="53">
        <v>45321.0</v>
      </c>
      <c r="P3485" s="54">
        <v>0.3284722222222222</v>
      </c>
      <c r="Q3485" s="55">
        <v>45321.0</v>
      </c>
      <c r="R3485" s="54">
        <v>0.32916666666666666</v>
      </c>
      <c r="S3485" s="52">
        <v>0.0</v>
      </c>
      <c r="T3485" s="51" t="s">
        <v>3743</v>
      </c>
      <c r="U3485" s="56"/>
      <c r="V3485" s="56"/>
      <c r="W3485" s="35">
        <v>29.8528917999999</v>
      </c>
      <c r="X3485" s="35">
        <v>-95.3638393</v>
      </c>
      <c r="AA3485" s="33"/>
      <c r="AB3485" s="33"/>
      <c r="AC3485" s="33"/>
      <c r="AD3485" s="33"/>
      <c r="AE3485" s="33"/>
      <c r="AF3485" s="33"/>
      <c r="AG3485" s="33"/>
      <c r="AH3485" s="33"/>
      <c r="AI3485" s="33"/>
      <c r="AJ3485" s="33"/>
      <c r="AK3485" s="33"/>
      <c r="AL3485" s="33"/>
      <c r="AM3485" s="33"/>
      <c r="AN3485" s="33"/>
      <c r="AO3485" s="33"/>
    </row>
    <row r="3486" ht="15.75" customHeight="1">
      <c r="A3486" s="60">
        <v>57734.0</v>
      </c>
      <c r="B3486" s="61">
        <v>2024.0</v>
      </c>
      <c r="C3486" s="36" t="str">
        <f t="shared" si="7"/>
        <v>4510 SHARON ST,Houston,TX</v>
      </c>
      <c r="D3486" s="51" t="s">
        <v>5286</v>
      </c>
      <c r="E3486" s="23" t="s">
        <v>25</v>
      </c>
      <c r="F3486" s="23" t="s">
        <v>1388</v>
      </c>
      <c r="G3486" s="62" t="str">
        <f t="shared" si="8"/>
        <v>77020</v>
      </c>
      <c r="H3486" s="58" t="s">
        <v>28</v>
      </c>
      <c r="I3486" s="37" t="str">
        <f>VLOOKUP(H3486,'Flow Location'!$A$1:$B$21,2,FALSE)</f>
        <v>Storm Sewer (not contained)</v>
      </c>
      <c r="J3486" s="63">
        <v>6786.0</v>
      </c>
      <c r="K3486" s="51" t="s">
        <v>45</v>
      </c>
      <c r="L3486" s="37" t="str">
        <f>VLOOKUP(K3486,'Structure type'!$A$1:$B$15,2,FALSE)</f>
        <v>City Cleanout</v>
      </c>
      <c r="M3486" s="51" t="s">
        <v>81</v>
      </c>
      <c r="N3486" s="23" t="str">
        <f>VLOOKUP(M3486,'Excursion Cause'!$A$1:$B$34,2,FALSE)</f>
        <v>Collection system structural failure</v>
      </c>
      <c r="O3486" s="53">
        <v>45321.0</v>
      </c>
      <c r="P3486" s="54">
        <v>0.4111111111111111</v>
      </c>
      <c r="Q3486" s="55">
        <v>45323.0</v>
      </c>
      <c r="R3486" s="54">
        <v>0.7673611111111112</v>
      </c>
      <c r="S3486" s="52">
        <v>2.0</v>
      </c>
      <c r="T3486" s="51" t="s">
        <v>1391</v>
      </c>
      <c r="U3486" s="56"/>
      <c r="V3486" s="56"/>
      <c r="W3486" s="35">
        <v>29.7712873</v>
      </c>
      <c r="X3486" s="35">
        <v>-95.3245934</v>
      </c>
      <c r="AA3486" s="33"/>
      <c r="AB3486" s="33"/>
      <c r="AC3486" s="33"/>
      <c r="AD3486" s="33"/>
      <c r="AE3486" s="33"/>
      <c r="AF3486" s="33"/>
      <c r="AG3486" s="33"/>
      <c r="AH3486" s="33"/>
      <c r="AI3486" s="33"/>
      <c r="AJ3486" s="33"/>
      <c r="AK3486" s="33"/>
      <c r="AL3486" s="33"/>
      <c r="AM3486" s="33"/>
      <c r="AN3486" s="33"/>
      <c r="AO3486" s="33"/>
    </row>
    <row r="3487" ht="15.75" customHeight="1">
      <c r="A3487" s="60">
        <v>57735.0</v>
      </c>
      <c r="B3487" s="61">
        <v>2024.0</v>
      </c>
      <c r="C3487" s="36" t="str">
        <f t="shared" si="7"/>
        <v>1110 ADELE ST,Houston,TX</v>
      </c>
      <c r="D3487" s="51" t="s">
        <v>5287</v>
      </c>
      <c r="E3487" s="23" t="s">
        <v>25</v>
      </c>
      <c r="F3487" s="23" t="s">
        <v>1388</v>
      </c>
      <c r="G3487" s="62" t="str">
        <f t="shared" si="8"/>
        <v>77009</v>
      </c>
      <c r="H3487" s="58" t="s">
        <v>50</v>
      </c>
      <c r="I3487" s="37" t="str">
        <f>VLOOKUP(H3487,'Flow Location'!$A$1:$B$21,2,FALSE)</f>
        <v>Contained On Site, not within 5 ft. of Bayou/Surface Water/Drainage Ditch</v>
      </c>
      <c r="J3487" s="63">
        <v>0.0</v>
      </c>
      <c r="K3487" s="51" t="s">
        <v>45</v>
      </c>
      <c r="L3487" s="37" t="str">
        <f>VLOOKUP(K3487,'Structure type'!$A$1:$B$15,2,FALSE)</f>
        <v>City Cleanout</v>
      </c>
      <c r="M3487" s="51" t="s">
        <v>81</v>
      </c>
      <c r="N3487" s="23" t="str">
        <f>VLOOKUP(M3487,'Excursion Cause'!$A$1:$B$34,2,FALSE)</f>
        <v>Collection system structural failure</v>
      </c>
      <c r="O3487" s="53">
        <v>45321.0</v>
      </c>
      <c r="P3487" s="54">
        <v>0.4166666666666667</v>
      </c>
      <c r="Q3487" s="55">
        <v>45321.0</v>
      </c>
      <c r="R3487" s="54">
        <v>0.4173611111111111</v>
      </c>
      <c r="S3487" s="52">
        <v>0.0</v>
      </c>
      <c r="T3487" s="51" t="s">
        <v>1391</v>
      </c>
      <c r="U3487" s="56"/>
      <c r="V3487" s="56"/>
      <c r="W3487" s="35">
        <v>29.8062340999999</v>
      </c>
      <c r="X3487" s="35">
        <v>-95.3866343</v>
      </c>
      <c r="AA3487" s="33"/>
      <c r="AB3487" s="33"/>
      <c r="AC3487" s="33"/>
      <c r="AD3487" s="33"/>
      <c r="AE3487" s="33"/>
      <c r="AF3487" s="33"/>
      <c r="AG3487" s="33"/>
      <c r="AH3487" s="33"/>
      <c r="AI3487" s="33"/>
      <c r="AJ3487" s="33"/>
      <c r="AK3487" s="33"/>
      <c r="AL3487" s="33"/>
      <c r="AM3487" s="33"/>
      <c r="AN3487" s="33"/>
      <c r="AO3487" s="33"/>
    </row>
    <row r="3488" ht="15.75" customHeight="1">
      <c r="A3488" s="60">
        <v>57736.0</v>
      </c>
      <c r="B3488" s="61">
        <v>2024.0</v>
      </c>
      <c r="C3488" s="36" t="str">
        <f t="shared" si="7"/>
        <v>11910 FLUSHING MEADOWS DR,Houston,TX</v>
      </c>
      <c r="D3488" s="51" t="s">
        <v>5288</v>
      </c>
      <c r="E3488" s="23" t="s">
        <v>25</v>
      </c>
      <c r="F3488" s="23" t="s">
        <v>1388</v>
      </c>
      <c r="G3488" s="62" t="str">
        <f t="shared" si="8"/>
        <v>77089</v>
      </c>
      <c r="H3488" s="58" t="s">
        <v>50</v>
      </c>
      <c r="I3488" s="37" t="str">
        <f>VLOOKUP(H3488,'Flow Location'!$A$1:$B$21,2,FALSE)</f>
        <v>Contained On Site, not within 5 ft. of Bayou/Surface Water/Drainage Ditch</v>
      </c>
      <c r="J3488" s="63">
        <v>0.0</v>
      </c>
      <c r="K3488" s="51" t="s">
        <v>45</v>
      </c>
      <c r="L3488" s="37" t="str">
        <f>VLOOKUP(K3488,'Structure type'!$A$1:$B$15,2,FALSE)</f>
        <v>City Cleanout</v>
      </c>
      <c r="M3488" s="51" t="s">
        <v>81</v>
      </c>
      <c r="N3488" s="23" t="str">
        <f>VLOOKUP(M3488,'Excursion Cause'!$A$1:$B$34,2,FALSE)</f>
        <v>Collection system structural failure</v>
      </c>
      <c r="O3488" s="53">
        <v>45321.0</v>
      </c>
      <c r="P3488" s="54">
        <v>0.4388888888888889</v>
      </c>
      <c r="Q3488" s="55">
        <v>45321.0</v>
      </c>
      <c r="R3488" s="54">
        <v>0.4395833333333333</v>
      </c>
      <c r="S3488" s="52">
        <v>0.0</v>
      </c>
      <c r="T3488" s="51" t="s">
        <v>3745</v>
      </c>
      <c r="U3488" s="56"/>
      <c r="V3488" s="56"/>
      <c r="W3488" s="35">
        <v>29.5928904</v>
      </c>
      <c r="X3488" s="35">
        <v>-95.1957427</v>
      </c>
      <c r="AA3488" s="33"/>
      <c r="AB3488" s="33"/>
      <c r="AC3488" s="33"/>
      <c r="AD3488" s="33"/>
      <c r="AE3488" s="33"/>
      <c r="AF3488" s="33"/>
      <c r="AG3488" s="33"/>
      <c r="AH3488" s="33"/>
      <c r="AI3488" s="33"/>
      <c r="AJ3488" s="33"/>
      <c r="AK3488" s="33"/>
      <c r="AL3488" s="33"/>
      <c r="AM3488" s="33"/>
      <c r="AN3488" s="33"/>
      <c r="AO3488" s="33"/>
    </row>
    <row r="3489" ht="15.75" customHeight="1">
      <c r="A3489" s="60">
        <v>57739.0</v>
      </c>
      <c r="B3489" s="61">
        <v>2024.0</v>
      </c>
      <c r="C3489" s="36" t="str">
        <f t="shared" si="7"/>
        <v>8617 COMAL ST,Houston,TX</v>
      </c>
      <c r="D3489" s="51" t="s">
        <v>5289</v>
      </c>
      <c r="E3489" s="23" t="s">
        <v>25</v>
      </c>
      <c r="F3489" s="23" t="s">
        <v>1388</v>
      </c>
      <c r="G3489" s="62" t="str">
        <f t="shared" si="8"/>
        <v>77051</v>
      </c>
      <c r="H3489" s="58" t="s">
        <v>50</v>
      </c>
      <c r="I3489" s="37" t="str">
        <f>VLOOKUP(H3489,'Flow Location'!$A$1:$B$21,2,FALSE)</f>
        <v>Contained On Site, not within 5 ft. of Bayou/Surface Water/Drainage Ditch</v>
      </c>
      <c r="J3489" s="63">
        <v>0.0</v>
      </c>
      <c r="K3489" s="51" t="s">
        <v>51</v>
      </c>
      <c r="L3489" s="37" t="str">
        <f>VLOOKUP(K3489,'Structure type'!$A$1:$B$15,2,FALSE)</f>
        <v>Private Cleanout</v>
      </c>
      <c r="M3489" s="51" t="s">
        <v>81</v>
      </c>
      <c r="N3489" s="23" t="str">
        <f>VLOOKUP(M3489,'Excursion Cause'!$A$1:$B$34,2,FALSE)</f>
        <v>Collection system structural failure</v>
      </c>
      <c r="O3489" s="53">
        <v>45321.0</v>
      </c>
      <c r="P3489" s="54">
        <v>0.49722222222222223</v>
      </c>
      <c r="Q3489" s="55">
        <v>45321.0</v>
      </c>
      <c r="R3489" s="54">
        <v>0.4979166666666667</v>
      </c>
      <c r="S3489" s="52">
        <v>0.0</v>
      </c>
      <c r="T3489" s="51" t="s">
        <v>3745</v>
      </c>
      <c r="U3489" s="56"/>
      <c r="V3489" s="56"/>
      <c r="W3489" s="35">
        <v>29.6673107</v>
      </c>
      <c r="X3489" s="35">
        <v>-95.3702577999999</v>
      </c>
      <c r="AA3489" s="33"/>
      <c r="AB3489" s="33"/>
      <c r="AC3489" s="33"/>
      <c r="AD3489" s="33"/>
      <c r="AE3489" s="33"/>
      <c r="AF3489" s="33"/>
      <c r="AG3489" s="33"/>
      <c r="AH3489" s="33"/>
      <c r="AI3489" s="33"/>
      <c r="AJ3489" s="33"/>
      <c r="AK3489" s="33"/>
      <c r="AL3489" s="33"/>
      <c r="AM3489" s="33"/>
      <c r="AN3489" s="33"/>
      <c r="AO3489" s="33"/>
    </row>
    <row r="3490" ht="15.75" customHeight="1">
      <c r="A3490" s="60">
        <v>57741.0</v>
      </c>
      <c r="B3490" s="61">
        <v>2024.0</v>
      </c>
      <c r="C3490" s="36" t="str">
        <f t="shared" si="7"/>
        <v>5530 OSPREY DR,Houston,TX</v>
      </c>
      <c r="D3490" s="51" t="s">
        <v>5290</v>
      </c>
      <c r="E3490" s="23" t="s">
        <v>25</v>
      </c>
      <c r="F3490" s="23" t="s">
        <v>1388</v>
      </c>
      <c r="G3490" s="62" t="str">
        <f t="shared" si="8"/>
        <v>77048</v>
      </c>
      <c r="H3490" s="58" t="s">
        <v>50</v>
      </c>
      <c r="I3490" s="37" t="str">
        <f>VLOOKUP(H3490,'Flow Location'!$A$1:$B$21,2,FALSE)</f>
        <v>Contained On Site, not within 5 ft. of Bayou/Surface Water/Drainage Ditch</v>
      </c>
      <c r="J3490" s="63">
        <v>0.0</v>
      </c>
      <c r="K3490" s="51" t="s">
        <v>45</v>
      </c>
      <c r="L3490" s="37" t="str">
        <f>VLOOKUP(K3490,'Structure type'!$A$1:$B$15,2,FALSE)</f>
        <v>City Cleanout</v>
      </c>
      <c r="M3490" s="51" t="s">
        <v>56</v>
      </c>
      <c r="N3490" s="23" t="str">
        <f>VLOOKUP(M3490,'Excursion Cause'!$A$1:$B$34,2,FALSE)</f>
        <v>Rags/Wipes</v>
      </c>
      <c r="O3490" s="53">
        <v>45321.0</v>
      </c>
      <c r="P3490" s="54">
        <v>0.525</v>
      </c>
      <c r="Q3490" s="55">
        <v>45321.0</v>
      </c>
      <c r="R3490" s="54">
        <v>0.5256944444444445</v>
      </c>
      <c r="S3490" s="52">
        <v>0.0</v>
      </c>
      <c r="T3490" s="51" t="s">
        <v>3743</v>
      </c>
      <c r="U3490" s="56"/>
      <c r="V3490" s="56"/>
      <c r="W3490" s="35">
        <v>29.6428457</v>
      </c>
      <c r="X3490" s="35">
        <v>-95.3352817</v>
      </c>
      <c r="AA3490" s="33"/>
      <c r="AB3490" s="33"/>
      <c r="AC3490" s="33"/>
      <c r="AD3490" s="33"/>
      <c r="AE3490" s="33"/>
      <c r="AF3490" s="33"/>
      <c r="AG3490" s="33"/>
      <c r="AH3490" s="33"/>
      <c r="AI3490" s="33"/>
      <c r="AJ3490" s="33"/>
      <c r="AK3490" s="33"/>
      <c r="AL3490" s="33"/>
      <c r="AM3490" s="33"/>
      <c r="AN3490" s="33"/>
      <c r="AO3490" s="33"/>
    </row>
    <row r="3491" ht="15.75" customHeight="1">
      <c r="A3491" s="60">
        <v>57742.0</v>
      </c>
      <c r="B3491" s="61">
        <v>2024.0</v>
      </c>
      <c r="C3491" s="36" t="str">
        <f t="shared" si="7"/>
        <v>122 CROSSTIMBERS ST,Houston,TX</v>
      </c>
      <c r="D3491" s="51" t="s">
        <v>5291</v>
      </c>
      <c r="E3491" s="23" t="s">
        <v>25</v>
      </c>
      <c r="F3491" s="23" t="s">
        <v>1388</v>
      </c>
      <c r="G3491" s="62" t="str">
        <f t="shared" si="8"/>
        <v>77018</v>
      </c>
      <c r="H3491" s="58" t="s">
        <v>50</v>
      </c>
      <c r="I3491" s="37" t="str">
        <f>VLOOKUP(H3491,'Flow Location'!$A$1:$B$21,2,FALSE)</f>
        <v>Contained On Site, not within 5 ft. of Bayou/Surface Water/Drainage Ditch</v>
      </c>
      <c r="J3491" s="63">
        <v>0.0</v>
      </c>
      <c r="K3491" s="51" t="s">
        <v>51</v>
      </c>
      <c r="L3491" s="37" t="str">
        <f>VLOOKUP(K3491,'Structure type'!$A$1:$B$15,2,FALSE)</f>
        <v>Private Cleanout</v>
      </c>
      <c r="M3491" s="51" t="s">
        <v>30</v>
      </c>
      <c r="N3491" s="23" t="str">
        <f>VLOOKUP(M3491,'Excursion Cause'!$A$1:$B$34,2,FALSE)</f>
        <v>Grease Blockage</v>
      </c>
      <c r="O3491" s="53">
        <v>45321.0</v>
      </c>
      <c r="P3491" s="54">
        <v>0.5409722222222222</v>
      </c>
      <c r="Q3491" s="55">
        <v>45321.0</v>
      </c>
      <c r="R3491" s="54">
        <v>0.5416666666666666</v>
      </c>
      <c r="S3491" s="52">
        <v>0.0</v>
      </c>
      <c r="T3491" s="51" t="s">
        <v>3743</v>
      </c>
      <c r="U3491" s="56"/>
      <c r="V3491" s="56"/>
      <c r="W3491" s="35">
        <v>29.8282708</v>
      </c>
      <c r="X3491" s="35">
        <v>-95.4013001</v>
      </c>
      <c r="AA3491" s="33"/>
      <c r="AB3491" s="33"/>
      <c r="AC3491" s="33"/>
      <c r="AD3491" s="33"/>
      <c r="AE3491" s="33"/>
      <c r="AF3491" s="33"/>
      <c r="AG3491" s="33"/>
      <c r="AH3491" s="33"/>
      <c r="AI3491" s="33"/>
      <c r="AJ3491" s="33"/>
      <c r="AK3491" s="33"/>
      <c r="AL3491" s="33"/>
      <c r="AM3491" s="33"/>
      <c r="AN3491" s="33"/>
      <c r="AO3491" s="33"/>
    </row>
    <row r="3492" ht="15.75" customHeight="1">
      <c r="A3492" s="60">
        <v>57743.0</v>
      </c>
      <c r="B3492" s="61">
        <v>2024.0</v>
      </c>
      <c r="C3492" s="36" t="str">
        <f t="shared" si="7"/>
        <v>12706 COULSON ST,Houston,TX</v>
      </c>
      <c r="D3492" s="51" t="s">
        <v>2391</v>
      </c>
      <c r="E3492" s="23" t="s">
        <v>25</v>
      </c>
      <c r="F3492" s="23" t="s">
        <v>1388</v>
      </c>
      <c r="G3492" s="62" t="str">
        <f t="shared" si="8"/>
        <v>77015</v>
      </c>
      <c r="H3492" s="58" t="s">
        <v>50</v>
      </c>
      <c r="I3492" s="37" t="str">
        <f>VLOOKUP(H3492,'Flow Location'!$A$1:$B$21,2,FALSE)</f>
        <v>Contained On Site, not within 5 ft. of Bayou/Surface Water/Drainage Ditch</v>
      </c>
      <c r="J3492" s="63">
        <v>0.0</v>
      </c>
      <c r="K3492" s="51" t="s">
        <v>45</v>
      </c>
      <c r="L3492" s="37" t="str">
        <f>VLOOKUP(K3492,'Structure type'!$A$1:$B$15,2,FALSE)</f>
        <v>City Cleanout</v>
      </c>
      <c r="M3492" s="51" t="s">
        <v>30</v>
      </c>
      <c r="N3492" s="23" t="str">
        <f>VLOOKUP(M3492,'Excursion Cause'!$A$1:$B$34,2,FALSE)</f>
        <v>Grease Blockage</v>
      </c>
      <c r="O3492" s="53">
        <v>45321.0</v>
      </c>
      <c r="P3492" s="54">
        <v>0.6659722222222222</v>
      </c>
      <c r="Q3492" s="55">
        <v>45321.0</v>
      </c>
      <c r="R3492" s="54">
        <v>0.6666666666666666</v>
      </c>
      <c r="S3492" s="52">
        <v>0.0</v>
      </c>
      <c r="T3492" s="51" t="s">
        <v>3743</v>
      </c>
      <c r="U3492" s="56"/>
      <c r="V3492" s="56"/>
      <c r="W3492" s="35">
        <v>29.7625236</v>
      </c>
      <c r="X3492" s="35">
        <v>-95.2082586</v>
      </c>
      <c r="AA3492" s="33"/>
      <c r="AB3492" s="33"/>
      <c r="AC3492" s="33"/>
      <c r="AD3492" s="33"/>
      <c r="AE3492" s="33"/>
      <c r="AF3492" s="33"/>
      <c r="AG3492" s="33"/>
      <c r="AH3492" s="33"/>
      <c r="AI3492" s="33"/>
      <c r="AJ3492" s="33"/>
      <c r="AK3492" s="33"/>
      <c r="AL3492" s="33"/>
      <c r="AM3492" s="33"/>
      <c r="AN3492" s="33"/>
      <c r="AO3492" s="33"/>
    </row>
    <row r="3493" ht="15.75" customHeight="1">
      <c r="A3493" s="60">
        <v>57745.0</v>
      </c>
      <c r="B3493" s="61">
        <v>2024.0</v>
      </c>
      <c r="C3493" s="36" t="str">
        <f t="shared" si="7"/>
        <v>6106 KENILWOOD DR,Houston,TX</v>
      </c>
      <c r="D3493" s="51" t="s">
        <v>5292</v>
      </c>
      <c r="E3493" s="23" t="s">
        <v>25</v>
      </c>
      <c r="F3493" s="23" t="s">
        <v>1388</v>
      </c>
      <c r="G3493" s="62" t="str">
        <f t="shared" si="8"/>
        <v>77033</v>
      </c>
      <c r="H3493" s="58" t="s">
        <v>50</v>
      </c>
      <c r="I3493" s="37" t="str">
        <f>VLOOKUP(H3493,'Flow Location'!$A$1:$B$21,2,FALSE)</f>
        <v>Contained On Site, not within 5 ft. of Bayou/Surface Water/Drainage Ditch</v>
      </c>
      <c r="J3493" s="63">
        <v>0.0</v>
      </c>
      <c r="K3493" s="51" t="s">
        <v>51</v>
      </c>
      <c r="L3493" s="37" t="str">
        <f>VLOOKUP(K3493,'Structure type'!$A$1:$B$15,2,FALSE)</f>
        <v>Private Cleanout</v>
      </c>
      <c r="M3493" s="51" t="s">
        <v>56</v>
      </c>
      <c r="N3493" s="23" t="str">
        <f>VLOOKUP(M3493,'Excursion Cause'!$A$1:$B$34,2,FALSE)</f>
        <v>Rags/Wipes</v>
      </c>
      <c r="O3493" s="53">
        <v>45322.0</v>
      </c>
      <c r="P3493" s="54">
        <v>0.3819444444444444</v>
      </c>
      <c r="Q3493" s="55">
        <v>45322.0</v>
      </c>
      <c r="R3493" s="54">
        <v>0.38263888888888886</v>
      </c>
      <c r="S3493" s="52">
        <v>0.0</v>
      </c>
      <c r="T3493" s="51" t="s">
        <v>3743</v>
      </c>
      <c r="U3493" s="56"/>
      <c r="V3493" s="56"/>
      <c r="W3493" s="35">
        <v>29.669692</v>
      </c>
      <c r="X3493" s="35">
        <v>-95.3234202</v>
      </c>
      <c r="AA3493" s="33"/>
      <c r="AB3493" s="33"/>
      <c r="AC3493" s="33"/>
      <c r="AD3493" s="33"/>
      <c r="AE3493" s="33"/>
      <c r="AF3493" s="33"/>
      <c r="AG3493" s="33"/>
      <c r="AH3493" s="33"/>
      <c r="AI3493" s="33"/>
      <c r="AJ3493" s="33"/>
      <c r="AK3493" s="33"/>
      <c r="AL3493" s="33"/>
      <c r="AM3493" s="33"/>
      <c r="AN3493" s="33"/>
      <c r="AO3493" s="33"/>
    </row>
    <row r="3494" ht="15.75" customHeight="1">
      <c r="A3494" s="60">
        <v>57748.0</v>
      </c>
      <c r="B3494" s="61">
        <v>2024.0</v>
      </c>
      <c r="C3494" s="36" t="str">
        <f t="shared" si="7"/>
        <v>518 ROPER ST,Houston,TX</v>
      </c>
      <c r="D3494" s="51" t="s">
        <v>5293</v>
      </c>
      <c r="E3494" s="23" t="s">
        <v>25</v>
      </c>
      <c r="F3494" s="23" t="s">
        <v>1388</v>
      </c>
      <c r="G3494" s="62" t="str">
        <f t="shared" si="8"/>
        <v>77034</v>
      </c>
      <c r="H3494" s="58" t="s">
        <v>50</v>
      </c>
      <c r="I3494" s="37" t="str">
        <f>VLOOKUP(H3494,'Flow Location'!$A$1:$B$21,2,FALSE)</f>
        <v>Contained On Site, not within 5 ft. of Bayou/Surface Water/Drainage Ditch</v>
      </c>
      <c r="J3494" s="63">
        <v>0.0</v>
      </c>
      <c r="K3494" s="51" t="s">
        <v>45</v>
      </c>
      <c r="L3494" s="37" t="str">
        <f>VLOOKUP(K3494,'Structure type'!$A$1:$B$15,2,FALSE)</f>
        <v>City Cleanout</v>
      </c>
      <c r="M3494" s="51" t="s">
        <v>81</v>
      </c>
      <c r="N3494" s="23" t="str">
        <f>VLOOKUP(M3494,'Excursion Cause'!$A$1:$B$34,2,FALSE)</f>
        <v>Collection system structural failure</v>
      </c>
      <c r="O3494" s="53">
        <v>45322.0</v>
      </c>
      <c r="P3494" s="54">
        <v>0.39375</v>
      </c>
      <c r="Q3494" s="55">
        <v>45322.0</v>
      </c>
      <c r="R3494" s="54">
        <v>0.39444444444444443</v>
      </c>
      <c r="S3494" s="52">
        <v>0.0</v>
      </c>
      <c r="T3494" s="51" t="s">
        <v>118</v>
      </c>
      <c r="U3494" s="56"/>
      <c r="V3494" s="56"/>
      <c r="W3494" s="35">
        <v>29.6483559</v>
      </c>
      <c r="X3494" s="35">
        <v>-95.2253009</v>
      </c>
      <c r="AA3494" s="33"/>
      <c r="AB3494" s="33"/>
      <c r="AC3494" s="33"/>
      <c r="AD3494" s="33"/>
      <c r="AE3494" s="33"/>
      <c r="AF3494" s="33"/>
      <c r="AG3494" s="33"/>
      <c r="AH3494" s="33"/>
      <c r="AI3494" s="33"/>
      <c r="AJ3494" s="33"/>
      <c r="AK3494" s="33"/>
      <c r="AL3494" s="33"/>
      <c r="AM3494" s="33"/>
      <c r="AN3494" s="33"/>
      <c r="AO3494" s="33"/>
    </row>
    <row r="3495" ht="15.75" customHeight="1">
      <c r="A3495" s="60">
        <v>57752.0</v>
      </c>
      <c r="B3495" s="61">
        <v>2024.0</v>
      </c>
      <c r="C3495" s="36" t="str">
        <f t="shared" si="7"/>
        <v>6011 GREEN TERRACE LN,Houston,TX</v>
      </c>
      <c r="D3495" s="51" t="s">
        <v>5294</v>
      </c>
      <c r="E3495" s="23" t="s">
        <v>25</v>
      </c>
      <c r="F3495" s="23" t="s">
        <v>1388</v>
      </c>
      <c r="G3495" s="62" t="str">
        <f t="shared" si="8"/>
        <v>77088</v>
      </c>
      <c r="H3495" s="58" t="s">
        <v>50</v>
      </c>
      <c r="I3495" s="37" t="str">
        <f>VLOOKUP(H3495,'Flow Location'!$A$1:$B$21,2,FALSE)</f>
        <v>Contained On Site, not within 5 ft. of Bayou/Surface Water/Drainage Ditch</v>
      </c>
      <c r="J3495" s="63">
        <v>0.0</v>
      </c>
      <c r="K3495" s="51" t="s">
        <v>45</v>
      </c>
      <c r="L3495" s="37" t="str">
        <f>VLOOKUP(K3495,'Structure type'!$A$1:$B$15,2,FALSE)</f>
        <v>City Cleanout</v>
      </c>
      <c r="M3495" s="51" t="s">
        <v>56</v>
      </c>
      <c r="N3495" s="23" t="str">
        <f>VLOOKUP(M3495,'Excursion Cause'!$A$1:$B$34,2,FALSE)</f>
        <v>Rags/Wipes</v>
      </c>
      <c r="O3495" s="53">
        <v>45322.0</v>
      </c>
      <c r="P3495" s="54">
        <v>0.46319444444444446</v>
      </c>
      <c r="Q3495" s="55">
        <v>45322.0</v>
      </c>
      <c r="R3495" s="54">
        <v>0.4638888888888889</v>
      </c>
      <c r="S3495" s="52">
        <v>0.0</v>
      </c>
      <c r="T3495" s="51" t="s">
        <v>3743</v>
      </c>
      <c r="U3495" s="56"/>
      <c r="V3495" s="56"/>
      <c r="W3495" s="35">
        <v>29.8744023</v>
      </c>
      <c r="X3495" s="35">
        <v>-95.4789485</v>
      </c>
      <c r="AA3495" s="33"/>
      <c r="AB3495" s="33"/>
      <c r="AC3495" s="33"/>
      <c r="AD3495" s="33"/>
      <c r="AE3495" s="33"/>
      <c r="AF3495" s="33"/>
      <c r="AG3495" s="33"/>
      <c r="AH3495" s="33"/>
      <c r="AI3495" s="33"/>
      <c r="AJ3495" s="33"/>
      <c r="AK3495" s="33"/>
      <c r="AL3495" s="33"/>
      <c r="AM3495" s="33"/>
      <c r="AN3495" s="33"/>
      <c r="AO3495" s="33"/>
    </row>
    <row r="3496" ht="15.75" customHeight="1">
      <c r="A3496" s="60">
        <v>57756.0</v>
      </c>
      <c r="B3496" s="61">
        <v>2024.0</v>
      </c>
      <c r="C3496" s="36" t="str">
        <f t="shared" si="7"/>
        <v>12427 HUNTINGTON FIELD DR,Houston,TX</v>
      </c>
      <c r="D3496" s="51" t="s">
        <v>4996</v>
      </c>
      <c r="E3496" s="23" t="s">
        <v>25</v>
      </c>
      <c r="F3496" s="23" t="s">
        <v>1388</v>
      </c>
      <c r="G3496" s="62" t="str">
        <f t="shared" si="8"/>
        <v>77099</v>
      </c>
      <c r="H3496" s="58" t="s">
        <v>1493</v>
      </c>
      <c r="I3496" s="37" t="str">
        <f>VLOOKUP(H3496,'Flow Location'!$A$1:$B$21,2,FALSE)</f>
        <v>Contained On Site, not within 5 ft. of Bayou/Surface Water/Drainage Ditch</v>
      </c>
      <c r="J3496" s="63">
        <v>0.0</v>
      </c>
      <c r="K3496" s="51" t="s">
        <v>45</v>
      </c>
      <c r="L3496" s="37" t="str">
        <f>VLOOKUP(K3496,'Structure type'!$A$1:$B$15,2,FALSE)</f>
        <v>City Cleanout</v>
      </c>
      <c r="M3496" s="51" t="s">
        <v>81</v>
      </c>
      <c r="N3496" s="23" t="str">
        <f>VLOOKUP(M3496,'Excursion Cause'!$A$1:$B$34,2,FALSE)</f>
        <v>Collection system structural failure</v>
      </c>
      <c r="O3496" s="53">
        <v>45322.0</v>
      </c>
      <c r="P3496" s="54">
        <v>0.4861111111111111</v>
      </c>
      <c r="Q3496" s="55">
        <v>45322.0</v>
      </c>
      <c r="R3496" s="54">
        <v>0.48680555555555555</v>
      </c>
      <c r="S3496" s="52">
        <v>0.0</v>
      </c>
      <c r="T3496" s="51" t="s">
        <v>118</v>
      </c>
      <c r="U3496" s="56"/>
      <c r="V3496" s="56"/>
      <c r="W3496" s="35">
        <v>29.6659582</v>
      </c>
      <c r="X3496" s="35">
        <v>-95.6061068</v>
      </c>
      <c r="AA3496" s="33"/>
      <c r="AB3496" s="33"/>
      <c r="AC3496" s="33"/>
      <c r="AD3496" s="33"/>
      <c r="AE3496" s="33"/>
      <c r="AF3496" s="33"/>
      <c r="AG3496" s="33"/>
      <c r="AH3496" s="33"/>
      <c r="AI3496" s="33"/>
      <c r="AJ3496" s="33"/>
      <c r="AK3496" s="33"/>
      <c r="AL3496" s="33"/>
      <c r="AM3496" s="33"/>
      <c r="AN3496" s="33"/>
      <c r="AO3496" s="33"/>
    </row>
    <row r="3497" ht="15.75" customHeight="1">
      <c r="A3497" s="60">
        <v>57757.0</v>
      </c>
      <c r="B3497" s="61">
        <v>2024.0</v>
      </c>
      <c r="C3497" s="36" t="str">
        <f t="shared" si="7"/>
        <v>3802 TUAM ST,Houston,TX</v>
      </c>
      <c r="D3497" s="51" t="s">
        <v>5182</v>
      </c>
      <c r="E3497" s="23" t="s">
        <v>25</v>
      </c>
      <c r="F3497" s="23" t="s">
        <v>1388</v>
      </c>
      <c r="G3497" s="62" t="str">
        <f t="shared" si="8"/>
        <v>77004</v>
      </c>
      <c r="H3497" s="58" t="s">
        <v>50</v>
      </c>
      <c r="I3497" s="37" t="str">
        <f>VLOOKUP(H3497,'Flow Location'!$A$1:$B$21,2,FALSE)</f>
        <v>Contained On Site, not within 5 ft. of Bayou/Surface Water/Drainage Ditch</v>
      </c>
      <c r="J3497" s="63">
        <v>0.0</v>
      </c>
      <c r="K3497" s="51" t="s">
        <v>45</v>
      </c>
      <c r="L3497" s="37" t="str">
        <f>VLOOKUP(K3497,'Structure type'!$A$1:$B$15,2,FALSE)</f>
        <v>City Cleanout</v>
      </c>
      <c r="M3497" s="51" t="s">
        <v>56</v>
      </c>
      <c r="N3497" s="23" t="str">
        <f>VLOOKUP(M3497,'Excursion Cause'!$A$1:$B$34,2,FALSE)</f>
        <v>Rags/Wipes</v>
      </c>
      <c r="O3497" s="53">
        <v>45322.0</v>
      </c>
      <c r="P3497" s="54">
        <v>0.49583333333333335</v>
      </c>
      <c r="Q3497" s="55">
        <v>45322.0</v>
      </c>
      <c r="R3497" s="54">
        <v>0.4965277777777778</v>
      </c>
      <c r="S3497" s="52">
        <v>0.0</v>
      </c>
      <c r="T3497" s="51" t="s">
        <v>1436</v>
      </c>
      <c r="U3497" s="56"/>
      <c r="V3497" s="56"/>
      <c r="W3497" s="35">
        <v>29.7295266</v>
      </c>
      <c r="X3497" s="35">
        <v>-95.3461105</v>
      </c>
      <c r="AA3497" s="33"/>
      <c r="AB3497" s="33"/>
      <c r="AC3497" s="33"/>
      <c r="AD3497" s="33"/>
      <c r="AE3497" s="33"/>
      <c r="AF3497" s="33"/>
      <c r="AG3497" s="33"/>
      <c r="AH3497" s="33"/>
      <c r="AI3497" s="33"/>
      <c r="AJ3497" s="33"/>
      <c r="AK3497" s="33"/>
      <c r="AL3497" s="33"/>
      <c r="AM3497" s="33"/>
      <c r="AN3497" s="33"/>
      <c r="AO3497" s="33"/>
    </row>
    <row r="3498" ht="15.75" customHeight="1">
      <c r="A3498" s="60">
        <v>57761.0</v>
      </c>
      <c r="B3498" s="61">
        <v>2024.0</v>
      </c>
      <c r="C3498" s="36" t="str">
        <f t="shared" si="7"/>
        <v>4002 REGENCY DR,Houston,TX</v>
      </c>
      <c r="D3498" s="51" t="s">
        <v>5295</v>
      </c>
      <c r="E3498" s="23" t="s">
        <v>25</v>
      </c>
      <c r="F3498" s="23" t="s">
        <v>1388</v>
      </c>
      <c r="G3498" s="62" t="str">
        <f t="shared" si="8"/>
        <v>77045</v>
      </c>
      <c r="H3498" s="58" t="s">
        <v>50</v>
      </c>
      <c r="I3498" s="37" t="str">
        <f>VLOOKUP(H3498,'Flow Location'!$A$1:$B$21,2,FALSE)</f>
        <v>Contained On Site, not within 5 ft. of Bayou/Surface Water/Drainage Ditch</v>
      </c>
      <c r="J3498" s="63">
        <v>0.0</v>
      </c>
      <c r="K3498" s="51" t="s">
        <v>29</v>
      </c>
      <c r="L3498" s="37" t="str">
        <f>VLOOKUP(K3498,'Structure type'!$A$1:$B$15,2,FALSE)</f>
        <v>Manhole</v>
      </c>
      <c r="M3498" s="51" t="s">
        <v>81</v>
      </c>
      <c r="N3498" s="23" t="str">
        <f>VLOOKUP(M3498,'Excursion Cause'!$A$1:$B$34,2,FALSE)</f>
        <v>Collection system structural failure</v>
      </c>
      <c r="O3498" s="53">
        <v>45322.0</v>
      </c>
      <c r="P3498" s="54">
        <v>0.5138888888888888</v>
      </c>
      <c r="Q3498" s="55">
        <v>45322.0</v>
      </c>
      <c r="R3498" s="54">
        <v>0.5145833333333333</v>
      </c>
      <c r="S3498" s="52">
        <v>0.0</v>
      </c>
      <c r="T3498" s="51" t="s">
        <v>118</v>
      </c>
      <c r="U3498" s="56"/>
      <c r="V3498" s="56"/>
      <c r="W3498" s="35">
        <v>29.6397117</v>
      </c>
      <c r="X3498" s="35">
        <v>-95.4373878999999</v>
      </c>
      <c r="AA3498" s="33"/>
      <c r="AB3498" s="33"/>
      <c r="AC3498" s="33"/>
      <c r="AD3498" s="33"/>
      <c r="AE3498" s="33"/>
      <c r="AF3498" s="33"/>
      <c r="AG3498" s="33"/>
      <c r="AH3498" s="33"/>
      <c r="AI3498" s="33"/>
      <c r="AJ3498" s="33"/>
      <c r="AK3498" s="33"/>
      <c r="AL3498" s="33"/>
      <c r="AM3498" s="33"/>
      <c r="AN3498" s="33"/>
      <c r="AO3498" s="33"/>
    </row>
    <row r="3499" ht="15.75" customHeight="1">
      <c r="A3499" s="60">
        <v>57762.0</v>
      </c>
      <c r="B3499" s="61">
        <v>2024.0</v>
      </c>
      <c r="C3499" s="36" t="str">
        <f t="shared" si="7"/>
        <v>404 YORK ST,Houston,TX</v>
      </c>
      <c r="D3499" s="51" t="s">
        <v>5296</v>
      </c>
      <c r="E3499" s="23" t="s">
        <v>25</v>
      </c>
      <c r="F3499" s="23" t="s">
        <v>1388</v>
      </c>
      <c r="G3499" s="62" t="str">
        <f t="shared" si="8"/>
        <v>77003</v>
      </c>
      <c r="H3499" s="58" t="s">
        <v>50</v>
      </c>
      <c r="I3499" s="37" t="str">
        <f>VLOOKUP(H3499,'Flow Location'!$A$1:$B$21,2,FALSE)</f>
        <v>Contained On Site, not within 5 ft. of Bayou/Surface Water/Drainage Ditch</v>
      </c>
      <c r="J3499" s="63">
        <v>0.0</v>
      </c>
      <c r="K3499" s="51" t="s">
        <v>29</v>
      </c>
      <c r="L3499" s="37" t="str">
        <f>VLOOKUP(K3499,'Structure type'!$A$1:$B$15,2,FALSE)</f>
        <v>Manhole</v>
      </c>
      <c r="M3499" s="51" t="s">
        <v>81</v>
      </c>
      <c r="N3499" s="23" t="str">
        <f>VLOOKUP(M3499,'Excursion Cause'!$A$1:$B$34,2,FALSE)</f>
        <v>Collection system structural failure</v>
      </c>
      <c r="O3499" s="53">
        <v>45322.0</v>
      </c>
      <c r="P3499" s="54">
        <v>0.5805555555555556</v>
      </c>
      <c r="Q3499" s="55">
        <v>45322.0</v>
      </c>
      <c r="R3499" s="54">
        <v>0.58125</v>
      </c>
      <c r="S3499" s="52">
        <v>0.0</v>
      </c>
      <c r="T3499" s="51" t="s">
        <v>118</v>
      </c>
      <c r="U3499" s="56"/>
      <c r="V3499" s="56"/>
      <c r="W3499" s="35">
        <v>29.7486692</v>
      </c>
      <c r="X3499" s="35">
        <v>-95.3404571999999</v>
      </c>
      <c r="AA3499" s="33"/>
      <c r="AB3499" s="33"/>
      <c r="AC3499" s="33"/>
      <c r="AD3499" s="33"/>
      <c r="AE3499" s="33"/>
      <c r="AF3499" s="33"/>
      <c r="AG3499" s="33"/>
      <c r="AH3499" s="33"/>
      <c r="AI3499" s="33"/>
      <c r="AJ3499" s="33"/>
      <c r="AK3499" s="33"/>
      <c r="AL3499" s="33"/>
      <c r="AM3499" s="33"/>
      <c r="AN3499" s="33"/>
      <c r="AO3499" s="33"/>
    </row>
    <row r="3500" ht="15.75" customHeight="1">
      <c r="A3500" s="60">
        <v>57763.0</v>
      </c>
      <c r="B3500" s="61">
        <v>2024.0</v>
      </c>
      <c r="C3500" s="36" t="str">
        <f t="shared" si="7"/>
        <v>12222 PLUMPOINT DR,Houston,TX</v>
      </c>
      <c r="D3500" s="51" t="s">
        <v>5297</v>
      </c>
      <c r="E3500" s="23" t="s">
        <v>25</v>
      </c>
      <c r="F3500" s="23" t="s">
        <v>1388</v>
      </c>
      <c r="G3500" s="62" t="str">
        <f t="shared" si="8"/>
        <v>77099</v>
      </c>
      <c r="H3500" s="58" t="s">
        <v>1493</v>
      </c>
      <c r="I3500" s="37" t="str">
        <f>VLOOKUP(H3500,'Flow Location'!$A$1:$B$21,2,FALSE)</f>
        <v>Contained On Site, not within 5 ft. of Bayou/Surface Water/Drainage Ditch</v>
      </c>
      <c r="J3500" s="63">
        <v>120.0</v>
      </c>
      <c r="K3500" s="51" t="s">
        <v>45</v>
      </c>
      <c r="L3500" s="37" t="str">
        <f>VLOOKUP(K3500,'Structure type'!$A$1:$B$15,2,FALSE)</f>
        <v>City Cleanout</v>
      </c>
      <c r="M3500" s="51" t="s">
        <v>30</v>
      </c>
      <c r="N3500" s="23" t="str">
        <f>VLOOKUP(M3500,'Excursion Cause'!$A$1:$B$34,2,FALSE)</f>
        <v>Grease Blockage</v>
      </c>
      <c r="O3500" s="53">
        <v>45322.0</v>
      </c>
      <c r="P3500" s="54">
        <v>0.6076388888888888</v>
      </c>
      <c r="Q3500" s="55">
        <v>45323.0</v>
      </c>
      <c r="R3500" s="54">
        <v>0.5104166666666666</v>
      </c>
      <c r="S3500" s="52">
        <v>0.0</v>
      </c>
      <c r="T3500" s="51" t="s">
        <v>5298</v>
      </c>
      <c r="U3500" s="56"/>
      <c r="V3500" s="56"/>
      <c r="W3500" s="35">
        <v>29.6712417</v>
      </c>
      <c r="X3500" s="35">
        <v>-95.5965111</v>
      </c>
      <c r="AA3500" s="33"/>
      <c r="AB3500" s="33"/>
      <c r="AC3500" s="33"/>
      <c r="AD3500" s="33"/>
      <c r="AE3500" s="33"/>
      <c r="AF3500" s="33"/>
      <c r="AG3500" s="33"/>
      <c r="AH3500" s="33"/>
      <c r="AI3500" s="33"/>
      <c r="AJ3500" s="33"/>
      <c r="AK3500" s="33"/>
      <c r="AL3500" s="33"/>
      <c r="AM3500" s="33"/>
      <c r="AN3500" s="33"/>
      <c r="AO3500" s="33"/>
    </row>
    <row r="3501" ht="15.75" customHeight="1">
      <c r="A3501" s="60">
        <v>57764.0</v>
      </c>
      <c r="B3501" s="61">
        <v>2024.0</v>
      </c>
      <c r="C3501" s="36" t="str">
        <f t="shared" si="7"/>
        <v>1511 WIPPRECHT ST,Houston,TX</v>
      </c>
      <c r="D3501" s="51" t="s">
        <v>5299</v>
      </c>
      <c r="E3501" s="23" t="s">
        <v>25</v>
      </c>
      <c r="F3501" s="23" t="s">
        <v>1388</v>
      </c>
      <c r="G3501" s="62" t="str">
        <f t="shared" si="8"/>
        <v>77020</v>
      </c>
      <c r="H3501" s="58" t="s">
        <v>50</v>
      </c>
      <c r="I3501" s="37" t="str">
        <f>VLOOKUP(H3501,'Flow Location'!$A$1:$B$21,2,FALSE)</f>
        <v>Contained On Site, not within 5 ft. of Bayou/Surface Water/Drainage Ditch</v>
      </c>
      <c r="J3501" s="63">
        <v>0.0</v>
      </c>
      <c r="K3501" s="51" t="s">
        <v>45</v>
      </c>
      <c r="L3501" s="37" t="str">
        <f>VLOOKUP(K3501,'Structure type'!$A$1:$B$15,2,FALSE)</f>
        <v>City Cleanout</v>
      </c>
      <c r="M3501" s="51" t="s">
        <v>56</v>
      </c>
      <c r="N3501" s="23" t="str">
        <f>VLOOKUP(M3501,'Excursion Cause'!$A$1:$B$34,2,FALSE)</f>
        <v>Rags/Wipes</v>
      </c>
      <c r="O3501" s="53">
        <v>45322.0</v>
      </c>
      <c r="P3501" s="54">
        <v>0.6</v>
      </c>
      <c r="Q3501" s="55">
        <v>45322.0</v>
      </c>
      <c r="R3501" s="54">
        <v>0.6006944444444444</v>
      </c>
      <c r="S3501" s="52">
        <v>0.0</v>
      </c>
      <c r="T3501" s="51" t="s">
        <v>3743</v>
      </c>
      <c r="U3501" s="56"/>
      <c r="V3501" s="56"/>
      <c r="W3501" s="35">
        <v>29.7759915</v>
      </c>
      <c r="X3501" s="35">
        <v>-95.3220750999999</v>
      </c>
      <c r="AA3501" s="33"/>
      <c r="AB3501" s="33"/>
      <c r="AC3501" s="33"/>
      <c r="AD3501" s="33"/>
      <c r="AE3501" s="33"/>
      <c r="AF3501" s="33"/>
      <c r="AG3501" s="33"/>
      <c r="AH3501" s="33"/>
      <c r="AI3501" s="33"/>
      <c r="AJ3501" s="33"/>
      <c r="AK3501" s="33"/>
      <c r="AL3501" s="33"/>
      <c r="AM3501" s="33"/>
      <c r="AN3501" s="33"/>
      <c r="AO3501" s="33"/>
    </row>
    <row r="3502" ht="15.75" customHeight="1">
      <c r="A3502" s="60">
        <v>57765.0</v>
      </c>
      <c r="B3502" s="61">
        <v>2024.0</v>
      </c>
      <c r="C3502" s="36" t="str">
        <f t="shared" si="7"/>
        <v>4717 GUNTER ST,Houston,TX</v>
      </c>
      <c r="D3502" s="51" t="s">
        <v>5300</v>
      </c>
      <c r="E3502" s="23" t="s">
        <v>25</v>
      </c>
      <c r="F3502" s="23" t="s">
        <v>1388</v>
      </c>
      <c r="G3502" s="62" t="str">
        <f t="shared" si="8"/>
        <v>77020</v>
      </c>
      <c r="H3502" s="58" t="s">
        <v>50</v>
      </c>
      <c r="I3502" s="37" t="str">
        <f>VLOOKUP(H3502,'Flow Location'!$A$1:$B$21,2,FALSE)</f>
        <v>Contained On Site, not within 5 ft. of Bayou/Surface Water/Drainage Ditch</v>
      </c>
      <c r="J3502" s="63">
        <v>0.0</v>
      </c>
      <c r="K3502" s="51" t="s">
        <v>45</v>
      </c>
      <c r="L3502" s="37" t="str">
        <f>VLOOKUP(K3502,'Structure type'!$A$1:$B$15,2,FALSE)</f>
        <v>City Cleanout</v>
      </c>
      <c r="M3502" s="51" t="s">
        <v>56</v>
      </c>
      <c r="N3502" s="23" t="str">
        <f>VLOOKUP(M3502,'Excursion Cause'!$A$1:$B$34,2,FALSE)</f>
        <v>Rags/Wipes</v>
      </c>
      <c r="O3502" s="53">
        <v>45322.0</v>
      </c>
      <c r="P3502" s="54">
        <v>0.6222222222222222</v>
      </c>
      <c r="Q3502" s="55">
        <v>45322.0</v>
      </c>
      <c r="R3502" s="54">
        <v>0.6229166666666667</v>
      </c>
      <c r="S3502" s="52">
        <v>0.0</v>
      </c>
      <c r="T3502" s="51" t="s">
        <v>3743</v>
      </c>
      <c r="U3502" s="56"/>
      <c r="V3502" s="56"/>
      <c r="W3502" s="35">
        <v>29.7688998</v>
      </c>
      <c r="X3502" s="35">
        <v>-95.3224022</v>
      </c>
      <c r="AA3502" s="33"/>
      <c r="AB3502" s="33"/>
      <c r="AC3502" s="33"/>
      <c r="AD3502" s="33"/>
      <c r="AE3502" s="33"/>
      <c r="AF3502" s="33"/>
      <c r="AG3502" s="33"/>
      <c r="AH3502" s="33"/>
      <c r="AI3502" s="33"/>
      <c r="AJ3502" s="33"/>
      <c r="AK3502" s="33"/>
      <c r="AL3502" s="33"/>
      <c r="AM3502" s="33"/>
      <c r="AN3502" s="33"/>
      <c r="AO3502" s="33"/>
    </row>
    <row r="3503" ht="15.75" customHeight="1">
      <c r="A3503" s="60">
        <v>57770.0</v>
      </c>
      <c r="B3503" s="61">
        <v>2024.0</v>
      </c>
      <c r="C3503" s="36" t="str">
        <f t="shared" si="7"/>
        <v>2557 WESTHOLLOW DR,Houston,TX</v>
      </c>
      <c r="D3503" s="51" t="s">
        <v>5301</v>
      </c>
      <c r="E3503" s="23" t="s">
        <v>25</v>
      </c>
      <c r="F3503" s="23" t="s">
        <v>1388</v>
      </c>
      <c r="G3503" s="62" t="str">
        <f t="shared" si="8"/>
        <v>77082</v>
      </c>
      <c r="H3503" s="58" t="s">
        <v>28</v>
      </c>
      <c r="I3503" s="37" t="str">
        <f>VLOOKUP(H3503,'Flow Location'!$A$1:$B$21,2,FALSE)</f>
        <v>Storm Sewer (not contained)</v>
      </c>
      <c r="J3503" s="63">
        <v>1185.0</v>
      </c>
      <c r="K3503" s="51" t="s">
        <v>29</v>
      </c>
      <c r="L3503" s="37" t="str">
        <f>VLOOKUP(K3503,'Structure type'!$A$1:$B$15,2,FALSE)</f>
        <v>Manhole</v>
      </c>
      <c r="M3503" s="51" t="s">
        <v>30</v>
      </c>
      <c r="N3503" s="23" t="str">
        <f>VLOOKUP(M3503,'Excursion Cause'!$A$1:$B$34,2,FALSE)</f>
        <v>Grease Blockage</v>
      </c>
      <c r="O3503" s="53">
        <v>45320.0</v>
      </c>
      <c r="P3503" s="54">
        <v>0.3506944444444444</v>
      </c>
      <c r="Q3503" s="55">
        <v>45320.0</v>
      </c>
      <c r="R3503" s="54">
        <v>0.625</v>
      </c>
      <c r="S3503" s="52">
        <v>3.0</v>
      </c>
      <c r="T3503" s="51" t="s">
        <v>1462</v>
      </c>
      <c r="U3503" s="56"/>
      <c r="V3503" s="56"/>
      <c r="W3503" s="35">
        <v>29.7339327</v>
      </c>
      <c r="X3503" s="35">
        <v>-95.6363377</v>
      </c>
      <c r="AA3503" s="33"/>
      <c r="AB3503" s="33"/>
      <c r="AC3503" s="33"/>
      <c r="AD3503" s="33"/>
      <c r="AE3503" s="33"/>
      <c r="AF3503" s="33"/>
      <c r="AG3503" s="33"/>
      <c r="AH3503" s="33"/>
      <c r="AI3503" s="33"/>
      <c r="AJ3503" s="33"/>
      <c r="AK3503" s="33"/>
      <c r="AL3503" s="33"/>
      <c r="AM3503" s="33"/>
      <c r="AN3503" s="33"/>
      <c r="AO3503" s="33"/>
    </row>
    <row r="3504" ht="15.75" customHeight="1">
      <c r="A3504" s="60">
        <v>57806.0</v>
      </c>
      <c r="B3504" s="61">
        <v>2024.0</v>
      </c>
      <c r="C3504" s="36" t="str">
        <f t="shared" si="7"/>
        <v>4502 SHARON ST,Houston,TX</v>
      </c>
      <c r="D3504" s="64" t="s">
        <v>5198</v>
      </c>
      <c r="E3504" s="23" t="s">
        <v>25</v>
      </c>
      <c r="F3504" s="23" t="s">
        <v>1388</v>
      </c>
      <c r="G3504" s="62" t="str">
        <f t="shared" si="8"/>
        <v>77020</v>
      </c>
      <c r="H3504" s="65"/>
      <c r="I3504" s="56"/>
      <c r="J3504" s="66"/>
      <c r="K3504" s="67"/>
      <c r="L3504" s="56"/>
      <c r="M3504" s="67"/>
      <c r="N3504" s="56"/>
      <c r="O3504" s="53"/>
      <c r="P3504" s="68"/>
      <c r="Q3504" s="69"/>
      <c r="R3504" s="68"/>
      <c r="S3504" s="70"/>
      <c r="T3504" s="67"/>
      <c r="U3504" s="56"/>
      <c r="V3504" s="56"/>
      <c r="W3504" s="71"/>
      <c r="X3504" s="71"/>
      <c r="AA3504" s="33"/>
      <c r="AB3504" s="33"/>
      <c r="AC3504" s="33"/>
      <c r="AD3504" s="33"/>
      <c r="AE3504" s="33"/>
      <c r="AF3504" s="33"/>
      <c r="AG3504" s="33"/>
      <c r="AH3504" s="33"/>
      <c r="AI3504" s="33"/>
      <c r="AJ3504" s="33"/>
      <c r="AK3504" s="33"/>
      <c r="AL3504" s="33"/>
      <c r="AM3504" s="33"/>
      <c r="AN3504" s="33"/>
      <c r="AO3504" s="33"/>
    </row>
    <row r="3505" ht="15.75" customHeight="1">
      <c r="A3505" s="60">
        <v>57967.0</v>
      </c>
      <c r="B3505" s="61">
        <v>2024.0</v>
      </c>
      <c r="C3505" s="36" t="str">
        <f t="shared" si="7"/>
        <v>4502 SHARON ST,Houston,TX</v>
      </c>
      <c r="D3505" s="64" t="s">
        <v>5198</v>
      </c>
      <c r="E3505" s="23" t="s">
        <v>25</v>
      </c>
      <c r="F3505" s="23" t="s">
        <v>1388</v>
      </c>
      <c r="G3505" s="62" t="str">
        <f t="shared" si="8"/>
        <v>77020</v>
      </c>
      <c r="H3505" s="65"/>
      <c r="I3505" s="56"/>
      <c r="J3505" s="66"/>
      <c r="K3505" s="67"/>
      <c r="L3505" s="56"/>
      <c r="M3505" s="67"/>
      <c r="N3505" s="56"/>
      <c r="O3505" s="53"/>
      <c r="P3505" s="68"/>
      <c r="Q3505" s="69"/>
      <c r="R3505" s="68"/>
      <c r="S3505" s="70"/>
      <c r="T3505" s="67"/>
      <c r="U3505" s="56"/>
      <c r="V3505" s="56"/>
      <c r="W3505" s="71"/>
      <c r="X3505" s="71"/>
      <c r="AA3505" s="33"/>
      <c r="AB3505" s="33"/>
      <c r="AC3505" s="33"/>
      <c r="AD3505" s="33"/>
      <c r="AE3505" s="33"/>
      <c r="AF3505" s="33"/>
      <c r="AG3505" s="33"/>
      <c r="AH3505" s="33"/>
      <c r="AI3505" s="33"/>
      <c r="AJ3505" s="33"/>
      <c r="AK3505" s="33"/>
      <c r="AL3505" s="33"/>
      <c r="AM3505" s="33"/>
      <c r="AN3505" s="33"/>
      <c r="AO3505" s="33"/>
    </row>
    <row r="3506" ht="15.75" customHeight="1">
      <c r="A3506" s="60">
        <v>57778.0</v>
      </c>
      <c r="B3506" s="61">
        <v>2024.0</v>
      </c>
      <c r="C3506" s="36" t="str">
        <f t="shared" si="7"/>
        <v>7045 REED RD,Houston,TX</v>
      </c>
      <c r="D3506" s="64" t="s">
        <v>5302</v>
      </c>
      <c r="E3506" s="23" t="s">
        <v>25</v>
      </c>
      <c r="F3506" s="23" t="s">
        <v>1388</v>
      </c>
      <c r="G3506" s="62" t="str">
        <f t="shared" si="8"/>
        <v>77087</v>
      </c>
      <c r="H3506" s="65"/>
      <c r="I3506" s="56"/>
      <c r="J3506" s="66"/>
      <c r="K3506" s="67"/>
      <c r="L3506" s="56"/>
      <c r="M3506" s="67"/>
      <c r="N3506" s="56"/>
      <c r="O3506" s="53"/>
      <c r="P3506" s="68"/>
      <c r="Q3506" s="69"/>
      <c r="R3506" s="68"/>
      <c r="S3506" s="70"/>
      <c r="T3506" s="67"/>
      <c r="U3506" s="56"/>
      <c r="V3506" s="56"/>
      <c r="W3506" s="71"/>
      <c r="X3506" s="71"/>
      <c r="AA3506" s="33"/>
      <c r="AB3506" s="33"/>
      <c r="AC3506" s="33"/>
      <c r="AD3506" s="33"/>
      <c r="AE3506" s="33"/>
      <c r="AF3506" s="33"/>
      <c r="AG3506" s="33"/>
      <c r="AH3506" s="33"/>
      <c r="AI3506" s="33"/>
      <c r="AJ3506" s="33"/>
      <c r="AK3506" s="33"/>
      <c r="AL3506" s="33"/>
      <c r="AM3506" s="33"/>
      <c r="AN3506" s="33"/>
      <c r="AO3506" s="33"/>
    </row>
    <row r="3507" ht="15.75" customHeight="1">
      <c r="A3507" s="60">
        <v>57792.0</v>
      </c>
      <c r="B3507" s="61">
        <v>2024.0</v>
      </c>
      <c r="C3507" s="36" t="str">
        <f t="shared" si="7"/>
        <v>3011 MAIN ST,Houston,TX</v>
      </c>
      <c r="D3507" s="64" t="s">
        <v>5303</v>
      </c>
      <c r="E3507" s="23" t="s">
        <v>25</v>
      </c>
      <c r="F3507" s="23" t="s">
        <v>1388</v>
      </c>
      <c r="G3507" s="62" t="str">
        <f t="shared" si="8"/>
        <v>77002</v>
      </c>
      <c r="H3507" s="65"/>
      <c r="I3507" s="56"/>
      <c r="J3507" s="66"/>
      <c r="K3507" s="67"/>
      <c r="L3507" s="56"/>
      <c r="M3507" s="67"/>
      <c r="N3507" s="56"/>
      <c r="O3507" s="53"/>
      <c r="P3507" s="68"/>
      <c r="Q3507" s="69"/>
      <c r="R3507" s="68"/>
      <c r="S3507" s="70"/>
      <c r="T3507" s="67"/>
      <c r="U3507" s="56"/>
      <c r="V3507" s="56"/>
      <c r="W3507" s="71"/>
      <c r="X3507" s="71"/>
      <c r="AA3507" s="33"/>
      <c r="AB3507" s="33"/>
      <c r="AC3507" s="33"/>
      <c r="AD3507" s="33"/>
      <c r="AE3507" s="33"/>
      <c r="AF3507" s="33"/>
      <c r="AG3507" s="33"/>
      <c r="AH3507" s="33"/>
      <c r="AI3507" s="33"/>
      <c r="AJ3507" s="33"/>
      <c r="AK3507" s="33"/>
      <c r="AL3507" s="33"/>
      <c r="AM3507" s="33"/>
      <c r="AN3507" s="33"/>
      <c r="AO3507" s="33"/>
    </row>
    <row r="3508" ht="15.75" customHeight="1">
      <c r="A3508" s="60">
        <v>57794.0</v>
      </c>
      <c r="B3508" s="61">
        <v>2024.0</v>
      </c>
      <c r="C3508" s="36" t="str">
        <f t="shared" si="7"/>
        <v>5133 MALMEDY RD,Houston,TX</v>
      </c>
      <c r="D3508" s="64" t="s">
        <v>5304</v>
      </c>
      <c r="E3508" s="23" t="s">
        <v>25</v>
      </c>
      <c r="F3508" s="23" t="s">
        <v>1388</v>
      </c>
      <c r="G3508" s="62" t="str">
        <f t="shared" si="8"/>
        <v>77033</v>
      </c>
      <c r="H3508" s="65"/>
      <c r="I3508" s="56"/>
      <c r="J3508" s="66"/>
      <c r="K3508" s="67"/>
      <c r="L3508" s="56"/>
      <c r="M3508" s="67"/>
      <c r="N3508" s="56"/>
      <c r="O3508" s="53"/>
      <c r="P3508" s="68"/>
      <c r="Q3508" s="69"/>
      <c r="R3508" s="68"/>
      <c r="S3508" s="70"/>
      <c r="T3508" s="67"/>
      <c r="U3508" s="56"/>
      <c r="V3508" s="56"/>
      <c r="W3508" s="71"/>
      <c r="X3508" s="71"/>
      <c r="AA3508" s="33"/>
      <c r="AB3508" s="33"/>
      <c r="AC3508" s="33"/>
      <c r="AD3508" s="33"/>
      <c r="AE3508" s="33"/>
      <c r="AF3508" s="33"/>
      <c r="AG3508" s="33"/>
      <c r="AH3508" s="33"/>
      <c r="AI3508" s="33"/>
      <c r="AJ3508" s="33"/>
      <c r="AK3508" s="33"/>
      <c r="AL3508" s="33"/>
      <c r="AM3508" s="33"/>
      <c r="AN3508" s="33"/>
      <c r="AO3508" s="33"/>
    </row>
    <row r="3509" ht="15.75" customHeight="1">
      <c r="A3509" s="60">
        <v>57808.0</v>
      </c>
      <c r="B3509" s="61">
        <v>2024.0</v>
      </c>
      <c r="C3509" s="36" t="str">
        <f t="shared" si="7"/>
        <v>7961 ETHEL ST,Houston,TX</v>
      </c>
      <c r="D3509" s="64" t="s">
        <v>5305</v>
      </c>
      <c r="E3509" s="23" t="s">
        <v>25</v>
      </c>
      <c r="F3509" s="23" t="s">
        <v>1388</v>
      </c>
      <c r="G3509" s="62" t="str">
        <f t="shared" si="8"/>
        <v>77028</v>
      </c>
      <c r="H3509" s="65"/>
      <c r="I3509" s="56"/>
      <c r="J3509" s="66"/>
      <c r="K3509" s="67"/>
      <c r="L3509" s="56"/>
      <c r="M3509" s="67"/>
      <c r="N3509" s="56"/>
      <c r="O3509" s="53"/>
      <c r="P3509" s="68"/>
      <c r="Q3509" s="69"/>
      <c r="R3509" s="68"/>
      <c r="S3509" s="70"/>
      <c r="T3509" s="67"/>
      <c r="U3509" s="56"/>
      <c r="V3509" s="56"/>
      <c r="W3509" s="71"/>
      <c r="X3509" s="71"/>
      <c r="AA3509" s="33"/>
      <c r="AB3509" s="33"/>
      <c r="AC3509" s="33"/>
      <c r="AD3509" s="33"/>
      <c r="AE3509" s="33"/>
      <c r="AF3509" s="33"/>
      <c r="AG3509" s="33"/>
      <c r="AH3509" s="33"/>
      <c r="AI3509" s="33"/>
      <c r="AJ3509" s="33"/>
      <c r="AK3509" s="33"/>
      <c r="AL3509" s="33"/>
      <c r="AM3509" s="33"/>
      <c r="AN3509" s="33"/>
      <c r="AO3509" s="33"/>
    </row>
    <row r="3510" ht="15.75" customHeight="1">
      <c r="A3510" s="60">
        <v>57813.0</v>
      </c>
      <c r="B3510" s="61">
        <v>2024.0</v>
      </c>
      <c r="C3510" s="36" t="str">
        <f t="shared" si="7"/>
        <v>12026 COULSON CIR,Houston,TX</v>
      </c>
      <c r="D3510" s="64" t="s">
        <v>5306</v>
      </c>
      <c r="E3510" s="23" t="s">
        <v>25</v>
      </c>
      <c r="F3510" s="23" t="s">
        <v>1388</v>
      </c>
      <c r="G3510" s="62" t="str">
        <f t="shared" si="8"/>
        <v>77015</v>
      </c>
      <c r="H3510" s="65"/>
      <c r="I3510" s="56"/>
      <c r="J3510" s="66"/>
      <c r="K3510" s="67"/>
      <c r="L3510" s="56"/>
      <c r="M3510" s="67"/>
      <c r="N3510" s="56"/>
      <c r="O3510" s="53"/>
      <c r="P3510" s="68"/>
      <c r="Q3510" s="69"/>
      <c r="R3510" s="68"/>
      <c r="S3510" s="70"/>
      <c r="T3510" s="67"/>
      <c r="U3510" s="56"/>
      <c r="V3510" s="56"/>
      <c r="W3510" s="71"/>
      <c r="X3510" s="71"/>
      <c r="AA3510" s="33"/>
      <c r="AB3510" s="33"/>
      <c r="AC3510" s="33"/>
      <c r="AD3510" s="33"/>
      <c r="AE3510" s="33"/>
      <c r="AF3510" s="33"/>
      <c r="AG3510" s="33"/>
      <c r="AH3510" s="33"/>
      <c r="AI3510" s="33"/>
      <c r="AJ3510" s="33"/>
      <c r="AK3510" s="33"/>
      <c r="AL3510" s="33"/>
      <c r="AM3510" s="33"/>
      <c r="AN3510" s="33"/>
      <c r="AO3510" s="33"/>
    </row>
    <row r="3511" ht="15.75" customHeight="1">
      <c r="A3511" s="60">
        <v>57832.0</v>
      </c>
      <c r="B3511" s="61">
        <v>2024.0</v>
      </c>
      <c r="C3511" s="36" t="str">
        <f t="shared" si="7"/>
        <v>8181 SNOWDEN ST,Houston,TX</v>
      </c>
      <c r="D3511" s="64" t="s">
        <v>5307</v>
      </c>
      <c r="E3511" s="23" t="s">
        <v>25</v>
      </c>
      <c r="F3511" s="23" t="s">
        <v>1388</v>
      </c>
      <c r="G3511" s="62" t="str">
        <f t="shared" si="8"/>
        <v>77028</v>
      </c>
      <c r="H3511" s="65"/>
      <c r="I3511" s="56"/>
      <c r="J3511" s="66"/>
      <c r="K3511" s="67"/>
      <c r="L3511" s="56"/>
      <c r="M3511" s="67"/>
      <c r="N3511" s="56"/>
      <c r="O3511" s="53"/>
      <c r="P3511" s="68"/>
      <c r="Q3511" s="69"/>
      <c r="R3511" s="68"/>
      <c r="S3511" s="70"/>
      <c r="T3511" s="67"/>
      <c r="U3511" s="56"/>
      <c r="V3511" s="56"/>
      <c r="W3511" s="71"/>
      <c r="X3511" s="71"/>
      <c r="AA3511" s="33"/>
      <c r="AB3511" s="33"/>
      <c r="AC3511" s="33"/>
      <c r="AD3511" s="33"/>
      <c r="AE3511" s="33"/>
      <c r="AF3511" s="33"/>
      <c r="AG3511" s="33"/>
      <c r="AH3511" s="33"/>
      <c r="AI3511" s="33"/>
      <c r="AJ3511" s="33"/>
      <c r="AK3511" s="33"/>
      <c r="AL3511" s="33"/>
      <c r="AM3511" s="33"/>
      <c r="AN3511" s="33"/>
      <c r="AO3511" s="33"/>
    </row>
    <row r="3512" ht="15.75" customHeight="1">
      <c r="A3512" s="60">
        <v>57838.0</v>
      </c>
      <c r="B3512" s="61">
        <v>2024.0</v>
      </c>
      <c r="C3512" s="36" t="str">
        <f t="shared" si="7"/>
        <v>3110 CAPLIN ST,Houston,TX</v>
      </c>
      <c r="D3512" s="64" t="s">
        <v>5308</v>
      </c>
      <c r="E3512" s="23" t="s">
        <v>25</v>
      </c>
      <c r="F3512" s="23" t="s">
        <v>1388</v>
      </c>
      <c r="G3512" s="62" t="str">
        <f t="shared" si="8"/>
        <v>77026</v>
      </c>
      <c r="H3512" s="65"/>
      <c r="I3512" s="56"/>
      <c r="J3512" s="66"/>
      <c r="K3512" s="67"/>
      <c r="L3512" s="56"/>
      <c r="M3512" s="67"/>
      <c r="N3512" s="56"/>
      <c r="O3512" s="53"/>
      <c r="P3512" s="68"/>
      <c r="Q3512" s="69"/>
      <c r="R3512" s="68"/>
      <c r="S3512" s="70"/>
      <c r="T3512" s="67"/>
      <c r="U3512" s="56"/>
      <c r="V3512" s="56"/>
      <c r="W3512" s="71"/>
      <c r="X3512" s="71"/>
      <c r="AA3512" s="33"/>
      <c r="AB3512" s="33"/>
      <c r="AC3512" s="33"/>
      <c r="AD3512" s="33"/>
      <c r="AE3512" s="33"/>
      <c r="AF3512" s="33"/>
      <c r="AG3512" s="33"/>
      <c r="AH3512" s="33"/>
      <c r="AI3512" s="33"/>
      <c r="AJ3512" s="33"/>
      <c r="AK3512" s="33"/>
      <c r="AL3512" s="33"/>
      <c r="AM3512" s="33"/>
      <c r="AN3512" s="33"/>
      <c r="AO3512" s="33"/>
    </row>
    <row r="3513" ht="15.75" customHeight="1">
      <c r="A3513" s="60">
        <v>57847.0</v>
      </c>
      <c r="B3513" s="61">
        <v>2024.0</v>
      </c>
      <c r="C3513" s="36" t="str">
        <f t="shared" si="7"/>
        <v>7711 BELGARD ST,Houston,TX</v>
      </c>
      <c r="D3513" s="64" t="s">
        <v>5309</v>
      </c>
      <c r="E3513" s="23" t="s">
        <v>25</v>
      </c>
      <c r="F3513" s="23" t="s">
        <v>1388</v>
      </c>
      <c r="G3513" s="62" t="str">
        <f t="shared" si="8"/>
        <v>77033</v>
      </c>
      <c r="H3513" s="65"/>
      <c r="I3513" s="56"/>
      <c r="J3513" s="66"/>
      <c r="K3513" s="67"/>
      <c r="L3513" s="56"/>
      <c r="M3513" s="67"/>
      <c r="N3513" s="56"/>
      <c r="O3513" s="53"/>
      <c r="P3513" s="68"/>
      <c r="Q3513" s="69"/>
      <c r="R3513" s="68"/>
      <c r="S3513" s="70"/>
      <c r="T3513" s="67"/>
      <c r="U3513" s="56"/>
      <c r="V3513" s="56"/>
      <c r="W3513" s="71"/>
      <c r="X3513" s="71"/>
      <c r="AA3513" s="33"/>
      <c r="AB3513" s="33"/>
      <c r="AC3513" s="33"/>
      <c r="AD3513" s="33"/>
      <c r="AE3513" s="33"/>
      <c r="AF3513" s="33"/>
      <c r="AG3513" s="33"/>
      <c r="AH3513" s="33"/>
      <c r="AI3513" s="33"/>
      <c r="AJ3513" s="33"/>
      <c r="AK3513" s="33"/>
      <c r="AL3513" s="33"/>
      <c r="AM3513" s="33"/>
      <c r="AN3513" s="33"/>
      <c r="AO3513" s="33"/>
    </row>
    <row r="3514" ht="15.75" customHeight="1">
      <c r="A3514" s="60">
        <v>57855.0</v>
      </c>
      <c r="B3514" s="61">
        <v>2024.0</v>
      </c>
      <c r="C3514" s="36" t="str">
        <f t="shared" si="7"/>
        <v>9667 PAGEWOOD LN,Houston,TX</v>
      </c>
      <c r="D3514" s="64" t="s">
        <v>5310</v>
      </c>
      <c r="E3514" s="23" t="s">
        <v>25</v>
      </c>
      <c r="F3514" s="23" t="s">
        <v>1388</v>
      </c>
      <c r="G3514" s="62" t="str">
        <f t="shared" si="8"/>
        <v>77063</v>
      </c>
      <c r="H3514" s="65"/>
      <c r="I3514" s="56"/>
      <c r="J3514" s="66"/>
      <c r="K3514" s="67"/>
      <c r="L3514" s="56"/>
      <c r="M3514" s="67"/>
      <c r="N3514" s="56"/>
      <c r="O3514" s="53"/>
      <c r="P3514" s="68"/>
      <c r="Q3514" s="69"/>
      <c r="R3514" s="68"/>
      <c r="S3514" s="70"/>
      <c r="T3514" s="67"/>
      <c r="U3514" s="56"/>
      <c r="V3514" s="56"/>
      <c r="W3514" s="71"/>
      <c r="X3514" s="71"/>
      <c r="AA3514" s="33"/>
      <c r="AB3514" s="33"/>
      <c r="AC3514" s="33"/>
      <c r="AD3514" s="33"/>
      <c r="AE3514" s="33"/>
      <c r="AF3514" s="33"/>
      <c r="AG3514" s="33"/>
      <c r="AH3514" s="33"/>
      <c r="AI3514" s="33"/>
      <c r="AJ3514" s="33"/>
      <c r="AK3514" s="33"/>
      <c r="AL3514" s="33"/>
      <c r="AM3514" s="33"/>
      <c r="AN3514" s="33"/>
      <c r="AO3514" s="33"/>
    </row>
    <row r="3515" ht="15.75" customHeight="1">
      <c r="A3515" s="60">
        <v>57859.0</v>
      </c>
      <c r="B3515" s="61">
        <v>2024.0</v>
      </c>
      <c r="C3515" s="36" t="str">
        <f t="shared" si="7"/>
        <v>5227 YOAKUM BLVD,Houston,TX</v>
      </c>
      <c r="D3515" s="64" t="s">
        <v>5311</v>
      </c>
      <c r="E3515" s="23" t="s">
        <v>25</v>
      </c>
      <c r="F3515" s="23" t="s">
        <v>1388</v>
      </c>
      <c r="G3515" s="62" t="str">
        <f t="shared" si="8"/>
        <v>77006</v>
      </c>
      <c r="H3515" s="65"/>
      <c r="I3515" s="56"/>
      <c r="J3515" s="66"/>
      <c r="K3515" s="67"/>
      <c r="L3515" s="56"/>
      <c r="M3515" s="67"/>
      <c r="N3515" s="56"/>
      <c r="O3515" s="53"/>
      <c r="P3515" s="68"/>
      <c r="Q3515" s="69"/>
      <c r="R3515" s="68"/>
      <c r="S3515" s="70"/>
      <c r="T3515" s="67"/>
      <c r="U3515" s="56"/>
      <c r="V3515" s="56"/>
      <c r="W3515" s="71"/>
      <c r="X3515" s="71"/>
      <c r="AA3515" s="33"/>
      <c r="AB3515" s="33"/>
      <c r="AC3515" s="33"/>
      <c r="AD3515" s="33"/>
      <c r="AE3515" s="33"/>
      <c r="AF3515" s="33"/>
      <c r="AG3515" s="33"/>
      <c r="AH3515" s="33"/>
      <c r="AI3515" s="33"/>
      <c r="AJ3515" s="33"/>
      <c r="AK3515" s="33"/>
      <c r="AL3515" s="33"/>
      <c r="AM3515" s="33"/>
      <c r="AN3515" s="33"/>
      <c r="AO3515" s="33"/>
    </row>
    <row r="3516" ht="15.75" customHeight="1">
      <c r="A3516" s="60">
        <v>57861.0</v>
      </c>
      <c r="B3516" s="61">
        <v>2024.0</v>
      </c>
      <c r="C3516" s="36" t="str">
        <f t="shared" si="7"/>
        <v>1216 BETHLEHEM ST,Houston,TX</v>
      </c>
      <c r="D3516" s="64" t="s">
        <v>5312</v>
      </c>
      <c r="E3516" s="23" t="s">
        <v>25</v>
      </c>
      <c r="F3516" s="23" t="s">
        <v>1388</v>
      </c>
      <c r="G3516" s="62" t="str">
        <f t="shared" si="8"/>
        <v>77018</v>
      </c>
      <c r="H3516" s="65"/>
      <c r="I3516" s="56"/>
      <c r="J3516" s="66"/>
      <c r="K3516" s="67"/>
      <c r="L3516" s="56"/>
      <c r="M3516" s="67"/>
      <c r="N3516" s="56"/>
      <c r="O3516" s="53"/>
      <c r="P3516" s="68"/>
      <c r="Q3516" s="69"/>
      <c r="R3516" s="68"/>
      <c r="S3516" s="70"/>
      <c r="T3516" s="67"/>
      <c r="U3516" s="56"/>
      <c r="V3516" s="56"/>
      <c r="W3516" s="71"/>
      <c r="X3516" s="71"/>
      <c r="AA3516" s="33"/>
      <c r="AB3516" s="33"/>
      <c r="AC3516" s="33"/>
      <c r="AD3516" s="33"/>
      <c r="AE3516" s="33"/>
      <c r="AF3516" s="33"/>
      <c r="AG3516" s="33"/>
      <c r="AH3516" s="33"/>
      <c r="AI3516" s="33"/>
      <c r="AJ3516" s="33"/>
      <c r="AK3516" s="33"/>
      <c r="AL3516" s="33"/>
      <c r="AM3516" s="33"/>
      <c r="AN3516" s="33"/>
      <c r="AO3516" s="33"/>
    </row>
    <row r="3517" ht="15.75" customHeight="1">
      <c r="A3517" s="60">
        <v>57880.0</v>
      </c>
      <c r="B3517" s="61">
        <v>2024.0</v>
      </c>
      <c r="C3517" s="36" t="str">
        <f t="shared" si="7"/>
        <v>7748 AVENUE E,Houston,TX</v>
      </c>
      <c r="D3517" s="64" t="s">
        <v>5313</v>
      </c>
      <c r="E3517" s="23" t="s">
        <v>25</v>
      </c>
      <c r="F3517" s="23" t="s">
        <v>1388</v>
      </c>
      <c r="G3517" s="62" t="str">
        <f t="shared" si="8"/>
        <v>77012</v>
      </c>
      <c r="H3517" s="65"/>
      <c r="I3517" s="56"/>
      <c r="J3517" s="66"/>
      <c r="K3517" s="67"/>
      <c r="L3517" s="56"/>
      <c r="M3517" s="67"/>
      <c r="N3517" s="56"/>
      <c r="O3517" s="53"/>
      <c r="P3517" s="68"/>
      <c r="Q3517" s="69"/>
      <c r="R3517" s="68"/>
      <c r="S3517" s="70"/>
      <c r="T3517" s="67"/>
      <c r="U3517" s="56"/>
      <c r="V3517" s="56"/>
      <c r="W3517" s="71"/>
      <c r="X3517" s="71"/>
      <c r="AA3517" s="33"/>
      <c r="AB3517" s="33"/>
      <c r="AC3517" s="33"/>
      <c r="AD3517" s="33"/>
      <c r="AE3517" s="33"/>
      <c r="AF3517" s="33"/>
      <c r="AG3517" s="33"/>
      <c r="AH3517" s="33"/>
      <c r="AI3517" s="33"/>
      <c r="AJ3517" s="33"/>
      <c r="AK3517" s="33"/>
      <c r="AL3517" s="33"/>
      <c r="AM3517" s="33"/>
      <c r="AN3517" s="33"/>
      <c r="AO3517" s="33"/>
    </row>
    <row r="3518" ht="15.75" customHeight="1">
      <c r="A3518" s="60">
        <v>57894.0</v>
      </c>
      <c r="B3518" s="61">
        <v>2024.0</v>
      </c>
      <c r="C3518" s="36" t="str">
        <f t="shared" si="7"/>
        <v>1158 BRENFORD DR,Houston,TX</v>
      </c>
      <c r="D3518" s="64" t="s">
        <v>5314</v>
      </c>
      <c r="E3518" s="23" t="s">
        <v>25</v>
      </c>
      <c r="F3518" s="23" t="s">
        <v>1388</v>
      </c>
      <c r="G3518" s="62" t="str">
        <f t="shared" si="8"/>
        <v>77047</v>
      </c>
      <c r="H3518" s="65"/>
      <c r="I3518" s="56"/>
      <c r="J3518" s="66"/>
      <c r="K3518" s="67"/>
      <c r="L3518" s="56"/>
      <c r="M3518" s="67"/>
      <c r="N3518" s="56"/>
      <c r="O3518" s="53"/>
      <c r="P3518" s="68"/>
      <c r="Q3518" s="69"/>
      <c r="R3518" s="68"/>
      <c r="S3518" s="70"/>
      <c r="T3518" s="67"/>
      <c r="U3518" s="56"/>
      <c r="V3518" s="56"/>
      <c r="W3518" s="71"/>
      <c r="X3518" s="71"/>
      <c r="AA3518" s="33"/>
      <c r="AB3518" s="33"/>
      <c r="AC3518" s="33"/>
      <c r="AD3518" s="33"/>
      <c r="AE3518" s="33"/>
      <c r="AF3518" s="33"/>
      <c r="AG3518" s="33"/>
      <c r="AH3518" s="33"/>
      <c r="AI3518" s="33"/>
      <c r="AJ3518" s="33"/>
      <c r="AK3518" s="33"/>
      <c r="AL3518" s="33"/>
      <c r="AM3518" s="33"/>
      <c r="AN3518" s="33"/>
      <c r="AO3518" s="33"/>
    </row>
    <row r="3519" ht="15.75" customHeight="1">
      <c r="A3519" s="60">
        <v>57901.0</v>
      </c>
      <c r="B3519" s="61">
        <v>2024.0</v>
      </c>
      <c r="C3519" s="36" t="str">
        <f t="shared" si="7"/>
        <v>2310 RUTH ST,Houston,TX</v>
      </c>
      <c r="D3519" s="64" t="s">
        <v>5315</v>
      </c>
      <c r="E3519" s="23" t="s">
        <v>25</v>
      </c>
      <c r="F3519" s="23" t="s">
        <v>1388</v>
      </c>
      <c r="G3519" s="62" t="str">
        <f t="shared" si="8"/>
        <v>77004</v>
      </c>
      <c r="H3519" s="65"/>
      <c r="I3519" s="56"/>
      <c r="J3519" s="66"/>
      <c r="K3519" s="67"/>
      <c r="L3519" s="56"/>
      <c r="M3519" s="67"/>
      <c r="N3519" s="56"/>
      <c r="O3519" s="53"/>
      <c r="P3519" s="68"/>
      <c r="Q3519" s="69"/>
      <c r="R3519" s="68"/>
      <c r="S3519" s="70"/>
      <c r="T3519" s="67"/>
      <c r="U3519" s="56"/>
      <c r="V3519" s="56"/>
      <c r="W3519" s="71"/>
      <c r="X3519" s="71"/>
      <c r="AA3519" s="33"/>
      <c r="AB3519" s="33"/>
      <c r="AC3519" s="33"/>
      <c r="AD3519" s="33"/>
      <c r="AE3519" s="33"/>
      <c r="AF3519" s="33"/>
      <c r="AG3519" s="33"/>
      <c r="AH3519" s="33"/>
      <c r="AI3519" s="33"/>
      <c r="AJ3519" s="33"/>
      <c r="AK3519" s="33"/>
      <c r="AL3519" s="33"/>
      <c r="AM3519" s="33"/>
      <c r="AN3519" s="33"/>
      <c r="AO3519" s="33"/>
    </row>
    <row r="3520" ht="15.75" customHeight="1">
      <c r="A3520" s="60">
        <v>57902.0</v>
      </c>
      <c r="B3520" s="61">
        <v>2024.0</v>
      </c>
      <c r="C3520" s="36" t="str">
        <f t="shared" si="7"/>
        <v>5202 CHERRY ST,Houston,TX</v>
      </c>
      <c r="D3520" s="64" t="s">
        <v>5316</v>
      </c>
      <c r="E3520" s="23" t="s">
        <v>25</v>
      </c>
      <c r="F3520" s="23" t="s">
        <v>1388</v>
      </c>
      <c r="G3520" s="62" t="str">
        <f t="shared" si="8"/>
        <v>77026</v>
      </c>
      <c r="H3520" s="65"/>
      <c r="I3520" s="56"/>
      <c r="J3520" s="66"/>
      <c r="K3520" s="67"/>
      <c r="L3520" s="56"/>
      <c r="M3520" s="67"/>
      <c r="N3520" s="56"/>
      <c r="O3520" s="53"/>
      <c r="P3520" s="68"/>
      <c r="Q3520" s="69"/>
      <c r="R3520" s="68"/>
      <c r="S3520" s="70"/>
      <c r="T3520" s="67"/>
      <c r="U3520" s="56"/>
      <c r="V3520" s="56"/>
      <c r="W3520" s="71"/>
      <c r="X3520" s="71"/>
      <c r="AA3520" s="33"/>
      <c r="AB3520" s="33"/>
      <c r="AC3520" s="33"/>
      <c r="AD3520" s="33"/>
      <c r="AE3520" s="33"/>
      <c r="AF3520" s="33"/>
      <c r="AG3520" s="33"/>
      <c r="AH3520" s="33"/>
      <c r="AI3520" s="33"/>
      <c r="AJ3520" s="33"/>
      <c r="AK3520" s="33"/>
      <c r="AL3520" s="33"/>
      <c r="AM3520" s="33"/>
      <c r="AN3520" s="33"/>
      <c r="AO3520" s="33"/>
    </row>
    <row r="3521" ht="15.75" customHeight="1">
      <c r="A3521" s="60">
        <v>57913.0</v>
      </c>
      <c r="B3521" s="61">
        <v>2024.0</v>
      </c>
      <c r="C3521" s="36" t="str">
        <f t="shared" si="7"/>
        <v>707 QUITMAN ST,Houston,TX</v>
      </c>
      <c r="D3521" s="64" t="s">
        <v>3746</v>
      </c>
      <c r="E3521" s="23" t="s">
        <v>25</v>
      </c>
      <c r="F3521" s="23" t="s">
        <v>1388</v>
      </c>
      <c r="G3521" s="62" t="str">
        <f t="shared" si="8"/>
        <v>77009</v>
      </c>
      <c r="H3521" s="65"/>
      <c r="I3521" s="56"/>
      <c r="J3521" s="66"/>
      <c r="K3521" s="67"/>
      <c r="L3521" s="56"/>
      <c r="M3521" s="67"/>
      <c r="N3521" s="56"/>
      <c r="O3521" s="53"/>
      <c r="P3521" s="68"/>
      <c r="Q3521" s="69"/>
      <c r="R3521" s="68"/>
      <c r="S3521" s="70"/>
      <c r="T3521" s="67"/>
      <c r="U3521" s="56"/>
      <c r="V3521" s="56"/>
      <c r="W3521" s="71"/>
      <c r="X3521" s="71"/>
      <c r="AA3521" s="33"/>
      <c r="AB3521" s="33"/>
      <c r="AC3521" s="33"/>
      <c r="AD3521" s="33"/>
      <c r="AE3521" s="33"/>
      <c r="AF3521" s="33"/>
      <c r="AG3521" s="33"/>
      <c r="AH3521" s="33"/>
      <c r="AI3521" s="33"/>
      <c r="AJ3521" s="33"/>
      <c r="AK3521" s="33"/>
      <c r="AL3521" s="33"/>
      <c r="AM3521" s="33"/>
      <c r="AN3521" s="33"/>
      <c r="AO3521" s="33"/>
    </row>
    <row r="3522" ht="15.75" customHeight="1">
      <c r="A3522" s="60">
        <v>57922.0</v>
      </c>
      <c r="B3522" s="61">
        <v>2024.0</v>
      </c>
      <c r="C3522" s="36" t="str">
        <f t="shared" si="7"/>
        <v>5214 CRANE ST,Houston,TX</v>
      </c>
      <c r="D3522" s="64" t="s">
        <v>5317</v>
      </c>
      <c r="E3522" s="23" t="s">
        <v>25</v>
      </c>
      <c r="F3522" s="23" t="s">
        <v>1388</v>
      </c>
      <c r="G3522" s="62" t="str">
        <f t="shared" si="8"/>
        <v>77026</v>
      </c>
      <c r="H3522" s="65"/>
      <c r="I3522" s="56"/>
      <c r="J3522" s="66"/>
      <c r="K3522" s="67"/>
      <c r="L3522" s="56"/>
      <c r="M3522" s="67"/>
      <c r="N3522" s="56"/>
      <c r="O3522" s="53"/>
      <c r="P3522" s="68"/>
      <c r="Q3522" s="69"/>
      <c r="R3522" s="68"/>
      <c r="S3522" s="70"/>
      <c r="T3522" s="67"/>
      <c r="U3522" s="56"/>
      <c r="V3522" s="56"/>
      <c r="W3522" s="71"/>
      <c r="X3522" s="71"/>
      <c r="AA3522" s="33"/>
      <c r="AB3522" s="33"/>
      <c r="AC3522" s="33"/>
      <c r="AD3522" s="33"/>
      <c r="AE3522" s="33"/>
      <c r="AF3522" s="33"/>
      <c r="AG3522" s="33"/>
      <c r="AH3522" s="33"/>
      <c r="AI3522" s="33"/>
      <c r="AJ3522" s="33"/>
      <c r="AK3522" s="33"/>
      <c r="AL3522" s="33"/>
      <c r="AM3522" s="33"/>
      <c r="AN3522" s="33"/>
      <c r="AO3522" s="33"/>
    </row>
    <row r="3523" ht="15.75" customHeight="1">
      <c r="A3523" s="60">
        <v>57936.0</v>
      </c>
      <c r="B3523" s="61">
        <v>2024.0</v>
      </c>
      <c r="C3523" s="36" t="str">
        <f t="shared" si="7"/>
        <v>10121 GOLDCREST ST,Houston,TX</v>
      </c>
      <c r="D3523" s="64" t="s">
        <v>5285</v>
      </c>
      <c r="E3523" s="23" t="s">
        <v>25</v>
      </c>
      <c r="F3523" s="23" t="s">
        <v>1388</v>
      </c>
      <c r="G3523" s="62" t="str">
        <f t="shared" si="8"/>
        <v>77076</v>
      </c>
      <c r="H3523" s="65"/>
      <c r="I3523" s="56"/>
      <c r="J3523" s="66"/>
      <c r="K3523" s="67"/>
      <c r="L3523" s="56"/>
      <c r="M3523" s="67"/>
      <c r="N3523" s="56"/>
      <c r="O3523" s="53"/>
      <c r="P3523" s="68"/>
      <c r="Q3523" s="69"/>
      <c r="R3523" s="68"/>
      <c r="S3523" s="70"/>
      <c r="T3523" s="67"/>
      <c r="U3523" s="56"/>
      <c r="V3523" s="56"/>
      <c r="W3523" s="71"/>
      <c r="X3523" s="71"/>
      <c r="AA3523" s="33"/>
      <c r="AB3523" s="33"/>
      <c r="AC3523" s="33"/>
      <c r="AD3523" s="33"/>
      <c r="AE3523" s="33"/>
      <c r="AF3523" s="33"/>
      <c r="AG3523" s="33"/>
      <c r="AH3523" s="33"/>
      <c r="AI3523" s="33"/>
      <c r="AJ3523" s="33"/>
      <c r="AK3523" s="33"/>
      <c r="AL3523" s="33"/>
      <c r="AM3523" s="33"/>
      <c r="AN3523" s="33"/>
      <c r="AO3523" s="33"/>
    </row>
    <row r="3524" ht="15.75" customHeight="1">
      <c r="A3524" s="60">
        <v>57943.0</v>
      </c>
      <c r="B3524" s="61">
        <v>2024.0</v>
      </c>
      <c r="C3524" s="36" t="str">
        <f t="shared" si="7"/>
        <v>10102 CHICKASAW LN,Houston,TX</v>
      </c>
      <c r="D3524" s="64" t="s">
        <v>5318</v>
      </c>
      <c r="E3524" s="23" t="s">
        <v>25</v>
      </c>
      <c r="F3524" s="23" t="s">
        <v>1388</v>
      </c>
      <c r="G3524" s="62" t="str">
        <f t="shared" si="8"/>
        <v>77041</v>
      </c>
      <c r="H3524" s="65"/>
      <c r="I3524" s="56"/>
      <c r="J3524" s="66"/>
      <c r="K3524" s="67"/>
      <c r="L3524" s="56"/>
      <c r="M3524" s="67"/>
      <c r="N3524" s="56"/>
      <c r="O3524" s="53"/>
      <c r="P3524" s="68"/>
      <c r="Q3524" s="69"/>
      <c r="R3524" s="68"/>
      <c r="S3524" s="70"/>
      <c r="T3524" s="67"/>
      <c r="U3524" s="56"/>
      <c r="V3524" s="56"/>
      <c r="W3524" s="71"/>
      <c r="X3524" s="71"/>
      <c r="AA3524" s="33"/>
      <c r="AB3524" s="33"/>
      <c r="AC3524" s="33"/>
      <c r="AD3524" s="33"/>
      <c r="AE3524" s="33"/>
      <c r="AF3524" s="33"/>
      <c r="AG3524" s="33"/>
      <c r="AH3524" s="33"/>
      <c r="AI3524" s="33"/>
      <c r="AJ3524" s="33"/>
      <c r="AK3524" s="33"/>
      <c r="AL3524" s="33"/>
      <c r="AM3524" s="33"/>
      <c r="AN3524" s="33"/>
      <c r="AO3524" s="33"/>
    </row>
    <row r="3525" ht="15.75" customHeight="1">
      <c r="A3525" s="60">
        <v>57950.0</v>
      </c>
      <c r="B3525" s="61">
        <v>2024.0</v>
      </c>
      <c r="C3525" s="36" t="str">
        <f t="shared" si="7"/>
        <v>2201 LORRAINE ST,Houston,TX</v>
      </c>
      <c r="D3525" s="64" t="s">
        <v>1879</v>
      </c>
      <c r="E3525" s="23" t="s">
        <v>25</v>
      </c>
      <c r="F3525" s="23" t="s">
        <v>1388</v>
      </c>
      <c r="G3525" s="62" t="str">
        <f t="shared" si="8"/>
        <v>77026</v>
      </c>
      <c r="H3525" s="65"/>
      <c r="I3525" s="56"/>
      <c r="J3525" s="66"/>
      <c r="K3525" s="67"/>
      <c r="L3525" s="56"/>
      <c r="M3525" s="67"/>
      <c r="N3525" s="56"/>
      <c r="O3525" s="53"/>
      <c r="P3525" s="68"/>
      <c r="Q3525" s="69"/>
      <c r="R3525" s="68"/>
      <c r="S3525" s="70"/>
      <c r="T3525" s="67"/>
      <c r="U3525" s="56"/>
      <c r="V3525" s="56"/>
      <c r="W3525" s="71"/>
      <c r="X3525" s="71"/>
      <c r="AA3525" s="33"/>
      <c r="AB3525" s="33"/>
      <c r="AC3525" s="33"/>
      <c r="AD3525" s="33"/>
      <c r="AE3525" s="33"/>
      <c r="AF3525" s="33"/>
      <c r="AG3525" s="33"/>
      <c r="AH3525" s="33"/>
      <c r="AI3525" s="33"/>
      <c r="AJ3525" s="33"/>
      <c r="AK3525" s="33"/>
      <c r="AL3525" s="33"/>
      <c r="AM3525" s="33"/>
      <c r="AN3525" s="33"/>
      <c r="AO3525" s="33"/>
    </row>
    <row r="3526" ht="15.75" customHeight="1">
      <c r="A3526" s="60">
        <v>57954.0</v>
      </c>
      <c r="B3526" s="61">
        <v>2024.0</v>
      </c>
      <c r="C3526" s="36" t="str">
        <f t="shared" si="7"/>
        <v>7937 ANGUS ST,Houston,TX</v>
      </c>
      <c r="D3526" s="64" t="s">
        <v>5319</v>
      </c>
      <c r="E3526" s="23" t="s">
        <v>25</v>
      </c>
      <c r="F3526" s="23" t="s">
        <v>1388</v>
      </c>
      <c r="G3526" s="62" t="str">
        <f t="shared" si="8"/>
        <v>77028</v>
      </c>
      <c r="H3526" s="65"/>
      <c r="I3526" s="56"/>
      <c r="J3526" s="66"/>
      <c r="K3526" s="67"/>
      <c r="L3526" s="56"/>
      <c r="M3526" s="67"/>
      <c r="N3526" s="56"/>
      <c r="O3526" s="53"/>
      <c r="P3526" s="68"/>
      <c r="Q3526" s="69"/>
      <c r="R3526" s="68"/>
      <c r="S3526" s="70"/>
      <c r="T3526" s="67"/>
      <c r="U3526" s="56"/>
      <c r="V3526" s="56"/>
      <c r="W3526" s="71"/>
      <c r="X3526" s="71"/>
      <c r="AA3526" s="33"/>
      <c r="AB3526" s="33"/>
      <c r="AC3526" s="33"/>
      <c r="AD3526" s="33"/>
      <c r="AE3526" s="33"/>
      <c r="AF3526" s="33"/>
      <c r="AG3526" s="33"/>
      <c r="AH3526" s="33"/>
      <c r="AI3526" s="33"/>
      <c r="AJ3526" s="33"/>
      <c r="AK3526" s="33"/>
      <c r="AL3526" s="33"/>
      <c r="AM3526" s="33"/>
      <c r="AN3526" s="33"/>
      <c r="AO3526" s="33"/>
    </row>
    <row r="3527" ht="15.75" customHeight="1">
      <c r="A3527" s="60">
        <v>57955.0</v>
      </c>
      <c r="B3527" s="61">
        <v>2024.0</v>
      </c>
      <c r="C3527" s="36" t="str">
        <f t="shared" si="7"/>
        <v>4002 CHARTRES ST,Houston,TX</v>
      </c>
      <c r="D3527" s="64" t="s">
        <v>2235</v>
      </c>
      <c r="E3527" s="23" t="s">
        <v>25</v>
      </c>
      <c r="F3527" s="23" t="s">
        <v>1388</v>
      </c>
      <c r="G3527" s="62" t="str">
        <f t="shared" si="8"/>
        <v>77004</v>
      </c>
      <c r="H3527" s="65"/>
      <c r="I3527" s="56"/>
      <c r="J3527" s="66"/>
      <c r="K3527" s="67"/>
      <c r="L3527" s="56"/>
      <c r="M3527" s="67"/>
      <c r="N3527" s="56"/>
      <c r="O3527" s="53"/>
      <c r="P3527" s="68"/>
      <c r="Q3527" s="69"/>
      <c r="R3527" s="68"/>
      <c r="S3527" s="70"/>
      <c r="T3527" s="67"/>
      <c r="U3527" s="56"/>
      <c r="V3527" s="56"/>
      <c r="W3527" s="71"/>
      <c r="X3527" s="71"/>
      <c r="AA3527" s="33"/>
      <c r="AB3527" s="33"/>
      <c r="AC3527" s="33"/>
      <c r="AD3527" s="33"/>
      <c r="AE3527" s="33"/>
      <c r="AF3527" s="33"/>
      <c r="AG3527" s="33"/>
      <c r="AH3527" s="33"/>
      <c r="AI3527" s="33"/>
      <c r="AJ3527" s="33"/>
      <c r="AK3527" s="33"/>
      <c r="AL3527" s="33"/>
      <c r="AM3527" s="33"/>
      <c r="AN3527" s="33"/>
      <c r="AO3527" s="33"/>
    </row>
    <row r="3528" ht="15.75" customHeight="1">
      <c r="A3528" s="60">
        <v>57956.0</v>
      </c>
      <c r="B3528" s="61">
        <v>2024.0</v>
      </c>
      <c r="C3528" s="36" t="str">
        <f t="shared" si="7"/>
        <v>4125 WOODHAVEN ST,Houston,TX</v>
      </c>
      <c r="D3528" s="64" t="s">
        <v>5240</v>
      </c>
      <c r="E3528" s="23" t="s">
        <v>25</v>
      </c>
      <c r="F3528" s="23" t="s">
        <v>1388</v>
      </c>
      <c r="G3528" s="62" t="str">
        <f t="shared" si="8"/>
        <v>77025</v>
      </c>
      <c r="H3528" s="65"/>
      <c r="I3528" s="56"/>
      <c r="J3528" s="66"/>
      <c r="K3528" s="67"/>
      <c r="L3528" s="56"/>
      <c r="M3528" s="67"/>
      <c r="N3528" s="56"/>
      <c r="O3528" s="53"/>
      <c r="P3528" s="68"/>
      <c r="Q3528" s="69"/>
      <c r="R3528" s="68"/>
      <c r="S3528" s="70"/>
      <c r="T3528" s="67"/>
      <c r="U3528" s="56"/>
      <c r="V3528" s="56"/>
      <c r="W3528" s="71"/>
      <c r="X3528" s="71"/>
      <c r="AA3528" s="33"/>
      <c r="AB3528" s="33"/>
      <c r="AC3528" s="33"/>
      <c r="AD3528" s="33"/>
      <c r="AE3528" s="33"/>
      <c r="AF3528" s="33"/>
      <c r="AG3528" s="33"/>
      <c r="AH3528" s="33"/>
      <c r="AI3528" s="33"/>
      <c r="AJ3528" s="33"/>
      <c r="AK3528" s="33"/>
      <c r="AL3528" s="33"/>
      <c r="AM3528" s="33"/>
      <c r="AN3528" s="33"/>
      <c r="AO3528" s="33"/>
    </row>
    <row r="3529" ht="15.75" customHeight="1">
      <c r="A3529" s="60">
        <v>57961.0</v>
      </c>
      <c r="B3529" s="61">
        <v>2024.0</v>
      </c>
      <c r="C3529" s="36" t="str">
        <f t="shared" si="7"/>
        <v>7618 BELLINGHAM DR,Houston,TX</v>
      </c>
      <c r="D3529" s="64" t="s">
        <v>5320</v>
      </c>
      <c r="E3529" s="23" t="s">
        <v>25</v>
      </c>
      <c r="F3529" s="23" t="s">
        <v>1388</v>
      </c>
      <c r="G3529" s="62" t="str">
        <f t="shared" si="8"/>
        <v>77028</v>
      </c>
      <c r="H3529" s="65"/>
      <c r="I3529" s="56"/>
      <c r="J3529" s="66"/>
      <c r="K3529" s="67"/>
      <c r="L3529" s="56"/>
      <c r="M3529" s="67"/>
      <c r="N3529" s="56"/>
      <c r="O3529" s="53"/>
      <c r="P3529" s="68"/>
      <c r="Q3529" s="69"/>
      <c r="R3529" s="68"/>
      <c r="S3529" s="70"/>
      <c r="T3529" s="67"/>
      <c r="U3529" s="56"/>
      <c r="V3529" s="56"/>
      <c r="W3529" s="71"/>
      <c r="X3529" s="71"/>
      <c r="AA3529" s="33"/>
      <c r="AB3529" s="33"/>
      <c r="AC3529" s="33"/>
      <c r="AD3529" s="33"/>
      <c r="AE3529" s="33"/>
      <c r="AF3529" s="33"/>
      <c r="AG3529" s="33"/>
      <c r="AH3529" s="33"/>
      <c r="AI3529" s="33"/>
      <c r="AJ3529" s="33"/>
      <c r="AK3529" s="33"/>
      <c r="AL3529" s="33"/>
      <c r="AM3529" s="33"/>
      <c r="AN3529" s="33"/>
      <c r="AO3529" s="33"/>
    </row>
    <row r="3530" ht="15.75" customHeight="1">
      <c r="A3530" s="60">
        <v>57988.0</v>
      </c>
      <c r="B3530" s="61">
        <v>2024.0</v>
      </c>
      <c r="C3530" s="36" t="str">
        <f t="shared" si="7"/>
        <v>5922 BENDER RD,Houston,TX</v>
      </c>
      <c r="D3530" s="64" t="s">
        <v>5321</v>
      </c>
      <c r="E3530" s="23" t="s">
        <v>25</v>
      </c>
      <c r="F3530" s="23" t="s">
        <v>1388</v>
      </c>
      <c r="G3530" s="62" t="str">
        <f t="shared" si="8"/>
        <v>77396</v>
      </c>
      <c r="H3530" s="65"/>
      <c r="I3530" s="56"/>
      <c r="J3530" s="66"/>
      <c r="K3530" s="67"/>
      <c r="L3530" s="56"/>
      <c r="M3530" s="67"/>
      <c r="N3530" s="56"/>
      <c r="O3530" s="53"/>
      <c r="P3530" s="68"/>
      <c r="Q3530" s="69"/>
      <c r="R3530" s="68"/>
      <c r="S3530" s="70"/>
      <c r="T3530" s="67"/>
      <c r="U3530" s="56"/>
      <c r="V3530" s="56"/>
      <c r="W3530" s="71"/>
      <c r="X3530" s="71"/>
      <c r="AA3530" s="33"/>
      <c r="AB3530" s="33"/>
      <c r="AC3530" s="33"/>
      <c r="AD3530" s="33"/>
      <c r="AE3530" s="33"/>
      <c r="AF3530" s="33"/>
      <c r="AG3530" s="33"/>
      <c r="AH3530" s="33"/>
      <c r="AI3530" s="33"/>
      <c r="AJ3530" s="33"/>
      <c r="AK3530" s="33"/>
      <c r="AL3530" s="33"/>
      <c r="AM3530" s="33"/>
      <c r="AN3530" s="33"/>
      <c r="AO3530" s="33"/>
    </row>
    <row r="3531" ht="15.75" customHeight="1">
      <c r="A3531" s="60">
        <v>57989.0</v>
      </c>
      <c r="B3531" s="61">
        <v>2024.0</v>
      </c>
      <c r="C3531" s="36" t="str">
        <f t="shared" si="7"/>
        <v>10702 SAGEDOWNE LN,Houston,TX</v>
      </c>
      <c r="D3531" s="64" t="s">
        <v>4140</v>
      </c>
      <c r="E3531" s="23" t="s">
        <v>25</v>
      </c>
      <c r="F3531" s="23" t="s">
        <v>1388</v>
      </c>
      <c r="G3531" s="62" t="str">
        <f t="shared" si="8"/>
        <v>77089</v>
      </c>
      <c r="H3531" s="65"/>
      <c r="I3531" s="56"/>
      <c r="J3531" s="66"/>
      <c r="K3531" s="67"/>
      <c r="L3531" s="56"/>
      <c r="M3531" s="67"/>
      <c r="N3531" s="56"/>
      <c r="O3531" s="53"/>
      <c r="P3531" s="68"/>
      <c r="Q3531" s="69"/>
      <c r="R3531" s="68"/>
      <c r="S3531" s="70"/>
      <c r="T3531" s="67"/>
      <c r="U3531" s="56"/>
      <c r="V3531" s="56"/>
      <c r="W3531" s="71"/>
      <c r="X3531" s="71"/>
      <c r="AA3531" s="33"/>
      <c r="AB3531" s="33"/>
      <c r="AC3531" s="33"/>
      <c r="AD3531" s="33"/>
      <c r="AE3531" s="33"/>
      <c r="AF3531" s="33"/>
      <c r="AG3531" s="33"/>
      <c r="AH3531" s="33"/>
      <c r="AI3531" s="33"/>
      <c r="AJ3531" s="33"/>
      <c r="AK3531" s="33"/>
      <c r="AL3531" s="33"/>
      <c r="AM3531" s="33"/>
      <c r="AN3531" s="33"/>
      <c r="AO3531" s="33"/>
    </row>
    <row r="3532" ht="15.75" customHeight="1">
      <c r="A3532" s="60">
        <v>57992.0</v>
      </c>
      <c r="B3532" s="61">
        <v>2024.0</v>
      </c>
      <c r="C3532" s="36" t="str">
        <f t="shared" si="7"/>
        <v>8807 EMNORA LN,Houston,TX</v>
      </c>
      <c r="D3532" s="64" t="s">
        <v>5322</v>
      </c>
      <c r="E3532" s="23" t="s">
        <v>25</v>
      </c>
      <c r="F3532" s="23" t="s">
        <v>1388</v>
      </c>
      <c r="G3532" s="62" t="str">
        <f t="shared" si="8"/>
        <v>77080</v>
      </c>
      <c r="H3532" s="65"/>
      <c r="I3532" s="56"/>
      <c r="J3532" s="66"/>
      <c r="K3532" s="67"/>
      <c r="L3532" s="56"/>
      <c r="M3532" s="67"/>
      <c r="N3532" s="56"/>
      <c r="O3532" s="53"/>
      <c r="P3532" s="68"/>
      <c r="Q3532" s="69"/>
      <c r="R3532" s="68"/>
      <c r="S3532" s="70"/>
      <c r="T3532" s="67"/>
      <c r="U3532" s="56"/>
      <c r="V3532" s="56"/>
      <c r="W3532" s="71"/>
      <c r="X3532" s="71"/>
      <c r="AA3532" s="33"/>
      <c r="AB3532" s="33"/>
      <c r="AC3532" s="33"/>
      <c r="AD3532" s="33"/>
      <c r="AE3532" s="33"/>
      <c r="AF3532" s="33"/>
      <c r="AG3532" s="33"/>
      <c r="AH3532" s="33"/>
      <c r="AI3532" s="33"/>
      <c r="AJ3532" s="33"/>
      <c r="AK3532" s="33"/>
      <c r="AL3532" s="33"/>
      <c r="AM3532" s="33"/>
      <c r="AN3532" s="33"/>
      <c r="AO3532" s="33"/>
    </row>
    <row r="3533" ht="15.75" customHeight="1">
      <c r="A3533" s="60">
        <v>57996.0</v>
      </c>
      <c r="B3533" s="61">
        <v>2024.0</v>
      </c>
      <c r="C3533" s="36" t="str">
        <f t="shared" si="7"/>
        <v>6125 HILLCROFT AVE,Houston,TX</v>
      </c>
      <c r="D3533" s="64" t="s">
        <v>5110</v>
      </c>
      <c r="E3533" s="23" t="s">
        <v>25</v>
      </c>
      <c r="F3533" s="23" t="s">
        <v>1388</v>
      </c>
      <c r="G3533" s="62" t="str">
        <f t="shared" si="8"/>
        <v>77081</v>
      </c>
      <c r="H3533" s="65"/>
      <c r="I3533" s="56"/>
      <c r="J3533" s="66"/>
      <c r="K3533" s="67"/>
      <c r="L3533" s="56"/>
      <c r="M3533" s="67"/>
      <c r="N3533" s="56"/>
      <c r="O3533" s="53"/>
      <c r="P3533" s="68"/>
      <c r="Q3533" s="69"/>
      <c r="R3533" s="68"/>
      <c r="S3533" s="70"/>
      <c r="T3533" s="67"/>
      <c r="U3533" s="56"/>
      <c r="V3533" s="56"/>
      <c r="W3533" s="71"/>
      <c r="X3533" s="71"/>
      <c r="AA3533" s="33"/>
      <c r="AB3533" s="33"/>
      <c r="AC3533" s="33"/>
      <c r="AD3533" s="33"/>
      <c r="AE3533" s="33"/>
      <c r="AF3533" s="33"/>
      <c r="AG3533" s="33"/>
      <c r="AH3533" s="33"/>
      <c r="AI3533" s="33"/>
      <c r="AJ3533" s="33"/>
      <c r="AK3533" s="33"/>
      <c r="AL3533" s="33"/>
      <c r="AM3533" s="33"/>
      <c r="AN3533" s="33"/>
      <c r="AO3533" s="33"/>
    </row>
    <row r="3534" ht="15.75" customHeight="1">
      <c r="A3534" s="60">
        <v>58009.0</v>
      </c>
      <c r="B3534" s="61">
        <v>2024.0</v>
      </c>
      <c r="C3534" s="36" t="str">
        <f t="shared" si="7"/>
        <v>2933 KIRK ST,Houston,TX</v>
      </c>
      <c r="D3534" s="64" t="s">
        <v>2375</v>
      </c>
      <c r="E3534" s="23" t="s">
        <v>25</v>
      </c>
      <c r="F3534" s="23" t="s">
        <v>1388</v>
      </c>
      <c r="G3534" s="62" t="str">
        <f t="shared" si="8"/>
        <v>77026</v>
      </c>
      <c r="H3534" s="65"/>
      <c r="I3534" s="56"/>
      <c r="J3534" s="66"/>
      <c r="K3534" s="67"/>
      <c r="L3534" s="56"/>
      <c r="M3534" s="67"/>
      <c r="N3534" s="56"/>
      <c r="O3534" s="53"/>
      <c r="P3534" s="68"/>
      <c r="Q3534" s="69"/>
      <c r="R3534" s="68"/>
      <c r="S3534" s="70"/>
      <c r="T3534" s="67"/>
      <c r="U3534" s="56"/>
      <c r="V3534" s="56"/>
      <c r="W3534" s="71"/>
      <c r="X3534" s="71"/>
      <c r="AA3534" s="33"/>
      <c r="AB3534" s="33"/>
      <c r="AC3534" s="33"/>
      <c r="AD3534" s="33"/>
      <c r="AE3534" s="33"/>
      <c r="AF3534" s="33"/>
      <c r="AG3534" s="33"/>
      <c r="AH3534" s="33"/>
      <c r="AI3534" s="33"/>
      <c r="AJ3534" s="33"/>
      <c r="AK3534" s="33"/>
      <c r="AL3534" s="33"/>
      <c r="AM3534" s="33"/>
      <c r="AN3534" s="33"/>
      <c r="AO3534" s="33"/>
    </row>
    <row r="3535" ht="15.75" customHeight="1">
      <c r="A3535" s="60">
        <v>58016.0</v>
      </c>
      <c r="B3535" s="61">
        <v>2024.0</v>
      </c>
      <c r="C3535" s="36" t="str">
        <f t="shared" si="7"/>
        <v>6183 LYNDHURST DR,Houston,TX</v>
      </c>
      <c r="D3535" s="64" t="s">
        <v>5323</v>
      </c>
      <c r="E3535" s="23" t="s">
        <v>25</v>
      </c>
      <c r="F3535" s="23" t="s">
        <v>1388</v>
      </c>
      <c r="G3535" s="62" t="str">
        <f t="shared" si="8"/>
        <v>77033</v>
      </c>
      <c r="H3535" s="65"/>
      <c r="I3535" s="56"/>
      <c r="J3535" s="66"/>
      <c r="K3535" s="67"/>
      <c r="L3535" s="56"/>
      <c r="M3535" s="67"/>
      <c r="N3535" s="56"/>
      <c r="O3535" s="53"/>
      <c r="P3535" s="68"/>
      <c r="Q3535" s="69"/>
      <c r="R3535" s="68"/>
      <c r="S3535" s="70"/>
      <c r="T3535" s="67"/>
      <c r="U3535" s="56"/>
      <c r="V3535" s="56"/>
      <c r="W3535" s="71"/>
      <c r="X3535" s="71"/>
      <c r="AA3535" s="33"/>
      <c r="AB3535" s="33"/>
      <c r="AC3535" s="33"/>
      <c r="AD3535" s="33"/>
      <c r="AE3535" s="33"/>
      <c r="AF3535" s="33"/>
      <c r="AG3535" s="33"/>
      <c r="AH3535" s="33"/>
      <c r="AI3535" s="33"/>
      <c r="AJ3535" s="33"/>
      <c r="AK3535" s="33"/>
      <c r="AL3535" s="33"/>
      <c r="AM3535" s="33"/>
      <c r="AN3535" s="33"/>
      <c r="AO3535" s="33"/>
    </row>
    <row r="3536" ht="15.75" customHeight="1">
      <c r="A3536" s="60">
        <v>58018.0</v>
      </c>
      <c r="B3536" s="61">
        <v>2024.0</v>
      </c>
      <c r="C3536" s="36" t="str">
        <f t="shared" si="7"/>
        <v>10511 EASTEX FWY,Houston,TX</v>
      </c>
      <c r="D3536" s="64" t="s">
        <v>5324</v>
      </c>
      <c r="E3536" s="23" t="s">
        <v>25</v>
      </c>
      <c r="F3536" s="23" t="s">
        <v>1388</v>
      </c>
      <c r="G3536" s="62" t="str">
        <f t="shared" si="8"/>
        <v>77093</v>
      </c>
      <c r="H3536" s="65"/>
      <c r="I3536" s="56"/>
      <c r="J3536" s="66"/>
      <c r="K3536" s="67"/>
      <c r="L3536" s="56"/>
      <c r="M3536" s="67"/>
      <c r="N3536" s="56"/>
      <c r="O3536" s="53"/>
      <c r="P3536" s="68"/>
      <c r="Q3536" s="69"/>
      <c r="R3536" s="68"/>
      <c r="S3536" s="70"/>
      <c r="T3536" s="67"/>
      <c r="U3536" s="56"/>
      <c r="V3536" s="56"/>
      <c r="W3536" s="71"/>
      <c r="X3536" s="71"/>
      <c r="AA3536" s="33"/>
      <c r="AB3536" s="33"/>
      <c r="AC3536" s="33"/>
      <c r="AD3536" s="33"/>
      <c r="AE3536" s="33"/>
      <c r="AF3536" s="33"/>
      <c r="AG3536" s="33"/>
      <c r="AH3536" s="33"/>
      <c r="AI3536" s="33"/>
      <c r="AJ3536" s="33"/>
      <c r="AK3536" s="33"/>
      <c r="AL3536" s="33"/>
      <c r="AM3536" s="33"/>
      <c r="AN3536" s="33"/>
      <c r="AO3536" s="33"/>
    </row>
    <row r="3537" ht="15.75" customHeight="1">
      <c r="A3537" s="60">
        <v>58019.0</v>
      </c>
      <c r="B3537" s="61">
        <v>2024.0</v>
      </c>
      <c r="C3537" s="36" t="str">
        <f t="shared" si="7"/>
        <v>2419 PANNELL ST,Houston,TX</v>
      </c>
      <c r="D3537" s="64" t="s">
        <v>5325</v>
      </c>
      <c r="E3537" s="23" t="s">
        <v>25</v>
      </c>
      <c r="F3537" s="23" t="s">
        <v>1388</v>
      </c>
      <c r="G3537" s="62" t="str">
        <f t="shared" si="8"/>
        <v>77026</v>
      </c>
      <c r="H3537" s="65"/>
      <c r="I3537" s="56"/>
      <c r="J3537" s="66"/>
      <c r="K3537" s="67"/>
      <c r="L3537" s="56"/>
      <c r="M3537" s="67"/>
      <c r="N3537" s="56"/>
      <c r="O3537" s="53"/>
      <c r="P3537" s="68"/>
      <c r="Q3537" s="69"/>
      <c r="R3537" s="68"/>
      <c r="S3537" s="70"/>
      <c r="T3537" s="67"/>
      <c r="U3537" s="56"/>
      <c r="V3537" s="56"/>
      <c r="W3537" s="71"/>
      <c r="X3537" s="71"/>
      <c r="AA3537" s="33"/>
      <c r="AB3537" s="33"/>
      <c r="AC3537" s="33"/>
      <c r="AD3537" s="33"/>
      <c r="AE3537" s="33"/>
      <c r="AF3537" s="33"/>
      <c r="AG3537" s="33"/>
      <c r="AH3537" s="33"/>
      <c r="AI3537" s="33"/>
      <c r="AJ3537" s="33"/>
      <c r="AK3537" s="33"/>
      <c r="AL3537" s="33"/>
      <c r="AM3537" s="33"/>
      <c r="AN3537" s="33"/>
      <c r="AO3537" s="33"/>
    </row>
    <row r="3538" ht="15.75" customHeight="1">
      <c r="A3538" s="60">
        <v>58020.0</v>
      </c>
      <c r="B3538" s="61">
        <v>2024.0</v>
      </c>
      <c r="C3538" s="36" t="str">
        <f t="shared" si="7"/>
        <v>2802 BRINGHURST ST,Houston,TX</v>
      </c>
      <c r="D3538" s="64" t="s">
        <v>5326</v>
      </c>
      <c r="E3538" s="23" t="s">
        <v>25</v>
      </c>
      <c r="F3538" s="23" t="s">
        <v>1388</v>
      </c>
      <c r="G3538" s="62" t="str">
        <f t="shared" si="8"/>
        <v>77026</v>
      </c>
      <c r="H3538" s="65"/>
      <c r="I3538" s="56"/>
      <c r="J3538" s="66"/>
      <c r="K3538" s="67"/>
      <c r="L3538" s="56"/>
      <c r="M3538" s="67"/>
      <c r="N3538" s="56"/>
      <c r="O3538" s="53"/>
      <c r="P3538" s="68"/>
      <c r="Q3538" s="69"/>
      <c r="R3538" s="68"/>
      <c r="S3538" s="70"/>
      <c r="T3538" s="67"/>
      <c r="U3538" s="56"/>
      <c r="V3538" s="56"/>
      <c r="W3538" s="71"/>
      <c r="X3538" s="71"/>
      <c r="AA3538" s="33"/>
      <c r="AB3538" s="33"/>
      <c r="AC3538" s="33"/>
      <c r="AD3538" s="33"/>
      <c r="AE3538" s="33"/>
      <c r="AF3538" s="33"/>
      <c r="AG3538" s="33"/>
      <c r="AH3538" s="33"/>
      <c r="AI3538" s="33"/>
      <c r="AJ3538" s="33"/>
      <c r="AK3538" s="33"/>
      <c r="AL3538" s="33"/>
      <c r="AM3538" s="33"/>
      <c r="AN3538" s="33"/>
      <c r="AO3538" s="33"/>
    </row>
    <row r="3539" ht="15.75" customHeight="1">
      <c r="A3539" s="60">
        <v>58024.0</v>
      </c>
      <c r="B3539" s="61">
        <v>2024.0</v>
      </c>
      <c r="C3539" s="36" t="str">
        <f t="shared" si="7"/>
        <v>2345 BERRY RD,Houston,TX</v>
      </c>
      <c r="D3539" s="64" t="s">
        <v>5327</v>
      </c>
      <c r="E3539" s="23" t="s">
        <v>25</v>
      </c>
      <c r="F3539" s="23" t="s">
        <v>1388</v>
      </c>
      <c r="G3539" s="62" t="str">
        <f t="shared" si="8"/>
        <v>77093</v>
      </c>
      <c r="H3539" s="65"/>
      <c r="I3539" s="56"/>
      <c r="J3539" s="66"/>
      <c r="K3539" s="67"/>
      <c r="L3539" s="56"/>
      <c r="M3539" s="67"/>
      <c r="N3539" s="56"/>
      <c r="O3539" s="53"/>
      <c r="P3539" s="68"/>
      <c r="Q3539" s="69"/>
      <c r="R3539" s="68"/>
      <c r="S3539" s="70"/>
      <c r="T3539" s="67"/>
      <c r="U3539" s="56"/>
      <c r="V3539" s="56"/>
      <c r="W3539" s="71"/>
      <c r="X3539" s="71"/>
      <c r="AA3539" s="33"/>
      <c r="AB3539" s="33"/>
      <c r="AC3539" s="33"/>
      <c r="AD3539" s="33"/>
      <c r="AE3539" s="33"/>
      <c r="AF3539" s="33"/>
      <c r="AG3539" s="33"/>
      <c r="AH3539" s="33"/>
      <c r="AI3539" s="33"/>
      <c r="AJ3539" s="33"/>
      <c r="AK3539" s="33"/>
      <c r="AL3539" s="33"/>
      <c r="AM3539" s="33"/>
      <c r="AN3539" s="33"/>
      <c r="AO3539" s="33"/>
    </row>
    <row r="3540" ht="15.75" customHeight="1">
      <c r="A3540" s="60">
        <v>58034.0</v>
      </c>
      <c r="B3540" s="61">
        <v>2024.0</v>
      </c>
      <c r="C3540" s="36" t="str">
        <f t="shared" si="7"/>
        <v>9213 HAMMERLY BLVD,Houston,TX</v>
      </c>
      <c r="D3540" s="64" t="s">
        <v>5328</v>
      </c>
      <c r="E3540" s="23" t="s">
        <v>25</v>
      </c>
      <c r="F3540" s="23" t="s">
        <v>1388</v>
      </c>
      <c r="G3540" s="62" t="str">
        <f t="shared" si="8"/>
        <v>77080</v>
      </c>
      <c r="H3540" s="65"/>
      <c r="I3540" s="56"/>
      <c r="J3540" s="66"/>
      <c r="K3540" s="67"/>
      <c r="L3540" s="56"/>
      <c r="M3540" s="67"/>
      <c r="N3540" s="56"/>
      <c r="O3540" s="53"/>
      <c r="P3540" s="68"/>
      <c r="Q3540" s="69"/>
      <c r="R3540" s="68"/>
      <c r="S3540" s="70"/>
      <c r="T3540" s="67"/>
      <c r="U3540" s="56"/>
      <c r="V3540" s="56"/>
      <c r="W3540" s="71"/>
      <c r="X3540" s="71"/>
      <c r="AA3540" s="33"/>
      <c r="AB3540" s="33"/>
      <c r="AC3540" s="33"/>
      <c r="AD3540" s="33"/>
      <c r="AE3540" s="33"/>
      <c r="AF3540" s="33"/>
      <c r="AG3540" s="33"/>
      <c r="AH3540" s="33"/>
      <c r="AI3540" s="33"/>
      <c r="AJ3540" s="33"/>
      <c r="AK3540" s="33"/>
      <c r="AL3540" s="33"/>
      <c r="AM3540" s="33"/>
      <c r="AN3540" s="33"/>
      <c r="AO3540" s="33"/>
    </row>
    <row r="3541" ht="15.75" customHeight="1">
      <c r="A3541" s="60">
        <v>58059.0</v>
      </c>
      <c r="B3541" s="61">
        <v>2024.0</v>
      </c>
      <c r="C3541" s="36" t="str">
        <f t="shared" si="7"/>
        <v>3802 TUAM ST,Houston,TX</v>
      </c>
      <c r="D3541" s="64" t="s">
        <v>5182</v>
      </c>
      <c r="E3541" s="23" t="s">
        <v>25</v>
      </c>
      <c r="F3541" s="23" t="s">
        <v>1388</v>
      </c>
      <c r="G3541" s="62" t="str">
        <f t="shared" si="8"/>
        <v>77004</v>
      </c>
      <c r="H3541" s="65"/>
      <c r="I3541" s="56"/>
      <c r="J3541" s="66"/>
      <c r="K3541" s="67"/>
      <c r="L3541" s="56"/>
      <c r="M3541" s="67"/>
      <c r="N3541" s="56"/>
      <c r="O3541" s="53"/>
      <c r="P3541" s="68"/>
      <c r="Q3541" s="69"/>
      <c r="R3541" s="68"/>
      <c r="S3541" s="70"/>
      <c r="T3541" s="67"/>
      <c r="U3541" s="56"/>
      <c r="V3541" s="56"/>
      <c r="W3541" s="71"/>
      <c r="X3541" s="71"/>
      <c r="AA3541" s="33"/>
      <c r="AB3541" s="33"/>
      <c r="AC3541" s="33"/>
      <c r="AD3541" s="33"/>
      <c r="AE3541" s="33"/>
      <c r="AF3541" s="33"/>
      <c r="AG3541" s="33"/>
      <c r="AH3541" s="33"/>
      <c r="AI3541" s="33"/>
      <c r="AJ3541" s="33"/>
      <c r="AK3541" s="33"/>
      <c r="AL3541" s="33"/>
      <c r="AM3541" s="33"/>
      <c r="AN3541" s="33"/>
      <c r="AO3541" s="33"/>
    </row>
    <row r="3542" ht="15.75" customHeight="1">
      <c r="A3542" s="60">
        <v>58061.0</v>
      </c>
      <c r="B3542" s="61">
        <v>2024.0</v>
      </c>
      <c r="C3542" s="36" t="str">
        <f t="shared" si="7"/>
        <v>6508 JENSEN DR,Houston,TX</v>
      </c>
      <c r="D3542" s="64" t="s">
        <v>5329</v>
      </c>
      <c r="E3542" s="23" t="s">
        <v>25</v>
      </c>
      <c r="F3542" s="23" t="s">
        <v>1388</v>
      </c>
      <c r="G3542" s="62" t="str">
        <f t="shared" si="8"/>
        <v>77026</v>
      </c>
      <c r="H3542" s="65"/>
      <c r="I3542" s="56"/>
      <c r="J3542" s="66"/>
      <c r="K3542" s="67"/>
      <c r="L3542" s="56"/>
      <c r="M3542" s="67"/>
      <c r="N3542" s="56"/>
      <c r="O3542" s="53"/>
      <c r="P3542" s="68"/>
      <c r="Q3542" s="69"/>
      <c r="R3542" s="68"/>
      <c r="S3542" s="70"/>
      <c r="T3542" s="67"/>
      <c r="U3542" s="56"/>
      <c r="V3542" s="56"/>
      <c r="W3542" s="71"/>
      <c r="X3542" s="71"/>
      <c r="AA3542" s="33"/>
      <c r="AB3542" s="33"/>
      <c r="AC3542" s="33"/>
      <c r="AD3542" s="33"/>
      <c r="AE3542" s="33"/>
      <c r="AF3542" s="33"/>
      <c r="AG3542" s="33"/>
      <c r="AH3542" s="33"/>
      <c r="AI3542" s="33"/>
      <c r="AJ3542" s="33"/>
      <c r="AK3542" s="33"/>
      <c r="AL3542" s="33"/>
      <c r="AM3542" s="33"/>
      <c r="AN3542" s="33"/>
      <c r="AO3542" s="33"/>
    </row>
    <row r="3543" ht="15.75" customHeight="1">
      <c r="A3543" s="60">
        <v>58066.0</v>
      </c>
      <c r="B3543" s="61">
        <v>2024.0</v>
      </c>
      <c r="C3543" s="36" t="str">
        <f t="shared" si="7"/>
        <v>2508 MOREHOUSE LN,Houston,TX</v>
      </c>
      <c r="D3543" s="64" t="s">
        <v>5330</v>
      </c>
      <c r="E3543" s="23" t="s">
        <v>25</v>
      </c>
      <c r="F3543" s="23" t="s">
        <v>1388</v>
      </c>
      <c r="G3543" s="62" t="str">
        <f t="shared" si="8"/>
        <v>77088</v>
      </c>
      <c r="H3543" s="65"/>
      <c r="I3543" s="56"/>
      <c r="J3543" s="66"/>
      <c r="K3543" s="67"/>
      <c r="L3543" s="56"/>
      <c r="M3543" s="67"/>
      <c r="N3543" s="56"/>
      <c r="O3543" s="53"/>
      <c r="P3543" s="68"/>
      <c r="Q3543" s="69"/>
      <c r="R3543" s="68"/>
      <c r="S3543" s="70"/>
      <c r="T3543" s="67"/>
      <c r="U3543" s="56"/>
      <c r="V3543" s="56"/>
      <c r="W3543" s="71"/>
      <c r="X3543" s="71"/>
      <c r="AA3543" s="33"/>
      <c r="AB3543" s="33"/>
      <c r="AC3543" s="33"/>
      <c r="AD3543" s="33"/>
      <c r="AE3543" s="33"/>
      <c r="AF3543" s="33"/>
      <c r="AG3543" s="33"/>
      <c r="AH3543" s="33"/>
      <c r="AI3543" s="33"/>
      <c r="AJ3543" s="33"/>
      <c r="AK3543" s="33"/>
      <c r="AL3543" s="33"/>
      <c r="AM3543" s="33"/>
      <c r="AN3543" s="33"/>
      <c r="AO3543" s="33"/>
    </row>
    <row r="3544" ht="15.75" customHeight="1">
      <c r="A3544" s="60">
        <v>58071.0</v>
      </c>
      <c r="B3544" s="61">
        <v>2024.0</v>
      </c>
      <c r="C3544" s="36" t="str">
        <f t="shared" si="7"/>
        <v>8302 GLENVIEW DR,Houston,TX</v>
      </c>
      <c r="D3544" s="64" t="s">
        <v>5331</v>
      </c>
      <c r="E3544" s="23" t="s">
        <v>25</v>
      </c>
      <c r="F3544" s="23" t="s">
        <v>1388</v>
      </c>
      <c r="G3544" s="62" t="str">
        <f t="shared" si="8"/>
        <v>77017</v>
      </c>
      <c r="H3544" s="65"/>
      <c r="I3544" s="56"/>
      <c r="J3544" s="66"/>
      <c r="K3544" s="67"/>
      <c r="L3544" s="56"/>
      <c r="M3544" s="67"/>
      <c r="N3544" s="56"/>
      <c r="O3544" s="53"/>
      <c r="P3544" s="68"/>
      <c r="Q3544" s="69"/>
      <c r="R3544" s="68"/>
      <c r="S3544" s="70"/>
      <c r="T3544" s="67"/>
      <c r="U3544" s="56"/>
      <c r="V3544" s="56"/>
      <c r="W3544" s="71"/>
      <c r="X3544" s="71"/>
      <c r="AA3544" s="33"/>
      <c r="AB3544" s="33"/>
      <c r="AC3544" s="33"/>
      <c r="AD3544" s="33"/>
      <c r="AE3544" s="33"/>
      <c r="AF3544" s="33"/>
      <c r="AG3544" s="33"/>
      <c r="AH3544" s="33"/>
      <c r="AI3544" s="33"/>
      <c r="AJ3544" s="33"/>
      <c r="AK3544" s="33"/>
      <c r="AL3544" s="33"/>
      <c r="AM3544" s="33"/>
      <c r="AN3544" s="33"/>
      <c r="AO3544" s="33"/>
    </row>
    <row r="3545" ht="15.75" customHeight="1">
      <c r="A3545" s="60">
        <v>58072.0</v>
      </c>
      <c r="B3545" s="61">
        <v>2024.0</v>
      </c>
      <c r="C3545" s="36" t="str">
        <f t="shared" si="7"/>
        <v>7402 BUENA VISTA ST,Houston,TX</v>
      </c>
      <c r="D3545" s="64" t="s">
        <v>5332</v>
      </c>
      <c r="E3545" s="23" t="s">
        <v>25</v>
      </c>
      <c r="F3545" s="23" t="s">
        <v>1388</v>
      </c>
      <c r="G3545" s="62" t="str">
        <f t="shared" si="8"/>
        <v>77087</v>
      </c>
      <c r="H3545" s="65"/>
      <c r="I3545" s="56"/>
      <c r="J3545" s="66"/>
      <c r="K3545" s="67"/>
      <c r="L3545" s="56"/>
      <c r="M3545" s="67"/>
      <c r="N3545" s="56"/>
      <c r="O3545" s="53"/>
      <c r="P3545" s="68"/>
      <c r="Q3545" s="69"/>
      <c r="R3545" s="68"/>
      <c r="S3545" s="70"/>
      <c r="T3545" s="67"/>
      <c r="U3545" s="56"/>
      <c r="V3545" s="56"/>
      <c r="W3545" s="71"/>
      <c r="X3545" s="71"/>
      <c r="AA3545" s="33"/>
      <c r="AB3545" s="33"/>
      <c r="AC3545" s="33"/>
      <c r="AD3545" s="33"/>
      <c r="AE3545" s="33"/>
      <c r="AF3545" s="33"/>
      <c r="AG3545" s="33"/>
      <c r="AH3545" s="33"/>
      <c r="AI3545" s="33"/>
      <c r="AJ3545" s="33"/>
      <c r="AK3545" s="33"/>
      <c r="AL3545" s="33"/>
      <c r="AM3545" s="33"/>
      <c r="AN3545" s="33"/>
      <c r="AO3545" s="33"/>
    </row>
    <row r="3546" ht="15.75" customHeight="1">
      <c r="A3546" s="60">
        <v>58076.0</v>
      </c>
      <c r="B3546" s="61">
        <v>2024.0</v>
      </c>
      <c r="C3546" s="36" t="str">
        <f t="shared" si="7"/>
        <v>2704 TERRY ST,Houston,TX</v>
      </c>
      <c r="D3546" s="64" t="s">
        <v>5084</v>
      </c>
      <c r="E3546" s="23" t="s">
        <v>25</v>
      </c>
      <c r="F3546" s="23" t="s">
        <v>1388</v>
      </c>
      <c r="G3546" s="62" t="str">
        <f t="shared" si="8"/>
        <v>77009</v>
      </c>
      <c r="H3546" s="65"/>
      <c r="I3546" s="56"/>
      <c r="J3546" s="66"/>
      <c r="K3546" s="67"/>
      <c r="L3546" s="56"/>
      <c r="M3546" s="67"/>
      <c r="N3546" s="56"/>
      <c r="O3546" s="53"/>
      <c r="P3546" s="68"/>
      <c r="Q3546" s="69"/>
      <c r="R3546" s="68"/>
      <c r="S3546" s="70"/>
      <c r="T3546" s="67"/>
      <c r="U3546" s="56"/>
      <c r="V3546" s="56"/>
      <c r="W3546" s="71"/>
      <c r="X3546" s="71"/>
      <c r="AA3546" s="33"/>
      <c r="AB3546" s="33"/>
      <c r="AC3546" s="33"/>
      <c r="AD3546" s="33"/>
      <c r="AE3546" s="33"/>
      <c r="AF3546" s="33"/>
      <c r="AG3546" s="33"/>
      <c r="AH3546" s="33"/>
      <c r="AI3546" s="33"/>
      <c r="AJ3546" s="33"/>
      <c r="AK3546" s="33"/>
      <c r="AL3546" s="33"/>
      <c r="AM3546" s="33"/>
      <c r="AN3546" s="33"/>
      <c r="AO3546" s="33"/>
    </row>
    <row r="3547" ht="15.75" customHeight="1">
      <c r="A3547" s="60">
        <v>58077.0</v>
      </c>
      <c r="B3547" s="61">
        <v>2024.0</v>
      </c>
      <c r="C3547" s="36" t="str">
        <f t="shared" si="7"/>
        <v>11323 SAGEMEADOW LN,Houston,TX</v>
      </c>
      <c r="D3547" s="64" t="s">
        <v>5333</v>
      </c>
      <c r="E3547" s="23" t="s">
        <v>25</v>
      </c>
      <c r="F3547" s="23" t="s">
        <v>1388</v>
      </c>
      <c r="G3547" s="62" t="str">
        <f t="shared" si="8"/>
        <v>77089</v>
      </c>
      <c r="H3547" s="65"/>
      <c r="I3547" s="56"/>
      <c r="J3547" s="66"/>
      <c r="K3547" s="67"/>
      <c r="L3547" s="56"/>
      <c r="M3547" s="67"/>
      <c r="N3547" s="56"/>
      <c r="O3547" s="53"/>
      <c r="P3547" s="68"/>
      <c r="Q3547" s="69"/>
      <c r="R3547" s="68"/>
      <c r="S3547" s="70"/>
      <c r="T3547" s="67"/>
      <c r="U3547" s="56"/>
      <c r="V3547" s="56"/>
      <c r="W3547" s="71"/>
      <c r="X3547" s="71"/>
      <c r="AA3547" s="33"/>
      <c r="AB3547" s="33"/>
      <c r="AC3547" s="33"/>
      <c r="AD3547" s="33"/>
      <c r="AE3547" s="33"/>
      <c r="AF3547" s="33"/>
      <c r="AG3547" s="33"/>
      <c r="AH3547" s="33"/>
      <c r="AI3547" s="33"/>
      <c r="AJ3547" s="33"/>
      <c r="AK3547" s="33"/>
      <c r="AL3547" s="33"/>
      <c r="AM3547" s="33"/>
      <c r="AN3547" s="33"/>
      <c r="AO3547" s="33"/>
    </row>
    <row r="3548" ht="15.75" customHeight="1">
      <c r="A3548" s="60">
        <v>58078.0</v>
      </c>
      <c r="B3548" s="61">
        <v>2024.0</v>
      </c>
      <c r="C3548" s="36" t="str">
        <f t="shared" si="7"/>
        <v>1822 SUL ROSS ST,Houston,TX</v>
      </c>
      <c r="D3548" s="64" t="s">
        <v>5334</v>
      </c>
      <c r="E3548" s="23" t="s">
        <v>25</v>
      </c>
      <c r="F3548" s="23" t="s">
        <v>1388</v>
      </c>
      <c r="G3548" s="62" t="str">
        <f t="shared" si="8"/>
        <v>77098</v>
      </c>
      <c r="H3548" s="65"/>
      <c r="I3548" s="56"/>
      <c r="J3548" s="66"/>
      <c r="K3548" s="67"/>
      <c r="L3548" s="56"/>
      <c r="M3548" s="67"/>
      <c r="N3548" s="56"/>
      <c r="O3548" s="53"/>
      <c r="P3548" s="68"/>
      <c r="Q3548" s="69"/>
      <c r="R3548" s="68"/>
      <c r="S3548" s="70"/>
      <c r="T3548" s="67"/>
      <c r="U3548" s="56"/>
      <c r="V3548" s="56"/>
      <c r="W3548" s="71"/>
      <c r="X3548" s="71"/>
      <c r="AA3548" s="33"/>
      <c r="AB3548" s="33"/>
      <c r="AC3548" s="33"/>
      <c r="AD3548" s="33"/>
      <c r="AE3548" s="33"/>
      <c r="AF3548" s="33"/>
      <c r="AG3548" s="33"/>
      <c r="AH3548" s="33"/>
      <c r="AI3548" s="33"/>
      <c r="AJ3548" s="33"/>
      <c r="AK3548" s="33"/>
      <c r="AL3548" s="33"/>
      <c r="AM3548" s="33"/>
      <c r="AN3548" s="33"/>
      <c r="AO3548" s="33"/>
    </row>
    <row r="3549" ht="15.75" customHeight="1">
      <c r="A3549" s="60">
        <v>58081.0</v>
      </c>
      <c r="B3549" s="61">
        <v>2024.0</v>
      </c>
      <c r="C3549" s="36" t="str">
        <f t="shared" si="7"/>
        <v>5931 FONTENELLE DR,Houston,TX</v>
      </c>
      <c r="D3549" s="64" t="s">
        <v>5335</v>
      </c>
      <c r="E3549" s="23" t="s">
        <v>25</v>
      </c>
      <c r="F3549" s="23" t="s">
        <v>1388</v>
      </c>
      <c r="G3549" s="62" t="str">
        <f t="shared" si="8"/>
        <v>77035</v>
      </c>
      <c r="H3549" s="65"/>
      <c r="I3549" s="56"/>
      <c r="J3549" s="66"/>
      <c r="K3549" s="67"/>
      <c r="L3549" s="56"/>
      <c r="M3549" s="67"/>
      <c r="N3549" s="56"/>
      <c r="O3549" s="53"/>
      <c r="P3549" s="68"/>
      <c r="Q3549" s="69"/>
      <c r="R3549" s="68"/>
      <c r="S3549" s="70"/>
      <c r="T3549" s="67"/>
      <c r="U3549" s="56"/>
      <c r="V3549" s="56"/>
      <c r="W3549" s="71"/>
      <c r="X3549" s="71"/>
      <c r="AA3549" s="33"/>
      <c r="AB3549" s="33"/>
      <c r="AC3549" s="33"/>
      <c r="AD3549" s="33"/>
      <c r="AE3549" s="33"/>
      <c r="AF3549" s="33"/>
      <c r="AG3549" s="33"/>
      <c r="AH3549" s="33"/>
      <c r="AI3549" s="33"/>
      <c r="AJ3549" s="33"/>
      <c r="AK3549" s="33"/>
      <c r="AL3549" s="33"/>
      <c r="AM3549" s="33"/>
      <c r="AN3549" s="33"/>
      <c r="AO3549" s="33"/>
    </row>
    <row r="3550" ht="15.75" customHeight="1">
      <c r="A3550" s="60">
        <v>58082.0</v>
      </c>
      <c r="B3550" s="61">
        <v>2024.0</v>
      </c>
      <c r="C3550" s="36" t="str">
        <f t="shared" si="7"/>
        <v>5143 NASSAU RD,Houston,TX</v>
      </c>
      <c r="D3550" s="64" t="s">
        <v>5336</v>
      </c>
      <c r="E3550" s="23" t="s">
        <v>25</v>
      </c>
      <c r="F3550" s="23" t="s">
        <v>1388</v>
      </c>
      <c r="G3550" s="62" t="str">
        <f t="shared" si="8"/>
        <v>77021</v>
      </c>
      <c r="H3550" s="65"/>
      <c r="I3550" s="56"/>
      <c r="J3550" s="66"/>
      <c r="K3550" s="67"/>
      <c r="L3550" s="56"/>
      <c r="M3550" s="67"/>
      <c r="N3550" s="56"/>
      <c r="O3550" s="53"/>
      <c r="P3550" s="68"/>
      <c r="Q3550" s="69"/>
      <c r="R3550" s="68"/>
      <c r="S3550" s="70"/>
      <c r="T3550" s="67"/>
      <c r="U3550" s="56"/>
      <c r="V3550" s="56"/>
      <c r="W3550" s="71"/>
      <c r="X3550" s="71"/>
      <c r="AA3550" s="33"/>
      <c r="AB3550" s="33"/>
      <c r="AC3550" s="33"/>
      <c r="AD3550" s="33"/>
      <c r="AE3550" s="33"/>
      <c r="AF3550" s="33"/>
      <c r="AG3550" s="33"/>
      <c r="AH3550" s="33"/>
      <c r="AI3550" s="33"/>
      <c r="AJ3550" s="33"/>
      <c r="AK3550" s="33"/>
      <c r="AL3550" s="33"/>
      <c r="AM3550" s="33"/>
      <c r="AN3550" s="33"/>
      <c r="AO3550" s="33"/>
    </row>
    <row r="3551" ht="15.75" customHeight="1">
      <c r="A3551" s="60">
        <v>58083.0</v>
      </c>
      <c r="B3551" s="61">
        <v>2024.0</v>
      </c>
      <c r="C3551" s="36" t="str">
        <f t="shared" si="7"/>
        <v>11410 SPRING GROVE DR,Houston,TX</v>
      </c>
      <c r="D3551" s="64" t="s">
        <v>5337</v>
      </c>
      <c r="E3551" s="23" t="s">
        <v>25</v>
      </c>
      <c r="F3551" s="23" t="s">
        <v>1388</v>
      </c>
      <c r="G3551" s="62" t="str">
        <f t="shared" si="8"/>
        <v>77099</v>
      </c>
      <c r="H3551" s="65"/>
      <c r="I3551" s="56"/>
      <c r="J3551" s="66"/>
      <c r="K3551" s="67"/>
      <c r="L3551" s="56"/>
      <c r="M3551" s="67"/>
      <c r="N3551" s="56"/>
      <c r="O3551" s="53"/>
      <c r="P3551" s="68"/>
      <c r="Q3551" s="69"/>
      <c r="R3551" s="68"/>
      <c r="S3551" s="70"/>
      <c r="T3551" s="67"/>
      <c r="U3551" s="56"/>
      <c r="V3551" s="56"/>
      <c r="W3551" s="71"/>
      <c r="X3551" s="71"/>
      <c r="AA3551" s="33"/>
      <c r="AB3551" s="33"/>
      <c r="AC3551" s="33"/>
      <c r="AD3551" s="33"/>
      <c r="AE3551" s="33"/>
      <c r="AF3551" s="33"/>
      <c r="AG3551" s="33"/>
      <c r="AH3551" s="33"/>
      <c r="AI3551" s="33"/>
      <c r="AJ3551" s="33"/>
      <c r="AK3551" s="33"/>
      <c r="AL3551" s="33"/>
      <c r="AM3551" s="33"/>
      <c r="AN3551" s="33"/>
      <c r="AO3551" s="33"/>
    </row>
    <row r="3552" ht="15.75" customHeight="1">
      <c r="A3552" s="60">
        <v>58088.0</v>
      </c>
      <c r="B3552" s="61">
        <v>2024.0</v>
      </c>
      <c r="C3552" s="36" t="str">
        <f t="shared" si="7"/>
        <v>4501 ROSENEATH DR,Houston,TX</v>
      </c>
      <c r="D3552" s="64" t="s">
        <v>5338</v>
      </c>
      <c r="E3552" s="23" t="s">
        <v>25</v>
      </c>
      <c r="F3552" s="23" t="s">
        <v>1388</v>
      </c>
      <c r="G3552" s="62" t="str">
        <f t="shared" si="8"/>
        <v>77021</v>
      </c>
      <c r="H3552" s="65"/>
      <c r="I3552" s="56"/>
      <c r="J3552" s="66"/>
      <c r="K3552" s="67"/>
      <c r="L3552" s="56"/>
      <c r="M3552" s="67"/>
      <c r="N3552" s="56"/>
      <c r="O3552" s="53"/>
      <c r="P3552" s="68"/>
      <c r="Q3552" s="69"/>
      <c r="R3552" s="68"/>
      <c r="S3552" s="70"/>
      <c r="T3552" s="67"/>
      <c r="U3552" s="56"/>
      <c r="V3552" s="56"/>
      <c r="W3552" s="71"/>
      <c r="X3552" s="71"/>
      <c r="AA3552" s="33"/>
      <c r="AB3552" s="33"/>
      <c r="AC3552" s="33"/>
      <c r="AD3552" s="33"/>
      <c r="AE3552" s="33"/>
      <c r="AF3552" s="33"/>
      <c r="AG3552" s="33"/>
      <c r="AH3552" s="33"/>
      <c r="AI3552" s="33"/>
      <c r="AJ3552" s="33"/>
      <c r="AK3552" s="33"/>
      <c r="AL3552" s="33"/>
      <c r="AM3552" s="33"/>
      <c r="AN3552" s="33"/>
      <c r="AO3552" s="33"/>
    </row>
    <row r="3553" ht="15.75" customHeight="1">
      <c r="A3553" s="60">
        <v>58089.0</v>
      </c>
      <c r="B3553" s="61">
        <v>2024.0</v>
      </c>
      <c r="C3553" s="36" t="str">
        <f t="shared" si="7"/>
        <v>730 38TH ST,Houston,TX</v>
      </c>
      <c r="D3553" s="64" t="s">
        <v>5339</v>
      </c>
      <c r="E3553" s="23" t="s">
        <v>25</v>
      </c>
      <c r="F3553" s="23" t="s">
        <v>1388</v>
      </c>
      <c r="G3553" s="62" t="str">
        <f t="shared" si="8"/>
        <v>77022</v>
      </c>
      <c r="H3553" s="65"/>
      <c r="I3553" s="56"/>
      <c r="J3553" s="66"/>
      <c r="K3553" s="67"/>
      <c r="L3553" s="56"/>
      <c r="M3553" s="67"/>
      <c r="N3553" s="56"/>
      <c r="O3553" s="53"/>
      <c r="P3553" s="68"/>
      <c r="Q3553" s="69"/>
      <c r="R3553" s="68"/>
      <c r="S3553" s="70"/>
      <c r="T3553" s="67"/>
      <c r="U3553" s="56"/>
      <c r="V3553" s="56"/>
      <c r="W3553" s="71"/>
      <c r="X3553" s="71"/>
      <c r="AA3553" s="33"/>
      <c r="AB3553" s="33"/>
      <c r="AC3553" s="33"/>
      <c r="AD3553" s="33"/>
      <c r="AE3553" s="33"/>
      <c r="AF3553" s="33"/>
      <c r="AG3553" s="33"/>
      <c r="AH3553" s="33"/>
      <c r="AI3553" s="33"/>
      <c r="AJ3553" s="33"/>
      <c r="AK3553" s="33"/>
      <c r="AL3553" s="33"/>
      <c r="AM3553" s="33"/>
      <c r="AN3553" s="33"/>
      <c r="AO3553" s="33"/>
    </row>
    <row r="3554" ht="15.75" customHeight="1">
      <c r="A3554" s="60">
        <v>58092.0</v>
      </c>
      <c r="B3554" s="61">
        <v>2024.0</v>
      </c>
      <c r="C3554" s="36" t="str">
        <f t="shared" si="7"/>
        <v>4702 RUSK ST,Houston,TX</v>
      </c>
      <c r="D3554" s="64" t="s">
        <v>5340</v>
      </c>
      <c r="E3554" s="23" t="s">
        <v>25</v>
      </c>
      <c r="F3554" s="23" t="s">
        <v>1388</v>
      </c>
      <c r="G3554" s="62" t="str">
        <f t="shared" si="8"/>
        <v>77023</v>
      </c>
      <c r="H3554" s="65"/>
      <c r="I3554" s="56"/>
      <c r="J3554" s="66"/>
      <c r="K3554" s="67"/>
      <c r="L3554" s="56"/>
      <c r="M3554" s="67"/>
      <c r="N3554" s="56"/>
      <c r="O3554" s="53"/>
      <c r="P3554" s="68"/>
      <c r="Q3554" s="69"/>
      <c r="R3554" s="68"/>
      <c r="S3554" s="70"/>
      <c r="T3554" s="67"/>
      <c r="U3554" s="56"/>
      <c r="V3554" s="56"/>
      <c r="W3554" s="71"/>
      <c r="X3554" s="71"/>
      <c r="AA3554" s="33"/>
      <c r="AB3554" s="33"/>
      <c r="AC3554" s="33"/>
      <c r="AD3554" s="33"/>
      <c r="AE3554" s="33"/>
      <c r="AF3554" s="33"/>
      <c r="AG3554" s="33"/>
      <c r="AH3554" s="33"/>
      <c r="AI3554" s="33"/>
      <c r="AJ3554" s="33"/>
      <c r="AK3554" s="33"/>
      <c r="AL3554" s="33"/>
      <c r="AM3554" s="33"/>
      <c r="AN3554" s="33"/>
      <c r="AO3554" s="33"/>
    </row>
    <row r="3555" ht="15.75" customHeight="1">
      <c r="A3555" s="60">
        <v>58108.0</v>
      </c>
      <c r="B3555" s="61">
        <v>2024.0</v>
      </c>
      <c r="C3555" s="36" t="str">
        <f t="shared" si="7"/>
        <v>7303 AUTUMN GROVE DR,Houston,TX</v>
      </c>
      <c r="D3555" s="64" t="s">
        <v>1496</v>
      </c>
      <c r="E3555" s="23" t="s">
        <v>25</v>
      </c>
      <c r="F3555" s="23" t="s">
        <v>1388</v>
      </c>
      <c r="G3555" s="62" t="str">
        <f t="shared" si="8"/>
        <v>77072</v>
      </c>
      <c r="H3555" s="65"/>
      <c r="I3555" s="56"/>
      <c r="J3555" s="66"/>
      <c r="K3555" s="67"/>
      <c r="L3555" s="56"/>
      <c r="M3555" s="67"/>
      <c r="N3555" s="56"/>
      <c r="O3555" s="53"/>
      <c r="P3555" s="68"/>
      <c r="Q3555" s="69"/>
      <c r="R3555" s="68"/>
      <c r="S3555" s="70"/>
      <c r="T3555" s="67"/>
      <c r="U3555" s="56"/>
      <c r="V3555" s="56"/>
      <c r="W3555" s="71"/>
      <c r="X3555" s="71"/>
      <c r="AA3555" s="33"/>
      <c r="AB3555" s="33"/>
      <c r="AC3555" s="33"/>
      <c r="AD3555" s="33"/>
      <c r="AE3555" s="33"/>
      <c r="AF3555" s="33"/>
      <c r="AG3555" s="33"/>
      <c r="AH3555" s="33"/>
      <c r="AI3555" s="33"/>
      <c r="AJ3555" s="33"/>
      <c r="AK3555" s="33"/>
      <c r="AL3555" s="33"/>
      <c r="AM3555" s="33"/>
      <c r="AN3555" s="33"/>
      <c r="AO3555" s="33"/>
    </row>
    <row r="3556" ht="15.75" customHeight="1">
      <c r="A3556" s="60">
        <v>58117.0</v>
      </c>
      <c r="B3556" s="61">
        <v>2024.0</v>
      </c>
      <c r="C3556" s="36" t="str">
        <f t="shared" si="7"/>
        <v>8613 KELLETT ST,Houston,TX</v>
      </c>
      <c r="D3556" s="64" t="s">
        <v>5341</v>
      </c>
      <c r="E3556" s="23" t="s">
        <v>25</v>
      </c>
      <c r="F3556" s="23" t="s">
        <v>1388</v>
      </c>
      <c r="G3556" s="62" t="str">
        <f t="shared" si="8"/>
        <v>77028</v>
      </c>
      <c r="H3556" s="65"/>
      <c r="I3556" s="56"/>
      <c r="J3556" s="66"/>
      <c r="K3556" s="67"/>
      <c r="L3556" s="56"/>
      <c r="M3556" s="67"/>
      <c r="N3556" s="56"/>
      <c r="O3556" s="53"/>
      <c r="P3556" s="68"/>
      <c r="Q3556" s="69"/>
      <c r="R3556" s="68"/>
      <c r="S3556" s="70"/>
      <c r="T3556" s="67"/>
      <c r="U3556" s="56"/>
      <c r="V3556" s="56"/>
      <c r="W3556" s="71"/>
      <c r="X3556" s="71"/>
      <c r="AA3556" s="33"/>
      <c r="AB3556" s="33"/>
      <c r="AC3556" s="33"/>
      <c r="AD3556" s="33"/>
      <c r="AE3556" s="33"/>
      <c r="AF3556" s="33"/>
      <c r="AG3556" s="33"/>
      <c r="AH3556" s="33"/>
      <c r="AI3556" s="33"/>
      <c r="AJ3556" s="33"/>
      <c r="AK3556" s="33"/>
      <c r="AL3556" s="33"/>
      <c r="AM3556" s="33"/>
      <c r="AN3556" s="33"/>
      <c r="AO3556" s="33"/>
    </row>
    <row r="3557" ht="15.75" customHeight="1">
      <c r="A3557" s="60">
        <v>58121.0</v>
      </c>
      <c r="B3557" s="61">
        <v>2024.0</v>
      </c>
      <c r="C3557" s="36" t="str">
        <f t="shared" si="7"/>
        <v>8201 RICHMOND AVE,Houston,TX</v>
      </c>
      <c r="D3557" s="64" t="s">
        <v>880</v>
      </c>
      <c r="E3557" s="23" t="s">
        <v>25</v>
      </c>
      <c r="F3557" s="23" t="s">
        <v>1388</v>
      </c>
      <c r="G3557" s="62" t="str">
        <f t="shared" si="8"/>
        <v>77063</v>
      </c>
      <c r="H3557" s="65"/>
      <c r="I3557" s="56"/>
      <c r="J3557" s="66"/>
      <c r="K3557" s="67"/>
      <c r="L3557" s="56"/>
      <c r="M3557" s="67"/>
      <c r="N3557" s="56"/>
      <c r="O3557" s="53"/>
      <c r="P3557" s="68"/>
      <c r="Q3557" s="69"/>
      <c r="R3557" s="68"/>
      <c r="S3557" s="70"/>
      <c r="T3557" s="67"/>
      <c r="U3557" s="56"/>
      <c r="V3557" s="56"/>
      <c r="W3557" s="71"/>
      <c r="X3557" s="71"/>
      <c r="AA3557" s="33"/>
      <c r="AB3557" s="33"/>
      <c r="AC3557" s="33"/>
      <c r="AD3557" s="33"/>
      <c r="AE3557" s="33"/>
      <c r="AF3557" s="33"/>
      <c r="AG3557" s="33"/>
      <c r="AH3557" s="33"/>
      <c r="AI3557" s="33"/>
      <c r="AJ3557" s="33"/>
      <c r="AK3557" s="33"/>
      <c r="AL3557" s="33"/>
      <c r="AM3557" s="33"/>
      <c r="AN3557" s="33"/>
      <c r="AO3557" s="33"/>
    </row>
    <row r="3558" ht="15.75" customHeight="1">
      <c r="A3558" s="60">
        <v>58129.0</v>
      </c>
      <c r="B3558" s="61">
        <v>2024.0</v>
      </c>
      <c r="C3558" s="36" t="str">
        <f t="shared" si="7"/>
        <v>618 WELLINGTON ST,Houston,TX</v>
      </c>
      <c r="D3558" s="64" t="s">
        <v>5342</v>
      </c>
      <c r="E3558" s="23" t="s">
        <v>25</v>
      </c>
      <c r="F3558" s="23" t="s">
        <v>1388</v>
      </c>
      <c r="G3558" s="62" t="str">
        <f t="shared" si="8"/>
        <v>77076</v>
      </c>
      <c r="H3558" s="65"/>
      <c r="I3558" s="56"/>
      <c r="J3558" s="66"/>
      <c r="K3558" s="67"/>
      <c r="L3558" s="56"/>
      <c r="M3558" s="67"/>
      <c r="N3558" s="56"/>
      <c r="O3558" s="53"/>
      <c r="P3558" s="68"/>
      <c r="Q3558" s="69"/>
      <c r="R3558" s="68"/>
      <c r="S3558" s="70"/>
      <c r="T3558" s="67"/>
      <c r="U3558" s="56"/>
      <c r="V3558" s="56"/>
      <c r="W3558" s="71"/>
      <c r="X3558" s="71"/>
      <c r="AA3558" s="33"/>
      <c r="AB3558" s="33"/>
      <c r="AC3558" s="33"/>
      <c r="AD3558" s="33"/>
      <c r="AE3558" s="33"/>
      <c r="AF3558" s="33"/>
      <c r="AG3558" s="33"/>
      <c r="AH3558" s="33"/>
      <c r="AI3558" s="33"/>
      <c r="AJ3558" s="33"/>
      <c r="AK3558" s="33"/>
      <c r="AL3558" s="33"/>
      <c r="AM3558" s="33"/>
      <c r="AN3558" s="33"/>
      <c r="AO3558" s="33"/>
    </row>
    <row r="3559" ht="15.75" customHeight="1">
      <c r="A3559" s="60">
        <v>58143.0</v>
      </c>
      <c r="B3559" s="61">
        <v>2024.0</v>
      </c>
      <c r="C3559" s="36" t="str">
        <f t="shared" si="7"/>
        <v>4514 ROBERTSON ST,Houston,TX</v>
      </c>
      <c r="D3559" s="64" t="s">
        <v>5343</v>
      </c>
      <c r="E3559" s="23" t="s">
        <v>25</v>
      </c>
      <c r="F3559" s="23" t="s">
        <v>1388</v>
      </c>
      <c r="G3559" s="62" t="str">
        <f t="shared" si="8"/>
        <v>77009</v>
      </c>
      <c r="H3559" s="65"/>
      <c r="I3559" s="56"/>
      <c r="J3559" s="66"/>
      <c r="K3559" s="67"/>
      <c r="L3559" s="56"/>
      <c r="M3559" s="67"/>
      <c r="N3559" s="56"/>
      <c r="O3559" s="53"/>
      <c r="P3559" s="68"/>
      <c r="Q3559" s="69"/>
      <c r="R3559" s="68"/>
      <c r="S3559" s="70"/>
      <c r="T3559" s="67"/>
      <c r="U3559" s="56"/>
      <c r="V3559" s="56"/>
      <c r="W3559" s="71"/>
      <c r="X3559" s="71"/>
      <c r="AA3559" s="33"/>
      <c r="AB3559" s="33"/>
      <c r="AC3559" s="33"/>
      <c r="AD3559" s="33"/>
      <c r="AE3559" s="33"/>
      <c r="AF3559" s="33"/>
      <c r="AG3559" s="33"/>
      <c r="AH3559" s="33"/>
      <c r="AI3559" s="33"/>
      <c r="AJ3559" s="33"/>
      <c r="AK3559" s="33"/>
      <c r="AL3559" s="33"/>
      <c r="AM3559" s="33"/>
      <c r="AN3559" s="33"/>
      <c r="AO3559" s="33"/>
    </row>
    <row r="3560" ht="15.75" customHeight="1">
      <c r="A3560" s="60">
        <v>58144.0</v>
      </c>
      <c r="B3560" s="61">
        <v>2024.0</v>
      </c>
      <c r="C3560" s="36" t="str">
        <f t="shared" si="7"/>
        <v>6030 RIDGEWAY DR,Houston,TX</v>
      </c>
      <c r="D3560" s="64" t="s">
        <v>1343</v>
      </c>
      <c r="E3560" s="23" t="s">
        <v>25</v>
      </c>
      <c r="F3560" s="23" t="s">
        <v>1388</v>
      </c>
      <c r="G3560" s="62" t="str">
        <f t="shared" si="8"/>
        <v>77033</v>
      </c>
      <c r="H3560" s="65"/>
      <c r="I3560" s="56"/>
      <c r="J3560" s="66"/>
      <c r="K3560" s="67"/>
      <c r="L3560" s="56"/>
      <c r="M3560" s="67"/>
      <c r="N3560" s="56"/>
      <c r="O3560" s="53"/>
      <c r="P3560" s="68"/>
      <c r="Q3560" s="69"/>
      <c r="R3560" s="68"/>
      <c r="S3560" s="70"/>
      <c r="T3560" s="67"/>
      <c r="U3560" s="56"/>
      <c r="V3560" s="56"/>
      <c r="W3560" s="71"/>
      <c r="X3560" s="71"/>
      <c r="AA3560" s="33"/>
      <c r="AB3560" s="33"/>
      <c r="AC3560" s="33"/>
      <c r="AD3560" s="33"/>
      <c r="AE3560" s="33"/>
      <c r="AF3560" s="33"/>
      <c r="AG3560" s="33"/>
      <c r="AH3560" s="33"/>
      <c r="AI3560" s="33"/>
      <c r="AJ3560" s="33"/>
      <c r="AK3560" s="33"/>
      <c r="AL3560" s="33"/>
      <c r="AM3560" s="33"/>
      <c r="AN3560" s="33"/>
      <c r="AO3560" s="33"/>
    </row>
    <row r="3561" ht="15.75" customHeight="1">
      <c r="A3561" s="60">
        <v>58149.0</v>
      </c>
      <c r="B3561" s="61">
        <v>2024.0</v>
      </c>
      <c r="C3561" s="36" t="str">
        <f t="shared" si="7"/>
        <v>6602 LETCHER ST,Houston,TX</v>
      </c>
      <c r="D3561" s="64" t="s">
        <v>5344</v>
      </c>
      <c r="E3561" s="23" t="s">
        <v>25</v>
      </c>
      <c r="F3561" s="23" t="s">
        <v>1388</v>
      </c>
      <c r="G3561" s="62" t="str">
        <f t="shared" si="8"/>
        <v>77028</v>
      </c>
      <c r="H3561" s="65"/>
      <c r="I3561" s="56"/>
      <c r="J3561" s="66"/>
      <c r="K3561" s="67"/>
      <c r="L3561" s="56"/>
      <c r="M3561" s="67"/>
      <c r="N3561" s="56"/>
      <c r="O3561" s="53"/>
      <c r="P3561" s="68"/>
      <c r="Q3561" s="69"/>
      <c r="R3561" s="68"/>
      <c r="S3561" s="70"/>
      <c r="T3561" s="67"/>
      <c r="U3561" s="56"/>
      <c r="V3561" s="56"/>
      <c r="W3561" s="71"/>
      <c r="X3561" s="71"/>
      <c r="AA3561" s="33"/>
      <c r="AB3561" s="33"/>
      <c r="AC3561" s="33"/>
      <c r="AD3561" s="33"/>
      <c r="AE3561" s="33"/>
      <c r="AF3561" s="33"/>
      <c r="AG3561" s="33"/>
      <c r="AH3561" s="33"/>
      <c r="AI3561" s="33"/>
      <c r="AJ3561" s="33"/>
      <c r="AK3561" s="33"/>
      <c r="AL3561" s="33"/>
      <c r="AM3561" s="33"/>
      <c r="AN3561" s="33"/>
      <c r="AO3561" s="33"/>
    </row>
    <row r="3562" ht="15.75" customHeight="1">
      <c r="A3562" s="60">
        <v>58150.0</v>
      </c>
      <c r="B3562" s="61">
        <v>2024.0</v>
      </c>
      <c r="C3562" s="36" t="str">
        <f t="shared" si="7"/>
        <v>9400 COVENTRY SQUARE DR,Houston,TX</v>
      </c>
      <c r="D3562" s="64" t="s">
        <v>5345</v>
      </c>
      <c r="E3562" s="23" t="s">
        <v>25</v>
      </c>
      <c r="F3562" s="23" t="s">
        <v>1388</v>
      </c>
      <c r="G3562" s="62" t="str">
        <f t="shared" si="8"/>
        <v>77099</v>
      </c>
      <c r="H3562" s="65"/>
      <c r="I3562" s="56"/>
      <c r="J3562" s="66"/>
      <c r="K3562" s="67"/>
      <c r="L3562" s="56"/>
      <c r="M3562" s="67"/>
      <c r="N3562" s="56"/>
      <c r="O3562" s="53"/>
      <c r="P3562" s="68"/>
      <c r="Q3562" s="69"/>
      <c r="R3562" s="68"/>
      <c r="S3562" s="70"/>
      <c r="T3562" s="67"/>
      <c r="U3562" s="56"/>
      <c r="V3562" s="56"/>
      <c r="W3562" s="71"/>
      <c r="X3562" s="71"/>
      <c r="AA3562" s="33"/>
      <c r="AB3562" s="33"/>
      <c r="AC3562" s="33"/>
      <c r="AD3562" s="33"/>
      <c r="AE3562" s="33"/>
      <c r="AF3562" s="33"/>
      <c r="AG3562" s="33"/>
      <c r="AH3562" s="33"/>
      <c r="AI3562" s="33"/>
      <c r="AJ3562" s="33"/>
      <c r="AK3562" s="33"/>
      <c r="AL3562" s="33"/>
      <c r="AM3562" s="33"/>
      <c r="AN3562" s="33"/>
      <c r="AO3562" s="33"/>
    </row>
    <row r="3563" ht="15.75" customHeight="1">
      <c r="A3563" s="60">
        <v>58155.0</v>
      </c>
      <c r="B3563" s="61">
        <v>2024.0</v>
      </c>
      <c r="C3563" s="36" t="str">
        <f t="shared" si="7"/>
        <v>6710 RIDGEWAY DR,Houston,TX</v>
      </c>
      <c r="D3563" s="64" t="s">
        <v>5346</v>
      </c>
      <c r="E3563" s="23" t="s">
        <v>25</v>
      </c>
      <c r="F3563" s="23" t="s">
        <v>1388</v>
      </c>
      <c r="G3563" s="62" t="str">
        <f t="shared" si="8"/>
        <v>77087</v>
      </c>
      <c r="H3563" s="65"/>
      <c r="I3563" s="56"/>
      <c r="J3563" s="66"/>
      <c r="K3563" s="67"/>
      <c r="L3563" s="56"/>
      <c r="M3563" s="67"/>
      <c r="N3563" s="56"/>
      <c r="O3563" s="53"/>
      <c r="P3563" s="68"/>
      <c r="Q3563" s="69"/>
      <c r="R3563" s="68"/>
      <c r="S3563" s="70"/>
      <c r="T3563" s="67"/>
      <c r="U3563" s="56"/>
      <c r="V3563" s="56"/>
      <c r="W3563" s="71"/>
      <c r="X3563" s="71"/>
      <c r="AA3563" s="33"/>
      <c r="AB3563" s="33"/>
      <c r="AC3563" s="33"/>
      <c r="AD3563" s="33"/>
      <c r="AE3563" s="33"/>
      <c r="AF3563" s="33"/>
      <c r="AG3563" s="33"/>
      <c r="AH3563" s="33"/>
      <c r="AI3563" s="33"/>
      <c r="AJ3563" s="33"/>
      <c r="AK3563" s="33"/>
      <c r="AL3563" s="33"/>
      <c r="AM3563" s="33"/>
      <c r="AN3563" s="33"/>
      <c r="AO3563" s="33"/>
    </row>
    <row r="3564" ht="15.75" customHeight="1">
      <c r="A3564" s="60">
        <v>58159.0</v>
      </c>
      <c r="B3564" s="61">
        <v>2024.0</v>
      </c>
      <c r="C3564" s="36" t="str">
        <f t="shared" si="7"/>
        <v>8735 RYLANDER CIR,Houston,TX</v>
      </c>
      <c r="D3564" s="64" t="s">
        <v>5347</v>
      </c>
      <c r="E3564" s="23" t="s">
        <v>25</v>
      </c>
      <c r="F3564" s="23" t="s">
        <v>1388</v>
      </c>
      <c r="G3564" s="62" t="str">
        <f t="shared" si="8"/>
        <v>77071</v>
      </c>
      <c r="H3564" s="65"/>
      <c r="I3564" s="56"/>
      <c r="J3564" s="66"/>
      <c r="K3564" s="67"/>
      <c r="L3564" s="56"/>
      <c r="M3564" s="67"/>
      <c r="N3564" s="56"/>
      <c r="O3564" s="53"/>
      <c r="P3564" s="68"/>
      <c r="Q3564" s="69"/>
      <c r="R3564" s="68"/>
      <c r="S3564" s="70"/>
      <c r="T3564" s="67"/>
      <c r="U3564" s="56"/>
      <c r="V3564" s="56"/>
      <c r="W3564" s="71"/>
      <c r="X3564" s="71"/>
      <c r="AA3564" s="33"/>
      <c r="AB3564" s="33"/>
      <c r="AC3564" s="33"/>
      <c r="AD3564" s="33"/>
      <c r="AE3564" s="33"/>
      <c r="AF3564" s="33"/>
      <c r="AG3564" s="33"/>
      <c r="AH3564" s="33"/>
      <c r="AI3564" s="33"/>
      <c r="AJ3564" s="33"/>
      <c r="AK3564" s="33"/>
      <c r="AL3564" s="33"/>
      <c r="AM3564" s="33"/>
      <c r="AN3564" s="33"/>
      <c r="AO3564" s="33"/>
    </row>
    <row r="3565" ht="15.75" customHeight="1">
      <c r="A3565" s="60">
        <v>58160.0</v>
      </c>
      <c r="B3565" s="61">
        <v>2024.0</v>
      </c>
      <c r="C3565" s="36" t="str">
        <f t="shared" si="7"/>
        <v>122 CROSSTIMBERS ST,Houston,TX</v>
      </c>
      <c r="D3565" s="64" t="s">
        <v>5291</v>
      </c>
      <c r="E3565" s="23" t="s">
        <v>25</v>
      </c>
      <c r="F3565" s="23" t="s">
        <v>1388</v>
      </c>
      <c r="G3565" s="62" t="str">
        <f t="shared" si="8"/>
        <v>77018</v>
      </c>
      <c r="H3565" s="65"/>
      <c r="I3565" s="56"/>
      <c r="J3565" s="66"/>
      <c r="K3565" s="67"/>
      <c r="L3565" s="56"/>
      <c r="M3565" s="67"/>
      <c r="N3565" s="56"/>
      <c r="O3565" s="53"/>
      <c r="P3565" s="68"/>
      <c r="Q3565" s="69"/>
      <c r="R3565" s="68"/>
      <c r="S3565" s="70"/>
      <c r="T3565" s="67"/>
      <c r="U3565" s="56"/>
      <c r="V3565" s="56"/>
      <c r="W3565" s="71"/>
      <c r="X3565" s="71"/>
      <c r="AA3565" s="33"/>
      <c r="AB3565" s="33"/>
      <c r="AC3565" s="33"/>
      <c r="AD3565" s="33"/>
      <c r="AE3565" s="33"/>
      <c r="AF3565" s="33"/>
      <c r="AG3565" s="33"/>
      <c r="AH3565" s="33"/>
      <c r="AI3565" s="33"/>
      <c r="AJ3565" s="33"/>
      <c r="AK3565" s="33"/>
      <c r="AL3565" s="33"/>
      <c r="AM3565" s="33"/>
      <c r="AN3565" s="33"/>
      <c r="AO3565" s="33"/>
    </row>
    <row r="3566" ht="15.75" customHeight="1">
      <c r="A3566" s="60">
        <v>58161.0</v>
      </c>
      <c r="B3566" s="61">
        <v>2024.0</v>
      </c>
      <c r="C3566" s="36" t="str">
        <f t="shared" si="7"/>
        <v>1902 ISABELLA ST,Houston,TX</v>
      </c>
      <c r="D3566" s="64" t="s">
        <v>5348</v>
      </c>
      <c r="E3566" s="23" t="s">
        <v>25</v>
      </c>
      <c r="F3566" s="23" t="s">
        <v>1388</v>
      </c>
      <c r="G3566" s="62" t="str">
        <f t="shared" si="8"/>
        <v>77004</v>
      </c>
      <c r="H3566" s="65"/>
      <c r="I3566" s="56"/>
      <c r="J3566" s="66"/>
      <c r="K3566" s="67"/>
      <c r="L3566" s="56"/>
      <c r="M3566" s="67"/>
      <c r="N3566" s="56"/>
      <c r="O3566" s="53"/>
      <c r="P3566" s="68"/>
      <c r="Q3566" s="69"/>
      <c r="R3566" s="68"/>
      <c r="S3566" s="70"/>
      <c r="T3566" s="67"/>
      <c r="U3566" s="56"/>
      <c r="V3566" s="56"/>
      <c r="W3566" s="71"/>
      <c r="X3566" s="71"/>
      <c r="AA3566" s="33"/>
      <c r="AB3566" s="33"/>
      <c r="AC3566" s="33"/>
      <c r="AD3566" s="33"/>
      <c r="AE3566" s="33"/>
      <c r="AF3566" s="33"/>
      <c r="AG3566" s="33"/>
      <c r="AH3566" s="33"/>
      <c r="AI3566" s="33"/>
      <c r="AJ3566" s="33"/>
      <c r="AK3566" s="33"/>
      <c r="AL3566" s="33"/>
      <c r="AM3566" s="33"/>
      <c r="AN3566" s="33"/>
      <c r="AO3566" s="33"/>
    </row>
    <row r="3567" ht="15.75" customHeight="1">
      <c r="A3567" s="60">
        <v>58166.0</v>
      </c>
      <c r="B3567" s="61">
        <v>2024.0</v>
      </c>
      <c r="C3567" s="36" t="str">
        <f t="shared" si="7"/>
        <v>2419 PANNELL ST,Houston,TX</v>
      </c>
      <c r="D3567" s="64" t="s">
        <v>5325</v>
      </c>
      <c r="E3567" s="23" t="s">
        <v>25</v>
      </c>
      <c r="F3567" s="23" t="s">
        <v>1388</v>
      </c>
      <c r="G3567" s="62" t="str">
        <f t="shared" si="8"/>
        <v>77026</v>
      </c>
      <c r="H3567" s="65"/>
      <c r="I3567" s="56"/>
      <c r="J3567" s="66"/>
      <c r="K3567" s="67"/>
      <c r="L3567" s="56"/>
      <c r="M3567" s="67"/>
      <c r="N3567" s="56"/>
      <c r="O3567" s="53"/>
      <c r="P3567" s="68"/>
      <c r="Q3567" s="69"/>
      <c r="R3567" s="68"/>
      <c r="S3567" s="70"/>
      <c r="T3567" s="67"/>
      <c r="U3567" s="56"/>
      <c r="V3567" s="56"/>
      <c r="W3567" s="71"/>
      <c r="X3567" s="71"/>
      <c r="AA3567" s="33"/>
      <c r="AB3567" s="33"/>
      <c r="AC3567" s="33"/>
      <c r="AD3567" s="33"/>
      <c r="AE3567" s="33"/>
      <c r="AF3567" s="33"/>
      <c r="AG3567" s="33"/>
      <c r="AH3567" s="33"/>
      <c r="AI3567" s="33"/>
      <c r="AJ3567" s="33"/>
      <c r="AK3567" s="33"/>
      <c r="AL3567" s="33"/>
      <c r="AM3567" s="33"/>
      <c r="AN3567" s="33"/>
      <c r="AO3567" s="33"/>
    </row>
    <row r="3568" ht="15.75" customHeight="1">
      <c r="A3568" s="60">
        <v>58171.0</v>
      </c>
      <c r="B3568" s="61">
        <v>2024.0</v>
      </c>
      <c r="C3568" s="36" t="str">
        <f t="shared" si="7"/>
        <v>6119 BACHER ST,Houston,TX</v>
      </c>
      <c r="D3568" s="64" t="s">
        <v>3122</v>
      </c>
      <c r="E3568" s="23" t="s">
        <v>25</v>
      </c>
      <c r="F3568" s="23" t="s">
        <v>1388</v>
      </c>
      <c r="G3568" s="62" t="str">
        <f t="shared" si="8"/>
        <v>77028</v>
      </c>
      <c r="H3568" s="65"/>
      <c r="I3568" s="56"/>
      <c r="J3568" s="66"/>
      <c r="K3568" s="67"/>
      <c r="L3568" s="56"/>
      <c r="M3568" s="67"/>
      <c r="N3568" s="56"/>
      <c r="O3568" s="53"/>
      <c r="P3568" s="68"/>
      <c r="Q3568" s="69"/>
      <c r="R3568" s="68"/>
      <c r="S3568" s="70"/>
      <c r="T3568" s="67"/>
      <c r="U3568" s="56"/>
      <c r="V3568" s="56"/>
      <c r="W3568" s="71"/>
      <c r="X3568" s="71"/>
      <c r="AA3568" s="33"/>
      <c r="AB3568" s="33"/>
      <c r="AC3568" s="33"/>
      <c r="AD3568" s="33"/>
      <c r="AE3568" s="33"/>
      <c r="AF3568" s="33"/>
      <c r="AG3568" s="33"/>
      <c r="AH3568" s="33"/>
      <c r="AI3568" s="33"/>
      <c r="AJ3568" s="33"/>
      <c r="AK3568" s="33"/>
      <c r="AL3568" s="33"/>
      <c r="AM3568" s="33"/>
      <c r="AN3568" s="33"/>
      <c r="AO3568" s="33"/>
    </row>
    <row r="3569" ht="15.75" customHeight="1">
      <c r="A3569" s="60">
        <v>58180.0</v>
      </c>
      <c r="B3569" s="61">
        <v>2024.0</v>
      </c>
      <c r="C3569" s="36" t="str">
        <f t="shared" si="7"/>
        <v>2320 RIVER OAKS BLVD,Houston,TX</v>
      </c>
      <c r="D3569" s="64" t="s">
        <v>5349</v>
      </c>
      <c r="E3569" s="23" t="s">
        <v>25</v>
      </c>
      <c r="F3569" s="23" t="s">
        <v>1388</v>
      </c>
      <c r="G3569" s="62" t="str">
        <f t="shared" si="8"/>
        <v>77019</v>
      </c>
      <c r="H3569" s="65"/>
      <c r="I3569" s="56"/>
      <c r="J3569" s="66"/>
      <c r="K3569" s="67"/>
      <c r="L3569" s="56"/>
      <c r="M3569" s="67"/>
      <c r="N3569" s="56"/>
      <c r="O3569" s="53"/>
      <c r="P3569" s="68"/>
      <c r="Q3569" s="69"/>
      <c r="R3569" s="68"/>
      <c r="S3569" s="70"/>
      <c r="T3569" s="67"/>
      <c r="U3569" s="56"/>
      <c r="V3569" s="56"/>
      <c r="W3569" s="71"/>
      <c r="X3569" s="71"/>
      <c r="AA3569" s="33"/>
      <c r="AB3569" s="33"/>
      <c r="AC3569" s="33"/>
      <c r="AD3569" s="33"/>
      <c r="AE3569" s="33"/>
      <c r="AF3569" s="33"/>
      <c r="AG3569" s="33"/>
      <c r="AH3569" s="33"/>
      <c r="AI3569" s="33"/>
      <c r="AJ3569" s="33"/>
      <c r="AK3569" s="33"/>
      <c r="AL3569" s="33"/>
      <c r="AM3569" s="33"/>
      <c r="AN3569" s="33"/>
      <c r="AO3569" s="33"/>
    </row>
    <row r="3570" ht="15.75" customHeight="1">
      <c r="A3570" s="60">
        <v>58193.0</v>
      </c>
      <c r="B3570" s="61">
        <v>2024.0</v>
      </c>
      <c r="C3570" s="36" t="str">
        <f t="shared" si="7"/>
        <v>4332 GARROTT ST,Houston,TX</v>
      </c>
      <c r="D3570" s="64" t="s">
        <v>5350</v>
      </c>
      <c r="E3570" s="23" t="s">
        <v>25</v>
      </c>
      <c r="F3570" s="23" t="s">
        <v>1388</v>
      </c>
      <c r="G3570" s="62" t="str">
        <f t="shared" si="8"/>
        <v>77002</v>
      </c>
      <c r="H3570" s="65"/>
      <c r="I3570" s="56"/>
      <c r="J3570" s="66"/>
      <c r="K3570" s="67"/>
      <c r="L3570" s="56"/>
      <c r="M3570" s="67"/>
      <c r="N3570" s="56"/>
      <c r="O3570" s="53"/>
      <c r="P3570" s="68"/>
      <c r="Q3570" s="69"/>
      <c r="R3570" s="68"/>
      <c r="S3570" s="70"/>
      <c r="T3570" s="67"/>
      <c r="U3570" s="56"/>
      <c r="V3570" s="56"/>
      <c r="W3570" s="71"/>
      <c r="X3570" s="71"/>
      <c r="AA3570" s="33"/>
      <c r="AB3570" s="33"/>
      <c r="AC3570" s="33"/>
      <c r="AD3570" s="33"/>
      <c r="AE3570" s="33"/>
      <c r="AF3570" s="33"/>
      <c r="AG3570" s="33"/>
      <c r="AH3570" s="33"/>
      <c r="AI3570" s="33"/>
      <c r="AJ3570" s="33"/>
      <c r="AK3570" s="33"/>
      <c r="AL3570" s="33"/>
      <c r="AM3570" s="33"/>
      <c r="AN3570" s="33"/>
      <c r="AO3570" s="33"/>
    </row>
    <row r="3571" ht="15.75" customHeight="1">
      <c r="A3571" s="60">
        <v>58012.0</v>
      </c>
      <c r="B3571" s="61">
        <v>2024.0</v>
      </c>
      <c r="C3571" s="36" t="str">
        <f t="shared" si="7"/>
        <v>10054 CHICKASAW LN,Houston,TX</v>
      </c>
      <c r="D3571" s="64" t="s">
        <v>5351</v>
      </c>
      <c r="E3571" s="23" t="s">
        <v>25</v>
      </c>
      <c r="F3571" s="23" t="s">
        <v>1388</v>
      </c>
      <c r="G3571" s="62" t="str">
        <f t="shared" si="8"/>
        <v>77041</v>
      </c>
      <c r="H3571" s="65"/>
      <c r="I3571" s="56"/>
      <c r="J3571" s="66"/>
      <c r="K3571" s="67"/>
      <c r="L3571" s="56"/>
      <c r="M3571" s="67"/>
      <c r="N3571" s="56"/>
      <c r="O3571" s="53"/>
      <c r="P3571" s="68"/>
      <c r="Q3571" s="69"/>
      <c r="R3571" s="68"/>
      <c r="S3571" s="70"/>
      <c r="T3571" s="67"/>
      <c r="U3571" s="56"/>
      <c r="V3571" s="56"/>
      <c r="W3571" s="71"/>
      <c r="X3571" s="71"/>
      <c r="AA3571" s="33"/>
      <c r="AB3571" s="33"/>
      <c r="AC3571" s="33"/>
      <c r="AD3571" s="33"/>
      <c r="AE3571" s="33"/>
      <c r="AF3571" s="33"/>
      <c r="AG3571" s="33"/>
      <c r="AH3571" s="33"/>
      <c r="AI3571" s="33"/>
      <c r="AJ3571" s="33"/>
      <c r="AK3571" s="33"/>
      <c r="AL3571" s="33"/>
      <c r="AM3571" s="33"/>
      <c r="AN3571" s="33"/>
      <c r="AO3571" s="33"/>
    </row>
    <row r="3572" ht="15.75" customHeight="1">
      <c r="A3572" s="60">
        <v>58085.0</v>
      </c>
      <c r="B3572" s="61">
        <v>2024.0</v>
      </c>
      <c r="C3572" s="36" t="str">
        <f t="shared" si="7"/>
        <v>5601 ROYAL PALMS ST,Houston,TX</v>
      </c>
      <c r="D3572" s="64" t="s">
        <v>1448</v>
      </c>
      <c r="E3572" s="23" t="s">
        <v>25</v>
      </c>
      <c r="F3572" s="23" t="s">
        <v>1388</v>
      </c>
      <c r="G3572" s="62" t="str">
        <f t="shared" si="8"/>
        <v>77021</v>
      </c>
      <c r="H3572" s="65"/>
      <c r="I3572" s="56"/>
      <c r="J3572" s="66"/>
      <c r="K3572" s="67"/>
      <c r="L3572" s="56"/>
      <c r="M3572" s="67"/>
      <c r="N3572" s="56"/>
      <c r="O3572" s="53"/>
      <c r="P3572" s="68"/>
      <c r="Q3572" s="69"/>
      <c r="R3572" s="68"/>
      <c r="S3572" s="70"/>
      <c r="T3572" s="67"/>
      <c r="U3572" s="56"/>
      <c r="V3572" s="56"/>
      <c r="W3572" s="71"/>
      <c r="X3572" s="71"/>
      <c r="AA3572" s="33"/>
      <c r="AB3572" s="33"/>
      <c r="AC3572" s="33"/>
      <c r="AD3572" s="33"/>
      <c r="AE3572" s="33"/>
      <c r="AF3572" s="33"/>
      <c r="AG3572" s="33"/>
      <c r="AH3572" s="33"/>
      <c r="AI3572" s="33"/>
      <c r="AJ3572" s="33"/>
      <c r="AK3572" s="33"/>
      <c r="AL3572" s="33"/>
      <c r="AM3572" s="33"/>
      <c r="AN3572" s="33"/>
      <c r="AO3572" s="33"/>
    </row>
    <row r="3573" ht="15.75" customHeight="1">
      <c r="A3573" s="60">
        <v>58086.0</v>
      </c>
      <c r="B3573" s="61">
        <v>2024.0</v>
      </c>
      <c r="C3573" s="36" t="str">
        <f t="shared" si="7"/>
        <v>8218 JAMES FRANKLIN ST,Houston,TX</v>
      </c>
      <c r="D3573" s="64" t="s">
        <v>5352</v>
      </c>
      <c r="E3573" s="23" t="s">
        <v>25</v>
      </c>
      <c r="F3573" s="23" t="s">
        <v>1388</v>
      </c>
      <c r="G3573" s="62" t="str">
        <f t="shared" si="8"/>
        <v>77088</v>
      </c>
      <c r="H3573" s="65"/>
      <c r="I3573" s="56"/>
      <c r="J3573" s="66"/>
      <c r="K3573" s="67"/>
      <c r="L3573" s="56"/>
      <c r="M3573" s="67"/>
      <c r="N3573" s="56"/>
      <c r="O3573" s="53"/>
      <c r="P3573" s="68"/>
      <c r="Q3573" s="69"/>
      <c r="R3573" s="68"/>
      <c r="S3573" s="70"/>
      <c r="T3573" s="67"/>
      <c r="U3573" s="56"/>
      <c r="V3573" s="56"/>
      <c r="W3573" s="71"/>
      <c r="X3573" s="71"/>
      <c r="AA3573" s="33"/>
      <c r="AB3573" s="33"/>
      <c r="AC3573" s="33"/>
      <c r="AD3573" s="33"/>
      <c r="AE3573" s="33"/>
      <c r="AF3573" s="33"/>
      <c r="AG3573" s="33"/>
      <c r="AH3573" s="33"/>
      <c r="AI3573" s="33"/>
      <c r="AJ3573" s="33"/>
      <c r="AK3573" s="33"/>
      <c r="AL3573" s="33"/>
      <c r="AM3573" s="33"/>
      <c r="AN3573" s="33"/>
      <c r="AO3573" s="33"/>
    </row>
    <row r="3574" ht="15.75" customHeight="1">
      <c r="A3574" s="60">
        <v>57877.0</v>
      </c>
      <c r="B3574" s="61">
        <v>2024.0</v>
      </c>
      <c r="C3574" s="36" t="str">
        <f t="shared" si="7"/>
        <v>3810 WILLOWICK RD,Houston,TX</v>
      </c>
      <c r="D3574" s="64" t="s">
        <v>5353</v>
      </c>
      <c r="E3574" s="23" t="s">
        <v>25</v>
      </c>
      <c r="F3574" s="23" t="s">
        <v>1388</v>
      </c>
      <c r="G3574" s="62" t="str">
        <f t="shared" si="8"/>
        <v>77019</v>
      </c>
      <c r="H3574" s="65"/>
      <c r="I3574" s="56"/>
      <c r="J3574" s="66"/>
      <c r="K3574" s="67"/>
      <c r="L3574" s="56"/>
      <c r="M3574" s="67"/>
      <c r="N3574" s="56"/>
      <c r="O3574" s="53"/>
      <c r="P3574" s="68"/>
      <c r="Q3574" s="69"/>
      <c r="R3574" s="68"/>
      <c r="S3574" s="70"/>
      <c r="T3574" s="67"/>
      <c r="U3574" s="56"/>
      <c r="V3574" s="56"/>
      <c r="W3574" s="71"/>
      <c r="X3574" s="71"/>
      <c r="AA3574" s="33"/>
      <c r="AB3574" s="33"/>
      <c r="AC3574" s="33"/>
      <c r="AD3574" s="33"/>
      <c r="AE3574" s="33"/>
      <c r="AF3574" s="33"/>
      <c r="AG3574" s="33"/>
      <c r="AH3574" s="33"/>
      <c r="AI3574" s="33"/>
      <c r="AJ3574" s="33"/>
      <c r="AK3574" s="33"/>
      <c r="AL3574" s="33"/>
      <c r="AM3574" s="33"/>
      <c r="AN3574" s="33"/>
      <c r="AO3574" s="33"/>
    </row>
    <row r="3575" ht="15.75" customHeight="1">
      <c r="A3575" s="60">
        <v>57986.0</v>
      </c>
      <c r="B3575" s="61">
        <v>2024.0</v>
      </c>
      <c r="C3575" s="36" t="str">
        <f t="shared" si="7"/>
        <v>11702 GALVESTON RD,Houston,TX</v>
      </c>
      <c r="D3575" s="64" t="s">
        <v>5354</v>
      </c>
      <c r="E3575" s="23" t="s">
        <v>25</v>
      </c>
      <c r="F3575" s="23" t="s">
        <v>1388</v>
      </c>
      <c r="G3575" s="62" t="str">
        <f t="shared" si="8"/>
        <v>77034</v>
      </c>
      <c r="H3575" s="65"/>
      <c r="I3575" s="56"/>
      <c r="J3575" s="66"/>
      <c r="K3575" s="67"/>
      <c r="L3575" s="56"/>
      <c r="M3575" s="67"/>
      <c r="N3575" s="56"/>
      <c r="O3575" s="53"/>
      <c r="P3575" s="68"/>
      <c r="Q3575" s="69"/>
      <c r="R3575" s="68"/>
      <c r="S3575" s="70"/>
      <c r="T3575" s="67"/>
      <c r="U3575" s="56"/>
      <c r="V3575" s="56"/>
      <c r="W3575" s="71"/>
      <c r="X3575" s="71"/>
      <c r="AA3575" s="33"/>
      <c r="AB3575" s="33"/>
      <c r="AC3575" s="33"/>
      <c r="AD3575" s="33"/>
      <c r="AE3575" s="33"/>
      <c r="AF3575" s="33"/>
      <c r="AG3575" s="33"/>
      <c r="AH3575" s="33"/>
      <c r="AI3575" s="33"/>
      <c r="AJ3575" s="33"/>
      <c r="AK3575" s="33"/>
      <c r="AL3575" s="33"/>
      <c r="AM3575" s="33"/>
      <c r="AN3575" s="33"/>
      <c r="AO3575" s="33"/>
    </row>
    <row r="3576" ht="15.75" customHeight="1">
      <c r="A3576" s="60">
        <v>58163.0</v>
      </c>
      <c r="B3576" s="61">
        <v>2024.0</v>
      </c>
      <c r="C3576" s="36" t="str">
        <f t="shared" si="7"/>
        <v>24021 SUNNY GLEN DR,Houston,TX</v>
      </c>
      <c r="D3576" s="64" t="s">
        <v>5355</v>
      </c>
      <c r="E3576" s="23" t="s">
        <v>25</v>
      </c>
      <c r="F3576" s="23" t="s">
        <v>1388</v>
      </c>
      <c r="G3576" s="62" t="str">
        <f t="shared" si="8"/>
        <v>77336</v>
      </c>
      <c r="H3576" s="65"/>
      <c r="I3576" s="56"/>
      <c r="J3576" s="66"/>
      <c r="K3576" s="67"/>
      <c r="L3576" s="56"/>
      <c r="M3576" s="67"/>
      <c r="N3576" s="56"/>
      <c r="O3576" s="53"/>
      <c r="P3576" s="68"/>
      <c r="Q3576" s="69"/>
      <c r="R3576" s="68"/>
      <c r="S3576" s="70"/>
      <c r="T3576" s="67"/>
      <c r="U3576" s="56"/>
      <c r="V3576" s="56"/>
      <c r="W3576" s="71"/>
      <c r="X3576" s="71"/>
      <c r="AA3576" s="33"/>
      <c r="AB3576" s="33"/>
      <c r="AC3576" s="33"/>
      <c r="AD3576" s="33"/>
      <c r="AE3576" s="33"/>
      <c r="AF3576" s="33"/>
      <c r="AG3576" s="33"/>
      <c r="AH3576" s="33"/>
      <c r="AI3576" s="33"/>
      <c r="AJ3576" s="33"/>
      <c r="AK3576" s="33"/>
      <c r="AL3576" s="33"/>
      <c r="AM3576" s="33"/>
      <c r="AN3576" s="33"/>
      <c r="AO3576" s="33"/>
    </row>
    <row r="3577" ht="15.75" customHeight="1">
      <c r="A3577" s="60">
        <v>57964.0</v>
      </c>
      <c r="B3577" s="61">
        <v>2024.0</v>
      </c>
      <c r="C3577" s="36" t="str">
        <f t="shared" si="7"/>
        <v>708 GROVE ST,Houston,TX</v>
      </c>
      <c r="D3577" s="64" t="s">
        <v>5356</v>
      </c>
      <c r="E3577" s="23" t="s">
        <v>25</v>
      </c>
      <c r="F3577" s="23" t="s">
        <v>1388</v>
      </c>
      <c r="G3577" s="62" t="str">
        <f t="shared" si="8"/>
        <v>77020</v>
      </c>
      <c r="H3577" s="65"/>
      <c r="I3577" s="56"/>
      <c r="J3577" s="66"/>
      <c r="K3577" s="67"/>
      <c r="L3577" s="56"/>
      <c r="M3577" s="67"/>
      <c r="N3577" s="56"/>
      <c r="O3577" s="53"/>
      <c r="P3577" s="68"/>
      <c r="Q3577" s="69"/>
      <c r="R3577" s="68"/>
      <c r="S3577" s="70"/>
      <c r="T3577" s="67"/>
      <c r="U3577" s="56"/>
      <c r="V3577" s="56"/>
      <c r="W3577" s="71"/>
      <c r="X3577" s="71"/>
      <c r="AA3577" s="33"/>
      <c r="AB3577" s="33"/>
      <c r="AC3577" s="33"/>
      <c r="AD3577" s="33"/>
      <c r="AE3577" s="33"/>
      <c r="AF3577" s="33"/>
      <c r="AG3577" s="33"/>
      <c r="AH3577" s="33"/>
      <c r="AI3577" s="33"/>
      <c r="AJ3577" s="33"/>
      <c r="AK3577" s="33"/>
      <c r="AL3577" s="33"/>
      <c r="AM3577" s="33"/>
      <c r="AN3577" s="33"/>
      <c r="AO3577" s="33"/>
    </row>
    <row r="3578" ht="15.75" customHeight="1">
      <c r="A3578" s="60">
        <v>57790.0</v>
      </c>
      <c r="B3578" s="61">
        <v>2024.0</v>
      </c>
      <c r="C3578" s="36" t="str">
        <f t="shared" si="7"/>
        <v>13105 NORTHWEST FWY,Houston,TX</v>
      </c>
      <c r="D3578" s="64" t="s">
        <v>5266</v>
      </c>
      <c r="E3578" s="23" t="s">
        <v>25</v>
      </c>
      <c r="F3578" s="23" t="s">
        <v>1388</v>
      </c>
      <c r="G3578" s="62" t="str">
        <f t="shared" si="8"/>
        <v>77040</v>
      </c>
      <c r="H3578" s="65"/>
      <c r="I3578" s="56"/>
      <c r="J3578" s="66"/>
      <c r="K3578" s="67"/>
      <c r="L3578" s="56"/>
      <c r="M3578" s="67"/>
      <c r="N3578" s="56"/>
      <c r="O3578" s="53"/>
      <c r="P3578" s="68"/>
      <c r="Q3578" s="69"/>
      <c r="R3578" s="68"/>
      <c r="S3578" s="70"/>
      <c r="T3578" s="67"/>
      <c r="U3578" s="56"/>
      <c r="V3578" s="56"/>
      <c r="W3578" s="71"/>
      <c r="X3578" s="71"/>
      <c r="AA3578" s="33"/>
      <c r="AB3578" s="33"/>
      <c r="AC3578" s="33"/>
      <c r="AD3578" s="33"/>
      <c r="AE3578" s="33"/>
      <c r="AF3578" s="33"/>
      <c r="AG3578" s="33"/>
      <c r="AH3578" s="33"/>
      <c r="AI3578" s="33"/>
      <c r="AJ3578" s="33"/>
      <c r="AK3578" s="33"/>
      <c r="AL3578" s="33"/>
      <c r="AM3578" s="33"/>
      <c r="AN3578" s="33"/>
      <c r="AO3578" s="33"/>
    </row>
    <row r="3579" ht="15.75" customHeight="1">
      <c r="A3579" s="60">
        <v>57802.0</v>
      </c>
      <c r="B3579" s="61">
        <v>2024.0</v>
      </c>
      <c r="C3579" s="36" t="str">
        <f t="shared" si="7"/>
        <v>3834 SEARLE DR,Houston,TX</v>
      </c>
      <c r="D3579" s="64" t="s">
        <v>5357</v>
      </c>
      <c r="E3579" s="23" t="s">
        <v>25</v>
      </c>
      <c r="F3579" s="23" t="s">
        <v>1388</v>
      </c>
      <c r="G3579" s="62" t="str">
        <f t="shared" si="8"/>
        <v>77009</v>
      </c>
      <c r="H3579" s="65"/>
      <c r="I3579" s="56"/>
      <c r="J3579" s="66"/>
      <c r="K3579" s="67"/>
      <c r="L3579" s="56"/>
      <c r="M3579" s="67"/>
      <c r="N3579" s="56"/>
      <c r="O3579" s="53"/>
      <c r="P3579" s="68"/>
      <c r="Q3579" s="69"/>
      <c r="R3579" s="68"/>
      <c r="S3579" s="70"/>
      <c r="T3579" s="67"/>
      <c r="U3579" s="56"/>
      <c r="V3579" s="56"/>
      <c r="W3579" s="71"/>
      <c r="X3579" s="71"/>
      <c r="AA3579" s="33"/>
      <c r="AB3579" s="33"/>
      <c r="AC3579" s="33"/>
      <c r="AD3579" s="33"/>
      <c r="AE3579" s="33"/>
      <c r="AF3579" s="33"/>
      <c r="AG3579" s="33"/>
      <c r="AH3579" s="33"/>
      <c r="AI3579" s="33"/>
      <c r="AJ3579" s="33"/>
      <c r="AK3579" s="33"/>
      <c r="AL3579" s="33"/>
      <c r="AM3579" s="33"/>
      <c r="AN3579" s="33"/>
      <c r="AO3579" s="33"/>
    </row>
    <row r="3580" ht="15.75" customHeight="1">
      <c r="A3580" s="60">
        <v>57831.0</v>
      </c>
      <c r="B3580" s="61">
        <v>2024.0</v>
      </c>
      <c r="C3580" s="36" t="str">
        <f t="shared" si="7"/>
        <v>2205 SINGLETON ST,Houston,TX</v>
      </c>
      <c r="D3580" s="64" t="s">
        <v>5358</v>
      </c>
      <c r="E3580" s="23" t="s">
        <v>25</v>
      </c>
      <c r="F3580" s="23" t="s">
        <v>1388</v>
      </c>
      <c r="G3580" s="62" t="str">
        <f t="shared" si="8"/>
        <v>77008</v>
      </c>
      <c r="H3580" s="65"/>
      <c r="I3580" s="56"/>
      <c r="J3580" s="66"/>
      <c r="K3580" s="67"/>
      <c r="L3580" s="56"/>
      <c r="M3580" s="67"/>
      <c r="N3580" s="56"/>
      <c r="O3580" s="53"/>
      <c r="P3580" s="68"/>
      <c r="Q3580" s="69"/>
      <c r="R3580" s="68"/>
      <c r="S3580" s="70"/>
      <c r="T3580" s="67"/>
      <c r="U3580" s="56"/>
      <c r="V3580" s="56"/>
      <c r="W3580" s="71"/>
      <c r="X3580" s="71"/>
      <c r="AA3580" s="33"/>
      <c r="AB3580" s="33"/>
      <c r="AC3580" s="33"/>
      <c r="AD3580" s="33"/>
      <c r="AE3580" s="33"/>
      <c r="AF3580" s="33"/>
      <c r="AG3580" s="33"/>
      <c r="AH3580" s="33"/>
      <c r="AI3580" s="33"/>
      <c r="AJ3580" s="33"/>
      <c r="AK3580" s="33"/>
      <c r="AL3580" s="33"/>
      <c r="AM3580" s="33"/>
      <c r="AN3580" s="33"/>
      <c r="AO3580" s="33"/>
    </row>
    <row r="3581" ht="15.75" customHeight="1">
      <c r="A3581" s="60">
        <v>57993.0</v>
      </c>
      <c r="B3581" s="61">
        <v>2024.0</v>
      </c>
      <c r="C3581" s="36" t="str">
        <f t="shared" si="7"/>
        <v>3308 VINTAGE ST,Houston,TX</v>
      </c>
      <c r="D3581" s="64" t="s">
        <v>5359</v>
      </c>
      <c r="E3581" s="23" t="s">
        <v>25</v>
      </c>
      <c r="F3581" s="23" t="s">
        <v>1388</v>
      </c>
      <c r="G3581" s="62" t="str">
        <f t="shared" si="8"/>
        <v>77026</v>
      </c>
      <c r="H3581" s="65"/>
      <c r="I3581" s="56"/>
      <c r="J3581" s="66"/>
      <c r="K3581" s="67"/>
      <c r="L3581" s="56"/>
      <c r="M3581" s="67"/>
      <c r="N3581" s="56"/>
      <c r="O3581" s="53"/>
      <c r="P3581" s="68"/>
      <c r="Q3581" s="69"/>
      <c r="R3581" s="68"/>
      <c r="S3581" s="70"/>
      <c r="T3581" s="67"/>
      <c r="U3581" s="56"/>
      <c r="V3581" s="56"/>
      <c r="W3581" s="71"/>
      <c r="X3581" s="71"/>
      <c r="AA3581" s="33"/>
      <c r="AB3581" s="33"/>
      <c r="AC3581" s="33"/>
      <c r="AD3581" s="33"/>
      <c r="AE3581" s="33"/>
      <c r="AF3581" s="33"/>
      <c r="AG3581" s="33"/>
      <c r="AH3581" s="33"/>
      <c r="AI3581" s="33"/>
      <c r="AJ3581" s="33"/>
      <c r="AK3581" s="33"/>
      <c r="AL3581" s="33"/>
      <c r="AM3581" s="33"/>
      <c r="AN3581" s="33"/>
      <c r="AO3581" s="33"/>
    </row>
    <row r="3582" ht="15.75" customHeight="1">
      <c r="A3582" s="60">
        <v>57953.0</v>
      </c>
      <c r="B3582" s="61">
        <v>2024.0</v>
      </c>
      <c r="C3582" s="36" t="str">
        <f t="shared" si="7"/>
        <v>10400 ROTHBURY ST,Houston,TX</v>
      </c>
      <c r="D3582" s="64" t="s">
        <v>5360</v>
      </c>
      <c r="E3582" s="23" t="s">
        <v>25</v>
      </c>
      <c r="F3582" s="23" t="s">
        <v>1388</v>
      </c>
      <c r="G3582" s="62" t="str">
        <f t="shared" si="8"/>
        <v>77043</v>
      </c>
      <c r="H3582" s="65"/>
      <c r="I3582" s="56"/>
      <c r="J3582" s="66"/>
      <c r="K3582" s="67"/>
      <c r="L3582" s="56"/>
      <c r="M3582" s="67"/>
      <c r="N3582" s="56"/>
      <c r="O3582" s="53"/>
      <c r="P3582" s="68"/>
      <c r="Q3582" s="69"/>
      <c r="R3582" s="68"/>
      <c r="S3582" s="70"/>
      <c r="T3582" s="67"/>
      <c r="U3582" s="56"/>
      <c r="V3582" s="56"/>
      <c r="W3582" s="71"/>
      <c r="X3582" s="71"/>
      <c r="AA3582" s="33"/>
      <c r="AB3582" s="33"/>
      <c r="AC3582" s="33"/>
      <c r="AD3582" s="33"/>
      <c r="AE3582" s="33"/>
      <c r="AF3582" s="33"/>
      <c r="AG3582" s="33"/>
      <c r="AH3582" s="33"/>
      <c r="AI3582" s="33"/>
      <c r="AJ3582" s="33"/>
      <c r="AK3582" s="33"/>
      <c r="AL3582" s="33"/>
      <c r="AM3582" s="33"/>
      <c r="AN3582" s="33"/>
      <c r="AO3582" s="33"/>
    </row>
    <row r="3583" ht="15.75" customHeight="1">
      <c r="A3583" s="60">
        <v>57968.0</v>
      </c>
      <c r="B3583" s="61">
        <v>2024.0</v>
      </c>
      <c r="C3583" s="36" t="str">
        <f t="shared" si="7"/>
        <v>4402 VERNON ST,Houston,TX</v>
      </c>
      <c r="D3583" s="64" t="s">
        <v>5361</v>
      </c>
      <c r="E3583" s="23" t="s">
        <v>25</v>
      </c>
      <c r="F3583" s="23" t="s">
        <v>1388</v>
      </c>
      <c r="G3583" s="62" t="str">
        <f t="shared" si="8"/>
        <v>77020</v>
      </c>
      <c r="H3583" s="65"/>
      <c r="I3583" s="56"/>
      <c r="J3583" s="66"/>
      <c r="K3583" s="67"/>
      <c r="L3583" s="56"/>
      <c r="M3583" s="67"/>
      <c r="N3583" s="56"/>
      <c r="O3583" s="53"/>
      <c r="P3583" s="68"/>
      <c r="Q3583" s="69"/>
      <c r="R3583" s="68"/>
      <c r="S3583" s="70"/>
      <c r="T3583" s="67"/>
      <c r="U3583" s="56"/>
      <c r="V3583" s="56"/>
      <c r="W3583" s="71"/>
      <c r="X3583" s="71"/>
      <c r="AA3583" s="33"/>
      <c r="AB3583" s="33"/>
      <c r="AC3583" s="33"/>
      <c r="AD3583" s="33"/>
      <c r="AE3583" s="33"/>
      <c r="AF3583" s="33"/>
      <c r="AG3583" s="33"/>
      <c r="AH3583" s="33"/>
      <c r="AI3583" s="33"/>
      <c r="AJ3583" s="33"/>
      <c r="AK3583" s="33"/>
      <c r="AL3583" s="33"/>
      <c r="AM3583" s="33"/>
      <c r="AN3583" s="33"/>
      <c r="AO3583" s="33"/>
    </row>
    <row r="3584" ht="15.75" customHeight="1">
      <c r="A3584" s="60">
        <v>57969.0</v>
      </c>
      <c r="B3584" s="61">
        <v>2024.0</v>
      </c>
      <c r="C3584" s="36" t="str">
        <f t="shared" si="7"/>
        <v>4402 VERNON ST,Houston,TX</v>
      </c>
      <c r="D3584" s="64" t="s">
        <v>5361</v>
      </c>
      <c r="E3584" s="23" t="s">
        <v>25</v>
      </c>
      <c r="F3584" s="23" t="s">
        <v>1388</v>
      </c>
      <c r="G3584" s="62" t="str">
        <f t="shared" si="8"/>
        <v>77020</v>
      </c>
      <c r="H3584" s="65"/>
      <c r="I3584" s="56"/>
      <c r="J3584" s="66"/>
      <c r="K3584" s="67"/>
      <c r="L3584" s="56"/>
      <c r="M3584" s="67"/>
      <c r="N3584" s="56"/>
      <c r="O3584" s="53"/>
      <c r="P3584" s="68"/>
      <c r="Q3584" s="69"/>
      <c r="R3584" s="68"/>
      <c r="S3584" s="70"/>
      <c r="T3584" s="67"/>
      <c r="U3584" s="56"/>
      <c r="V3584" s="56"/>
      <c r="W3584" s="71"/>
      <c r="X3584" s="71"/>
      <c r="AA3584" s="33"/>
      <c r="AB3584" s="33"/>
      <c r="AC3584" s="33"/>
      <c r="AD3584" s="33"/>
      <c r="AE3584" s="33"/>
      <c r="AF3584" s="33"/>
      <c r="AG3584" s="33"/>
      <c r="AH3584" s="33"/>
      <c r="AI3584" s="33"/>
      <c r="AJ3584" s="33"/>
      <c r="AK3584" s="33"/>
      <c r="AL3584" s="33"/>
      <c r="AM3584" s="33"/>
      <c r="AN3584" s="33"/>
      <c r="AO3584" s="33"/>
    </row>
    <row r="3585" ht="15.75" customHeight="1">
      <c r="A3585" s="60">
        <v>57777.0</v>
      </c>
      <c r="B3585" s="61">
        <v>2024.0</v>
      </c>
      <c r="C3585" s="36" t="str">
        <f t="shared" si="7"/>
        <v>5502 CARILLO DR,Houston,TX</v>
      </c>
      <c r="D3585" s="64" t="s">
        <v>5362</v>
      </c>
      <c r="E3585" s="23" t="s">
        <v>25</v>
      </c>
      <c r="F3585" s="23" t="s">
        <v>1388</v>
      </c>
      <c r="G3585" s="62" t="str">
        <f t="shared" si="8"/>
        <v>77091</v>
      </c>
      <c r="H3585" s="65"/>
      <c r="I3585" s="56"/>
      <c r="J3585" s="66"/>
      <c r="K3585" s="67"/>
      <c r="L3585" s="56"/>
      <c r="M3585" s="67"/>
      <c r="N3585" s="56"/>
      <c r="O3585" s="53"/>
      <c r="P3585" s="68"/>
      <c r="Q3585" s="69"/>
      <c r="R3585" s="68"/>
      <c r="S3585" s="70"/>
      <c r="T3585" s="67"/>
      <c r="U3585" s="56"/>
      <c r="V3585" s="56"/>
      <c r="W3585" s="71"/>
      <c r="X3585" s="71"/>
      <c r="AA3585" s="33"/>
      <c r="AB3585" s="33"/>
      <c r="AC3585" s="33"/>
      <c r="AD3585" s="33"/>
      <c r="AE3585" s="33"/>
      <c r="AF3585" s="33"/>
      <c r="AG3585" s="33"/>
      <c r="AH3585" s="33"/>
      <c r="AI3585" s="33"/>
      <c r="AJ3585" s="33"/>
      <c r="AK3585" s="33"/>
      <c r="AL3585" s="33"/>
      <c r="AM3585" s="33"/>
      <c r="AN3585" s="33"/>
      <c r="AO3585" s="33"/>
    </row>
    <row r="3586" ht="15.75" customHeight="1">
      <c r="A3586" s="60">
        <v>57798.0</v>
      </c>
      <c r="B3586" s="61">
        <v>2024.0</v>
      </c>
      <c r="C3586" s="36" t="str">
        <f t="shared" si="7"/>
        <v>1111 SHEPHERD DR,Houston,TX</v>
      </c>
      <c r="D3586" s="64" t="s">
        <v>5363</v>
      </c>
      <c r="E3586" s="23" t="s">
        <v>25</v>
      </c>
      <c r="F3586" s="23" t="s">
        <v>1388</v>
      </c>
      <c r="G3586" s="62" t="str">
        <f t="shared" si="8"/>
        <v>77007</v>
      </c>
      <c r="H3586" s="65"/>
      <c r="I3586" s="56"/>
      <c r="J3586" s="66"/>
      <c r="K3586" s="67"/>
      <c r="L3586" s="56"/>
      <c r="M3586" s="67"/>
      <c r="N3586" s="56"/>
      <c r="O3586" s="53"/>
      <c r="P3586" s="68"/>
      <c r="Q3586" s="69"/>
      <c r="R3586" s="68"/>
      <c r="S3586" s="70"/>
      <c r="T3586" s="67"/>
      <c r="U3586" s="56"/>
      <c r="V3586" s="56"/>
      <c r="W3586" s="71"/>
      <c r="X3586" s="71"/>
      <c r="AA3586" s="33"/>
      <c r="AB3586" s="33"/>
      <c r="AC3586" s="33"/>
      <c r="AD3586" s="33"/>
      <c r="AE3586" s="33"/>
      <c r="AF3586" s="33"/>
      <c r="AG3586" s="33"/>
      <c r="AH3586" s="33"/>
      <c r="AI3586" s="33"/>
      <c r="AJ3586" s="33"/>
      <c r="AK3586" s="33"/>
      <c r="AL3586" s="33"/>
      <c r="AM3586" s="33"/>
      <c r="AN3586" s="33"/>
      <c r="AO3586" s="33"/>
    </row>
    <row r="3587" ht="15.75" customHeight="1">
      <c r="A3587" s="60">
        <v>57807.0</v>
      </c>
      <c r="B3587" s="61">
        <v>2024.0</v>
      </c>
      <c r="C3587" s="36" t="str">
        <f t="shared" si="7"/>
        <v>8181 EL MUNDO ST,Houston,TX</v>
      </c>
      <c r="D3587" s="64" t="s">
        <v>5364</v>
      </c>
      <c r="E3587" s="23" t="s">
        <v>25</v>
      </c>
      <c r="F3587" s="23" t="s">
        <v>1388</v>
      </c>
      <c r="G3587" s="62" t="str">
        <f t="shared" si="8"/>
        <v>77054</v>
      </c>
      <c r="H3587" s="65"/>
      <c r="I3587" s="56"/>
      <c r="J3587" s="66"/>
      <c r="K3587" s="67"/>
      <c r="L3587" s="56"/>
      <c r="M3587" s="67"/>
      <c r="N3587" s="56"/>
      <c r="O3587" s="53"/>
      <c r="P3587" s="68"/>
      <c r="Q3587" s="69"/>
      <c r="R3587" s="68"/>
      <c r="S3587" s="70"/>
      <c r="T3587" s="67"/>
      <c r="U3587" s="56"/>
      <c r="V3587" s="56"/>
      <c r="W3587" s="71"/>
      <c r="X3587" s="71"/>
      <c r="AA3587" s="33"/>
      <c r="AB3587" s="33"/>
      <c r="AC3587" s="33"/>
      <c r="AD3587" s="33"/>
      <c r="AE3587" s="33"/>
      <c r="AF3587" s="33"/>
      <c r="AG3587" s="33"/>
      <c r="AH3587" s="33"/>
      <c r="AI3587" s="33"/>
      <c r="AJ3587" s="33"/>
      <c r="AK3587" s="33"/>
      <c r="AL3587" s="33"/>
      <c r="AM3587" s="33"/>
      <c r="AN3587" s="33"/>
      <c r="AO3587" s="33"/>
    </row>
    <row r="3588" ht="15.75" customHeight="1">
      <c r="A3588" s="60">
        <v>57811.0</v>
      </c>
      <c r="B3588" s="61">
        <v>2024.0</v>
      </c>
      <c r="C3588" s="36" t="str">
        <f t="shared" si="7"/>
        <v>4634 2/3 NAVIGATION BLVD,Houston,TX</v>
      </c>
      <c r="D3588" s="64" t="s">
        <v>5365</v>
      </c>
      <c r="E3588" s="23" t="s">
        <v>25</v>
      </c>
      <c r="F3588" s="23" t="s">
        <v>1388</v>
      </c>
      <c r="G3588" s="62" t="str">
        <f t="shared" si="8"/>
        <v>77011</v>
      </c>
      <c r="H3588" s="65"/>
      <c r="I3588" s="56"/>
      <c r="J3588" s="66"/>
      <c r="K3588" s="67"/>
      <c r="L3588" s="56"/>
      <c r="M3588" s="67"/>
      <c r="N3588" s="56"/>
      <c r="O3588" s="53"/>
      <c r="P3588" s="68"/>
      <c r="Q3588" s="69"/>
      <c r="R3588" s="68"/>
      <c r="S3588" s="70"/>
      <c r="T3588" s="67"/>
      <c r="U3588" s="56"/>
      <c r="V3588" s="56"/>
      <c r="W3588" s="71"/>
      <c r="X3588" s="71"/>
      <c r="AA3588" s="33"/>
      <c r="AB3588" s="33"/>
      <c r="AC3588" s="33"/>
      <c r="AD3588" s="33"/>
      <c r="AE3588" s="33"/>
      <c r="AF3588" s="33"/>
      <c r="AG3588" s="33"/>
      <c r="AH3588" s="33"/>
      <c r="AI3588" s="33"/>
      <c r="AJ3588" s="33"/>
      <c r="AK3588" s="33"/>
      <c r="AL3588" s="33"/>
      <c r="AM3588" s="33"/>
      <c r="AN3588" s="33"/>
      <c r="AO3588" s="33"/>
    </row>
    <row r="3589" ht="15.75" customHeight="1">
      <c r="A3589" s="60">
        <v>57814.0</v>
      </c>
      <c r="B3589" s="61">
        <v>2024.0</v>
      </c>
      <c r="C3589" s="36" t="str">
        <f t="shared" si="7"/>
        <v>1178 HEMPSTEAD VILLA LN,Houston,TX</v>
      </c>
      <c r="D3589" s="64" t="s">
        <v>5366</v>
      </c>
      <c r="E3589" s="23" t="s">
        <v>25</v>
      </c>
      <c r="F3589" s="23" t="s">
        <v>1388</v>
      </c>
      <c r="G3589" s="62" t="str">
        <f t="shared" si="8"/>
        <v>77008</v>
      </c>
      <c r="H3589" s="65"/>
      <c r="I3589" s="56"/>
      <c r="J3589" s="66"/>
      <c r="K3589" s="67"/>
      <c r="L3589" s="56"/>
      <c r="M3589" s="67"/>
      <c r="N3589" s="56"/>
      <c r="O3589" s="53"/>
      <c r="P3589" s="68"/>
      <c r="Q3589" s="69"/>
      <c r="R3589" s="68"/>
      <c r="S3589" s="70"/>
      <c r="T3589" s="67"/>
      <c r="U3589" s="56"/>
      <c r="V3589" s="56"/>
      <c r="W3589" s="71"/>
      <c r="X3589" s="71"/>
      <c r="AA3589" s="33"/>
      <c r="AB3589" s="33"/>
      <c r="AC3589" s="33"/>
      <c r="AD3589" s="33"/>
      <c r="AE3589" s="33"/>
      <c r="AF3589" s="33"/>
      <c r="AG3589" s="33"/>
      <c r="AH3589" s="33"/>
      <c r="AI3589" s="33"/>
      <c r="AJ3589" s="33"/>
      <c r="AK3589" s="33"/>
      <c r="AL3589" s="33"/>
      <c r="AM3589" s="33"/>
      <c r="AN3589" s="33"/>
      <c r="AO3589" s="33"/>
    </row>
    <row r="3590" ht="15.75" customHeight="1">
      <c r="A3590" s="60">
        <v>57815.0</v>
      </c>
      <c r="B3590" s="61">
        <v>2024.0</v>
      </c>
      <c r="C3590" s="36" t="str">
        <f t="shared" si="7"/>
        <v>4701 PEASE ST,Houston,TX</v>
      </c>
      <c r="D3590" s="64" t="s">
        <v>738</v>
      </c>
      <c r="E3590" s="23" t="s">
        <v>25</v>
      </c>
      <c r="F3590" s="23" t="s">
        <v>1388</v>
      </c>
      <c r="G3590" s="62" t="str">
        <f t="shared" si="8"/>
        <v>77023</v>
      </c>
      <c r="H3590" s="65"/>
      <c r="I3590" s="56"/>
      <c r="J3590" s="66"/>
      <c r="K3590" s="67"/>
      <c r="L3590" s="56"/>
      <c r="M3590" s="67"/>
      <c r="N3590" s="56"/>
      <c r="O3590" s="53"/>
      <c r="P3590" s="68"/>
      <c r="Q3590" s="69"/>
      <c r="R3590" s="68"/>
      <c r="S3590" s="70"/>
      <c r="T3590" s="67"/>
      <c r="U3590" s="56"/>
      <c r="V3590" s="56"/>
      <c r="W3590" s="71"/>
      <c r="X3590" s="71"/>
      <c r="AA3590" s="33"/>
      <c r="AB3590" s="33"/>
      <c r="AC3590" s="33"/>
      <c r="AD3590" s="33"/>
      <c r="AE3590" s="33"/>
      <c r="AF3590" s="33"/>
      <c r="AG3590" s="33"/>
      <c r="AH3590" s="33"/>
      <c r="AI3590" s="33"/>
      <c r="AJ3590" s="33"/>
      <c r="AK3590" s="33"/>
      <c r="AL3590" s="33"/>
      <c r="AM3590" s="33"/>
      <c r="AN3590" s="33"/>
      <c r="AO3590" s="33"/>
    </row>
    <row r="3591" ht="15.75" customHeight="1">
      <c r="A3591" s="60">
        <v>57816.0</v>
      </c>
      <c r="B3591" s="61">
        <v>2024.0</v>
      </c>
      <c r="C3591" s="36" t="str">
        <f t="shared" si="7"/>
        <v>1301 WAYSIDE DR,Houston,TX</v>
      </c>
      <c r="D3591" s="64" t="s">
        <v>459</v>
      </c>
      <c r="E3591" s="23" t="s">
        <v>25</v>
      </c>
      <c r="F3591" s="23" t="s">
        <v>1388</v>
      </c>
      <c r="G3591" s="62" t="str">
        <f t="shared" si="8"/>
        <v>77011</v>
      </c>
      <c r="H3591" s="65"/>
      <c r="I3591" s="56"/>
      <c r="J3591" s="66"/>
      <c r="K3591" s="67"/>
      <c r="L3591" s="56"/>
      <c r="M3591" s="67"/>
      <c r="N3591" s="56"/>
      <c r="O3591" s="53"/>
      <c r="P3591" s="68"/>
      <c r="Q3591" s="69"/>
      <c r="R3591" s="68"/>
      <c r="S3591" s="70"/>
      <c r="T3591" s="67"/>
      <c r="U3591" s="56"/>
      <c r="V3591" s="56"/>
      <c r="W3591" s="71"/>
      <c r="X3591" s="71"/>
      <c r="AA3591" s="33"/>
      <c r="AB3591" s="33"/>
      <c r="AC3591" s="33"/>
      <c r="AD3591" s="33"/>
      <c r="AE3591" s="33"/>
      <c r="AF3591" s="33"/>
      <c r="AG3591" s="33"/>
      <c r="AH3591" s="33"/>
      <c r="AI3591" s="33"/>
      <c r="AJ3591" s="33"/>
      <c r="AK3591" s="33"/>
      <c r="AL3591" s="33"/>
      <c r="AM3591" s="33"/>
      <c r="AN3591" s="33"/>
      <c r="AO3591" s="33"/>
    </row>
    <row r="3592" ht="15.75" customHeight="1">
      <c r="A3592" s="60">
        <v>57824.0</v>
      </c>
      <c r="B3592" s="61">
        <v>2024.0</v>
      </c>
      <c r="C3592" s="36" t="str">
        <f t="shared" si="7"/>
        <v>214 20TH ST,Houston,TX</v>
      </c>
      <c r="D3592" s="64" t="s">
        <v>5367</v>
      </c>
      <c r="E3592" s="23" t="s">
        <v>25</v>
      </c>
      <c r="F3592" s="23" t="s">
        <v>1388</v>
      </c>
      <c r="G3592" s="62" t="str">
        <f t="shared" si="8"/>
        <v>77008</v>
      </c>
      <c r="H3592" s="65"/>
      <c r="I3592" s="56"/>
      <c r="J3592" s="66"/>
      <c r="K3592" s="67"/>
      <c r="L3592" s="56"/>
      <c r="M3592" s="67"/>
      <c r="N3592" s="56"/>
      <c r="O3592" s="53"/>
      <c r="P3592" s="68"/>
      <c r="Q3592" s="69"/>
      <c r="R3592" s="68"/>
      <c r="S3592" s="70"/>
      <c r="T3592" s="67"/>
      <c r="U3592" s="56"/>
      <c r="V3592" s="56"/>
      <c r="W3592" s="71"/>
      <c r="X3592" s="71"/>
      <c r="AA3592" s="33"/>
      <c r="AB3592" s="33"/>
      <c r="AC3592" s="33"/>
      <c r="AD3592" s="33"/>
      <c r="AE3592" s="33"/>
      <c r="AF3592" s="33"/>
      <c r="AG3592" s="33"/>
      <c r="AH3592" s="33"/>
      <c r="AI3592" s="33"/>
      <c r="AJ3592" s="33"/>
      <c r="AK3592" s="33"/>
      <c r="AL3592" s="33"/>
      <c r="AM3592" s="33"/>
      <c r="AN3592" s="33"/>
      <c r="AO3592" s="33"/>
    </row>
    <row r="3593" ht="15.75" customHeight="1">
      <c r="A3593" s="60">
        <v>57827.0</v>
      </c>
      <c r="B3593" s="61">
        <v>2024.0</v>
      </c>
      <c r="C3593" s="36" t="str">
        <f t="shared" si="7"/>
        <v>8306 SOUTHWEST FWY,Houston,TX</v>
      </c>
      <c r="D3593" s="64" t="s">
        <v>5368</v>
      </c>
      <c r="E3593" s="23" t="s">
        <v>25</v>
      </c>
      <c r="F3593" s="23" t="s">
        <v>1388</v>
      </c>
      <c r="G3593" s="62" t="str">
        <f t="shared" si="8"/>
        <v>77074</v>
      </c>
      <c r="H3593" s="65"/>
      <c r="I3593" s="56"/>
      <c r="J3593" s="66"/>
      <c r="K3593" s="67"/>
      <c r="L3593" s="56"/>
      <c r="M3593" s="67"/>
      <c r="N3593" s="56"/>
      <c r="O3593" s="53"/>
      <c r="P3593" s="68"/>
      <c r="Q3593" s="69"/>
      <c r="R3593" s="68"/>
      <c r="S3593" s="70"/>
      <c r="T3593" s="67"/>
      <c r="U3593" s="56"/>
      <c r="V3593" s="56"/>
      <c r="W3593" s="71"/>
      <c r="X3593" s="71"/>
      <c r="AA3593" s="33"/>
      <c r="AB3593" s="33"/>
      <c r="AC3593" s="33"/>
      <c r="AD3593" s="33"/>
      <c r="AE3593" s="33"/>
      <c r="AF3593" s="33"/>
      <c r="AG3593" s="33"/>
      <c r="AH3593" s="33"/>
      <c r="AI3593" s="33"/>
      <c r="AJ3593" s="33"/>
      <c r="AK3593" s="33"/>
      <c r="AL3593" s="33"/>
      <c r="AM3593" s="33"/>
      <c r="AN3593" s="33"/>
      <c r="AO3593" s="33"/>
    </row>
    <row r="3594" ht="15.75" customHeight="1">
      <c r="A3594" s="60">
        <v>57841.0</v>
      </c>
      <c r="B3594" s="61">
        <v>2024.0</v>
      </c>
      <c r="C3594" s="36" t="str">
        <f t="shared" si="7"/>
        <v>2600 MID LN,Houston,TX</v>
      </c>
      <c r="D3594" s="64" t="s">
        <v>5369</v>
      </c>
      <c r="E3594" s="23" t="s">
        <v>25</v>
      </c>
      <c r="F3594" s="23" t="s">
        <v>1388</v>
      </c>
      <c r="G3594" s="62" t="str">
        <f t="shared" si="8"/>
        <v>77027</v>
      </c>
      <c r="H3594" s="65"/>
      <c r="I3594" s="56"/>
      <c r="J3594" s="66"/>
      <c r="K3594" s="67"/>
      <c r="L3594" s="56"/>
      <c r="M3594" s="67"/>
      <c r="N3594" s="56"/>
      <c r="O3594" s="53"/>
      <c r="P3594" s="68"/>
      <c r="Q3594" s="69"/>
      <c r="R3594" s="68"/>
      <c r="S3594" s="70"/>
      <c r="T3594" s="67"/>
      <c r="U3594" s="56"/>
      <c r="V3594" s="56"/>
      <c r="W3594" s="71"/>
      <c r="X3594" s="71"/>
      <c r="AA3594" s="33"/>
      <c r="AB3594" s="33"/>
      <c r="AC3594" s="33"/>
      <c r="AD3594" s="33"/>
      <c r="AE3594" s="33"/>
      <c r="AF3594" s="33"/>
      <c r="AG3594" s="33"/>
      <c r="AH3594" s="33"/>
      <c r="AI3594" s="33"/>
      <c r="AJ3594" s="33"/>
      <c r="AK3594" s="33"/>
      <c r="AL3594" s="33"/>
      <c r="AM3594" s="33"/>
      <c r="AN3594" s="33"/>
      <c r="AO3594" s="33"/>
    </row>
    <row r="3595" ht="15.75" customHeight="1">
      <c r="A3595" s="60">
        <v>57842.0</v>
      </c>
      <c r="B3595" s="61">
        <v>2024.0</v>
      </c>
      <c r="C3595" s="36" t="str">
        <f t="shared" si="7"/>
        <v>10003 WILLOWGROVE DR,Houston,TX</v>
      </c>
      <c r="D3595" s="64" t="s">
        <v>5370</v>
      </c>
      <c r="E3595" s="23" t="s">
        <v>25</v>
      </c>
      <c r="F3595" s="23" t="s">
        <v>1388</v>
      </c>
      <c r="G3595" s="62" t="str">
        <f t="shared" si="8"/>
        <v>77035</v>
      </c>
      <c r="H3595" s="65"/>
      <c r="I3595" s="56"/>
      <c r="J3595" s="66"/>
      <c r="K3595" s="67"/>
      <c r="L3595" s="56"/>
      <c r="M3595" s="67"/>
      <c r="N3595" s="56"/>
      <c r="O3595" s="53"/>
      <c r="P3595" s="68"/>
      <c r="Q3595" s="69"/>
      <c r="R3595" s="68"/>
      <c r="S3595" s="70"/>
      <c r="T3595" s="67"/>
      <c r="U3595" s="56"/>
      <c r="V3595" s="56"/>
      <c r="W3595" s="71"/>
      <c r="X3595" s="71"/>
      <c r="AA3595" s="33"/>
      <c r="AB3595" s="33"/>
      <c r="AC3595" s="33"/>
      <c r="AD3595" s="33"/>
      <c r="AE3595" s="33"/>
      <c r="AF3595" s="33"/>
      <c r="AG3595" s="33"/>
      <c r="AH3595" s="33"/>
      <c r="AI3595" s="33"/>
      <c r="AJ3595" s="33"/>
      <c r="AK3595" s="33"/>
      <c r="AL3595" s="33"/>
      <c r="AM3595" s="33"/>
      <c r="AN3595" s="33"/>
      <c r="AO3595" s="33"/>
    </row>
    <row r="3596" ht="15.75" customHeight="1">
      <c r="A3596" s="60">
        <v>57860.0</v>
      </c>
      <c r="B3596" s="61">
        <v>2024.0</v>
      </c>
      <c r="C3596" s="36" t="str">
        <f t="shared" si="7"/>
        <v>11503 SAGEDOWNE LN,Houston,TX</v>
      </c>
      <c r="D3596" s="64" t="s">
        <v>5178</v>
      </c>
      <c r="E3596" s="23" t="s">
        <v>25</v>
      </c>
      <c r="F3596" s="23" t="s">
        <v>1388</v>
      </c>
      <c r="G3596" s="62" t="str">
        <f t="shared" si="8"/>
        <v>77089</v>
      </c>
      <c r="H3596" s="65"/>
      <c r="I3596" s="56"/>
      <c r="J3596" s="66"/>
      <c r="K3596" s="67"/>
      <c r="L3596" s="56"/>
      <c r="M3596" s="67"/>
      <c r="N3596" s="56"/>
      <c r="O3596" s="53"/>
      <c r="P3596" s="68"/>
      <c r="Q3596" s="69"/>
      <c r="R3596" s="68"/>
      <c r="S3596" s="70"/>
      <c r="T3596" s="67"/>
      <c r="U3596" s="56"/>
      <c r="V3596" s="56"/>
      <c r="W3596" s="71"/>
      <c r="X3596" s="71"/>
      <c r="AA3596" s="33"/>
      <c r="AB3596" s="33"/>
      <c r="AC3596" s="33"/>
      <c r="AD3596" s="33"/>
      <c r="AE3596" s="33"/>
      <c r="AF3596" s="33"/>
      <c r="AG3596" s="33"/>
      <c r="AH3596" s="33"/>
      <c r="AI3596" s="33"/>
      <c r="AJ3596" s="33"/>
      <c r="AK3596" s="33"/>
      <c r="AL3596" s="33"/>
      <c r="AM3596" s="33"/>
      <c r="AN3596" s="33"/>
      <c r="AO3596" s="33"/>
    </row>
    <row r="3597" ht="15.75" customHeight="1">
      <c r="A3597" s="60">
        <v>57885.0</v>
      </c>
      <c r="B3597" s="61">
        <v>2024.0</v>
      </c>
      <c r="C3597" s="36" t="str">
        <f t="shared" si="7"/>
        <v>1317 WINROCK BLVD,Houston,TX</v>
      </c>
      <c r="D3597" s="64" t="s">
        <v>5371</v>
      </c>
      <c r="E3597" s="23" t="s">
        <v>25</v>
      </c>
      <c r="F3597" s="23" t="s">
        <v>1388</v>
      </c>
      <c r="G3597" s="62" t="str">
        <f t="shared" si="8"/>
        <v>77057</v>
      </c>
      <c r="H3597" s="65"/>
      <c r="I3597" s="56"/>
      <c r="J3597" s="66"/>
      <c r="K3597" s="67"/>
      <c r="L3597" s="56"/>
      <c r="M3597" s="67"/>
      <c r="N3597" s="56"/>
      <c r="O3597" s="53"/>
      <c r="P3597" s="68"/>
      <c r="Q3597" s="69"/>
      <c r="R3597" s="68"/>
      <c r="S3597" s="70"/>
      <c r="T3597" s="67"/>
      <c r="U3597" s="56"/>
      <c r="V3597" s="56"/>
      <c r="W3597" s="71"/>
      <c r="X3597" s="71"/>
      <c r="AA3597" s="33"/>
      <c r="AB3597" s="33"/>
      <c r="AC3597" s="33"/>
      <c r="AD3597" s="33"/>
      <c r="AE3597" s="33"/>
      <c r="AF3597" s="33"/>
      <c r="AG3597" s="33"/>
      <c r="AH3597" s="33"/>
      <c r="AI3597" s="33"/>
      <c r="AJ3597" s="33"/>
      <c r="AK3597" s="33"/>
      <c r="AL3597" s="33"/>
      <c r="AM3597" s="33"/>
      <c r="AN3597" s="33"/>
      <c r="AO3597" s="33"/>
    </row>
    <row r="3598" ht="15.75" customHeight="1">
      <c r="A3598" s="60">
        <v>57900.0</v>
      </c>
      <c r="B3598" s="61">
        <v>2024.0</v>
      </c>
      <c r="C3598" s="36" t="str">
        <f t="shared" si="7"/>
        <v>238 CALLOWAY ST,Houston,TX</v>
      </c>
      <c r="D3598" s="64" t="s">
        <v>5372</v>
      </c>
      <c r="E3598" s="23" t="s">
        <v>25</v>
      </c>
      <c r="F3598" s="23" t="s">
        <v>1388</v>
      </c>
      <c r="G3598" s="62" t="str">
        <f t="shared" si="8"/>
        <v>77029</v>
      </c>
      <c r="H3598" s="65"/>
      <c r="I3598" s="56"/>
      <c r="J3598" s="66"/>
      <c r="K3598" s="67"/>
      <c r="L3598" s="56"/>
      <c r="M3598" s="67"/>
      <c r="N3598" s="56"/>
      <c r="O3598" s="53"/>
      <c r="P3598" s="68"/>
      <c r="Q3598" s="69"/>
      <c r="R3598" s="68"/>
      <c r="S3598" s="70"/>
      <c r="T3598" s="67"/>
      <c r="U3598" s="56"/>
      <c r="V3598" s="56"/>
      <c r="W3598" s="71"/>
      <c r="X3598" s="71"/>
      <c r="AA3598" s="33"/>
      <c r="AB3598" s="33"/>
      <c r="AC3598" s="33"/>
      <c r="AD3598" s="33"/>
      <c r="AE3598" s="33"/>
      <c r="AF3598" s="33"/>
      <c r="AG3598" s="33"/>
      <c r="AH3598" s="33"/>
      <c r="AI3598" s="33"/>
      <c r="AJ3598" s="33"/>
      <c r="AK3598" s="33"/>
      <c r="AL3598" s="33"/>
      <c r="AM3598" s="33"/>
      <c r="AN3598" s="33"/>
      <c r="AO3598" s="33"/>
    </row>
    <row r="3599" ht="15.75" customHeight="1">
      <c r="A3599" s="60">
        <v>57916.0</v>
      </c>
      <c r="B3599" s="61">
        <v>2024.0</v>
      </c>
      <c r="C3599" s="36" t="str">
        <f t="shared" si="7"/>
        <v>607 POST ST,Houston,TX</v>
      </c>
      <c r="D3599" s="64" t="s">
        <v>5373</v>
      </c>
      <c r="E3599" s="23" t="s">
        <v>25</v>
      </c>
      <c r="F3599" s="23" t="s">
        <v>1388</v>
      </c>
      <c r="G3599" s="62" t="str">
        <f t="shared" si="8"/>
        <v>77022</v>
      </c>
      <c r="H3599" s="65"/>
      <c r="I3599" s="56"/>
      <c r="J3599" s="66"/>
      <c r="K3599" s="67"/>
      <c r="L3599" s="56"/>
      <c r="M3599" s="67"/>
      <c r="N3599" s="56"/>
      <c r="O3599" s="53"/>
      <c r="P3599" s="68"/>
      <c r="Q3599" s="69"/>
      <c r="R3599" s="68"/>
      <c r="S3599" s="70"/>
      <c r="T3599" s="67"/>
      <c r="U3599" s="56"/>
      <c r="V3599" s="56"/>
      <c r="W3599" s="71"/>
      <c r="X3599" s="71"/>
      <c r="AA3599" s="33"/>
      <c r="AB3599" s="33"/>
      <c r="AC3599" s="33"/>
      <c r="AD3599" s="33"/>
      <c r="AE3599" s="33"/>
      <c r="AF3599" s="33"/>
      <c r="AG3599" s="33"/>
      <c r="AH3599" s="33"/>
      <c r="AI3599" s="33"/>
      <c r="AJ3599" s="33"/>
      <c r="AK3599" s="33"/>
      <c r="AL3599" s="33"/>
      <c r="AM3599" s="33"/>
      <c r="AN3599" s="33"/>
      <c r="AO3599" s="33"/>
    </row>
    <row r="3600" ht="15.75" customHeight="1">
      <c r="A3600" s="60">
        <v>57932.0</v>
      </c>
      <c r="B3600" s="61">
        <v>2024.0</v>
      </c>
      <c r="C3600" s="36" t="str">
        <f t="shared" si="7"/>
        <v>8406 RINN ST,Houston,TX</v>
      </c>
      <c r="D3600" s="64" t="s">
        <v>5374</v>
      </c>
      <c r="E3600" s="23" t="s">
        <v>25</v>
      </c>
      <c r="F3600" s="23" t="s">
        <v>1388</v>
      </c>
      <c r="G3600" s="62" t="str">
        <f t="shared" si="8"/>
        <v>77078</v>
      </c>
      <c r="H3600" s="65"/>
      <c r="I3600" s="56"/>
      <c r="J3600" s="66"/>
      <c r="K3600" s="67"/>
      <c r="L3600" s="56"/>
      <c r="M3600" s="67"/>
      <c r="N3600" s="56"/>
      <c r="O3600" s="53"/>
      <c r="P3600" s="68"/>
      <c r="Q3600" s="69"/>
      <c r="R3600" s="68"/>
      <c r="S3600" s="70"/>
      <c r="T3600" s="67"/>
      <c r="U3600" s="56"/>
      <c r="V3600" s="56"/>
      <c r="W3600" s="71"/>
      <c r="X3600" s="71"/>
      <c r="AA3600" s="33"/>
      <c r="AB3600" s="33"/>
      <c r="AC3600" s="33"/>
      <c r="AD3600" s="33"/>
      <c r="AE3600" s="33"/>
      <c r="AF3600" s="33"/>
      <c r="AG3600" s="33"/>
      <c r="AH3600" s="33"/>
      <c r="AI3600" s="33"/>
      <c r="AJ3600" s="33"/>
      <c r="AK3600" s="33"/>
      <c r="AL3600" s="33"/>
      <c r="AM3600" s="33"/>
      <c r="AN3600" s="33"/>
      <c r="AO3600" s="33"/>
    </row>
    <row r="3601" ht="15.75" customHeight="1">
      <c r="A3601" s="60">
        <v>57942.0</v>
      </c>
      <c r="B3601" s="61">
        <v>2024.0</v>
      </c>
      <c r="C3601" s="36" t="str">
        <f t="shared" si="7"/>
        <v>732 WILCREST DR,Houston,TX</v>
      </c>
      <c r="D3601" s="64" t="s">
        <v>5375</v>
      </c>
      <c r="E3601" s="23" t="s">
        <v>25</v>
      </c>
      <c r="F3601" s="23" t="s">
        <v>1388</v>
      </c>
      <c r="G3601" s="62" t="str">
        <f t="shared" si="8"/>
        <v>77042</v>
      </c>
      <c r="H3601" s="65"/>
      <c r="I3601" s="56"/>
      <c r="J3601" s="66"/>
      <c r="K3601" s="67"/>
      <c r="L3601" s="56"/>
      <c r="M3601" s="67"/>
      <c r="N3601" s="56"/>
      <c r="O3601" s="53"/>
      <c r="P3601" s="68"/>
      <c r="Q3601" s="69"/>
      <c r="R3601" s="68"/>
      <c r="S3601" s="70"/>
      <c r="T3601" s="67"/>
      <c r="U3601" s="56"/>
      <c r="V3601" s="56"/>
      <c r="W3601" s="71"/>
      <c r="X3601" s="71"/>
      <c r="AA3601" s="33"/>
      <c r="AB3601" s="33"/>
      <c r="AC3601" s="33"/>
      <c r="AD3601" s="33"/>
      <c r="AE3601" s="33"/>
      <c r="AF3601" s="33"/>
      <c r="AG3601" s="33"/>
      <c r="AH3601" s="33"/>
      <c r="AI3601" s="33"/>
      <c r="AJ3601" s="33"/>
      <c r="AK3601" s="33"/>
      <c r="AL3601" s="33"/>
      <c r="AM3601" s="33"/>
      <c r="AN3601" s="33"/>
      <c r="AO3601" s="33"/>
    </row>
    <row r="3602" ht="15.75" customHeight="1">
      <c r="A3602" s="60">
        <v>57944.0</v>
      </c>
      <c r="B3602" s="61">
        <v>2024.0</v>
      </c>
      <c r="C3602" s="36" t="str">
        <f t="shared" si="7"/>
        <v>5211 PLAZA WAY,Houston,TX</v>
      </c>
      <c r="D3602" s="64" t="s">
        <v>5376</v>
      </c>
      <c r="E3602" s="23" t="s">
        <v>25</v>
      </c>
      <c r="F3602" s="23" t="s">
        <v>1388</v>
      </c>
      <c r="G3602" s="62" t="str">
        <f t="shared" si="8"/>
        <v>77024</v>
      </c>
      <c r="H3602" s="65"/>
      <c r="I3602" s="56"/>
      <c r="J3602" s="66"/>
      <c r="K3602" s="67"/>
      <c r="L3602" s="56"/>
      <c r="M3602" s="67"/>
      <c r="N3602" s="56"/>
      <c r="O3602" s="53"/>
      <c r="P3602" s="68"/>
      <c r="Q3602" s="69"/>
      <c r="R3602" s="68"/>
      <c r="S3602" s="70"/>
      <c r="T3602" s="67"/>
      <c r="U3602" s="56"/>
      <c r="V3602" s="56"/>
      <c r="W3602" s="71"/>
      <c r="X3602" s="71"/>
      <c r="AA3602" s="33"/>
      <c r="AB3602" s="33"/>
      <c r="AC3602" s="33"/>
      <c r="AD3602" s="33"/>
      <c r="AE3602" s="33"/>
      <c r="AF3602" s="33"/>
      <c r="AG3602" s="33"/>
      <c r="AH3602" s="33"/>
      <c r="AI3602" s="33"/>
      <c r="AJ3602" s="33"/>
      <c r="AK3602" s="33"/>
      <c r="AL3602" s="33"/>
      <c r="AM3602" s="33"/>
      <c r="AN3602" s="33"/>
      <c r="AO3602" s="33"/>
    </row>
    <row r="3603" ht="15.75" customHeight="1">
      <c r="A3603" s="60">
        <v>57957.0</v>
      </c>
      <c r="B3603" s="61">
        <v>2024.0</v>
      </c>
      <c r="C3603" s="36" t="str">
        <f t="shared" si="7"/>
        <v>9400 IRVINGTON BLVD,Houston,TX</v>
      </c>
      <c r="D3603" s="64" t="s">
        <v>3760</v>
      </c>
      <c r="E3603" s="23" t="s">
        <v>25</v>
      </c>
      <c r="F3603" s="23" t="s">
        <v>1388</v>
      </c>
      <c r="G3603" s="62" t="str">
        <f t="shared" si="8"/>
        <v>77076</v>
      </c>
      <c r="H3603" s="65"/>
      <c r="I3603" s="56"/>
      <c r="J3603" s="66"/>
      <c r="K3603" s="67"/>
      <c r="L3603" s="56"/>
      <c r="M3603" s="67"/>
      <c r="N3603" s="56"/>
      <c r="O3603" s="53"/>
      <c r="P3603" s="68"/>
      <c r="Q3603" s="69"/>
      <c r="R3603" s="68"/>
      <c r="S3603" s="70"/>
      <c r="T3603" s="67"/>
      <c r="U3603" s="56"/>
      <c r="V3603" s="56"/>
      <c r="W3603" s="71"/>
      <c r="X3603" s="71"/>
      <c r="AA3603" s="33"/>
      <c r="AB3603" s="33"/>
      <c r="AC3603" s="33"/>
      <c r="AD3603" s="33"/>
      <c r="AE3603" s="33"/>
      <c r="AF3603" s="33"/>
      <c r="AG3603" s="33"/>
      <c r="AH3603" s="33"/>
      <c r="AI3603" s="33"/>
      <c r="AJ3603" s="33"/>
      <c r="AK3603" s="33"/>
      <c r="AL3603" s="33"/>
      <c r="AM3603" s="33"/>
      <c r="AN3603" s="33"/>
      <c r="AO3603" s="33"/>
    </row>
    <row r="3604" ht="15.75" customHeight="1">
      <c r="A3604" s="60">
        <v>57971.0</v>
      </c>
      <c r="B3604" s="61">
        <v>2024.0</v>
      </c>
      <c r="C3604" s="36" t="str">
        <f t="shared" si="7"/>
        <v>6015 GREENPARK MANOR LN,Houston,TX</v>
      </c>
      <c r="D3604" s="64" t="s">
        <v>5377</v>
      </c>
      <c r="E3604" s="23" t="s">
        <v>25</v>
      </c>
      <c r="F3604" s="23" t="s">
        <v>1388</v>
      </c>
      <c r="G3604" s="62" t="str">
        <f t="shared" si="8"/>
        <v>77085</v>
      </c>
      <c r="H3604" s="65"/>
      <c r="I3604" s="56"/>
      <c r="J3604" s="66"/>
      <c r="K3604" s="67"/>
      <c r="L3604" s="56"/>
      <c r="M3604" s="67"/>
      <c r="N3604" s="56"/>
      <c r="O3604" s="53"/>
      <c r="P3604" s="68"/>
      <c r="Q3604" s="69"/>
      <c r="R3604" s="68"/>
      <c r="S3604" s="70"/>
      <c r="T3604" s="67"/>
      <c r="U3604" s="56"/>
      <c r="V3604" s="56"/>
      <c r="W3604" s="71"/>
      <c r="X3604" s="71"/>
      <c r="AA3604" s="33"/>
      <c r="AB3604" s="33"/>
      <c r="AC3604" s="33"/>
      <c r="AD3604" s="33"/>
      <c r="AE3604" s="33"/>
      <c r="AF3604" s="33"/>
      <c r="AG3604" s="33"/>
      <c r="AH3604" s="33"/>
      <c r="AI3604" s="33"/>
      <c r="AJ3604" s="33"/>
      <c r="AK3604" s="33"/>
      <c r="AL3604" s="33"/>
      <c r="AM3604" s="33"/>
      <c r="AN3604" s="33"/>
      <c r="AO3604" s="33"/>
    </row>
    <row r="3605" ht="15.75" customHeight="1">
      <c r="A3605" s="60">
        <v>57979.0</v>
      </c>
      <c r="B3605" s="61">
        <v>2024.0</v>
      </c>
      <c r="C3605" s="36" t="str">
        <f t="shared" si="7"/>
        <v>900 WINSTON ST,Houston,TX</v>
      </c>
      <c r="D3605" s="64" t="s">
        <v>4098</v>
      </c>
      <c r="E3605" s="23" t="s">
        <v>25</v>
      </c>
      <c r="F3605" s="23" t="s">
        <v>1388</v>
      </c>
      <c r="G3605" s="62" t="str">
        <f t="shared" si="8"/>
        <v>77009</v>
      </c>
      <c r="H3605" s="65"/>
      <c r="I3605" s="56"/>
      <c r="J3605" s="66"/>
      <c r="K3605" s="67"/>
      <c r="L3605" s="56"/>
      <c r="M3605" s="67"/>
      <c r="N3605" s="56"/>
      <c r="O3605" s="53"/>
      <c r="P3605" s="68"/>
      <c r="Q3605" s="69"/>
      <c r="R3605" s="68"/>
      <c r="S3605" s="70"/>
      <c r="T3605" s="67"/>
      <c r="U3605" s="56"/>
      <c r="V3605" s="56"/>
      <c r="W3605" s="71"/>
      <c r="X3605" s="71"/>
      <c r="AA3605" s="33"/>
      <c r="AB3605" s="33"/>
      <c r="AC3605" s="33"/>
      <c r="AD3605" s="33"/>
      <c r="AE3605" s="33"/>
      <c r="AF3605" s="33"/>
      <c r="AG3605" s="33"/>
      <c r="AH3605" s="33"/>
      <c r="AI3605" s="33"/>
      <c r="AJ3605" s="33"/>
      <c r="AK3605" s="33"/>
      <c r="AL3605" s="33"/>
      <c r="AM3605" s="33"/>
      <c r="AN3605" s="33"/>
      <c r="AO3605" s="33"/>
    </row>
    <row r="3606" ht="15.75" customHeight="1">
      <c r="A3606" s="60">
        <v>57984.0</v>
      </c>
      <c r="B3606" s="61">
        <v>2024.0</v>
      </c>
      <c r="C3606" s="36" t="str">
        <f t="shared" si="7"/>
        <v>13402 CROQUET LN,Houston,TX</v>
      </c>
      <c r="D3606" s="64" t="s">
        <v>5378</v>
      </c>
      <c r="E3606" s="23" t="s">
        <v>25</v>
      </c>
      <c r="F3606" s="23" t="s">
        <v>1388</v>
      </c>
      <c r="G3606" s="62" t="str">
        <f t="shared" si="8"/>
        <v>77085</v>
      </c>
      <c r="H3606" s="65"/>
      <c r="I3606" s="56"/>
      <c r="J3606" s="66"/>
      <c r="K3606" s="67"/>
      <c r="L3606" s="56"/>
      <c r="M3606" s="67"/>
      <c r="N3606" s="56"/>
      <c r="O3606" s="53"/>
      <c r="P3606" s="68"/>
      <c r="Q3606" s="69"/>
      <c r="R3606" s="68"/>
      <c r="S3606" s="70"/>
      <c r="T3606" s="67"/>
      <c r="U3606" s="56"/>
      <c r="V3606" s="56"/>
      <c r="W3606" s="71"/>
      <c r="X3606" s="71"/>
      <c r="AA3606" s="33"/>
      <c r="AB3606" s="33"/>
      <c r="AC3606" s="33"/>
      <c r="AD3606" s="33"/>
      <c r="AE3606" s="33"/>
      <c r="AF3606" s="33"/>
      <c r="AG3606" s="33"/>
      <c r="AH3606" s="33"/>
      <c r="AI3606" s="33"/>
      <c r="AJ3606" s="33"/>
      <c r="AK3606" s="33"/>
      <c r="AL3606" s="33"/>
      <c r="AM3606" s="33"/>
      <c r="AN3606" s="33"/>
      <c r="AO3606" s="33"/>
    </row>
    <row r="3607" ht="15.75" customHeight="1">
      <c r="A3607" s="60">
        <v>57997.0</v>
      </c>
      <c r="B3607" s="61">
        <v>2024.0</v>
      </c>
      <c r="C3607" s="36" t="str">
        <f t="shared" si="7"/>
        <v>955 MALCOLMS WAY,Houston,TX</v>
      </c>
      <c r="D3607" s="64" t="s">
        <v>5265</v>
      </c>
      <c r="E3607" s="23" t="s">
        <v>25</v>
      </c>
      <c r="F3607" s="23" t="s">
        <v>1388</v>
      </c>
      <c r="G3607" s="62" t="str">
        <f t="shared" si="8"/>
        <v>77336</v>
      </c>
      <c r="H3607" s="65"/>
      <c r="I3607" s="56"/>
      <c r="J3607" s="66"/>
      <c r="K3607" s="67"/>
      <c r="L3607" s="56"/>
      <c r="M3607" s="67"/>
      <c r="N3607" s="56"/>
      <c r="O3607" s="53"/>
      <c r="P3607" s="68"/>
      <c r="Q3607" s="69"/>
      <c r="R3607" s="68"/>
      <c r="S3607" s="70"/>
      <c r="T3607" s="67"/>
      <c r="U3607" s="56"/>
      <c r="V3607" s="56"/>
      <c r="W3607" s="71"/>
      <c r="X3607" s="71"/>
      <c r="AA3607" s="33"/>
      <c r="AB3607" s="33"/>
      <c r="AC3607" s="33"/>
      <c r="AD3607" s="33"/>
      <c r="AE3607" s="33"/>
      <c r="AF3607" s="33"/>
      <c r="AG3607" s="33"/>
      <c r="AH3607" s="33"/>
      <c r="AI3607" s="33"/>
      <c r="AJ3607" s="33"/>
      <c r="AK3607" s="33"/>
      <c r="AL3607" s="33"/>
      <c r="AM3607" s="33"/>
      <c r="AN3607" s="33"/>
      <c r="AO3607" s="33"/>
    </row>
    <row r="3608" ht="15.75" customHeight="1">
      <c r="A3608" s="60">
        <v>57999.0</v>
      </c>
      <c r="B3608" s="61">
        <v>2024.0</v>
      </c>
      <c r="C3608" s="36" t="str">
        <f t="shared" si="7"/>
        <v>11806 SORSBY WAY,Houston,TX</v>
      </c>
      <c r="D3608" s="64" t="s">
        <v>5379</v>
      </c>
      <c r="E3608" s="23" t="s">
        <v>25</v>
      </c>
      <c r="F3608" s="23" t="s">
        <v>1388</v>
      </c>
      <c r="G3608" s="62" t="str">
        <f t="shared" si="8"/>
        <v>77047</v>
      </c>
      <c r="H3608" s="65"/>
      <c r="I3608" s="56"/>
      <c r="J3608" s="66"/>
      <c r="K3608" s="67"/>
      <c r="L3608" s="56"/>
      <c r="M3608" s="67"/>
      <c r="N3608" s="56"/>
      <c r="O3608" s="53"/>
      <c r="P3608" s="68"/>
      <c r="Q3608" s="69"/>
      <c r="R3608" s="68"/>
      <c r="S3608" s="70"/>
      <c r="T3608" s="67"/>
      <c r="U3608" s="56"/>
      <c r="V3608" s="56"/>
      <c r="W3608" s="71"/>
      <c r="X3608" s="71"/>
      <c r="AA3608" s="33"/>
      <c r="AB3608" s="33"/>
      <c r="AC3608" s="33"/>
      <c r="AD3608" s="33"/>
      <c r="AE3608" s="33"/>
      <c r="AF3608" s="33"/>
      <c r="AG3608" s="33"/>
      <c r="AH3608" s="33"/>
      <c r="AI3608" s="33"/>
      <c r="AJ3608" s="33"/>
      <c r="AK3608" s="33"/>
      <c r="AL3608" s="33"/>
      <c r="AM3608" s="33"/>
      <c r="AN3608" s="33"/>
      <c r="AO3608" s="33"/>
    </row>
    <row r="3609" ht="15.75" customHeight="1">
      <c r="A3609" s="60">
        <v>58001.0</v>
      </c>
      <c r="B3609" s="61">
        <v>2024.0</v>
      </c>
      <c r="C3609" s="36" t="str">
        <f t="shared" si="7"/>
        <v>2424 SAKOWITZ ST,Houston,TX</v>
      </c>
      <c r="D3609" s="64" t="s">
        <v>2016</v>
      </c>
      <c r="E3609" s="23" t="s">
        <v>25</v>
      </c>
      <c r="F3609" s="23" t="s">
        <v>1388</v>
      </c>
      <c r="G3609" s="62" t="str">
        <f t="shared" si="8"/>
        <v>77020</v>
      </c>
      <c r="H3609" s="65"/>
      <c r="I3609" s="56"/>
      <c r="J3609" s="66"/>
      <c r="K3609" s="67"/>
      <c r="L3609" s="56"/>
      <c r="M3609" s="67"/>
      <c r="N3609" s="56"/>
      <c r="O3609" s="53"/>
      <c r="P3609" s="68"/>
      <c r="Q3609" s="69"/>
      <c r="R3609" s="68"/>
      <c r="S3609" s="70"/>
      <c r="T3609" s="67"/>
      <c r="U3609" s="56"/>
      <c r="V3609" s="56"/>
      <c r="W3609" s="71"/>
      <c r="X3609" s="71"/>
      <c r="AA3609" s="33"/>
      <c r="AB3609" s="33"/>
      <c r="AC3609" s="33"/>
      <c r="AD3609" s="33"/>
      <c r="AE3609" s="33"/>
      <c r="AF3609" s="33"/>
      <c r="AG3609" s="33"/>
      <c r="AH3609" s="33"/>
      <c r="AI3609" s="33"/>
      <c r="AJ3609" s="33"/>
      <c r="AK3609" s="33"/>
      <c r="AL3609" s="33"/>
      <c r="AM3609" s="33"/>
      <c r="AN3609" s="33"/>
      <c r="AO3609" s="33"/>
    </row>
    <row r="3610" ht="15.75" customHeight="1">
      <c r="A3610" s="60">
        <v>58033.0</v>
      </c>
      <c r="B3610" s="61">
        <v>2024.0</v>
      </c>
      <c r="C3610" s="36" t="str">
        <f t="shared" si="7"/>
        <v>5815 PINACLE PT,Houston,TX</v>
      </c>
      <c r="D3610" s="64" t="s">
        <v>5380</v>
      </c>
      <c r="E3610" s="23" t="s">
        <v>25</v>
      </c>
      <c r="F3610" s="23" t="s">
        <v>1388</v>
      </c>
      <c r="G3610" s="62" t="str">
        <f t="shared" si="8"/>
        <v>77085</v>
      </c>
      <c r="H3610" s="65"/>
      <c r="I3610" s="56"/>
      <c r="J3610" s="66"/>
      <c r="K3610" s="67"/>
      <c r="L3610" s="56"/>
      <c r="M3610" s="67"/>
      <c r="N3610" s="56"/>
      <c r="O3610" s="53"/>
      <c r="P3610" s="68"/>
      <c r="Q3610" s="69"/>
      <c r="R3610" s="68"/>
      <c r="S3610" s="70"/>
      <c r="T3610" s="67"/>
      <c r="U3610" s="56"/>
      <c r="V3610" s="56"/>
      <c r="W3610" s="71"/>
      <c r="X3610" s="71"/>
      <c r="AA3610" s="33"/>
      <c r="AB3610" s="33"/>
      <c r="AC3610" s="33"/>
      <c r="AD3610" s="33"/>
      <c r="AE3610" s="33"/>
      <c r="AF3610" s="33"/>
      <c r="AG3610" s="33"/>
      <c r="AH3610" s="33"/>
      <c r="AI3610" s="33"/>
      <c r="AJ3610" s="33"/>
      <c r="AK3610" s="33"/>
      <c r="AL3610" s="33"/>
      <c r="AM3610" s="33"/>
      <c r="AN3610" s="33"/>
      <c r="AO3610" s="33"/>
    </row>
    <row r="3611" ht="15.75" customHeight="1">
      <c r="A3611" s="60">
        <v>58037.0</v>
      </c>
      <c r="B3611" s="61">
        <v>2024.0</v>
      </c>
      <c r="C3611" s="36" t="str">
        <f t="shared" si="7"/>
        <v>7527 WILMERDEAN ST,Houston,TX</v>
      </c>
      <c r="D3611" s="64" t="s">
        <v>5381</v>
      </c>
      <c r="E3611" s="23" t="s">
        <v>25</v>
      </c>
      <c r="F3611" s="23" t="s">
        <v>1388</v>
      </c>
      <c r="G3611" s="62" t="str">
        <f t="shared" si="8"/>
        <v>77061</v>
      </c>
      <c r="H3611" s="65"/>
      <c r="I3611" s="56"/>
      <c r="J3611" s="66"/>
      <c r="K3611" s="67"/>
      <c r="L3611" s="56"/>
      <c r="M3611" s="67"/>
      <c r="N3611" s="56"/>
      <c r="O3611" s="53"/>
      <c r="P3611" s="68"/>
      <c r="Q3611" s="69"/>
      <c r="R3611" s="68"/>
      <c r="S3611" s="70"/>
      <c r="T3611" s="67"/>
      <c r="U3611" s="56"/>
      <c r="V3611" s="56"/>
      <c r="W3611" s="71"/>
      <c r="X3611" s="71"/>
      <c r="AA3611" s="33"/>
      <c r="AB3611" s="33"/>
      <c r="AC3611" s="33"/>
      <c r="AD3611" s="33"/>
      <c r="AE3611" s="33"/>
      <c r="AF3611" s="33"/>
      <c r="AG3611" s="33"/>
      <c r="AH3611" s="33"/>
      <c r="AI3611" s="33"/>
      <c r="AJ3611" s="33"/>
      <c r="AK3611" s="33"/>
      <c r="AL3611" s="33"/>
      <c r="AM3611" s="33"/>
      <c r="AN3611" s="33"/>
      <c r="AO3611" s="33"/>
    </row>
    <row r="3612" ht="15.75" customHeight="1">
      <c r="A3612" s="60">
        <v>58051.0</v>
      </c>
      <c r="B3612" s="61">
        <v>2024.0</v>
      </c>
      <c r="C3612" s="36" t="str">
        <f t="shared" si="7"/>
        <v>10518 WOODWICK ST,Houston,TX</v>
      </c>
      <c r="D3612" s="64" t="s">
        <v>5382</v>
      </c>
      <c r="E3612" s="23" t="s">
        <v>25</v>
      </c>
      <c r="F3612" s="23" t="s">
        <v>1388</v>
      </c>
      <c r="G3612" s="62" t="str">
        <f t="shared" si="8"/>
        <v>77016</v>
      </c>
      <c r="H3612" s="65"/>
      <c r="I3612" s="56"/>
      <c r="J3612" s="66"/>
      <c r="K3612" s="67"/>
      <c r="L3612" s="56"/>
      <c r="M3612" s="67"/>
      <c r="N3612" s="56"/>
      <c r="O3612" s="53"/>
      <c r="P3612" s="68"/>
      <c r="Q3612" s="69"/>
      <c r="R3612" s="68"/>
      <c r="S3612" s="70"/>
      <c r="T3612" s="67"/>
      <c r="U3612" s="56"/>
      <c r="V3612" s="56"/>
      <c r="W3612" s="71"/>
      <c r="X3612" s="71"/>
      <c r="AA3612" s="33"/>
      <c r="AB3612" s="33"/>
      <c r="AC3612" s="33"/>
      <c r="AD3612" s="33"/>
      <c r="AE3612" s="33"/>
      <c r="AF3612" s="33"/>
      <c r="AG3612" s="33"/>
      <c r="AH3612" s="33"/>
      <c r="AI3612" s="33"/>
      <c r="AJ3612" s="33"/>
      <c r="AK3612" s="33"/>
      <c r="AL3612" s="33"/>
      <c r="AM3612" s="33"/>
      <c r="AN3612" s="33"/>
      <c r="AO3612" s="33"/>
    </row>
    <row r="3613" ht="15.75" customHeight="1">
      <c r="A3613" s="60">
        <v>58068.0</v>
      </c>
      <c r="B3613" s="61">
        <v>2024.0</v>
      </c>
      <c r="C3613" s="36" t="str">
        <f t="shared" si="7"/>
        <v>13724 STANCLIFF ST,Houston,TX</v>
      </c>
      <c r="D3613" s="64" t="s">
        <v>5383</v>
      </c>
      <c r="E3613" s="23" t="s">
        <v>25</v>
      </c>
      <c r="F3613" s="23" t="s">
        <v>1388</v>
      </c>
      <c r="G3613" s="62" t="str">
        <f t="shared" si="8"/>
        <v>77045</v>
      </c>
      <c r="H3613" s="65"/>
      <c r="I3613" s="56"/>
      <c r="J3613" s="66"/>
      <c r="K3613" s="67"/>
      <c r="L3613" s="56"/>
      <c r="M3613" s="67"/>
      <c r="N3613" s="56"/>
      <c r="O3613" s="53"/>
      <c r="P3613" s="68"/>
      <c r="Q3613" s="69"/>
      <c r="R3613" s="68"/>
      <c r="S3613" s="70"/>
      <c r="T3613" s="67"/>
      <c r="U3613" s="56"/>
      <c r="V3613" s="56"/>
      <c r="W3613" s="71"/>
      <c r="X3613" s="71"/>
      <c r="AA3613" s="33"/>
      <c r="AB3613" s="33"/>
      <c r="AC3613" s="33"/>
      <c r="AD3613" s="33"/>
      <c r="AE3613" s="33"/>
      <c r="AF3613" s="33"/>
      <c r="AG3613" s="33"/>
      <c r="AH3613" s="33"/>
      <c r="AI3613" s="33"/>
      <c r="AJ3613" s="33"/>
      <c r="AK3613" s="33"/>
      <c r="AL3613" s="33"/>
      <c r="AM3613" s="33"/>
      <c r="AN3613" s="33"/>
      <c r="AO3613" s="33"/>
    </row>
    <row r="3614" ht="15.75" customHeight="1">
      <c r="A3614" s="60">
        <v>58069.0</v>
      </c>
      <c r="B3614" s="61">
        <v>2024.0</v>
      </c>
      <c r="C3614" s="36" t="str">
        <f t="shared" si="7"/>
        <v>2800 BRAZOS ST,Houston,TX</v>
      </c>
      <c r="D3614" s="64" t="s">
        <v>5384</v>
      </c>
      <c r="E3614" s="23" t="s">
        <v>25</v>
      </c>
      <c r="F3614" s="23" t="s">
        <v>1388</v>
      </c>
      <c r="G3614" s="62" t="str">
        <f t="shared" si="8"/>
        <v>77006</v>
      </c>
      <c r="H3614" s="65"/>
      <c r="I3614" s="56"/>
      <c r="J3614" s="66"/>
      <c r="K3614" s="67"/>
      <c r="L3614" s="56"/>
      <c r="M3614" s="67"/>
      <c r="N3614" s="56"/>
      <c r="O3614" s="53"/>
      <c r="P3614" s="68"/>
      <c r="Q3614" s="69"/>
      <c r="R3614" s="68"/>
      <c r="S3614" s="70"/>
      <c r="T3614" s="67"/>
      <c r="U3614" s="56"/>
      <c r="V3614" s="56"/>
      <c r="W3614" s="71"/>
      <c r="X3614" s="71"/>
      <c r="AA3614" s="33"/>
      <c r="AB3614" s="33"/>
      <c r="AC3614" s="33"/>
      <c r="AD3614" s="33"/>
      <c r="AE3614" s="33"/>
      <c r="AF3614" s="33"/>
      <c r="AG3614" s="33"/>
      <c r="AH3614" s="33"/>
      <c r="AI3614" s="33"/>
      <c r="AJ3614" s="33"/>
      <c r="AK3614" s="33"/>
      <c r="AL3614" s="33"/>
      <c r="AM3614" s="33"/>
      <c r="AN3614" s="33"/>
      <c r="AO3614" s="33"/>
    </row>
    <row r="3615" ht="15.75" customHeight="1">
      <c r="A3615" s="60">
        <v>58070.0</v>
      </c>
      <c r="B3615" s="61">
        <v>2024.0</v>
      </c>
      <c r="C3615" s="36" t="str">
        <f t="shared" si="7"/>
        <v>9906 GENARD RD,Houston,TX</v>
      </c>
      <c r="D3615" s="64" t="s">
        <v>5385</v>
      </c>
      <c r="E3615" s="23" t="s">
        <v>25</v>
      </c>
      <c r="F3615" s="23" t="s">
        <v>1388</v>
      </c>
      <c r="G3615" s="62" t="str">
        <f t="shared" si="8"/>
        <v>77041</v>
      </c>
      <c r="H3615" s="65"/>
      <c r="I3615" s="56"/>
      <c r="J3615" s="66"/>
      <c r="K3615" s="67"/>
      <c r="L3615" s="56"/>
      <c r="M3615" s="67"/>
      <c r="N3615" s="56"/>
      <c r="O3615" s="53"/>
      <c r="P3615" s="68"/>
      <c r="Q3615" s="69"/>
      <c r="R3615" s="68"/>
      <c r="S3615" s="70"/>
      <c r="T3615" s="67"/>
      <c r="U3615" s="56"/>
      <c r="V3615" s="56"/>
      <c r="W3615" s="71"/>
      <c r="X3615" s="71"/>
      <c r="AA3615" s="33"/>
      <c r="AB3615" s="33"/>
      <c r="AC3615" s="33"/>
      <c r="AD3615" s="33"/>
      <c r="AE3615" s="33"/>
      <c r="AF3615" s="33"/>
      <c r="AG3615" s="33"/>
      <c r="AH3615" s="33"/>
      <c r="AI3615" s="33"/>
      <c r="AJ3615" s="33"/>
      <c r="AK3615" s="33"/>
      <c r="AL3615" s="33"/>
      <c r="AM3615" s="33"/>
      <c r="AN3615" s="33"/>
      <c r="AO3615" s="33"/>
    </row>
    <row r="3616" ht="15.75" customHeight="1">
      <c r="A3616" s="60">
        <v>58084.0</v>
      </c>
      <c r="B3616" s="61">
        <v>2024.0</v>
      </c>
      <c r="C3616" s="36" t="str">
        <f t="shared" si="7"/>
        <v>249 GEORGIA ST,Houston,TX</v>
      </c>
      <c r="D3616" s="64" t="s">
        <v>2534</v>
      </c>
      <c r="E3616" s="23" t="s">
        <v>25</v>
      </c>
      <c r="F3616" s="23" t="s">
        <v>1388</v>
      </c>
      <c r="G3616" s="62" t="str">
        <f t="shared" si="8"/>
        <v>77029</v>
      </c>
      <c r="H3616" s="65"/>
      <c r="I3616" s="56"/>
      <c r="J3616" s="66"/>
      <c r="K3616" s="67"/>
      <c r="L3616" s="56"/>
      <c r="M3616" s="67"/>
      <c r="N3616" s="56"/>
      <c r="O3616" s="53"/>
      <c r="P3616" s="68"/>
      <c r="Q3616" s="69"/>
      <c r="R3616" s="68"/>
      <c r="S3616" s="70"/>
      <c r="T3616" s="67"/>
      <c r="U3616" s="56"/>
      <c r="V3616" s="56"/>
      <c r="W3616" s="71"/>
      <c r="X3616" s="71"/>
      <c r="AA3616" s="33"/>
      <c r="AB3616" s="33"/>
      <c r="AC3616" s="33"/>
      <c r="AD3616" s="33"/>
      <c r="AE3616" s="33"/>
      <c r="AF3616" s="33"/>
      <c r="AG3616" s="33"/>
      <c r="AH3616" s="33"/>
      <c r="AI3616" s="33"/>
      <c r="AJ3616" s="33"/>
      <c r="AK3616" s="33"/>
      <c r="AL3616" s="33"/>
      <c r="AM3616" s="33"/>
      <c r="AN3616" s="33"/>
      <c r="AO3616" s="33"/>
    </row>
    <row r="3617" ht="15.75" customHeight="1">
      <c r="A3617" s="60">
        <v>58090.0</v>
      </c>
      <c r="B3617" s="61">
        <v>2024.0</v>
      </c>
      <c r="C3617" s="36" t="str">
        <f t="shared" si="7"/>
        <v>955 MALCOLMS WAY,Houston,TX</v>
      </c>
      <c r="D3617" s="64" t="s">
        <v>5265</v>
      </c>
      <c r="E3617" s="23" t="s">
        <v>25</v>
      </c>
      <c r="F3617" s="23" t="s">
        <v>1388</v>
      </c>
      <c r="G3617" s="62" t="str">
        <f t="shared" si="8"/>
        <v>77336</v>
      </c>
      <c r="H3617" s="65"/>
      <c r="I3617" s="56"/>
      <c r="J3617" s="66"/>
      <c r="K3617" s="67"/>
      <c r="L3617" s="56"/>
      <c r="M3617" s="67"/>
      <c r="N3617" s="56"/>
      <c r="O3617" s="53"/>
      <c r="P3617" s="68"/>
      <c r="Q3617" s="69"/>
      <c r="R3617" s="68"/>
      <c r="S3617" s="70"/>
      <c r="T3617" s="67"/>
      <c r="U3617" s="56"/>
      <c r="V3617" s="56"/>
      <c r="W3617" s="71"/>
      <c r="X3617" s="71"/>
      <c r="AA3617" s="33"/>
      <c r="AB3617" s="33"/>
      <c r="AC3617" s="33"/>
      <c r="AD3617" s="33"/>
      <c r="AE3617" s="33"/>
      <c r="AF3617" s="33"/>
      <c r="AG3617" s="33"/>
      <c r="AH3617" s="33"/>
      <c r="AI3617" s="33"/>
      <c r="AJ3617" s="33"/>
      <c r="AK3617" s="33"/>
      <c r="AL3617" s="33"/>
      <c r="AM3617" s="33"/>
      <c r="AN3617" s="33"/>
      <c r="AO3617" s="33"/>
    </row>
    <row r="3618" ht="15.75" customHeight="1">
      <c r="A3618" s="60">
        <v>58099.0</v>
      </c>
      <c r="B3618" s="61">
        <v>2024.0</v>
      </c>
      <c r="C3618" s="36" t="str">
        <f t="shared" si="7"/>
        <v>4601 PERRY ST,Houston,TX</v>
      </c>
      <c r="D3618" s="64" t="s">
        <v>5386</v>
      </c>
      <c r="E3618" s="23" t="s">
        <v>25</v>
      </c>
      <c r="F3618" s="23" t="s">
        <v>1388</v>
      </c>
      <c r="G3618" s="62" t="str">
        <f t="shared" si="8"/>
        <v>77021</v>
      </c>
      <c r="H3618" s="65"/>
      <c r="I3618" s="56"/>
      <c r="J3618" s="66"/>
      <c r="K3618" s="67"/>
      <c r="L3618" s="56"/>
      <c r="M3618" s="67"/>
      <c r="N3618" s="56"/>
      <c r="O3618" s="53"/>
      <c r="P3618" s="68"/>
      <c r="Q3618" s="69"/>
      <c r="R3618" s="68"/>
      <c r="S3618" s="70"/>
      <c r="T3618" s="67"/>
      <c r="U3618" s="56"/>
      <c r="V3618" s="56"/>
      <c r="W3618" s="71"/>
      <c r="X3618" s="71"/>
      <c r="AA3618" s="33"/>
      <c r="AB3618" s="33"/>
      <c r="AC3618" s="33"/>
      <c r="AD3618" s="33"/>
      <c r="AE3618" s="33"/>
      <c r="AF3618" s="33"/>
      <c r="AG3618" s="33"/>
      <c r="AH3618" s="33"/>
      <c r="AI3618" s="33"/>
      <c r="AJ3618" s="33"/>
      <c r="AK3618" s="33"/>
      <c r="AL3618" s="33"/>
      <c r="AM3618" s="33"/>
      <c r="AN3618" s="33"/>
      <c r="AO3618" s="33"/>
    </row>
    <row r="3619" ht="15.75" customHeight="1">
      <c r="A3619" s="60">
        <v>58100.0</v>
      </c>
      <c r="B3619" s="61">
        <v>2024.0</v>
      </c>
      <c r="C3619" s="36" t="str">
        <f t="shared" si="7"/>
        <v>783 STRAWBERRY PINES CT,Houston,TX</v>
      </c>
      <c r="D3619" s="64" t="s">
        <v>5387</v>
      </c>
      <c r="E3619" s="23" t="s">
        <v>25</v>
      </c>
      <c r="F3619" s="23" t="s">
        <v>1388</v>
      </c>
      <c r="G3619" s="62" t="str">
        <f t="shared" si="8"/>
        <v>77009</v>
      </c>
      <c r="H3619" s="65"/>
      <c r="I3619" s="56"/>
      <c r="J3619" s="66"/>
      <c r="K3619" s="67"/>
      <c r="L3619" s="56"/>
      <c r="M3619" s="67"/>
      <c r="N3619" s="56"/>
      <c r="O3619" s="53"/>
      <c r="P3619" s="68"/>
      <c r="Q3619" s="69"/>
      <c r="R3619" s="68"/>
      <c r="S3619" s="70"/>
      <c r="T3619" s="67"/>
      <c r="U3619" s="56"/>
      <c r="V3619" s="56"/>
      <c r="W3619" s="71"/>
      <c r="X3619" s="71"/>
      <c r="AA3619" s="33"/>
      <c r="AB3619" s="33"/>
      <c r="AC3619" s="33"/>
      <c r="AD3619" s="33"/>
      <c r="AE3619" s="33"/>
      <c r="AF3619" s="33"/>
      <c r="AG3619" s="33"/>
      <c r="AH3619" s="33"/>
      <c r="AI3619" s="33"/>
      <c r="AJ3619" s="33"/>
      <c r="AK3619" s="33"/>
      <c r="AL3619" s="33"/>
      <c r="AM3619" s="33"/>
      <c r="AN3619" s="33"/>
      <c r="AO3619" s="33"/>
    </row>
    <row r="3620" ht="15.75" customHeight="1">
      <c r="A3620" s="60">
        <v>58109.0</v>
      </c>
      <c r="B3620" s="61">
        <v>2024.0</v>
      </c>
      <c r="C3620" s="36" t="str">
        <f t="shared" si="7"/>
        <v>8790 2/3 AIRPORT BLVD,Houston,TX</v>
      </c>
      <c r="D3620" s="64" t="s">
        <v>5388</v>
      </c>
      <c r="E3620" s="23" t="s">
        <v>25</v>
      </c>
      <c r="F3620" s="23" t="s">
        <v>1388</v>
      </c>
      <c r="G3620" s="62" t="str">
        <f t="shared" si="8"/>
        <v>77061</v>
      </c>
      <c r="H3620" s="65"/>
      <c r="I3620" s="56"/>
      <c r="J3620" s="66"/>
      <c r="K3620" s="67"/>
      <c r="L3620" s="56"/>
      <c r="M3620" s="67"/>
      <c r="N3620" s="56"/>
      <c r="O3620" s="53"/>
      <c r="P3620" s="68"/>
      <c r="Q3620" s="69"/>
      <c r="R3620" s="68"/>
      <c r="S3620" s="70"/>
      <c r="T3620" s="67"/>
      <c r="U3620" s="56"/>
      <c r="V3620" s="56"/>
      <c r="W3620" s="71"/>
      <c r="X3620" s="71"/>
      <c r="AA3620" s="33"/>
      <c r="AB3620" s="33"/>
      <c r="AC3620" s="33"/>
      <c r="AD3620" s="33"/>
      <c r="AE3620" s="33"/>
      <c r="AF3620" s="33"/>
      <c r="AG3620" s="33"/>
      <c r="AH3620" s="33"/>
      <c r="AI3620" s="33"/>
      <c r="AJ3620" s="33"/>
      <c r="AK3620" s="33"/>
      <c r="AL3620" s="33"/>
      <c r="AM3620" s="33"/>
      <c r="AN3620" s="33"/>
      <c r="AO3620" s="33"/>
    </row>
    <row r="3621" ht="15.75" customHeight="1">
      <c r="A3621" s="60">
        <v>58114.0</v>
      </c>
      <c r="B3621" s="61">
        <v>2024.0</v>
      </c>
      <c r="C3621" s="36" t="str">
        <f t="shared" si="7"/>
        <v>10273 GESSNER DR,Houston,TX</v>
      </c>
      <c r="D3621" s="64" t="s">
        <v>5389</v>
      </c>
      <c r="E3621" s="23" t="s">
        <v>25</v>
      </c>
      <c r="F3621" s="23" t="s">
        <v>1388</v>
      </c>
      <c r="G3621" s="62" t="str">
        <f t="shared" si="8"/>
        <v>77071</v>
      </c>
      <c r="H3621" s="65"/>
      <c r="I3621" s="56"/>
      <c r="J3621" s="66"/>
      <c r="K3621" s="67"/>
      <c r="L3621" s="56"/>
      <c r="M3621" s="67"/>
      <c r="N3621" s="56"/>
      <c r="O3621" s="53"/>
      <c r="P3621" s="68"/>
      <c r="Q3621" s="69"/>
      <c r="R3621" s="68"/>
      <c r="S3621" s="70"/>
      <c r="T3621" s="67"/>
      <c r="U3621" s="56"/>
      <c r="V3621" s="56"/>
      <c r="W3621" s="71"/>
      <c r="X3621" s="71"/>
      <c r="AA3621" s="33"/>
      <c r="AB3621" s="33"/>
      <c r="AC3621" s="33"/>
      <c r="AD3621" s="33"/>
      <c r="AE3621" s="33"/>
      <c r="AF3621" s="33"/>
      <c r="AG3621" s="33"/>
      <c r="AH3621" s="33"/>
      <c r="AI3621" s="33"/>
      <c r="AJ3621" s="33"/>
      <c r="AK3621" s="33"/>
      <c r="AL3621" s="33"/>
      <c r="AM3621" s="33"/>
      <c r="AN3621" s="33"/>
      <c r="AO3621" s="33"/>
    </row>
    <row r="3622" ht="15.75" customHeight="1">
      <c r="A3622" s="60">
        <v>58115.0</v>
      </c>
      <c r="B3622" s="61">
        <v>2024.0</v>
      </c>
      <c r="C3622" s="36" t="str">
        <f t="shared" si="7"/>
        <v>12703 HARDY RD,Houston,TX</v>
      </c>
      <c r="D3622" s="64" t="s">
        <v>5390</v>
      </c>
      <c r="E3622" s="23" t="s">
        <v>25</v>
      </c>
      <c r="F3622" s="23" t="s">
        <v>1388</v>
      </c>
      <c r="G3622" s="62" t="str">
        <f t="shared" si="8"/>
        <v>77037</v>
      </c>
      <c r="H3622" s="65"/>
      <c r="I3622" s="56"/>
      <c r="J3622" s="66"/>
      <c r="K3622" s="67"/>
      <c r="L3622" s="56"/>
      <c r="M3622" s="67"/>
      <c r="N3622" s="56"/>
      <c r="O3622" s="53"/>
      <c r="P3622" s="68"/>
      <c r="Q3622" s="69"/>
      <c r="R3622" s="68"/>
      <c r="S3622" s="70"/>
      <c r="T3622" s="67"/>
      <c r="U3622" s="56"/>
      <c r="V3622" s="56"/>
      <c r="W3622" s="71"/>
      <c r="X3622" s="71"/>
      <c r="AA3622" s="33"/>
      <c r="AB3622" s="33"/>
      <c r="AC3622" s="33"/>
      <c r="AD3622" s="33"/>
      <c r="AE3622" s="33"/>
      <c r="AF3622" s="33"/>
      <c r="AG3622" s="33"/>
      <c r="AH3622" s="33"/>
      <c r="AI3622" s="33"/>
      <c r="AJ3622" s="33"/>
      <c r="AK3622" s="33"/>
      <c r="AL3622" s="33"/>
      <c r="AM3622" s="33"/>
      <c r="AN3622" s="33"/>
      <c r="AO3622" s="33"/>
    </row>
    <row r="3623" ht="15.75" customHeight="1">
      <c r="A3623" s="60">
        <v>58151.0</v>
      </c>
      <c r="B3623" s="61">
        <v>2024.0</v>
      </c>
      <c r="C3623" s="36" t="str">
        <f t="shared" si="7"/>
        <v>1317 WINROCK BLVD,Houston,TX</v>
      </c>
      <c r="D3623" s="64" t="s">
        <v>5371</v>
      </c>
      <c r="E3623" s="23" t="s">
        <v>25</v>
      </c>
      <c r="F3623" s="23" t="s">
        <v>1388</v>
      </c>
      <c r="G3623" s="62" t="str">
        <f t="shared" si="8"/>
        <v>77057</v>
      </c>
      <c r="H3623" s="65"/>
      <c r="I3623" s="56"/>
      <c r="J3623" s="66"/>
      <c r="K3623" s="67"/>
      <c r="L3623" s="56"/>
      <c r="M3623" s="67"/>
      <c r="N3623" s="56"/>
      <c r="O3623" s="53"/>
      <c r="P3623" s="68"/>
      <c r="Q3623" s="69"/>
      <c r="R3623" s="68"/>
      <c r="S3623" s="70"/>
      <c r="T3623" s="67"/>
      <c r="U3623" s="56"/>
      <c r="V3623" s="56"/>
      <c r="W3623" s="71"/>
      <c r="X3623" s="71"/>
      <c r="AA3623" s="33"/>
      <c r="AB3623" s="33"/>
      <c r="AC3623" s="33"/>
      <c r="AD3623" s="33"/>
      <c r="AE3623" s="33"/>
      <c r="AF3623" s="33"/>
      <c r="AG3623" s="33"/>
      <c r="AH3623" s="33"/>
      <c r="AI3623" s="33"/>
      <c r="AJ3623" s="33"/>
      <c r="AK3623" s="33"/>
      <c r="AL3623" s="33"/>
      <c r="AM3623" s="33"/>
      <c r="AN3623" s="33"/>
      <c r="AO3623" s="33"/>
    </row>
    <row r="3624" ht="15.75" customHeight="1">
      <c r="A3624" s="60">
        <v>58154.0</v>
      </c>
      <c r="B3624" s="61">
        <v>2024.0</v>
      </c>
      <c r="C3624" s="36" t="str">
        <f t="shared" si="7"/>
        <v>2424 SAKOWITZ ST,Houston,TX</v>
      </c>
      <c r="D3624" s="64" t="s">
        <v>2016</v>
      </c>
      <c r="E3624" s="23" t="s">
        <v>25</v>
      </c>
      <c r="F3624" s="23" t="s">
        <v>1388</v>
      </c>
      <c r="G3624" s="62" t="str">
        <f t="shared" si="8"/>
        <v>77020</v>
      </c>
      <c r="H3624" s="65"/>
      <c r="I3624" s="56"/>
      <c r="J3624" s="66"/>
      <c r="K3624" s="67"/>
      <c r="L3624" s="56"/>
      <c r="M3624" s="67"/>
      <c r="N3624" s="56"/>
      <c r="O3624" s="53"/>
      <c r="P3624" s="68"/>
      <c r="Q3624" s="69"/>
      <c r="R3624" s="68"/>
      <c r="S3624" s="70"/>
      <c r="T3624" s="67"/>
      <c r="U3624" s="56"/>
      <c r="V3624" s="56"/>
      <c r="W3624" s="71"/>
      <c r="X3624" s="71"/>
      <c r="AA3624" s="33"/>
      <c r="AB3624" s="33"/>
      <c r="AC3624" s="33"/>
      <c r="AD3624" s="33"/>
      <c r="AE3624" s="33"/>
      <c r="AF3624" s="33"/>
      <c r="AG3624" s="33"/>
      <c r="AH3624" s="33"/>
      <c r="AI3624" s="33"/>
      <c r="AJ3624" s="33"/>
      <c r="AK3624" s="33"/>
      <c r="AL3624" s="33"/>
      <c r="AM3624" s="33"/>
      <c r="AN3624" s="33"/>
      <c r="AO3624" s="33"/>
    </row>
    <row r="3625" ht="15.75" customHeight="1">
      <c r="A3625" s="60">
        <v>58173.0</v>
      </c>
      <c r="B3625" s="61">
        <v>2024.0</v>
      </c>
      <c r="C3625" s="36" t="str">
        <f t="shared" si="7"/>
        <v>5601 ROYAL PALMS ST,Houston,TX</v>
      </c>
      <c r="D3625" s="64" t="s">
        <v>1448</v>
      </c>
      <c r="E3625" s="23" t="s">
        <v>25</v>
      </c>
      <c r="F3625" s="23" t="s">
        <v>1388</v>
      </c>
      <c r="G3625" s="62" t="str">
        <f t="shared" si="8"/>
        <v>77021</v>
      </c>
      <c r="H3625" s="65"/>
      <c r="I3625" s="56"/>
      <c r="J3625" s="66"/>
      <c r="K3625" s="67"/>
      <c r="L3625" s="56"/>
      <c r="M3625" s="67"/>
      <c r="N3625" s="56"/>
      <c r="O3625" s="53"/>
      <c r="P3625" s="68"/>
      <c r="Q3625" s="69"/>
      <c r="R3625" s="68"/>
      <c r="S3625" s="70"/>
      <c r="T3625" s="67"/>
      <c r="U3625" s="56"/>
      <c r="V3625" s="56"/>
      <c r="W3625" s="71"/>
      <c r="X3625" s="71"/>
      <c r="AA3625" s="33"/>
      <c r="AB3625" s="33"/>
      <c r="AC3625" s="33"/>
      <c r="AD3625" s="33"/>
      <c r="AE3625" s="33"/>
      <c r="AF3625" s="33"/>
      <c r="AG3625" s="33"/>
      <c r="AH3625" s="33"/>
      <c r="AI3625" s="33"/>
      <c r="AJ3625" s="33"/>
      <c r="AK3625" s="33"/>
      <c r="AL3625" s="33"/>
      <c r="AM3625" s="33"/>
      <c r="AN3625" s="33"/>
      <c r="AO3625" s="33"/>
    </row>
    <row r="3626" ht="15.75" customHeight="1">
      <c r="A3626" s="60">
        <v>58174.0</v>
      </c>
      <c r="B3626" s="61">
        <v>2024.0</v>
      </c>
      <c r="C3626" s="36" t="str">
        <f t="shared" si="7"/>
        <v>888 2/3 CHIMNEY ROCK RD,Houston,TX</v>
      </c>
      <c r="D3626" s="64" t="s">
        <v>5391</v>
      </c>
      <c r="E3626" s="23" t="s">
        <v>25</v>
      </c>
      <c r="F3626" s="23" t="s">
        <v>1388</v>
      </c>
      <c r="G3626" s="62" t="str">
        <f t="shared" si="8"/>
        <v>77024</v>
      </c>
      <c r="H3626" s="65"/>
      <c r="I3626" s="56"/>
      <c r="J3626" s="66"/>
      <c r="K3626" s="67"/>
      <c r="L3626" s="56"/>
      <c r="M3626" s="67"/>
      <c r="N3626" s="56"/>
      <c r="O3626" s="53"/>
      <c r="P3626" s="68"/>
      <c r="Q3626" s="69"/>
      <c r="R3626" s="68"/>
      <c r="S3626" s="70"/>
      <c r="T3626" s="67"/>
      <c r="U3626" s="56"/>
      <c r="V3626" s="56"/>
      <c r="W3626" s="71"/>
      <c r="X3626" s="71"/>
      <c r="AA3626" s="33"/>
      <c r="AB3626" s="33"/>
      <c r="AC3626" s="33"/>
      <c r="AD3626" s="33"/>
      <c r="AE3626" s="33"/>
      <c r="AF3626" s="33"/>
      <c r="AG3626" s="33"/>
      <c r="AH3626" s="33"/>
      <c r="AI3626" s="33"/>
      <c r="AJ3626" s="33"/>
      <c r="AK3626" s="33"/>
      <c r="AL3626" s="33"/>
      <c r="AM3626" s="33"/>
      <c r="AN3626" s="33"/>
      <c r="AO3626" s="33"/>
    </row>
    <row r="3627" ht="15.75" customHeight="1">
      <c r="A3627" s="60">
        <v>58175.0</v>
      </c>
      <c r="B3627" s="61">
        <v>2024.0</v>
      </c>
      <c r="C3627" s="36" t="str">
        <f t="shared" si="7"/>
        <v>5331 BEVERLY HILL ST,Houston,TX</v>
      </c>
      <c r="D3627" s="64" t="s">
        <v>5392</v>
      </c>
      <c r="E3627" s="23" t="s">
        <v>25</v>
      </c>
      <c r="F3627" s="23" t="s">
        <v>1388</v>
      </c>
      <c r="G3627" s="62" t="str">
        <f t="shared" si="8"/>
        <v>77056</v>
      </c>
      <c r="H3627" s="65"/>
      <c r="I3627" s="56"/>
      <c r="J3627" s="66"/>
      <c r="K3627" s="67"/>
      <c r="L3627" s="56"/>
      <c r="M3627" s="67"/>
      <c r="N3627" s="56"/>
      <c r="O3627" s="53"/>
      <c r="P3627" s="68"/>
      <c r="Q3627" s="69"/>
      <c r="R3627" s="68"/>
      <c r="S3627" s="70"/>
      <c r="T3627" s="67"/>
      <c r="U3627" s="56"/>
      <c r="V3627" s="56"/>
      <c r="W3627" s="71"/>
      <c r="X3627" s="71"/>
      <c r="AA3627" s="33"/>
      <c r="AB3627" s="33"/>
      <c r="AC3627" s="33"/>
      <c r="AD3627" s="33"/>
      <c r="AE3627" s="33"/>
      <c r="AF3627" s="33"/>
      <c r="AG3627" s="33"/>
      <c r="AH3627" s="33"/>
      <c r="AI3627" s="33"/>
      <c r="AJ3627" s="33"/>
      <c r="AK3627" s="33"/>
      <c r="AL3627" s="33"/>
      <c r="AM3627" s="33"/>
      <c r="AN3627" s="33"/>
      <c r="AO3627" s="33"/>
    </row>
    <row r="3628" ht="15.75" customHeight="1">
      <c r="A3628" s="60">
        <v>57819.0</v>
      </c>
      <c r="B3628" s="61">
        <v>2024.0</v>
      </c>
      <c r="C3628" s="36" t="str">
        <f t="shared" si="7"/>
        <v>11431 SAGEGROVE LN,Houston,TX</v>
      </c>
      <c r="D3628" s="64" t="s">
        <v>5393</v>
      </c>
      <c r="E3628" s="23" t="s">
        <v>25</v>
      </c>
      <c r="F3628" s="23" t="s">
        <v>1388</v>
      </c>
      <c r="G3628" s="62" t="str">
        <f t="shared" si="8"/>
        <v>77089</v>
      </c>
      <c r="H3628" s="65"/>
      <c r="I3628" s="56"/>
      <c r="J3628" s="66"/>
      <c r="K3628" s="67"/>
      <c r="L3628" s="56"/>
      <c r="M3628" s="67"/>
      <c r="N3628" s="56"/>
      <c r="O3628" s="53"/>
      <c r="P3628" s="68"/>
      <c r="Q3628" s="69"/>
      <c r="R3628" s="68"/>
      <c r="S3628" s="70"/>
      <c r="T3628" s="67"/>
      <c r="U3628" s="56"/>
      <c r="V3628" s="56"/>
      <c r="W3628" s="71"/>
      <c r="X3628" s="71"/>
      <c r="AA3628" s="33"/>
      <c r="AB3628" s="33"/>
      <c r="AC3628" s="33"/>
      <c r="AD3628" s="33"/>
      <c r="AE3628" s="33"/>
      <c r="AF3628" s="33"/>
      <c r="AG3628" s="33"/>
      <c r="AH3628" s="33"/>
      <c r="AI3628" s="33"/>
      <c r="AJ3628" s="33"/>
      <c r="AK3628" s="33"/>
      <c r="AL3628" s="33"/>
      <c r="AM3628" s="33"/>
      <c r="AN3628" s="33"/>
      <c r="AO3628" s="33"/>
    </row>
    <row r="3629" ht="15.75" customHeight="1">
      <c r="A3629" s="60">
        <v>57863.0</v>
      </c>
      <c r="B3629" s="61">
        <v>2024.0</v>
      </c>
      <c r="C3629" s="36" t="str">
        <f t="shared" si="7"/>
        <v>11502 SAGEDOWNE LN,Houston,TX</v>
      </c>
      <c r="D3629" s="64" t="s">
        <v>5394</v>
      </c>
      <c r="E3629" s="23" t="s">
        <v>25</v>
      </c>
      <c r="F3629" s="23" t="s">
        <v>1388</v>
      </c>
      <c r="G3629" s="62" t="str">
        <f t="shared" si="8"/>
        <v>77089</v>
      </c>
      <c r="H3629" s="65"/>
      <c r="I3629" s="56"/>
      <c r="J3629" s="66"/>
      <c r="K3629" s="67"/>
      <c r="L3629" s="56"/>
      <c r="M3629" s="67"/>
      <c r="N3629" s="56"/>
      <c r="O3629" s="53"/>
      <c r="P3629" s="68"/>
      <c r="Q3629" s="69"/>
      <c r="R3629" s="68"/>
      <c r="S3629" s="70"/>
      <c r="T3629" s="67"/>
      <c r="U3629" s="56"/>
      <c r="V3629" s="56"/>
      <c r="W3629" s="71"/>
      <c r="X3629" s="71"/>
      <c r="AA3629" s="33"/>
      <c r="AB3629" s="33"/>
      <c r="AC3629" s="33"/>
      <c r="AD3629" s="33"/>
      <c r="AE3629" s="33"/>
      <c r="AF3629" s="33"/>
      <c r="AG3629" s="33"/>
      <c r="AH3629" s="33"/>
      <c r="AI3629" s="33"/>
      <c r="AJ3629" s="33"/>
      <c r="AK3629" s="33"/>
      <c r="AL3629" s="33"/>
      <c r="AM3629" s="33"/>
      <c r="AN3629" s="33"/>
      <c r="AO3629" s="33"/>
    </row>
    <row r="3630" ht="15.75" customHeight="1">
      <c r="A3630" s="60">
        <v>57864.0</v>
      </c>
      <c r="B3630" s="61">
        <v>2024.0</v>
      </c>
      <c r="C3630" s="36" t="str">
        <f t="shared" si="7"/>
        <v>11514 SAGEDOWNE LN,Houston,TX</v>
      </c>
      <c r="D3630" s="64" t="s">
        <v>5395</v>
      </c>
      <c r="E3630" s="23" t="s">
        <v>25</v>
      </c>
      <c r="F3630" s="23" t="s">
        <v>1388</v>
      </c>
      <c r="G3630" s="62" t="str">
        <f t="shared" si="8"/>
        <v>77089</v>
      </c>
      <c r="H3630" s="65"/>
      <c r="I3630" s="56"/>
      <c r="J3630" s="66"/>
      <c r="K3630" s="67"/>
      <c r="L3630" s="56"/>
      <c r="M3630" s="67"/>
      <c r="N3630" s="56"/>
      <c r="O3630" s="53"/>
      <c r="P3630" s="68"/>
      <c r="Q3630" s="69"/>
      <c r="R3630" s="68"/>
      <c r="S3630" s="70"/>
      <c r="T3630" s="67"/>
      <c r="U3630" s="56"/>
      <c r="V3630" s="56"/>
      <c r="W3630" s="71"/>
      <c r="X3630" s="71"/>
      <c r="AA3630" s="33"/>
      <c r="AB3630" s="33"/>
      <c r="AC3630" s="33"/>
      <c r="AD3630" s="33"/>
      <c r="AE3630" s="33"/>
      <c r="AF3630" s="33"/>
      <c r="AG3630" s="33"/>
      <c r="AH3630" s="33"/>
      <c r="AI3630" s="33"/>
      <c r="AJ3630" s="33"/>
      <c r="AK3630" s="33"/>
      <c r="AL3630" s="33"/>
      <c r="AM3630" s="33"/>
      <c r="AN3630" s="33"/>
      <c r="AO3630" s="33"/>
    </row>
    <row r="3631" ht="15.75" customHeight="1">
      <c r="A3631" s="60">
        <v>57866.0</v>
      </c>
      <c r="B3631" s="61">
        <v>2024.0</v>
      </c>
      <c r="C3631" s="36" t="str">
        <f t="shared" si="7"/>
        <v>11515 SAGEDOWNE LN,Houston,TX</v>
      </c>
      <c r="D3631" s="64" t="s">
        <v>5396</v>
      </c>
      <c r="E3631" s="23" t="s">
        <v>25</v>
      </c>
      <c r="F3631" s="23" t="s">
        <v>1388</v>
      </c>
      <c r="G3631" s="62" t="str">
        <f t="shared" si="8"/>
        <v>77089</v>
      </c>
      <c r="H3631" s="65"/>
      <c r="I3631" s="56"/>
      <c r="J3631" s="66"/>
      <c r="K3631" s="67"/>
      <c r="L3631" s="56"/>
      <c r="M3631" s="67"/>
      <c r="N3631" s="56"/>
      <c r="O3631" s="53"/>
      <c r="P3631" s="68"/>
      <c r="Q3631" s="69"/>
      <c r="R3631" s="68"/>
      <c r="S3631" s="70"/>
      <c r="T3631" s="67"/>
      <c r="U3631" s="56"/>
      <c r="V3631" s="56"/>
      <c r="W3631" s="71"/>
      <c r="X3631" s="71"/>
      <c r="AA3631" s="33"/>
      <c r="AB3631" s="33"/>
      <c r="AC3631" s="33"/>
      <c r="AD3631" s="33"/>
      <c r="AE3631" s="33"/>
      <c r="AF3631" s="33"/>
      <c r="AG3631" s="33"/>
      <c r="AH3631" s="33"/>
      <c r="AI3631" s="33"/>
      <c r="AJ3631" s="33"/>
      <c r="AK3631" s="33"/>
      <c r="AL3631" s="33"/>
      <c r="AM3631" s="33"/>
      <c r="AN3631" s="33"/>
      <c r="AO3631" s="33"/>
    </row>
    <row r="3632" ht="15.75" customHeight="1">
      <c r="A3632" s="60">
        <v>57867.0</v>
      </c>
      <c r="B3632" s="61">
        <v>2024.0</v>
      </c>
      <c r="C3632" s="36" t="str">
        <f t="shared" si="7"/>
        <v>11602 SAGEDOWNE LN,Houston,TX</v>
      </c>
      <c r="D3632" s="64" t="s">
        <v>5397</v>
      </c>
      <c r="E3632" s="23" t="s">
        <v>25</v>
      </c>
      <c r="F3632" s="23" t="s">
        <v>1388</v>
      </c>
      <c r="G3632" s="62" t="str">
        <f t="shared" si="8"/>
        <v>77089</v>
      </c>
      <c r="H3632" s="65"/>
      <c r="I3632" s="56"/>
      <c r="J3632" s="66"/>
      <c r="K3632" s="67"/>
      <c r="L3632" s="56"/>
      <c r="M3632" s="67"/>
      <c r="N3632" s="56"/>
      <c r="O3632" s="53"/>
      <c r="P3632" s="68"/>
      <c r="Q3632" s="69"/>
      <c r="R3632" s="68"/>
      <c r="S3632" s="70"/>
      <c r="T3632" s="67"/>
      <c r="U3632" s="56"/>
      <c r="V3632" s="56"/>
      <c r="W3632" s="71"/>
      <c r="X3632" s="71"/>
      <c r="AA3632" s="33"/>
      <c r="AB3632" s="33"/>
      <c r="AC3632" s="33"/>
      <c r="AD3632" s="33"/>
      <c r="AE3632" s="33"/>
      <c r="AF3632" s="33"/>
      <c r="AG3632" s="33"/>
      <c r="AH3632" s="33"/>
      <c r="AI3632" s="33"/>
      <c r="AJ3632" s="33"/>
      <c r="AK3632" s="33"/>
      <c r="AL3632" s="33"/>
      <c r="AM3632" s="33"/>
      <c r="AN3632" s="33"/>
      <c r="AO3632" s="33"/>
    </row>
    <row r="3633" ht="15.75" customHeight="1">
      <c r="A3633" s="60">
        <v>57869.0</v>
      </c>
      <c r="B3633" s="61">
        <v>2024.0</v>
      </c>
      <c r="C3633" s="36" t="str">
        <f t="shared" si="7"/>
        <v>11607 SAGEDOWNE LN,Houston,TX</v>
      </c>
      <c r="D3633" s="64" t="s">
        <v>5398</v>
      </c>
      <c r="E3633" s="23" t="s">
        <v>25</v>
      </c>
      <c r="F3633" s="23" t="s">
        <v>1388</v>
      </c>
      <c r="G3633" s="62" t="str">
        <f t="shared" si="8"/>
        <v>77089</v>
      </c>
      <c r="H3633" s="65"/>
      <c r="I3633" s="56"/>
      <c r="J3633" s="66"/>
      <c r="K3633" s="67"/>
      <c r="L3633" s="56"/>
      <c r="M3633" s="67"/>
      <c r="N3633" s="56"/>
      <c r="O3633" s="53"/>
      <c r="P3633" s="68"/>
      <c r="Q3633" s="69"/>
      <c r="R3633" s="68"/>
      <c r="S3633" s="70"/>
      <c r="T3633" s="67"/>
      <c r="U3633" s="56"/>
      <c r="V3633" s="56"/>
      <c r="W3633" s="71"/>
      <c r="X3633" s="71"/>
      <c r="AA3633" s="33"/>
      <c r="AB3633" s="33"/>
      <c r="AC3633" s="33"/>
      <c r="AD3633" s="33"/>
      <c r="AE3633" s="33"/>
      <c r="AF3633" s="33"/>
      <c r="AG3633" s="33"/>
      <c r="AH3633" s="33"/>
      <c r="AI3633" s="33"/>
      <c r="AJ3633" s="33"/>
      <c r="AK3633" s="33"/>
      <c r="AL3633" s="33"/>
      <c r="AM3633" s="33"/>
      <c r="AN3633" s="33"/>
      <c r="AO3633" s="33"/>
    </row>
    <row r="3634" ht="15.75" customHeight="1">
      <c r="A3634" s="60">
        <v>57870.0</v>
      </c>
      <c r="B3634" s="61">
        <v>2024.0</v>
      </c>
      <c r="C3634" s="36" t="str">
        <f t="shared" si="7"/>
        <v>11615 SAGEDOWNE LN,Houston,TX</v>
      </c>
      <c r="D3634" s="64" t="s">
        <v>5399</v>
      </c>
      <c r="E3634" s="23" t="s">
        <v>25</v>
      </c>
      <c r="F3634" s="23" t="s">
        <v>1388</v>
      </c>
      <c r="G3634" s="62" t="str">
        <f t="shared" si="8"/>
        <v>77089</v>
      </c>
      <c r="H3634" s="65"/>
      <c r="I3634" s="56"/>
      <c r="J3634" s="66"/>
      <c r="K3634" s="67"/>
      <c r="L3634" s="56"/>
      <c r="M3634" s="67"/>
      <c r="N3634" s="56"/>
      <c r="O3634" s="53"/>
      <c r="P3634" s="68"/>
      <c r="Q3634" s="69"/>
      <c r="R3634" s="68"/>
      <c r="S3634" s="70"/>
      <c r="T3634" s="67"/>
      <c r="U3634" s="56"/>
      <c r="V3634" s="56"/>
      <c r="W3634" s="71"/>
      <c r="X3634" s="71"/>
      <c r="AA3634" s="33"/>
      <c r="AB3634" s="33"/>
      <c r="AC3634" s="33"/>
      <c r="AD3634" s="33"/>
      <c r="AE3634" s="33"/>
      <c r="AF3634" s="33"/>
      <c r="AG3634" s="33"/>
      <c r="AH3634" s="33"/>
      <c r="AI3634" s="33"/>
      <c r="AJ3634" s="33"/>
      <c r="AK3634" s="33"/>
      <c r="AL3634" s="33"/>
      <c r="AM3634" s="33"/>
      <c r="AN3634" s="33"/>
      <c r="AO3634" s="33"/>
    </row>
    <row r="3635" ht="15.75" customHeight="1">
      <c r="A3635" s="60">
        <v>57871.0</v>
      </c>
      <c r="B3635" s="61">
        <v>2024.0</v>
      </c>
      <c r="C3635" s="36" t="str">
        <f t="shared" si="7"/>
        <v>11623 SAGEDOWNE LN,Houston,TX</v>
      </c>
      <c r="D3635" s="64" t="s">
        <v>5400</v>
      </c>
      <c r="E3635" s="23" t="s">
        <v>25</v>
      </c>
      <c r="F3635" s="23" t="s">
        <v>1388</v>
      </c>
      <c r="G3635" s="62" t="str">
        <f t="shared" si="8"/>
        <v>77089</v>
      </c>
      <c r="H3635" s="65"/>
      <c r="I3635" s="56"/>
      <c r="J3635" s="66"/>
      <c r="K3635" s="67"/>
      <c r="L3635" s="56"/>
      <c r="M3635" s="67"/>
      <c r="N3635" s="56"/>
      <c r="O3635" s="53"/>
      <c r="P3635" s="68"/>
      <c r="Q3635" s="69"/>
      <c r="R3635" s="68"/>
      <c r="S3635" s="70"/>
      <c r="T3635" s="67"/>
      <c r="U3635" s="56"/>
      <c r="V3635" s="56"/>
      <c r="W3635" s="71"/>
      <c r="X3635" s="71"/>
      <c r="AA3635" s="33"/>
      <c r="AB3635" s="33"/>
      <c r="AC3635" s="33"/>
      <c r="AD3635" s="33"/>
      <c r="AE3635" s="33"/>
      <c r="AF3635" s="33"/>
      <c r="AG3635" s="33"/>
      <c r="AH3635" s="33"/>
      <c r="AI3635" s="33"/>
      <c r="AJ3635" s="33"/>
      <c r="AK3635" s="33"/>
      <c r="AL3635" s="33"/>
      <c r="AM3635" s="33"/>
      <c r="AN3635" s="33"/>
      <c r="AO3635" s="33"/>
    </row>
    <row r="3636" ht="15.75" customHeight="1">
      <c r="A3636" s="60">
        <v>57872.0</v>
      </c>
      <c r="B3636" s="61">
        <v>2024.0</v>
      </c>
      <c r="C3636" s="36" t="str">
        <f t="shared" si="7"/>
        <v>11622 SAGEDOWNE LN,Houston,TX</v>
      </c>
      <c r="D3636" s="64" t="s">
        <v>5401</v>
      </c>
      <c r="E3636" s="23" t="s">
        <v>25</v>
      </c>
      <c r="F3636" s="23" t="s">
        <v>1388</v>
      </c>
      <c r="G3636" s="62" t="str">
        <f t="shared" si="8"/>
        <v>77089</v>
      </c>
      <c r="H3636" s="65"/>
      <c r="I3636" s="56"/>
      <c r="J3636" s="66"/>
      <c r="K3636" s="67"/>
      <c r="L3636" s="56"/>
      <c r="M3636" s="67"/>
      <c r="N3636" s="56"/>
      <c r="O3636" s="53"/>
      <c r="P3636" s="68"/>
      <c r="Q3636" s="69"/>
      <c r="R3636" s="68"/>
      <c r="S3636" s="70"/>
      <c r="T3636" s="67"/>
      <c r="U3636" s="56"/>
      <c r="V3636" s="56"/>
      <c r="W3636" s="71"/>
      <c r="X3636" s="71"/>
      <c r="AA3636" s="33"/>
      <c r="AB3636" s="33"/>
      <c r="AC3636" s="33"/>
      <c r="AD3636" s="33"/>
      <c r="AE3636" s="33"/>
      <c r="AF3636" s="33"/>
      <c r="AG3636" s="33"/>
      <c r="AH3636" s="33"/>
      <c r="AI3636" s="33"/>
      <c r="AJ3636" s="33"/>
      <c r="AK3636" s="33"/>
      <c r="AL3636" s="33"/>
      <c r="AM3636" s="33"/>
      <c r="AN3636" s="33"/>
      <c r="AO3636" s="33"/>
    </row>
    <row r="3637" ht="15.75" customHeight="1">
      <c r="A3637" s="60">
        <v>57873.0</v>
      </c>
      <c r="B3637" s="61">
        <v>2024.0</v>
      </c>
      <c r="C3637" s="36" t="str">
        <f t="shared" si="7"/>
        <v>11622 SAGEDOWNE LN,Houston,TX</v>
      </c>
      <c r="D3637" s="64" t="s">
        <v>5401</v>
      </c>
      <c r="E3637" s="23" t="s">
        <v>25</v>
      </c>
      <c r="F3637" s="23" t="s">
        <v>1388</v>
      </c>
      <c r="G3637" s="62" t="str">
        <f t="shared" si="8"/>
        <v>77089</v>
      </c>
      <c r="H3637" s="65"/>
      <c r="I3637" s="56"/>
      <c r="J3637" s="66"/>
      <c r="K3637" s="67"/>
      <c r="L3637" s="56"/>
      <c r="M3637" s="67"/>
      <c r="N3637" s="56"/>
      <c r="O3637" s="53"/>
      <c r="P3637" s="68"/>
      <c r="Q3637" s="69"/>
      <c r="R3637" s="68"/>
      <c r="S3637" s="70"/>
      <c r="T3637" s="67"/>
      <c r="U3637" s="56"/>
      <c r="V3637" s="56"/>
      <c r="W3637" s="71"/>
      <c r="X3637" s="71"/>
      <c r="AA3637" s="33"/>
      <c r="AB3637" s="33"/>
      <c r="AC3637" s="33"/>
      <c r="AD3637" s="33"/>
      <c r="AE3637" s="33"/>
      <c r="AF3637" s="33"/>
      <c r="AG3637" s="33"/>
      <c r="AH3637" s="33"/>
      <c r="AI3637" s="33"/>
      <c r="AJ3637" s="33"/>
      <c r="AK3637" s="33"/>
      <c r="AL3637" s="33"/>
      <c r="AM3637" s="33"/>
      <c r="AN3637" s="33"/>
      <c r="AO3637" s="33"/>
    </row>
    <row r="3638" ht="15.75" customHeight="1">
      <c r="A3638" s="60">
        <v>57793.0</v>
      </c>
      <c r="B3638" s="61">
        <v>2024.0</v>
      </c>
      <c r="C3638" s="36" t="str">
        <f t="shared" si="7"/>
        <v>8731 RYLANDER CIR,Houston,TX</v>
      </c>
      <c r="D3638" s="64" t="s">
        <v>5402</v>
      </c>
      <c r="E3638" s="23" t="s">
        <v>25</v>
      </c>
      <c r="F3638" s="23" t="s">
        <v>1388</v>
      </c>
      <c r="G3638" s="62" t="str">
        <f t="shared" si="8"/>
        <v>77071</v>
      </c>
      <c r="H3638" s="65"/>
      <c r="I3638" s="56"/>
      <c r="J3638" s="66"/>
      <c r="K3638" s="67"/>
      <c r="L3638" s="56"/>
      <c r="M3638" s="67"/>
      <c r="N3638" s="56"/>
      <c r="O3638" s="53"/>
      <c r="P3638" s="68"/>
      <c r="Q3638" s="69"/>
      <c r="R3638" s="68"/>
      <c r="S3638" s="70"/>
      <c r="T3638" s="67"/>
      <c r="U3638" s="56"/>
      <c r="V3638" s="56"/>
      <c r="W3638" s="71"/>
      <c r="X3638" s="71"/>
      <c r="AA3638" s="33"/>
      <c r="AB3638" s="33"/>
      <c r="AC3638" s="33"/>
      <c r="AD3638" s="33"/>
      <c r="AE3638" s="33"/>
      <c r="AF3638" s="33"/>
      <c r="AG3638" s="33"/>
      <c r="AH3638" s="33"/>
      <c r="AI3638" s="33"/>
      <c r="AJ3638" s="33"/>
      <c r="AK3638" s="33"/>
      <c r="AL3638" s="33"/>
      <c r="AM3638" s="33"/>
      <c r="AN3638" s="33"/>
      <c r="AO3638" s="33"/>
    </row>
    <row r="3639" ht="15.75" customHeight="1">
      <c r="A3639" s="60">
        <v>57837.0</v>
      </c>
      <c r="B3639" s="61">
        <v>2024.0</v>
      </c>
      <c r="C3639" s="36" t="str">
        <f t="shared" si="7"/>
        <v>4007 RAWLEY ST,Houston,TX</v>
      </c>
      <c r="D3639" s="64" t="s">
        <v>5403</v>
      </c>
      <c r="E3639" s="23" t="s">
        <v>25</v>
      </c>
      <c r="F3639" s="23" t="s">
        <v>1388</v>
      </c>
      <c r="G3639" s="62" t="str">
        <f t="shared" si="8"/>
        <v>77020</v>
      </c>
      <c r="H3639" s="65"/>
      <c r="I3639" s="56"/>
      <c r="J3639" s="66"/>
      <c r="K3639" s="67"/>
      <c r="L3639" s="56"/>
      <c r="M3639" s="67"/>
      <c r="N3639" s="56"/>
      <c r="O3639" s="53"/>
      <c r="P3639" s="68"/>
      <c r="Q3639" s="69"/>
      <c r="R3639" s="68"/>
      <c r="S3639" s="70"/>
      <c r="T3639" s="67"/>
      <c r="U3639" s="56"/>
      <c r="V3639" s="56"/>
      <c r="W3639" s="71"/>
      <c r="X3639" s="71"/>
      <c r="AA3639" s="33"/>
      <c r="AB3639" s="33"/>
      <c r="AC3639" s="33"/>
      <c r="AD3639" s="33"/>
      <c r="AE3639" s="33"/>
      <c r="AF3639" s="33"/>
      <c r="AG3639" s="33"/>
      <c r="AH3639" s="33"/>
      <c r="AI3639" s="33"/>
      <c r="AJ3639" s="33"/>
      <c r="AK3639" s="33"/>
      <c r="AL3639" s="33"/>
      <c r="AM3639" s="33"/>
      <c r="AN3639" s="33"/>
      <c r="AO3639" s="33"/>
    </row>
    <row r="3640" ht="15.75" customHeight="1">
      <c r="A3640" s="60">
        <v>57853.0</v>
      </c>
      <c r="B3640" s="61">
        <v>2024.0</v>
      </c>
      <c r="C3640" s="36" t="str">
        <f t="shared" si="7"/>
        <v>3302 SOUTHMORE BLVD,Houston,TX</v>
      </c>
      <c r="D3640" s="64" t="s">
        <v>5404</v>
      </c>
      <c r="E3640" s="23" t="s">
        <v>25</v>
      </c>
      <c r="F3640" s="23" t="s">
        <v>1388</v>
      </c>
      <c r="G3640" s="62" t="str">
        <f t="shared" si="8"/>
        <v>77004</v>
      </c>
      <c r="H3640" s="65"/>
      <c r="I3640" s="56"/>
      <c r="J3640" s="66"/>
      <c r="K3640" s="67"/>
      <c r="L3640" s="56"/>
      <c r="M3640" s="67"/>
      <c r="N3640" s="56"/>
      <c r="O3640" s="53"/>
      <c r="P3640" s="68"/>
      <c r="Q3640" s="69"/>
      <c r="R3640" s="68"/>
      <c r="S3640" s="70"/>
      <c r="T3640" s="67"/>
      <c r="U3640" s="56"/>
      <c r="V3640" s="56"/>
      <c r="W3640" s="71"/>
      <c r="X3640" s="71"/>
      <c r="AA3640" s="33"/>
      <c r="AB3640" s="33"/>
      <c r="AC3640" s="33"/>
      <c r="AD3640" s="33"/>
      <c r="AE3640" s="33"/>
      <c r="AF3640" s="33"/>
      <c r="AG3640" s="33"/>
      <c r="AH3640" s="33"/>
      <c r="AI3640" s="33"/>
      <c r="AJ3640" s="33"/>
      <c r="AK3640" s="33"/>
      <c r="AL3640" s="33"/>
      <c r="AM3640" s="33"/>
      <c r="AN3640" s="33"/>
      <c r="AO3640" s="33"/>
    </row>
    <row r="3641" ht="15.75" customHeight="1">
      <c r="A3641" s="60">
        <v>57887.0</v>
      </c>
      <c r="B3641" s="61">
        <v>2024.0</v>
      </c>
      <c r="C3641" s="36" t="str">
        <f t="shared" si="7"/>
        <v>5711 YALE ST,Houston,TX</v>
      </c>
      <c r="D3641" s="64" t="s">
        <v>5405</v>
      </c>
      <c r="E3641" s="23" t="s">
        <v>25</v>
      </c>
      <c r="F3641" s="23" t="s">
        <v>1388</v>
      </c>
      <c r="G3641" s="62" t="str">
        <f t="shared" si="8"/>
        <v>77076</v>
      </c>
      <c r="H3641" s="65"/>
      <c r="I3641" s="56"/>
      <c r="J3641" s="66"/>
      <c r="K3641" s="67"/>
      <c r="L3641" s="56"/>
      <c r="M3641" s="67"/>
      <c r="N3641" s="56"/>
      <c r="O3641" s="53"/>
      <c r="P3641" s="68"/>
      <c r="Q3641" s="69"/>
      <c r="R3641" s="68"/>
      <c r="S3641" s="70"/>
      <c r="T3641" s="67"/>
      <c r="U3641" s="56"/>
      <c r="V3641" s="56"/>
      <c r="W3641" s="71"/>
      <c r="X3641" s="71"/>
      <c r="AA3641" s="33"/>
      <c r="AB3641" s="33"/>
      <c r="AC3641" s="33"/>
      <c r="AD3641" s="33"/>
      <c r="AE3641" s="33"/>
      <c r="AF3641" s="33"/>
      <c r="AG3641" s="33"/>
      <c r="AH3641" s="33"/>
      <c r="AI3641" s="33"/>
      <c r="AJ3641" s="33"/>
      <c r="AK3641" s="33"/>
      <c r="AL3641" s="33"/>
      <c r="AM3641" s="33"/>
      <c r="AN3641" s="33"/>
      <c r="AO3641" s="33"/>
    </row>
    <row r="3642" ht="15.75" customHeight="1">
      <c r="A3642" s="60">
        <v>57892.0</v>
      </c>
      <c r="B3642" s="61">
        <v>2024.0</v>
      </c>
      <c r="C3642" s="36" t="str">
        <f t="shared" si="7"/>
        <v>1459 WILLOW ROCK RD,Houston,TX</v>
      </c>
      <c r="D3642" s="64" t="s">
        <v>5406</v>
      </c>
      <c r="E3642" s="23" t="s">
        <v>25</v>
      </c>
      <c r="F3642" s="23" t="s">
        <v>1388</v>
      </c>
      <c r="G3642" s="62" t="str">
        <f t="shared" si="8"/>
        <v>77088</v>
      </c>
      <c r="H3642" s="65"/>
      <c r="I3642" s="56"/>
      <c r="J3642" s="66"/>
      <c r="K3642" s="67"/>
      <c r="L3642" s="56"/>
      <c r="M3642" s="67"/>
      <c r="N3642" s="56"/>
      <c r="O3642" s="53"/>
      <c r="P3642" s="68"/>
      <c r="Q3642" s="69"/>
      <c r="R3642" s="68"/>
      <c r="S3642" s="70"/>
      <c r="T3642" s="67"/>
      <c r="U3642" s="56"/>
      <c r="V3642" s="56"/>
      <c r="W3642" s="71"/>
      <c r="X3642" s="71"/>
      <c r="AA3642" s="33"/>
      <c r="AB3642" s="33"/>
      <c r="AC3642" s="33"/>
      <c r="AD3642" s="33"/>
      <c r="AE3642" s="33"/>
      <c r="AF3642" s="33"/>
      <c r="AG3642" s="33"/>
      <c r="AH3642" s="33"/>
      <c r="AI3642" s="33"/>
      <c r="AJ3642" s="33"/>
      <c r="AK3642" s="33"/>
      <c r="AL3642" s="33"/>
      <c r="AM3642" s="33"/>
      <c r="AN3642" s="33"/>
      <c r="AO3642" s="33"/>
    </row>
    <row r="3643" ht="15.75" customHeight="1">
      <c r="A3643" s="60">
        <v>57923.0</v>
      </c>
      <c r="B3643" s="61">
        <v>2024.0</v>
      </c>
      <c r="C3643" s="36" t="str">
        <f t="shared" si="7"/>
        <v>1438 PLEASANTVILLE DR,Houston,TX</v>
      </c>
      <c r="D3643" s="64" t="s">
        <v>5407</v>
      </c>
      <c r="E3643" s="23" t="s">
        <v>25</v>
      </c>
      <c r="F3643" s="23" t="s">
        <v>1388</v>
      </c>
      <c r="G3643" s="62" t="str">
        <f t="shared" si="8"/>
        <v>77029</v>
      </c>
      <c r="H3643" s="65"/>
      <c r="I3643" s="56"/>
      <c r="J3643" s="66"/>
      <c r="K3643" s="67"/>
      <c r="L3643" s="56"/>
      <c r="M3643" s="67"/>
      <c r="N3643" s="56"/>
      <c r="O3643" s="53"/>
      <c r="P3643" s="68"/>
      <c r="Q3643" s="69"/>
      <c r="R3643" s="68"/>
      <c r="S3643" s="70"/>
      <c r="T3643" s="67"/>
      <c r="U3643" s="56"/>
      <c r="V3643" s="56"/>
      <c r="W3643" s="71"/>
      <c r="X3643" s="71"/>
      <c r="AA3643" s="33"/>
      <c r="AB3643" s="33"/>
      <c r="AC3643" s="33"/>
      <c r="AD3643" s="33"/>
      <c r="AE3643" s="33"/>
      <c r="AF3643" s="33"/>
      <c r="AG3643" s="33"/>
      <c r="AH3643" s="33"/>
      <c r="AI3643" s="33"/>
      <c r="AJ3643" s="33"/>
      <c r="AK3643" s="33"/>
      <c r="AL3643" s="33"/>
      <c r="AM3643" s="33"/>
      <c r="AN3643" s="33"/>
      <c r="AO3643" s="33"/>
    </row>
    <row r="3644" ht="15.75" customHeight="1">
      <c r="A3644" s="60">
        <v>57928.0</v>
      </c>
      <c r="B3644" s="61">
        <v>2024.0</v>
      </c>
      <c r="C3644" s="36" t="str">
        <f t="shared" si="7"/>
        <v>7007 COACHCREEK DR,Houston,TX</v>
      </c>
      <c r="D3644" s="64" t="s">
        <v>5408</v>
      </c>
      <c r="E3644" s="23" t="s">
        <v>25</v>
      </c>
      <c r="F3644" s="23" t="s">
        <v>1388</v>
      </c>
      <c r="G3644" s="62" t="str">
        <f t="shared" si="8"/>
        <v>77085</v>
      </c>
      <c r="H3644" s="65"/>
      <c r="I3644" s="56"/>
      <c r="J3644" s="66"/>
      <c r="K3644" s="67"/>
      <c r="L3644" s="56"/>
      <c r="M3644" s="67"/>
      <c r="N3644" s="56"/>
      <c r="O3644" s="53"/>
      <c r="P3644" s="68"/>
      <c r="Q3644" s="69"/>
      <c r="R3644" s="68"/>
      <c r="S3644" s="70"/>
      <c r="T3644" s="67"/>
      <c r="U3644" s="56"/>
      <c r="V3644" s="56"/>
      <c r="W3644" s="71"/>
      <c r="X3644" s="71"/>
      <c r="AA3644" s="33"/>
      <c r="AB3644" s="33"/>
      <c r="AC3644" s="33"/>
      <c r="AD3644" s="33"/>
      <c r="AE3644" s="33"/>
      <c r="AF3644" s="33"/>
      <c r="AG3644" s="33"/>
      <c r="AH3644" s="33"/>
      <c r="AI3644" s="33"/>
      <c r="AJ3644" s="33"/>
      <c r="AK3644" s="33"/>
      <c r="AL3644" s="33"/>
      <c r="AM3644" s="33"/>
      <c r="AN3644" s="33"/>
      <c r="AO3644" s="33"/>
    </row>
    <row r="3645" ht="15.75" customHeight="1">
      <c r="A3645" s="60">
        <v>57938.0</v>
      </c>
      <c r="B3645" s="61">
        <v>2024.0</v>
      </c>
      <c r="C3645" s="36" t="str">
        <f t="shared" si="7"/>
        <v>7942 ANGUS ST,Houston,TX</v>
      </c>
      <c r="D3645" s="64" t="s">
        <v>5409</v>
      </c>
      <c r="E3645" s="23" t="s">
        <v>25</v>
      </c>
      <c r="F3645" s="23" t="s">
        <v>1388</v>
      </c>
      <c r="G3645" s="62" t="str">
        <f t="shared" si="8"/>
        <v>77028</v>
      </c>
      <c r="H3645" s="65"/>
      <c r="I3645" s="56"/>
      <c r="J3645" s="66"/>
      <c r="K3645" s="67"/>
      <c r="L3645" s="56"/>
      <c r="M3645" s="67"/>
      <c r="N3645" s="56"/>
      <c r="O3645" s="53"/>
      <c r="P3645" s="68"/>
      <c r="Q3645" s="69"/>
      <c r="R3645" s="68"/>
      <c r="S3645" s="70"/>
      <c r="T3645" s="67"/>
      <c r="U3645" s="56"/>
      <c r="V3645" s="56"/>
      <c r="W3645" s="71"/>
      <c r="X3645" s="71"/>
      <c r="AA3645" s="33"/>
      <c r="AB3645" s="33"/>
      <c r="AC3645" s="33"/>
      <c r="AD3645" s="33"/>
      <c r="AE3645" s="33"/>
      <c r="AF3645" s="33"/>
      <c r="AG3645" s="33"/>
      <c r="AH3645" s="33"/>
      <c r="AI3645" s="33"/>
      <c r="AJ3645" s="33"/>
      <c r="AK3645" s="33"/>
      <c r="AL3645" s="33"/>
      <c r="AM3645" s="33"/>
      <c r="AN3645" s="33"/>
      <c r="AO3645" s="33"/>
    </row>
    <row r="3646" ht="15.75" customHeight="1">
      <c r="A3646" s="60">
        <v>57952.0</v>
      </c>
      <c r="B3646" s="61">
        <v>2024.0</v>
      </c>
      <c r="C3646" s="36" t="str">
        <f t="shared" si="7"/>
        <v>9538 CHESTERFIELD DR,Houston,TX</v>
      </c>
      <c r="D3646" s="64" t="s">
        <v>5410</v>
      </c>
      <c r="E3646" s="23" t="s">
        <v>25</v>
      </c>
      <c r="F3646" s="23" t="s">
        <v>1388</v>
      </c>
      <c r="G3646" s="62" t="str">
        <f t="shared" si="8"/>
        <v>77051</v>
      </c>
      <c r="H3646" s="65"/>
      <c r="I3646" s="56"/>
      <c r="J3646" s="66"/>
      <c r="K3646" s="67"/>
      <c r="L3646" s="56"/>
      <c r="M3646" s="67"/>
      <c r="N3646" s="56"/>
      <c r="O3646" s="53"/>
      <c r="P3646" s="68"/>
      <c r="Q3646" s="69"/>
      <c r="R3646" s="68"/>
      <c r="S3646" s="70"/>
      <c r="T3646" s="67"/>
      <c r="U3646" s="56"/>
      <c r="V3646" s="56"/>
      <c r="W3646" s="71"/>
      <c r="X3646" s="71"/>
      <c r="AA3646" s="33"/>
      <c r="AB3646" s="33"/>
      <c r="AC3646" s="33"/>
      <c r="AD3646" s="33"/>
      <c r="AE3646" s="33"/>
      <c r="AF3646" s="33"/>
      <c r="AG3646" s="33"/>
      <c r="AH3646" s="33"/>
      <c r="AI3646" s="33"/>
      <c r="AJ3646" s="33"/>
      <c r="AK3646" s="33"/>
      <c r="AL3646" s="33"/>
      <c r="AM3646" s="33"/>
      <c r="AN3646" s="33"/>
      <c r="AO3646" s="33"/>
    </row>
    <row r="3647" ht="15.75" customHeight="1">
      <c r="A3647" s="60">
        <v>58002.0</v>
      </c>
      <c r="B3647" s="61">
        <v>2024.0</v>
      </c>
      <c r="C3647" s="36" t="str">
        <f t="shared" si="7"/>
        <v>12114 SAGEDOWNE LN,Houston,TX</v>
      </c>
      <c r="D3647" s="64" t="s">
        <v>5411</v>
      </c>
      <c r="E3647" s="23" t="s">
        <v>25</v>
      </c>
      <c r="F3647" s="23" t="s">
        <v>1388</v>
      </c>
      <c r="G3647" s="62" t="str">
        <f t="shared" si="8"/>
        <v>77034</v>
      </c>
      <c r="H3647" s="65"/>
      <c r="I3647" s="56"/>
      <c r="J3647" s="66"/>
      <c r="K3647" s="67"/>
      <c r="L3647" s="56"/>
      <c r="M3647" s="67"/>
      <c r="N3647" s="56"/>
      <c r="O3647" s="53"/>
      <c r="P3647" s="68"/>
      <c r="Q3647" s="69"/>
      <c r="R3647" s="68"/>
      <c r="S3647" s="70"/>
      <c r="T3647" s="67"/>
      <c r="U3647" s="56"/>
      <c r="V3647" s="56"/>
      <c r="W3647" s="71"/>
      <c r="X3647" s="71"/>
      <c r="AA3647" s="33"/>
      <c r="AB3647" s="33"/>
      <c r="AC3647" s="33"/>
      <c r="AD3647" s="33"/>
      <c r="AE3647" s="33"/>
      <c r="AF3647" s="33"/>
      <c r="AG3647" s="33"/>
      <c r="AH3647" s="33"/>
      <c r="AI3647" s="33"/>
      <c r="AJ3647" s="33"/>
      <c r="AK3647" s="33"/>
      <c r="AL3647" s="33"/>
      <c r="AM3647" s="33"/>
      <c r="AN3647" s="33"/>
      <c r="AO3647" s="33"/>
    </row>
    <row r="3648" ht="15.75" customHeight="1">
      <c r="A3648" s="60">
        <v>58007.0</v>
      </c>
      <c r="B3648" s="61">
        <v>2024.0</v>
      </c>
      <c r="C3648" s="36" t="str">
        <f t="shared" si="7"/>
        <v>2346 WROXTON RD,Houston,TX</v>
      </c>
      <c r="D3648" s="64" t="s">
        <v>5412</v>
      </c>
      <c r="E3648" s="23" t="s">
        <v>25</v>
      </c>
      <c r="F3648" s="23" t="s">
        <v>1388</v>
      </c>
      <c r="G3648" s="62" t="str">
        <f t="shared" si="8"/>
        <v>77005</v>
      </c>
      <c r="H3648" s="65"/>
      <c r="I3648" s="56"/>
      <c r="J3648" s="66"/>
      <c r="K3648" s="67"/>
      <c r="L3648" s="56"/>
      <c r="M3648" s="67"/>
      <c r="N3648" s="56"/>
      <c r="O3648" s="53"/>
      <c r="P3648" s="68"/>
      <c r="Q3648" s="69"/>
      <c r="R3648" s="68"/>
      <c r="S3648" s="70"/>
      <c r="T3648" s="67"/>
      <c r="U3648" s="56"/>
      <c r="V3648" s="56"/>
      <c r="W3648" s="71"/>
      <c r="X3648" s="71"/>
      <c r="AA3648" s="33"/>
      <c r="AB3648" s="33"/>
      <c r="AC3648" s="33"/>
      <c r="AD3648" s="33"/>
      <c r="AE3648" s="33"/>
      <c r="AF3648" s="33"/>
      <c r="AG3648" s="33"/>
      <c r="AH3648" s="33"/>
      <c r="AI3648" s="33"/>
      <c r="AJ3648" s="33"/>
      <c r="AK3648" s="33"/>
      <c r="AL3648" s="33"/>
      <c r="AM3648" s="33"/>
      <c r="AN3648" s="33"/>
      <c r="AO3648" s="33"/>
    </row>
    <row r="3649" ht="15.75" customHeight="1">
      <c r="A3649" s="60">
        <v>58025.0</v>
      </c>
      <c r="B3649" s="61">
        <v>2024.0</v>
      </c>
      <c r="C3649" s="36" t="str">
        <f t="shared" si="7"/>
        <v>10614 CANDLEWOOD DR,Houston,TX</v>
      </c>
      <c r="D3649" s="64" t="s">
        <v>5413</v>
      </c>
      <c r="E3649" s="23" t="s">
        <v>25</v>
      </c>
      <c r="F3649" s="23" t="s">
        <v>1388</v>
      </c>
      <c r="G3649" s="62" t="str">
        <f t="shared" si="8"/>
        <v>77042</v>
      </c>
      <c r="H3649" s="65"/>
      <c r="I3649" s="56"/>
      <c r="J3649" s="66"/>
      <c r="K3649" s="67"/>
      <c r="L3649" s="56"/>
      <c r="M3649" s="67"/>
      <c r="N3649" s="56"/>
      <c r="O3649" s="53"/>
      <c r="P3649" s="68"/>
      <c r="Q3649" s="69"/>
      <c r="R3649" s="68"/>
      <c r="S3649" s="70"/>
      <c r="T3649" s="67"/>
      <c r="U3649" s="56"/>
      <c r="V3649" s="56"/>
      <c r="W3649" s="71"/>
      <c r="X3649" s="71"/>
      <c r="AA3649" s="33"/>
      <c r="AB3649" s="33"/>
      <c r="AC3649" s="33"/>
      <c r="AD3649" s="33"/>
      <c r="AE3649" s="33"/>
      <c r="AF3649" s="33"/>
      <c r="AG3649" s="33"/>
      <c r="AH3649" s="33"/>
      <c r="AI3649" s="33"/>
      <c r="AJ3649" s="33"/>
      <c r="AK3649" s="33"/>
      <c r="AL3649" s="33"/>
      <c r="AM3649" s="33"/>
      <c r="AN3649" s="33"/>
      <c r="AO3649" s="33"/>
    </row>
    <row r="3650" ht="15.75" customHeight="1">
      <c r="A3650" s="60">
        <v>58058.0</v>
      </c>
      <c r="B3650" s="61">
        <v>2024.0</v>
      </c>
      <c r="C3650" s="36" t="str">
        <f t="shared" si="7"/>
        <v>11202 LEITRIM WAY,Houston,TX</v>
      </c>
      <c r="D3650" s="64" t="s">
        <v>5414</v>
      </c>
      <c r="E3650" s="23" t="s">
        <v>25</v>
      </c>
      <c r="F3650" s="23" t="s">
        <v>1388</v>
      </c>
      <c r="G3650" s="62" t="str">
        <f t="shared" si="8"/>
        <v>77047</v>
      </c>
      <c r="H3650" s="65"/>
      <c r="I3650" s="56"/>
      <c r="J3650" s="66"/>
      <c r="K3650" s="67"/>
      <c r="L3650" s="56"/>
      <c r="M3650" s="67"/>
      <c r="N3650" s="56"/>
      <c r="O3650" s="53"/>
      <c r="P3650" s="68"/>
      <c r="Q3650" s="69"/>
      <c r="R3650" s="68"/>
      <c r="S3650" s="70"/>
      <c r="T3650" s="67"/>
      <c r="U3650" s="56"/>
      <c r="V3650" s="56"/>
      <c r="W3650" s="71"/>
      <c r="X3650" s="71"/>
      <c r="AA3650" s="33"/>
      <c r="AB3650" s="33"/>
      <c r="AC3650" s="33"/>
      <c r="AD3650" s="33"/>
      <c r="AE3650" s="33"/>
      <c r="AF3650" s="33"/>
      <c r="AG3650" s="33"/>
      <c r="AH3650" s="33"/>
      <c r="AI3650" s="33"/>
      <c r="AJ3650" s="33"/>
      <c r="AK3650" s="33"/>
      <c r="AL3650" s="33"/>
      <c r="AM3650" s="33"/>
      <c r="AN3650" s="33"/>
      <c r="AO3650" s="33"/>
    </row>
    <row r="3651" ht="15.75" customHeight="1">
      <c r="A3651" s="60">
        <v>58075.0</v>
      </c>
      <c r="B3651" s="61">
        <v>2024.0</v>
      </c>
      <c r="C3651" s="36" t="str">
        <f t="shared" si="7"/>
        <v>306 QUITMAN ST,Houston,TX</v>
      </c>
      <c r="D3651" s="64" t="s">
        <v>5415</v>
      </c>
      <c r="E3651" s="23" t="s">
        <v>25</v>
      </c>
      <c r="F3651" s="23" t="s">
        <v>1388</v>
      </c>
      <c r="G3651" s="62" t="str">
        <f t="shared" si="8"/>
        <v>77009</v>
      </c>
      <c r="H3651" s="65"/>
      <c r="I3651" s="56"/>
      <c r="J3651" s="66"/>
      <c r="K3651" s="67"/>
      <c r="L3651" s="56"/>
      <c r="M3651" s="67"/>
      <c r="N3651" s="56"/>
      <c r="O3651" s="53"/>
      <c r="P3651" s="68"/>
      <c r="Q3651" s="69"/>
      <c r="R3651" s="68"/>
      <c r="S3651" s="70"/>
      <c r="T3651" s="67"/>
      <c r="U3651" s="56"/>
      <c r="V3651" s="56"/>
      <c r="W3651" s="71"/>
      <c r="X3651" s="71"/>
      <c r="AA3651" s="33"/>
      <c r="AB3651" s="33"/>
      <c r="AC3651" s="33"/>
      <c r="AD3651" s="33"/>
      <c r="AE3651" s="33"/>
      <c r="AF3651" s="33"/>
      <c r="AG3651" s="33"/>
      <c r="AH3651" s="33"/>
      <c r="AI3651" s="33"/>
      <c r="AJ3651" s="33"/>
      <c r="AK3651" s="33"/>
      <c r="AL3651" s="33"/>
      <c r="AM3651" s="33"/>
      <c r="AN3651" s="33"/>
      <c r="AO3651" s="33"/>
    </row>
    <row r="3652" ht="15.75" customHeight="1">
      <c r="A3652" s="60">
        <v>58079.0</v>
      </c>
      <c r="B3652" s="61">
        <v>2024.0</v>
      </c>
      <c r="C3652" s="36" t="str">
        <f t="shared" si="7"/>
        <v>122 CROSSTIMBERS ST,Houston,TX</v>
      </c>
      <c r="D3652" s="64" t="s">
        <v>5291</v>
      </c>
      <c r="E3652" s="23" t="s">
        <v>25</v>
      </c>
      <c r="F3652" s="23" t="s">
        <v>1388</v>
      </c>
      <c r="G3652" s="62" t="str">
        <f t="shared" si="8"/>
        <v>77018</v>
      </c>
      <c r="H3652" s="65"/>
      <c r="I3652" s="56"/>
      <c r="J3652" s="66"/>
      <c r="K3652" s="67"/>
      <c r="L3652" s="56"/>
      <c r="M3652" s="67"/>
      <c r="N3652" s="56"/>
      <c r="O3652" s="53"/>
      <c r="P3652" s="68"/>
      <c r="Q3652" s="69"/>
      <c r="R3652" s="68"/>
      <c r="S3652" s="70"/>
      <c r="T3652" s="67"/>
      <c r="U3652" s="56"/>
      <c r="V3652" s="56"/>
      <c r="W3652" s="71"/>
      <c r="X3652" s="71"/>
      <c r="AA3652" s="33"/>
      <c r="AB3652" s="33"/>
      <c r="AC3652" s="33"/>
      <c r="AD3652" s="33"/>
      <c r="AE3652" s="33"/>
      <c r="AF3652" s="33"/>
      <c r="AG3652" s="33"/>
      <c r="AH3652" s="33"/>
      <c r="AI3652" s="33"/>
      <c r="AJ3652" s="33"/>
      <c r="AK3652" s="33"/>
      <c r="AL3652" s="33"/>
      <c r="AM3652" s="33"/>
      <c r="AN3652" s="33"/>
      <c r="AO3652" s="33"/>
    </row>
    <row r="3653" ht="15.75" customHeight="1">
      <c r="A3653" s="60">
        <v>58097.0</v>
      </c>
      <c r="B3653" s="61">
        <v>2024.0</v>
      </c>
      <c r="C3653" s="36" t="str">
        <f t="shared" si="7"/>
        <v>5505 BLOSSOM ST,Houston,TX</v>
      </c>
      <c r="D3653" s="64" t="s">
        <v>5416</v>
      </c>
      <c r="E3653" s="23" t="s">
        <v>25</v>
      </c>
      <c r="F3653" s="23" t="s">
        <v>1388</v>
      </c>
      <c r="G3653" s="62" t="str">
        <f t="shared" si="8"/>
        <v>77007</v>
      </c>
      <c r="H3653" s="65"/>
      <c r="I3653" s="56"/>
      <c r="J3653" s="66"/>
      <c r="K3653" s="67"/>
      <c r="L3653" s="56"/>
      <c r="M3653" s="67"/>
      <c r="N3653" s="56"/>
      <c r="O3653" s="53"/>
      <c r="P3653" s="68"/>
      <c r="Q3653" s="69"/>
      <c r="R3653" s="68"/>
      <c r="S3653" s="70"/>
      <c r="T3653" s="67"/>
      <c r="U3653" s="56"/>
      <c r="V3653" s="56"/>
      <c r="W3653" s="71"/>
      <c r="X3653" s="71"/>
      <c r="AA3653" s="33"/>
      <c r="AB3653" s="33"/>
      <c r="AC3653" s="33"/>
      <c r="AD3653" s="33"/>
      <c r="AE3653" s="33"/>
      <c r="AF3653" s="33"/>
      <c r="AG3653" s="33"/>
      <c r="AH3653" s="33"/>
      <c r="AI3653" s="33"/>
      <c r="AJ3653" s="33"/>
      <c r="AK3653" s="33"/>
      <c r="AL3653" s="33"/>
      <c r="AM3653" s="33"/>
      <c r="AN3653" s="33"/>
      <c r="AO3653" s="33"/>
    </row>
    <row r="3654" ht="15.75" customHeight="1">
      <c r="A3654" s="60">
        <v>58137.0</v>
      </c>
      <c r="B3654" s="61">
        <v>2024.0</v>
      </c>
      <c r="C3654" s="36" t="str">
        <f t="shared" si="7"/>
        <v>5711 YALE ST,Houston,TX</v>
      </c>
      <c r="D3654" s="64" t="s">
        <v>5405</v>
      </c>
      <c r="E3654" s="23" t="s">
        <v>25</v>
      </c>
      <c r="F3654" s="23" t="s">
        <v>1388</v>
      </c>
      <c r="G3654" s="62" t="str">
        <f t="shared" si="8"/>
        <v>77076</v>
      </c>
      <c r="H3654" s="65"/>
      <c r="I3654" s="56"/>
      <c r="J3654" s="66"/>
      <c r="K3654" s="67"/>
      <c r="L3654" s="56"/>
      <c r="M3654" s="67"/>
      <c r="N3654" s="56"/>
      <c r="O3654" s="53"/>
      <c r="P3654" s="68"/>
      <c r="Q3654" s="69"/>
      <c r="R3654" s="68"/>
      <c r="S3654" s="70"/>
      <c r="T3654" s="67"/>
      <c r="U3654" s="56"/>
      <c r="V3654" s="56"/>
      <c r="W3654" s="71"/>
      <c r="X3654" s="71"/>
      <c r="AA3654" s="33"/>
      <c r="AB3654" s="33"/>
      <c r="AC3654" s="33"/>
      <c r="AD3654" s="33"/>
      <c r="AE3654" s="33"/>
      <c r="AF3654" s="33"/>
      <c r="AG3654" s="33"/>
      <c r="AH3654" s="33"/>
      <c r="AI3654" s="33"/>
      <c r="AJ3654" s="33"/>
      <c r="AK3654" s="33"/>
      <c r="AL3654" s="33"/>
      <c r="AM3654" s="33"/>
      <c r="AN3654" s="33"/>
      <c r="AO3654" s="33"/>
    </row>
    <row r="3655" ht="15.75" customHeight="1">
      <c r="A3655" s="60">
        <v>58158.0</v>
      </c>
      <c r="B3655" s="61">
        <v>2024.0</v>
      </c>
      <c r="C3655" s="36" t="str">
        <f t="shared" si="7"/>
        <v>6828 GAINESVILLE ST,Houston,TX</v>
      </c>
      <c r="D3655" s="64" t="s">
        <v>5417</v>
      </c>
      <c r="E3655" s="23" t="s">
        <v>25</v>
      </c>
      <c r="F3655" s="23" t="s">
        <v>1388</v>
      </c>
      <c r="G3655" s="62" t="str">
        <f t="shared" si="8"/>
        <v>77020</v>
      </c>
      <c r="H3655" s="65"/>
      <c r="I3655" s="56"/>
      <c r="J3655" s="66"/>
      <c r="K3655" s="67"/>
      <c r="L3655" s="56"/>
      <c r="M3655" s="67"/>
      <c r="N3655" s="56"/>
      <c r="O3655" s="53"/>
      <c r="P3655" s="68"/>
      <c r="Q3655" s="69"/>
      <c r="R3655" s="68"/>
      <c r="S3655" s="70"/>
      <c r="T3655" s="67"/>
      <c r="U3655" s="56"/>
      <c r="V3655" s="56"/>
      <c r="W3655" s="71"/>
      <c r="X3655" s="71"/>
      <c r="AA3655" s="33"/>
      <c r="AB3655" s="33"/>
      <c r="AC3655" s="33"/>
      <c r="AD3655" s="33"/>
      <c r="AE3655" s="33"/>
      <c r="AF3655" s="33"/>
      <c r="AG3655" s="33"/>
      <c r="AH3655" s="33"/>
      <c r="AI3655" s="33"/>
      <c r="AJ3655" s="33"/>
      <c r="AK3655" s="33"/>
      <c r="AL3655" s="33"/>
      <c r="AM3655" s="33"/>
      <c r="AN3655" s="33"/>
      <c r="AO3655" s="33"/>
    </row>
    <row r="3656" ht="15.75" customHeight="1">
      <c r="A3656" s="60">
        <v>58167.0</v>
      </c>
      <c r="B3656" s="61">
        <v>2024.0</v>
      </c>
      <c r="C3656" s="36" t="str">
        <f t="shared" si="7"/>
        <v>8603 VALLEY SONG DR,Houston,TX</v>
      </c>
      <c r="D3656" s="64" t="s">
        <v>5418</v>
      </c>
      <c r="E3656" s="23" t="s">
        <v>25</v>
      </c>
      <c r="F3656" s="23" t="s">
        <v>1388</v>
      </c>
      <c r="G3656" s="62" t="str">
        <f t="shared" si="8"/>
        <v>77078</v>
      </c>
      <c r="H3656" s="65"/>
      <c r="I3656" s="56"/>
      <c r="J3656" s="66"/>
      <c r="K3656" s="67"/>
      <c r="L3656" s="56"/>
      <c r="M3656" s="67"/>
      <c r="N3656" s="56"/>
      <c r="O3656" s="53"/>
      <c r="P3656" s="68"/>
      <c r="Q3656" s="69"/>
      <c r="R3656" s="68"/>
      <c r="S3656" s="70"/>
      <c r="T3656" s="67"/>
      <c r="U3656" s="56"/>
      <c r="V3656" s="56"/>
      <c r="W3656" s="71"/>
      <c r="X3656" s="71"/>
      <c r="AA3656" s="33"/>
      <c r="AB3656" s="33"/>
      <c r="AC3656" s="33"/>
      <c r="AD3656" s="33"/>
      <c r="AE3656" s="33"/>
      <c r="AF3656" s="33"/>
      <c r="AG3656" s="33"/>
      <c r="AH3656" s="33"/>
      <c r="AI3656" s="33"/>
      <c r="AJ3656" s="33"/>
      <c r="AK3656" s="33"/>
      <c r="AL3656" s="33"/>
      <c r="AM3656" s="33"/>
      <c r="AN3656" s="33"/>
      <c r="AO3656" s="33"/>
    </row>
    <row r="3657" ht="15.75" customHeight="1">
      <c r="A3657" s="60">
        <v>58172.0</v>
      </c>
      <c r="B3657" s="61">
        <v>2024.0</v>
      </c>
      <c r="C3657" s="36" t="str">
        <f t="shared" si="7"/>
        <v>2326 ELLA BLVD,Houston,TX</v>
      </c>
      <c r="D3657" s="64" t="s">
        <v>5419</v>
      </c>
      <c r="E3657" s="23" t="s">
        <v>25</v>
      </c>
      <c r="F3657" s="23" t="s">
        <v>1388</v>
      </c>
      <c r="G3657" s="62" t="str">
        <f t="shared" si="8"/>
        <v>77008</v>
      </c>
      <c r="H3657" s="65"/>
      <c r="I3657" s="56"/>
      <c r="J3657" s="66"/>
      <c r="K3657" s="67"/>
      <c r="L3657" s="56"/>
      <c r="M3657" s="67"/>
      <c r="N3657" s="56"/>
      <c r="O3657" s="53"/>
      <c r="P3657" s="68"/>
      <c r="Q3657" s="69"/>
      <c r="R3657" s="68"/>
      <c r="S3657" s="70"/>
      <c r="T3657" s="67"/>
      <c r="U3657" s="56"/>
      <c r="V3657" s="56"/>
      <c r="W3657" s="71"/>
      <c r="X3657" s="71"/>
      <c r="AA3657" s="33"/>
      <c r="AB3657" s="33"/>
      <c r="AC3657" s="33"/>
      <c r="AD3657" s="33"/>
      <c r="AE3657" s="33"/>
      <c r="AF3657" s="33"/>
      <c r="AG3657" s="33"/>
      <c r="AH3657" s="33"/>
      <c r="AI3657" s="33"/>
      <c r="AJ3657" s="33"/>
      <c r="AK3657" s="33"/>
      <c r="AL3657" s="33"/>
      <c r="AM3657" s="33"/>
      <c r="AN3657" s="33"/>
      <c r="AO3657" s="33"/>
    </row>
    <row r="3658" ht="15.75" customHeight="1">
      <c r="A3658" s="60">
        <v>58203.0</v>
      </c>
      <c r="B3658" s="61">
        <v>2024.0</v>
      </c>
      <c r="C3658" s="36" t="str">
        <f t="shared" si="7"/>
        <v>2503 2/3 WAUGH DR,Houston,TX</v>
      </c>
      <c r="D3658" s="64" t="s">
        <v>5420</v>
      </c>
      <c r="E3658" s="23" t="s">
        <v>25</v>
      </c>
      <c r="F3658" s="23" t="s">
        <v>1388</v>
      </c>
      <c r="G3658" s="62" t="str">
        <f t="shared" si="8"/>
        <v>77006</v>
      </c>
      <c r="H3658" s="65"/>
      <c r="I3658" s="56"/>
      <c r="J3658" s="66"/>
      <c r="K3658" s="67"/>
      <c r="L3658" s="56"/>
      <c r="M3658" s="67"/>
      <c r="N3658" s="56"/>
      <c r="O3658" s="53"/>
      <c r="P3658" s="68"/>
      <c r="Q3658" s="69"/>
      <c r="R3658" s="68"/>
      <c r="S3658" s="70"/>
      <c r="T3658" s="67"/>
      <c r="U3658" s="56"/>
      <c r="V3658" s="56"/>
      <c r="W3658" s="71"/>
      <c r="X3658" s="71"/>
      <c r="AA3658" s="33"/>
      <c r="AB3658" s="33"/>
      <c r="AC3658" s="33"/>
      <c r="AD3658" s="33"/>
      <c r="AE3658" s="33"/>
      <c r="AF3658" s="33"/>
      <c r="AG3658" s="33"/>
      <c r="AH3658" s="33"/>
      <c r="AI3658" s="33"/>
      <c r="AJ3658" s="33"/>
      <c r="AK3658" s="33"/>
      <c r="AL3658" s="33"/>
      <c r="AM3658" s="33"/>
      <c r="AN3658" s="33"/>
      <c r="AO3658" s="33"/>
    </row>
    <row r="3659" ht="15.75" customHeight="1">
      <c r="A3659" s="60">
        <v>58205.0</v>
      </c>
      <c r="B3659" s="61">
        <v>2024.0</v>
      </c>
      <c r="C3659" s="36" t="str">
        <f t="shared" si="7"/>
        <v>122 CROSSTIMBERS ST,Houston,TX</v>
      </c>
      <c r="D3659" s="64" t="s">
        <v>5291</v>
      </c>
      <c r="E3659" s="23" t="s">
        <v>25</v>
      </c>
      <c r="F3659" s="23" t="s">
        <v>1388</v>
      </c>
      <c r="G3659" s="62" t="str">
        <f t="shared" si="8"/>
        <v>77018</v>
      </c>
      <c r="H3659" s="65"/>
      <c r="I3659" s="56"/>
      <c r="J3659" s="66"/>
      <c r="K3659" s="67"/>
      <c r="L3659" s="56"/>
      <c r="M3659" s="67"/>
      <c r="N3659" s="56"/>
      <c r="O3659" s="53"/>
      <c r="P3659" s="68"/>
      <c r="Q3659" s="69"/>
      <c r="R3659" s="68"/>
      <c r="S3659" s="70"/>
      <c r="T3659" s="67"/>
      <c r="U3659" s="56"/>
      <c r="V3659" s="56"/>
      <c r="W3659" s="71"/>
      <c r="X3659" s="71"/>
      <c r="AA3659" s="33"/>
      <c r="AB3659" s="33"/>
      <c r="AC3659" s="33"/>
      <c r="AD3659" s="33"/>
      <c r="AE3659" s="33"/>
      <c r="AF3659" s="33"/>
      <c r="AG3659" s="33"/>
      <c r="AH3659" s="33"/>
      <c r="AI3659" s="33"/>
      <c r="AJ3659" s="33"/>
      <c r="AK3659" s="33"/>
      <c r="AL3659" s="33"/>
      <c r="AM3659" s="33"/>
      <c r="AN3659" s="33"/>
      <c r="AO3659" s="33"/>
    </row>
    <row r="3660" ht="15.75" customHeight="1">
      <c r="A3660" s="60">
        <v>57784.0</v>
      </c>
      <c r="B3660" s="61">
        <v>2024.0</v>
      </c>
      <c r="C3660" s="36" t="str">
        <f t="shared" si="7"/>
        <v>6114 43RD ST,Houston,TX</v>
      </c>
      <c r="D3660" s="64" t="s">
        <v>5421</v>
      </c>
      <c r="E3660" s="23" t="s">
        <v>25</v>
      </c>
      <c r="F3660" s="23" t="s">
        <v>1388</v>
      </c>
      <c r="G3660" s="62" t="str">
        <f t="shared" si="8"/>
        <v>77092</v>
      </c>
      <c r="H3660" s="65"/>
      <c r="I3660" s="56"/>
      <c r="J3660" s="66"/>
      <c r="K3660" s="67"/>
      <c r="L3660" s="56"/>
      <c r="M3660" s="67"/>
      <c r="N3660" s="56"/>
      <c r="O3660" s="53"/>
      <c r="P3660" s="68"/>
      <c r="Q3660" s="69"/>
      <c r="R3660" s="68"/>
      <c r="S3660" s="70"/>
      <c r="T3660" s="67"/>
      <c r="U3660" s="56"/>
      <c r="V3660" s="56"/>
      <c r="W3660" s="71"/>
      <c r="X3660" s="71"/>
      <c r="AA3660" s="33"/>
      <c r="AB3660" s="33"/>
      <c r="AC3660" s="33"/>
      <c r="AD3660" s="33"/>
      <c r="AE3660" s="33"/>
      <c r="AF3660" s="33"/>
      <c r="AG3660" s="33"/>
      <c r="AH3660" s="33"/>
      <c r="AI3660" s="33"/>
      <c r="AJ3660" s="33"/>
      <c r="AK3660" s="33"/>
      <c r="AL3660" s="33"/>
      <c r="AM3660" s="33"/>
      <c r="AN3660" s="33"/>
      <c r="AO3660" s="33"/>
    </row>
    <row r="3661" ht="15.75" customHeight="1">
      <c r="A3661" s="60">
        <v>57812.0</v>
      </c>
      <c r="B3661" s="61">
        <v>2024.0</v>
      </c>
      <c r="C3661" s="36" t="str">
        <f t="shared" si="7"/>
        <v>7907 SYCAMORE ST,Houston,TX</v>
      </c>
      <c r="D3661" s="64" t="s">
        <v>5422</v>
      </c>
      <c r="E3661" s="23" t="s">
        <v>25</v>
      </c>
      <c r="F3661" s="23" t="s">
        <v>1388</v>
      </c>
      <c r="G3661" s="62" t="str">
        <f t="shared" si="8"/>
        <v>77012</v>
      </c>
      <c r="H3661" s="65"/>
      <c r="I3661" s="56"/>
      <c r="J3661" s="66"/>
      <c r="K3661" s="67"/>
      <c r="L3661" s="56"/>
      <c r="M3661" s="67"/>
      <c r="N3661" s="56"/>
      <c r="O3661" s="53"/>
      <c r="P3661" s="68"/>
      <c r="Q3661" s="69"/>
      <c r="R3661" s="68"/>
      <c r="S3661" s="70"/>
      <c r="T3661" s="67"/>
      <c r="U3661" s="56"/>
      <c r="V3661" s="56"/>
      <c r="W3661" s="71"/>
      <c r="X3661" s="71"/>
      <c r="AA3661" s="33"/>
      <c r="AB3661" s="33"/>
      <c r="AC3661" s="33"/>
      <c r="AD3661" s="33"/>
      <c r="AE3661" s="33"/>
      <c r="AF3661" s="33"/>
      <c r="AG3661" s="33"/>
      <c r="AH3661" s="33"/>
      <c r="AI3661" s="33"/>
      <c r="AJ3661" s="33"/>
      <c r="AK3661" s="33"/>
      <c r="AL3661" s="33"/>
      <c r="AM3661" s="33"/>
      <c r="AN3661" s="33"/>
      <c r="AO3661" s="33"/>
    </row>
    <row r="3662" ht="15.75" customHeight="1">
      <c r="A3662" s="60">
        <v>57830.0</v>
      </c>
      <c r="B3662" s="61">
        <v>2024.0</v>
      </c>
      <c r="C3662" s="36" t="str">
        <f t="shared" si="7"/>
        <v>1702 TUAM ST,Houston,TX</v>
      </c>
      <c r="D3662" s="64" t="s">
        <v>5423</v>
      </c>
      <c r="E3662" s="23" t="s">
        <v>25</v>
      </c>
      <c r="F3662" s="23" t="s">
        <v>1388</v>
      </c>
      <c r="G3662" s="62" t="str">
        <f t="shared" si="8"/>
        <v>77004</v>
      </c>
      <c r="H3662" s="65"/>
      <c r="I3662" s="56"/>
      <c r="J3662" s="66"/>
      <c r="K3662" s="67"/>
      <c r="L3662" s="56"/>
      <c r="M3662" s="67"/>
      <c r="N3662" s="56"/>
      <c r="O3662" s="53"/>
      <c r="P3662" s="68"/>
      <c r="Q3662" s="69"/>
      <c r="R3662" s="68"/>
      <c r="S3662" s="70"/>
      <c r="T3662" s="67"/>
      <c r="U3662" s="56"/>
      <c r="V3662" s="56"/>
      <c r="W3662" s="71"/>
      <c r="X3662" s="71"/>
      <c r="AA3662" s="33"/>
      <c r="AB3662" s="33"/>
      <c r="AC3662" s="33"/>
      <c r="AD3662" s="33"/>
      <c r="AE3662" s="33"/>
      <c r="AF3662" s="33"/>
      <c r="AG3662" s="33"/>
      <c r="AH3662" s="33"/>
      <c r="AI3662" s="33"/>
      <c r="AJ3662" s="33"/>
      <c r="AK3662" s="33"/>
      <c r="AL3662" s="33"/>
      <c r="AM3662" s="33"/>
      <c r="AN3662" s="33"/>
      <c r="AO3662" s="33"/>
    </row>
    <row r="3663" ht="15.75" customHeight="1">
      <c r="A3663" s="60">
        <v>57833.0</v>
      </c>
      <c r="B3663" s="61">
        <v>2024.0</v>
      </c>
      <c r="C3663" s="36" t="str">
        <f t="shared" si="7"/>
        <v>1557 GODWIN ST,Houston,TX</v>
      </c>
      <c r="D3663" s="64" t="s">
        <v>5424</v>
      </c>
      <c r="E3663" s="23" t="s">
        <v>25</v>
      </c>
      <c r="F3663" s="23" t="s">
        <v>1388</v>
      </c>
      <c r="G3663" s="62" t="str">
        <f t="shared" si="8"/>
        <v>77023</v>
      </c>
      <c r="H3663" s="65"/>
      <c r="I3663" s="56"/>
      <c r="J3663" s="66"/>
      <c r="K3663" s="67"/>
      <c r="L3663" s="56"/>
      <c r="M3663" s="67"/>
      <c r="N3663" s="56"/>
      <c r="O3663" s="53"/>
      <c r="P3663" s="68"/>
      <c r="Q3663" s="69"/>
      <c r="R3663" s="68"/>
      <c r="S3663" s="70"/>
      <c r="T3663" s="67"/>
      <c r="U3663" s="56"/>
      <c r="V3663" s="56"/>
      <c r="W3663" s="71"/>
      <c r="X3663" s="71"/>
      <c r="AA3663" s="33"/>
      <c r="AB3663" s="33"/>
      <c r="AC3663" s="33"/>
      <c r="AD3663" s="33"/>
      <c r="AE3663" s="33"/>
      <c r="AF3663" s="33"/>
      <c r="AG3663" s="33"/>
      <c r="AH3663" s="33"/>
      <c r="AI3663" s="33"/>
      <c r="AJ3663" s="33"/>
      <c r="AK3663" s="33"/>
      <c r="AL3663" s="33"/>
      <c r="AM3663" s="33"/>
      <c r="AN3663" s="33"/>
      <c r="AO3663" s="33"/>
    </row>
    <row r="3664" ht="15.75" customHeight="1">
      <c r="A3664" s="60">
        <v>57835.0</v>
      </c>
      <c r="B3664" s="61">
        <v>2024.0</v>
      </c>
      <c r="C3664" s="36" t="str">
        <f t="shared" si="7"/>
        <v>5031 GLENMEADOW DR,Houston,TX</v>
      </c>
      <c r="D3664" s="64" t="s">
        <v>5425</v>
      </c>
      <c r="E3664" s="23" t="s">
        <v>25</v>
      </c>
      <c r="F3664" s="23" t="s">
        <v>1388</v>
      </c>
      <c r="G3664" s="62" t="str">
        <f t="shared" si="8"/>
        <v>77096</v>
      </c>
      <c r="H3664" s="65"/>
      <c r="I3664" s="56"/>
      <c r="J3664" s="66"/>
      <c r="K3664" s="67"/>
      <c r="L3664" s="56"/>
      <c r="M3664" s="67"/>
      <c r="N3664" s="56"/>
      <c r="O3664" s="53"/>
      <c r="P3664" s="68"/>
      <c r="Q3664" s="69"/>
      <c r="R3664" s="68"/>
      <c r="S3664" s="70"/>
      <c r="T3664" s="67"/>
      <c r="U3664" s="56"/>
      <c r="V3664" s="56"/>
      <c r="W3664" s="71"/>
      <c r="X3664" s="71"/>
      <c r="AA3664" s="33"/>
      <c r="AB3664" s="33"/>
      <c r="AC3664" s="33"/>
      <c r="AD3664" s="33"/>
      <c r="AE3664" s="33"/>
      <c r="AF3664" s="33"/>
      <c r="AG3664" s="33"/>
      <c r="AH3664" s="33"/>
      <c r="AI3664" s="33"/>
      <c r="AJ3664" s="33"/>
      <c r="AK3664" s="33"/>
      <c r="AL3664" s="33"/>
      <c r="AM3664" s="33"/>
      <c r="AN3664" s="33"/>
      <c r="AO3664" s="33"/>
    </row>
    <row r="3665" ht="15.75" customHeight="1">
      <c r="A3665" s="60">
        <v>57865.0</v>
      </c>
      <c r="B3665" s="61">
        <v>2024.0</v>
      </c>
      <c r="C3665" s="36" t="str">
        <f t="shared" si="7"/>
        <v>8990 IMOGENE ST,Houston,TX</v>
      </c>
      <c r="D3665" s="64" t="s">
        <v>5426</v>
      </c>
      <c r="E3665" s="23" t="s">
        <v>25</v>
      </c>
      <c r="F3665" s="23" t="s">
        <v>1388</v>
      </c>
      <c r="G3665" s="62" t="str">
        <f t="shared" si="8"/>
        <v>77036</v>
      </c>
      <c r="H3665" s="65"/>
      <c r="I3665" s="56"/>
      <c r="J3665" s="66"/>
      <c r="K3665" s="67"/>
      <c r="L3665" s="56"/>
      <c r="M3665" s="67"/>
      <c r="N3665" s="56"/>
      <c r="O3665" s="53"/>
      <c r="P3665" s="68"/>
      <c r="Q3665" s="69"/>
      <c r="R3665" s="68"/>
      <c r="S3665" s="70"/>
      <c r="T3665" s="67"/>
      <c r="U3665" s="56"/>
      <c r="V3665" s="56"/>
      <c r="W3665" s="71"/>
      <c r="X3665" s="71"/>
      <c r="AA3665" s="33"/>
      <c r="AB3665" s="33"/>
      <c r="AC3665" s="33"/>
      <c r="AD3665" s="33"/>
      <c r="AE3665" s="33"/>
      <c r="AF3665" s="33"/>
      <c r="AG3665" s="33"/>
      <c r="AH3665" s="33"/>
      <c r="AI3665" s="33"/>
      <c r="AJ3665" s="33"/>
      <c r="AK3665" s="33"/>
      <c r="AL3665" s="33"/>
      <c r="AM3665" s="33"/>
      <c r="AN3665" s="33"/>
      <c r="AO3665" s="33"/>
    </row>
    <row r="3666" ht="15.75" customHeight="1">
      <c r="A3666" s="60">
        <v>57888.0</v>
      </c>
      <c r="B3666" s="61">
        <v>2024.0</v>
      </c>
      <c r="C3666" s="36" t="str">
        <f t="shared" si="7"/>
        <v>4419 HOWCHER ST,Houston,TX</v>
      </c>
      <c r="D3666" s="64" t="s">
        <v>5427</v>
      </c>
      <c r="E3666" s="23" t="s">
        <v>25</v>
      </c>
      <c r="F3666" s="23" t="s">
        <v>1388</v>
      </c>
      <c r="G3666" s="62" t="str">
        <f t="shared" si="8"/>
        <v>77047</v>
      </c>
      <c r="H3666" s="65"/>
      <c r="I3666" s="56"/>
      <c r="J3666" s="66"/>
      <c r="K3666" s="67"/>
      <c r="L3666" s="56"/>
      <c r="M3666" s="67"/>
      <c r="N3666" s="56"/>
      <c r="O3666" s="53"/>
      <c r="P3666" s="68"/>
      <c r="Q3666" s="69"/>
      <c r="R3666" s="68"/>
      <c r="S3666" s="70"/>
      <c r="T3666" s="67"/>
      <c r="U3666" s="56"/>
      <c r="V3666" s="56"/>
      <c r="W3666" s="71"/>
      <c r="X3666" s="71"/>
      <c r="AA3666" s="33"/>
      <c r="AB3666" s="33"/>
      <c r="AC3666" s="33"/>
      <c r="AD3666" s="33"/>
      <c r="AE3666" s="33"/>
      <c r="AF3666" s="33"/>
      <c r="AG3666" s="33"/>
      <c r="AH3666" s="33"/>
      <c r="AI3666" s="33"/>
      <c r="AJ3666" s="33"/>
      <c r="AK3666" s="33"/>
      <c r="AL3666" s="33"/>
      <c r="AM3666" s="33"/>
      <c r="AN3666" s="33"/>
      <c r="AO3666" s="33"/>
    </row>
    <row r="3667" ht="15.75" customHeight="1">
      <c r="A3667" s="60">
        <v>57905.0</v>
      </c>
      <c r="B3667" s="61">
        <v>2024.0</v>
      </c>
      <c r="C3667" s="36" t="str">
        <f t="shared" si="7"/>
        <v>7037 CAPITOL ST,Houston,TX</v>
      </c>
      <c r="D3667" s="64" t="s">
        <v>5428</v>
      </c>
      <c r="E3667" s="23" t="s">
        <v>25</v>
      </c>
      <c r="F3667" s="23" t="s">
        <v>1388</v>
      </c>
      <c r="G3667" s="62" t="str">
        <f t="shared" si="8"/>
        <v>77011</v>
      </c>
      <c r="H3667" s="65"/>
      <c r="I3667" s="56"/>
      <c r="J3667" s="66"/>
      <c r="K3667" s="67"/>
      <c r="L3667" s="56"/>
      <c r="M3667" s="67"/>
      <c r="N3667" s="56"/>
      <c r="O3667" s="53"/>
      <c r="P3667" s="68"/>
      <c r="Q3667" s="69"/>
      <c r="R3667" s="68"/>
      <c r="S3667" s="70"/>
      <c r="T3667" s="67"/>
      <c r="U3667" s="56"/>
      <c r="V3667" s="56"/>
      <c r="W3667" s="71"/>
      <c r="X3667" s="71"/>
      <c r="AA3667" s="33"/>
      <c r="AB3667" s="33"/>
      <c r="AC3667" s="33"/>
      <c r="AD3667" s="33"/>
      <c r="AE3667" s="33"/>
      <c r="AF3667" s="33"/>
      <c r="AG3667" s="33"/>
      <c r="AH3667" s="33"/>
      <c r="AI3667" s="33"/>
      <c r="AJ3667" s="33"/>
      <c r="AK3667" s="33"/>
      <c r="AL3667" s="33"/>
      <c r="AM3667" s="33"/>
      <c r="AN3667" s="33"/>
      <c r="AO3667" s="33"/>
    </row>
    <row r="3668" ht="15.75" customHeight="1">
      <c r="A3668" s="60">
        <v>57918.0</v>
      </c>
      <c r="B3668" s="61">
        <v>2024.0</v>
      </c>
      <c r="C3668" s="36" t="str">
        <f t="shared" si="7"/>
        <v>9702 PETERSHAM DR,Houston,TX</v>
      </c>
      <c r="D3668" s="64" t="s">
        <v>5429</v>
      </c>
      <c r="E3668" s="23" t="s">
        <v>25</v>
      </c>
      <c r="F3668" s="23" t="s">
        <v>1388</v>
      </c>
      <c r="G3668" s="62" t="str">
        <f t="shared" si="8"/>
        <v>77031</v>
      </c>
      <c r="H3668" s="65"/>
      <c r="I3668" s="56"/>
      <c r="J3668" s="66"/>
      <c r="K3668" s="67"/>
      <c r="L3668" s="56"/>
      <c r="M3668" s="67"/>
      <c r="N3668" s="56"/>
      <c r="O3668" s="53"/>
      <c r="P3668" s="68"/>
      <c r="Q3668" s="69"/>
      <c r="R3668" s="68"/>
      <c r="S3668" s="70"/>
      <c r="T3668" s="67"/>
      <c r="U3668" s="56"/>
      <c r="V3668" s="56"/>
      <c r="W3668" s="71"/>
      <c r="X3668" s="71"/>
      <c r="AA3668" s="33"/>
      <c r="AB3668" s="33"/>
      <c r="AC3668" s="33"/>
      <c r="AD3668" s="33"/>
      <c r="AE3668" s="33"/>
      <c r="AF3668" s="33"/>
      <c r="AG3668" s="33"/>
      <c r="AH3668" s="33"/>
      <c r="AI3668" s="33"/>
      <c r="AJ3668" s="33"/>
      <c r="AK3668" s="33"/>
      <c r="AL3668" s="33"/>
      <c r="AM3668" s="33"/>
      <c r="AN3668" s="33"/>
      <c r="AO3668" s="33"/>
    </row>
    <row r="3669" ht="15.75" customHeight="1">
      <c r="A3669" s="60">
        <v>58062.0</v>
      </c>
      <c r="B3669" s="61">
        <v>2024.0</v>
      </c>
      <c r="C3669" s="36" t="str">
        <f t="shared" si="7"/>
        <v>4435 OSBY DR,Houston,TX</v>
      </c>
      <c r="D3669" s="64" t="s">
        <v>5430</v>
      </c>
      <c r="E3669" s="23" t="s">
        <v>25</v>
      </c>
      <c r="F3669" s="23" t="s">
        <v>1388</v>
      </c>
      <c r="G3669" s="62" t="str">
        <f t="shared" si="8"/>
        <v>77096</v>
      </c>
      <c r="H3669" s="65"/>
      <c r="I3669" s="56"/>
      <c r="J3669" s="66"/>
      <c r="K3669" s="67"/>
      <c r="L3669" s="56"/>
      <c r="M3669" s="67"/>
      <c r="N3669" s="56"/>
      <c r="O3669" s="53"/>
      <c r="P3669" s="68"/>
      <c r="Q3669" s="69"/>
      <c r="R3669" s="68"/>
      <c r="S3669" s="70"/>
      <c r="T3669" s="67"/>
      <c r="U3669" s="56"/>
      <c r="V3669" s="56"/>
      <c r="W3669" s="71"/>
      <c r="X3669" s="71"/>
      <c r="AA3669" s="33"/>
      <c r="AB3669" s="33"/>
      <c r="AC3669" s="33"/>
      <c r="AD3669" s="33"/>
      <c r="AE3669" s="33"/>
      <c r="AF3669" s="33"/>
      <c r="AG3669" s="33"/>
      <c r="AH3669" s="33"/>
      <c r="AI3669" s="33"/>
      <c r="AJ3669" s="33"/>
      <c r="AK3669" s="33"/>
      <c r="AL3669" s="33"/>
      <c r="AM3669" s="33"/>
      <c r="AN3669" s="33"/>
      <c r="AO3669" s="33"/>
    </row>
    <row r="3670" ht="15.75" customHeight="1">
      <c r="A3670" s="60">
        <v>58122.0</v>
      </c>
      <c r="B3670" s="61">
        <v>2024.0</v>
      </c>
      <c r="C3670" s="36" t="str">
        <f t="shared" si="7"/>
        <v>7964 AMELIA RD,Houston,TX</v>
      </c>
      <c r="D3670" s="64" t="s">
        <v>2407</v>
      </c>
      <c r="E3670" s="23" t="s">
        <v>25</v>
      </c>
      <c r="F3670" s="23" t="s">
        <v>1388</v>
      </c>
      <c r="G3670" s="62" t="str">
        <f t="shared" si="8"/>
        <v>77055</v>
      </c>
      <c r="H3670" s="65"/>
      <c r="I3670" s="56"/>
      <c r="J3670" s="66"/>
      <c r="K3670" s="67"/>
      <c r="L3670" s="56"/>
      <c r="M3670" s="67"/>
      <c r="N3670" s="56"/>
      <c r="O3670" s="53"/>
      <c r="P3670" s="68"/>
      <c r="Q3670" s="69"/>
      <c r="R3670" s="68"/>
      <c r="S3670" s="70"/>
      <c r="T3670" s="67"/>
      <c r="U3670" s="56"/>
      <c r="V3670" s="56"/>
      <c r="W3670" s="71"/>
      <c r="X3670" s="71"/>
      <c r="AA3670" s="33"/>
      <c r="AB3670" s="33"/>
      <c r="AC3670" s="33"/>
      <c r="AD3670" s="33"/>
      <c r="AE3670" s="33"/>
      <c r="AF3670" s="33"/>
      <c r="AG3670" s="33"/>
      <c r="AH3670" s="33"/>
      <c r="AI3670" s="33"/>
      <c r="AJ3670" s="33"/>
      <c r="AK3670" s="33"/>
      <c r="AL3670" s="33"/>
      <c r="AM3670" s="33"/>
      <c r="AN3670" s="33"/>
      <c r="AO3670" s="33"/>
    </row>
    <row r="3671" ht="15.75" customHeight="1">
      <c r="A3671" s="60">
        <v>58145.0</v>
      </c>
      <c r="B3671" s="61">
        <v>2024.0</v>
      </c>
      <c r="C3671" s="36" t="str">
        <f t="shared" si="7"/>
        <v>6603 KELVIN DR,Houston,TX</v>
      </c>
      <c r="D3671" s="64" t="s">
        <v>3814</v>
      </c>
      <c r="E3671" s="23" t="s">
        <v>25</v>
      </c>
      <c r="F3671" s="23" t="s">
        <v>1388</v>
      </c>
      <c r="G3671" s="62" t="str">
        <f t="shared" si="8"/>
        <v>77030</v>
      </c>
      <c r="H3671" s="65"/>
      <c r="I3671" s="56"/>
      <c r="J3671" s="66"/>
      <c r="K3671" s="67"/>
      <c r="L3671" s="56"/>
      <c r="M3671" s="67"/>
      <c r="N3671" s="56"/>
      <c r="O3671" s="53"/>
      <c r="P3671" s="68"/>
      <c r="Q3671" s="69"/>
      <c r="R3671" s="68"/>
      <c r="S3671" s="70"/>
      <c r="T3671" s="67"/>
      <c r="U3671" s="56"/>
      <c r="V3671" s="56"/>
      <c r="W3671" s="71"/>
      <c r="X3671" s="71"/>
      <c r="AA3671" s="33"/>
      <c r="AB3671" s="33"/>
      <c r="AC3671" s="33"/>
      <c r="AD3671" s="33"/>
      <c r="AE3671" s="33"/>
      <c r="AF3671" s="33"/>
      <c r="AG3671" s="33"/>
      <c r="AH3671" s="33"/>
      <c r="AI3671" s="33"/>
      <c r="AJ3671" s="33"/>
      <c r="AK3671" s="33"/>
      <c r="AL3671" s="33"/>
      <c r="AM3671" s="33"/>
      <c r="AN3671" s="33"/>
      <c r="AO3671" s="33"/>
    </row>
    <row r="3672" ht="15.75" customHeight="1">
      <c r="A3672" s="60">
        <v>58183.0</v>
      </c>
      <c r="B3672" s="61">
        <v>2024.0</v>
      </c>
      <c r="C3672" s="36" t="str">
        <f t="shared" si="7"/>
        <v>2801 ROSEDALE ST,Houston,TX</v>
      </c>
      <c r="D3672" s="64" t="s">
        <v>5431</v>
      </c>
      <c r="E3672" s="23" t="s">
        <v>25</v>
      </c>
      <c r="F3672" s="23" t="s">
        <v>1388</v>
      </c>
      <c r="G3672" s="62" t="str">
        <f t="shared" si="8"/>
        <v>77004</v>
      </c>
      <c r="H3672" s="65"/>
      <c r="I3672" s="56"/>
      <c r="J3672" s="66"/>
      <c r="K3672" s="67"/>
      <c r="L3672" s="56"/>
      <c r="M3672" s="67"/>
      <c r="N3672" s="56"/>
      <c r="O3672" s="53"/>
      <c r="P3672" s="68"/>
      <c r="Q3672" s="69"/>
      <c r="R3672" s="68"/>
      <c r="S3672" s="70"/>
      <c r="T3672" s="67"/>
      <c r="U3672" s="56"/>
      <c r="V3672" s="56"/>
      <c r="W3672" s="71"/>
      <c r="X3672" s="71"/>
      <c r="AA3672" s="33"/>
      <c r="AB3672" s="33"/>
      <c r="AC3672" s="33"/>
      <c r="AD3672" s="33"/>
      <c r="AE3672" s="33"/>
      <c r="AF3672" s="33"/>
      <c r="AG3672" s="33"/>
      <c r="AH3672" s="33"/>
      <c r="AI3672" s="33"/>
      <c r="AJ3672" s="33"/>
      <c r="AK3672" s="33"/>
      <c r="AL3672" s="33"/>
      <c r="AM3672" s="33"/>
      <c r="AN3672" s="33"/>
      <c r="AO3672" s="33"/>
    </row>
    <row r="3673" ht="15.75" customHeight="1">
      <c r="A3673" s="60">
        <v>58195.0</v>
      </c>
      <c r="B3673" s="61">
        <v>2024.0</v>
      </c>
      <c r="C3673" s="36" t="str">
        <f t="shared" si="7"/>
        <v>12217 SOWDEN RD,Houston,TX</v>
      </c>
      <c r="D3673" s="64" t="s">
        <v>5432</v>
      </c>
      <c r="E3673" s="23" t="s">
        <v>25</v>
      </c>
      <c r="F3673" s="23" t="s">
        <v>1388</v>
      </c>
      <c r="G3673" s="62" t="str">
        <f t="shared" si="8"/>
        <v>77080</v>
      </c>
      <c r="H3673" s="65"/>
      <c r="I3673" s="56"/>
      <c r="J3673" s="66"/>
      <c r="K3673" s="67"/>
      <c r="L3673" s="56"/>
      <c r="M3673" s="67"/>
      <c r="N3673" s="56"/>
      <c r="O3673" s="53"/>
      <c r="P3673" s="68"/>
      <c r="Q3673" s="69"/>
      <c r="R3673" s="68"/>
      <c r="S3673" s="70"/>
      <c r="T3673" s="67"/>
      <c r="U3673" s="56"/>
      <c r="V3673" s="56"/>
      <c r="W3673" s="71"/>
      <c r="X3673" s="71"/>
      <c r="AA3673" s="33"/>
      <c r="AB3673" s="33"/>
      <c r="AC3673" s="33"/>
      <c r="AD3673" s="33"/>
      <c r="AE3673" s="33"/>
      <c r="AF3673" s="33"/>
      <c r="AG3673" s="33"/>
      <c r="AH3673" s="33"/>
      <c r="AI3673" s="33"/>
      <c r="AJ3673" s="33"/>
      <c r="AK3673" s="33"/>
      <c r="AL3673" s="33"/>
      <c r="AM3673" s="33"/>
      <c r="AN3673" s="33"/>
      <c r="AO3673" s="33"/>
    </row>
    <row r="3674" ht="15.75" customHeight="1">
      <c r="A3674" s="60">
        <v>57799.0</v>
      </c>
      <c r="B3674" s="61">
        <v>2024.0</v>
      </c>
      <c r="C3674" s="36" t="str">
        <f t="shared" si="7"/>
        <v>8222 KIRBY DR,Houston,TX</v>
      </c>
      <c r="D3674" s="64" t="s">
        <v>5433</v>
      </c>
      <c r="E3674" s="23" t="s">
        <v>25</v>
      </c>
      <c r="F3674" s="23" t="s">
        <v>1388</v>
      </c>
      <c r="G3674" s="62" t="str">
        <f t="shared" si="8"/>
        <v>77054</v>
      </c>
      <c r="H3674" s="65"/>
      <c r="I3674" s="56"/>
      <c r="J3674" s="66"/>
      <c r="K3674" s="67"/>
      <c r="L3674" s="56"/>
      <c r="M3674" s="67"/>
      <c r="N3674" s="56"/>
      <c r="O3674" s="53"/>
      <c r="P3674" s="68"/>
      <c r="Q3674" s="69"/>
      <c r="R3674" s="68"/>
      <c r="S3674" s="70"/>
      <c r="T3674" s="67"/>
      <c r="U3674" s="56"/>
      <c r="V3674" s="56"/>
      <c r="W3674" s="71"/>
      <c r="X3674" s="71"/>
      <c r="AA3674" s="33"/>
      <c r="AB3674" s="33"/>
      <c r="AC3674" s="33"/>
      <c r="AD3674" s="33"/>
      <c r="AE3674" s="33"/>
      <c r="AF3674" s="33"/>
      <c r="AG3674" s="33"/>
      <c r="AH3674" s="33"/>
      <c r="AI3674" s="33"/>
      <c r="AJ3674" s="33"/>
      <c r="AK3674" s="33"/>
      <c r="AL3674" s="33"/>
      <c r="AM3674" s="33"/>
      <c r="AN3674" s="33"/>
      <c r="AO3674" s="33"/>
    </row>
    <row r="3675" ht="15.75" customHeight="1">
      <c r="A3675" s="60">
        <v>58030.0</v>
      </c>
      <c r="B3675" s="61">
        <v>2024.0</v>
      </c>
      <c r="C3675" s="36" t="str">
        <f t="shared" si="7"/>
        <v>6383 WESTHEIMER RD,Houston,TX</v>
      </c>
      <c r="D3675" s="64" t="s">
        <v>5434</v>
      </c>
      <c r="E3675" s="23" t="s">
        <v>25</v>
      </c>
      <c r="F3675" s="23" t="s">
        <v>1388</v>
      </c>
      <c r="G3675" s="62" t="str">
        <f t="shared" si="8"/>
        <v>77057</v>
      </c>
      <c r="H3675" s="65"/>
      <c r="I3675" s="56"/>
      <c r="J3675" s="66"/>
      <c r="K3675" s="67"/>
      <c r="L3675" s="56"/>
      <c r="M3675" s="67"/>
      <c r="N3675" s="56"/>
      <c r="O3675" s="53"/>
      <c r="P3675" s="68"/>
      <c r="Q3675" s="69"/>
      <c r="R3675" s="68"/>
      <c r="S3675" s="70"/>
      <c r="T3675" s="67"/>
      <c r="U3675" s="56"/>
      <c r="V3675" s="56"/>
      <c r="W3675" s="71"/>
      <c r="X3675" s="71"/>
      <c r="AA3675" s="33"/>
      <c r="AB3675" s="33"/>
      <c r="AC3675" s="33"/>
      <c r="AD3675" s="33"/>
      <c r="AE3675" s="33"/>
      <c r="AF3675" s="33"/>
      <c r="AG3675" s="33"/>
      <c r="AH3675" s="33"/>
      <c r="AI3675" s="33"/>
      <c r="AJ3675" s="33"/>
      <c r="AK3675" s="33"/>
      <c r="AL3675" s="33"/>
      <c r="AM3675" s="33"/>
      <c r="AN3675" s="33"/>
      <c r="AO3675" s="33"/>
    </row>
    <row r="3676" ht="15.75" customHeight="1">
      <c r="A3676" s="60">
        <v>58042.0</v>
      </c>
      <c r="B3676" s="61">
        <v>2024.0</v>
      </c>
      <c r="C3676" s="36" t="str">
        <f t="shared" si="7"/>
        <v>5367 ANTOINE DR,Houston,TX</v>
      </c>
      <c r="D3676" s="64" t="s">
        <v>3819</v>
      </c>
      <c r="E3676" s="23" t="s">
        <v>25</v>
      </c>
      <c r="F3676" s="23" t="s">
        <v>1388</v>
      </c>
      <c r="G3676" s="62" t="str">
        <f t="shared" si="8"/>
        <v>77091</v>
      </c>
      <c r="H3676" s="65"/>
      <c r="I3676" s="56"/>
      <c r="J3676" s="66"/>
      <c r="K3676" s="67"/>
      <c r="L3676" s="56"/>
      <c r="M3676" s="67"/>
      <c r="N3676" s="56"/>
      <c r="O3676" s="53"/>
      <c r="P3676" s="68"/>
      <c r="Q3676" s="69"/>
      <c r="R3676" s="68"/>
      <c r="S3676" s="70"/>
      <c r="T3676" s="67"/>
      <c r="U3676" s="56"/>
      <c r="V3676" s="56"/>
      <c r="W3676" s="71"/>
      <c r="X3676" s="71"/>
      <c r="AA3676" s="33"/>
      <c r="AB3676" s="33"/>
      <c r="AC3676" s="33"/>
      <c r="AD3676" s="33"/>
      <c r="AE3676" s="33"/>
      <c r="AF3676" s="33"/>
      <c r="AG3676" s="33"/>
      <c r="AH3676" s="33"/>
      <c r="AI3676" s="33"/>
      <c r="AJ3676" s="33"/>
      <c r="AK3676" s="33"/>
      <c r="AL3676" s="33"/>
      <c r="AM3676" s="33"/>
      <c r="AN3676" s="33"/>
      <c r="AO3676" s="33"/>
    </row>
    <row r="3677" ht="15.75" customHeight="1">
      <c r="A3677" s="60">
        <v>58127.0</v>
      </c>
      <c r="B3677" s="61">
        <v>2024.0</v>
      </c>
      <c r="C3677" s="36" t="str">
        <f t="shared" si="7"/>
        <v>5711 YALE ST,Houston,TX</v>
      </c>
      <c r="D3677" s="64" t="s">
        <v>5405</v>
      </c>
      <c r="E3677" s="23" t="s">
        <v>25</v>
      </c>
      <c r="F3677" s="23" t="s">
        <v>1388</v>
      </c>
      <c r="G3677" s="62" t="str">
        <f t="shared" si="8"/>
        <v>77076</v>
      </c>
      <c r="H3677" s="65"/>
      <c r="I3677" s="56"/>
      <c r="J3677" s="66"/>
      <c r="K3677" s="67"/>
      <c r="L3677" s="56"/>
      <c r="M3677" s="67"/>
      <c r="N3677" s="56"/>
      <c r="O3677" s="53"/>
      <c r="P3677" s="68"/>
      <c r="Q3677" s="69"/>
      <c r="R3677" s="68"/>
      <c r="S3677" s="70"/>
      <c r="T3677" s="67"/>
      <c r="U3677" s="56"/>
      <c r="V3677" s="56"/>
      <c r="W3677" s="71"/>
      <c r="X3677" s="71"/>
      <c r="AA3677" s="33"/>
      <c r="AB3677" s="33"/>
      <c r="AC3677" s="33"/>
      <c r="AD3677" s="33"/>
      <c r="AE3677" s="33"/>
      <c r="AF3677" s="33"/>
      <c r="AG3677" s="33"/>
      <c r="AH3677" s="33"/>
      <c r="AI3677" s="33"/>
      <c r="AJ3677" s="33"/>
      <c r="AK3677" s="33"/>
      <c r="AL3677" s="33"/>
      <c r="AM3677" s="33"/>
      <c r="AN3677" s="33"/>
      <c r="AO3677" s="33"/>
    </row>
    <row r="3678" ht="15.75" customHeight="1">
      <c r="A3678" s="60">
        <v>57935.0</v>
      </c>
      <c r="B3678" s="61">
        <v>2024.0</v>
      </c>
      <c r="C3678" s="36" t="str">
        <f t="shared" si="7"/>
        <v>6219 BATTERSON ST,Houston,TX</v>
      </c>
      <c r="D3678" s="64" t="s">
        <v>5435</v>
      </c>
      <c r="E3678" s="23" t="s">
        <v>25</v>
      </c>
      <c r="F3678" s="23" t="s">
        <v>1388</v>
      </c>
      <c r="G3678" s="62" t="str">
        <f t="shared" si="8"/>
        <v>77026</v>
      </c>
      <c r="H3678" s="65"/>
      <c r="I3678" s="56"/>
      <c r="J3678" s="66"/>
      <c r="K3678" s="67"/>
      <c r="L3678" s="56"/>
      <c r="M3678" s="67"/>
      <c r="N3678" s="56"/>
      <c r="O3678" s="53"/>
      <c r="P3678" s="68"/>
      <c r="Q3678" s="69"/>
      <c r="R3678" s="68"/>
      <c r="S3678" s="70"/>
      <c r="T3678" s="67"/>
      <c r="U3678" s="56"/>
      <c r="V3678" s="56"/>
      <c r="W3678" s="71"/>
      <c r="X3678" s="71"/>
      <c r="AA3678" s="33"/>
      <c r="AB3678" s="33"/>
      <c r="AC3678" s="33"/>
      <c r="AD3678" s="33"/>
      <c r="AE3678" s="33"/>
      <c r="AF3678" s="33"/>
      <c r="AG3678" s="33"/>
      <c r="AH3678" s="33"/>
      <c r="AI3678" s="33"/>
      <c r="AJ3678" s="33"/>
      <c r="AK3678" s="33"/>
      <c r="AL3678" s="33"/>
      <c r="AM3678" s="33"/>
      <c r="AN3678" s="33"/>
      <c r="AO3678" s="33"/>
    </row>
    <row r="3679" ht="15.75" customHeight="1">
      <c r="A3679" s="60">
        <v>57963.0</v>
      </c>
      <c r="B3679" s="61">
        <v>2024.0</v>
      </c>
      <c r="C3679" s="36" t="str">
        <f t="shared" si="7"/>
        <v>3509 ALMEDA GENOA RD,Houston,TX</v>
      </c>
      <c r="D3679" s="64" t="s">
        <v>5436</v>
      </c>
      <c r="E3679" s="23" t="s">
        <v>25</v>
      </c>
      <c r="F3679" s="23" t="s">
        <v>1388</v>
      </c>
      <c r="G3679" s="62" t="str">
        <f t="shared" si="8"/>
        <v>77047</v>
      </c>
      <c r="H3679" s="65"/>
      <c r="I3679" s="56"/>
      <c r="J3679" s="66"/>
      <c r="K3679" s="67"/>
      <c r="L3679" s="56"/>
      <c r="M3679" s="67"/>
      <c r="N3679" s="56"/>
      <c r="O3679" s="53"/>
      <c r="P3679" s="68"/>
      <c r="Q3679" s="69"/>
      <c r="R3679" s="68"/>
      <c r="S3679" s="70"/>
      <c r="T3679" s="67"/>
      <c r="U3679" s="56"/>
      <c r="V3679" s="56"/>
      <c r="W3679" s="71"/>
      <c r="X3679" s="71"/>
      <c r="AA3679" s="33"/>
      <c r="AB3679" s="33"/>
      <c r="AC3679" s="33"/>
      <c r="AD3679" s="33"/>
      <c r="AE3679" s="33"/>
      <c r="AF3679" s="33"/>
      <c r="AG3679" s="33"/>
      <c r="AH3679" s="33"/>
      <c r="AI3679" s="33"/>
      <c r="AJ3679" s="33"/>
      <c r="AK3679" s="33"/>
      <c r="AL3679" s="33"/>
      <c r="AM3679" s="33"/>
      <c r="AN3679" s="33"/>
      <c r="AO3679" s="33"/>
    </row>
    <row r="3680" ht="15.75" customHeight="1">
      <c r="A3680" s="60">
        <v>58010.0</v>
      </c>
      <c r="B3680" s="61">
        <v>2024.0</v>
      </c>
      <c r="C3680" s="36" t="str">
        <f t="shared" si="7"/>
        <v>3499 EVERGREEN DR,Houston,TX</v>
      </c>
      <c r="D3680" s="64" t="s">
        <v>5437</v>
      </c>
      <c r="E3680" s="23" t="s">
        <v>25</v>
      </c>
      <c r="F3680" s="23" t="s">
        <v>1388</v>
      </c>
      <c r="G3680" s="62" t="str">
        <f t="shared" si="8"/>
        <v>77087</v>
      </c>
      <c r="H3680" s="65"/>
      <c r="I3680" s="56"/>
      <c r="J3680" s="66"/>
      <c r="K3680" s="67"/>
      <c r="L3680" s="56"/>
      <c r="M3680" s="67"/>
      <c r="N3680" s="56"/>
      <c r="O3680" s="53"/>
      <c r="P3680" s="68"/>
      <c r="Q3680" s="69"/>
      <c r="R3680" s="68"/>
      <c r="S3680" s="70"/>
      <c r="T3680" s="67"/>
      <c r="U3680" s="56"/>
      <c r="V3680" s="56"/>
      <c r="W3680" s="71"/>
      <c r="X3680" s="71"/>
      <c r="AA3680" s="33"/>
      <c r="AB3680" s="33"/>
      <c r="AC3680" s="33"/>
      <c r="AD3680" s="33"/>
      <c r="AE3680" s="33"/>
      <c r="AF3680" s="33"/>
      <c r="AG3680" s="33"/>
      <c r="AH3680" s="33"/>
      <c r="AI3680" s="33"/>
      <c r="AJ3680" s="33"/>
      <c r="AK3680" s="33"/>
      <c r="AL3680" s="33"/>
      <c r="AM3680" s="33"/>
      <c r="AN3680" s="33"/>
      <c r="AO3680" s="33"/>
    </row>
    <row r="3681" ht="15.75" customHeight="1">
      <c r="A3681" s="60">
        <v>58017.0</v>
      </c>
      <c r="B3681" s="61">
        <v>2024.0</v>
      </c>
      <c r="C3681" s="36" t="str">
        <f t="shared" si="7"/>
        <v>5609 CRANE ST,Houston,TX</v>
      </c>
      <c r="D3681" s="64" t="s">
        <v>5438</v>
      </c>
      <c r="E3681" s="23" t="s">
        <v>25</v>
      </c>
      <c r="F3681" s="23" t="s">
        <v>1388</v>
      </c>
      <c r="G3681" s="62" t="str">
        <f t="shared" si="8"/>
        <v>77026</v>
      </c>
      <c r="H3681" s="65"/>
      <c r="I3681" s="56"/>
      <c r="J3681" s="66"/>
      <c r="K3681" s="67"/>
      <c r="L3681" s="56"/>
      <c r="M3681" s="67"/>
      <c r="N3681" s="56"/>
      <c r="O3681" s="53"/>
      <c r="P3681" s="68"/>
      <c r="Q3681" s="69"/>
      <c r="R3681" s="68"/>
      <c r="S3681" s="70"/>
      <c r="T3681" s="67"/>
      <c r="U3681" s="56"/>
      <c r="V3681" s="56"/>
      <c r="W3681" s="71"/>
      <c r="X3681" s="71"/>
      <c r="AA3681" s="33"/>
      <c r="AB3681" s="33"/>
      <c r="AC3681" s="33"/>
      <c r="AD3681" s="33"/>
      <c r="AE3681" s="33"/>
      <c r="AF3681" s="33"/>
      <c r="AG3681" s="33"/>
      <c r="AH3681" s="33"/>
      <c r="AI3681" s="33"/>
      <c r="AJ3681" s="33"/>
      <c r="AK3681" s="33"/>
      <c r="AL3681" s="33"/>
      <c r="AM3681" s="33"/>
      <c r="AN3681" s="33"/>
      <c r="AO3681" s="33"/>
    </row>
    <row r="3682" ht="15.75" customHeight="1">
      <c r="A3682" s="60">
        <v>58049.0</v>
      </c>
      <c r="B3682" s="61">
        <v>2024.0</v>
      </c>
      <c r="C3682" s="36" t="str">
        <f t="shared" si="7"/>
        <v>1021 WESTFORD ST,Houston,TX</v>
      </c>
      <c r="D3682" s="64" t="s">
        <v>5439</v>
      </c>
      <c r="E3682" s="23" t="s">
        <v>25</v>
      </c>
      <c r="F3682" s="23" t="s">
        <v>1388</v>
      </c>
      <c r="G3682" s="62" t="str">
        <f t="shared" si="8"/>
        <v>77022</v>
      </c>
      <c r="H3682" s="65"/>
      <c r="I3682" s="56"/>
      <c r="J3682" s="66"/>
      <c r="K3682" s="67"/>
      <c r="L3682" s="56"/>
      <c r="M3682" s="67"/>
      <c r="N3682" s="56"/>
      <c r="O3682" s="53"/>
      <c r="P3682" s="68"/>
      <c r="Q3682" s="69"/>
      <c r="R3682" s="68"/>
      <c r="S3682" s="70"/>
      <c r="T3682" s="67"/>
      <c r="U3682" s="56"/>
      <c r="V3682" s="56"/>
      <c r="W3682" s="71"/>
      <c r="X3682" s="71"/>
      <c r="AA3682" s="33"/>
      <c r="AB3682" s="33"/>
      <c r="AC3682" s="33"/>
      <c r="AD3682" s="33"/>
      <c r="AE3682" s="33"/>
      <c r="AF3682" s="33"/>
      <c r="AG3682" s="33"/>
      <c r="AH3682" s="33"/>
      <c r="AI3682" s="33"/>
      <c r="AJ3682" s="33"/>
      <c r="AK3682" s="33"/>
      <c r="AL3682" s="33"/>
      <c r="AM3682" s="33"/>
      <c r="AN3682" s="33"/>
      <c r="AO3682" s="33"/>
    </row>
    <row r="3683" ht="15.75" customHeight="1">
      <c r="A3683" s="60">
        <v>58132.0</v>
      </c>
      <c r="B3683" s="61">
        <v>2024.0</v>
      </c>
      <c r="C3683" s="36" t="str">
        <f t="shared" si="7"/>
        <v>1925 COMMON ST,Houston,TX</v>
      </c>
      <c r="D3683" s="64" t="s">
        <v>5440</v>
      </c>
      <c r="E3683" s="23" t="s">
        <v>25</v>
      </c>
      <c r="F3683" s="23" t="s">
        <v>1388</v>
      </c>
      <c r="G3683" s="62" t="str">
        <f t="shared" si="8"/>
        <v>77009</v>
      </c>
      <c r="H3683" s="65"/>
      <c r="I3683" s="56"/>
      <c r="J3683" s="66"/>
      <c r="K3683" s="67"/>
      <c r="L3683" s="56"/>
      <c r="M3683" s="67"/>
      <c r="N3683" s="56"/>
      <c r="O3683" s="53"/>
      <c r="P3683" s="68"/>
      <c r="Q3683" s="69"/>
      <c r="R3683" s="68"/>
      <c r="S3683" s="70"/>
      <c r="T3683" s="67"/>
      <c r="U3683" s="56"/>
      <c r="V3683" s="56"/>
      <c r="W3683" s="71"/>
      <c r="X3683" s="71"/>
      <c r="AA3683" s="33"/>
      <c r="AB3683" s="33"/>
      <c r="AC3683" s="33"/>
      <c r="AD3683" s="33"/>
      <c r="AE3683" s="33"/>
      <c r="AF3683" s="33"/>
      <c r="AG3683" s="33"/>
      <c r="AH3683" s="33"/>
      <c r="AI3683" s="33"/>
      <c r="AJ3683" s="33"/>
      <c r="AK3683" s="33"/>
      <c r="AL3683" s="33"/>
      <c r="AM3683" s="33"/>
      <c r="AN3683" s="33"/>
      <c r="AO3683" s="33"/>
    </row>
    <row r="3684" ht="15.75" customHeight="1">
      <c r="A3684" s="60">
        <v>58165.0</v>
      </c>
      <c r="B3684" s="61">
        <v>2024.0</v>
      </c>
      <c r="C3684" s="36" t="str">
        <f t="shared" si="7"/>
        <v>4006 CAMPBELL RD,Houston,TX</v>
      </c>
      <c r="D3684" s="64" t="s">
        <v>5441</v>
      </c>
      <c r="E3684" s="23" t="s">
        <v>25</v>
      </c>
      <c r="F3684" s="23" t="s">
        <v>1388</v>
      </c>
      <c r="G3684" s="62" t="str">
        <f t="shared" si="8"/>
        <v>77080</v>
      </c>
      <c r="H3684" s="65"/>
      <c r="I3684" s="56"/>
      <c r="J3684" s="66"/>
      <c r="K3684" s="67"/>
      <c r="L3684" s="56"/>
      <c r="M3684" s="67"/>
      <c r="N3684" s="56"/>
      <c r="O3684" s="53"/>
      <c r="P3684" s="68"/>
      <c r="Q3684" s="69"/>
      <c r="R3684" s="68"/>
      <c r="S3684" s="70"/>
      <c r="T3684" s="67"/>
      <c r="U3684" s="56"/>
      <c r="V3684" s="56"/>
      <c r="W3684" s="71"/>
      <c r="X3684" s="71"/>
      <c r="AA3684" s="33"/>
      <c r="AB3684" s="33"/>
      <c r="AC3684" s="33"/>
      <c r="AD3684" s="33"/>
      <c r="AE3684" s="33"/>
      <c r="AF3684" s="33"/>
      <c r="AG3684" s="33"/>
      <c r="AH3684" s="33"/>
      <c r="AI3684" s="33"/>
      <c r="AJ3684" s="33"/>
      <c r="AK3684" s="33"/>
      <c r="AL3684" s="33"/>
      <c r="AM3684" s="33"/>
      <c r="AN3684" s="33"/>
      <c r="AO3684" s="33"/>
    </row>
    <row r="3685" ht="15.75" customHeight="1">
      <c r="A3685" s="60">
        <v>58201.0</v>
      </c>
      <c r="B3685" s="61">
        <v>2024.0</v>
      </c>
      <c r="C3685" s="36" t="str">
        <f t="shared" si="7"/>
        <v>501 78TH ST,Houston,TX</v>
      </c>
      <c r="D3685" s="64" t="s">
        <v>5442</v>
      </c>
      <c r="E3685" s="23" t="s">
        <v>25</v>
      </c>
      <c r="F3685" s="23" t="s">
        <v>1388</v>
      </c>
      <c r="G3685" s="62" t="str">
        <f t="shared" si="8"/>
        <v>77012</v>
      </c>
      <c r="H3685" s="65"/>
      <c r="I3685" s="56"/>
      <c r="J3685" s="66"/>
      <c r="K3685" s="67"/>
      <c r="L3685" s="56"/>
      <c r="M3685" s="67"/>
      <c r="N3685" s="56"/>
      <c r="O3685" s="53"/>
      <c r="P3685" s="68"/>
      <c r="Q3685" s="69"/>
      <c r="R3685" s="68"/>
      <c r="S3685" s="70"/>
      <c r="T3685" s="67"/>
      <c r="U3685" s="56"/>
      <c r="V3685" s="56"/>
      <c r="W3685" s="71"/>
      <c r="X3685" s="71"/>
      <c r="AA3685" s="33"/>
      <c r="AB3685" s="33"/>
      <c r="AC3685" s="33"/>
      <c r="AD3685" s="33"/>
      <c r="AE3685" s="33"/>
      <c r="AF3685" s="33"/>
      <c r="AG3685" s="33"/>
      <c r="AH3685" s="33"/>
      <c r="AI3685" s="33"/>
      <c r="AJ3685" s="33"/>
      <c r="AK3685" s="33"/>
      <c r="AL3685" s="33"/>
      <c r="AM3685" s="33"/>
      <c r="AN3685" s="33"/>
      <c r="AO3685" s="33"/>
    </row>
    <row r="3686" ht="15.75" customHeight="1">
      <c r="A3686" s="60">
        <v>57977.0</v>
      </c>
      <c r="B3686" s="61">
        <v>2024.0</v>
      </c>
      <c r="C3686" s="36" t="str">
        <f t="shared" si="7"/>
        <v>12945 SAMUEL LN,Houston,TX</v>
      </c>
      <c r="D3686" s="64" t="s">
        <v>5443</v>
      </c>
      <c r="E3686" s="23" t="s">
        <v>25</v>
      </c>
      <c r="F3686" s="23" t="s">
        <v>1388</v>
      </c>
      <c r="G3686" s="62" t="str">
        <f t="shared" si="8"/>
        <v>77015</v>
      </c>
      <c r="H3686" s="65"/>
      <c r="I3686" s="56"/>
      <c r="J3686" s="66"/>
      <c r="K3686" s="67"/>
      <c r="L3686" s="56"/>
      <c r="M3686" s="67"/>
      <c r="N3686" s="56"/>
      <c r="O3686" s="53"/>
      <c r="P3686" s="68"/>
      <c r="Q3686" s="69"/>
      <c r="R3686" s="68"/>
      <c r="S3686" s="70"/>
      <c r="T3686" s="67"/>
      <c r="U3686" s="56"/>
      <c r="V3686" s="56"/>
      <c r="W3686" s="71"/>
      <c r="X3686" s="71"/>
      <c r="AA3686" s="33"/>
      <c r="AB3686" s="33"/>
      <c r="AC3686" s="33"/>
      <c r="AD3686" s="33"/>
      <c r="AE3686" s="33"/>
      <c r="AF3686" s="33"/>
      <c r="AG3686" s="33"/>
      <c r="AH3686" s="33"/>
      <c r="AI3686" s="33"/>
      <c r="AJ3686" s="33"/>
      <c r="AK3686" s="33"/>
      <c r="AL3686" s="33"/>
      <c r="AM3686" s="33"/>
      <c r="AN3686" s="33"/>
      <c r="AO3686" s="33"/>
    </row>
    <row r="3687" ht="15.75" customHeight="1">
      <c r="A3687" s="60">
        <v>58118.0</v>
      </c>
      <c r="B3687" s="61">
        <v>2024.0</v>
      </c>
      <c r="C3687" s="36" t="str">
        <f t="shared" si="7"/>
        <v>1232 CHESHIRE LN,Houston,TX</v>
      </c>
      <c r="D3687" s="64" t="s">
        <v>5444</v>
      </c>
      <c r="E3687" s="23" t="s">
        <v>25</v>
      </c>
      <c r="F3687" s="23" t="s">
        <v>1388</v>
      </c>
      <c r="G3687" s="62" t="str">
        <f t="shared" si="8"/>
        <v>77018</v>
      </c>
      <c r="H3687" s="65"/>
      <c r="I3687" s="56"/>
      <c r="J3687" s="66"/>
      <c r="K3687" s="67"/>
      <c r="L3687" s="56"/>
      <c r="M3687" s="67"/>
      <c r="N3687" s="56"/>
      <c r="O3687" s="53"/>
      <c r="P3687" s="68"/>
      <c r="Q3687" s="69"/>
      <c r="R3687" s="68"/>
      <c r="S3687" s="70"/>
      <c r="T3687" s="67"/>
      <c r="U3687" s="56"/>
      <c r="V3687" s="56"/>
      <c r="W3687" s="71"/>
      <c r="X3687" s="71"/>
      <c r="AA3687" s="33"/>
      <c r="AB3687" s="33"/>
      <c r="AC3687" s="33"/>
      <c r="AD3687" s="33"/>
      <c r="AE3687" s="33"/>
      <c r="AF3687" s="33"/>
      <c r="AG3687" s="33"/>
      <c r="AH3687" s="33"/>
      <c r="AI3687" s="33"/>
      <c r="AJ3687" s="33"/>
      <c r="AK3687" s="33"/>
      <c r="AL3687" s="33"/>
      <c r="AM3687" s="33"/>
      <c r="AN3687" s="33"/>
      <c r="AO3687" s="33"/>
    </row>
    <row r="3688" ht="15.75" customHeight="1">
      <c r="A3688" s="72"/>
      <c r="B3688" s="61"/>
      <c r="C3688" s="56"/>
      <c r="D3688" s="67"/>
      <c r="E3688" s="56"/>
      <c r="F3688" s="56"/>
      <c r="G3688" s="62"/>
      <c r="H3688" s="65"/>
      <c r="I3688" s="56"/>
      <c r="J3688" s="66"/>
      <c r="K3688" s="67"/>
      <c r="L3688" s="56"/>
      <c r="M3688" s="67"/>
      <c r="N3688" s="56"/>
      <c r="O3688" s="53"/>
      <c r="P3688" s="68"/>
      <c r="Q3688" s="69"/>
      <c r="R3688" s="68"/>
      <c r="S3688" s="70"/>
      <c r="T3688" s="67"/>
      <c r="U3688" s="56"/>
      <c r="V3688" s="56"/>
      <c r="W3688" s="71"/>
      <c r="X3688" s="71"/>
      <c r="AA3688" s="33"/>
      <c r="AB3688" s="33"/>
      <c r="AC3688" s="33"/>
      <c r="AD3688" s="33"/>
      <c r="AE3688" s="33"/>
      <c r="AF3688" s="33"/>
      <c r="AG3688" s="33"/>
      <c r="AH3688" s="33"/>
      <c r="AI3688" s="33"/>
      <c r="AJ3688" s="33"/>
      <c r="AK3688" s="33"/>
      <c r="AL3688" s="33"/>
      <c r="AM3688" s="33"/>
      <c r="AN3688" s="33"/>
      <c r="AO3688" s="33"/>
    </row>
    <row r="3689" ht="15.75" customHeight="1">
      <c r="A3689" s="72"/>
      <c r="B3689" s="61"/>
      <c r="C3689" s="56"/>
      <c r="D3689" s="67"/>
      <c r="E3689" s="56"/>
      <c r="F3689" s="56"/>
      <c r="G3689" s="62"/>
      <c r="H3689" s="65"/>
      <c r="I3689" s="56"/>
      <c r="J3689" s="66"/>
      <c r="K3689" s="67"/>
      <c r="L3689" s="56"/>
      <c r="M3689" s="67"/>
      <c r="N3689" s="56"/>
      <c r="O3689" s="53"/>
      <c r="P3689" s="68"/>
      <c r="Q3689" s="69"/>
      <c r="R3689" s="68"/>
      <c r="S3689" s="70"/>
      <c r="T3689" s="67"/>
      <c r="U3689" s="56"/>
      <c r="V3689" s="56"/>
      <c r="W3689" s="71"/>
      <c r="X3689" s="71"/>
      <c r="AA3689" s="33"/>
      <c r="AB3689" s="33"/>
      <c r="AC3689" s="33"/>
      <c r="AD3689" s="33"/>
      <c r="AE3689" s="33"/>
      <c r="AF3689" s="33"/>
      <c r="AG3689" s="33"/>
      <c r="AH3689" s="33"/>
      <c r="AI3689" s="33"/>
      <c r="AJ3689" s="33"/>
      <c r="AK3689" s="33"/>
      <c r="AL3689" s="33"/>
      <c r="AM3689" s="33"/>
      <c r="AN3689" s="33"/>
      <c r="AO3689" s="33"/>
    </row>
    <row r="3690" ht="15.75" customHeight="1">
      <c r="A3690" s="72"/>
      <c r="B3690" s="61"/>
      <c r="C3690" s="56"/>
      <c r="D3690" s="67"/>
      <c r="E3690" s="56"/>
      <c r="F3690" s="56"/>
      <c r="G3690" s="62"/>
      <c r="H3690" s="65"/>
      <c r="I3690" s="56"/>
      <c r="J3690" s="66"/>
      <c r="K3690" s="67"/>
      <c r="L3690" s="56"/>
      <c r="M3690" s="67"/>
      <c r="N3690" s="56"/>
      <c r="O3690" s="53"/>
      <c r="P3690" s="68"/>
      <c r="Q3690" s="69"/>
      <c r="R3690" s="68"/>
      <c r="S3690" s="70"/>
      <c r="T3690" s="67"/>
      <c r="U3690" s="56"/>
      <c r="V3690" s="56"/>
      <c r="W3690" s="71"/>
      <c r="X3690" s="71"/>
      <c r="AA3690" s="33"/>
      <c r="AB3690" s="33"/>
      <c r="AC3690" s="33"/>
      <c r="AD3690" s="33"/>
      <c r="AE3690" s="33"/>
      <c r="AF3690" s="33"/>
      <c r="AG3690" s="33"/>
      <c r="AH3690" s="33"/>
      <c r="AI3690" s="33"/>
      <c r="AJ3690" s="33"/>
      <c r="AK3690" s="33"/>
      <c r="AL3690" s="33"/>
      <c r="AM3690" s="33"/>
      <c r="AN3690" s="33"/>
      <c r="AO3690" s="33"/>
    </row>
    <row r="3691" ht="15.75" customHeight="1">
      <c r="A3691" s="72"/>
      <c r="B3691" s="61"/>
      <c r="C3691" s="56"/>
      <c r="D3691" s="67"/>
      <c r="E3691" s="56"/>
      <c r="F3691" s="56"/>
      <c r="G3691" s="62"/>
      <c r="H3691" s="65"/>
      <c r="I3691" s="56"/>
      <c r="J3691" s="66"/>
      <c r="K3691" s="67"/>
      <c r="L3691" s="56"/>
      <c r="M3691" s="67"/>
      <c r="N3691" s="56"/>
      <c r="O3691" s="53"/>
      <c r="P3691" s="68"/>
      <c r="Q3691" s="69"/>
      <c r="R3691" s="68"/>
      <c r="S3691" s="70"/>
      <c r="T3691" s="67"/>
      <c r="U3691" s="56"/>
      <c r="V3691" s="56"/>
      <c r="W3691" s="71"/>
      <c r="X3691" s="71"/>
      <c r="AA3691" s="33"/>
      <c r="AB3691" s="33"/>
      <c r="AC3691" s="33"/>
      <c r="AD3691" s="33"/>
      <c r="AE3691" s="33"/>
      <c r="AF3691" s="33"/>
      <c r="AG3691" s="33"/>
      <c r="AH3691" s="33"/>
      <c r="AI3691" s="33"/>
      <c r="AJ3691" s="33"/>
      <c r="AK3691" s="33"/>
      <c r="AL3691" s="33"/>
      <c r="AM3691" s="33"/>
      <c r="AN3691" s="33"/>
      <c r="AO3691" s="33"/>
    </row>
    <row r="3692" ht="15.75" customHeight="1">
      <c r="A3692" s="72"/>
      <c r="B3692" s="61"/>
      <c r="C3692" s="56"/>
      <c r="D3692" s="67"/>
      <c r="E3692" s="56"/>
      <c r="F3692" s="56"/>
      <c r="G3692" s="62"/>
      <c r="H3692" s="65"/>
      <c r="I3692" s="56"/>
      <c r="J3692" s="66"/>
      <c r="K3692" s="67"/>
      <c r="L3692" s="56"/>
      <c r="M3692" s="67"/>
      <c r="N3692" s="56"/>
      <c r="O3692" s="53"/>
      <c r="P3692" s="68"/>
      <c r="Q3692" s="69"/>
      <c r="R3692" s="68"/>
      <c r="S3692" s="70"/>
      <c r="T3692" s="67"/>
      <c r="U3692" s="56"/>
      <c r="V3692" s="56"/>
      <c r="W3692" s="71"/>
      <c r="X3692" s="71"/>
      <c r="AA3692" s="33"/>
      <c r="AB3692" s="33"/>
      <c r="AC3692" s="33"/>
      <c r="AD3692" s="33"/>
      <c r="AE3692" s="33"/>
      <c r="AF3692" s="33"/>
      <c r="AG3692" s="33"/>
      <c r="AH3692" s="33"/>
      <c r="AI3692" s="33"/>
      <c r="AJ3692" s="33"/>
      <c r="AK3692" s="33"/>
      <c r="AL3692" s="33"/>
      <c r="AM3692" s="33"/>
      <c r="AN3692" s="33"/>
      <c r="AO3692" s="33"/>
    </row>
    <row r="3693" ht="15.75" customHeight="1">
      <c r="A3693" s="72"/>
      <c r="B3693" s="61"/>
      <c r="C3693" s="56"/>
      <c r="D3693" s="67"/>
      <c r="E3693" s="56"/>
      <c r="F3693" s="56"/>
      <c r="G3693" s="62"/>
      <c r="H3693" s="65"/>
      <c r="I3693" s="56"/>
      <c r="J3693" s="66"/>
      <c r="K3693" s="67"/>
      <c r="L3693" s="56"/>
      <c r="M3693" s="67"/>
      <c r="N3693" s="56"/>
      <c r="O3693" s="53"/>
      <c r="P3693" s="68"/>
      <c r="Q3693" s="69"/>
      <c r="R3693" s="68"/>
      <c r="S3693" s="70"/>
      <c r="T3693" s="67"/>
      <c r="U3693" s="56"/>
      <c r="V3693" s="56"/>
      <c r="W3693" s="71"/>
      <c r="X3693" s="71"/>
      <c r="AA3693" s="33"/>
      <c r="AB3693" s="33"/>
      <c r="AC3693" s="33"/>
      <c r="AD3693" s="33"/>
      <c r="AE3693" s="33"/>
      <c r="AF3693" s="33"/>
      <c r="AG3693" s="33"/>
      <c r="AH3693" s="33"/>
      <c r="AI3693" s="33"/>
      <c r="AJ3693" s="33"/>
      <c r="AK3693" s="33"/>
      <c r="AL3693" s="33"/>
      <c r="AM3693" s="33"/>
      <c r="AN3693" s="33"/>
      <c r="AO3693" s="33"/>
    </row>
    <row r="3694" ht="15.75" customHeight="1">
      <c r="A3694" s="72"/>
      <c r="B3694" s="61"/>
      <c r="C3694" s="56"/>
      <c r="D3694" s="67"/>
      <c r="E3694" s="56"/>
      <c r="F3694" s="56"/>
      <c r="G3694" s="62"/>
      <c r="H3694" s="65"/>
      <c r="I3694" s="56"/>
      <c r="J3694" s="66"/>
      <c r="K3694" s="67"/>
      <c r="L3694" s="56"/>
      <c r="M3694" s="67"/>
      <c r="N3694" s="56"/>
      <c r="O3694" s="53"/>
      <c r="P3694" s="68"/>
      <c r="Q3694" s="69"/>
      <c r="R3694" s="68"/>
      <c r="S3694" s="70"/>
      <c r="T3694" s="67"/>
      <c r="U3694" s="56"/>
      <c r="V3694" s="56"/>
      <c r="W3694" s="71"/>
      <c r="X3694" s="71"/>
      <c r="AA3694" s="33"/>
      <c r="AB3694" s="33"/>
      <c r="AC3694" s="33"/>
      <c r="AD3694" s="33"/>
      <c r="AE3694" s="33"/>
      <c r="AF3694" s="33"/>
      <c r="AG3694" s="33"/>
      <c r="AH3694" s="33"/>
      <c r="AI3694" s="33"/>
      <c r="AJ3694" s="33"/>
      <c r="AK3694" s="33"/>
      <c r="AL3694" s="33"/>
      <c r="AM3694" s="33"/>
      <c r="AN3694" s="33"/>
      <c r="AO3694" s="33"/>
    </row>
    <row r="3695" ht="15.75" customHeight="1">
      <c r="A3695" s="72"/>
      <c r="B3695" s="61"/>
      <c r="C3695" s="56"/>
      <c r="D3695" s="67"/>
      <c r="E3695" s="56"/>
      <c r="F3695" s="56"/>
      <c r="G3695" s="62"/>
      <c r="H3695" s="65"/>
      <c r="I3695" s="56"/>
      <c r="J3695" s="66"/>
      <c r="K3695" s="67"/>
      <c r="L3695" s="56"/>
      <c r="M3695" s="67"/>
      <c r="N3695" s="56"/>
      <c r="O3695" s="53"/>
      <c r="P3695" s="68"/>
      <c r="Q3695" s="69"/>
      <c r="R3695" s="68"/>
      <c r="S3695" s="70"/>
      <c r="T3695" s="67"/>
      <c r="U3695" s="56"/>
      <c r="V3695" s="56"/>
      <c r="W3695" s="71"/>
      <c r="X3695" s="71"/>
      <c r="AA3695" s="33"/>
      <c r="AB3695" s="33"/>
      <c r="AC3695" s="33"/>
      <c r="AD3695" s="33"/>
      <c r="AE3695" s="33"/>
      <c r="AF3695" s="33"/>
      <c r="AG3695" s="33"/>
      <c r="AH3695" s="33"/>
      <c r="AI3695" s="33"/>
      <c r="AJ3695" s="33"/>
      <c r="AK3695" s="33"/>
      <c r="AL3695" s="33"/>
      <c r="AM3695" s="33"/>
      <c r="AN3695" s="33"/>
      <c r="AO3695" s="33"/>
    </row>
    <row r="3696" ht="15.75" customHeight="1">
      <c r="A3696" s="72"/>
      <c r="B3696" s="61"/>
      <c r="C3696" s="56"/>
      <c r="D3696" s="67"/>
      <c r="E3696" s="56"/>
      <c r="F3696" s="56"/>
      <c r="G3696" s="62"/>
      <c r="H3696" s="65"/>
      <c r="I3696" s="56"/>
      <c r="J3696" s="66"/>
      <c r="K3696" s="67"/>
      <c r="L3696" s="56"/>
      <c r="M3696" s="67"/>
      <c r="N3696" s="56"/>
      <c r="O3696" s="53"/>
      <c r="P3696" s="68"/>
      <c r="Q3696" s="69"/>
      <c r="R3696" s="68"/>
      <c r="S3696" s="70"/>
      <c r="T3696" s="67"/>
      <c r="U3696" s="56"/>
      <c r="V3696" s="56"/>
      <c r="W3696" s="71"/>
      <c r="X3696" s="71"/>
      <c r="AA3696" s="33"/>
      <c r="AB3696" s="33"/>
      <c r="AC3696" s="33"/>
      <c r="AD3696" s="33"/>
      <c r="AE3696" s="33"/>
      <c r="AF3696" s="33"/>
      <c r="AG3696" s="33"/>
      <c r="AH3696" s="33"/>
      <c r="AI3696" s="33"/>
      <c r="AJ3696" s="33"/>
      <c r="AK3696" s="33"/>
      <c r="AL3696" s="33"/>
      <c r="AM3696" s="33"/>
      <c r="AN3696" s="33"/>
      <c r="AO3696" s="33"/>
    </row>
    <row r="3697" ht="15.75" customHeight="1">
      <c r="A3697" s="72"/>
      <c r="B3697" s="61"/>
      <c r="C3697" s="56"/>
      <c r="D3697" s="67"/>
      <c r="E3697" s="56"/>
      <c r="F3697" s="56"/>
      <c r="G3697" s="62"/>
      <c r="H3697" s="65"/>
      <c r="I3697" s="56"/>
      <c r="J3697" s="66"/>
      <c r="K3697" s="67"/>
      <c r="L3697" s="56"/>
      <c r="M3697" s="67"/>
      <c r="N3697" s="56"/>
      <c r="O3697" s="53"/>
      <c r="P3697" s="68"/>
      <c r="Q3697" s="69"/>
      <c r="R3697" s="68"/>
      <c r="S3697" s="70"/>
      <c r="T3697" s="67"/>
      <c r="U3697" s="56"/>
      <c r="V3697" s="56"/>
      <c r="W3697" s="71"/>
      <c r="X3697" s="71"/>
      <c r="AA3697" s="33"/>
      <c r="AB3697" s="33"/>
      <c r="AC3697" s="33"/>
      <c r="AD3697" s="33"/>
      <c r="AE3697" s="33"/>
      <c r="AF3697" s="33"/>
      <c r="AG3697" s="33"/>
      <c r="AH3697" s="33"/>
      <c r="AI3697" s="33"/>
      <c r="AJ3697" s="33"/>
      <c r="AK3697" s="33"/>
      <c r="AL3697" s="33"/>
      <c r="AM3697" s="33"/>
      <c r="AN3697" s="33"/>
      <c r="AO3697" s="33"/>
    </row>
    <row r="3698" ht="15.75" customHeight="1">
      <c r="A3698" s="72"/>
      <c r="B3698" s="61"/>
      <c r="C3698" s="56"/>
      <c r="D3698" s="67"/>
      <c r="E3698" s="56"/>
      <c r="F3698" s="56"/>
      <c r="G3698" s="62"/>
      <c r="H3698" s="65"/>
      <c r="I3698" s="56"/>
      <c r="J3698" s="66"/>
      <c r="K3698" s="67"/>
      <c r="L3698" s="56"/>
      <c r="M3698" s="67"/>
      <c r="N3698" s="56"/>
      <c r="O3698" s="53"/>
      <c r="P3698" s="68"/>
      <c r="Q3698" s="69"/>
      <c r="R3698" s="68"/>
      <c r="S3698" s="70"/>
      <c r="T3698" s="67"/>
      <c r="U3698" s="56"/>
      <c r="V3698" s="56"/>
      <c r="W3698" s="71"/>
      <c r="X3698" s="71"/>
      <c r="AA3698" s="33"/>
      <c r="AB3698" s="33"/>
      <c r="AC3698" s="33"/>
      <c r="AD3698" s="33"/>
      <c r="AE3698" s="33"/>
      <c r="AF3698" s="33"/>
      <c r="AG3698" s="33"/>
      <c r="AH3698" s="33"/>
      <c r="AI3698" s="33"/>
      <c r="AJ3698" s="33"/>
      <c r="AK3698" s="33"/>
      <c r="AL3698" s="33"/>
      <c r="AM3698" s="33"/>
      <c r="AN3698" s="33"/>
      <c r="AO3698" s="33"/>
    </row>
    <row r="3699" ht="15.75" customHeight="1">
      <c r="A3699" s="72"/>
      <c r="B3699" s="61"/>
      <c r="C3699" s="56"/>
      <c r="D3699" s="67"/>
      <c r="E3699" s="56"/>
      <c r="F3699" s="56"/>
      <c r="G3699" s="62"/>
      <c r="H3699" s="65"/>
      <c r="I3699" s="56"/>
      <c r="J3699" s="66"/>
      <c r="K3699" s="67"/>
      <c r="L3699" s="56"/>
      <c r="M3699" s="67"/>
      <c r="N3699" s="56"/>
      <c r="O3699" s="53"/>
      <c r="P3699" s="68"/>
      <c r="Q3699" s="69"/>
      <c r="R3699" s="68"/>
      <c r="S3699" s="70"/>
      <c r="T3699" s="67"/>
      <c r="U3699" s="56"/>
      <c r="V3699" s="56"/>
      <c r="W3699" s="71"/>
      <c r="X3699" s="71"/>
      <c r="AA3699" s="33"/>
      <c r="AB3699" s="33"/>
      <c r="AC3699" s="33"/>
      <c r="AD3699" s="33"/>
      <c r="AE3699" s="33"/>
      <c r="AF3699" s="33"/>
      <c r="AG3699" s="33"/>
      <c r="AH3699" s="33"/>
      <c r="AI3699" s="33"/>
      <c r="AJ3699" s="33"/>
      <c r="AK3699" s="33"/>
      <c r="AL3699" s="33"/>
      <c r="AM3699" s="33"/>
      <c r="AN3699" s="33"/>
      <c r="AO3699" s="33"/>
    </row>
    <row r="3700" ht="15.75" customHeight="1">
      <c r="A3700" s="72"/>
      <c r="B3700" s="61"/>
      <c r="C3700" s="56"/>
      <c r="D3700" s="67"/>
      <c r="E3700" s="56"/>
      <c r="F3700" s="56"/>
      <c r="G3700" s="62"/>
      <c r="H3700" s="65"/>
      <c r="I3700" s="56"/>
      <c r="J3700" s="66"/>
      <c r="K3700" s="67"/>
      <c r="L3700" s="56"/>
      <c r="M3700" s="67"/>
      <c r="N3700" s="56"/>
      <c r="O3700" s="53"/>
      <c r="P3700" s="68"/>
      <c r="Q3700" s="69"/>
      <c r="R3700" s="68"/>
      <c r="S3700" s="70"/>
      <c r="T3700" s="67"/>
      <c r="U3700" s="56"/>
      <c r="V3700" s="56"/>
      <c r="W3700" s="71"/>
      <c r="X3700" s="71"/>
      <c r="AA3700" s="33"/>
      <c r="AB3700" s="33"/>
      <c r="AC3700" s="33"/>
      <c r="AD3700" s="33"/>
      <c r="AE3700" s="33"/>
      <c r="AF3700" s="33"/>
      <c r="AG3700" s="33"/>
      <c r="AH3700" s="33"/>
      <c r="AI3700" s="33"/>
      <c r="AJ3700" s="33"/>
      <c r="AK3700" s="33"/>
      <c r="AL3700" s="33"/>
      <c r="AM3700" s="33"/>
      <c r="AN3700" s="33"/>
      <c r="AO3700" s="33"/>
    </row>
    <row r="3701" ht="15.75" customHeight="1">
      <c r="A3701" s="72"/>
      <c r="B3701" s="61"/>
      <c r="C3701" s="56"/>
      <c r="D3701" s="67"/>
      <c r="E3701" s="56"/>
      <c r="F3701" s="56"/>
      <c r="G3701" s="62"/>
      <c r="H3701" s="65"/>
      <c r="I3701" s="56"/>
      <c r="J3701" s="66"/>
      <c r="K3701" s="67"/>
      <c r="L3701" s="56"/>
      <c r="M3701" s="67"/>
      <c r="N3701" s="56"/>
      <c r="O3701" s="53"/>
      <c r="P3701" s="68"/>
      <c r="Q3701" s="69"/>
      <c r="R3701" s="68"/>
      <c r="S3701" s="70"/>
      <c r="T3701" s="67"/>
      <c r="U3701" s="56"/>
      <c r="V3701" s="56"/>
      <c r="W3701" s="71"/>
      <c r="X3701" s="71"/>
      <c r="AA3701" s="33"/>
      <c r="AB3701" s="33"/>
      <c r="AC3701" s="33"/>
      <c r="AD3701" s="33"/>
      <c r="AE3701" s="33"/>
      <c r="AF3701" s="33"/>
      <c r="AG3701" s="33"/>
      <c r="AH3701" s="33"/>
      <c r="AI3701" s="33"/>
      <c r="AJ3701" s="33"/>
      <c r="AK3701" s="33"/>
      <c r="AL3701" s="33"/>
      <c r="AM3701" s="33"/>
      <c r="AN3701" s="33"/>
      <c r="AO3701" s="33"/>
    </row>
    <row r="3702" ht="15.75" customHeight="1">
      <c r="A3702" s="72"/>
      <c r="B3702" s="61"/>
      <c r="C3702" s="56"/>
      <c r="D3702" s="67"/>
      <c r="E3702" s="56"/>
      <c r="F3702" s="56"/>
      <c r="G3702" s="62"/>
      <c r="H3702" s="65"/>
      <c r="I3702" s="56"/>
      <c r="J3702" s="66"/>
      <c r="K3702" s="67"/>
      <c r="L3702" s="56"/>
      <c r="M3702" s="67"/>
      <c r="N3702" s="56"/>
      <c r="O3702" s="53"/>
      <c r="P3702" s="68"/>
      <c r="Q3702" s="69"/>
      <c r="R3702" s="68"/>
      <c r="S3702" s="70"/>
      <c r="T3702" s="67"/>
      <c r="U3702" s="56"/>
      <c r="V3702" s="56"/>
      <c r="W3702" s="71"/>
      <c r="X3702" s="71"/>
      <c r="AA3702" s="33"/>
      <c r="AB3702" s="33"/>
      <c r="AC3702" s="33"/>
      <c r="AD3702" s="33"/>
      <c r="AE3702" s="33"/>
      <c r="AF3702" s="33"/>
      <c r="AG3702" s="33"/>
      <c r="AH3702" s="33"/>
      <c r="AI3702" s="33"/>
      <c r="AJ3702" s="33"/>
      <c r="AK3702" s="33"/>
      <c r="AL3702" s="33"/>
      <c r="AM3702" s="33"/>
      <c r="AN3702" s="33"/>
      <c r="AO3702" s="33"/>
    </row>
    <row r="3703" ht="15.75" customHeight="1">
      <c r="A3703" s="72"/>
      <c r="B3703" s="61"/>
      <c r="C3703" s="56"/>
      <c r="D3703" s="67"/>
      <c r="E3703" s="56"/>
      <c r="F3703" s="56"/>
      <c r="G3703" s="62"/>
      <c r="H3703" s="65"/>
      <c r="I3703" s="56"/>
      <c r="J3703" s="66"/>
      <c r="K3703" s="67"/>
      <c r="L3703" s="56"/>
      <c r="M3703" s="67"/>
      <c r="N3703" s="56"/>
      <c r="O3703" s="53"/>
      <c r="P3703" s="68"/>
      <c r="Q3703" s="69"/>
      <c r="R3703" s="68"/>
      <c r="S3703" s="70"/>
      <c r="T3703" s="67"/>
      <c r="U3703" s="56"/>
      <c r="V3703" s="56"/>
      <c r="W3703" s="71"/>
      <c r="X3703" s="71"/>
      <c r="AA3703" s="33"/>
      <c r="AB3703" s="33"/>
      <c r="AC3703" s="33"/>
      <c r="AD3703" s="33"/>
      <c r="AE3703" s="33"/>
      <c r="AF3703" s="33"/>
      <c r="AG3703" s="33"/>
      <c r="AH3703" s="33"/>
      <c r="AI3703" s="33"/>
      <c r="AJ3703" s="33"/>
      <c r="AK3703" s="33"/>
      <c r="AL3703" s="33"/>
      <c r="AM3703" s="33"/>
      <c r="AN3703" s="33"/>
      <c r="AO3703" s="33"/>
    </row>
    <row r="3704" ht="15.75" customHeight="1">
      <c r="A3704" s="72"/>
      <c r="B3704" s="61"/>
      <c r="C3704" s="56"/>
      <c r="D3704" s="67"/>
      <c r="E3704" s="56"/>
      <c r="F3704" s="56"/>
      <c r="G3704" s="62"/>
      <c r="H3704" s="65"/>
      <c r="I3704" s="56"/>
      <c r="J3704" s="66"/>
      <c r="K3704" s="67"/>
      <c r="L3704" s="56"/>
      <c r="M3704" s="67"/>
      <c r="N3704" s="56"/>
      <c r="O3704" s="53"/>
      <c r="P3704" s="68"/>
      <c r="Q3704" s="69"/>
      <c r="R3704" s="68"/>
      <c r="S3704" s="70"/>
      <c r="T3704" s="67"/>
      <c r="U3704" s="56"/>
      <c r="V3704" s="56"/>
      <c r="W3704" s="71"/>
      <c r="X3704" s="71"/>
      <c r="AA3704" s="33"/>
      <c r="AB3704" s="33"/>
      <c r="AC3704" s="33"/>
      <c r="AD3704" s="33"/>
      <c r="AE3704" s="33"/>
      <c r="AF3704" s="33"/>
      <c r="AG3704" s="33"/>
      <c r="AH3704" s="33"/>
      <c r="AI3704" s="33"/>
      <c r="AJ3704" s="33"/>
      <c r="AK3704" s="33"/>
      <c r="AL3704" s="33"/>
      <c r="AM3704" s="33"/>
      <c r="AN3704" s="33"/>
      <c r="AO3704" s="33"/>
    </row>
    <row r="3705" ht="15.75" customHeight="1">
      <c r="A3705" s="72"/>
      <c r="B3705" s="61"/>
      <c r="C3705" s="56"/>
      <c r="D3705" s="67"/>
      <c r="E3705" s="56"/>
      <c r="F3705" s="56"/>
      <c r="G3705" s="62"/>
      <c r="H3705" s="65"/>
      <c r="I3705" s="56"/>
      <c r="J3705" s="66"/>
      <c r="K3705" s="67"/>
      <c r="L3705" s="56"/>
      <c r="M3705" s="67"/>
      <c r="N3705" s="56"/>
      <c r="O3705" s="53"/>
      <c r="P3705" s="68"/>
      <c r="Q3705" s="69"/>
      <c r="R3705" s="68"/>
      <c r="S3705" s="70"/>
      <c r="T3705" s="67"/>
      <c r="U3705" s="56"/>
      <c r="V3705" s="56"/>
      <c r="W3705" s="71"/>
      <c r="X3705" s="71"/>
      <c r="AA3705" s="33"/>
      <c r="AB3705" s="33"/>
      <c r="AC3705" s="33"/>
      <c r="AD3705" s="33"/>
      <c r="AE3705" s="33"/>
      <c r="AF3705" s="33"/>
      <c r="AG3705" s="33"/>
      <c r="AH3705" s="33"/>
      <c r="AI3705" s="33"/>
      <c r="AJ3705" s="33"/>
      <c r="AK3705" s="33"/>
      <c r="AL3705" s="33"/>
      <c r="AM3705" s="33"/>
      <c r="AN3705" s="33"/>
      <c r="AO3705" s="33"/>
    </row>
    <row r="3706" ht="15.75" customHeight="1">
      <c r="A3706" s="72"/>
      <c r="B3706" s="61"/>
      <c r="C3706" s="56"/>
      <c r="D3706" s="67"/>
      <c r="E3706" s="56"/>
      <c r="F3706" s="56"/>
      <c r="G3706" s="62"/>
      <c r="H3706" s="65"/>
      <c r="I3706" s="56"/>
      <c r="J3706" s="66"/>
      <c r="K3706" s="67"/>
      <c r="L3706" s="56"/>
      <c r="M3706" s="67"/>
      <c r="N3706" s="56"/>
      <c r="O3706" s="53"/>
      <c r="P3706" s="68"/>
      <c r="Q3706" s="69"/>
      <c r="R3706" s="68"/>
      <c r="S3706" s="70"/>
      <c r="T3706" s="67"/>
      <c r="U3706" s="56"/>
      <c r="V3706" s="56"/>
      <c r="W3706" s="71"/>
      <c r="X3706" s="71"/>
      <c r="AA3706" s="33"/>
      <c r="AB3706" s="33"/>
      <c r="AC3706" s="33"/>
      <c r="AD3706" s="33"/>
      <c r="AE3706" s="33"/>
      <c r="AF3706" s="33"/>
      <c r="AG3706" s="33"/>
      <c r="AH3706" s="33"/>
      <c r="AI3706" s="33"/>
      <c r="AJ3706" s="33"/>
      <c r="AK3706" s="33"/>
      <c r="AL3706" s="33"/>
      <c r="AM3706" s="33"/>
      <c r="AN3706" s="33"/>
      <c r="AO3706" s="33"/>
    </row>
    <row r="3707" ht="15.75" customHeight="1">
      <c r="A3707" s="72"/>
      <c r="B3707" s="61"/>
      <c r="C3707" s="56"/>
      <c r="D3707" s="67"/>
      <c r="E3707" s="56"/>
      <c r="F3707" s="56"/>
      <c r="G3707" s="62"/>
      <c r="H3707" s="65"/>
      <c r="I3707" s="56"/>
      <c r="J3707" s="66"/>
      <c r="K3707" s="67"/>
      <c r="L3707" s="56"/>
      <c r="M3707" s="67"/>
      <c r="N3707" s="56"/>
      <c r="O3707" s="53"/>
      <c r="P3707" s="68"/>
      <c r="Q3707" s="69"/>
      <c r="R3707" s="68"/>
      <c r="S3707" s="70"/>
      <c r="T3707" s="67"/>
      <c r="U3707" s="56"/>
      <c r="V3707" s="56"/>
      <c r="W3707" s="71"/>
      <c r="X3707" s="71"/>
      <c r="AA3707" s="33"/>
      <c r="AB3707" s="33"/>
      <c r="AC3707" s="33"/>
      <c r="AD3707" s="33"/>
      <c r="AE3707" s="33"/>
      <c r="AF3707" s="33"/>
      <c r="AG3707" s="33"/>
      <c r="AH3707" s="33"/>
      <c r="AI3707" s="33"/>
      <c r="AJ3707" s="33"/>
      <c r="AK3707" s="33"/>
      <c r="AL3707" s="33"/>
      <c r="AM3707" s="33"/>
      <c r="AN3707" s="33"/>
      <c r="AO3707" s="33"/>
    </row>
    <row r="3708" ht="15.75" customHeight="1">
      <c r="A3708" s="72"/>
      <c r="B3708" s="61"/>
      <c r="C3708" s="56"/>
      <c r="D3708" s="67"/>
      <c r="E3708" s="56"/>
      <c r="F3708" s="56"/>
      <c r="G3708" s="62"/>
      <c r="H3708" s="65"/>
      <c r="I3708" s="56"/>
      <c r="J3708" s="66"/>
      <c r="K3708" s="67"/>
      <c r="L3708" s="56"/>
      <c r="M3708" s="67"/>
      <c r="N3708" s="56"/>
      <c r="O3708" s="53"/>
      <c r="P3708" s="68"/>
      <c r="Q3708" s="69"/>
      <c r="R3708" s="68"/>
      <c r="S3708" s="70"/>
      <c r="T3708" s="67"/>
      <c r="U3708" s="56"/>
      <c r="V3708" s="56"/>
      <c r="W3708" s="71"/>
      <c r="X3708" s="71"/>
      <c r="AA3708" s="33"/>
      <c r="AB3708" s="33"/>
      <c r="AC3708" s="33"/>
      <c r="AD3708" s="33"/>
      <c r="AE3708" s="33"/>
      <c r="AF3708" s="33"/>
      <c r="AG3708" s="33"/>
      <c r="AH3708" s="33"/>
      <c r="AI3708" s="33"/>
      <c r="AJ3708" s="33"/>
      <c r="AK3708" s="33"/>
      <c r="AL3708" s="33"/>
      <c r="AM3708" s="33"/>
      <c r="AN3708" s="33"/>
      <c r="AO3708" s="33"/>
    </row>
    <row r="3709" ht="15.75" customHeight="1">
      <c r="A3709" s="72"/>
      <c r="B3709" s="61"/>
      <c r="C3709" s="56"/>
      <c r="D3709" s="67"/>
      <c r="E3709" s="56"/>
      <c r="F3709" s="56"/>
      <c r="G3709" s="62"/>
      <c r="H3709" s="65"/>
      <c r="I3709" s="56"/>
      <c r="J3709" s="66"/>
      <c r="K3709" s="67"/>
      <c r="L3709" s="56"/>
      <c r="M3709" s="67"/>
      <c r="N3709" s="56"/>
      <c r="O3709" s="53"/>
      <c r="P3709" s="68"/>
      <c r="Q3709" s="69"/>
      <c r="R3709" s="68"/>
      <c r="S3709" s="70"/>
      <c r="T3709" s="67"/>
      <c r="U3709" s="56"/>
      <c r="V3709" s="56"/>
      <c r="W3709" s="71"/>
      <c r="X3709" s="71"/>
      <c r="AA3709" s="33"/>
      <c r="AB3709" s="33"/>
      <c r="AC3709" s="33"/>
      <c r="AD3709" s="33"/>
      <c r="AE3709" s="33"/>
      <c r="AF3709" s="33"/>
      <c r="AG3709" s="33"/>
      <c r="AH3709" s="33"/>
      <c r="AI3709" s="33"/>
      <c r="AJ3709" s="33"/>
      <c r="AK3709" s="33"/>
      <c r="AL3709" s="33"/>
      <c r="AM3709" s="33"/>
      <c r="AN3709" s="33"/>
      <c r="AO3709" s="33"/>
    </row>
    <row r="3710" ht="15.75" customHeight="1">
      <c r="A3710" s="72"/>
      <c r="B3710" s="61"/>
      <c r="C3710" s="56"/>
      <c r="D3710" s="67"/>
      <c r="E3710" s="56"/>
      <c r="F3710" s="56"/>
      <c r="G3710" s="62"/>
      <c r="H3710" s="65"/>
      <c r="I3710" s="56"/>
      <c r="J3710" s="66"/>
      <c r="K3710" s="67"/>
      <c r="L3710" s="56"/>
      <c r="M3710" s="67"/>
      <c r="N3710" s="56"/>
      <c r="O3710" s="53"/>
      <c r="P3710" s="68"/>
      <c r="Q3710" s="69"/>
      <c r="R3710" s="68"/>
      <c r="S3710" s="70"/>
      <c r="T3710" s="67"/>
      <c r="U3710" s="56"/>
      <c r="V3710" s="56"/>
      <c r="W3710" s="71"/>
      <c r="X3710" s="71"/>
      <c r="AA3710" s="33"/>
      <c r="AB3710" s="33"/>
      <c r="AC3710" s="33"/>
      <c r="AD3710" s="33"/>
      <c r="AE3710" s="33"/>
      <c r="AF3710" s="33"/>
      <c r="AG3710" s="33"/>
      <c r="AH3710" s="33"/>
      <c r="AI3710" s="33"/>
      <c r="AJ3710" s="33"/>
      <c r="AK3710" s="33"/>
      <c r="AL3710" s="33"/>
      <c r="AM3710" s="33"/>
      <c r="AN3710" s="33"/>
      <c r="AO3710" s="33"/>
    </row>
    <row r="3711" ht="15.75" customHeight="1">
      <c r="A3711" s="72"/>
      <c r="B3711" s="61"/>
      <c r="C3711" s="56"/>
      <c r="D3711" s="67"/>
      <c r="E3711" s="56"/>
      <c r="F3711" s="56"/>
      <c r="G3711" s="62"/>
      <c r="H3711" s="65"/>
      <c r="I3711" s="56"/>
      <c r="J3711" s="66"/>
      <c r="K3711" s="67"/>
      <c r="L3711" s="56"/>
      <c r="M3711" s="67"/>
      <c r="N3711" s="56"/>
      <c r="O3711" s="53"/>
      <c r="P3711" s="68"/>
      <c r="Q3711" s="69"/>
      <c r="R3711" s="68"/>
      <c r="S3711" s="70"/>
      <c r="T3711" s="67"/>
      <c r="U3711" s="56"/>
      <c r="V3711" s="56"/>
      <c r="W3711" s="71"/>
      <c r="X3711" s="71"/>
      <c r="AA3711" s="33"/>
      <c r="AB3711" s="33"/>
      <c r="AC3711" s="33"/>
      <c r="AD3711" s="33"/>
      <c r="AE3711" s="33"/>
      <c r="AF3711" s="33"/>
      <c r="AG3711" s="33"/>
      <c r="AH3711" s="33"/>
      <c r="AI3711" s="33"/>
      <c r="AJ3711" s="33"/>
      <c r="AK3711" s="33"/>
      <c r="AL3711" s="33"/>
      <c r="AM3711" s="33"/>
      <c r="AN3711" s="33"/>
      <c r="AO3711" s="33"/>
    </row>
    <row r="3712" ht="15.75" customHeight="1">
      <c r="A3712" s="72"/>
      <c r="B3712" s="61"/>
      <c r="C3712" s="56"/>
      <c r="D3712" s="67"/>
      <c r="E3712" s="56"/>
      <c r="F3712" s="56"/>
      <c r="G3712" s="62"/>
      <c r="H3712" s="65"/>
      <c r="I3712" s="56"/>
      <c r="J3712" s="66"/>
      <c r="K3712" s="67"/>
      <c r="L3712" s="56"/>
      <c r="M3712" s="67"/>
      <c r="N3712" s="56"/>
      <c r="O3712" s="53"/>
      <c r="P3712" s="68"/>
      <c r="Q3712" s="69"/>
      <c r="R3712" s="68"/>
      <c r="S3712" s="70"/>
      <c r="T3712" s="67"/>
      <c r="U3712" s="56"/>
      <c r="V3712" s="56"/>
      <c r="W3712" s="71"/>
      <c r="X3712" s="71"/>
      <c r="AA3712" s="33"/>
      <c r="AB3712" s="33"/>
      <c r="AC3712" s="33"/>
      <c r="AD3712" s="33"/>
      <c r="AE3712" s="33"/>
      <c r="AF3712" s="33"/>
      <c r="AG3712" s="33"/>
      <c r="AH3712" s="33"/>
      <c r="AI3712" s="33"/>
      <c r="AJ3712" s="33"/>
      <c r="AK3712" s="33"/>
      <c r="AL3712" s="33"/>
      <c r="AM3712" s="33"/>
      <c r="AN3712" s="33"/>
      <c r="AO3712" s="33"/>
    </row>
    <row r="3713" ht="15.75" customHeight="1">
      <c r="A3713" s="72"/>
      <c r="B3713" s="61"/>
      <c r="C3713" s="56"/>
      <c r="D3713" s="67"/>
      <c r="E3713" s="56"/>
      <c r="F3713" s="56"/>
      <c r="G3713" s="62"/>
      <c r="H3713" s="65"/>
      <c r="I3713" s="56"/>
      <c r="J3713" s="66"/>
      <c r="K3713" s="67"/>
      <c r="L3713" s="56"/>
      <c r="M3713" s="67"/>
      <c r="N3713" s="56"/>
      <c r="O3713" s="53"/>
      <c r="P3713" s="68"/>
      <c r="Q3713" s="69"/>
      <c r="R3713" s="68"/>
      <c r="S3713" s="70"/>
      <c r="T3713" s="67"/>
      <c r="U3713" s="56"/>
      <c r="V3713" s="56"/>
      <c r="W3713" s="71"/>
      <c r="X3713" s="71"/>
      <c r="AA3713" s="33"/>
      <c r="AB3713" s="33"/>
      <c r="AC3713" s="33"/>
      <c r="AD3713" s="33"/>
      <c r="AE3713" s="33"/>
      <c r="AF3713" s="33"/>
      <c r="AG3713" s="33"/>
      <c r="AH3713" s="33"/>
      <c r="AI3713" s="33"/>
      <c r="AJ3713" s="33"/>
      <c r="AK3713" s="33"/>
      <c r="AL3713" s="33"/>
      <c r="AM3713" s="33"/>
      <c r="AN3713" s="33"/>
      <c r="AO3713" s="33"/>
    </row>
    <row r="3714" ht="15.75" customHeight="1">
      <c r="A3714" s="72"/>
      <c r="B3714" s="61"/>
      <c r="C3714" s="56"/>
      <c r="D3714" s="67"/>
      <c r="E3714" s="56"/>
      <c r="F3714" s="56"/>
      <c r="G3714" s="62"/>
      <c r="H3714" s="65"/>
      <c r="I3714" s="56"/>
      <c r="J3714" s="66"/>
      <c r="K3714" s="67"/>
      <c r="L3714" s="56"/>
      <c r="M3714" s="67"/>
      <c r="N3714" s="56"/>
      <c r="O3714" s="53"/>
      <c r="P3714" s="68"/>
      <c r="Q3714" s="69"/>
      <c r="R3714" s="68"/>
      <c r="S3714" s="70"/>
      <c r="T3714" s="67"/>
      <c r="U3714" s="56"/>
      <c r="V3714" s="56"/>
      <c r="W3714" s="71"/>
      <c r="X3714" s="71"/>
      <c r="AA3714" s="33"/>
      <c r="AB3714" s="33"/>
      <c r="AC3714" s="33"/>
      <c r="AD3714" s="33"/>
      <c r="AE3714" s="33"/>
      <c r="AF3714" s="33"/>
      <c r="AG3714" s="33"/>
      <c r="AH3714" s="33"/>
      <c r="AI3714" s="33"/>
      <c r="AJ3714" s="33"/>
      <c r="AK3714" s="33"/>
      <c r="AL3714" s="33"/>
      <c r="AM3714" s="33"/>
      <c r="AN3714" s="33"/>
      <c r="AO3714" s="33"/>
    </row>
    <row r="3715" ht="15.75" customHeight="1">
      <c r="A3715" s="72"/>
      <c r="B3715" s="61"/>
      <c r="C3715" s="56"/>
      <c r="D3715" s="67"/>
      <c r="E3715" s="56"/>
      <c r="F3715" s="56"/>
      <c r="G3715" s="62"/>
      <c r="H3715" s="65"/>
      <c r="I3715" s="56"/>
      <c r="J3715" s="66"/>
      <c r="K3715" s="67"/>
      <c r="L3715" s="56"/>
      <c r="M3715" s="67"/>
      <c r="N3715" s="56"/>
      <c r="O3715" s="53"/>
      <c r="P3715" s="68"/>
      <c r="Q3715" s="69"/>
      <c r="R3715" s="68"/>
      <c r="S3715" s="70"/>
      <c r="T3715" s="67"/>
      <c r="U3715" s="56"/>
      <c r="V3715" s="56"/>
      <c r="W3715" s="71"/>
      <c r="X3715" s="71"/>
      <c r="AA3715" s="33"/>
      <c r="AB3715" s="33"/>
      <c r="AC3715" s="33"/>
      <c r="AD3715" s="33"/>
      <c r="AE3715" s="33"/>
      <c r="AF3715" s="33"/>
      <c r="AG3715" s="33"/>
      <c r="AH3715" s="33"/>
      <c r="AI3715" s="33"/>
      <c r="AJ3715" s="33"/>
      <c r="AK3715" s="33"/>
      <c r="AL3715" s="33"/>
      <c r="AM3715" s="33"/>
      <c r="AN3715" s="33"/>
      <c r="AO3715" s="33"/>
    </row>
    <row r="3716" ht="15.75" customHeight="1">
      <c r="A3716" s="72"/>
      <c r="B3716" s="61"/>
      <c r="C3716" s="56"/>
      <c r="D3716" s="67"/>
      <c r="E3716" s="56"/>
      <c r="F3716" s="56"/>
      <c r="G3716" s="62"/>
      <c r="H3716" s="65"/>
      <c r="I3716" s="56"/>
      <c r="J3716" s="66"/>
      <c r="K3716" s="67"/>
      <c r="L3716" s="56"/>
      <c r="M3716" s="67"/>
      <c r="N3716" s="56"/>
      <c r="O3716" s="53"/>
      <c r="P3716" s="68"/>
      <c r="Q3716" s="69"/>
      <c r="R3716" s="68"/>
      <c r="S3716" s="70"/>
      <c r="T3716" s="67"/>
      <c r="U3716" s="56"/>
      <c r="V3716" s="56"/>
      <c r="W3716" s="71"/>
      <c r="X3716" s="71"/>
      <c r="AA3716" s="33"/>
      <c r="AB3716" s="33"/>
      <c r="AC3716" s="33"/>
      <c r="AD3716" s="33"/>
      <c r="AE3716" s="33"/>
      <c r="AF3716" s="33"/>
      <c r="AG3716" s="33"/>
      <c r="AH3716" s="33"/>
      <c r="AI3716" s="33"/>
      <c r="AJ3716" s="33"/>
      <c r="AK3716" s="33"/>
      <c r="AL3716" s="33"/>
      <c r="AM3716" s="33"/>
      <c r="AN3716" s="33"/>
      <c r="AO3716" s="33"/>
    </row>
    <row r="3717" ht="15.75" customHeight="1">
      <c r="A3717" s="72"/>
      <c r="B3717" s="61"/>
      <c r="C3717" s="56"/>
      <c r="D3717" s="67"/>
      <c r="E3717" s="56"/>
      <c r="F3717" s="56"/>
      <c r="G3717" s="62"/>
      <c r="H3717" s="65"/>
      <c r="I3717" s="56"/>
      <c r="J3717" s="66"/>
      <c r="K3717" s="67"/>
      <c r="L3717" s="56"/>
      <c r="M3717" s="67"/>
      <c r="N3717" s="56"/>
      <c r="O3717" s="53"/>
      <c r="P3717" s="68"/>
      <c r="Q3717" s="69"/>
      <c r="R3717" s="68"/>
      <c r="S3717" s="70"/>
      <c r="T3717" s="67"/>
      <c r="U3717" s="56"/>
      <c r="V3717" s="56"/>
      <c r="W3717" s="71"/>
      <c r="X3717" s="71"/>
      <c r="AA3717" s="33"/>
      <c r="AB3717" s="33"/>
      <c r="AC3717" s="33"/>
      <c r="AD3717" s="33"/>
      <c r="AE3717" s="33"/>
      <c r="AF3717" s="33"/>
      <c r="AG3717" s="33"/>
      <c r="AH3717" s="33"/>
      <c r="AI3717" s="33"/>
      <c r="AJ3717" s="33"/>
      <c r="AK3717" s="33"/>
      <c r="AL3717" s="33"/>
      <c r="AM3717" s="33"/>
      <c r="AN3717" s="33"/>
      <c r="AO3717" s="33"/>
    </row>
    <row r="3718" ht="15.75" customHeight="1">
      <c r="A3718" s="72"/>
      <c r="B3718" s="61"/>
      <c r="C3718" s="56"/>
      <c r="D3718" s="67"/>
      <c r="E3718" s="56"/>
      <c r="F3718" s="56"/>
      <c r="G3718" s="62"/>
      <c r="H3718" s="65"/>
      <c r="I3718" s="56"/>
      <c r="J3718" s="66"/>
      <c r="K3718" s="67"/>
      <c r="L3718" s="56"/>
      <c r="M3718" s="67"/>
      <c r="N3718" s="56"/>
      <c r="O3718" s="53"/>
      <c r="P3718" s="68"/>
      <c r="Q3718" s="69"/>
      <c r="R3718" s="68"/>
      <c r="S3718" s="70"/>
      <c r="T3718" s="67"/>
      <c r="U3718" s="56"/>
      <c r="V3718" s="56"/>
      <c r="W3718" s="71"/>
      <c r="X3718" s="71"/>
      <c r="AA3718" s="33"/>
      <c r="AB3718" s="33"/>
      <c r="AC3718" s="33"/>
      <c r="AD3718" s="33"/>
      <c r="AE3718" s="33"/>
      <c r="AF3718" s="33"/>
      <c r="AG3718" s="33"/>
      <c r="AH3718" s="33"/>
      <c r="AI3718" s="33"/>
      <c r="AJ3718" s="33"/>
      <c r="AK3718" s="33"/>
      <c r="AL3718" s="33"/>
      <c r="AM3718" s="33"/>
      <c r="AN3718" s="33"/>
      <c r="AO3718" s="33"/>
    </row>
    <row r="3719" ht="15.75" customHeight="1">
      <c r="A3719" s="72"/>
      <c r="B3719" s="61"/>
      <c r="C3719" s="56"/>
      <c r="D3719" s="67"/>
      <c r="E3719" s="56"/>
      <c r="F3719" s="56"/>
      <c r="G3719" s="62"/>
      <c r="H3719" s="65"/>
      <c r="I3719" s="56"/>
      <c r="J3719" s="66"/>
      <c r="K3719" s="67"/>
      <c r="L3719" s="56"/>
      <c r="M3719" s="67"/>
      <c r="N3719" s="56"/>
      <c r="O3719" s="53"/>
      <c r="P3719" s="68"/>
      <c r="Q3719" s="69"/>
      <c r="R3719" s="68"/>
      <c r="S3719" s="70"/>
      <c r="T3719" s="67"/>
      <c r="U3719" s="56"/>
      <c r="V3719" s="56"/>
      <c r="W3719" s="71"/>
      <c r="X3719" s="71"/>
      <c r="AA3719" s="33"/>
      <c r="AB3719" s="33"/>
      <c r="AC3719" s="33"/>
      <c r="AD3719" s="33"/>
      <c r="AE3719" s="33"/>
      <c r="AF3719" s="33"/>
      <c r="AG3719" s="33"/>
      <c r="AH3719" s="33"/>
      <c r="AI3719" s="33"/>
      <c r="AJ3719" s="33"/>
      <c r="AK3719" s="33"/>
      <c r="AL3719" s="33"/>
      <c r="AM3719" s="33"/>
      <c r="AN3719" s="33"/>
      <c r="AO3719" s="33"/>
    </row>
    <row r="3720" ht="15.75" customHeight="1">
      <c r="A3720" s="72"/>
      <c r="B3720" s="61"/>
      <c r="C3720" s="56"/>
      <c r="D3720" s="67"/>
      <c r="E3720" s="56"/>
      <c r="F3720" s="56"/>
      <c r="G3720" s="62"/>
      <c r="H3720" s="65"/>
      <c r="I3720" s="56"/>
      <c r="J3720" s="66"/>
      <c r="K3720" s="67"/>
      <c r="L3720" s="56"/>
      <c r="M3720" s="67"/>
      <c r="N3720" s="56"/>
      <c r="O3720" s="53"/>
      <c r="P3720" s="68"/>
      <c r="Q3720" s="69"/>
      <c r="R3720" s="68"/>
      <c r="S3720" s="70"/>
      <c r="T3720" s="67"/>
      <c r="U3720" s="56"/>
      <c r="V3720" s="56"/>
      <c r="W3720" s="71"/>
      <c r="X3720" s="71"/>
      <c r="AA3720" s="33"/>
      <c r="AB3720" s="33"/>
      <c r="AC3720" s="33"/>
      <c r="AD3720" s="33"/>
      <c r="AE3720" s="33"/>
      <c r="AF3720" s="33"/>
      <c r="AG3720" s="33"/>
      <c r="AH3720" s="33"/>
      <c r="AI3720" s="33"/>
      <c r="AJ3720" s="33"/>
      <c r="AK3720" s="33"/>
      <c r="AL3720" s="33"/>
      <c r="AM3720" s="33"/>
      <c r="AN3720" s="33"/>
      <c r="AO3720" s="33"/>
    </row>
    <row r="3721" ht="15.75" customHeight="1">
      <c r="A3721" s="72"/>
      <c r="B3721" s="61"/>
      <c r="C3721" s="56"/>
      <c r="D3721" s="67"/>
      <c r="E3721" s="56"/>
      <c r="F3721" s="56"/>
      <c r="G3721" s="62"/>
      <c r="H3721" s="65"/>
      <c r="I3721" s="56"/>
      <c r="J3721" s="66"/>
      <c r="K3721" s="67"/>
      <c r="L3721" s="56"/>
      <c r="M3721" s="67"/>
      <c r="N3721" s="56"/>
      <c r="O3721" s="53"/>
      <c r="P3721" s="68"/>
      <c r="Q3721" s="69"/>
      <c r="R3721" s="68"/>
      <c r="S3721" s="70"/>
      <c r="T3721" s="67"/>
      <c r="U3721" s="56"/>
      <c r="V3721" s="56"/>
      <c r="W3721" s="71"/>
      <c r="X3721" s="71"/>
      <c r="AA3721" s="33"/>
      <c r="AB3721" s="33"/>
      <c r="AC3721" s="33"/>
      <c r="AD3721" s="33"/>
      <c r="AE3721" s="33"/>
      <c r="AF3721" s="33"/>
      <c r="AG3721" s="33"/>
      <c r="AH3721" s="33"/>
      <c r="AI3721" s="33"/>
      <c r="AJ3721" s="33"/>
      <c r="AK3721" s="33"/>
      <c r="AL3721" s="33"/>
      <c r="AM3721" s="33"/>
      <c r="AN3721" s="33"/>
      <c r="AO3721" s="33"/>
    </row>
    <row r="3722" ht="15.75" customHeight="1">
      <c r="A3722" s="72"/>
      <c r="B3722" s="61"/>
      <c r="C3722" s="56"/>
      <c r="D3722" s="67"/>
      <c r="E3722" s="56"/>
      <c r="F3722" s="56"/>
      <c r="G3722" s="62"/>
      <c r="H3722" s="65"/>
      <c r="I3722" s="56"/>
      <c r="J3722" s="66"/>
      <c r="K3722" s="67"/>
      <c r="L3722" s="56"/>
      <c r="M3722" s="67"/>
      <c r="N3722" s="56"/>
      <c r="O3722" s="53"/>
      <c r="P3722" s="68"/>
      <c r="Q3722" s="69"/>
      <c r="R3722" s="68"/>
      <c r="S3722" s="70"/>
      <c r="T3722" s="67"/>
      <c r="U3722" s="56"/>
      <c r="V3722" s="56"/>
      <c r="W3722" s="71"/>
      <c r="X3722" s="71"/>
      <c r="AA3722" s="33"/>
      <c r="AB3722" s="33"/>
      <c r="AC3722" s="33"/>
      <c r="AD3722" s="33"/>
      <c r="AE3722" s="33"/>
      <c r="AF3722" s="33"/>
      <c r="AG3722" s="33"/>
      <c r="AH3722" s="33"/>
      <c r="AI3722" s="33"/>
      <c r="AJ3722" s="33"/>
      <c r="AK3722" s="33"/>
      <c r="AL3722" s="33"/>
      <c r="AM3722" s="33"/>
      <c r="AN3722" s="33"/>
      <c r="AO3722" s="33"/>
    </row>
    <row r="3723" ht="15.75" customHeight="1">
      <c r="A3723" s="72"/>
      <c r="B3723" s="61"/>
      <c r="C3723" s="56"/>
      <c r="D3723" s="67"/>
      <c r="E3723" s="56"/>
      <c r="F3723" s="56"/>
      <c r="G3723" s="62"/>
      <c r="H3723" s="65"/>
      <c r="I3723" s="56"/>
      <c r="J3723" s="66"/>
      <c r="K3723" s="67"/>
      <c r="L3723" s="56"/>
      <c r="M3723" s="67"/>
      <c r="N3723" s="56"/>
      <c r="O3723" s="53"/>
      <c r="P3723" s="68"/>
      <c r="Q3723" s="69"/>
      <c r="R3723" s="68"/>
      <c r="S3723" s="70"/>
      <c r="T3723" s="67"/>
      <c r="U3723" s="56"/>
      <c r="V3723" s="56"/>
      <c r="W3723" s="71"/>
      <c r="X3723" s="71"/>
      <c r="AA3723" s="33"/>
      <c r="AB3723" s="33"/>
      <c r="AC3723" s="33"/>
      <c r="AD3723" s="33"/>
      <c r="AE3723" s="33"/>
      <c r="AF3723" s="33"/>
      <c r="AG3723" s="33"/>
      <c r="AH3723" s="33"/>
      <c r="AI3723" s="33"/>
      <c r="AJ3723" s="33"/>
      <c r="AK3723" s="33"/>
      <c r="AL3723" s="33"/>
      <c r="AM3723" s="33"/>
      <c r="AN3723" s="33"/>
      <c r="AO3723" s="33"/>
    </row>
    <row r="3724" ht="15.75" customHeight="1">
      <c r="A3724" s="72"/>
      <c r="B3724" s="61"/>
      <c r="C3724" s="56"/>
      <c r="D3724" s="67"/>
      <c r="E3724" s="56"/>
      <c r="F3724" s="56"/>
      <c r="G3724" s="62"/>
      <c r="H3724" s="65"/>
      <c r="I3724" s="56"/>
      <c r="J3724" s="66"/>
      <c r="K3724" s="67"/>
      <c r="L3724" s="56"/>
      <c r="M3724" s="67"/>
      <c r="N3724" s="56"/>
      <c r="O3724" s="53"/>
      <c r="P3724" s="68"/>
      <c r="Q3724" s="69"/>
      <c r="R3724" s="68"/>
      <c r="S3724" s="70"/>
      <c r="T3724" s="67"/>
      <c r="U3724" s="56"/>
      <c r="V3724" s="56"/>
      <c r="W3724" s="71"/>
      <c r="X3724" s="71"/>
      <c r="AA3724" s="33"/>
      <c r="AB3724" s="33"/>
      <c r="AC3724" s="33"/>
      <c r="AD3724" s="33"/>
      <c r="AE3724" s="33"/>
      <c r="AF3724" s="33"/>
      <c r="AG3724" s="33"/>
      <c r="AH3724" s="33"/>
      <c r="AI3724" s="33"/>
      <c r="AJ3724" s="33"/>
      <c r="AK3724" s="33"/>
      <c r="AL3724" s="33"/>
      <c r="AM3724" s="33"/>
      <c r="AN3724" s="33"/>
      <c r="AO3724" s="33"/>
    </row>
    <row r="3725" ht="15.75" customHeight="1">
      <c r="A3725" s="72"/>
      <c r="B3725" s="61"/>
      <c r="C3725" s="56"/>
      <c r="D3725" s="67"/>
      <c r="E3725" s="56"/>
      <c r="F3725" s="56"/>
      <c r="G3725" s="62"/>
      <c r="H3725" s="65"/>
      <c r="I3725" s="56"/>
      <c r="J3725" s="66"/>
      <c r="K3725" s="67"/>
      <c r="L3725" s="56"/>
      <c r="M3725" s="67"/>
      <c r="N3725" s="56"/>
      <c r="O3725" s="53"/>
      <c r="P3725" s="68"/>
      <c r="Q3725" s="69"/>
      <c r="R3725" s="68"/>
      <c r="S3725" s="70"/>
      <c r="T3725" s="67"/>
      <c r="U3725" s="56"/>
      <c r="V3725" s="56"/>
      <c r="W3725" s="71"/>
      <c r="X3725" s="71"/>
      <c r="AA3725" s="33"/>
      <c r="AB3725" s="33"/>
      <c r="AC3725" s="33"/>
      <c r="AD3725" s="33"/>
      <c r="AE3725" s="33"/>
      <c r="AF3725" s="33"/>
      <c r="AG3725" s="33"/>
      <c r="AH3725" s="33"/>
      <c r="AI3725" s="33"/>
      <c r="AJ3725" s="33"/>
      <c r="AK3725" s="33"/>
      <c r="AL3725" s="33"/>
      <c r="AM3725" s="33"/>
      <c r="AN3725" s="33"/>
      <c r="AO3725" s="33"/>
    </row>
    <row r="3726" ht="15.75" customHeight="1">
      <c r="A3726" s="72"/>
      <c r="B3726" s="61"/>
      <c r="C3726" s="56"/>
      <c r="D3726" s="67"/>
      <c r="E3726" s="56"/>
      <c r="F3726" s="56"/>
      <c r="G3726" s="62"/>
      <c r="H3726" s="65"/>
      <c r="I3726" s="56"/>
      <c r="J3726" s="66"/>
      <c r="K3726" s="67"/>
      <c r="L3726" s="56"/>
      <c r="M3726" s="67"/>
      <c r="N3726" s="56"/>
      <c r="O3726" s="53"/>
      <c r="P3726" s="68"/>
      <c r="Q3726" s="69"/>
      <c r="R3726" s="68"/>
      <c r="S3726" s="70"/>
      <c r="T3726" s="67"/>
      <c r="U3726" s="56"/>
      <c r="V3726" s="56"/>
      <c r="W3726" s="71"/>
      <c r="X3726" s="71"/>
      <c r="AA3726" s="33"/>
      <c r="AB3726" s="33"/>
      <c r="AC3726" s="33"/>
      <c r="AD3726" s="33"/>
      <c r="AE3726" s="33"/>
      <c r="AF3726" s="33"/>
      <c r="AG3726" s="33"/>
      <c r="AH3726" s="33"/>
      <c r="AI3726" s="33"/>
      <c r="AJ3726" s="33"/>
      <c r="AK3726" s="33"/>
      <c r="AL3726" s="33"/>
      <c r="AM3726" s="33"/>
      <c r="AN3726" s="33"/>
      <c r="AO3726" s="33"/>
    </row>
    <row r="3727" ht="15.75" customHeight="1">
      <c r="A3727" s="72"/>
      <c r="B3727" s="61"/>
      <c r="C3727" s="56"/>
      <c r="D3727" s="67"/>
      <c r="E3727" s="56"/>
      <c r="F3727" s="56"/>
      <c r="G3727" s="62"/>
      <c r="H3727" s="65"/>
      <c r="I3727" s="56"/>
      <c r="J3727" s="66"/>
      <c r="K3727" s="67"/>
      <c r="L3727" s="56"/>
      <c r="M3727" s="67"/>
      <c r="N3727" s="56"/>
      <c r="O3727" s="53"/>
      <c r="P3727" s="68"/>
      <c r="Q3727" s="69"/>
      <c r="R3727" s="68"/>
      <c r="S3727" s="70"/>
      <c r="T3727" s="67"/>
      <c r="U3727" s="56"/>
      <c r="V3727" s="56"/>
      <c r="W3727" s="71"/>
      <c r="X3727" s="71"/>
      <c r="AA3727" s="33"/>
      <c r="AB3727" s="33"/>
      <c r="AC3727" s="33"/>
      <c r="AD3727" s="33"/>
      <c r="AE3727" s="33"/>
      <c r="AF3727" s="33"/>
      <c r="AG3727" s="33"/>
      <c r="AH3727" s="33"/>
      <c r="AI3727" s="33"/>
      <c r="AJ3727" s="33"/>
      <c r="AK3727" s="33"/>
      <c r="AL3727" s="33"/>
      <c r="AM3727" s="33"/>
      <c r="AN3727" s="33"/>
      <c r="AO3727" s="33"/>
    </row>
    <row r="3728" ht="15.75" customHeight="1">
      <c r="A3728" s="72"/>
      <c r="B3728" s="61"/>
      <c r="C3728" s="56"/>
      <c r="D3728" s="67"/>
      <c r="E3728" s="56"/>
      <c r="F3728" s="56"/>
      <c r="G3728" s="62"/>
      <c r="H3728" s="65"/>
      <c r="I3728" s="56"/>
      <c r="J3728" s="66"/>
      <c r="K3728" s="67"/>
      <c r="L3728" s="56"/>
      <c r="M3728" s="67"/>
      <c r="N3728" s="56"/>
      <c r="O3728" s="53"/>
      <c r="P3728" s="68"/>
      <c r="Q3728" s="69"/>
      <c r="R3728" s="68"/>
      <c r="S3728" s="70"/>
      <c r="T3728" s="67"/>
      <c r="U3728" s="56"/>
      <c r="V3728" s="56"/>
      <c r="W3728" s="71"/>
      <c r="X3728" s="71"/>
      <c r="AA3728" s="33"/>
      <c r="AB3728" s="33"/>
      <c r="AC3728" s="33"/>
      <c r="AD3728" s="33"/>
      <c r="AE3728" s="33"/>
      <c r="AF3728" s="33"/>
      <c r="AG3728" s="33"/>
      <c r="AH3728" s="33"/>
      <c r="AI3728" s="33"/>
      <c r="AJ3728" s="33"/>
      <c r="AK3728" s="33"/>
      <c r="AL3728" s="33"/>
      <c r="AM3728" s="33"/>
      <c r="AN3728" s="33"/>
      <c r="AO3728" s="33"/>
    </row>
    <row r="3729" ht="15.75" customHeight="1">
      <c r="A3729" s="72"/>
      <c r="B3729" s="61"/>
      <c r="C3729" s="56"/>
      <c r="D3729" s="67"/>
      <c r="E3729" s="56"/>
      <c r="F3729" s="56"/>
      <c r="G3729" s="62"/>
      <c r="H3729" s="65"/>
      <c r="I3729" s="56"/>
      <c r="J3729" s="66"/>
      <c r="K3729" s="67"/>
      <c r="L3729" s="56"/>
      <c r="M3729" s="67"/>
      <c r="N3729" s="56"/>
      <c r="O3729" s="53"/>
      <c r="P3729" s="68"/>
      <c r="Q3729" s="69"/>
      <c r="R3729" s="68"/>
      <c r="S3729" s="70"/>
      <c r="T3729" s="67"/>
      <c r="U3729" s="56"/>
      <c r="V3729" s="56"/>
      <c r="W3729" s="71"/>
      <c r="X3729" s="71"/>
      <c r="AA3729" s="33"/>
      <c r="AB3729" s="33"/>
      <c r="AC3729" s="33"/>
      <c r="AD3729" s="33"/>
      <c r="AE3729" s="33"/>
      <c r="AF3729" s="33"/>
      <c r="AG3729" s="33"/>
      <c r="AH3729" s="33"/>
      <c r="AI3729" s="33"/>
      <c r="AJ3729" s="33"/>
      <c r="AK3729" s="33"/>
      <c r="AL3729" s="33"/>
      <c r="AM3729" s="33"/>
      <c r="AN3729" s="33"/>
      <c r="AO3729" s="33"/>
    </row>
    <row r="3730" ht="15.75" customHeight="1">
      <c r="A3730" s="72"/>
      <c r="B3730" s="61"/>
      <c r="C3730" s="56"/>
      <c r="D3730" s="67"/>
      <c r="E3730" s="56"/>
      <c r="F3730" s="56"/>
      <c r="G3730" s="62"/>
      <c r="H3730" s="65"/>
      <c r="I3730" s="56"/>
      <c r="J3730" s="66"/>
      <c r="K3730" s="67"/>
      <c r="L3730" s="56"/>
      <c r="M3730" s="67"/>
      <c r="N3730" s="56"/>
      <c r="O3730" s="53"/>
      <c r="P3730" s="68"/>
      <c r="Q3730" s="69"/>
      <c r="R3730" s="68"/>
      <c r="S3730" s="70"/>
      <c r="T3730" s="67"/>
      <c r="U3730" s="56"/>
      <c r="V3730" s="56"/>
      <c r="W3730" s="71"/>
      <c r="X3730" s="71"/>
      <c r="AA3730" s="33"/>
      <c r="AB3730" s="33"/>
      <c r="AC3730" s="33"/>
      <c r="AD3730" s="33"/>
      <c r="AE3730" s="33"/>
      <c r="AF3730" s="33"/>
      <c r="AG3730" s="33"/>
      <c r="AH3730" s="33"/>
      <c r="AI3730" s="33"/>
      <c r="AJ3730" s="33"/>
      <c r="AK3730" s="33"/>
      <c r="AL3730" s="33"/>
      <c r="AM3730" s="33"/>
      <c r="AN3730" s="33"/>
      <c r="AO3730" s="33"/>
    </row>
    <row r="3731" ht="15.75" customHeight="1">
      <c r="A3731" s="72"/>
      <c r="B3731" s="61"/>
      <c r="C3731" s="56"/>
      <c r="D3731" s="67"/>
      <c r="E3731" s="56"/>
      <c r="F3731" s="56"/>
      <c r="G3731" s="62"/>
      <c r="H3731" s="65"/>
      <c r="I3731" s="56"/>
      <c r="J3731" s="66"/>
      <c r="K3731" s="67"/>
      <c r="L3731" s="56"/>
      <c r="M3731" s="67"/>
      <c r="N3731" s="56"/>
      <c r="O3731" s="53"/>
      <c r="P3731" s="68"/>
      <c r="Q3731" s="69"/>
      <c r="R3731" s="68"/>
      <c r="S3731" s="70"/>
      <c r="T3731" s="67"/>
      <c r="U3731" s="56"/>
      <c r="V3731" s="56"/>
      <c r="W3731" s="71"/>
      <c r="X3731" s="71"/>
      <c r="AA3731" s="33"/>
      <c r="AB3731" s="33"/>
      <c r="AC3731" s="33"/>
      <c r="AD3731" s="33"/>
      <c r="AE3731" s="33"/>
      <c r="AF3731" s="33"/>
      <c r="AG3731" s="33"/>
      <c r="AH3731" s="33"/>
      <c r="AI3731" s="33"/>
      <c r="AJ3731" s="33"/>
      <c r="AK3731" s="33"/>
      <c r="AL3731" s="33"/>
      <c r="AM3731" s="33"/>
      <c r="AN3731" s="33"/>
      <c r="AO3731" s="33"/>
    </row>
    <row r="3732" ht="15.75" customHeight="1">
      <c r="A3732" s="72"/>
      <c r="B3732" s="61"/>
      <c r="C3732" s="56"/>
      <c r="D3732" s="67"/>
      <c r="E3732" s="56"/>
      <c r="F3732" s="56"/>
      <c r="G3732" s="62"/>
      <c r="H3732" s="65"/>
      <c r="I3732" s="56"/>
      <c r="J3732" s="66"/>
      <c r="K3732" s="67"/>
      <c r="L3732" s="56"/>
      <c r="M3732" s="67"/>
      <c r="N3732" s="56"/>
      <c r="O3732" s="53"/>
      <c r="P3732" s="68"/>
      <c r="Q3732" s="69"/>
      <c r="R3732" s="68"/>
      <c r="S3732" s="70"/>
      <c r="T3732" s="67"/>
      <c r="U3732" s="56"/>
      <c r="V3732" s="56"/>
      <c r="W3732" s="71"/>
      <c r="X3732" s="71"/>
      <c r="AA3732" s="33"/>
      <c r="AB3732" s="33"/>
      <c r="AC3732" s="33"/>
      <c r="AD3732" s="33"/>
      <c r="AE3732" s="33"/>
      <c r="AF3732" s="33"/>
      <c r="AG3732" s="33"/>
      <c r="AH3732" s="33"/>
      <c r="AI3732" s="33"/>
      <c r="AJ3732" s="33"/>
      <c r="AK3732" s="33"/>
      <c r="AL3732" s="33"/>
      <c r="AM3732" s="33"/>
      <c r="AN3732" s="33"/>
      <c r="AO3732" s="33"/>
    </row>
    <row r="3733" ht="15.75" customHeight="1">
      <c r="A3733" s="72"/>
      <c r="B3733" s="61"/>
      <c r="C3733" s="56"/>
      <c r="D3733" s="67"/>
      <c r="E3733" s="56"/>
      <c r="F3733" s="56"/>
      <c r="G3733" s="62"/>
      <c r="H3733" s="65"/>
      <c r="I3733" s="56"/>
      <c r="J3733" s="66"/>
      <c r="K3733" s="67"/>
      <c r="L3733" s="56"/>
      <c r="M3733" s="67"/>
      <c r="N3733" s="56"/>
      <c r="O3733" s="53"/>
      <c r="P3733" s="68"/>
      <c r="Q3733" s="69"/>
      <c r="R3733" s="68"/>
      <c r="S3733" s="70"/>
      <c r="T3733" s="67"/>
      <c r="U3733" s="56"/>
      <c r="V3733" s="56"/>
      <c r="W3733" s="71"/>
      <c r="X3733" s="71"/>
      <c r="AA3733" s="33"/>
      <c r="AB3733" s="33"/>
      <c r="AC3733" s="33"/>
      <c r="AD3733" s="33"/>
      <c r="AE3733" s="33"/>
      <c r="AF3733" s="33"/>
      <c r="AG3733" s="33"/>
      <c r="AH3733" s="33"/>
      <c r="AI3733" s="33"/>
      <c r="AJ3733" s="33"/>
      <c r="AK3733" s="33"/>
      <c r="AL3733" s="33"/>
      <c r="AM3733" s="33"/>
      <c r="AN3733" s="33"/>
      <c r="AO3733" s="33"/>
    </row>
    <row r="3734" ht="15.75" customHeight="1">
      <c r="A3734" s="72"/>
      <c r="B3734" s="61"/>
      <c r="C3734" s="56"/>
      <c r="D3734" s="67"/>
      <c r="E3734" s="56"/>
      <c r="F3734" s="56"/>
      <c r="G3734" s="62"/>
      <c r="H3734" s="65"/>
      <c r="I3734" s="56"/>
      <c r="J3734" s="66"/>
      <c r="K3734" s="67"/>
      <c r="L3734" s="56"/>
      <c r="M3734" s="67"/>
      <c r="N3734" s="56"/>
      <c r="O3734" s="53"/>
      <c r="P3734" s="68"/>
      <c r="Q3734" s="69"/>
      <c r="R3734" s="68"/>
      <c r="S3734" s="70"/>
      <c r="T3734" s="67"/>
      <c r="U3734" s="56"/>
      <c r="V3734" s="56"/>
      <c r="W3734" s="71"/>
      <c r="X3734" s="71"/>
      <c r="AA3734" s="33"/>
      <c r="AB3734" s="33"/>
      <c r="AC3734" s="33"/>
      <c r="AD3734" s="33"/>
      <c r="AE3734" s="33"/>
      <c r="AF3734" s="33"/>
      <c r="AG3734" s="33"/>
      <c r="AH3734" s="33"/>
      <c r="AI3734" s="33"/>
      <c r="AJ3734" s="33"/>
      <c r="AK3734" s="33"/>
      <c r="AL3734" s="33"/>
      <c r="AM3734" s="33"/>
      <c r="AN3734" s="33"/>
      <c r="AO3734" s="33"/>
    </row>
    <row r="3735" ht="15.75" customHeight="1">
      <c r="A3735" s="72"/>
      <c r="B3735" s="61"/>
      <c r="C3735" s="56"/>
      <c r="D3735" s="67"/>
      <c r="E3735" s="56"/>
      <c r="F3735" s="56"/>
      <c r="G3735" s="62"/>
      <c r="H3735" s="65"/>
      <c r="I3735" s="56"/>
      <c r="J3735" s="66"/>
      <c r="K3735" s="67"/>
      <c r="L3735" s="56"/>
      <c r="M3735" s="67"/>
      <c r="N3735" s="56"/>
      <c r="O3735" s="53"/>
      <c r="P3735" s="68"/>
      <c r="Q3735" s="69"/>
      <c r="R3735" s="68"/>
      <c r="S3735" s="70"/>
      <c r="T3735" s="67"/>
      <c r="U3735" s="56"/>
      <c r="V3735" s="56"/>
      <c r="W3735" s="71"/>
      <c r="X3735" s="71"/>
      <c r="AA3735" s="33"/>
      <c r="AB3735" s="33"/>
      <c r="AC3735" s="33"/>
      <c r="AD3735" s="33"/>
      <c r="AE3735" s="33"/>
      <c r="AF3735" s="33"/>
      <c r="AG3735" s="33"/>
      <c r="AH3735" s="33"/>
      <c r="AI3735" s="33"/>
      <c r="AJ3735" s="33"/>
      <c r="AK3735" s="33"/>
      <c r="AL3735" s="33"/>
      <c r="AM3735" s="33"/>
      <c r="AN3735" s="33"/>
      <c r="AO3735" s="33"/>
    </row>
    <row r="3736" ht="15.75" customHeight="1">
      <c r="A3736" s="72"/>
      <c r="B3736" s="61"/>
      <c r="C3736" s="56"/>
      <c r="D3736" s="67"/>
      <c r="E3736" s="56"/>
      <c r="F3736" s="56"/>
      <c r="G3736" s="62"/>
      <c r="H3736" s="65"/>
      <c r="I3736" s="56"/>
      <c r="J3736" s="66"/>
      <c r="K3736" s="67"/>
      <c r="L3736" s="56"/>
      <c r="M3736" s="67"/>
      <c r="N3736" s="56"/>
      <c r="O3736" s="53"/>
      <c r="P3736" s="68"/>
      <c r="Q3736" s="69"/>
      <c r="R3736" s="68"/>
      <c r="S3736" s="70"/>
      <c r="T3736" s="67"/>
      <c r="U3736" s="56"/>
      <c r="V3736" s="56"/>
      <c r="W3736" s="71"/>
      <c r="X3736" s="71"/>
      <c r="AA3736" s="33"/>
      <c r="AB3736" s="33"/>
      <c r="AC3736" s="33"/>
      <c r="AD3736" s="33"/>
      <c r="AE3736" s="33"/>
      <c r="AF3736" s="33"/>
      <c r="AG3736" s="33"/>
      <c r="AH3736" s="33"/>
      <c r="AI3736" s="33"/>
      <c r="AJ3736" s="33"/>
      <c r="AK3736" s="33"/>
      <c r="AL3736" s="33"/>
      <c r="AM3736" s="33"/>
      <c r="AN3736" s="33"/>
      <c r="AO3736" s="33"/>
    </row>
    <row r="3737" ht="15.75" customHeight="1">
      <c r="A3737" s="72"/>
      <c r="B3737" s="61"/>
      <c r="C3737" s="56"/>
      <c r="D3737" s="67"/>
      <c r="E3737" s="56"/>
      <c r="F3737" s="56"/>
      <c r="G3737" s="62"/>
      <c r="H3737" s="65"/>
      <c r="I3737" s="56"/>
      <c r="J3737" s="66"/>
      <c r="K3737" s="67"/>
      <c r="L3737" s="56"/>
      <c r="M3737" s="67"/>
      <c r="N3737" s="56"/>
      <c r="O3737" s="53"/>
      <c r="P3737" s="68"/>
      <c r="Q3737" s="69"/>
      <c r="R3737" s="68"/>
      <c r="S3737" s="70"/>
      <c r="T3737" s="67"/>
      <c r="U3737" s="56"/>
      <c r="V3737" s="56"/>
      <c r="W3737" s="71"/>
      <c r="X3737" s="71"/>
      <c r="AA3737" s="33"/>
      <c r="AB3737" s="33"/>
      <c r="AC3737" s="33"/>
      <c r="AD3737" s="33"/>
      <c r="AE3737" s="33"/>
      <c r="AF3737" s="33"/>
      <c r="AG3737" s="33"/>
      <c r="AH3737" s="33"/>
      <c r="AI3737" s="33"/>
      <c r="AJ3737" s="33"/>
      <c r="AK3737" s="33"/>
      <c r="AL3737" s="33"/>
      <c r="AM3737" s="33"/>
      <c r="AN3737" s="33"/>
      <c r="AO3737" s="33"/>
    </row>
    <row r="3738" ht="15.75" customHeight="1">
      <c r="A3738" s="72"/>
      <c r="B3738" s="61"/>
      <c r="C3738" s="56"/>
      <c r="D3738" s="67"/>
      <c r="E3738" s="56"/>
      <c r="F3738" s="56"/>
      <c r="G3738" s="62"/>
      <c r="H3738" s="65"/>
      <c r="I3738" s="56"/>
      <c r="J3738" s="66"/>
      <c r="K3738" s="67"/>
      <c r="L3738" s="56"/>
      <c r="M3738" s="67"/>
      <c r="N3738" s="56"/>
      <c r="O3738" s="53"/>
      <c r="P3738" s="68"/>
      <c r="Q3738" s="69"/>
      <c r="R3738" s="68"/>
      <c r="S3738" s="70"/>
      <c r="T3738" s="67"/>
      <c r="U3738" s="56"/>
      <c r="V3738" s="56"/>
      <c r="W3738" s="71"/>
      <c r="X3738" s="71"/>
      <c r="AA3738" s="33"/>
      <c r="AB3738" s="33"/>
      <c r="AC3738" s="33"/>
      <c r="AD3738" s="33"/>
      <c r="AE3738" s="33"/>
      <c r="AF3738" s="33"/>
      <c r="AG3738" s="33"/>
      <c r="AH3738" s="33"/>
      <c r="AI3738" s="33"/>
      <c r="AJ3738" s="33"/>
      <c r="AK3738" s="33"/>
      <c r="AL3738" s="33"/>
      <c r="AM3738" s="33"/>
      <c r="AN3738" s="33"/>
      <c r="AO3738" s="33"/>
    </row>
    <row r="3739" ht="15.75" customHeight="1">
      <c r="A3739" s="72"/>
      <c r="B3739" s="61"/>
      <c r="C3739" s="56"/>
      <c r="D3739" s="67"/>
      <c r="E3739" s="56"/>
      <c r="F3739" s="56"/>
      <c r="G3739" s="62"/>
      <c r="H3739" s="65"/>
      <c r="I3739" s="56"/>
      <c r="J3739" s="66"/>
      <c r="K3739" s="67"/>
      <c r="L3739" s="56"/>
      <c r="M3739" s="67"/>
      <c r="N3739" s="56"/>
      <c r="O3739" s="53"/>
      <c r="P3739" s="68"/>
      <c r="Q3739" s="69"/>
      <c r="R3739" s="68"/>
      <c r="S3739" s="70"/>
      <c r="T3739" s="67"/>
      <c r="U3739" s="56"/>
      <c r="V3739" s="56"/>
      <c r="W3739" s="71"/>
      <c r="X3739" s="71"/>
      <c r="AA3739" s="33"/>
      <c r="AB3739" s="33"/>
      <c r="AC3739" s="33"/>
      <c r="AD3739" s="33"/>
      <c r="AE3739" s="33"/>
      <c r="AF3739" s="33"/>
      <c r="AG3739" s="33"/>
      <c r="AH3739" s="33"/>
      <c r="AI3739" s="33"/>
      <c r="AJ3739" s="33"/>
      <c r="AK3739" s="33"/>
      <c r="AL3739" s="33"/>
      <c r="AM3739" s="33"/>
      <c r="AN3739" s="33"/>
      <c r="AO3739" s="33"/>
    </row>
    <row r="3740" ht="15.75" customHeight="1">
      <c r="A3740" s="72"/>
      <c r="B3740" s="61"/>
      <c r="C3740" s="56"/>
      <c r="D3740" s="67"/>
      <c r="E3740" s="56"/>
      <c r="F3740" s="56"/>
      <c r="G3740" s="62"/>
      <c r="H3740" s="65"/>
      <c r="I3740" s="56"/>
      <c r="J3740" s="66"/>
      <c r="K3740" s="67"/>
      <c r="L3740" s="56"/>
      <c r="M3740" s="67"/>
      <c r="N3740" s="56"/>
      <c r="O3740" s="53"/>
      <c r="P3740" s="68"/>
      <c r="Q3740" s="69"/>
      <c r="R3740" s="68"/>
      <c r="S3740" s="70"/>
      <c r="T3740" s="67"/>
      <c r="U3740" s="56"/>
      <c r="V3740" s="56"/>
      <c r="W3740" s="71"/>
      <c r="X3740" s="71"/>
      <c r="AA3740" s="33"/>
      <c r="AB3740" s="33"/>
      <c r="AC3740" s="33"/>
      <c r="AD3740" s="33"/>
      <c r="AE3740" s="33"/>
      <c r="AF3740" s="33"/>
      <c r="AG3740" s="33"/>
      <c r="AH3740" s="33"/>
      <c r="AI3740" s="33"/>
      <c r="AJ3740" s="33"/>
      <c r="AK3740" s="33"/>
      <c r="AL3740" s="33"/>
      <c r="AM3740" s="33"/>
      <c r="AN3740" s="33"/>
      <c r="AO3740" s="33"/>
    </row>
    <row r="3741" ht="15.75" customHeight="1">
      <c r="A3741" s="72"/>
      <c r="B3741" s="61"/>
      <c r="C3741" s="56"/>
      <c r="D3741" s="67"/>
      <c r="E3741" s="56"/>
      <c r="F3741" s="56"/>
      <c r="G3741" s="62"/>
      <c r="H3741" s="65"/>
      <c r="I3741" s="56"/>
      <c r="J3741" s="66"/>
      <c r="K3741" s="67"/>
      <c r="L3741" s="56"/>
      <c r="M3741" s="67"/>
      <c r="N3741" s="56"/>
      <c r="O3741" s="53"/>
      <c r="P3741" s="68"/>
      <c r="Q3741" s="69"/>
      <c r="R3741" s="68"/>
      <c r="S3741" s="70"/>
      <c r="T3741" s="67"/>
      <c r="U3741" s="56"/>
      <c r="V3741" s="56"/>
      <c r="W3741" s="71"/>
      <c r="X3741" s="71"/>
      <c r="AA3741" s="33"/>
      <c r="AB3741" s="33"/>
      <c r="AC3741" s="33"/>
      <c r="AD3741" s="33"/>
      <c r="AE3741" s="33"/>
      <c r="AF3741" s="33"/>
      <c r="AG3741" s="33"/>
      <c r="AH3741" s="33"/>
      <c r="AI3741" s="33"/>
      <c r="AJ3741" s="33"/>
      <c r="AK3741" s="33"/>
      <c r="AL3741" s="33"/>
      <c r="AM3741" s="33"/>
      <c r="AN3741" s="33"/>
      <c r="AO3741" s="33"/>
    </row>
    <row r="3742" ht="15.75" customHeight="1">
      <c r="A3742" s="72"/>
      <c r="B3742" s="61"/>
      <c r="C3742" s="56"/>
      <c r="D3742" s="67"/>
      <c r="E3742" s="56"/>
      <c r="F3742" s="56"/>
      <c r="G3742" s="62"/>
      <c r="H3742" s="65"/>
      <c r="I3742" s="56"/>
      <c r="J3742" s="66"/>
      <c r="K3742" s="67"/>
      <c r="L3742" s="56"/>
      <c r="M3742" s="67"/>
      <c r="N3742" s="56"/>
      <c r="O3742" s="53"/>
      <c r="P3742" s="68"/>
      <c r="Q3742" s="69"/>
      <c r="R3742" s="68"/>
      <c r="S3742" s="70"/>
      <c r="T3742" s="67"/>
      <c r="U3742" s="56"/>
      <c r="V3742" s="56"/>
      <c r="W3742" s="71"/>
      <c r="X3742" s="71"/>
      <c r="AA3742" s="33"/>
      <c r="AB3742" s="33"/>
      <c r="AC3742" s="33"/>
      <c r="AD3742" s="33"/>
      <c r="AE3742" s="33"/>
      <c r="AF3742" s="33"/>
      <c r="AG3742" s="33"/>
      <c r="AH3742" s="33"/>
      <c r="AI3742" s="33"/>
      <c r="AJ3742" s="33"/>
      <c r="AK3742" s="33"/>
      <c r="AL3742" s="33"/>
      <c r="AM3742" s="33"/>
      <c r="AN3742" s="33"/>
      <c r="AO3742" s="33"/>
    </row>
    <row r="3743" ht="15.75" customHeight="1">
      <c r="A3743" s="72"/>
      <c r="B3743" s="61"/>
      <c r="C3743" s="56"/>
      <c r="D3743" s="67"/>
      <c r="E3743" s="56"/>
      <c r="F3743" s="56"/>
      <c r="G3743" s="62"/>
      <c r="H3743" s="65"/>
      <c r="I3743" s="56"/>
      <c r="J3743" s="66"/>
      <c r="K3743" s="67"/>
      <c r="L3743" s="56"/>
      <c r="M3743" s="67"/>
      <c r="N3743" s="56"/>
      <c r="O3743" s="53"/>
      <c r="P3743" s="68"/>
      <c r="Q3743" s="69"/>
      <c r="R3743" s="68"/>
      <c r="S3743" s="70"/>
      <c r="T3743" s="67"/>
      <c r="U3743" s="56"/>
      <c r="V3743" s="56"/>
      <c r="W3743" s="71"/>
      <c r="X3743" s="71"/>
      <c r="AA3743" s="33"/>
      <c r="AB3743" s="33"/>
      <c r="AC3743" s="33"/>
      <c r="AD3743" s="33"/>
      <c r="AE3743" s="33"/>
      <c r="AF3743" s="33"/>
      <c r="AG3743" s="33"/>
      <c r="AH3743" s="33"/>
      <c r="AI3743" s="33"/>
      <c r="AJ3743" s="33"/>
      <c r="AK3743" s="33"/>
      <c r="AL3743" s="33"/>
      <c r="AM3743" s="33"/>
      <c r="AN3743" s="33"/>
      <c r="AO3743" s="33"/>
    </row>
    <row r="3744" ht="15.75" customHeight="1">
      <c r="A3744" s="72"/>
      <c r="B3744" s="61"/>
      <c r="C3744" s="56"/>
      <c r="D3744" s="67"/>
      <c r="E3744" s="56"/>
      <c r="F3744" s="56"/>
      <c r="G3744" s="62"/>
      <c r="H3744" s="65"/>
      <c r="I3744" s="56"/>
      <c r="J3744" s="66"/>
      <c r="K3744" s="67"/>
      <c r="L3744" s="56"/>
      <c r="M3744" s="67"/>
      <c r="N3744" s="56"/>
      <c r="O3744" s="53"/>
      <c r="P3744" s="68"/>
      <c r="Q3744" s="69"/>
      <c r="R3744" s="68"/>
      <c r="S3744" s="70"/>
      <c r="T3744" s="67"/>
      <c r="U3744" s="56"/>
      <c r="V3744" s="56"/>
      <c r="W3744" s="71"/>
      <c r="X3744" s="71"/>
      <c r="AA3744" s="33"/>
      <c r="AB3744" s="33"/>
      <c r="AC3744" s="33"/>
      <c r="AD3744" s="33"/>
      <c r="AE3744" s="33"/>
      <c r="AF3744" s="33"/>
      <c r="AG3744" s="33"/>
      <c r="AH3744" s="33"/>
      <c r="AI3744" s="33"/>
      <c r="AJ3744" s="33"/>
      <c r="AK3744" s="33"/>
      <c r="AL3744" s="33"/>
      <c r="AM3744" s="33"/>
      <c r="AN3744" s="33"/>
      <c r="AO3744" s="33"/>
    </row>
    <row r="3745" ht="15.75" customHeight="1">
      <c r="A3745" s="72"/>
      <c r="B3745" s="61"/>
      <c r="C3745" s="56"/>
      <c r="D3745" s="67"/>
      <c r="E3745" s="56"/>
      <c r="F3745" s="56"/>
      <c r="G3745" s="62"/>
      <c r="H3745" s="65"/>
      <c r="I3745" s="56"/>
      <c r="J3745" s="66"/>
      <c r="K3745" s="67"/>
      <c r="L3745" s="56"/>
      <c r="M3745" s="67"/>
      <c r="N3745" s="56"/>
      <c r="O3745" s="53"/>
      <c r="P3745" s="68"/>
      <c r="Q3745" s="69"/>
      <c r="R3745" s="68"/>
      <c r="S3745" s="70"/>
      <c r="T3745" s="67"/>
      <c r="U3745" s="56"/>
      <c r="V3745" s="56"/>
      <c r="W3745" s="71"/>
      <c r="X3745" s="71"/>
      <c r="AA3745" s="33"/>
      <c r="AB3745" s="33"/>
      <c r="AC3745" s="33"/>
      <c r="AD3745" s="33"/>
      <c r="AE3745" s="33"/>
      <c r="AF3745" s="33"/>
      <c r="AG3745" s="33"/>
      <c r="AH3745" s="33"/>
      <c r="AI3745" s="33"/>
      <c r="AJ3745" s="33"/>
      <c r="AK3745" s="33"/>
      <c r="AL3745" s="33"/>
      <c r="AM3745" s="33"/>
      <c r="AN3745" s="33"/>
      <c r="AO3745" s="33"/>
    </row>
    <row r="3746" ht="15.75" customHeight="1">
      <c r="A3746" s="72"/>
      <c r="B3746" s="61"/>
      <c r="C3746" s="56"/>
      <c r="D3746" s="67"/>
      <c r="E3746" s="56"/>
      <c r="F3746" s="56"/>
      <c r="G3746" s="62"/>
      <c r="H3746" s="65"/>
      <c r="I3746" s="56"/>
      <c r="J3746" s="66"/>
      <c r="K3746" s="67"/>
      <c r="L3746" s="56"/>
      <c r="M3746" s="67"/>
      <c r="N3746" s="56"/>
      <c r="O3746" s="53"/>
      <c r="P3746" s="68"/>
      <c r="Q3746" s="69"/>
      <c r="R3746" s="68"/>
      <c r="S3746" s="70"/>
      <c r="T3746" s="67"/>
      <c r="U3746" s="56"/>
      <c r="V3746" s="56"/>
      <c r="W3746" s="71"/>
      <c r="X3746" s="71"/>
      <c r="AA3746" s="33"/>
      <c r="AB3746" s="33"/>
      <c r="AC3746" s="33"/>
      <c r="AD3746" s="33"/>
      <c r="AE3746" s="33"/>
      <c r="AF3746" s="33"/>
      <c r="AG3746" s="33"/>
      <c r="AH3746" s="33"/>
      <c r="AI3746" s="33"/>
      <c r="AJ3746" s="33"/>
      <c r="AK3746" s="33"/>
      <c r="AL3746" s="33"/>
      <c r="AM3746" s="33"/>
      <c r="AN3746" s="33"/>
      <c r="AO3746" s="33"/>
    </row>
    <row r="3747" ht="15.75" customHeight="1">
      <c r="A3747" s="72"/>
      <c r="B3747" s="61"/>
      <c r="C3747" s="56"/>
      <c r="D3747" s="67"/>
      <c r="E3747" s="56"/>
      <c r="F3747" s="56"/>
      <c r="G3747" s="62"/>
      <c r="H3747" s="65"/>
      <c r="I3747" s="56"/>
      <c r="J3747" s="66"/>
      <c r="K3747" s="67"/>
      <c r="L3747" s="56"/>
      <c r="M3747" s="67"/>
      <c r="N3747" s="56"/>
      <c r="O3747" s="53"/>
      <c r="P3747" s="68"/>
      <c r="Q3747" s="69"/>
      <c r="R3747" s="68"/>
      <c r="S3747" s="70"/>
      <c r="T3747" s="67"/>
      <c r="U3747" s="56"/>
      <c r="V3747" s="56"/>
      <c r="W3747" s="71"/>
      <c r="X3747" s="71"/>
      <c r="AA3747" s="33"/>
      <c r="AB3747" s="33"/>
      <c r="AC3747" s="33"/>
      <c r="AD3747" s="33"/>
      <c r="AE3747" s="33"/>
      <c r="AF3747" s="33"/>
      <c r="AG3747" s="33"/>
      <c r="AH3747" s="33"/>
      <c r="AI3747" s="33"/>
      <c r="AJ3747" s="33"/>
      <c r="AK3747" s="33"/>
      <c r="AL3747" s="33"/>
      <c r="AM3747" s="33"/>
      <c r="AN3747" s="33"/>
      <c r="AO3747" s="33"/>
    </row>
    <row r="3748" ht="15.75" customHeight="1">
      <c r="A3748" s="72"/>
      <c r="B3748" s="61"/>
      <c r="C3748" s="56"/>
      <c r="D3748" s="67"/>
      <c r="E3748" s="56"/>
      <c r="F3748" s="56"/>
      <c r="G3748" s="62"/>
      <c r="H3748" s="65"/>
      <c r="I3748" s="56"/>
      <c r="J3748" s="66"/>
      <c r="K3748" s="67"/>
      <c r="L3748" s="56"/>
      <c r="M3748" s="67"/>
      <c r="N3748" s="56"/>
      <c r="O3748" s="53"/>
      <c r="P3748" s="68"/>
      <c r="Q3748" s="69"/>
      <c r="R3748" s="68"/>
      <c r="S3748" s="70"/>
      <c r="T3748" s="67"/>
      <c r="U3748" s="56"/>
      <c r="V3748" s="56"/>
      <c r="W3748" s="71"/>
      <c r="X3748" s="71"/>
      <c r="AA3748" s="33"/>
      <c r="AB3748" s="33"/>
      <c r="AC3748" s="33"/>
      <c r="AD3748" s="33"/>
      <c r="AE3748" s="33"/>
      <c r="AF3748" s="33"/>
      <c r="AG3748" s="33"/>
      <c r="AH3748" s="33"/>
      <c r="AI3748" s="33"/>
      <c r="AJ3748" s="33"/>
      <c r="AK3748" s="33"/>
      <c r="AL3748" s="33"/>
      <c r="AM3748" s="33"/>
      <c r="AN3748" s="33"/>
      <c r="AO3748" s="33"/>
    </row>
    <row r="3749" ht="15.75" customHeight="1">
      <c r="A3749" s="72"/>
      <c r="B3749" s="61"/>
      <c r="C3749" s="56"/>
      <c r="D3749" s="67"/>
      <c r="E3749" s="56"/>
      <c r="F3749" s="56"/>
      <c r="G3749" s="62"/>
      <c r="H3749" s="65"/>
      <c r="I3749" s="56"/>
      <c r="J3749" s="66"/>
      <c r="K3749" s="67"/>
      <c r="L3749" s="56"/>
      <c r="M3749" s="67"/>
      <c r="N3749" s="56"/>
      <c r="O3749" s="53"/>
      <c r="P3749" s="68"/>
      <c r="Q3749" s="69"/>
      <c r="R3749" s="68"/>
      <c r="S3749" s="70"/>
      <c r="T3749" s="67"/>
      <c r="U3749" s="56"/>
      <c r="V3749" s="56"/>
      <c r="W3749" s="71"/>
      <c r="X3749" s="71"/>
      <c r="AA3749" s="33"/>
      <c r="AB3749" s="33"/>
      <c r="AC3749" s="33"/>
      <c r="AD3749" s="33"/>
      <c r="AE3749" s="33"/>
      <c r="AF3749" s="33"/>
      <c r="AG3749" s="33"/>
      <c r="AH3749" s="33"/>
      <c r="AI3749" s="33"/>
      <c r="AJ3749" s="33"/>
      <c r="AK3749" s="33"/>
      <c r="AL3749" s="33"/>
      <c r="AM3749" s="33"/>
      <c r="AN3749" s="33"/>
      <c r="AO3749" s="33"/>
    </row>
    <row r="3750" ht="15.75" customHeight="1">
      <c r="A3750" s="72"/>
      <c r="B3750" s="61"/>
      <c r="C3750" s="56"/>
      <c r="D3750" s="67"/>
      <c r="E3750" s="56"/>
      <c r="F3750" s="56"/>
      <c r="G3750" s="62"/>
      <c r="H3750" s="65"/>
      <c r="I3750" s="56"/>
      <c r="J3750" s="66"/>
      <c r="K3750" s="67"/>
      <c r="L3750" s="56"/>
      <c r="M3750" s="67"/>
      <c r="N3750" s="56"/>
      <c r="O3750" s="53"/>
      <c r="P3750" s="68"/>
      <c r="Q3750" s="69"/>
      <c r="R3750" s="68"/>
      <c r="S3750" s="70"/>
      <c r="T3750" s="67"/>
      <c r="U3750" s="56"/>
      <c r="V3750" s="56"/>
      <c r="W3750" s="71"/>
      <c r="X3750" s="71"/>
      <c r="AA3750" s="33"/>
      <c r="AB3750" s="33"/>
      <c r="AC3750" s="33"/>
      <c r="AD3750" s="33"/>
      <c r="AE3750" s="33"/>
      <c r="AF3750" s="33"/>
      <c r="AG3750" s="33"/>
      <c r="AH3750" s="33"/>
      <c r="AI3750" s="33"/>
      <c r="AJ3750" s="33"/>
      <c r="AK3750" s="33"/>
      <c r="AL3750" s="33"/>
      <c r="AM3750" s="33"/>
      <c r="AN3750" s="33"/>
      <c r="AO3750" s="33"/>
    </row>
    <row r="3751" ht="15.75" customHeight="1">
      <c r="A3751" s="72"/>
      <c r="B3751" s="61"/>
      <c r="C3751" s="56"/>
      <c r="D3751" s="67"/>
      <c r="E3751" s="56"/>
      <c r="F3751" s="56"/>
      <c r="G3751" s="62"/>
      <c r="H3751" s="65"/>
      <c r="I3751" s="56"/>
      <c r="J3751" s="66"/>
      <c r="K3751" s="67"/>
      <c r="L3751" s="56"/>
      <c r="M3751" s="67"/>
      <c r="N3751" s="56"/>
      <c r="O3751" s="53"/>
      <c r="P3751" s="68"/>
      <c r="Q3751" s="69"/>
      <c r="R3751" s="68"/>
      <c r="S3751" s="70"/>
      <c r="T3751" s="67"/>
      <c r="U3751" s="56"/>
      <c r="V3751" s="56"/>
      <c r="W3751" s="71"/>
      <c r="X3751" s="71"/>
      <c r="AA3751" s="33"/>
      <c r="AB3751" s="33"/>
      <c r="AC3751" s="33"/>
      <c r="AD3751" s="33"/>
      <c r="AE3751" s="33"/>
      <c r="AF3751" s="33"/>
      <c r="AG3751" s="33"/>
      <c r="AH3751" s="33"/>
      <c r="AI3751" s="33"/>
      <c r="AJ3751" s="33"/>
      <c r="AK3751" s="33"/>
      <c r="AL3751" s="33"/>
      <c r="AM3751" s="33"/>
      <c r="AN3751" s="33"/>
      <c r="AO3751" s="33"/>
    </row>
    <row r="3752" ht="15.75" customHeight="1">
      <c r="A3752" s="72"/>
      <c r="B3752" s="61"/>
      <c r="C3752" s="56"/>
      <c r="D3752" s="67"/>
      <c r="E3752" s="56"/>
      <c r="F3752" s="56"/>
      <c r="G3752" s="62"/>
      <c r="H3752" s="65"/>
      <c r="I3752" s="56"/>
      <c r="J3752" s="66"/>
      <c r="K3752" s="67"/>
      <c r="L3752" s="56"/>
      <c r="M3752" s="67"/>
      <c r="N3752" s="56"/>
      <c r="O3752" s="53"/>
      <c r="P3752" s="68"/>
      <c r="Q3752" s="69"/>
      <c r="R3752" s="68"/>
      <c r="S3752" s="70"/>
      <c r="T3752" s="67"/>
      <c r="U3752" s="56"/>
      <c r="V3752" s="56"/>
      <c r="W3752" s="71"/>
      <c r="X3752" s="71"/>
      <c r="AA3752" s="33"/>
      <c r="AB3752" s="33"/>
      <c r="AC3752" s="33"/>
      <c r="AD3752" s="33"/>
      <c r="AE3752" s="33"/>
      <c r="AF3752" s="33"/>
      <c r="AG3752" s="33"/>
      <c r="AH3752" s="33"/>
      <c r="AI3752" s="33"/>
      <c r="AJ3752" s="33"/>
      <c r="AK3752" s="33"/>
      <c r="AL3752" s="33"/>
      <c r="AM3752" s="33"/>
      <c r="AN3752" s="33"/>
      <c r="AO3752" s="33"/>
    </row>
    <row r="3753" ht="15.75" customHeight="1">
      <c r="A3753" s="72"/>
      <c r="B3753" s="61"/>
      <c r="C3753" s="56"/>
      <c r="D3753" s="67"/>
      <c r="E3753" s="56"/>
      <c r="F3753" s="56"/>
      <c r="G3753" s="62"/>
      <c r="H3753" s="65"/>
      <c r="I3753" s="56"/>
      <c r="J3753" s="66"/>
      <c r="K3753" s="67"/>
      <c r="L3753" s="56"/>
      <c r="M3753" s="67"/>
      <c r="N3753" s="56"/>
      <c r="O3753" s="53"/>
      <c r="P3753" s="68"/>
      <c r="Q3753" s="69"/>
      <c r="R3753" s="68"/>
      <c r="S3753" s="70"/>
      <c r="T3753" s="67"/>
      <c r="U3753" s="56"/>
      <c r="V3753" s="56"/>
      <c r="W3753" s="71"/>
      <c r="X3753" s="71"/>
      <c r="AA3753" s="33"/>
      <c r="AB3753" s="33"/>
      <c r="AC3753" s="33"/>
      <c r="AD3753" s="33"/>
      <c r="AE3753" s="33"/>
      <c r="AF3753" s="33"/>
      <c r="AG3753" s="33"/>
      <c r="AH3753" s="33"/>
      <c r="AI3753" s="33"/>
      <c r="AJ3753" s="33"/>
      <c r="AK3753" s="33"/>
      <c r="AL3753" s="33"/>
      <c r="AM3753" s="33"/>
      <c r="AN3753" s="33"/>
      <c r="AO3753" s="33"/>
    </row>
    <row r="3754" ht="15.75" customHeight="1">
      <c r="A3754" s="72"/>
      <c r="B3754" s="61"/>
      <c r="C3754" s="56"/>
      <c r="D3754" s="67"/>
      <c r="E3754" s="56"/>
      <c r="F3754" s="56"/>
      <c r="G3754" s="62"/>
      <c r="H3754" s="65"/>
      <c r="I3754" s="56"/>
      <c r="J3754" s="66"/>
      <c r="K3754" s="67"/>
      <c r="L3754" s="56"/>
      <c r="M3754" s="67"/>
      <c r="N3754" s="56"/>
      <c r="O3754" s="53"/>
      <c r="P3754" s="68"/>
      <c r="Q3754" s="69"/>
      <c r="R3754" s="68"/>
      <c r="S3754" s="70"/>
      <c r="T3754" s="67"/>
      <c r="U3754" s="56"/>
      <c r="V3754" s="56"/>
      <c r="W3754" s="71"/>
      <c r="X3754" s="71"/>
      <c r="AA3754" s="33"/>
      <c r="AB3754" s="33"/>
      <c r="AC3754" s="33"/>
      <c r="AD3754" s="33"/>
      <c r="AE3754" s="33"/>
      <c r="AF3754" s="33"/>
      <c r="AG3754" s="33"/>
      <c r="AH3754" s="33"/>
      <c r="AI3754" s="33"/>
      <c r="AJ3754" s="33"/>
      <c r="AK3754" s="33"/>
      <c r="AL3754" s="33"/>
      <c r="AM3754" s="33"/>
      <c r="AN3754" s="33"/>
      <c r="AO3754" s="33"/>
    </row>
    <row r="3755" ht="15.75" customHeight="1">
      <c r="A3755" s="72"/>
      <c r="B3755" s="61"/>
      <c r="C3755" s="56"/>
      <c r="D3755" s="67"/>
      <c r="E3755" s="56"/>
      <c r="F3755" s="56"/>
      <c r="G3755" s="62"/>
      <c r="H3755" s="65"/>
      <c r="I3755" s="56"/>
      <c r="J3755" s="66"/>
      <c r="K3755" s="67"/>
      <c r="L3755" s="56"/>
      <c r="M3755" s="67"/>
      <c r="N3755" s="56"/>
      <c r="O3755" s="53"/>
      <c r="P3755" s="68"/>
      <c r="Q3755" s="69"/>
      <c r="R3755" s="68"/>
      <c r="S3755" s="70"/>
      <c r="T3755" s="67"/>
      <c r="U3755" s="56"/>
      <c r="V3755" s="56"/>
      <c r="W3755" s="71"/>
      <c r="X3755" s="71"/>
      <c r="AA3755" s="33"/>
      <c r="AB3755" s="33"/>
      <c r="AC3755" s="33"/>
      <c r="AD3755" s="33"/>
      <c r="AE3755" s="33"/>
      <c r="AF3755" s="33"/>
      <c r="AG3755" s="33"/>
      <c r="AH3755" s="33"/>
      <c r="AI3755" s="33"/>
      <c r="AJ3755" s="33"/>
      <c r="AK3755" s="33"/>
      <c r="AL3755" s="33"/>
      <c r="AM3755" s="33"/>
      <c r="AN3755" s="33"/>
      <c r="AO3755" s="33"/>
    </row>
    <row r="3756" ht="15.75" customHeight="1">
      <c r="A3756" s="72"/>
      <c r="B3756" s="61"/>
      <c r="C3756" s="56"/>
      <c r="D3756" s="67"/>
      <c r="E3756" s="56"/>
      <c r="F3756" s="56"/>
      <c r="G3756" s="62"/>
      <c r="H3756" s="65"/>
      <c r="I3756" s="56"/>
      <c r="J3756" s="66"/>
      <c r="K3756" s="67"/>
      <c r="L3756" s="56"/>
      <c r="M3756" s="67"/>
      <c r="N3756" s="56"/>
      <c r="O3756" s="53"/>
      <c r="P3756" s="68"/>
      <c r="Q3756" s="69"/>
      <c r="R3756" s="68"/>
      <c r="S3756" s="70"/>
      <c r="T3756" s="67"/>
      <c r="U3756" s="56"/>
      <c r="V3756" s="56"/>
      <c r="W3756" s="71"/>
      <c r="X3756" s="71"/>
      <c r="AA3756" s="33"/>
      <c r="AB3756" s="33"/>
      <c r="AC3756" s="33"/>
      <c r="AD3756" s="33"/>
      <c r="AE3756" s="33"/>
      <c r="AF3756" s="33"/>
      <c r="AG3756" s="33"/>
      <c r="AH3756" s="33"/>
      <c r="AI3756" s="33"/>
      <c r="AJ3756" s="33"/>
      <c r="AK3756" s="33"/>
      <c r="AL3756" s="33"/>
      <c r="AM3756" s="33"/>
      <c r="AN3756" s="33"/>
      <c r="AO3756" s="33"/>
    </row>
    <row r="3757" ht="15.75" customHeight="1">
      <c r="A3757" s="72"/>
      <c r="B3757" s="61"/>
      <c r="C3757" s="56"/>
      <c r="D3757" s="67"/>
      <c r="E3757" s="56"/>
      <c r="F3757" s="56"/>
      <c r="G3757" s="62"/>
      <c r="H3757" s="65"/>
      <c r="I3757" s="56"/>
      <c r="J3757" s="66"/>
      <c r="K3757" s="67"/>
      <c r="L3757" s="56"/>
      <c r="M3757" s="67"/>
      <c r="N3757" s="56"/>
      <c r="O3757" s="53"/>
      <c r="P3757" s="68"/>
      <c r="Q3757" s="69"/>
      <c r="R3757" s="68"/>
      <c r="S3757" s="70"/>
      <c r="T3757" s="67"/>
      <c r="U3757" s="56"/>
      <c r="V3757" s="56"/>
      <c r="W3757" s="71"/>
      <c r="X3757" s="71"/>
      <c r="AA3757" s="33"/>
      <c r="AB3757" s="33"/>
      <c r="AC3757" s="33"/>
      <c r="AD3757" s="33"/>
      <c r="AE3757" s="33"/>
      <c r="AF3757" s="33"/>
      <c r="AG3757" s="33"/>
      <c r="AH3757" s="33"/>
      <c r="AI3757" s="33"/>
      <c r="AJ3757" s="33"/>
      <c r="AK3757" s="33"/>
      <c r="AL3757" s="33"/>
      <c r="AM3757" s="33"/>
      <c r="AN3757" s="33"/>
      <c r="AO3757" s="33"/>
    </row>
    <row r="3758" ht="15.75" customHeight="1">
      <c r="A3758" s="72"/>
      <c r="B3758" s="61"/>
      <c r="C3758" s="56"/>
      <c r="D3758" s="67"/>
      <c r="E3758" s="56"/>
      <c r="F3758" s="56"/>
      <c r="G3758" s="62"/>
      <c r="H3758" s="65"/>
      <c r="I3758" s="56"/>
      <c r="J3758" s="66"/>
      <c r="K3758" s="67"/>
      <c r="L3758" s="56"/>
      <c r="M3758" s="67"/>
      <c r="N3758" s="56"/>
      <c r="O3758" s="53"/>
      <c r="P3758" s="68"/>
      <c r="Q3758" s="69"/>
      <c r="R3758" s="68"/>
      <c r="S3758" s="70"/>
      <c r="T3758" s="67"/>
      <c r="U3758" s="56"/>
      <c r="V3758" s="56"/>
      <c r="W3758" s="71"/>
      <c r="X3758" s="71"/>
      <c r="AA3758" s="33"/>
      <c r="AB3758" s="33"/>
      <c r="AC3758" s="33"/>
      <c r="AD3758" s="33"/>
      <c r="AE3758" s="33"/>
      <c r="AF3758" s="33"/>
      <c r="AG3758" s="33"/>
      <c r="AH3758" s="33"/>
      <c r="AI3758" s="33"/>
      <c r="AJ3758" s="33"/>
      <c r="AK3758" s="33"/>
      <c r="AL3758" s="33"/>
      <c r="AM3758" s="33"/>
      <c r="AN3758" s="33"/>
      <c r="AO3758" s="33"/>
    </row>
    <row r="3759" ht="15.75" customHeight="1">
      <c r="A3759" s="72"/>
      <c r="B3759" s="61"/>
      <c r="C3759" s="56"/>
      <c r="D3759" s="67"/>
      <c r="E3759" s="56"/>
      <c r="F3759" s="56"/>
      <c r="G3759" s="62"/>
      <c r="H3759" s="65"/>
      <c r="I3759" s="56"/>
      <c r="J3759" s="66"/>
      <c r="K3759" s="67"/>
      <c r="L3759" s="56"/>
      <c r="M3759" s="67"/>
      <c r="N3759" s="56"/>
      <c r="O3759" s="53"/>
      <c r="P3759" s="68"/>
      <c r="Q3759" s="69"/>
      <c r="R3759" s="68"/>
      <c r="S3759" s="70"/>
      <c r="T3759" s="67"/>
      <c r="U3759" s="56"/>
      <c r="V3759" s="56"/>
      <c r="W3759" s="71"/>
      <c r="X3759" s="71"/>
      <c r="AA3759" s="33"/>
      <c r="AB3759" s="33"/>
      <c r="AC3759" s="33"/>
      <c r="AD3759" s="33"/>
      <c r="AE3759" s="33"/>
      <c r="AF3759" s="33"/>
      <c r="AG3759" s="33"/>
      <c r="AH3759" s="33"/>
      <c r="AI3759" s="33"/>
      <c r="AJ3759" s="33"/>
      <c r="AK3759" s="33"/>
      <c r="AL3759" s="33"/>
      <c r="AM3759" s="33"/>
      <c r="AN3759" s="33"/>
      <c r="AO3759" s="33"/>
    </row>
    <row r="3760" ht="15.75" customHeight="1">
      <c r="A3760" s="72"/>
      <c r="B3760" s="61"/>
      <c r="C3760" s="56"/>
      <c r="D3760" s="67"/>
      <c r="E3760" s="56"/>
      <c r="F3760" s="56"/>
      <c r="G3760" s="62"/>
      <c r="H3760" s="65"/>
      <c r="I3760" s="56"/>
      <c r="J3760" s="66"/>
      <c r="K3760" s="67"/>
      <c r="L3760" s="56"/>
      <c r="M3760" s="67"/>
      <c r="N3760" s="56"/>
      <c r="O3760" s="53"/>
      <c r="P3760" s="68"/>
      <c r="Q3760" s="69"/>
      <c r="R3760" s="68"/>
      <c r="S3760" s="70"/>
      <c r="T3760" s="67"/>
      <c r="U3760" s="56"/>
      <c r="V3760" s="56"/>
      <c r="W3760" s="71"/>
      <c r="X3760" s="71"/>
      <c r="AA3760" s="33"/>
      <c r="AB3760" s="33"/>
      <c r="AC3760" s="33"/>
      <c r="AD3760" s="33"/>
      <c r="AE3760" s="33"/>
      <c r="AF3760" s="33"/>
      <c r="AG3760" s="33"/>
      <c r="AH3760" s="33"/>
      <c r="AI3760" s="33"/>
      <c r="AJ3760" s="33"/>
      <c r="AK3760" s="33"/>
      <c r="AL3760" s="33"/>
      <c r="AM3760" s="33"/>
      <c r="AN3760" s="33"/>
      <c r="AO3760" s="33"/>
    </row>
    <row r="3761" ht="15.75" customHeight="1">
      <c r="A3761" s="72"/>
      <c r="B3761" s="61"/>
      <c r="C3761" s="56"/>
      <c r="D3761" s="67"/>
      <c r="E3761" s="56"/>
      <c r="F3761" s="56"/>
      <c r="G3761" s="62"/>
      <c r="H3761" s="65"/>
      <c r="I3761" s="56"/>
      <c r="J3761" s="66"/>
      <c r="K3761" s="67"/>
      <c r="L3761" s="56"/>
      <c r="M3761" s="67"/>
      <c r="N3761" s="56"/>
      <c r="O3761" s="53"/>
      <c r="P3761" s="68"/>
      <c r="Q3761" s="69"/>
      <c r="R3761" s="68"/>
      <c r="S3761" s="70"/>
      <c r="T3761" s="67"/>
      <c r="U3761" s="56"/>
      <c r="V3761" s="56"/>
      <c r="W3761" s="71"/>
      <c r="X3761" s="71"/>
      <c r="AA3761" s="33"/>
      <c r="AB3761" s="33"/>
      <c r="AC3761" s="33"/>
      <c r="AD3761" s="33"/>
      <c r="AE3761" s="33"/>
      <c r="AF3761" s="33"/>
      <c r="AG3761" s="33"/>
      <c r="AH3761" s="33"/>
      <c r="AI3761" s="33"/>
      <c r="AJ3761" s="33"/>
      <c r="AK3761" s="33"/>
      <c r="AL3761" s="33"/>
      <c r="AM3761" s="33"/>
      <c r="AN3761" s="33"/>
      <c r="AO3761" s="33"/>
    </row>
    <row r="3762" ht="15.75" customHeight="1">
      <c r="A3762" s="72"/>
      <c r="B3762" s="61"/>
      <c r="C3762" s="56"/>
      <c r="D3762" s="67"/>
      <c r="E3762" s="56"/>
      <c r="F3762" s="56"/>
      <c r="G3762" s="62"/>
      <c r="H3762" s="65"/>
      <c r="I3762" s="56"/>
      <c r="J3762" s="66"/>
      <c r="K3762" s="67"/>
      <c r="L3762" s="56"/>
      <c r="M3762" s="67"/>
      <c r="N3762" s="56"/>
      <c r="O3762" s="53"/>
      <c r="P3762" s="68"/>
      <c r="Q3762" s="69"/>
      <c r="R3762" s="68"/>
      <c r="S3762" s="70"/>
      <c r="T3762" s="67"/>
      <c r="U3762" s="56"/>
      <c r="V3762" s="56"/>
      <c r="W3762" s="71"/>
      <c r="X3762" s="71"/>
      <c r="AA3762" s="33"/>
      <c r="AB3762" s="33"/>
      <c r="AC3762" s="33"/>
      <c r="AD3762" s="33"/>
      <c r="AE3762" s="33"/>
      <c r="AF3762" s="33"/>
      <c r="AG3762" s="33"/>
      <c r="AH3762" s="33"/>
      <c r="AI3762" s="33"/>
      <c r="AJ3762" s="33"/>
      <c r="AK3762" s="33"/>
      <c r="AL3762" s="33"/>
      <c r="AM3762" s="33"/>
      <c r="AN3762" s="33"/>
      <c r="AO3762" s="33"/>
    </row>
    <row r="3763" ht="15.75" customHeight="1">
      <c r="A3763" s="72"/>
      <c r="B3763" s="61"/>
      <c r="C3763" s="56"/>
      <c r="D3763" s="67"/>
      <c r="E3763" s="56"/>
      <c r="F3763" s="56"/>
      <c r="G3763" s="62"/>
      <c r="H3763" s="65"/>
      <c r="I3763" s="56"/>
      <c r="J3763" s="66"/>
      <c r="K3763" s="67"/>
      <c r="L3763" s="56"/>
      <c r="M3763" s="67"/>
      <c r="N3763" s="56"/>
      <c r="O3763" s="53"/>
      <c r="P3763" s="68"/>
      <c r="Q3763" s="69"/>
      <c r="R3763" s="68"/>
      <c r="S3763" s="70"/>
      <c r="T3763" s="67"/>
      <c r="U3763" s="56"/>
      <c r="V3763" s="56"/>
      <c r="W3763" s="71"/>
      <c r="X3763" s="71"/>
      <c r="AA3763" s="33"/>
      <c r="AB3763" s="33"/>
      <c r="AC3763" s="33"/>
      <c r="AD3763" s="33"/>
      <c r="AE3763" s="33"/>
      <c r="AF3763" s="33"/>
      <c r="AG3763" s="33"/>
      <c r="AH3763" s="33"/>
      <c r="AI3763" s="33"/>
      <c r="AJ3763" s="33"/>
      <c r="AK3763" s="33"/>
      <c r="AL3763" s="33"/>
      <c r="AM3763" s="33"/>
      <c r="AN3763" s="33"/>
      <c r="AO3763" s="33"/>
    </row>
    <row r="3764" ht="15.75" customHeight="1">
      <c r="A3764" s="72"/>
      <c r="B3764" s="61"/>
      <c r="C3764" s="56"/>
      <c r="D3764" s="67"/>
      <c r="E3764" s="56"/>
      <c r="F3764" s="56"/>
      <c r="G3764" s="62"/>
      <c r="H3764" s="65"/>
      <c r="I3764" s="56"/>
      <c r="J3764" s="66"/>
      <c r="K3764" s="67"/>
      <c r="L3764" s="56"/>
      <c r="M3764" s="67"/>
      <c r="N3764" s="56"/>
      <c r="O3764" s="53"/>
      <c r="P3764" s="68"/>
      <c r="Q3764" s="69"/>
      <c r="R3764" s="68"/>
      <c r="S3764" s="70"/>
      <c r="T3764" s="67"/>
      <c r="U3764" s="56"/>
      <c r="V3764" s="56"/>
      <c r="W3764" s="71"/>
      <c r="X3764" s="71"/>
      <c r="AA3764" s="33"/>
      <c r="AB3764" s="33"/>
      <c r="AC3764" s="33"/>
      <c r="AD3764" s="33"/>
      <c r="AE3764" s="33"/>
      <c r="AF3764" s="33"/>
      <c r="AG3764" s="33"/>
      <c r="AH3764" s="33"/>
      <c r="AI3764" s="33"/>
      <c r="AJ3764" s="33"/>
      <c r="AK3764" s="33"/>
      <c r="AL3764" s="33"/>
      <c r="AM3764" s="33"/>
      <c r="AN3764" s="33"/>
      <c r="AO3764" s="33"/>
    </row>
    <row r="3765" ht="15.75" customHeight="1">
      <c r="A3765" s="72"/>
      <c r="B3765" s="61"/>
      <c r="C3765" s="56"/>
      <c r="D3765" s="67"/>
      <c r="E3765" s="56"/>
      <c r="F3765" s="56"/>
      <c r="G3765" s="62"/>
      <c r="H3765" s="65"/>
      <c r="I3765" s="56"/>
      <c r="J3765" s="66"/>
      <c r="K3765" s="67"/>
      <c r="L3765" s="56"/>
      <c r="M3765" s="67"/>
      <c r="N3765" s="56"/>
      <c r="O3765" s="53"/>
      <c r="P3765" s="68"/>
      <c r="Q3765" s="69"/>
      <c r="R3765" s="68"/>
      <c r="S3765" s="70"/>
      <c r="T3765" s="67"/>
      <c r="U3765" s="56"/>
      <c r="V3765" s="56"/>
      <c r="W3765" s="71"/>
      <c r="X3765" s="71"/>
      <c r="AA3765" s="33"/>
      <c r="AB3765" s="33"/>
      <c r="AC3765" s="33"/>
      <c r="AD3765" s="33"/>
      <c r="AE3765" s="33"/>
      <c r="AF3765" s="33"/>
      <c r="AG3765" s="33"/>
      <c r="AH3765" s="33"/>
      <c r="AI3765" s="33"/>
      <c r="AJ3765" s="33"/>
      <c r="AK3765" s="33"/>
      <c r="AL3765" s="33"/>
      <c r="AM3765" s="33"/>
      <c r="AN3765" s="33"/>
      <c r="AO3765" s="33"/>
    </row>
    <row r="3766" ht="15.75" customHeight="1">
      <c r="A3766" s="72"/>
      <c r="B3766" s="61"/>
      <c r="C3766" s="56"/>
      <c r="D3766" s="67"/>
      <c r="E3766" s="56"/>
      <c r="F3766" s="56"/>
      <c r="G3766" s="62"/>
      <c r="H3766" s="65"/>
      <c r="I3766" s="56"/>
      <c r="J3766" s="66"/>
      <c r="K3766" s="67"/>
      <c r="L3766" s="56"/>
      <c r="M3766" s="67"/>
      <c r="N3766" s="56"/>
      <c r="O3766" s="53"/>
      <c r="P3766" s="68"/>
      <c r="Q3766" s="69"/>
      <c r="R3766" s="68"/>
      <c r="S3766" s="70"/>
      <c r="T3766" s="67"/>
      <c r="U3766" s="56"/>
      <c r="V3766" s="56"/>
      <c r="W3766" s="71"/>
      <c r="X3766" s="71"/>
      <c r="AA3766" s="33"/>
      <c r="AB3766" s="33"/>
      <c r="AC3766" s="33"/>
      <c r="AD3766" s="33"/>
      <c r="AE3766" s="33"/>
      <c r="AF3766" s="33"/>
      <c r="AG3766" s="33"/>
      <c r="AH3766" s="33"/>
      <c r="AI3766" s="33"/>
      <c r="AJ3766" s="33"/>
      <c r="AK3766" s="33"/>
      <c r="AL3766" s="33"/>
      <c r="AM3766" s="33"/>
      <c r="AN3766" s="33"/>
      <c r="AO3766" s="33"/>
    </row>
    <row r="3767" ht="15.75" customHeight="1">
      <c r="A3767" s="72"/>
      <c r="B3767" s="61"/>
      <c r="C3767" s="56"/>
      <c r="D3767" s="67"/>
      <c r="E3767" s="56"/>
      <c r="F3767" s="56"/>
      <c r="G3767" s="62"/>
      <c r="H3767" s="65"/>
      <c r="I3767" s="56"/>
      <c r="J3767" s="66"/>
      <c r="K3767" s="67"/>
      <c r="L3767" s="56"/>
      <c r="M3767" s="67"/>
      <c r="N3767" s="56"/>
      <c r="O3767" s="53"/>
      <c r="P3767" s="68"/>
      <c r="Q3767" s="69"/>
      <c r="R3767" s="68"/>
      <c r="S3767" s="70"/>
      <c r="T3767" s="67"/>
      <c r="U3767" s="56"/>
      <c r="V3767" s="56"/>
      <c r="W3767" s="71"/>
      <c r="X3767" s="71"/>
      <c r="AA3767" s="33"/>
      <c r="AB3767" s="33"/>
      <c r="AC3767" s="33"/>
      <c r="AD3767" s="33"/>
      <c r="AE3767" s="33"/>
      <c r="AF3767" s="33"/>
      <c r="AG3767" s="33"/>
      <c r="AH3767" s="33"/>
      <c r="AI3767" s="33"/>
      <c r="AJ3767" s="33"/>
      <c r="AK3767" s="33"/>
      <c r="AL3767" s="33"/>
      <c r="AM3767" s="33"/>
      <c r="AN3767" s="33"/>
      <c r="AO3767" s="33"/>
    </row>
    <row r="3768" ht="15.75" customHeight="1">
      <c r="A3768" s="72"/>
      <c r="B3768" s="61"/>
      <c r="C3768" s="56"/>
      <c r="D3768" s="67"/>
      <c r="E3768" s="56"/>
      <c r="F3768" s="56"/>
      <c r="G3768" s="62"/>
      <c r="H3768" s="65"/>
      <c r="I3768" s="56"/>
      <c r="J3768" s="66"/>
      <c r="K3768" s="67"/>
      <c r="L3768" s="56"/>
      <c r="M3768" s="67"/>
      <c r="N3768" s="56"/>
      <c r="O3768" s="53"/>
      <c r="P3768" s="68"/>
      <c r="Q3768" s="69"/>
      <c r="R3768" s="68"/>
      <c r="S3768" s="70"/>
      <c r="T3768" s="67"/>
      <c r="U3768" s="56"/>
      <c r="V3768" s="56"/>
      <c r="W3768" s="71"/>
      <c r="X3768" s="71"/>
      <c r="AA3768" s="33"/>
      <c r="AB3768" s="33"/>
      <c r="AC3768" s="33"/>
      <c r="AD3768" s="33"/>
      <c r="AE3768" s="33"/>
      <c r="AF3768" s="33"/>
      <c r="AG3768" s="33"/>
      <c r="AH3768" s="33"/>
      <c r="AI3768" s="33"/>
      <c r="AJ3768" s="33"/>
      <c r="AK3768" s="33"/>
      <c r="AL3768" s="33"/>
      <c r="AM3768" s="33"/>
      <c r="AN3768" s="33"/>
      <c r="AO3768" s="33"/>
    </row>
    <row r="3769" ht="15.75" customHeight="1">
      <c r="A3769" s="72"/>
      <c r="B3769" s="61"/>
      <c r="C3769" s="56"/>
      <c r="D3769" s="67"/>
      <c r="E3769" s="56"/>
      <c r="F3769" s="56"/>
      <c r="G3769" s="62"/>
      <c r="H3769" s="65"/>
      <c r="I3769" s="56"/>
      <c r="J3769" s="66"/>
      <c r="K3769" s="67"/>
      <c r="L3769" s="56"/>
      <c r="M3769" s="67"/>
      <c r="N3769" s="56"/>
      <c r="O3769" s="53"/>
      <c r="P3769" s="68"/>
      <c r="Q3769" s="69"/>
      <c r="R3769" s="68"/>
      <c r="S3769" s="70"/>
      <c r="T3769" s="67"/>
      <c r="U3769" s="56"/>
      <c r="V3769" s="56"/>
      <c r="W3769" s="71"/>
      <c r="X3769" s="71"/>
      <c r="AA3769" s="33"/>
      <c r="AB3769" s="33"/>
      <c r="AC3769" s="33"/>
      <c r="AD3769" s="33"/>
      <c r="AE3769" s="33"/>
      <c r="AF3769" s="33"/>
      <c r="AG3769" s="33"/>
      <c r="AH3769" s="33"/>
      <c r="AI3769" s="33"/>
      <c r="AJ3769" s="33"/>
      <c r="AK3769" s="33"/>
      <c r="AL3769" s="33"/>
      <c r="AM3769" s="33"/>
      <c r="AN3769" s="33"/>
      <c r="AO3769" s="33"/>
    </row>
    <row r="3770" ht="15.75" customHeight="1">
      <c r="A3770" s="72"/>
      <c r="B3770" s="61"/>
      <c r="C3770" s="56"/>
      <c r="D3770" s="67"/>
      <c r="E3770" s="56"/>
      <c r="F3770" s="56"/>
      <c r="G3770" s="62"/>
      <c r="H3770" s="65"/>
      <c r="I3770" s="56"/>
      <c r="J3770" s="66"/>
      <c r="K3770" s="67"/>
      <c r="L3770" s="56"/>
      <c r="M3770" s="67"/>
      <c r="N3770" s="56"/>
      <c r="O3770" s="53"/>
      <c r="P3770" s="68"/>
      <c r="Q3770" s="69"/>
      <c r="R3770" s="68"/>
      <c r="S3770" s="70"/>
      <c r="T3770" s="67"/>
      <c r="U3770" s="56"/>
      <c r="V3770" s="56"/>
      <c r="W3770" s="71"/>
      <c r="X3770" s="71"/>
      <c r="AA3770" s="33"/>
      <c r="AB3770" s="33"/>
      <c r="AC3770" s="33"/>
      <c r="AD3770" s="33"/>
      <c r="AE3770" s="33"/>
      <c r="AF3770" s="33"/>
      <c r="AG3770" s="33"/>
      <c r="AH3770" s="33"/>
      <c r="AI3770" s="33"/>
      <c r="AJ3770" s="33"/>
      <c r="AK3770" s="33"/>
      <c r="AL3770" s="33"/>
      <c r="AM3770" s="33"/>
      <c r="AN3770" s="33"/>
      <c r="AO3770" s="33"/>
    </row>
    <row r="3771" ht="15.75" customHeight="1">
      <c r="A3771" s="72"/>
      <c r="B3771" s="61"/>
      <c r="C3771" s="56"/>
      <c r="D3771" s="67"/>
      <c r="E3771" s="56"/>
      <c r="F3771" s="56"/>
      <c r="G3771" s="62"/>
      <c r="H3771" s="65"/>
      <c r="I3771" s="56"/>
      <c r="J3771" s="66"/>
      <c r="K3771" s="67"/>
      <c r="L3771" s="56"/>
      <c r="M3771" s="67"/>
      <c r="N3771" s="56"/>
      <c r="O3771" s="53"/>
      <c r="P3771" s="68"/>
      <c r="Q3771" s="69"/>
      <c r="R3771" s="68"/>
      <c r="S3771" s="70"/>
      <c r="T3771" s="67"/>
      <c r="U3771" s="56"/>
      <c r="V3771" s="56"/>
      <c r="W3771" s="71"/>
      <c r="X3771" s="71"/>
      <c r="AA3771" s="33"/>
      <c r="AB3771" s="33"/>
      <c r="AC3771" s="33"/>
      <c r="AD3771" s="33"/>
      <c r="AE3771" s="33"/>
      <c r="AF3771" s="33"/>
      <c r="AG3771" s="33"/>
      <c r="AH3771" s="33"/>
      <c r="AI3771" s="33"/>
      <c r="AJ3771" s="33"/>
      <c r="AK3771" s="33"/>
      <c r="AL3771" s="33"/>
      <c r="AM3771" s="33"/>
      <c r="AN3771" s="33"/>
      <c r="AO3771" s="33"/>
    </row>
    <row r="3772" ht="15.75" customHeight="1">
      <c r="A3772" s="72"/>
      <c r="B3772" s="61"/>
      <c r="C3772" s="56"/>
      <c r="D3772" s="67"/>
      <c r="E3772" s="56"/>
      <c r="F3772" s="56"/>
      <c r="G3772" s="62"/>
      <c r="H3772" s="65"/>
      <c r="I3772" s="56"/>
      <c r="J3772" s="66"/>
      <c r="K3772" s="67"/>
      <c r="L3772" s="56"/>
      <c r="M3772" s="67"/>
      <c r="N3772" s="56"/>
      <c r="O3772" s="53"/>
      <c r="P3772" s="68"/>
      <c r="Q3772" s="69"/>
      <c r="R3772" s="68"/>
      <c r="S3772" s="70"/>
      <c r="T3772" s="67"/>
      <c r="U3772" s="56"/>
      <c r="V3772" s="56"/>
      <c r="W3772" s="71"/>
      <c r="X3772" s="71"/>
      <c r="AA3772" s="33"/>
      <c r="AB3772" s="33"/>
      <c r="AC3772" s="33"/>
      <c r="AD3772" s="33"/>
      <c r="AE3772" s="33"/>
      <c r="AF3772" s="33"/>
      <c r="AG3772" s="33"/>
      <c r="AH3772" s="33"/>
      <c r="AI3772" s="33"/>
      <c r="AJ3772" s="33"/>
      <c r="AK3772" s="33"/>
      <c r="AL3772" s="33"/>
      <c r="AM3772" s="33"/>
      <c r="AN3772" s="33"/>
      <c r="AO3772" s="33"/>
    </row>
    <row r="3773" ht="15.75" customHeight="1">
      <c r="A3773" s="72"/>
      <c r="B3773" s="61"/>
      <c r="C3773" s="56"/>
      <c r="D3773" s="67"/>
      <c r="E3773" s="56"/>
      <c r="F3773" s="56"/>
      <c r="G3773" s="62"/>
      <c r="H3773" s="65"/>
      <c r="I3773" s="56"/>
      <c r="J3773" s="66"/>
      <c r="K3773" s="67"/>
      <c r="L3773" s="56"/>
      <c r="M3773" s="67"/>
      <c r="N3773" s="56"/>
      <c r="O3773" s="53"/>
      <c r="P3773" s="68"/>
      <c r="Q3773" s="69"/>
      <c r="R3773" s="68"/>
      <c r="S3773" s="70"/>
      <c r="T3773" s="67"/>
      <c r="U3773" s="56"/>
      <c r="V3773" s="56"/>
      <c r="W3773" s="71"/>
      <c r="X3773" s="71"/>
      <c r="AA3773" s="33"/>
      <c r="AB3773" s="33"/>
      <c r="AC3773" s="33"/>
      <c r="AD3773" s="33"/>
      <c r="AE3773" s="33"/>
      <c r="AF3773" s="33"/>
      <c r="AG3773" s="33"/>
      <c r="AH3773" s="33"/>
      <c r="AI3773" s="33"/>
      <c r="AJ3773" s="33"/>
      <c r="AK3773" s="33"/>
      <c r="AL3773" s="33"/>
      <c r="AM3773" s="33"/>
      <c r="AN3773" s="33"/>
      <c r="AO3773" s="33"/>
    </row>
    <row r="3774" ht="15.75" customHeight="1">
      <c r="A3774" s="72"/>
      <c r="B3774" s="61"/>
      <c r="C3774" s="56"/>
      <c r="D3774" s="67"/>
      <c r="E3774" s="56"/>
      <c r="F3774" s="56"/>
      <c r="G3774" s="62"/>
      <c r="H3774" s="65"/>
      <c r="I3774" s="56"/>
      <c r="J3774" s="66"/>
      <c r="K3774" s="67"/>
      <c r="L3774" s="56"/>
      <c r="M3774" s="67"/>
      <c r="N3774" s="56"/>
      <c r="O3774" s="53"/>
      <c r="P3774" s="68"/>
      <c r="Q3774" s="69"/>
      <c r="R3774" s="68"/>
      <c r="S3774" s="70"/>
      <c r="T3774" s="67"/>
      <c r="U3774" s="56"/>
      <c r="V3774" s="56"/>
      <c r="W3774" s="71"/>
      <c r="X3774" s="71"/>
      <c r="AA3774" s="33"/>
      <c r="AB3774" s="33"/>
      <c r="AC3774" s="33"/>
      <c r="AD3774" s="33"/>
      <c r="AE3774" s="33"/>
      <c r="AF3774" s="33"/>
      <c r="AG3774" s="33"/>
      <c r="AH3774" s="33"/>
      <c r="AI3774" s="33"/>
      <c r="AJ3774" s="33"/>
      <c r="AK3774" s="33"/>
      <c r="AL3774" s="33"/>
      <c r="AM3774" s="33"/>
      <c r="AN3774" s="33"/>
      <c r="AO3774" s="33"/>
    </row>
    <row r="3775" ht="15.75" customHeight="1">
      <c r="A3775" s="72"/>
      <c r="B3775" s="61"/>
      <c r="C3775" s="56"/>
      <c r="D3775" s="67"/>
      <c r="E3775" s="56"/>
      <c r="F3775" s="56"/>
      <c r="G3775" s="62"/>
      <c r="H3775" s="65"/>
      <c r="I3775" s="56"/>
      <c r="J3775" s="66"/>
      <c r="K3775" s="67"/>
      <c r="L3775" s="56"/>
      <c r="M3775" s="67"/>
      <c r="N3775" s="56"/>
      <c r="O3775" s="53"/>
      <c r="P3775" s="68"/>
      <c r="Q3775" s="69"/>
      <c r="R3775" s="68"/>
      <c r="S3775" s="70"/>
      <c r="T3775" s="67"/>
      <c r="U3775" s="56"/>
      <c r="V3775" s="56"/>
      <c r="W3775" s="71"/>
      <c r="X3775" s="71"/>
      <c r="AA3775" s="33"/>
      <c r="AB3775" s="33"/>
      <c r="AC3775" s="33"/>
      <c r="AD3775" s="33"/>
      <c r="AE3775" s="33"/>
      <c r="AF3775" s="33"/>
      <c r="AG3775" s="33"/>
      <c r="AH3775" s="33"/>
      <c r="AI3775" s="33"/>
      <c r="AJ3775" s="33"/>
      <c r="AK3775" s="33"/>
      <c r="AL3775" s="33"/>
      <c r="AM3775" s="33"/>
      <c r="AN3775" s="33"/>
      <c r="AO3775" s="33"/>
    </row>
    <row r="3776" ht="15.75" customHeight="1">
      <c r="A3776" s="72"/>
      <c r="B3776" s="61"/>
      <c r="C3776" s="56"/>
      <c r="D3776" s="67"/>
      <c r="E3776" s="56"/>
      <c r="F3776" s="56"/>
      <c r="G3776" s="62"/>
      <c r="H3776" s="65"/>
      <c r="I3776" s="56"/>
      <c r="J3776" s="66"/>
      <c r="K3776" s="67"/>
      <c r="L3776" s="56"/>
      <c r="M3776" s="67"/>
      <c r="N3776" s="56"/>
      <c r="O3776" s="53"/>
      <c r="P3776" s="68"/>
      <c r="Q3776" s="69"/>
      <c r="R3776" s="68"/>
      <c r="S3776" s="70"/>
      <c r="T3776" s="67"/>
      <c r="U3776" s="56"/>
      <c r="V3776" s="56"/>
      <c r="W3776" s="71"/>
      <c r="X3776" s="71"/>
      <c r="AA3776" s="33"/>
      <c r="AB3776" s="33"/>
      <c r="AC3776" s="33"/>
      <c r="AD3776" s="33"/>
      <c r="AE3776" s="33"/>
      <c r="AF3776" s="33"/>
      <c r="AG3776" s="33"/>
      <c r="AH3776" s="33"/>
      <c r="AI3776" s="33"/>
      <c r="AJ3776" s="33"/>
      <c r="AK3776" s="33"/>
      <c r="AL3776" s="33"/>
      <c r="AM3776" s="33"/>
      <c r="AN3776" s="33"/>
      <c r="AO3776" s="33"/>
    </row>
    <row r="3777" ht="15.75" customHeight="1">
      <c r="A3777" s="72"/>
      <c r="B3777" s="61"/>
      <c r="C3777" s="56"/>
      <c r="D3777" s="67"/>
      <c r="E3777" s="56"/>
      <c r="F3777" s="56"/>
      <c r="G3777" s="62"/>
      <c r="H3777" s="65"/>
      <c r="I3777" s="56"/>
      <c r="J3777" s="66"/>
      <c r="K3777" s="67"/>
      <c r="L3777" s="56"/>
      <c r="M3777" s="67"/>
      <c r="N3777" s="56"/>
      <c r="O3777" s="53"/>
      <c r="P3777" s="68"/>
      <c r="Q3777" s="69"/>
      <c r="R3777" s="68"/>
      <c r="S3777" s="70"/>
      <c r="T3777" s="67"/>
      <c r="U3777" s="56"/>
      <c r="V3777" s="56"/>
      <c r="W3777" s="71"/>
      <c r="X3777" s="71"/>
      <c r="AA3777" s="33"/>
      <c r="AB3777" s="33"/>
      <c r="AC3777" s="33"/>
      <c r="AD3777" s="33"/>
      <c r="AE3777" s="33"/>
      <c r="AF3777" s="33"/>
      <c r="AG3777" s="33"/>
      <c r="AH3777" s="33"/>
      <c r="AI3777" s="33"/>
      <c r="AJ3777" s="33"/>
      <c r="AK3777" s="33"/>
      <c r="AL3777" s="33"/>
      <c r="AM3777" s="33"/>
      <c r="AN3777" s="33"/>
      <c r="AO3777" s="33"/>
    </row>
    <row r="3778" ht="15.75" customHeight="1">
      <c r="A3778" s="72"/>
      <c r="B3778" s="61"/>
      <c r="C3778" s="56"/>
      <c r="D3778" s="67"/>
      <c r="E3778" s="56"/>
      <c r="F3778" s="56"/>
      <c r="G3778" s="62"/>
      <c r="H3778" s="65"/>
      <c r="I3778" s="56"/>
      <c r="J3778" s="66"/>
      <c r="K3778" s="67"/>
      <c r="L3778" s="56"/>
      <c r="M3778" s="67"/>
      <c r="N3778" s="56"/>
      <c r="O3778" s="53"/>
      <c r="P3778" s="68"/>
      <c r="Q3778" s="69"/>
      <c r="R3778" s="68"/>
      <c r="S3778" s="70"/>
      <c r="T3778" s="67"/>
      <c r="U3778" s="56"/>
      <c r="V3778" s="56"/>
      <c r="W3778" s="71"/>
      <c r="X3778" s="71"/>
      <c r="AA3778" s="33"/>
      <c r="AB3778" s="33"/>
      <c r="AC3778" s="33"/>
      <c r="AD3778" s="33"/>
      <c r="AE3778" s="33"/>
      <c r="AF3778" s="33"/>
      <c r="AG3778" s="33"/>
      <c r="AH3778" s="33"/>
      <c r="AI3778" s="33"/>
      <c r="AJ3778" s="33"/>
      <c r="AK3778" s="33"/>
      <c r="AL3778" s="33"/>
      <c r="AM3778" s="33"/>
      <c r="AN3778" s="33"/>
      <c r="AO3778" s="33"/>
    </row>
    <row r="3779" ht="15.75" customHeight="1">
      <c r="A3779" s="72"/>
      <c r="B3779" s="61"/>
      <c r="C3779" s="56"/>
      <c r="D3779" s="67"/>
      <c r="E3779" s="56"/>
      <c r="F3779" s="56"/>
      <c r="G3779" s="62"/>
      <c r="H3779" s="65"/>
      <c r="I3779" s="56"/>
      <c r="J3779" s="66"/>
      <c r="K3779" s="67"/>
      <c r="L3779" s="56"/>
      <c r="M3779" s="67"/>
      <c r="N3779" s="56"/>
      <c r="O3779" s="53"/>
      <c r="P3779" s="68"/>
      <c r="Q3779" s="69"/>
      <c r="R3779" s="68"/>
      <c r="S3779" s="70"/>
      <c r="T3779" s="67"/>
      <c r="U3779" s="56"/>
      <c r="V3779" s="56"/>
      <c r="W3779" s="71"/>
      <c r="X3779" s="71"/>
      <c r="AA3779" s="33"/>
      <c r="AB3779" s="33"/>
      <c r="AC3779" s="33"/>
      <c r="AD3779" s="33"/>
      <c r="AE3779" s="33"/>
      <c r="AF3779" s="33"/>
      <c r="AG3779" s="33"/>
      <c r="AH3779" s="33"/>
      <c r="AI3779" s="33"/>
      <c r="AJ3779" s="33"/>
      <c r="AK3779" s="33"/>
      <c r="AL3779" s="33"/>
      <c r="AM3779" s="33"/>
      <c r="AN3779" s="33"/>
      <c r="AO3779" s="33"/>
    </row>
    <row r="3780" ht="15.75" customHeight="1">
      <c r="A3780" s="72"/>
      <c r="B3780" s="61"/>
      <c r="C3780" s="56"/>
      <c r="D3780" s="67"/>
      <c r="E3780" s="56"/>
      <c r="F3780" s="56"/>
      <c r="G3780" s="62"/>
      <c r="H3780" s="65"/>
      <c r="I3780" s="56"/>
      <c r="J3780" s="66"/>
      <c r="K3780" s="67"/>
      <c r="L3780" s="56"/>
      <c r="M3780" s="67"/>
      <c r="N3780" s="56"/>
      <c r="O3780" s="53"/>
      <c r="P3780" s="68"/>
      <c r="Q3780" s="69"/>
      <c r="R3780" s="68"/>
      <c r="S3780" s="70"/>
      <c r="T3780" s="67"/>
      <c r="U3780" s="56"/>
      <c r="V3780" s="56"/>
      <c r="W3780" s="71"/>
      <c r="X3780" s="71"/>
      <c r="AA3780" s="33"/>
      <c r="AB3780" s="33"/>
      <c r="AC3780" s="33"/>
      <c r="AD3780" s="33"/>
      <c r="AE3780" s="33"/>
      <c r="AF3780" s="33"/>
      <c r="AG3780" s="33"/>
      <c r="AH3780" s="33"/>
      <c r="AI3780" s="33"/>
      <c r="AJ3780" s="33"/>
      <c r="AK3780" s="33"/>
      <c r="AL3780" s="33"/>
      <c r="AM3780" s="33"/>
      <c r="AN3780" s="33"/>
      <c r="AO3780" s="33"/>
    </row>
    <row r="3781" ht="15.75" customHeight="1">
      <c r="A3781" s="72"/>
      <c r="B3781" s="61"/>
      <c r="C3781" s="56"/>
      <c r="D3781" s="67"/>
      <c r="E3781" s="56"/>
      <c r="F3781" s="56"/>
      <c r="G3781" s="62"/>
      <c r="H3781" s="65"/>
      <c r="I3781" s="56"/>
      <c r="J3781" s="66"/>
      <c r="K3781" s="67"/>
      <c r="L3781" s="56"/>
      <c r="M3781" s="67"/>
      <c r="N3781" s="56"/>
      <c r="O3781" s="53"/>
      <c r="P3781" s="68"/>
      <c r="Q3781" s="69"/>
      <c r="R3781" s="68"/>
      <c r="S3781" s="70"/>
      <c r="T3781" s="67"/>
      <c r="U3781" s="56"/>
      <c r="V3781" s="56"/>
      <c r="W3781" s="71"/>
      <c r="X3781" s="71"/>
      <c r="AA3781" s="33"/>
      <c r="AB3781" s="33"/>
      <c r="AC3781" s="33"/>
      <c r="AD3781" s="33"/>
      <c r="AE3781" s="33"/>
      <c r="AF3781" s="33"/>
      <c r="AG3781" s="33"/>
      <c r="AH3781" s="33"/>
      <c r="AI3781" s="33"/>
      <c r="AJ3781" s="33"/>
      <c r="AK3781" s="33"/>
      <c r="AL3781" s="33"/>
      <c r="AM3781" s="33"/>
      <c r="AN3781" s="33"/>
      <c r="AO3781" s="33"/>
    </row>
    <row r="3782" ht="15.75" customHeight="1">
      <c r="A3782" s="72"/>
      <c r="B3782" s="61"/>
      <c r="C3782" s="56"/>
      <c r="D3782" s="67"/>
      <c r="E3782" s="56"/>
      <c r="F3782" s="56"/>
      <c r="G3782" s="62"/>
      <c r="H3782" s="65"/>
      <c r="I3782" s="56"/>
      <c r="J3782" s="66"/>
      <c r="K3782" s="67"/>
      <c r="L3782" s="56"/>
      <c r="M3782" s="67"/>
      <c r="N3782" s="56"/>
      <c r="O3782" s="53"/>
      <c r="P3782" s="68"/>
      <c r="Q3782" s="69"/>
      <c r="R3782" s="68"/>
      <c r="S3782" s="70"/>
      <c r="T3782" s="67"/>
      <c r="U3782" s="56"/>
      <c r="V3782" s="56"/>
      <c r="W3782" s="71"/>
      <c r="X3782" s="71"/>
      <c r="AA3782" s="33"/>
      <c r="AB3782" s="33"/>
      <c r="AC3782" s="33"/>
      <c r="AD3782" s="33"/>
      <c r="AE3782" s="33"/>
      <c r="AF3782" s="33"/>
      <c r="AG3782" s="33"/>
      <c r="AH3782" s="33"/>
      <c r="AI3782" s="33"/>
      <c r="AJ3782" s="33"/>
      <c r="AK3782" s="33"/>
      <c r="AL3782" s="33"/>
      <c r="AM3782" s="33"/>
      <c r="AN3782" s="33"/>
      <c r="AO3782" s="33"/>
    </row>
    <row r="3783" ht="15.75" customHeight="1">
      <c r="A3783" s="72"/>
      <c r="B3783" s="61"/>
      <c r="C3783" s="56"/>
      <c r="D3783" s="67"/>
      <c r="E3783" s="56"/>
      <c r="F3783" s="56"/>
      <c r="G3783" s="62"/>
      <c r="H3783" s="65"/>
      <c r="I3783" s="56"/>
      <c r="J3783" s="66"/>
      <c r="K3783" s="67"/>
      <c r="L3783" s="56"/>
      <c r="M3783" s="67"/>
      <c r="N3783" s="56"/>
      <c r="O3783" s="53"/>
      <c r="P3783" s="68"/>
      <c r="Q3783" s="69"/>
      <c r="R3783" s="68"/>
      <c r="S3783" s="70"/>
      <c r="T3783" s="67"/>
      <c r="U3783" s="56"/>
      <c r="V3783" s="56"/>
      <c r="W3783" s="71"/>
      <c r="X3783" s="71"/>
      <c r="AA3783" s="33"/>
      <c r="AB3783" s="33"/>
      <c r="AC3783" s="33"/>
      <c r="AD3783" s="33"/>
      <c r="AE3783" s="33"/>
      <c r="AF3783" s="33"/>
      <c r="AG3783" s="33"/>
      <c r="AH3783" s="33"/>
      <c r="AI3783" s="33"/>
      <c r="AJ3783" s="33"/>
      <c r="AK3783" s="33"/>
      <c r="AL3783" s="33"/>
      <c r="AM3783" s="33"/>
      <c r="AN3783" s="33"/>
      <c r="AO3783" s="33"/>
    </row>
    <row r="3784" ht="15.75" customHeight="1">
      <c r="A3784" s="72"/>
      <c r="B3784" s="61"/>
      <c r="C3784" s="56"/>
      <c r="D3784" s="67"/>
      <c r="E3784" s="56"/>
      <c r="F3784" s="56"/>
      <c r="G3784" s="62"/>
      <c r="H3784" s="65"/>
      <c r="I3784" s="56"/>
      <c r="J3784" s="66"/>
      <c r="K3784" s="67"/>
      <c r="L3784" s="56"/>
      <c r="M3784" s="67"/>
      <c r="N3784" s="56"/>
      <c r="O3784" s="53"/>
      <c r="P3784" s="68"/>
      <c r="Q3784" s="69"/>
      <c r="R3784" s="68"/>
      <c r="S3784" s="70"/>
      <c r="T3784" s="67"/>
      <c r="U3784" s="56"/>
      <c r="V3784" s="56"/>
      <c r="W3784" s="71"/>
      <c r="X3784" s="71"/>
      <c r="AA3784" s="33"/>
      <c r="AB3784" s="33"/>
      <c r="AC3784" s="33"/>
      <c r="AD3784" s="33"/>
      <c r="AE3784" s="33"/>
      <c r="AF3784" s="33"/>
      <c r="AG3784" s="33"/>
      <c r="AH3784" s="33"/>
      <c r="AI3784" s="33"/>
      <c r="AJ3784" s="33"/>
      <c r="AK3784" s="33"/>
      <c r="AL3784" s="33"/>
      <c r="AM3784" s="33"/>
      <c r="AN3784" s="33"/>
      <c r="AO3784" s="33"/>
    </row>
    <row r="3785" ht="15.75" customHeight="1">
      <c r="A3785" s="72"/>
      <c r="B3785" s="61"/>
      <c r="C3785" s="56"/>
      <c r="D3785" s="67"/>
      <c r="E3785" s="56"/>
      <c r="F3785" s="56"/>
      <c r="G3785" s="62"/>
      <c r="H3785" s="65"/>
      <c r="I3785" s="56"/>
      <c r="J3785" s="66"/>
      <c r="K3785" s="67"/>
      <c r="L3785" s="56"/>
      <c r="M3785" s="67"/>
      <c r="N3785" s="56"/>
      <c r="O3785" s="53"/>
      <c r="P3785" s="68"/>
      <c r="Q3785" s="69"/>
      <c r="R3785" s="68"/>
      <c r="S3785" s="70"/>
      <c r="T3785" s="67"/>
      <c r="U3785" s="56"/>
      <c r="V3785" s="56"/>
      <c r="W3785" s="71"/>
      <c r="X3785" s="71"/>
      <c r="AA3785" s="33"/>
      <c r="AB3785" s="33"/>
      <c r="AC3785" s="33"/>
      <c r="AD3785" s="33"/>
      <c r="AE3785" s="33"/>
      <c r="AF3785" s="33"/>
      <c r="AG3785" s="33"/>
      <c r="AH3785" s="33"/>
      <c r="AI3785" s="33"/>
      <c r="AJ3785" s="33"/>
      <c r="AK3785" s="33"/>
      <c r="AL3785" s="33"/>
      <c r="AM3785" s="33"/>
      <c r="AN3785" s="33"/>
      <c r="AO3785" s="33"/>
    </row>
    <row r="3786" ht="15.75" customHeight="1">
      <c r="A3786" s="72"/>
      <c r="B3786" s="61"/>
      <c r="C3786" s="56"/>
      <c r="D3786" s="67"/>
      <c r="E3786" s="56"/>
      <c r="F3786" s="56"/>
      <c r="G3786" s="62"/>
      <c r="H3786" s="65"/>
      <c r="I3786" s="56"/>
      <c r="J3786" s="66"/>
      <c r="K3786" s="67"/>
      <c r="L3786" s="56"/>
      <c r="M3786" s="67"/>
      <c r="N3786" s="56"/>
      <c r="O3786" s="53"/>
      <c r="P3786" s="68"/>
      <c r="Q3786" s="69"/>
      <c r="R3786" s="68"/>
      <c r="S3786" s="70"/>
      <c r="T3786" s="67"/>
      <c r="U3786" s="56"/>
      <c r="V3786" s="56"/>
      <c r="W3786" s="71"/>
      <c r="X3786" s="71"/>
      <c r="AA3786" s="33"/>
      <c r="AB3786" s="33"/>
      <c r="AC3786" s="33"/>
      <c r="AD3786" s="33"/>
      <c r="AE3786" s="33"/>
      <c r="AF3786" s="33"/>
      <c r="AG3786" s="33"/>
      <c r="AH3786" s="33"/>
      <c r="AI3786" s="33"/>
      <c r="AJ3786" s="33"/>
      <c r="AK3786" s="33"/>
      <c r="AL3786" s="33"/>
      <c r="AM3786" s="33"/>
      <c r="AN3786" s="33"/>
      <c r="AO3786" s="33"/>
    </row>
    <row r="3787" ht="15.75" customHeight="1">
      <c r="A3787" s="72"/>
      <c r="B3787" s="61"/>
      <c r="C3787" s="56"/>
      <c r="D3787" s="67"/>
      <c r="E3787" s="56"/>
      <c r="F3787" s="56"/>
      <c r="G3787" s="62"/>
      <c r="H3787" s="65"/>
      <c r="I3787" s="56"/>
      <c r="J3787" s="66"/>
      <c r="K3787" s="67"/>
      <c r="L3787" s="56"/>
      <c r="M3787" s="67"/>
      <c r="N3787" s="56"/>
      <c r="O3787" s="53"/>
      <c r="P3787" s="68"/>
      <c r="Q3787" s="69"/>
      <c r="R3787" s="68"/>
      <c r="S3787" s="70"/>
      <c r="T3787" s="67"/>
      <c r="U3787" s="56"/>
      <c r="V3787" s="56"/>
      <c r="W3787" s="71"/>
      <c r="X3787" s="71"/>
      <c r="AA3787" s="33"/>
      <c r="AB3787" s="33"/>
      <c r="AC3787" s="33"/>
      <c r="AD3787" s="33"/>
      <c r="AE3787" s="33"/>
      <c r="AF3787" s="33"/>
      <c r="AG3787" s="33"/>
      <c r="AH3787" s="33"/>
      <c r="AI3787" s="33"/>
      <c r="AJ3787" s="33"/>
      <c r="AK3787" s="33"/>
      <c r="AL3787" s="33"/>
      <c r="AM3787" s="33"/>
      <c r="AN3787" s="33"/>
      <c r="AO3787" s="33"/>
    </row>
    <row r="3788" ht="15.75" customHeight="1">
      <c r="A3788" s="72"/>
      <c r="B3788" s="61"/>
      <c r="C3788" s="56"/>
      <c r="D3788" s="67"/>
      <c r="E3788" s="56"/>
      <c r="F3788" s="56"/>
      <c r="G3788" s="62"/>
      <c r="H3788" s="65"/>
      <c r="I3788" s="56"/>
      <c r="J3788" s="66"/>
      <c r="K3788" s="67"/>
      <c r="L3788" s="56"/>
      <c r="M3788" s="67"/>
      <c r="N3788" s="56"/>
      <c r="O3788" s="53"/>
      <c r="P3788" s="68"/>
      <c r="Q3788" s="69"/>
      <c r="R3788" s="68"/>
      <c r="S3788" s="70"/>
      <c r="T3788" s="67"/>
      <c r="U3788" s="56"/>
      <c r="V3788" s="56"/>
      <c r="W3788" s="71"/>
      <c r="X3788" s="71"/>
      <c r="AA3788" s="33"/>
      <c r="AB3788" s="33"/>
      <c r="AC3788" s="33"/>
      <c r="AD3788" s="33"/>
      <c r="AE3788" s="33"/>
      <c r="AF3788" s="33"/>
      <c r="AG3788" s="33"/>
      <c r="AH3788" s="33"/>
      <c r="AI3788" s="33"/>
      <c r="AJ3788" s="33"/>
      <c r="AK3788" s="33"/>
      <c r="AL3788" s="33"/>
      <c r="AM3788" s="33"/>
      <c r="AN3788" s="33"/>
      <c r="AO3788" s="33"/>
    </row>
    <row r="3789" ht="15.75" customHeight="1">
      <c r="A3789" s="72"/>
      <c r="B3789" s="61"/>
      <c r="C3789" s="56"/>
      <c r="D3789" s="67"/>
      <c r="E3789" s="56"/>
      <c r="F3789" s="56"/>
      <c r="G3789" s="62"/>
      <c r="H3789" s="65"/>
      <c r="I3789" s="56"/>
      <c r="J3789" s="66"/>
      <c r="K3789" s="67"/>
      <c r="L3789" s="56"/>
      <c r="M3789" s="67"/>
      <c r="N3789" s="56"/>
      <c r="O3789" s="53"/>
      <c r="P3789" s="68"/>
      <c r="Q3789" s="69"/>
      <c r="R3789" s="68"/>
      <c r="S3789" s="70"/>
      <c r="T3789" s="67"/>
      <c r="U3789" s="56"/>
      <c r="V3789" s="56"/>
      <c r="W3789" s="71"/>
      <c r="X3789" s="71"/>
      <c r="AA3789" s="33"/>
      <c r="AB3789" s="33"/>
      <c r="AC3789" s="33"/>
      <c r="AD3789" s="33"/>
      <c r="AE3789" s="33"/>
      <c r="AF3789" s="33"/>
      <c r="AG3789" s="33"/>
      <c r="AH3789" s="33"/>
      <c r="AI3789" s="33"/>
      <c r="AJ3789" s="33"/>
      <c r="AK3789" s="33"/>
      <c r="AL3789" s="33"/>
      <c r="AM3789" s="33"/>
      <c r="AN3789" s="33"/>
      <c r="AO3789" s="33"/>
    </row>
    <row r="3790" ht="15.75" customHeight="1">
      <c r="A3790" s="72"/>
      <c r="B3790" s="61"/>
      <c r="C3790" s="56"/>
      <c r="D3790" s="67"/>
      <c r="E3790" s="56"/>
      <c r="F3790" s="56"/>
      <c r="G3790" s="62"/>
      <c r="H3790" s="65"/>
      <c r="I3790" s="56"/>
      <c r="J3790" s="66"/>
      <c r="K3790" s="67"/>
      <c r="L3790" s="56"/>
      <c r="M3790" s="67"/>
      <c r="N3790" s="56"/>
      <c r="O3790" s="53"/>
      <c r="P3790" s="68"/>
      <c r="Q3790" s="69"/>
      <c r="R3790" s="68"/>
      <c r="S3790" s="70"/>
      <c r="T3790" s="67"/>
      <c r="U3790" s="56"/>
      <c r="V3790" s="56"/>
      <c r="W3790" s="71"/>
      <c r="X3790" s="71"/>
      <c r="AA3790" s="33"/>
      <c r="AB3790" s="33"/>
      <c r="AC3790" s="33"/>
      <c r="AD3790" s="33"/>
      <c r="AE3790" s="33"/>
      <c r="AF3790" s="33"/>
      <c r="AG3790" s="33"/>
      <c r="AH3790" s="33"/>
      <c r="AI3790" s="33"/>
      <c r="AJ3790" s="33"/>
      <c r="AK3790" s="33"/>
      <c r="AL3790" s="33"/>
      <c r="AM3790" s="33"/>
      <c r="AN3790" s="33"/>
      <c r="AO3790" s="33"/>
    </row>
    <row r="3791" ht="15.75" customHeight="1">
      <c r="A3791" s="72"/>
      <c r="B3791" s="61"/>
      <c r="C3791" s="56"/>
      <c r="D3791" s="67"/>
      <c r="E3791" s="56"/>
      <c r="F3791" s="56"/>
      <c r="G3791" s="62"/>
      <c r="H3791" s="65"/>
      <c r="I3791" s="56"/>
      <c r="J3791" s="66"/>
      <c r="K3791" s="67"/>
      <c r="L3791" s="56"/>
      <c r="M3791" s="67"/>
      <c r="N3791" s="56"/>
      <c r="O3791" s="53"/>
      <c r="P3791" s="68"/>
      <c r="Q3791" s="69"/>
      <c r="R3791" s="68"/>
      <c r="S3791" s="70"/>
      <c r="T3791" s="67"/>
      <c r="U3791" s="56"/>
      <c r="V3791" s="56"/>
      <c r="W3791" s="71"/>
      <c r="X3791" s="71"/>
      <c r="AA3791" s="33"/>
      <c r="AB3791" s="33"/>
      <c r="AC3791" s="33"/>
      <c r="AD3791" s="33"/>
      <c r="AE3791" s="33"/>
      <c r="AF3791" s="33"/>
      <c r="AG3791" s="33"/>
      <c r="AH3791" s="33"/>
      <c r="AI3791" s="33"/>
      <c r="AJ3791" s="33"/>
      <c r="AK3791" s="33"/>
      <c r="AL3791" s="33"/>
      <c r="AM3791" s="33"/>
      <c r="AN3791" s="33"/>
      <c r="AO3791" s="33"/>
    </row>
    <row r="3792" ht="15.75" customHeight="1">
      <c r="A3792" s="72"/>
      <c r="B3792" s="61"/>
      <c r="C3792" s="56"/>
      <c r="D3792" s="67"/>
      <c r="E3792" s="56"/>
      <c r="F3792" s="56"/>
      <c r="G3792" s="62"/>
      <c r="H3792" s="65"/>
      <c r="I3792" s="56"/>
      <c r="J3792" s="66"/>
      <c r="K3792" s="67"/>
      <c r="L3792" s="56"/>
      <c r="M3792" s="67"/>
      <c r="N3792" s="56"/>
      <c r="O3792" s="53"/>
      <c r="P3792" s="68"/>
      <c r="Q3792" s="69"/>
      <c r="R3792" s="68"/>
      <c r="S3792" s="70"/>
      <c r="T3792" s="67"/>
      <c r="U3792" s="56"/>
      <c r="V3792" s="56"/>
      <c r="W3792" s="71"/>
      <c r="X3792" s="71"/>
      <c r="AA3792" s="33"/>
      <c r="AB3792" s="33"/>
      <c r="AC3792" s="33"/>
      <c r="AD3792" s="33"/>
      <c r="AE3792" s="33"/>
      <c r="AF3792" s="33"/>
      <c r="AG3792" s="33"/>
      <c r="AH3792" s="33"/>
      <c r="AI3792" s="33"/>
      <c r="AJ3792" s="33"/>
      <c r="AK3792" s="33"/>
      <c r="AL3792" s="33"/>
      <c r="AM3792" s="33"/>
      <c r="AN3792" s="33"/>
      <c r="AO3792" s="33"/>
    </row>
    <row r="3793" ht="15.75" customHeight="1">
      <c r="A3793" s="72"/>
      <c r="B3793" s="61"/>
      <c r="C3793" s="56"/>
      <c r="D3793" s="67"/>
      <c r="E3793" s="56"/>
      <c r="F3793" s="56"/>
      <c r="G3793" s="62"/>
      <c r="H3793" s="65"/>
      <c r="I3793" s="56"/>
      <c r="J3793" s="66"/>
      <c r="K3793" s="67"/>
      <c r="L3793" s="56"/>
      <c r="M3793" s="67"/>
      <c r="N3793" s="56"/>
      <c r="O3793" s="53"/>
      <c r="P3793" s="68"/>
      <c r="Q3793" s="69"/>
      <c r="R3793" s="68"/>
      <c r="S3793" s="70"/>
      <c r="T3793" s="67"/>
      <c r="U3793" s="56"/>
      <c r="V3793" s="56"/>
      <c r="W3793" s="71"/>
      <c r="X3793" s="71"/>
      <c r="AA3793" s="33"/>
      <c r="AB3793" s="33"/>
      <c r="AC3793" s="33"/>
      <c r="AD3793" s="33"/>
      <c r="AE3793" s="33"/>
      <c r="AF3793" s="33"/>
      <c r="AG3793" s="33"/>
      <c r="AH3793" s="33"/>
      <c r="AI3793" s="33"/>
      <c r="AJ3793" s="33"/>
      <c r="AK3793" s="33"/>
      <c r="AL3793" s="33"/>
      <c r="AM3793" s="33"/>
      <c r="AN3793" s="33"/>
      <c r="AO3793" s="33"/>
    </row>
    <row r="3794" ht="15.75" customHeight="1">
      <c r="A3794" s="72"/>
      <c r="B3794" s="61"/>
      <c r="C3794" s="56"/>
      <c r="D3794" s="67"/>
      <c r="E3794" s="56"/>
      <c r="F3794" s="56"/>
      <c r="G3794" s="62"/>
      <c r="H3794" s="65"/>
      <c r="I3794" s="56"/>
      <c r="J3794" s="66"/>
      <c r="K3794" s="67"/>
      <c r="L3794" s="56"/>
      <c r="M3794" s="67"/>
      <c r="N3794" s="56"/>
      <c r="O3794" s="53"/>
      <c r="P3794" s="68"/>
      <c r="Q3794" s="69"/>
      <c r="R3794" s="68"/>
      <c r="S3794" s="70"/>
      <c r="T3794" s="67"/>
      <c r="U3794" s="56"/>
      <c r="V3794" s="56"/>
      <c r="W3794" s="71"/>
      <c r="X3794" s="71"/>
      <c r="AA3794" s="33"/>
      <c r="AB3794" s="33"/>
      <c r="AC3794" s="33"/>
      <c r="AD3794" s="33"/>
      <c r="AE3794" s="33"/>
      <c r="AF3794" s="33"/>
      <c r="AG3794" s="33"/>
      <c r="AH3794" s="33"/>
      <c r="AI3794" s="33"/>
      <c r="AJ3794" s="33"/>
      <c r="AK3794" s="33"/>
      <c r="AL3794" s="33"/>
      <c r="AM3794" s="33"/>
      <c r="AN3794" s="33"/>
      <c r="AO3794" s="33"/>
    </row>
    <row r="3795" ht="15.75" customHeight="1">
      <c r="A3795" s="72"/>
      <c r="B3795" s="61"/>
      <c r="C3795" s="56"/>
      <c r="D3795" s="67"/>
      <c r="E3795" s="56"/>
      <c r="F3795" s="56"/>
      <c r="G3795" s="62"/>
      <c r="H3795" s="65"/>
      <c r="I3795" s="56"/>
      <c r="J3795" s="66"/>
      <c r="K3795" s="67"/>
      <c r="L3795" s="56"/>
      <c r="M3795" s="67"/>
      <c r="N3795" s="56"/>
      <c r="O3795" s="53"/>
      <c r="P3795" s="68"/>
      <c r="Q3795" s="69"/>
      <c r="R3795" s="68"/>
      <c r="S3795" s="70"/>
      <c r="T3795" s="67"/>
      <c r="U3795" s="56"/>
      <c r="V3795" s="56"/>
      <c r="W3795" s="71"/>
      <c r="X3795" s="71"/>
      <c r="AA3795" s="33"/>
      <c r="AB3795" s="33"/>
      <c r="AC3795" s="33"/>
      <c r="AD3795" s="33"/>
      <c r="AE3795" s="33"/>
      <c r="AF3795" s="33"/>
      <c r="AG3795" s="33"/>
      <c r="AH3795" s="33"/>
      <c r="AI3795" s="33"/>
      <c r="AJ3795" s="33"/>
      <c r="AK3795" s="33"/>
      <c r="AL3795" s="33"/>
      <c r="AM3795" s="33"/>
      <c r="AN3795" s="33"/>
      <c r="AO3795" s="33"/>
    </row>
    <row r="3796" ht="15.75" customHeight="1">
      <c r="A3796" s="72"/>
      <c r="B3796" s="61"/>
      <c r="C3796" s="56"/>
      <c r="D3796" s="67"/>
      <c r="E3796" s="56"/>
      <c r="F3796" s="56"/>
      <c r="G3796" s="62"/>
      <c r="H3796" s="65"/>
      <c r="I3796" s="56"/>
      <c r="J3796" s="66"/>
      <c r="K3796" s="67"/>
      <c r="L3796" s="56"/>
      <c r="M3796" s="67"/>
      <c r="N3796" s="56"/>
      <c r="O3796" s="53"/>
      <c r="P3796" s="68"/>
      <c r="Q3796" s="69"/>
      <c r="R3796" s="68"/>
      <c r="S3796" s="70"/>
      <c r="T3796" s="67"/>
      <c r="U3796" s="56"/>
      <c r="V3796" s="56"/>
      <c r="W3796" s="71"/>
      <c r="X3796" s="71"/>
      <c r="AA3796" s="33"/>
      <c r="AB3796" s="33"/>
      <c r="AC3796" s="33"/>
      <c r="AD3796" s="33"/>
      <c r="AE3796" s="33"/>
      <c r="AF3796" s="33"/>
      <c r="AG3796" s="33"/>
      <c r="AH3796" s="33"/>
      <c r="AI3796" s="33"/>
      <c r="AJ3796" s="33"/>
      <c r="AK3796" s="33"/>
      <c r="AL3796" s="33"/>
      <c r="AM3796" s="33"/>
      <c r="AN3796" s="33"/>
      <c r="AO3796" s="33"/>
    </row>
    <row r="3797" ht="15.75" customHeight="1">
      <c r="A3797" s="72"/>
      <c r="B3797" s="61"/>
      <c r="C3797" s="56"/>
      <c r="D3797" s="67"/>
      <c r="E3797" s="56"/>
      <c r="F3797" s="56"/>
      <c r="G3797" s="62"/>
      <c r="H3797" s="65"/>
      <c r="I3797" s="56"/>
      <c r="J3797" s="66"/>
      <c r="K3797" s="67"/>
      <c r="L3797" s="56"/>
      <c r="M3797" s="67"/>
      <c r="N3797" s="56"/>
      <c r="O3797" s="53"/>
      <c r="P3797" s="68"/>
      <c r="Q3797" s="69"/>
      <c r="R3797" s="68"/>
      <c r="S3797" s="70"/>
      <c r="T3797" s="67"/>
      <c r="U3797" s="56"/>
      <c r="V3797" s="56"/>
      <c r="W3797" s="71"/>
      <c r="X3797" s="71"/>
      <c r="AA3797" s="33"/>
      <c r="AB3797" s="33"/>
      <c r="AC3797" s="33"/>
      <c r="AD3797" s="33"/>
      <c r="AE3797" s="33"/>
      <c r="AF3797" s="33"/>
      <c r="AG3797" s="33"/>
      <c r="AH3797" s="33"/>
      <c r="AI3797" s="33"/>
      <c r="AJ3797" s="33"/>
      <c r="AK3797" s="33"/>
      <c r="AL3797" s="33"/>
      <c r="AM3797" s="33"/>
      <c r="AN3797" s="33"/>
      <c r="AO3797" s="33"/>
    </row>
    <row r="3798" ht="15.75" customHeight="1">
      <c r="A3798" s="72"/>
      <c r="B3798" s="61"/>
      <c r="C3798" s="56"/>
      <c r="D3798" s="67"/>
      <c r="E3798" s="56"/>
      <c r="F3798" s="56"/>
      <c r="G3798" s="62"/>
      <c r="H3798" s="65"/>
      <c r="I3798" s="56"/>
      <c r="J3798" s="66"/>
      <c r="K3798" s="67"/>
      <c r="L3798" s="56"/>
      <c r="M3798" s="67"/>
      <c r="N3798" s="56"/>
      <c r="O3798" s="53"/>
      <c r="P3798" s="68"/>
      <c r="Q3798" s="69"/>
      <c r="R3798" s="68"/>
      <c r="S3798" s="70"/>
      <c r="T3798" s="67"/>
      <c r="U3798" s="56"/>
      <c r="V3798" s="56"/>
      <c r="W3798" s="71"/>
      <c r="X3798" s="71"/>
      <c r="AA3798" s="33"/>
      <c r="AB3798" s="33"/>
      <c r="AC3798" s="33"/>
      <c r="AD3798" s="33"/>
      <c r="AE3798" s="33"/>
      <c r="AF3798" s="33"/>
      <c r="AG3798" s="33"/>
      <c r="AH3798" s="33"/>
      <c r="AI3798" s="33"/>
      <c r="AJ3798" s="33"/>
      <c r="AK3798" s="33"/>
      <c r="AL3798" s="33"/>
      <c r="AM3798" s="33"/>
      <c r="AN3798" s="33"/>
      <c r="AO3798" s="33"/>
    </row>
    <row r="3799" ht="15.75" customHeight="1">
      <c r="A3799" s="72"/>
      <c r="B3799" s="61"/>
      <c r="C3799" s="56"/>
      <c r="D3799" s="67"/>
      <c r="E3799" s="56"/>
      <c r="F3799" s="56"/>
      <c r="G3799" s="62"/>
      <c r="H3799" s="65"/>
      <c r="I3799" s="56"/>
      <c r="J3799" s="66"/>
      <c r="K3799" s="67"/>
      <c r="L3799" s="56"/>
      <c r="M3799" s="67"/>
      <c r="N3799" s="56"/>
      <c r="O3799" s="53"/>
      <c r="P3799" s="68"/>
      <c r="Q3799" s="69"/>
      <c r="R3799" s="68"/>
      <c r="S3799" s="70"/>
      <c r="T3799" s="67"/>
      <c r="U3799" s="56"/>
      <c r="V3799" s="56"/>
      <c r="W3799" s="71"/>
      <c r="X3799" s="71"/>
      <c r="AA3799" s="33"/>
      <c r="AB3799" s="33"/>
      <c r="AC3799" s="33"/>
      <c r="AD3799" s="33"/>
      <c r="AE3799" s="33"/>
      <c r="AF3799" s="33"/>
      <c r="AG3799" s="33"/>
      <c r="AH3799" s="33"/>
      <c r="AI3799" s="33"/>
      <c r="AJ3799" s="33"/>
      <c r="AK3799" s="33"/>
      <c r="AL3799" s="33"/>
      <c r="AM3799" s="33"/>
      <c r="AN3799" s="33"/>
      <c r="AO3799" s="33"/>
    </row>
    <row r="3800" ht="15.75" customHeight="1">
      <c r="A3800" s="72"/>
      <c r="B3800" s="61"/>
      <c r="C3800" s="56"/>
      <c r="D3800" s="67"/>
      <c r="E3800" s="56"/>
      <c r="F3800" s="56"/>
      <c r="G3800" s="62"/>
      <c r="H3800" s="65"/>
      <c r="I3800" s="56"/>
      <c r="J3800" s="66"/>
      <c r="K3800" s="67"/>
      <c r="L3800" s="56"/>
      <c r="M3800" s="67"/>
      <c r="N3800" s="56"/>
      <c r="O3800" s="53"/>
      <c r="P3800" s="68"/>
      <c r="Q3800" s="69"/>
      <c r="R3800" s="68"/>
      <c r="S3800" s="70"/>
      <c r="T3800" s="67"/>
      <c r="U3800" s="56"/>
      <c r="V3800" s="56"/>
      <c r="W3800" s="71"/>
      <c r="X3800" s="71"/>
      <c r="AA3800" s="33"/>
      <c r="AB3800" s="33"/>
      <c r="AC3800" s="33"/>
      <c r="AD3800" s="33"/>
      <c r="AE3800" s="33"/>
      <c r="AF3800" s="33"/>
      <c r="AG3800" s="33"/>
      <c r="AH3800" s="33"/>
      <c r="AI3800" s="33"/>
      <c r="AJ3800" s="33"/>
      <c r="AK3800" s="33"/>
      <c r="AL3800" s="33"/>
      <c r="AM3800" s="33"/>
      <c r="AN3800" s="33"/>
      <c r="AO3800" s="33"/>
    </row>
    <row r="3801" ht="15.75" customHeight="1">
      <c r="A3801" s="72"/>
      <c r="B3801" s="61"/>
      <c r="C3801" s="56"/>
      <c r="D3801" s="67"/>
      <c r="E3801" s="56"/>
      <c r="F3801" s="56"/>
      <c r="G3801" s="62"/>
      <c r="H3801" s="65"/>
      <c r="I3801" s="56"/>
      <c r="J3801" s="66"/>
      <c r="K3801" s="67"/>
      <c r="L3801" s="56"/>
      <c r="M3801" s="67"/>
      <c r="N3801" s="56"/>
      <c r="O3801" s="53"/>
      <c r="P3801" s="68"/>
      <c r="Q3801" s="69"/>
      <c r="R3801" s="68"/>
      <c r="S3801" s="70"/>
      <c r="T3801" s="67"/>
      <c r="U3801" s="56"/>
      <c r="V3801" s="56"/>
      <c r="W3801" s="71"/>
      <c r="X3801" s="71"/>
      <c r="AA3801" s="33"/>
      <c r="AB3801" s="33"/>
      <c r="AC3801" s="33"/>
      <c r="AD3801" s="33"/>
      <c r="AE3801" s="33"/>
      <c r="AF3801" s="33"/>
      <c r="AG3801" s="33"/>
      <c r="AH3801" s="33"/>
      <c r="AI3801" s="33"/>
      <c r="AJ3801" s="33"/>
      <c r="AK3801" s="33"/>
      <c r="AL3801" s="33"/>
      <c r="AM3801" s="33"/>
      <c r="AN3801" s="33"/>
      <c r="AO3801" s="33"/>
    </row>
    <row r="3802" ht="15.75" customHeight="1">
      <c r="A3802" s="72"/>
      <c r="B3802" s="61"/>
      <c r="C3802" s="56"/>
      <c r="D3802" s="67"/>
      <c r="E3802" s="56"/>
      <c r="F3802" s="56"/>
      <c r="G3802" s="62"/>
      <c r="H3802" s="65"/>
      <c r="I3802" s="56"/>
      <c r="J3802" s="66"/>
      <c r="K3802" s="67"/>
      <c r="L3802" s="56"/>
      <c r="M3802" s="67"/>
      <c r="N3802" s="56"/>
      <c r="O3802" s="53"/>
      <c r="P3802" s="68"/>
      <c r="Q3802" s="69"/>
      <c r="R3802" s="68"/>
      <c r="S3802" s="70"/>
      <c r="T3802" s="67"/>
      <c r="U3802" s="56"/>
      <c r="V3802" s="56"/>
      <c r="W3802" s="71"/>
      <c r="X3802" s="71"/>
      <c r="AA3802" s="33"/>
      <c r="AB3802" s="33"/>
      <c r="AC3802" s="33"/>
      <c r="AD3802" s="33"/>
      <c r="AE3802" s="33"/>
      <c r="AF3802" s="33"/>
      <c r="AG3802" s="33"/>
      <c r="AH3802" s="33"/>
      <c r="AI3802" s="33"/>
      <c r="AJ3802" s="33"/>
      <c r="AK3802" s="33"/>
      <c r="AL3802" s="33"/>
      <c r="AM3802" s="33"/>
      <c r="AN3802" s="33"/>
      <c r="AO3802" s="33"/>
    </row>
    <row r="3803" ht="15.75" customHeight="1">
      <c r="A3803" s="72"/>
      <c r="B3803" s="61"/>
      <c r="C3803" s="56"/>
      <c r="D3803" s="67"/>
      <c r="E3803" s="56"/>
      <c r="F3803" s="56"/>
      <c r="G3803" s="62"/>
      <c r="H3803" s="65"/>
      <c r="I3803" s="56"/>
      <c r="J3803" s="66"/>
      <c r="K3803" s="67"/>
      <c r="L3803" s="56"/>
      <c r="M3803" s="67"/>
      <c r="N3803" s="56"/>
      <c r="O3803" s="53"/>
      <c r="P3803" s="68"/>
      <c r="Q3803" s="69"/>
      <c r="R3803" s="68"/>
      <c r="S3803" s="70"/>
      <c r="T3803" s="67"/>
      <c r="U3803" s="56"/>
      <c r="V3803" s="56"/>
      <c r="W3803" s="71"/>
      <c r="X3803" s="71"/>
      <c r="AA3803" s="33"/>
      <c r="AB3803" s="33"/>
      <c r="AC3803" s="33"/>
      <c r="AD3803" s="33"/>
      <c r="AE3803" s="33"/>
      <c r="AF3803" s="33"/>
      <c r="AG3803" s="33"/>
      <c r="AH3803" s="33"/>
      <c r="AI3803" s="33"/>
      <c r="AJ3803" s="33"/>
      <c r="AK3803" s="33"/>
      <c r="AL3803" s="33"/>
      <c r="AM3803" s="33"/>
      <c r="AN3803" s="33"/>
      <c r="AO3803" s="33"/>
    </row>
    <row r="3804" ht="15.75" customHeight="1">
      <c r="A3804" s="72"/>
      <c r="B3804" s="61"/>
      <c r="C3804" s="56"/>
      <c r="D3804" s="67"/>
      <c r="E3804" s="56"/>
      <c r="F3804" s="56"/>
      <c r="G3804" s="62"/>
      <c r="H3804" s="65"/>
      <c r="I3804" s="56"/>
      <c r="J3804" s="66"/>
      <c r="K3804" s="67"/>
      <c r="L3804" s="56"/>
      <c r="M3804" s="67"/>
      <c r="N3804" s="56"/>
      <c r="O3804" s="53"/>
      <c r="P3804" s="68"/>
      <c r="Q3804" s="69"/>
      <c r="R3804" s="68"/>
      <c r="S3804" s="70"/>
      <c r="T3804" s="67"/>
      <c r="U3804" s="56"/>
      <c r="V3804" s="56"/>
      <c r="W3804" s="71"/>
      <c r="X3804" s="71"/>
      <c r="AA3804" s="33"/>
      <c r="AB3804" s="33"/>
      <c r="AC3804" s="33"/>
      <c r="AD3804" s="33"/>
      <c r="AE3804" s="33"/>
      <c r="AF3804" s="33"/>
      <c r="AG3804" s="33"/>
      <c r="AH3804" s="33"/>
      <c r="AI3804" s="33"/>
      <c r="AJ3804" s="33"/>
      <c r="AK3804" s="33"/>
      <c r="AL3804" s="33"/>
      <c r="AM3804" s="33"/>
      <c r="AN3804" s="33"/>
      <c r="AO3804" s="33"/>
    </row>
    <row r="3805" ht="15.75" customHeight="1">
      <c r="A3805" s="72"/>
      <c r="B3805" s="61"/>
      <c r="C3805" s="56"/>
      <c r="D3805" s="67"/>
      <c r="E3805" s="56"/>
      <c r="F3805" s="56"/>
      <c r="G3805" s="62"/>
      <c r="H3805" s="65"/>
      <c r="I3805" s="56"/>
      <c r="J3805" s="66"/>
      <c r="K3805" s="67"/>
      <c r="L3805" s="56"/>
      <c r="M3805" s="67"/>
      <c r="N3805" s="56"/>
      <c r="O3805" s="53"/>
      <c r="P3805" s="68"/>
      <c r="Q3805" s="69"/>
      <c r="R3805" s="68"/>
      <c r="S3805" s="70"/>
      <c r="T3805" s="67"/>
      <c r="U3805" s="56"/>
      <c r="V3805" s="56"/>
      <c r="W3805" s="71"/>
      <c r="X3805" s="71"/>
      <c r="AA3805" s="33"/>
      <c r="AB3805" s="33"/>
      <c r="AC3805" s="33"/>
      <c r="AD3805" s="33"/>
      <c r="AE3805" s="33"/>
      <c r="AF3805" s="33"/>
      <c r="AG3805" s="33"/>
      <c r="AH3805" s="33"/>
      <c r="AI3805" s="33"/>
      <c r="AJ3805" s="33"/>
      <c r="AK3805" s="33"/>
      <c r="AL3805" s="33"/>
      <c r="AM3805" s="33"/>
      <c r="AN3805" s="33"/>
      <c r="AO3805" s="33"/>
    </row>
    <row r="3806" ht="15.75" customHeight="1">
      <c r="A3806" s="72"/>
      <c r="B3806" s="61"/>
      <c r="C3806" s="56"/>
      <c r="D3806" s="67"/>
      <c r="E3806" s="56"/>
      <c r="F3806" s="56"/>
      <c r="G3806" s="62"/>
      <c r="H3806" s="65"/>
      <c r="I3806" s="56"/>
      <c r="J3806" s="66"/>
      <c r="K3806" s="67"/>
      <c r="L3806" s="56"/>
      <c r="M3806" s="67"/>
      <c r="N3806" s="56"/>
      <c r="O3806" s="53"/>
      <c r="P3806" s="68"/>
      <c r="Q3806" s="69"/>
      <c r="R3806" s="68"/>
      <c r="S3806" s="70"/>
      <c r="T3806" s="67"/>
      <c r="U3806" s="56"/>
      <c r="V3806" s="56"/>
      <c r="W3806" s="71"/>
      <c r="X3806" s="71"/>
      <c r="AA3806" s="33"/>
      <c r="AB3806" s="33"/>
      <c r="AC3806" s="33"/>
      <c r="AD3806" s="33"/>
      <c r="AE3806" s="33"/>
      <c r="AF3806" s="33"/>
      <c r="AG3806" s="33"/>
      <c r="AH3806" s="33"/>
      <c r="AI3806" s="33"/>
      <c r="AJ3806" s="33"/>
      <c r="AK3806" s="33"/>
      <c r="AL3806" s="33"/>
      <c r="AM3806" s="33"/>
      <c r="AN3806" s="33"/>
      <c r="AO3806" s="33"/>
    </row>
    <row r="3807" ht="15.75" customHeight="1">
      <c r="A3807" s="72"/>
      <c r="B3807" s="61"/>
      <c r="C3807" s="56"/>
      <c r="D3807" s="67"/>
      <c r="E3807" s="56"/>
      <c r="F3807" s="56"/>
      <c r="G3807" s="62"/>
      <c r="H3807" s="65"/>
      <c r="I3807" s="56"/>
      <c r="J3807" s="66"/>
      <c r="K3807" s="67"/>
      <c r="L3807" s="56"/>
      <c r="M3807" s="67"/>
      <c r="N3807" s="56"/>
      <c r="O3807" s="53"/>
      <c r="P3807" s="68"/>
      <c r="Q3807" s="69"/>
      <c r="R3807" s="68"/>
      <c r="S3807" s="70"/>
      <c r="T3807" s="67"/>
      <c r="U3807" s="56"/>
      <c r="V3807" s="56"/>
      <c r="W3807" s="71"/>
      <c r="X3807" s="71"/>
      <c r="AA3807" s="33"/>
      <c r="AB3807" s="33"/>
      <c r="AC3807" s="33"/>
      <c r="AD3807" s="33"/>
      <c r="AE3807" s="33"/>
      <c r="AF3807" s="33"/>
      <c r="AG3807" s="33"/>
      <c r="AH3807" s="33"/>
      <c r="AI3807" s="33"/>
      <c r="AJ3807" s="33"/>
      <c r="AK3807" s="33"/>
      <c r="AL3807" s="33"/>
      <c r="AM3807" s="33"/>
      <c r="AN3807" s="33"/>
      <c r="AO3807" s="33"/>
    </row>
    <row r="3808" ht="15.75" customHeight="1">
      <c r="A3808" s="72"/>
      <c r="B3808" s="61"/>
      <c r="C3808" s="56"/>
      <c r="D3808" s="67"/>
      <c r="E3808" s="56"/>
      <c r="F3808" s="56"/>
      <c r="G3808" s="62"/>
      <c r="H3808" s="65"/>
      <c r="I3808" s="56"/>
      <c r="J3808" s="66"/>
      <c r="K3808" s="67"/>
      <c r="L3808" s="56"/>
      <c r="M3808" s="67"/>
      <c r="N3808" s="56"/>
      <c r="O3808" s="53"/>
      <c r="P3808" s="68"/>
      <c r="Q3808" s="69"/>
      <c r="R3808" s="68"/>
      <c r="S3808" s="70"/>
      <c r="T3808" s="67"/>
      <c r="U3808" s="56"/>
      <c r="V3808" s="56"/>
      <c r="W3808" s="71"/>
      <c r="X3808" s="71"/>
      <c r="AA3808" s="33"/>
      <c r="AB3808" s="33"/>
      <c r="AC3808" s="33"/>
      <c r="AD3808" s="33"/>
      <c r="AE3808" s="33"/>
      <c r="AF3808" s="33"/>
      <c r="AG3808" s="33"/>
      <c r="AH3808" s="33"/>
      <c r="AI3808" s="33"/>
      <c r="AJ3808" s="33"/>
      <c r="AK3808" s="33"/>
      <c r="AL3808" s="33"/>
      <c r="AM3808" s="33"/>
      <c r="AN3808" s="33"/>
      <c r="AO3808" s="33"/>
    </row>
    <row r="3809" ht="15.75" customHeight="1">
      <c r="A3809" s="72"/>
      <c r="B3809" s="61"/>
      <c r="C3809" s="56"/>
      <c r="D3809" s="67"/>
      <c r="E3809" s="56"/>
      <c r="F3809" s="56"/>
      <c r="G3809" s="62"/>
      <c r="H3809" s="65"/>
      <c r="I3809" s="56"/>
      <c r="J3809" s="66"/>
      <c r="K3809" s="67"/>
      <c r="L3809" s="56"/>
      <c r="M3809" s="67"/>
      <c r="N3809" s="56"/>
      <c r="O3809" s="53"/>
      <c r="P3809" s="68"/>
      <c r="Q3809" s="69"/>
      <c r="R3809" s="68"/>
      <c r="S3809" s="70"/>
      <c r="T3809" s="67"/>
      <c r="U3809" s="56"/>
      <c r="V3809" s="56"/>
      <c r="W3809" s="71"/>
      <c r="X3809" s="71"/>
      <c r="AA3809" s="33"/>
      <c r="AB3809" s="33"/>
      <c r="AC3809" s="33"/>
      <c r="AD3809" s="33"/>
      <c r="AE3809" s="33"/>
      <c r="AF3809" s="33"/>
      <c r="AG3809" s="33"/>
      <c r="AH3809" s="33"/>
      <c r="AI3809" s="33"/>
      <c r="AJ3809" s="33"/>
      <c r="AK3809" s="33"/>
      <c r="AL3809" s="33"/>
      <c r="AM3809" s="33"/>
      <c r="AN3809" s="33"/>
      <c r="AO3809" s="33"/>
    </row>
    <row r="3810" ht="15.75" customHeight="1">
      <c r="A3810" s="72"/>
      <c r="B3810" s="61"/>
      <c r="C3810" s="56"/>
      <c r="D3810" s="67"/>
      <c r="E3810" s="56"/>
      <c r="F3810" s="56"/>
      <c r="G3810" s="62"/>
      <c r="H3810" s="65"/>
      <c r="I3810" s="56"/>
      <c r="J3810" s="66"/>
      <c r="K3810" s="67"/>
      <c r="L3810" s="56"/>
      <c r="M3810" s="67"/>
      <c r="N3810" s="56"/>
      <c r="O3810" s="53"/>
      <c r="P3810" s="68"/>
      <c r="Q3810" s="69"/>
      <c r="R3810" s="68"/>
      <c r="S3810" s="70"/>
      <c r="T3810" s="67"/>
      <c r="U3810" s="56"/>
      <c r="V3810" s="56"/>
      <c r="W3810" s="71"/>
      <c r="X3810" s="71"/>
      <c r="AA3810" s="33"/>
      <c r="AB3810" s="33"/>
      <c r="AC3810" s="33"/>
      <c r="AD3810" s="33"/>
      <c r="AE3810" s="33"/>
      <c r="AF3810" s="33"/>
      <c r="AG3810" s="33"/>
      <c r="AH3810" s="33"/>
      <c r="AI3810" s="33"/>
      <c r="AJ3810" s="33"/>
      <c r="AK3810" s="33"/>
      <c r="AL3810" s="33"/>
      <c r="AM3810" s="33"/>
      <c r="AN3810" s="33"/>
      <c r="AO3810" s="33"/>
    </row>
    <row r="3811" ht="15.75" customHeight="1">
      <c r="A3811" s="72"/>
      <c r="B3811" s="61"/>
      <c r="C3811" s="56"/>
      <c r="D3811" s="67"/>
      <c r="E3811" s="56"/>
      <c r="F3811" s="56"/>
      <c r="G3811" s="62"/>
      <c r="H3811" s="65"/>
      <c r="I3811" s="56"/>
      <c r="J3811" s="66"/>
      <c r="K3811" s="67"/>
      <c r="L3811" s="56"/>
      <c r="M3811" s="67"/>
      <c r="N3811" s="56"/>
      <c r="O3811" s="53"/>
      <c r="P3811" s="68"/>
      <c r="Q3811" s="69"/>
      <c r="R3811" s="68"/>
      <c r="S3811" s="70"/>
      <c r="T3811" s="67"/>
      <c r="U3811" s="56"/>
      <c r="V3811" s="56"/>
      <c r="W3811" s="71"/>
      <c r="X3811" s="71"/>
      <c r="AA3811" s="33"/>
      <c r="AB3811" s="33"/>
      <c r="AC3811" s="33"/>
      <c r="AD3811" s="33"/>
      <c r="AE3811" s="33"/>
      <c r="AF3811" s="33"/>
      <c r="AG3811" s="33"/>
      <c r="AH3811" s="33"/>
      <c r="AI3811" s="33"/>
      <c r="AJ3811" s="33"/>
      <c r="AK3811" s="33"/>
      <c r="AL3811" s="33"/>
      <c r="AM3811" s="33"/>
      <c r="AN3811" s="33"/>
      <c r="AO3811" s="33"/>
    </row>
    <row r="3812" ht="15.75" customHeight="1">
      <c r="A3812" s="72"/>
      <c r="B3812" s="61"/>
      <c r="C3812" s="56"/>
      <c r="D3812" s="67"/>
      <c r="E3812" s="56"/>
      <c r="F3812" s="56"/>
      <c r="G3812" s="62"/>
      <c r="H3812" s="65"/>
      <c r="I3812" s="56"/>
      <c r="J3812" s="66"/>
      <c r="K3812" s="67"/>
      <c r="L3812" s="56"/>
      <c r="M3812" s="67"/>
      <c r="N3812" s="56"/>
      <c r="O3812" s="53"/>
      <c r="P3812" s="68"/>
      <c r="Q3812" s="69"/>
      <c r="R3812" s="68"/>
      <c r="S3812" s="70"/>
      <c r="T3812" s="67"/>
      <c r="U3812" s="56"/>
      <c r="V3812" s="56"/>
      <c r="W3812" s="71"/>
      <c r="X3812" s="71"/>
      <c r="AA3812" s="33"/>
      <c r="AB3812" s="33"/>
      <c r="AC3812" s="33"/>
      <c r="AD3812" s="33"/>
      <c r="AE3812" s="33"/>
      <c r="AF3812" s="33"/>
      <c r="AG3812" s="33"/>
      <c r="AH3812" s="33"/>
      <c r="AI3812" s="33"/>
      <c r="AJ3812" s="33"/>
      <c r="AK3812" s="33"/>
      <c r="AL3812" s="33"/>
      <c r="AM3812" s="33"/>
      <c r="AN3812" s="33"/>
      <c r="AO3812" s="33"/>
    </row>
    <row r="3813" ht="15.75" customHeight="1">
      <c r="A3813" s="72"/>
      <c r="B3813" s="61"/>
      <c r="C3813" s="56"/>
      <c r="D3813" s="67"/>
      <c r="E3813" s="56"/>
      <c r="F3813" s="56"/>
      <c r="G3813" s="62"/>
      <c r="H3813" s="65"/>
      <c r="I3813" s="56"/>
      <c r="J3813" s="66"/>
      <c r="K3813" s="67"/>
      <c r="L3813" s="56"/>
      <c r="M3813" s="67"/>
      <c r="N3813" s="56"/>
      <c r="O3813" s="53"/>
      <c r="P3813" s="68"/>
      <c r="Q3813" s="69"/>
      <c r="R3813" s="68"/>
      <c r="S3813" s="70"/>
      <c r="T3813" s="67"/>
      <c r="U3813" s="56"/>
      <c r="V3813" s="56"/>
      <c r="W3813" s="71"/>
      <c r="X3813" s="71"/>
      <c r="AA3813" s="33"/>
      <c r="AB3813" s="33"/>
      <c r="AC3813" s="33"/>
      <c r="AD3813" s="33"/>
      <c r="AE3813" s="33"/>
      <c r="AF3813" s="33"/>
      <c r="AG3813" s="33"/>
      <c r="AH3813" s="33"/>
      <c r="AI3813" s="33"/>
      <c r="AJ3813" s="33"/>
      <c r="AK3813" s="33"/>
      <c r="AL3813" s="33"/>
      <c r="AM3813" s="33"/>
      <c r="AN3813" s="33"/>
      <c r="AO3813" s="33"/>
    </row>
    <row r="3814" ht="15.75" customHeight="1">
      <c r="A3814" s="72"/>
      <c r="B3814" s="61"/>
      <c r="C3814" s="56"/>
      <c r="D3814" s="67"/>
      <c r="E3814" s="56"/>
      <c r="F3814" s="56"/>
      <c r="G3814" s="62"/>
      <c r="H3814" s="65"/>
      <c r="I3814" s="56"/>
      <c r="J3814" s="66"/>
      <c r="K3814" s="67"/>
      <c r="L3814" s="56"/>
      <c r="M3814" s="67"/>
      <c r="N3814" s="56"/>
      <c r="O3814" s="53"/>
      <c r="P3814" s="68"/>
      <c r="Q3814" s="69"/>
      <c r="R3814" s="68"/>
      <c r="S3814" s="70"/>
      <c r="T3814" s="67"/>
      <c r="U3814" s="56"/>
      <c r="V3814" s="56"/>
      <c r="W3814" s="71"/>
      <c r="X3814" s="71"/>
      <c r="AA3814" s="33"/>
      <c r="AB3814" s="33"/>
      <c r="AC3814" s="33"/>
      <c r="AD3814" s="33"/>
      <c r="AE3814" s="33"/>
      <c r="AF3814" s="33"/>
      <c r="AG3814" s="33"/>
      <c r="AH3814" s="33"/>
      <c r="AI3814" s="33"/>
      <c r="AJ3814" s="33"/>
      <c r="AK3814" s="33"/>
      <c r="AL3814" s="33"/>
      <c r="AM3814" s="33"/>
      <c r="AN3814" s="33"/>
      <c r="AO3814" s="33"/>
    </row>
    <row r="3815" ht="15.75" customHeight="1">
      <c r="A3815" s="72"/>
      <c r="B3815" s="61"/>
      <c r="C3815" s="56"/>
      <c r="D3815" s="67"/>
      <c r="E3815" s="56"/>
      <c r="F3815" s="56"/>
      <c r="G3815" s="62"/>
      <c r="H3815" s="65"/>
      <c r="I3815" s="56"/>
      <c r="J3815" s="66"/>
      <c r="K3815" s="67"/>
      <c r="L3815" s="56"/>
      <c r="M3815" s="67"/>
      <c r="N3815" s="56"/>
      <c r="O3815" s="53"/>
      <c r="P3815" s="68"/>
      <c r="Q3815" s="69"/>
      <c r="R3815" s="68"/>
      <c r="S3815" s="70"/>
      <c r="T3815" s="67"/>
      <c r="U3815" s="56"/>
      <c r="V3815" s="56"/>
      <c r="W3815" s="71"/>
      <c r="X3815" s="71"/>
      <c r="AA3815" s="33"/>
      <c r="AB3815" s="33"/>
      <c r="AC3815" s="33"/>
      <c r="AD3815" s="33"/>
      <c r="AE3815" s="33"/>
      <c r="AF3815" s="33"/>
      <c r="AG3815" s="33"/>
      <c r="AH3815" s="33"/>
      <c r="AI3815" s="33"/>
      <c r="AJ3815" s="33"/>
      <c r="AK3815" s="33"/>
      <c r="AL3815" s="33"/>
      <c r="AM3815" s="33"/>
      <c r="AN3815" s="33"/>
      <c r="AO3815" s="33"/>
    </row>
    <row r="3816" ht="15.75" customHeight="1">
      <c r="A3816" s="72"/>
      <c r="B3816" s="61"/>
      <c r="C3816" s="56"/>
      <c r="D3816" s="67"/>
      <c r="E3816" s="56"/>
      <c r="F3816" s="56"/>
      <c r="G3816" s="62"/>
      <c r="H3816" s="65"/>
      <c r="I3816" s="56"/>
      <c r="J3816" s="66"/>
      <c r="K3816" s="67"/>
      <c r="L3816" s="56"/>
      <c r="M3816" s="67"/>
      <c r="N3816" s="56"/>
      <c r="O3816" s="53"/>
      <c r="P3816" s="68"/>
      <c r="Q3816" s="69"/>
      <c r="R3816" s="68"/>
      <c r="S3816" s="70"/>
      <c r="T3816" s="67"/>
      <c r="U3816" s="56"/>
      <c r="V3816" s="56"/>
      <c r="W3816" s="71"/>
      <c r="X3816" s="71"/>
      <c r="AA3816" s="33"/>
      <c r="AB3816" s="33"/>
      <c r="AC3816" s="33"/>
      <c r="AD3816" s="33"/>
      <c r="AE3816" s="33"/>
      <c r="AF3816" s="33"/>
      <c r="AG3816" s="33"/>
      <c r="AH3816" s="33"/>
      <c r="AI3816" s="33"/>
      <c r="AJ3816" s="33"/>
      <c r="AK3816" s="33"/>
      <c r="AL3816" s="33"/>
      <c r="AM3816" s="33"/>
      <c r="AN3816" s="33"/>
      <c r="AO3816" s="33"/>
    </row>
    <row r="3817" ht="15.75" customHeight="1">
      <c r="A3817" s="72"/>
      <c r="B3817" s="61"/>
      <c r="C3817" s="56"/>
      <c r="D3817" s="67"/>
      <c r="E3817" s="56"/>
      <c r="F3817" s="56"/>
      <c r="G3817" s="62"/>
      <c r="H3817" s="65"/>
      <c r="I3817" s="56"/>
      <c r="J3817" s="66"/>
      <c r="K3817" s="67"/>
      <c r="L3817" s="56"/>
      <c r="M3817" s="67"/>
      <c r="N3817" s="56"/>
      <c r="O3817" s="53"/>
      <c r="P3817" s="68"/>
      <c r="Q3817" s="69"/>
      <c r="R3817" s="68"/>
      <c r="S3817" s="70"/>
      <c r="T3817" s="67"/>
      <c r="U3817" s="56"/>
      <c r="V3817" s="56"/>
      <c r="W3817" s="71"/>
      <c r="X3817" s="71"/>
      <c r="AA3817" s="33"/>
      <c r="AB3817" s="33"/>
      <c r="AC3817" s="33"/>
      <c r="AD3817" s="33"/>
      <c r="AE3817" s="33"/>
      <c r="AF3817" s="33"/>
      <c r="AG3817" s="33"/>
      <c r="AH3817" s="33"/>
      <c r="AI3817" s="33"/>
      <c r="AJ3817" s="33"/>
      <c r="AK3817" s="33"/>
      <c r="AL3817" s="33"/>
      <c r="AM3817" s="33"/>
      <c r="AN3817" s="33"/>
      <c r="AO3817" s="33"/>
    </row>
    <row r="3818" ht="15.75" customHeight="1">
      <c r="A3818" s="72"/>
      <c r="B3818" s="61"/>
      <c r="C3818" s="56"/>
      <c r="D3818" s="67"/>
      <c r="E3818" s="56"/>
      <c r="F3818" s="56"/>
      <c r="G3818" s="62"/>
      <c r="H3818" s="65"/>
      <c r="I3818" s="56"/>
      <c r="J3818" s="66"/>
      <c r="K3818" s="67"/>
      <c r="L3818" s="56"/>
      <c r="M3818" s="67"/>
      <c r="N3818" s="56"/>
      <c r="O3818" s="53"/>
      <c r="P3818" s="68"/>
      <c r="Q3818" s="69"/>
      <c r="R3818" s="68"/>
      <c r="S3818" s="70"/>
      <c r="T3818" s="67"/>
      <c r="U3818" s="56"/>
      <c r="V3818" s="56"/>
      <c r="W3818" s="71"/>
      <c r="X3818" s="71"/>
      <c r="AA3818" s="33"/>
      <c r="AB3818" s="33"/>
      <c r="AC3818" s="33"/>
      <c r="AD3818" s="33"/>
      <c r="AE3818" s="33"/>
      <c r="AF3818" s="33"/>
      <c r="AG3818" s="33"/>
      <c r="AH3818" s="33"/>
      <c r="AI3818" s="33"/>
      <c r="AJ3818" s="33"/>
      <c r="AK3818" s="33"/>
      <c r="AL3818" s="33"/>
      <c r="AM3818" s="33"/>
      <c r="AN3818" s="33"/>
      <c r="AO3818" s="33"/>
    </row>
    <row r="3819" ht="15.75" customHeight="1">
      <c r="A3819" s="72"/>
      <c r="B3819" s="61"/>
      <c r="C3819" s="56"/>
      <c r="D3819" s="67"/>
      <c r="E3819" s="56"/>
      <c r="F3819" s="56"/>
      <c r="G3819" s="62"/>
      <c r="H3819" s="65"/>
      <c r="I3819" s="56"/>
      <c r="J3819" s="66"/>
      <c r="K3819" s="67"/>
      <c r="L3819" s="56"/>
      <c r="M3819" s="67"/>
      <c r="N3819" s="56"/>
      <c r="O3819" s="53"/>
      <c r="P3819" s="68"/>
      <c r="Q3819" s="69"/>
      <c r="R3819" s="68"/>
      <c r="S3819" s="70"/>
      <c r="T3819" s="67"/>
      <c r="U3819" s="56"/>
      <c r="V3819" s="56"/>
      <c r="W3819" s="71"/>
      <c r="X3819" s="71"/>
      <c r="AA3819" s="33"/>
      <c r="AB3819" s="33"/>
      <c r="AC3819" s="33"/>
      <c r="AD3819" s="33"/>
      <c r="AE3819" s="33"/>
      <c r="AF3819" s="33"/>
      <c r="AG3819" s="33"/>
      <c r="AH3819" s="33"/>
      <c r="AI3819" s="33"/>
      <c r="AJ3819" s="33"/>
      <c r="AK3819" s="33"/>
      <c r="AL3819" s="33"/>
      <c r="AM3819" s="33"/>
      <c r="AN3819" s="33"/>
      <c r="AO3819" s="33"/>
    </row>
    <row r="3820" ht="15.75" customHeight="1">
      <c r="A3820" s="72"/>
      <c r="B3820" s="61"/>
      <c r="C3820" s="56"/>
      <c r="D3820" s="67"/>
      <c r="E3820" s="56"/>
      <c r="F3820" s="56"/>
      <c r="G3820" s="62"/>
      <c r="H3820" s="65"/>
      <c r="I3820" s="56"/>
      <c r="J3820" s="66"/>
      <c r="K3820" s="67"/>
      <c r="L3820" s="56"/>
      <c r="M3820" s="67"/>
      <c r="N3820" s="56"/>
      <c r="O3820" s="53"/>
      <c r="P3820" s="68"/>
      <c r="Q3820" s="69"/>
      <c r="R3820" s="68"/>
      <c r="S3820" s="70"/>
      <c r="T3820" s="67"/>
      <c r="U3820" s="56"/>
      <c r="V3820" s="56"/>
      <c r="W3820" s="71"/>
      <c r="X3820" s="71"/>
      <c r="AA3820" s="33"/>
      <c r="AB3820" s="33"/>
      <c r="AC3820" s="33"/>
      <c r="AD3820" s="33"/>
      <c r="AE3820" s="33"/>
      <c r="AF3820" s="33"/>
      <c r="AG3820" s="33"/>
      <c r="AH3820" s="33"/>
      <c r="AI3820" s="33"/>
      <c r="AJ3820" s="33"/>
      <c r="AK3820" s="33"/>
      <c r="AL3820" s="33"/>
      <c r="AM3820" s="33"/>
      <c r="AN3820" s="33"/>
      <c r="AO3820" s="33"/>
    </row>
    <row r="3821" ht="15.75" customHeight="1">
      <c r="A3821" s="72"/>
      <c r="B3821" s="61"/>
      <c r="C3821" s="56"/>
      <c r="D3821" s="67"/>
      <c r="E3821" s="56"/>
      <c r="F3821" s="56"/>
      <c r="G3821" s="62"/>
      <c r="H3821" s="65"/>
      <c r="I3821" s="56"/>
      <c r="J3821" s="66"/>
      <c r="K3821" s="67"/>
      <c r="L3821" s="56"/>
      <c r="M3821" s="67"/>
      <c r="N3821" s="56"/>
      <c r="O3821" s="53"/>
      <c r="P3821" s="68"/>
      <c r="Q3821" s="69"/>
      <c r="R3821" s="68"/>
      <c r="S3821" s="70"/>
      <c r="T3821" s="67"/>
      <c r="U3821" s="56"/>
      <c r="V3821" s="56"/>
      <c r="W3821" s="71"/>
      <c r="X3821" s="71"/>
      <c r="AA3821" s="33"/>
      <c r="AB3821" s="33"/>
      <c r="AC3821" s="33"/>
      <c r="AD3821" s="33"/>
      <c r="AE3821" s="33"/>
      <c r="AF3821" s="33"/>
      <c r="AG3821" s="33"/>
      <c r="AH3821" s="33"/>
      <c r="AI3821" s="33"/>
      <c r="AJ3821" s="33"/>
      <c r="AK3821" s="33"/>
      <c r="AL3821" s="33"/>
      <c r="AM3821" s="33"/>
      <c r="AN3821" s="33"/>
      <c r="AO3821" s="33"/>
    </row>
    <row r="3822" ht="15.75" customHeight="1">
      <c r="A3822" s="72"/>
      <c r="B3822" s="61"/>
      <c r="C3822" s="56"/>
      <c r="D3822" s="67"/>
      <c r="E3822" s="56"/>
      <c r="F3822" s="56"/>
      <c r="G3822" s="62"/>
      <c r="H3822" s="65"/>
      <c r="I3822" s="56"/>
      <c r="J3822" s="66"/>
      <c r="K3822" s="67"/>
      <c r="L3822" s="56"/>
      <c r="M3822" s="67"/>
      <c r="N3822" s="56"/>
      <c r="O3822" s="53"/>
      <c r="P3822" s="68"/>
      <c r="Q3822" s="69"/>
      <c r="R3822" s="68"/>
      <c r="S3822" s="70"/>
      <c r="T3822" s="67"/>
      <c r="U3822" s="56"/>
      <c r="V3822" s="56"/>
      <c r="W3822" s="71"/>
      <c r="X3822" s="71"/>
      <c r="AA3822" s="33"/>
      <c r="AB3822" s="33"/>
      <c r="AC3822" s="33"/>
      <c r="AD3822" s="33"/>
      <c r="AE3822" s="33"/>
      <c r="AF3822" s="33"/>
      <c r="AG3822" s="33"/>
      <c r="AH3822" s="33"/>
      <c r="AI3822" s="33"/>
      <c r="AJ3822" s="33"/>
      <c r="AK3822" s="33"/>
      <c r="AL3822" s="33"/>
      <c r="AM3822" s="33"/>
      <c r="AN3822" s="33"/>
      <c r="AO3822" s="33"/>
    </row>
    <row r="3823" ht="15.75" customHeight="1">
      <c r="A3823" s="72"/>
      <c r="B3823" s="61"/>
      <c r="C3823" s="56"/>
      <c r="D3823" s="67"/>
      <c r="E3823" s="56"/>
      <c r="F3823" s="56"/>
      <c r="G3823" s="62"/>
      <c r="H3823" s="65"/>
      <c r="I3823" s="56"/>
      <c r="J3823" s="66"/>
      <c r="K3823" s="67"/>
      <c r="L3823" s="56"/>
      <c r="M3823" s="67"/>
      <c r="N3823" s="56"/>
      <c r="O3823" s="53"/>
      <c r="P3823" s="68"/>
      <c r="Q3823" s="69"/>
      <c r="R3823" s="68"/>
      <c r="S3823" s="70"/>
      <c r="T3823" s="67"/>
      <c r="U3823" s="56"/>
      <c r="V3823" s="56"/>
      <c r="W3823" s="71"/>
      <c r="X3823" s="71"/>
      <c r="AA3823" s="33"/>
      <c r="AB3823" s="33"/>
      <c r="AC3823" s="33"/>
      <c r="AD3823" s="33"/>
      <c r="AE3823" s="33"/>
      <c r="AF3823" s="33"/>
      <c r="AG3823" s="33"/>
      <c r="AH3823" s="33"/>
      <c r="AI3823" s="33"/>
      <c r="AJ3823" s="33"/>
      <c r="AK3823" s="33"/>
      <c r="AL3823" s="33"/>
      <c r="AM3823" s="33"/>
      <c r="AN3823" s="33"/>
      <c r="AO3823" s="33"/>
    </row>
    <row r="3824" ht="15.75" customHeight="1">
      <c r="A3824" s="72"/>
      <c r="B3824" s="61"/>
      <c r="C3824" s="56"/>
      <c r="D3824" s="67"/>
      <c r="E3824" s="56"/>
      <c r="F3824" s="56"/>
      <c r="G3824" s="62"/>
      <c r="H3824" s="65"/>
      <c r="I3824" s="56"/>
      <c r="J3824" s="66"/>
      <c r="K3824" s="67"/>
      <c r="L3824" s="56"/>
      <c r="M3824" s="67"/>
      <c r="N3824" s="56"/>
      <c r="O3824" s="53"/>
      <c r="P3824" s="68"/>
      <c r="Q3824" s="69"/>
      <c r="R3824" s="68"/>
      <c r="S3824" s="70"/>
      <c r="T3824" s="67"/>
      <c r="U3824" s="56"/>
      <c r="V3824" s="56"/>
      <c r="W3824" s="71"/>
      <c r="X3824" s="71"/>
      <c r="AA3824" s="33"/>
      <c r="AB3824" s="33"/>
      <c r="AC3824" s="33"/>
      <c r="AD3824" s="33"/>
      <c r="AE3824" s="33"/>
      <c r="AF3824" s="33"/>
      <c r="AG3824" s="33"/>
      <c r="AH3824" s="33"/>
      <c r="AI3824" s="33"/>
      <c r="AJ3824" s="33"/>
      <c r="AK3824" s="33"/>
      <c r="AL3824" s="33"/>
      <c r="AM3824" s="33"/>
      <c r="AN3824" s="33"/>
      <c r="AO3824" s="33"/>
    </row>
    <row r="3825" ht="15.75" customHeight="1">
      <c r="A3825" s="72"/>
      <c r="B3825" s="61"/>
      <c r="C3825" s="56"/>
      <c r="D3825" s="67"/>
      <c r="E3825" s="56"/>
      <c r="F3825" s="56"/>
      <c r="G3825" s="62"/>
      <c r="H3825" s="65"/>
      <c r="I3825" s="56"/>
      <c r="J3825" s="66"/>
      <c r="K3825" s="67"/>
      <c r="L3825" s="56"/>
      <c r="M3825" s="67"/>
      <c r="N3825" s="56"/>
      <c r="O3825" s="53"/>
      <c r="P3825" s="68"/>
      <c r="Q3825" s="69"/>
      <c r="R3825" s="68"/>
      <c r="S3825" s="70"/>
      <c r="T3825" s="67"/>
      <c r="U3825" s="56"/>
      <c r="V3825" s="56"/>
      <c r="W3825" s="71"/>
      <c r="X3825" s="71"/>
      <c r="AA3825" s="33"/>
      <c r="AB3825" s="33"/>
      <c r="AC3825" s="33"/>
      <c r="AD3825" s="33"/>
      <c r="AE3825" s="33"/>
      <c r="AF3825" s="33"/>
      <c r="AG3825" s="33"/>
      <c r="AH3825" s="33"/>
      <c r="AI3825" s="33"/>
      <c r="AJ3825" s="33"/>
      <c r="AK3825" s="33"/>
      <c r="AL3825" s="33"/>
      <c r="AM3825" s="33"/>
      <c r="AN3825" s="33"/>
      <c r="AO3825" s="33"/>
    </row>
    <row r="3826" ht="15.75" customHeight="1">
      <c r="A3826" s="72"/>
      <c r="B3826" s="61"/>
      <c r="C3826" s="56"/>
      <c r="D3826" s="67"/>
      <c r="E3826" s="56"/>
      <c r="F3826" s="56"/>
      <c r="G3826" s="62"/>
      <c r="H3826" s="65"/>
      <c r="I3826" s="56"/>
      <c r="J3826" s="66"/>
      <c r="K3826" s="67"/>
      <c r="L3826" s="56"/>
      <c r="M3826" s="67"/>
      <c r="N3826" s="56"/>
      <c r="O3826" s="53"/>
      <c r="P3826" s="68"/>
      <c r="Q3826" s="69"/>
      <c r="R3826" s="68"/>
      <c r="S3826" s="70"/>
      <c r="T3826" s="67"/>
      <c r="U3826" s="56"/>
      <c r="V3826" s="56"/>
      <c r="W3826" s="71"/>
      <c r="X3826" s="71"/>
      <c r="AA3826" s="33"/>
      <c r="AB3826" s="33"/>
      <c r="AC3826" s="33"/>
      <c r="AD3826" s="33"/>
      <c r="AE3826" s="33"/>
      <c r="AF3826" s="33"/>
      <c r="AG3826" s="33"/>
      <c r="AH3826" s="33"/>
      <c r="AI3826" s="33"/>
      <c r="AJ3826" s="33"/>
      <c r="AK3826" s="33"/>
      <c r="AL3826" s="33"/>
      <c r="AM3826" s="33"/>
      <c r="AN3826" s="33"/>
      <c r="AO3826" s="33"/>
    </row>
    <row r="3827" ht="15.75" customHeight="1">
      <c r="A3827" s="72"/>
      <c r="B3827" s="61"/>
      <c r="C3827" s="56"/>
      <c r="D3827" s="67"/>
      <c r="E3827" s="56"/>
      <c r="F3827" s="56"/>
      <c r="G3827" s="62"/>
      <c r="H3827" s="65"/>
      <c r="I3827" s="56"/>
      <c r="J3827" s="66"/>
      <c r="K3827" s="67"/>
      <c r="L3827" s="56"/>
      <c r="M3827" s="67"/>
      <c r="N3827" s="56"/>
      <c r="O3827" s="53"/>
      <c r="P3827" s="68"/>
      <c r="Q3827" s="69"/>
      <c r="R3827" s="68"/>
      <c r="S3827" s="70"/>
      <c r="T3827" s="67"/>
      <c r="U3827" s="56"/>
      <c r="V3827" s="56"/>
      <c r="W3827" s="71"/>
      <c r="X3827" s="71"/>
      <c r="AA3827" s="33"/>
      <c r="AB3827" s="33"/>
      <c r="AC3827" s="33"/>
      <c r="AD3827" s="33"/>
      <c r="AE3827" s="33"/>
      <c r="AF3827" s="33"/>
      <c r="AG3827" s="33"/>
      <c r="AH3827" s="33"/>
      <c r="AI3827" s="33"/>
      <c r="AJ3827" s="33"/>
      <c r="AK3827" s="33"/>
      <c r="AL3827" s="33"/>
      <c r="AM3827" s="33"/>
      <c r="AN3827" s="33"/>
      <c r="AO3827" s="33"/>
    </row>
    <row r="3828" ht="15.75" customHeight="1">
      <c r="A3828" s="72"/>
      <c r="B3828" s="61"/>
      <c r="C3828" s="56"/>
      <c r="D3828" s="67"/>
      <c r="E3828" s="56"/>
      <c r="F3828" s="56"/>
      <c r="G3828" s="62"/>
      <c r="H3828" s="65"/>
      <c r="I3828" s="56"/>
      <c r="J3828" s="66"/>
      <c r="K3828" s="67"/>
      <c r="L3828" s="56"/>
      <c r="M3828" s="67"/>
      <c r="N3828" s="56"/>
      <c r="O3828" s="53"/>
      <c r="P3828" s="68"/>
      <c r="Q3828" s="69"/>
      <c r="R3828" s="68"/>
      <c r="S3828" s="70"/>
      <c r="T3828" s="67"/>
      <c r="U3828" s="56"/>
      <c r="V3828" s="56"/>
      <c r="W3828" s="71"/>
      <c r="X3828" s="71"/>
      <c r="AA3828" s="33"/>
      <c r="AB3828" s="33"/>
      <c r="AC3828" s="33"/>
      <c r="AD3828" s="33"/>
      <c r="AE3828" s="33"/>
      <c r="AF3828" s="33"/>
      <c r="AG3828" s="33"/>
      <c r="AH3828" s="33"/>
      <c r="AI3828" s="33"/>
      <c r="AJ3828" s="33"/>
      <c r="AK3828" s="33"/>
      <c r="AL3828" s="33"/>
      <c r="AM3828" s="33"/>
      <c r="AN3828" s="33"/>
      <c r="AO3828" s="33"/>
    </row>
    <row r="3829" ht="15.75" customHeight="1">
      <c r="A3829" s="72"/>
      <c r="B3829" s="61"/>
      <c r="C3829" s="56"/>
      <c r="D3829" s="67"/>
      <c r="E3829" s="56"/>
      <c r="F3829" s="56"/>
      <c r="G3829" s="62"/>
      <c r="H3829" s="65"/>
      <c r="I3829" s="56"/>
      <c r="J3829" s="66"/>
      <c r="K3829" s="67"/>
      <c r="L3829" s="56"/>
      <c r="M3829" s="67"/>
      <c r="N3829" s="56"/>
      <c r="O3829" s="53"/>
      <c r="P3829" s="68"/>
      <c r="Q3829" s="69"/>
      <c r="R3829" s="68"/>
      <c r="S3829" s="70"/>
      <c r="T3829" s="67"/>
      <c r="U3829" s="56"/>
      <c r="V3829" s="56"/>
      <c r="W3829" s="71"/>
      <c r="X3829" s="71"/>
      <c r="AA3829" s="33"/>
      <c r="AB3829" s="33"/>
      <c r="AC3829" s="33"/>
      <c r="AD3829" s="33"/>
      <c r="AE3829" s="33"/>
      <c r="AF3829" s="33"/>
      <c r="AG3829" s="33"/>
      <c r="AH3829" s="33"/>
      <c r="AI3829" s="33"/>
      <c r="AJ3829" s="33"/>
      <c r="AK3829" s="33"/>
      <c r="AL3829" s="33"/>
      <c r="AM3829" s="33"/>
      <c r="AN3829" s="33"/>
      <c r="AO3829" s="33"/>
    </row>
    <row r="3830" ht="15.75" customHeight="1">
      <c r="A3830" s="72"/>
      <c r="B3830" s="61"/>
      <c r="C3830" s="56"/>
      <c r="D3830" s="67"/>
      <c r="E3830" s="56"/>
      <c r="F3830" s="56"/>
      <c r="G3830" s="62"/>
      <c r="H3830" s="65"/>
      <c r="I3830" s="56"/>
      <c r="J3830" s="66"/>
      <c r="K3830" s="67"/>
      <c r="L3830" s="56"/>
      <c r="M3830" s="67"/>
      <c r="N3830" s="56"/>
      <c r="O3830" s="53"/>
      <c r="P3830" s="68"/>
      <c r="Q3830" s="69"/>
      <c r="R3830" s="68"/>
      <c r="S3830" s="70"/>
      <c r="T3830" s="67"/>
      <c r="U3830" s="56"/>
      <c r="V3830" s="56"/>
      <c r="W3830" s="71"/>
      <c r="X3830" s="71"/>
      <c r="AA3830" s="33"/>
      <c r="AB3830" s="33"/>
      <c r="AC3830" s="33"/>
      <c r="AD3830" s="33"/>
      <c r="AE3830" s="33"/>
      <c r="AF3830" s="33"/>
      <c r="AG3830" s="33"/>
      <c r="AH3830" s="33"/>
      <c r="AI3830" s="33"/>
      <c r="AJ3830" s="33"/>
      <c r="AK3830" s="33"/>
      <c r="AL3830" s="33"/>
      <c r="AM3830" s="33"/>
      <c r="AN3830" s="33"/>
      <c r="AO3830" s="33"/>
    </row>
    <row r="3831" ht="15.75" customHeight="1">
      <c r="A3831" s="72"/>
      <c r="B3831" s="61"/>
      <c r="C3831" s="56"/>
      <c r="D3831" s="67"/>
      <c r="E3831" s="56"/>
      <c r="F3831" s="56"/>
      <c r="G3831" s="62"/>
      <c r="H3831" s="65"/>
      <c r="I3831" s="56"/>
      <c r="J3831" s="66"/>
      <c r="K3831" s="67"/>
      <c r="L3831" s="56"/>
      <c r="M3831" s="67"/>
      <c r="N3831" s="56"/>
      <c r="O3831" s="53"/>
      <c r="P3831" s="68"/>
      <c r="Q3831" s="69"/>
      <c r="R3831" s="68"/>
      <c r="S3831" s="70"/>
      <c r="T3831" s="67"/>
      <c r="U3831" s="56"/>
      <c r="V3831" s="56"/>
      <c r="W3831" s="71"/>
      <c r="X3831" s="71"/>
      <c r="AA3831" s="33"/>
      <c r="AB3831" s="33"/>
      <c r="AC3831" s="33"/>
      <c r="AD3831" s="33"/>
      <c r="AE3831" s="33"/>
      <c r="AF3831" s="33"/>
      <c r="AG3831" s="33"/>
      <c r="AH3831" s="33"/>
      <c r="AI3831" s="33"/>
      <c r="AJ3831" s="33"/>
      <c r="AK3831" s="33"/>
      <c r="AL3831" s="33"/>
      <c r="AM3831" s="33"/>
      <c r="AN3831" s="33"/>
      <c r="AO3831" s="33"/>
    </row>
    <row r="3832" ht="15.75" customHeight="1">
      <c r="A3832" s="72"/>
      <c r="B3832" s="61"/>
      <c r="C3832" s="56"/>
      <c r="D3832" s="67"/>
      <c r="E3832" s="56"/>
      <c r="F3832" s="56"/>
      <c r="G3832" s="62"/>
      <c r="H3832" s="65"/>
      <c r="I3832" s="56"/>
      <c r="J3832" s="66"/>
      <c r="K3832" s="67"/>
      <c r="L3832" s="56"/>
      <c r="M3832" s="67"/>
      <c r="N3832" s="56"/>
      <c r="O3832" s="53"/>
      <c r="P3832" s="68"/>
      <c r="Q3832" s="69"/>
      <c r="R3832" s="68"/>
      <c r="S3832" s="70"/>
      <c r="T3832" s="67"/>
      <c r="U3832" s="56"/>
      <c r="V3832" s="56"/>
      <c r="W3832" s="71"/>
      <c r="X3832" s="71"/>
      <c r="AA3832" s="33"/>
      <c r="AB3832" s="33"/>
      <c r="AC3832" s="33"/>
      <c r="AD3832" s="33"/>
      <c r="AE3832" s="33"/>
      <c r="AF3832" s="33"/>
      <c r="AG3832" s="33"/>
      <c r="AH3832" s="33"/>
      <c r="AI3832" s="33"/>
      <c r="AJ3832" s="33"/>
      <c r="AK3832" s="33"/>
      <c r="AL3832" s="33"/>
      <c r="AM3832" s="33"/>
      <c r="AN3832" s="33"/>
      <c r="AO3832" s="33"/>
    </row>
    <row r="3833" ht="15.75" customHeight="1">
      <c r="A3833" s="72"/>
      <c r="B3833" s="61"/>
      <c r="C3833" s="56"/>
      <c r="D3833" s="67"/>
      <c r="E3833" s="56"/>
      <c r="F3833" s="56"/>
      <c r="G3833" s="62"/>
      <c r="H3833" s="65"/>
      <c r="I3833" s="56"/>
      <c r="J3833" s="66"/>
      <c r="K3833" s="67"/>
      <c r="L3833" s="56"/>
      <c r="M3833" s="67"/>
      <c r="N3833" s="56"/>
      <c r="O3833" s="53"/>
      <c r="P3833" s="68"/>
      <c r="Q3833" s="69"/>
      <c r="R3833" s="68"/>
      <c r="S3833" s="70"/>
      <c r="T3833" s="67"/>
      <c r="U3833" s="56"/>
      <c r="V3833" s="56"/>
      <c r="W3833" s="71"/>
      <c r="X3833" s="71"/>
      <c r="AA3833" s="33"/>
      <c r="AB3833" s="33"/>
      <c r="AC3833" s="33"/>
      <c r="AD3833" s="33"/>
      <c r="AE3833" s="33"/>
      <c r="AF3833" s="33"/>
      <c r="AG3833" s="33"/>
      <c r="AH3833" s="33"/>
      <c r="AI3833" s="33"/>
      <c r="AJ3833" s="33"/>
      <c r="AK3833" s="33"/>
      <c r="AL3833" s="33"/>
      <c r="AM3833" s="33"/>
      <c r="AN3833" s="33"/>
      <c r="AO3833" s="33"/>
    </row>
    <row r="3834" ht="15.75" customHeight="1">
      <c r="A3834" s="72"/>
      <c r="B3834" s="61"/>
      <c r="C3834" s="56"/>
      <c r="D3834" s="67"/>
      <c r="E3834" s="56"/>
      <c r="F3834" s="56"/>
      <c r="G3834" s="62"/>
      <c r="H3834" s="65"/>
      <c r="I3834" s="56"/>
      <c r="J3834" s="66"/>
      <c r="K3834" s="67"/>
      <c r="L3834" s="56"/>
      <c r="M3834" s="67"/>
      <c r="N3834" s="56"/>
      <c r="O3834" s="53"/>
      <c r="P3834" s="68"/>
      <c r="Q3834" s="69"/>
      <c r="R3834" s="68"/>
      <c r="S3834" s="70"/>
      <c r="T3834" s="67"/>
      <c r="U3834" s="56"/>
      <c r="V3834" s="56"/>
      <c r="W3834" s="71"/>
      <c r="X3834" s="71"/>
      <c r="AA3834" s="33"/>
      <c r="AB3834" s="33"/>
      <c r="AC3834" s="33"/>
      <c r="AD3834" s="33"/>
      <c r="AE3834" s="33"/>
      <c r="AF3834" s="33"/>
      <c r="AG3834" s="33"/>
      <c r="AH3834" s="33"/>
      <c r="AI3834" s="33"/>
      <c r="AJ3834" s="33"/>
      <c r="AK3834" s="33"/>
      <c r="AL3834" s="33"/>
      <c r="AM3834" s="33"/>
      <c r="AN3834" s="33"/>
      <c r="AO3834" s="33"/>
    </row>
    <row r="3835" ht="15.75" customHeight="1">
      <c r="A3835" s="72"/>
      <c r="B3835" s="61"/>
      <c r="C3835" s="56"/>
      <c r="D3835" s="67"/>
      <c r="E3835" s="56"/>
      <c r="F3835" s="56"/>
      <c r="G3835" s="62"/>
      <c r="H3835" s="65"/>
      <c r="I3835" s="56"/>
      <c r="J3835" s="66"/>
      <c r="K3835" s="67"/>
      <c r="L3835" s="56"/>
      <c r="M3835" s="67"/>
      <c r="N3835" s="56"/>
      <c r="O3835" s="53"/>
      <c r="P3835" s="68"/>
      <c r="Q3835" s="69"/>
      <c r="R3835" s="68"/>
      <c r="S3835" s="70"/>
      <c r="T3835" s="67"/>
      <c r="U3835" s="56"/>
      <c r="V3835" s="56"/>
      <c r="W3835" s="71"/>
      <c r="X3835" s="71"/>
      <c r="AA3835" s="33"/>
      <c r="AB3835" s="33"/>
      <c r="AC3835" s="33"/>
      <c r="AD3835" s="33"/>
      <c r="AE3835" s="33"/>
      <c r="AF3835" s="33"/>
      <c r="AG3835" s="33"/>
      <c r="AH3835" s="33"/>
      <c r="AI3835" s="33"/>
      <c r="AJ3835" s="33"/>
      <c r="AK3835" s="33"/>
      <c r="AL3835" s="33"/>
      <c r="AM3835" s="33"/>
      <c r="AN3835" s="33"/>
      <c r="AO3835" s="33"/>
    </row>
    <row r="3836" ht="15.75" customHeight="1">
      <c r="A3836" s="72"/>
      <c r="B3836" s="61"/>
      <c r="C3836" s="56"/>
      <c r="D3836" s="67"/>
      <c r="E3836" s="56"/>
      <c r="F3836" s="56"/>
      <c r="G3836" s="62"/>
      <c r="H3836" s="65"/>
      <c r="I3836" s="56"/>
      <c r="J3836" s="66"/>
      <c r="K3836" s="67"/>
      <c r="L3836" s="56"/>
      <c r="M3836" s="67"/>
      <c r="N3836" s="56"/>
      <c r="O3836" s="53"/>
      <c r="P3836" s="68"/>
      <c r="Q3836" s="69"/>
      <c r="R3836" s="68"/>
      <c r="S3836" s="70"/>
      <c r="T3836" s="67"/>
      <c r="U3836" s="56"/>
      <c r="V3836" s="56"/>
      <c r="W3836" s="71"/>
      <c r="X3836" s="71"/>
      <c r="AA3836" s="33"/>
      <c r="AB3836" s="33"/>
      <c r="AC3836" s="33"/>
      <c r="AD3836" s="33"/>
      <c r="AE3836" s="33"/>
      <c r="AF3836" s="33"/>
      <c r="AG3836" s="33"/>
      <c r="AH3836" s="33"/>
      <c r="AI3836" s="33"/>
      <c r="AJ3836" s="33"/>
      <c r="AK3836" s="33"/>
      <c r="AL3836" s="33"/>
      <c r="AM3836" s="33"/>
      <c r="AN3836" s="33"/>
      <c r="AO3836" s="33"/>
    </row>
    <row r="3837" ht="15.75" customHeight="1">
      <c r="A3837" s="72"/>
      <c r="B3837" s="61"/>
      <c r="C3837" s="56"/>
      <c r="D3837" s="67"/>
      <c r="E3837" s="56"/>
      <c r="F3837" s="56"/>
      <c r="G3837" s="62"/>
      <c r="H3837" s="65"/>
      <c r="I3837" s="56"/>
      <c r="J3837" s="66"/>
      <c r="K3837" s="67"/>
      <c r="L3837" s="56"/>
      <c r="M3837" s="67"/>
      <c r="N3837" s="56"/>
      <c r="O3837" s="53"/>
      <c r="P3837" s="68"/>
      <c r="Q3837" s="69"/>
      <c r="R3837" s="68"/>
      <c r="S3837" s="70"/>
      <c r="T3837" s="67"/>
      <c r="U3837" s="56"/>
      <c r="V3837" s="56"/>
      <c r="W3837" s="71"/>
      <c r="X3837" s="71"/>
      <c r="AA3837" s="33"/>
      <c r="AB3837" s="33"/>
      <c r="AC3837" s="33"/>
      <c r="AD3837" s="33"/>
      <c r="AE3837" s="33"/>
      <c r="AF3837" s="33"/>
      <c r="AG3837" s="33"/>
      <c r="AH3837" s="33"/>
      <c r="AI3837" s="33"/>
      <c r="AJ3837" s="33"/>
      <c r="AK3837" s="33"/>
      <c r="AL3837" s="33"/>
      <c r="AM3837" s="33"/>
      <c r="AN3837" s="33"/>
      <c r="AO3837" s="33"/>
    </row>
    <row r="3838" ht="15.75" customHeight="1">
      <c r="A3838" s="72"/>
      <c r="B3838" s="61"/>
      <c r="C3838" s="56"/>
      <c r="D3838" s="67"/>
      <c r="E3838" s="56"/>
      <c r="F3838" s="56"/>
      <c r="G3838" s="62"/>
      <c r="H3838" s="65"/>
      <c r="I3838" s="56"/>
      <c r="J3838" s="66"/>
      <c r="K3838" s="67"/>
      <c r="L3838" s="56"/>
      <c r="M3838" s="67"/>
      <c r="N3838" s="56"/>
      <c r="O3838" s="53"/>
      <c r="P3838" s="68"/>
      <c r="Q3838" s="69"/>
      <c r="R3838" s="68"/>
      <c r="S3838" s="70"/>
      <c r="T3838" s="67"/>
      <c r="U3838" s="56"/>
      <c r="V3838" s="56"/>
      <c r="W3838" s="71"/>
      <c r="X3838" s="71"/>
      <c r="AA3838" s="33"/>
      <c r="AB3838" s="33"/>
      <c r="AC3838" s="33"/>
      <c r="AD3838" s="33"/>
      <c r="AE3838" s="33"/>
      <c r="AF3838" s="33"/>
      <c r="AG3838" s="33"/>
      <c r="AH3838" s="33"/>
      <c r="AI3838" s="33"/>
      <c r="AJ3838" s="33"/>
      <c r="AK3838" s="33"/>
      <c r="AL3838" s="33"/>
      <c r="AM3838" s="33"/>
      <c r="AN3838" s="33"/>
      <c r="AO3838" s="33"/>
    </row>
    <row r="3839" ht="15.75" customHeight="1">
      <c r="A3839" s="72"/>
      <c r="B3839" s="61"/>
      <c r="C3839" s="56"/>
      <c r="D3839" s="67"/>
      <c r="E3839" s="56"/>
      <c r="F3839" s="56"/>
      <c r="G3839" s="62"/>
      <c r="H3839" s="65"/>
      <c r="I3839" s="56"/>
      <c r="J3839" s="66"/>
      <c r="K3839" s="67"/>
      <c r="L3839" s="56"/>
      <c r="M3839" s="67"/>
      <c r="N3839" s="56"/>
      <c r="O3839" s="53"/>
      <c r="P3839" s="68"/>
      <c r="Q3839" s="69"/>
      <c r="R3839" s="68"/>
      <c r="S3839" s="70"/>
      <c r="T3839" s="67"/>
      <c r="U3839" s="56"/>
      <c r="V3839" s="56"/>
      <c r="W3839" s="71"/>
      <c r="X3839" s="71"/>
      <c r="AA3839" s="33"/>
      <c r="AB3839" s="33"/>
      <c r="AC3839" s="33"/>
      <c r="AD3839" s="33"/>
      <c r="AE3839" s="33"/>
      <c r="AF3839" s="33"/>
      <c r="AG3839" s="33"/>
      <c r="AH3839" s="33"/>
      <c r="AI3839" s="33"/>
      <c r="AJ3839" s="33"/>
      <c r="AK3839" s="33"/>
      <c r="AL3839" s="33"/>
      <c r="AM3839" s="33"/>
      <c r="AN3839" s="33"/>
      <c r="AO3839" s="33"/>
    </row>
    <row r="3840" ht="15.75" customHeight="1">
      <c r="A3840" s="72"/>
      <c r="B3840" s="61"/>
      <c r="C3840" s="56"/>
      <c r="D3840" s="67"/>
      <c r="E3840" s="56"/>
      <c r="F3840" s="56"/>
      <c r="G3840" s="62"/>
      <c r="H3840" s="65"/>
      <c r="I3840" s="56"/>
      <c r="J3840" s="66"/>
      <c r="K3840" s="67"/>
      <c r="L3840" s="56"/>
      <c r="M3840" s="67"/>
      <c r="N3840" s="56"/>
      <c r="O3840" s="53"/>
      <c r="P3840" s="68"/>
      <c r="Q3840" s="69"/>
      <c r="R3840" s="68"/>
      <c r="S3840" s="70"/>
      <c r="T3840" s="67"/>
      <c r="U3840" s="56"/>
      <c r="V3840" s="56"/>
      <c r="W3840" s="71"/>
      <c r="X3840" s="71"/>
      <c r="AA3840" s="33"/>
      <c r="AB3840" s="33"/>
      <c r="AC3840" s="33"/>
      <c r="AD3840" s="33"/>
      <c r="AE3840" s="33"/>
      <c r="AF3840" s="33"/>
      <c r="AG3840" s="33"/>
      <c r="AH3840" s="33"/>
      <c r="AI3840" s="33"/>
      <c r="AJ3840" s="33"/>
      <c r="AK3840" s="33"/>
      <c r="AL3840" s="33"/>
      <c r="AM3840" s="33"/>
      <c r="AN3840" s="33"/>
      <c r="AO3840" s="33"/>
    </row>
    <row r="3841" ht="15.75" customHeight="1">
      <c r="A3841" s="72"/>
      <c r="B3841" s="61"/>
      <c r="C3841" s="56"/>
      <c r="D3841" s="67"/>
      <c r="E3841" s="56"/>
      <c r="F3841" s="56"/>
      <c r="G3841" s="62"/>
      <c r="H3841" s="65"/>
      <c r="I3841" s="56"/>
      <c r="J3841" s="66"/>
      <c r="K3841" s="67"/>
      <c r="L3841" s="56"/>
      <c r="M3841" s="67"/>
      <c r="N3841" s="56"/>
      <c r="O3841" s="53"/>
      <c r="P3841" s="68"/>
      <c r="Q3841" s="69"/>
      <c r="R3841" s="68"/>
      <c r="S3841" s="70"/>
      <c r="T3841" s="67"/>
      <c r="U3841" s="56"/>
      <c r="V3841" s="56"/>
      <c r="W3841" s="71"/>
      <c r="X3841" s="71"/>
      <c r="AA3841" s="33"/>
      <c r="AB3841" s="33"/>
      <c r="AC3841" s="33"/>
      <c r="AD3841" s="33"/>
      <c r="AE3841" s="33"/>
      <c r="AF3841" s="33"/>
      <c r="AG3841" s="33"/>
      <c r="AH3841" s="33"/>
      <c r="AI3841" s="33"/>
      <c r="AJ3841" s="33"/>
      <c r="AK3841" s="33"/>
      <c r="AL3841" s="33"/>
      <c r="AM3841" s="33"/>
      <c r="AN3841" s="33"/>
      <c r="AO3841" s="33"/>
    </row>
    <row r="3842" ht="15.75" customHeight="1">
      <c r="A3842" s="72"/>
      <c r="B3842" s="61"/>
      <c r="C3842" s="56"/>
      <c r="D3842" s="67"/>
      <c r="E3842" s="56"/>
      <c r="F3842" s="56"/>
      <c r="G3842" s="62"/>
      <c r="H3842" s="65"/>
      <c r="I3842" s="56"/>
      <c r="J3842" s="66"/>
      <c r="K3842" s="67"/>
      <c r="L3842" s="56"/>
      <c r="M3842" s="67"/>
      <c r="N3842" s="56"/>
      <c r="O3842" s="53"/>
      <c r="P3842" s="68"/>
      <c r="Q3842" s="69"/>
      <c r="R3842" s="68"/>
      <c r="S3842" s="70"/>
      <c r="T3842" s="67"/>
      <c r="U3842" s="56"/>
      <c r="V3842" s="56"/>
      <c r="W3842" s="71"/>
      <c r="X3842" s="71"/>
      <c r="AA3842" s="33"/>
      <c r="AB3842" s="33"/>
      <c r="AC3842" s="33"/>
      <c r="AD3842" s="33"/>
      <c r="AE3842" s="33"/>
      <c r="AF3842" s="33"/>
      <c r="AG3842" s="33"/>
      <c r="AH3842" s="33"/>
      <c r="AI3842" s="33"/>
      <c r="AJ3842" s="33"/>
      <c r="AK3842" s="33"/>
      <c r="AL3842" s="33"/>
      <c r="AM3842" s="33"/>
      <c r="AN3842" s="33"/>
      <c r="AO3842" s="33"/>
    </row>
    <row r="3843" ht="15.75" customHeight="1">
      <c r="A3843" s="72"/>
      <c r="B3843" s="61"/>
      <c r="C3843" s="56"/>
      <c r="D3843" s="67"/>
      <c r="E3843" s="56"/>
      <c r="F3843" s="56"/>
      <c r="G3843" s="62"/>
      <c r="H3843" s="65"/>
      <c r="I3843" s="56"/>
      <c r="J3843" s="66"/>
      <c r="K3843" s="67"/>
      <c r="L3843" s="56"/>
      <c r="M3843" s="67"/>
      <c r="N3843" s="56"/>
      <c r="O3843" s="53"/>
      <c r="P3843" s="68"/>
      <c r="Q3843" s="69"/>
      <c r="R3843" s="68"/>
      <c r="S3843" s="70"/>
      <c r="T3843" s="67"/>
      <c r="U3843" s="56"/>
      <c r="V3843" s="56"/>
      <c r="W3843" s="71"/>
      <c r="X3843" s="71"/>
      <c r="AA3843" s="33"/>
      <c r="AB3843" s="33"/>
      <c r="AC3843" s="33"/>
      <c r="AD3843" s="33"/>
      <c r="AE3843" s="33"/>
      <c r="AF3843" s="33"/>
      <c r="AG3843" s="33"/>
      <c r="AH3843" s="33"/>
      <c r="AI3843" s="33"/>
      <c r="AJ3843" s="33"/>
      <c r="AK3843" s="33"/>
      <c r="AL3843" s="33"/>
      <c r="AM3843" s="33"/>
      <c r="AN3843" s="33"/>
      <c r="AO3843" s="33"/>
    </row>
    <row r="3844" ht="15.75" customHeight="1">
      <c r="A3844" s="72"/>
      <c r="B3844" s="61"/>
      <c r="C3844" s="56"/>
      <c r="D3844" s="67"/>
      <c r="E3844" s="56"/>
      <c r="F3844" s="56"/>
      <c r="G3844" s="62"/>
      <c r="H3844" s="65"/>
      <c r="I3844" s="56"/>
      <c r="J3844" s="66"/>
      <c r="K3844" s="67"/>
      <c r="L3844" s="56"/>
      <c r="M3844" s="67"/>
      <c r="N3844" s="56"/>
      <c r="O3844" s="53"/>
      <c r="P3844" s="68"/>
      <c r="Q3844" s="69"/>
      <c r="R3844" s="68"/>
      <c r="S3844" s="70"/>
      <c r="T3844" s="67"/>
      <c r="U3844" s="56"/>
      <c r="V3844" s="56"/>
      <c r="W3844" s="71"/>
      <c r="X3844" s="71"/>
      <c r="AA3844" s="33"/>
      <c r="AB3844" s="33"/>
      <c r="AC3844" s="33"/>
      <c r="AD3844" s="33"/>
      <c r="AE3844" s="33"/>
      <c r="AF3844" s="33"/>
      <c r="AG3844" s="33"/>
      <c r="AH3844" s="33"/>
      <c r="AI3844" s="33"/>
      <c r="AJ3844" s="33"/>
      <c r="AK3844" s="33"/>
      <c r="AL3844" s="33"/>
      <c r="AM3844" s="33"/>
      <c r="AN3844" s="33"/>
      <c r="AO3844" s="33"/>
    </row>
    <row r="3845" ht="15.75" customHeight="1">
      <c r="A3845" s="72"/>
      <c r="B3845" s="61"/>
      <c r="C3845" s="56"/>
      <c r="D3845" s="67"/>
      <c r="E3845" s="56"/>
      <c r="F3845" s="56"/>
      <c r="G3845" s="62"/>
      <c r="H3845" s="65"/>
      <c r="I3845" s="56"/>
      <c r="J3845" s="66"/>
      <c r="K3845" s="67"/>
      <c r="L3845" s="56"/>
      <c r="M3845" s="67"/>
      <c r="N3845" s="56"/>
      <c r="O3845" s="53"/>
      <c r="P3845" s="68"/>
      <c r="Q3845" s="69"/>
      <c r="R3845" s="68"/>
      <c r="S3845" s="70"/>
      <c r="T3845" s="67"/>
      <c r="U3845" s="56"/>
      <c r="V3845" s="56"/>
      <c r="W3845" s="71"/>
      <c r="X3845" s="71"/>
      <c r="AA3845" s="33"/>
      <c r="AB3845" s="33"/>
      <c r="AC3845" s="33"/>
      <c r="AD3845" s="33"/>
      <c r="AE3845" s="33"/>
      <c r="AF3845" s="33"/>
      <c r="AG3845" s="33"/>
      <c r="AH3845" s="33"/>
      <c r="AI3845" s="33"/>
      <c r="AJ3845" s="33"/>
      <c r="AK3845" s="33"/>
      <c r="AL3845" s="33"/>
      <c r="AM3845" s="33"/>
      <c r="AN3845" s="33"/>
      <c r="AO3845" s="33"/>
    </row>
    <row r="3846" ht="15.75" customHeight="1">
      <c r="A3846" s="72"/>
      <c r="B3846" s="61"/>
      <c r="C3846" s="56"/>
      <c r="D3846" s="67"/>
      <c r="E3846" s="56"/>
      <c r="F3846" s="56"/>
      <c r="G3846" s="62"/>
      <c r="H3846" s="65"/>
      <c r="I3846" s="56"/>
      <c r="J3846" s="66"/>
      <c r="K3846" s="67"/>
      <c r="L3846" s="56"/>
      <c r="M3846" s="67"/>
      <c r="N3846" s="56"/>
      <c r="O3846" s="53"/>
      <c r="P3846" s="68"/>
      <c r="Q3846" s="69"/>
      <c r="R3846" s="68"/>
      <c r="S3846" s="70"/>
      <c r="T3846" s="67"/>
      <c r="U3846" s="56"/>
      <c r="V3846" s="56"/>
      <c r="W3846" s="71"/>
      <c r="X3846" s="71"/>
      <c r="AA3846" s="33"/>
      <c r="AB3846" s="33"/>
      <c r="AC3846" s="33"/>
      <c r="AD3846" s="33"/>
      <c r="AE3846" s="33"/>
      <c r="AF3846" s="33"/>
      <c r="AG3846" s="33"/>
      <c r="AH3846" s="33"/>
      <c r="AI3846" s="33"/>
      <c r="AJ3846" s="33"/>
      <c r="AK3846" s="33"/>
      <c r="AL3846" s="33"/>
      <c r="AM3846" s="33"/>
      <c r="AN3846" s="33"/>
      <c r="AO3846" s="33"/>
    </row>
    <row r="3847" ht="15.75" customHeight="1">
      <c r="A3847" s="72"/>
      <c r="B3847" s="61"/>
      <c r="C3847" s="56"/>
      <c r="D3847" s="67"/>
      <c r="E3847" s="56"/>
      <c r="F3847" s="56"/>
      <c r="G3847" s="62"/>
      <c r="H3847" s="65"/>
      <c r="I3847" s="56"/>
      <c r="J3847" s="66"/>
      <c r="K3847" s="67"/>
      <c r="L3847" s="56"/>
      <c r="M3847" s="67"/>
      <c r="N3847" s="56"/>
      <c r="O3847" s="53"/>
      <c r="P3847" s="68"/>
      <c r="Q3847" s="69"/>
      <c r="R3847" s="68"/>
      <c r="S3847" s="70"/>
      <c r="T3847" s="67"/>
      <c r="U3847" s="56"/>
      <c r="V3847" s="56"/>
      <c r="W3847" s="71"/>
      <c r="X3847" s="71"/>
      <c r="AA3847" s="33"/>
      <c r="AB3847" s="33"/>
      <c r="AC3847" s="33"/>
      <c r="AD3847" s="33"/>
      <c r="AE3847" s="33"/>
      <c r="AF3847" s="33"/>
      <c r="AG3847" s="33"/>
      <c r="AH3847" s="33"/>
      <c r="AI3847" s="33"/>
      <c r="AJ3847" s="33"/>
      <c r="AK3847" s="33"/>
      <c r="AL3847" s="33"/>
      <c r="AM3847" s="33"/>
      <c r="AN3847" s="33"/>
      <c r="AO3847" s="33"/>
    </row>
    <row r="3848" ht="15.75" customHeight="1">
      <c r="A3848" s="72"/>
      <c r="B3848" s="61"/>
      <c r="C3848" s="56"/>
      <c r="D3848" s="67"/>
      <c r="E3848" s="56"/>
      <c r="F3848" s="56"/>
      <c r="G3848" s="62"/>
      <c r="H3848" s="65"/>
      <c r="I3848" s="56"/>
      <c r="J3848" s="66"/>
      <c r="K3848" s="67"/>
      <c r="L3848" s="56"/>
      <c r="M3848" s="67"/>
      <c r="N3848" s="56"/>
      <c r="O3848" s="53"/>
      <c r="P3848" s="68"/>
      <c r="Q3848" s="69"/>
      <c r="R3848" s="68"/>
      <c r="S3848" s="70"/>
      <c r="T3848" s="67"/>
      <c r="U3848" s="56"/>
      <c r="V3848" s="56"/>
      <c r="W3848" s="71"/>
      <c r="X3848" s="71"/>
      <c r="AA3848" s="33"/>
      <c r="AB3848" s="33"/>
      <c r="AC3848" s="33"/>
      <c r="AD3848" s="33"/>
      <c r="AE3848" s="33"/>
      <c r="AF3848" s="33"/>
      <c r="AG3848" s="33"/>
      <c r="AH3848" s="33"/>
      <c r="AI3848" s="33"/>
      <c r="AJ3848" s="33"/>
      <c r="AK3848" s="33"/>
      <c r="AL3848" s="33"/>
      <c r="AM3848" s="33"/>
      <c r="AN3848" s="33"/>
      <c r="AO3848" s="33"/>
    </row>
    <row r="3849" ht="15.75" customHeight="1">
      <c r="A3849" s="72"/>
      <c r="B3849" s="61"/>
      <c r="C3849" s="56"/>
      <c r="D3849" s="67"/>
      <c r="E3849" s="56"/>
      <c r="F3849" s="56"/>
      <c r="G3849" s="62"/>
      <c r="H3849" s="65"/>
      <c r="I3849" s="56"/>
      <c r="J3849" s="66"/>
      <c r="K3849" s="67"/>
      <c r="L3849" s="56"/>
      <c r="M3849" s="67"/>
      <c r="N3849" s="56"/>
      <c r="O3849" s="53"/>
      <c r="P3849" s="68"/>
      <c r="Q3849" s="69"/>
      <c r="R3849" s="68"/>
      <c r="S3849" s="70"/>
      <c r="T3849" s="67"/>
      <c r="U3849" s="56"/>
      <c r="V3849" s="56"/>
      <c r="W3849" s="71"/>
      <c r="X3849" s="71"/>
      <c r="AA3849" s="33"/>
      <c r="AB3849" s="33"/>
      <c r="AC3849" s="33"/>
      <c r="AD3849" s="33"/>
      <c r="AE3849" s="33"/>
      <c r="AF3849" s="33"/>
      <c r="AG3849" s="33"/>
      <c r="AH3849" s="33"/>
      <c r="AI3849" s="33"/>
      <c r="AJ3849" s="33"/>
      <c r="AK3849" s="33"/>
      <c r="AL3849" s="33"/>
      <c r="AM3849" s="33"/>
      <c r="AN3849" s="33"/>
      <c r="AO3849" s="33"/>
    </row>
    <row r="3850" ht="15.75" customHeight="1">
      <c r="A3850" s="72"/>
      <c r="B3850" s="61"/>
      <c r="C3850" s="56"/>
      <c r="D3850" s="67"/>
      <c r="E3850" s="56"/>
      <c r="F3850" s="56"/>
      <c r="G3850" s="62"/>
      <c r="H3850" s="65"/>
      <c r="I3850" s="56"/>
      <c r="J3850" s="66"/>
      <c r="K3850" s="67"/>
      <c r="L3850" s="56"/>
      <c r="M3850" s="67"/>
      <c r="N3850" s="56"/>
      <c r="O3850" s="53"/>
      <c r="P3850" s="68"/>
      <c r="Q3850" s="69"/>
      <c r="R3850" s="68"/>
      <c r="S3850" s="70"/>
      <c r="T3850" s="67"/>
      <c r="U3850" s="56"/>
      <c r="V3850" s="56"/>
      <c r="W3850" s="71"/>
      <c r="X3850" s="71"/>
      <c r="AA3850" s="33"/>
      <c r="AB3850" s="33"/>
      <c r="AC3850" s="33"/>
      <c r="AD3850" s="33"/>
      <c r="AE3850" s="33"/>
      <c r="AF3850" s="33"/>
      <c r="AG3850" s="33"/>
      <c r="AH3850" s="33"/>
      <c r="AI3850" s="33"/>
      <c r="AJ3850" s="33"/>
      <c r="AK3850" s="33"/>
      <c r="AL3850" s="33"/>
      <c r="AM3850" s="33"/>
      <c r="AN3850" s="33"/>
      <c r="AO3850" s="33"/>
    </row>
    <row r="3851" ht="15.75" customHeight="1">
      <c r="A3851" s="72"/>
      <c r="B3851" s="61"/>
      <c r="C3851" s="56"/>
      <c r="D3851" s="67"/>
      <c r="E3851" s="56"/>
      <c r="F3851" s="56"/>
      <c r="G3851" s="62"/>
      <c r="H3851" s="65"/>
      <c r="I3851" s="56"/>
      <c r="J3851" s="66"/>
      <c r="K3851" s="67"/>
      <c r="L3851" s="56"/>
      <c r="M3851" s="67"/>
      <c r="N3851" s="56"/>
      <c r="O3851" s="53"/>
      <c r="P3851" s="68"/>
      <c r="Q3851" s="69"/>
      <c r="R3851" s="68"/>
      <c r="S3851" s="70"/>
      <c r="T3851" s="67"/>
      <c r="U3851" s="56"/>
      <c r="V3851" s="56"/>
      <c r="W3851" s="71"/>
      <c r="X3851" s="71"/>
      <c r="AA3851" s="33"/>
      <c r="AB3851" s="33"/>
      <c r="AC3851" s="33"/>
      <c r="AD3851" s="33"/>
      <c r="AE3851" s="33"/>
      <c r="AF3851" s="33"/>
      <c r="AG3851" s="33"/>
      <c r="AH3851" s="33"/>
      <c r="AI3851" s="33"/>
      <c r="AJ3851" s="33"/>
      <c r="AK3851" s="33"/>
      <c r="AL3851" s="33"/>
      <c r="AM3851" s="33"/>
      <c r="AN3851" s="33"/>
      <c r="AO3851" s="33"/>
    </row>
    <row r="3852" ht="15.75" customHeight="1">
      <c r="A3852" s="72"/>
      <c r="B3852" s="61"/>
      <c r="C3852" s="56"/>
      <c r="D3852" s="67"/>
      <c r="E3852" s="56"/>
      <c r="F3852" s="56"/>
      <c r="G3852" s="62"/>
      <c r="H3852" s="65"/>
      <c r="I3852" s="56"/>
      <c r="J3852" s="66"/>
      <c r="K3852" s="67"/>
      <c r="L3852" s="56"/>
      <c r="M3852" s="67"/>
      <c r="N3852" s="56"/>
      <c r="O3852" s="53"/>
      <c r="P3852" s="68"/>
      <c r="Q3852" s="69"/>
      <c r="R3852" s="68"/>
      <c r="S3852" s="70"/>
      <c r="T3852" s="67"/>
      <c r="U3852" s="56"/>
      <c r="V3852" s="56"/>
      <c r="W3852" s="71"/>
      <c r="X3852" s="71"/>
      <c r="AA3852" s="33"/>
      <c r="AB3852" s="33"/>
      <c r="AC3852" s="33"/>
      <c r="AD3852" s="33"/>
      <c r="AE3852" s="33"/>
      <c r="AF3852" s="33"/>
      <c r="AG3852" s="33"/>
      <c r="AH3852" s="33"/>
      <c r="AI3852" s="33"/>
      <c r="AJ3852" s="33"/>
      <c r="AK3852" s="33"/>
      <c r="AL3852" s="33"/>
      <c r="AM3852" s="33"/>
      <c r="AN3852" s="33"/>
      <c r="AO3852" s="33"/>
    </row>
    <row r="3853" ht="15.75" customHeight="1">
      <c r="A3853" s="72"/>
      <c r="B3853" s="61"/>
      <c r="C3853" s="56"/>
      <c r="D3853" s="67"/>
      <c r="E3853" s="56"/>
      <c r="F3853" s="56"/>
      <c r="G3853" s="62"/>
      <c r="H3853" s="65"/>
      <c r="I3853" s="56"/>
      <c r="J3853" s="66"/>
      <c r="K3853" s="67"/>
      <c r="L3853" s="56"/>
      <c r="M3853" s="67"/>
      <c r="N3853" s="56"/>
      <c r="O3853" s="53"/>
      <c r="P3853" s="68"/>
      <c r="Q3853" s="69"/>
      <c r="R3853" s="68"/>
      <c r="S3853" s="70"/>
      <c r="T3853" s="67"/>
      <c r="U3853" s="56"/>
      <c r="V3853" s="56"/>
      <c r="W3853" s="71"/>
      <c r="X3853" s="71"/>
      <c r="AA3853" s="33"/>
      <c r="AB3853" s="33"/>
      <c r="AC3853" s="33"/>
      <c r="AD3853" s="33"/>
      <c r="AE3853" s="33"/>
      <c r="AF3853" s="33"/>
      <c r="AG3853" s="33"/>
      <c r="AH3853" s="33"/>
      <c r="AI3853" s="33"/>
      <c r="AJ3853" s="33"/>
      <c r="AK3853" s="33"/>
      <c r="AL3853" s="33"/>
      <c r="AM3853" s="33"/>
      <c r="AN3853" s="33"/>
      <c r="AO3853" s="33"/>
    </row>
    <row r="3854" ht="15.75" customHeight="1">
      <c r="A3854" s="72"/>
      <c r="B3854" s="61"/>
      <c r="C3854" s="56"/>
      <c r="D3854" s="67"/>
      <c r="E3854" s="56"/>
      <c r="F3854" s="56"/>
      <c r="G3854" s="62"/>
      <c r="H3854" s="65"/>
      <c r="I3854" s="56"/>
      <c r="J3854" s="66"/>
      <c r="K3854" s="67"/>
      <c r="L3854" s="56"/>
      <c r="M3854" s="67"/>
      <c r="N3854" s="56"/>
      <c r="O3854" s="53"/>
      <c r="P3854" s="68"/>
      <c r="Q3854" s="69"/>
      <c r="R3854" s="68"/>
      <c r="S3854" s="70"/>
      <c r="T3854" s="67"/>
      <c r="U3854" s="56"/>
      <c r="V3854" s="56"/>
      <c r="W3854" s="71"/>
      <c r="X3854" s="71"/>
      <c r="AA3854" s="33"/>
      <c r="AB3854" s="33"/>
      <c r="AC3854" s="33"/>
      <c r="AD3854" s="33"/>
      <c r="AE3854" s="33"/>
      <c r="AF3854" s="33"/>
      <c r="AG3854" s="33"/>
      <c r="AH3854" s="33"/>
      <c r="AI3854" s="33"/>
      <c r="AJ3854" s="33"/>
      <c r="AK3854" s="33"/>
      <c r="AL3854" s="33"/>
      <c r="AM3854" s="33"/>
      <c r="AN3854" s="33"/>
      <c r="AO3854" s="33"/>
    </row>
    <row r="3855" ht="15.75" customHeight="1">
      <c r="A3855" s="72"/>
      <c r="B3855" s="61"/>
      <c r="C3855" s="56"/>
      <c r="D3855" s="67"/>
      <c r="E3855" s="56"/>
      <c r="F3855" s="56"/>
      <c r="G3855" s="62"/>
      <c r="H3855" s="65"/>
      <c r="I3855" s="56"/>
      <c r="J3855" s="66"/>
      <c r="K3855" s="67"/>
      <c r="L3855" s="56"/>
      <c r="M3855" s="67"/>
      <c r="N3855" s="56"/>
      <c r="O3855" s="53"/>
      <c r="P3855" s="68"/>
      <c r="Q3855" s="69"/>
      <c r="R3855" s="68"/>
      <c r="S3855" s="70"/>
      <c r="T3855" s="67"/>
      <c r="U3855" s="56"/>
      <c r="V3855" s="56"/>
      <c r="W3855" s="71"/>
      <c r="X3855" s="71"/>
      <c r="AA3855" s="33"/>
      <c r="AB3855" s="33"/>
      <c r="AC3855" s="33"/>
      <c r="AD3855" s="33"/>
      <c r="AE3855" s="33"/>
      <c r="AF3855" s="33"/>
      <c r="AG3855" s="33"/>
      <c r="AH3855" s="33"/>
      <c r="AI3855" s="33"/>
      <c r="AJ3855" s="33"/>
      <c r="AK3855" s="33"/>
      <c r="AL3855" s="33"/>
      <c r="AM3855" s="33"/>
      <c r="AN3855" s="33"/>
      <c r="AO3855" s="33"/>
    </row>
    <row r="3856" ht="15.75" customHeight="1">
      <c r="A3856" s="72"/>
      <c r="B3856" s="61"/>
      <c r="C3856" s="56"/>
      <c r="D3856" s="67"/>
      <c r="E3856" s="56"/>
      <c r="F3856" s="56"/>
      <c r="G3856" s="62"/>
      <c r="H3856" s="65"/>
      <c r="I3856" s="56"/>
      <c r="J3856" s="66"/>
      <c r="K3856" s="67"/>
      <c r="L3856" s="56"/>
      <c r="M3856" s="67"/>
      <c r="N3856" s="56"/>
      <c r="O3856" s="53"/>
      <c r="P3856" s="68"/>
      <c r="Q3856" s="69"/>
      <c r="R3856" s="68"/>
      <c r="S3856" s="70"/>
      <c r="T3856" s="67"/>
      <c r="U3856" s="56"/>
      <c r="V3856" s="56"/>
      <c r="W3856" s="71"/>
      <c r="X3856" s="71"/>
      <c r="AA3856" s="33"/>
      <c r="AB3856" s="33"/>
      <c r="AC3856" s="33"/>
      <c r="AD3856" s="33"/>
      <c r="AE3856" s="33"/>
      <c r="AF3856" s="33"/>
      <c r="AG3856" s="33"/>
      <c r="AH3856" s="33"/>
      <c r="AI3856" s="33"/>
      <c r="AJ3856" s="33"/>
      <c r="AK3856" s="33"/>
      <c r="AL3856" s="33"/>
      <c r="AM3856" s="33"/>
      <c r="AN3856" s="33"/>
      <c r="AO3856" s="33"/>
    </row>
    <row r="3857" ht="15.75" customHeight="1">
      <c r="A3857" s="72"/>
      <c r="B3857" s="61"/>
      <c r="C3857" s="56"/>
      <c r="D3857" s="67"/>
      <c r="E3857" s="56"/>
      <c r="F3857" s="56"/>
      <c r="G3857" s="62"/>
      <c r="H3857" s="65"/>
      <c r="I3857" s="56"/>
      <c r="J3857" s="66"/>
      <c r="K3857" s="67"/>
      <c r="L3857" s="56"/>
      <c r="M3857" s="67"/>
      <c r="N3857" s="56"/>
      <c r="O3857" s="53"/>
      <c r="P3857" s="68"/>
      <c r="Q3857" s="69"/>
      <c r="R3857" s="68"/>
      <c r="S3857" s="70"/>
      <c r="T3857" s="67"/>
      <c r="U3857" s="56"/>
      <c r="V3857" s="56"/>
      <c r="W3857" s="71"/>
      <c r="X3857" s="71"/>
      <c r="AA3857" s="33"/>
      <c r="AB3857" s="33"/>
      <c r="AC3857" s="33"/>
      <c r="AD3857" s="33"/>
      <c r="AE3857" s="33"/>
      <c r="AF3857" s="33"/>
      <c r="AG3857" s="33"/>
      <c r="AH3857" s="33"/>
      <c r="AI3857" s="33"/>
      <c r="AJ3857" s="33"/>
      <c r="AK3857" s="33"/>
      <c r="AL3857" s="33"/>
      <c r="AM3857" s="33"/>
      <c r="AN3857" s="33"/>
      <c r="AO3857" s="33"/>
    </row>
    <row r="3858" ht="15.75" customHeight="1">
      <c r="A3858" s="72"/>
      <c r="B3858" s="61"/>
      <c r="C3858" s="56"/>
      <c r="D3858" s="67"/>
      <c r="E3858" s="56"/>
      <c r="F3858" s="56"/>
      <c r="G3858" s="62"/>
      <c r="H3858" s="65"/>
      <c r="I3858" s="56"/>
      <c r="J3858" s="66"/>
      <c r="K3858" s="67"/>
      <c r="L3858" s="56"/>
      <c r="M3858" s="67"/>
      <c r="N3858" s="56"/>
      <c r="O3858" s="53"/>
      <c r="P3858" s="68"/>
      <c r="Q3858" s="69"/>
      <c r="R3858" s="68"/>
      <c r="S3858" s="70"/>
      <c r="T3858" s="67"/>
      <c r="U3858" s="56"/>
      <c r="V3858" s="56"/>
      <c r="W3858" s="71"/>
      <c r="X3858" s="71"/>
      <c r="AA3858" s="33"/>
      <c r="AB3858" s="33"/>
      <c r="AC3858" s="33"/>
      <c r="AD3858" s="33"/>
      <c r="AE3858" s="33"/>
      <c r="AF3858" s="33"/>
      <c r="AG3858" s="33"/>
      <c r="AH3858" s="33"/>
      <c r="AI3858" s="33"/>
      <c r="AJ3858" s="33"/>
      <c r="AK3858" s="33"/>
      <c r="AL3858" s="33"/>
      <c r="AM3858" s="33"/>
      <c r="AN3858" s="33"/>
      <c r="AO3858" s="33"/>
    </row>
    <row r="3859" ht="15.75" customHeight="1">
      <c r="A3859" s="72"/>
      <c r="B3859" s="61"/>
      <c r="C3859" s="56"/>
      <c r="D3859" s="67"/>
      <c r="E3859" s="56"/>
      <c r="F3859" s="56"/>
      <c r="G3859" s="62"/>
      <c r="H3859" s="65"/>
      <c r="I3859" s="56"/>
      <c r="J3859" s="66"/>
      <c r="K3859" s="67"/>
      <c r="L3859" s="56"/>
      <c r="M3859" s="67"/>
      <c r="N3859" s="56"/>
      <c r="O3859" s="53"/>
      <c r="P3859" s="68"/>
      <c r="Q3859" s="69"/>
      <c r="R3859" s="68"/>
      <c r="S3859" s="70"/>
      <c r="T3859" s="67"/>
      <c r="U3859" s="56"/>
      <c r="V3859" s="56"/>
      <c r="W3859" s="71"/>
      <c r="X3859" s="71"/>
      <c r="AA3859" s="33"/>
      <c r="AB3859" s="33"/>
      <c r="AC3859" s="33"/>
      <c r="AD3859" s="33"/>
      <c r="AE3859" s="33"/>
      <c r="AF3859" s="33"/>
      <c r="AG3859" s="33"/>
      <c r="AH3859" s="33"/>
      <c r="AI3859" s="33"/>
      <c r="AJ3859" s="33"/>
      <c r="AK3859" s="33"/>
      <c r="AL3859" s="33"/>
      <c r="AM3859" s="33"/>
      <c r="AN3859" s="33"/>
      <c r="AO3859" s="33"/>
    </row>
    <row r="3860" ht="15.75" customHeight="1">
      <c r="A3860" s="72"/>
      <c r="B3860" s="61"/>
      <c r="C3860" s="56"/>
      <c r="D3860" s="67"/>
      <c r="E3860" s="56"/>
      <c r="F3860" s="56"/>
      <c r="G3860" s="62"/>
      <c r="H3860" s="65"/>
      <c r="I3860" s="56"/>
      <c r="J3860" s="66"/>
      <c r="K3860" s="67"/>
      <c r="L3860" s="56"/>
      <c r="M3860" s="67"/>
      <c r="N3860" s="56"/>
      <c r="O3860" s="53"/>
      <c r="P3860" s="68"/>
      <c r="Q3860" s="69"/>
      <c r="R3860" s="68"/>
      <c r="S3860" s="70"/>
      <c r="T3860" s="67"/>
      <c r="U3860" s="56"/>
      <c r="V3860" s="56"/>
      <c r="W3860" s="71"/>
      <c r="X3860" s="71"/>
      <c r="AA3860" s="33"/>
      <c r="AB3860" s="33"/>
      <c r="AC3860" s="33"/>
      <c r="AD3860" s="33"/>
      <c r="AE3860" s="33"/>
      <c r="AF3860" s="33"/>
      <c r="AG3860" s="33"/>
      <c r="AH3860" s="33"/>
      <c r="AI3860" s="33"/>
      <c r="AJ3860" s="33"/>
      <c r="AK3860" s="33"/>
      <c r="AL3860" s="33"/>
      <c r="AM3860" s="33"/>
      <c r="AN3860" s="33"/>
      <c r="AO3860" s="33"/>
    </row>
    <row r="3861" ht="15.75" customHeight="1">
      <c r="A3861" s="72"/>
      <c r="B3861" s="61"/>
      <c r="C3861" s="56"/>
      <c r="D3861" s="67"/>
      <c r="E3861" s="56"/>
      <c r="F3861" s="56"/>
      <c r="G3861" s="62"/>
      <c r="H3861" s="65"/>
      <c r="I3861" s="56"/>
      <c r="J3861" s="66"/>
      <c r="K3861" s="67"/>
      <c r="L3861" s="56"/>
      <c r="M3861" s="67"/>
      <c r="N3861" s="56"/>
      <c r="O3861" s="53"/>
      <c r="P3861" s="68"/>
      <c r="Q3861" s="69"/>
      <c r="R3861" s="68"/>
      <c r="S3861" s="70"/>
      <c r="T3861" s="67"/>
      <c r="U3861" s="56"/>
      <c r="V3861" s="56"/>
      <c r="W3861" s="71"/>
      <c r="X3861" s="71"/>
      <c r="AA3861" s="33"/>
      <c r="AB3861" s="33"/>
      <c r="AC3861" s="33"/>
      <c r="AD3861" s="33"/>
      <c r="AE3861" s="33"/>
      <c r="AF3861" s="33"/>
      <c r="AG3861" s="33"/>
      <c r="AH3861" s="33"/>
      <c r="AI3861" s="33"/>
      <c r="AJ3861" s="33"/>
      <c r="AK3861" s="33"/>
      <c r="AL3861" s="33"/>
      <c r="AM3861" s="33"/>
      <c r="AN3861" s="33"/>
      <c r="AO3861" s="33"/>
    </row>
    <row r="3862" ht="15.75" customHeight="1">
      <c r="A3862" s="72"/>
      <c r="B3862" s="61"/>
      <c r="C3862" s="56"/>
      <c r="D3862" s="67"/>
      <c r="E3862" s="56"/>
      <c r="F3862" s="56"/>
      <c r="G3862" s="62"/>
      <c r="H3862" s="65"/>
      <c r="I3862" s="56"/>
      <c r="J3862" s="66"/>
      <c r="K3862" s="67"/>
      <c r="L3862" s="56"/>
      <c r="M3862" s="67"/>
      <c r="N3862" s="56"/>
      <c r="O3862" s="53"/>
      <c r="P3862" s="68"/>
      <c r="Q3862" s="69"/>
      <c r="R3862" s="68"/>
      <c r="S3862" s="70"/>
      <c r="T3862" s="67"/>
      <c r="U3862" s="56"/>
      <c r="V3862" s="56"/>
      <c r="W3862" s="71"/>
      <c r="X3862" s="71"/>
      <c r="AA3862" s="33"/>
      <c r="AB3862" s="33"/>
      <c r="AC3862" s="33"/>
      <c r="AD3862" s="33"/>
      <c r="AE3862" s="33"/>
      <c r="AF3862" s="33"/>
      <c r="AG3862" s="33"/>
      <c r="AH3862" s="33"/>
      <c r="AI3862" s="33"/>
      <c r="AJ3862" s="33"/>
      <c r="AK3862" s="33"/>
      <c r="AL3862" s="33"/>
      <c r="AM3862" s="33"/>
      <c r="AN3862" s="33"/>
      <c r="AO3862" s="33"/>
    </row>
    <row r="3863" ht="15.75" customHeight="1">
      <c r="A3863" s="72"/>
      <c r="B3863" s="61"/>
      <c r="C3863" s="56"/>
      <c r="D3863" s="67"/>
      <c r="E3863" s="56"/>
      <c r="F3863" s="56"/>
      <c r="G3863" s="62"/>
      <c r="H3863" s="65"/>
      <c r="I3863" s="56"/>
      <c r="J3863" s="66"/>
      <c r="K3863" s="67"/>
      <c r="L3863" s="56"/>
      <c r="M3863" s="67"/>
      <c r="N3863" s="56"/>
      <c r="O3863" s="53"/>
      <c r="P3863" s="68"/>
      <c r="Q3863" s="69"/>
      <c r="R3863" s="68"/>
      <c r="S3863" s="70"/>
      <c r="T3863" s="67"/>
      <c r="U3863" s="56"/>
      <c r="V3863" s="56"/>
      <c r="W3863" s="71"/>
      <c r="X3863" s="71"/>
      <c r="AA3863" s="33"/>
      <c r="AB3863" s="33"/>
      <c r="AC3863" s="33"/>
      <c r="AD3863" s="33"/>
      <c r="AE3863" s="33"/>
      <c r="AF3863" s="33"/>
      <c r="AG3863" s="33"/>
      <c r="AH3863" s="33"/>
      <c r="AI3863" s="33"/>
      <c r="AJ3863" s="33"/>
      <c r="AK3863" s="33"/>
      <c r="AL3863" s="33"/>
      <c r="AM3863" s="33"/>
      <c r="AN3863" s="33"/>
      <c r="AO3863" s="33"/>
    </row>
    <row r="3864" ht="15.75" customHeight="1">
      <c r="A3864" s="72"/>
      <c r="B3864" s="61"/>
      <c r="C3864" s="56"/>
      <c r="D3864" s="67"/>
      <c r="E3864" s="56"/>
      <c r="F3864" s="56"/>
      <c r="G3864" s="62"/>
      <c r="H3864" s="65"/>
      <c r="I3864" s="56"/>
      <c r="J3864" s="66"/>
      <c r="K3864" s="67"/>
      <c r="L3864" s="56"/>
      <c r="M3864" s="67"/>
      <c r="N3864" s="56"/>
      <c r="O3864" s="53"/>
      <c r="P3864" s="68"/>
      <c r="Q3864" s="69"/>
      <c r="R3864" s="68"/>
      <c r="S3864" s="70"/>
      <c r="T3864" s="67"/>
      <c r="U3864" s="56"/>
      <c r="V3864" s="56"/>
      <c r="W3864" s="71"/>
      <c r="X3864" s="71"/>
      <c r="AA3864" s="33"/>
      <c r="AB3864" s="33"/>
      <c r="AC3864" s="33"/>
      <c r="AD3864" s="33"/>
      <c r="AE3864" s="33"/>
      <c r="AF3864" s="33"/>
      <c r="AG3864" s="33"/>
      <c r="AH3864" s="33"/>
      <c r="AI3864" s="33"/>
      <c r="AJ3864" s="33"/>
      <c r="AK3864" s="33"/>
      <c r="AL3864" s="33"/>
      <c r="AM3864" s="33"/>
      <c r="AN3864" s="33"/>
      <c r="AO3864" s="33"/>
    </row>
    <row r="3865" ht="15.75" customHeight="1">
      <c r="A3865" s="72"/>
      <c r="B3865" s="61"/>
      <c r="C3865" s="56"/>
      <c r="D3865" s="67"/>
      <c r="E3865" s="56"/>
      <c r="F3865" s="56"/>
      <c r="G3865" s="62"/>
      <c r="H3865" s="65"/>
      <c r="I3865" s="56"/>
      <c r="J3865" s="66"/>
      <c r="K3865" s="67"/>
      <c r="L3865" s="56"/>
      <c r="M3865" s="67"/>
      <c r="N3865" s="56"/>
      <c r="O3865" s="53"/>
      <c r="P3865" s="68"/>
      <c r="Q3865" s="69"/>
      <c r="R3865" s="68"/>
      <c r="S3865" s="70"/>
      <c r="T3865" s="67"/>
      <c r="U3865" s="56"/>
      <c r="V3865" s="56"/>
      <c r="W3865" s="71"/>
      <c r="X3865" s="71"/>
      <c r="AA3865" s="33"/>
      <c r="AB3865" s="33"/>
      <c r="AC3865" s="33"/>
      <c r="AD3865" s="33"/>
      <c r="AE3865" s="33"/>
      <c r="AF3865" s="33"/>
      <c r="AG3865" s="33"/>
      <c r="AH3865" s="33"/>
      <c r="AI3865" s="33"/>
      <c r="AJ3865" s="33"/>
      <c r="AK3865" s="33"/>
      <c r="AL3865" s="33"/>
      <c r="AM3865" s="33"/>
      <c r="AN3865" s="33"/>
      <c r="AO3865" s="33"/>
    </row>
    <row r="3866" ht="15.75" customHeight="1">
      <c r="A3866" s="72"/>
      <c r="B3866" s="61"/>
      <c r="C3866" s="56"/>
      <c r="D3866" s="67"/>
      <c r="E3866" s="56"/>
      <c r="F3866" s="56"/>
      <c r="G3866" s="62"/>
      <c r="H3866" s="65"/>
      <c r="I3866" s="56"/>
      <c r="J3866" s="66"/>
      <c r="K3866" s="67"/>
      <c r="L3866" s="56"/>
      <c r="M3866" s="67"/>
      <c r="N3866" s="56"/>
      <c r="O3866" s="53"/>
      <c r="P3866" s="68"/>
      <c r="Q3866" s="69"/>
      <c r="R3866" s="68"/>
      <c r="S3866" s="70"/>
      <c r="T3866" s="67"/>
      <c r="U3866" s="56"/>
      <c r="V3866" s="56"/>
      <c r="W3866" s="71"/>
      <c r="X3866" s="71"/>
      <c r="AA3866" s="33"/>
      <c r="AB3866" s="33"/>
      <c r="AC3866" s="33"/>
      <c r="AD3866" s="33"/>
      <c r="AE3866" s="33"/>
      <c r="AF3866" s="33"/>
      <c r="AG3866" s="33"/>
      <c r="AH3866" s="33"/>
      <c r="AI3866" s="33"/>
      <c r="AJ3866" s="33"/>
      <c r="AK3866" s="33"/>
      <c r="AL3866" s="33"/>
      <c r="AM3866" s="33"/>
      <c r="AN3866" s="33"/>
      <c r="AO3866" s="33"/>
    </row>
    <row r="3867" ht="15.75" customHeight="1">
      <c r="A3867" s="72"/>
      <c r="B3867" s="61"/>
      <c r="C3867" s="56"/>
      <c r="D3867" s="67"/>
      <c r="E3867" s="56"/>
      <c r="F3867" s="56"/>
      <c r="G3867" s="62"/>
      <c r="H3867" s="65"/>
      <c r="I3867" s="56"/>
      <c r="J3867" s="66"/>
      <c r="K3867" s="67"/>
      <c r="L3867" s="56"/>
      <c r="M3867" s="67"/>
      <c r="N3867" s="56"/>
      <c r="O3867" s="53"/>
      <c r="P3867" s="68"/>
      <c r="Q3867" s="69"/>
      <c r="R3867" s="68"/>
      <c r="S3867" s="70"/>
      <c r="T3867" s="67"/>
      <c r="U3867" s="56"/>
      <c r="V3867" s="56"/>
      <c r="W3867" s="71"/>
      <c r="X3867" s="71"/>
      <c r="AA3867" s="33"/>
      <c r="AB3867" s="33"/>
      <c r="AC3867" s="33"/>
      <c r="AD3867" s="33"/>
      <c r="AE3867" s="33"/>
      <c r="AF3867" s="33"/>
      <c r="AG3867" s="33"/>
      <c r="AH3867" s="33"/>
      <c r="AI3867" s="33"/>
      <c r="AJ3867" s="33"/>
      <c r="AK3867" s="33"/>
      <c r="AL3867" s="33"/>
      <c r="AM3867" s="33"/>
      <c r="AN3867" s="33"/>
      <c r="AO3867" s="33"/>
    </row>
    <row r="3868" ht="15.75" customHeight="1">
      <c r="A3868" s="72"/>
      <c r="B3868" s="61"/>
      <c r="C3868" s="56"/>
      <c r="D3868" s="67"/>
      <c r="E3868" s="56"/>
      <c r="F3868" s="56"/>
      <c r="G3868" s="62"/>
      <c r="H3868" s="65"/>
      <c r="I3868" s="56"/>
      <c r="J3868" s="66"/>
      <c r="K3868" s="67"/>
      <c r="L3868" s="56"/>
      <c r="M3868" s="67"/>
      <c r="N3868" s="56"/>
      <c r="O3868" s="53"/>
      <c r="P3868" s="68"/>
      <c r="Q3868" s="69"/>
      <c r="R3868" s="68"/>
      <c r="S3868" s="70"/>
      <c r="T3868" s="67"/>
      <c r="U3868" s="56"/>
      <c r="V3868" s="56"/>
      <c r="W3868" s="71"/>
      <c r="X3868" s="71"/>
      <c r="AA3868" s="33"/>
      <c r="AB3868" s="33"/>
      <c r="AC3868" s="33"/>
      <c r="AD3868" s="33"/>
      <c r="AE3868" s="33"/>
      <c r="AF3868" s="33"/>
      <c r="AG3868" s="33"/>
      <c r="AH3868" s="33"/>
      <c r="AI3868" s="33"/>
      <c r="AJ3868" s="33"/>
      <c r="AK3868" s="33"/>
      <c r="AL3868" s="33"/>
      <c r="AM3868" s="33"/>
      <c r="AN3868" s="33"/>
      <c r="AO3868" s="33"/>
    </row>
    <row r="3869" ht="15.75" customHeight="1">
      <c r="A3869" s="72"/>
      <c r="B3869" s="61"/>
      <c r="C3869" s="56"/>
      <c r="D3869" s="67"/>
      <c r="E3869" s="56"/>
      <c r="F3869" s="56"/>
      <c r="G3869" s="62"/>
      <c r="H3869" s="65"/>
      <c r="I3869" s="56"/>
      <c r="J3869" s="66"/>
      <c r="K3869" s="67"/>
      <c r="L3869" s="56"/>
      <c r="M3869" s="67"/>
      <c r="N3869" s="56"/>
      <c r="O3869" s="53"/>
      <c r="P3869" s="68"/>
      <c r="Q3869" s="69"/>
      <c r="R3869" s="68"/>
      <c r="S3869" s="70"/>
      <c r="T3869" s="67"/>
      <c r="U3869" s="56"/>
      <c r="V3869" s="56"/>
      <c r="W3869" s="71"/>
      <c r="X3869" s="71"/>
      <c r="AA3869" s="33"/>
      <c r="AB3869" s="33"/>
      <c r="AC3869" s="33"/>
      <c r="AD3869" s="33"/>
      <c r="AE3869" s="33"/>
      <c r="AF3869" s="33"/>
      <c r="AG3869" s="33"/>
      <c r="AH3869" s="33"/>
      <c r="AI3869" s="33"/>
      <c r="AJ3869" s="33"/>
      <c r="AK3869" s="33"/>
      <c r="AL3869" s="33"/>
      <c r="AM3869" s="33"/>
      <c r="AN3869" s="33"/>
      <c r="AO3869" s="33"/>
    </row>
    <row r="3870" ht="15.75" customHeight="1">
      <c r="A3870" s="72"/>
      <c r="B3870" s="61"/>
      <c r="C3870" s="56"/>
      <c r="D3870" s="67"/>
      <c r="E3870" s="56"/>
      <c r="F3870" s="56"/>
      <c r="G3870" s="62"/>
      <c r="H3870" s="65"/>
      <c r="I3870" s="56"/>
      <c r="J3870" s="66"/>
      <c r="K3870" s="67"/>
      <c r="L3870" s="56"/>
      <c r="M3870" s="67"/>
      <c r="N3870" s="56"/>
      <c r="O3870" s="53"/>
      <c r="P3870" s="68"/>
      <c r="Q3870" s="69"/>
      <c r="R3870" s="68"/>
      <c r="S3870" s="70"/>
      <c r="T3870" s="67"/>
      <c r="U3870" s="56"/>
      <c r="V3870" s="56"/>
      <c r="W3870" s="71"/>
      <c r="X3870" s="71"/>
      <c r="AA3870" s="33"/>
      <c r="AB3870" s="33"/>
      <c r="AC3870" s="33"/>
      <c r="AD3870" s="33"/>
      <c r="AE3870" s="33"/>
      <c r="AF3870" s="33"/>
      <c r="AG3870" s="33"/>
      <c r="AH3870" s="33"/>
      <c r="AI3870" s="33"/>
      <c r="AJ3870" s="33"/>
      <c r="AK3870" s="33"/>
      <c r="AL3870" s="33"/>
      <c r="AM3870" s="33"/>
      <c r="AN3870" s="33"/>
      <c r="AO3870" s="33"/>
    </row>
    <row r="3871" ht="15.75" customHeight="1">
      <c r="A3871" s="72"/>
      <c r="B3871" s="61"/>
      <c r="C3871" s="56"/>
      <c r="D3871" s="67"/>
      <c r="E3871" s="56"/>
      <c r="F3871" s="56"/>
      <c r="G3871" s="62"/>
      <c r="H3871" s="65"/>
      <c r="I3871" s="56"/>
      <c r="J3871" s="66"/>
      <c r="K3871" s="67"/>
      <c r="L3871" s="56"/>
      <c r="M3871" s="67"/>
      <c r="N3871" s="56"/>
      <c r="O3871" s="53"/>
      <c r="P3871" s="68"/>
      <c r="Q3871" s="69"/>
      <c r="R3871" s="68"/>
      <c r="S3871" s="70"/>
      <c r="T3871" s="67"/>
      <c r="U3871" s="56"/>
      <c r="V3871" s="56"/>
      <c r="W3871" s="71"/>
      <c r="X3871" s="71"/>
      <c r="AA3871" s="33"/>
      <c r="AB3871" s="33"/>
      <c r="AC3871" s="33"/>
      <c r="AD3871" s="33"/>
      <c r="AE3871" s="33"/>
      <c r="AF3871" s="33"/>
      <c r="AG3871" s="33"/>
      <c r="AH3871" s="33"/>
      <c r="AI3871" s="33"/>
      <c r="AJ3871" s="33"/>
      <c r="AK3871" s="33"/>
      <c r="AL3871" s="33"/>
      <c r="AM3871" s="33"/>
      <c r="AN3871" s="33"/>
      <c r="AO3871" s="33"/>
    </row>
    <row r="3872" ht="15.75" customHeight="1">
      <c r="A3872" s="72"/>
      <c r="B3872" s="61"/>
      <c r="C3872" s="56"/>
      <c r="D3872" s="67"/>
      <c r="E3872" s="56"/>
      <c r="F3872" s="56"/>
      <c r="G3872" s="62"/>
      <c r="H3872" s="65"/>
      <c r="I3872" s="56"/>
      <c r="J3872" s="66"/>
      <c r="K3872" s="67"/>
      <c r="L3872" s="56"/>
      <c r="M3872" s="67"/>
      <c r="N3872" s="56"/>
      <c r="O3872" s="53"/>
      <c r="P3872" s="68"/>
      <c r="Q3872" s="69"/>
      <c r="R3872" s="68"/>
      <c r="S3872" s="70"/>
      <c r="T3872" s="67"/>
      <c r="U3872" s="56"/>
      <c r="V3872" s="56"/>
      <c r="W3872" s="71"/>
      <c r="X3872" s="71"/>
      <c r="AA3872" s="33"/>
      <c r="AB3872" s="33"/>
      <c r="AC3872" s="33"/>
      <c r="AD3872" s="33"/>
      <c r="AE3872" s="33"/>
      <c r="AF3872" s="33"/>
      <c r="AG3872" s="33"/>
      <c r="AH3872" s="33"/>
      <c r="AI3872" s="33"/>
      <c r="AJ3872" s="33"/>
      <c r="AK3872" s="33"/>
      <c r="AL3872" s="33"/>
      <c r="AM3872" s="33"/>
      <c r="AN3872" s="33"/>
      <c r="AO3872" s="33"/>
    </row>
    <row r="3873" ht="15.75" customHeight="1">
      <c r="A3873" s="72"/>
      <c r="B3873" s="61"/>
      <c r="C3873" s="56"/>
      <c r="D3873" s="67"/>
      <c r="E3873" s="56"/>
      <c r="F3873" s="56"/>
      <c r="G3873" s="62"/>
      <c r="H3873" s="65"/>
      <c r="I3873" s="56"/>
      <c r="J3873" s="66"/>
      <c r="K3873" s="67"/>
      <c r="L3873" s="56"/>
      <c r="M3873" s="67"/>
      <c r="N3873" s="56"/>
      <c r="O3873" s="53"/>
      <c r="P3873" s="68"/>
      <c r="Q3873" s="69"/>
      <c r="R3873" s="68"/>
      <c r="S3873" s="70"/>
      <c r="T3873" s="67"/>
      <c r="U3873" s="56"/>
      <c r="V3873" s="56"/>
      <c r="W3873" s="71"/>
      <c r="X3873" s="71"/>
      <c r="AA3873" s="33"/>
      <c r="AB3873" s="33"/>
      <c r="AC3873" s="33"/>
      <c r="AD3873" s="33"/>
      <c r="AE3873" s="33"/>
      <c r="AF3873" s="33"/>
      <c r="AG3873" s="33"/>
      <c r="AH3873" s="33"/>
      <c r="AI3873" s="33"/>
      <c r="AJ3873" s="33"/>
      <c r="AK3873" s="33"/>
      <c r="AL3873" s="33"/>
      <c r="AM3873" s="33"/>
      <c r="AN3873" s="33"/>
      <c r="AO3873" s="33"/>
    </row>
    <row r="3874" ht="15.75" customHeight="1">
      <c r="A3874" s="72"/>
      <c r="B3874" s="61"/>
      <c r="C3874" s="56"/>
      <c r="D3874" s="67"/>
      <c r="E3874" s="56"/>
      <c r="F3874" s="56"/>
      <c r="G3874" s="62"/>
      <c r="H3874" s="65"/>
      <c r="I3874" s="56"/>
      <c r="J3874" s="66"/>
      <c r="K3874" s="67"/>
      <c r="L3874" s="56"/>
      <c r="M3874" s="67"/>
      <c r="N3874" s="56"/>
      <c r="O3874" s="53"/>
      <c r="P3874" s="68"/>
      <c r="Q3874" s="69"/>
      <c r="R3874" s="68"/>
      <c r="S3874" s="70"/>
      <c r="T3874" s="67"/>
      <c r="U3874" s="56"/>
      <c r="V3874" s="56"/>
      <c r="W3874" s="71"/>
      <c r="X3874" s="71"/>
      <c r="AA3874" s="33"/>
      <c r="AB3874" s="33"/>
      <c r="AC3874" s="33"/>
      <c r="AD3874" s="33"/>
      <c r="AE3874" s="33"/>
      <c r="AF3874" s="33"/>
      <c r="AG3874" s="33"/>
      <c r="AH3874" s="33"/>
      <c r="AI3874" s="33"/>
      <c r="AJ3874" s="33"/>
      <c r="AK3874" s="33"/>
      <c r="AL3874" s="33"/>
      <c r="AM3874" s="33"/>
      <c r="AN3874" s="33"/>
      <c r="AO3874" s="33"/>
    </row>
    <row r="3875" ht="15.75" customHeight="1">
      <c r="A3875" s="72"/>
      <c r="B3875" s="61"/>
      <c r="C3875" s="56"/>
      <c r="D3875" s="67"/>
      <c r="E3875" s="56"/>
      <c r="F3875" s="56"/>
      <c r="G3875" s="62"/>
      <c r="H3875" s="65"/>
      <c r="I3875" s="56"/>
      <c r="J3875" s="66"/>
      <c r="K3875" s="67"/>
      <c r="L3875" s="56"/>
      <c r="M3875" s="67"/>
      <c r="N3875" s="56"/>
      <c r="O3875" s="53"/>
      <c r="P3875" s="68"/>
      <c r="Q3875" s="69"/>
      <c r="R3875" s="68"/>
      <c r="S3875" s="70"/>
      <c r="T3875" s="67"/>
      <c r="U3875" s="56"/>
      <c r="V3875" s="56"/>
      <c r="W3875" s="71"/>
      <c r="X3875" s="71"/>
      <c r="AA3875" s="33"/>
      <c r="AB3875" s="33"/>
      <c r="AC3875" s="33"/>
      <c r="AD3875" s="33"/>
      <c r="AE3875" s="33"/>
      <c r="AF3875" s="33"/>
      <c r="AG3875" s="33"/>
      <c r="AH3875" s="33"/>
      <c r="AI3875" s="33"/>
      <c r="AJ3875" s="33"/>
      <c r="AK3875" s="33"/>
      <c r="AL3875" s="33"/>
      <c r="AM3875" s="33"/>
      <c r="AN3875" s="33"/>
      <c r="AO3875" s="33"/>
    </row>
    <row r="3876" ht="15.75" customHeight="1">
      <c r="A3876" s="72"/>
      <c r="B3876" s="61"/>
      <c r="C3876" s="56"/>
      <c r="D3876" s="67"/>
      <c r="E3876" s="56"/>
      <c r="F3876" s="56"/>
      <c r="G3876" s="62"/>
      <c r="H3876" s="65"/>
      <c r="I3876" s="56"/>
      <c r="J3876" s="66"/>
      <c r="K3876" s="67"/>
      <c r="L3876" s="56"/>
      <c r="M3876" s="67"/>
      <c r="N3876" s="56"/>
      <c r="O3876" s="53"/>
      <c r="P3876" s="68"/>
      <c r="Q3876" s="69"/>
      <c r="R3876" s="68"/>
      <c r="S3876" s="70"/>
      <c r="T3876" s="67"/>
      <c r="U3876" s="56"/>
      <c r="V3876" s="56"/>
      <c r="W3876" s="71"/>
      <c r="X3876" s="71"/>
      <c r="AA3876" s="33"/>
      <c r="AB3876" s="33"/>
      <c r="AC3876" s="33"/>
      <c r="AD3876" s="33"/>
      <c r="AE3876" s="33"/>
      <c r="AF3876" s="33"/>
      <c r="AG3876" s="33"/>
      <c r="AH3876" s="33"/>
      <c r="AI3876" s="33"/>
      <c r="AJ3876" s="33"/>
      <c r="AK3876" s="33"/>
      <c r="AL3876" s="33"/>
      <c r="AM3876" s="33"/>
      <c r="AN3876" s="33"/>
      <c r="AO3876" s="33"/>
    </row>
    <row r="3877" ht="15.75" customHeight="1">
      <c r="A3877" s="72"/>
      <c r="B3877" s="61"/>
      <c r="C3877" s="56"/>
      <c r="D3877" s="67"/>
      <c r="E3877" s="56"/>
      <c r="F3877" s="56"/>
      <c r="G3877" s="62"/>
      <c r="H3877" s="65"/>
      <c r="I3877" s="56"/>
      <c r="J3877" s="66"/>
      <c r="K3877" s="67"/>
      <c r="L3877" s="56"/>
      <c r="M3877" s="67"/>
      <c r="N3877" s="56"/>
      <c r="O3877" s="53"/>
      <c r="P3877" s="68"/>
      <c r="Q3877" s="69"/>
      <c r="R3877" s="68"/>
      <c r="S3877" s="70"/>
      <c r="T3877" s="67"/>
      <c r="U3877" s="56"/>
      <c r="V3877" s="56"/>
      <c r="W3877" s="71"/>
      <c r="X3877" s="71"/>
      <c r="AA3877" s="33"/>
      <c r="AB3877" s="33"/>
      <c r="AC3877" s="33"/>
      <c r="AD3877" s="33"/>
      <c r="AE3877" s="33"/>
      <c r="AF3877" s="33"/>
      <c r="AG3877" s="33"/>
      <c r="AH3877" s="33"/>
      <c r="AI3877" s="33"/>
      <c r="AJ3877" s="33"/>
      <c r="AK3877" s="33"/>
      <c r="AL3877" s="33"/>
      <c r="AM3877" s="33"/>
      <c r="AN3877" s="33"/>
      <c r="AO3877" s="33"/>
    </row>
    <row r="3878" ht="15.75" customHeight="1">
      <c r="A3878" s="72"/>
      <c r="B3878" s="61"/>
      <c r="C3878" s="56"/>
      <c r="D3878" s="67"/>
      <c r="E3878" s="56"/>
      <c r="F3878" s="56"/>
      <c r="G3878" s="62"/>
      <c r="H3878" s="65"/>
      <c r="I3878" s="56"/>
      <c r="J3878" s="66"/>
      <c r="K3878" s="67"/>
      <c r="L3878" s="56"/>
      <c r="M3878" s="67"/>
      <c r="N3878" s="56"/>
      <c r="O3878" s="53"/>
      <c r="P3878" s="68"/>
      <c r="Q3878" s="69"/>
      <c r="R3878" s="68"/>
      <c r="S3878" s="70"/>
      <c r="T3878" s="67"/>
      <c r="U3878" s="56"/>
      <c r="V3878" s="56"/>
      <c r="W3878" s="71"/>
      <c r="X3878" s="71"/>
      <c r="AA3878" s="33"/>
      <c r="AB3878" s="33"/>
      <c r="AC3878" s="33"/>
      <c r="AD3878" s="33"/>
      <c r="AE3878" s="33"/>
      <c r="AF3878" s="33"/>
      <c r="AG3878" s="33"/>
      <c r="AH3878" s="33"/>
      <c r="AI3878" s="33"/>
      <c r="AJ3878" s="33"/>
      <c r="AK3878" s="33"/>
      <c r="AL3878" s="33"/>
      <c r="AM3878" s="33"/>
      <c r="AN3878" s="33"/>
      <c r="AO3878" s="33"/>
    </row>
    <row r="3879" ht="15.75" customHeight="1">
      <c r="A3879" s="72"/>
      <c r="B3879" s="61"/>
      <c r="C3879" s="56"/>
      <c r="D3879" s="67"/>
      <c r="E3879" s="56"/>
      <c r="F3879" s="56"/>
      <c r="G3879" s="62"/>
      <c r="H3879" s="65"/>
      <c r="I3879" s="56"/>
      <c r="J3879" s="66"/>
      <c r="K3879" s="67"/>
      <c r="L3879" s="56"/>
      <c r="M3879" s="67"/>
      <c r="N3879" s="56"/>
      <c r="O3879" s="53"/>
      <c r="P3879" s="68"/>
      <c r="Q3879" s="69"/>
      <c r="R3879" s="68"/>
      <c r="S3879" s="70"/>
      <c r="T3879" s="67"/>
      <c r="U3879" s="56"/>
      <c r="V3879" s="56"/>
      <c r="W3879" s="71"/>
      <c r="X3879" s="71"/>
      <c r="AA3879" s="33"/>
      <c r="AB3879" s="33"/>
      <c r="AC3879" s="33"/>
      <c r="AD3879" s="33"/>
      <c r="AE3879" s="33"/>
      <c r="AF3879" s="33"/>
      <c r="AG3879" s="33"/>
      <c r="AH3879" s="33"/>
      <c r="AI3879" s="33"/>
      <c r="AJ3879" s="33"/>
      <c r="AK3879" s="33"/>
      <c r="AL3879" s="33"/>
      <c r="AM3879" s="33"/>
      <c r="AN3879" s="33"/>
      <c r="AO3879" s="33"/>
    </row>
    <row r="3880" ht="15.75" customHeight="1">
      <c r="A3880" s="72"/>
      <c r="B3880" s="61"/>
      <c r="C3880" s="56"/>
      <c r="D3880" s="67"/>
      <c r="E3880" s="56"/>
      <c r="F3880" s="56"/>
      <c r="G3880" s="62"/>
      <c r="H3880" s="65"/>
      <c r="I3880" s="56"/>
      <c r="J3880" s="66"/>
      <c r="K3880" s="67"/>
      <c r="L3880" s="56"/>
      <c r="M3880" s="67"/>
      <c r="N3880" s="56"/>
      <c r="O3880" s="53"/>
      <c r="P3880" s="68"/>
      <c r="Q3880" s="69"/>
      <c r="R3880" s="68"/>
      <c r="S3880" s="70"/>
      <c r="T3880" s="67"/>
      <c r="U3880" s="56"/>
      <c r="V3880" s="56"/>
      <c r="W3880" s="71"/>
      <c r="X3880" s="71"/>
      <c r="AA3880" s="33"/>
      <c r="AB3880" s="33"/>
      <c r="AC3880" s="33"/>
      <c r="AD3880" s="33"/>
      <c r="AE3880" s="33"/>
      <c r="AF3880" s="33"/>
      <c r="AG3880" s="33"/>
      <c r="AH3880" s="33"/>
      <c r="AI3880" s="33"/>
      <c r="AJ3880" s="33"/>
      <c r="AK3880" s="33"/>
      <c r="AL3880" s="33"/>
      <c r="AM3880" s="33"/>
      <c r="AN3880" s="33"/>
      <c r="AO3880" s="33"/>
    </row>
    <row r="3881" ht="15.75" customHeight="1">
      <c r="A3881" s="72"/>
      <c r="B3881" s="61"/>
      <c r="C3881" s="56"/>
      <c r="D3881" s="67"/>
      <c r="E3881" s="56"/>
      <c r="F3881" s="56"/>
      <c r="G3881" s="62"/>
      <c r="H3881" s="65"/>
      <c r="I3881" s="56"/>
      <c r="J3881" s="66"/>
      <c r="K3881" s="67"/>
      <c r="L3881" s="56"/>
      <c r="M3881" s="67"/>
      <c r="N3881" s="56"/>
      <c r="O3881" s="53"/>
      <c r="P3881" s="68"/>
      <c r="Q3881" s="69"/>
      <c r="R3881" s="68"/>
      <c r="S3881" s="70"/>
      <c r="T3881" s="67"/>
      <c r="U3881" s="56"/>
      <c r="V3881" s="56"/>
      <c r="W3881" s="71"/>
      <c r="X3881" s="71"/>
      <c r="AA3881" s="33"/>
      <c r="AB3881" s="33"/>
      <c r="AC3881" s="33"/>
      <c r="AD3881" s="33"/>
      <c r="AE3881" s="33"/>
      <c r="AF3881" s="33"/>
      <c r="AG3881" s="33"/>
      <c r="AH3881" s="33"/>
      <c r="AI3881" s="33"/>
      <c r="AJ3881" s="33"/>
      <c r="AK3881" s="33"/>
      <c r="AL3881" s="33"/>
      <c r="AM3881" s="33"/>
      <c r="AN3881" s="33"/>
      <c r="AO3881" s="33"/>
    </row>
    <row r="3882" ht="15.75" customHeight="1">
      <c r="A3882" s="72"/>
      <c r="B3882" s="61"/>
      <c r="C3882" s="56"/>
      <c r="D3882" s="67"/>
      <c r="E3882" s="56"/>
      <c r="F3882" s="56"/>
      <c r="G3882" s="62"/>
      <c r="H3882" s="65"/>
      <c r="I3882" s="56"/>
      <c r="J3882" s="66"/>
      <c r="K3882" s="67"/>
      <c r="L3882" s="56"/>
      <c r="M3882" s="67"/>
      <c r="N3882" s="56"/>
      <c r="O3882" s="53"/>
      <c r="P3882" s="68"/>
      <c r="Q3882" s="69"/>
      <c r="R3882" s="68"/>
      <c r="S3882" s="70"/>
      <c r="T3882" s="67"/>
      <c r="U3882" s="56"/>
      <c r="V3882" s="56"/>
      <c r="W3882" s="71"/>
      <c r="X3882" s="71"/>
      <c r="AA3882" s="33"/>
      <c r="AB3882" s="33"/>
      <c r="AC3882" s="33"/>
      <c r="AD3882" s="33"/>
      <c r="AE3882" s="33"/>
      <c r="AF3882" s="33"/>
      <c r="AG3882" s="33"/>
      <c r="AH3882" s="33"/>
      <c r="AI3882" s="33"/>
      <c r="AJ3882" s="33"/>
      <c r="AK3882" s="33"/>
      <c r="AL3882" s="33"/>
      <c r="AM3882" s="33"/>
      <c r="AN3882" s="33"/>
      <c r="AO3882" s="33"/>
    </row>
    <row r="3883" ht="15.75" customHeight="1">
      <c r="A3883" s="72"/>
      <c r="B3883" s="61"/>
      <c r="C3883" s="56"/>
      <c r="D3883" s="67"/>
      <c r="E3883" s="56"/>
      <c r="F3883" s="56"/>
      <c r="G3883" s="62"/>
      <c r="H3883" s="65"/>
      <c r="I3883" s="56"/>
      <c r="J3883" s="66"/>
      <c r="K3883" s="67"/>
      <c r="L3883" s="56"/>
      <c r="M3883" s="67"/>
      <c r="N3883" s="56"/>
      <c r="O3883" s="53"/>
      <c r="P3883" s="68"/>
      <c r="Q3883" s="69"/>
      <c r="R3883" s="68"/>
      <c r="S3883" s="70"/>
      <c r="T3883" s="67"/>
      <c r="U3883" s="56"/>
      <c r="V3883" s="56"/>
      <c r="W3883" s="71"/>
      <c r="X3883" s="71"/>
      <c r="AA3883" s="33"/>
      <c r="AB3883" s="33"/>
      <c r="AC3883" s="33"/>
      <c r="AD3883" s="33"/>
      <c r="AE3883" s="33"/>
      <c r="AF3883" s="33"/>
      <c r="AG3883" s="33"/>
      <c r="AH3883" s="33"/>
      <c r="AI3883" s="33"/>
      <c r="AJ3883" s="33"/>
      <c r="AK3883" s="33"/>
      <c r="AL3883" s="33"/>
      <c r="AM3883" s="33"/>
      <c r="AN3883" s="33"/>
      <c r="AO3883" s="33"/>
    </row>
    <row r="3884" ht="15.75" customHeight="1">
      <c r="A3884" s="72"/>
      <c r="B3884" s="61"/>
      <c r="C3884" s="56"/>
      <c r="D3884" s="67"/>
      <c r="E3884" s="56"/>
      <c r="F3884" s="56"/>
      <c r="G3884" s="62"/>
      <c r="H3884" s="65"/>
      <c r="I3884" s="56"/>
      <c r="J3884" s="66"/>
      <c r="K3884" s="67"/>
      <c r="L3884" s="56"/>
      <c r="M3884" s="67"/>
      <c r="N3884" s="56"/>
      <c r="O3884" s="53"/>
      <c r="P3884" s="68"/>
      <c r="Q3884" s="69"/>
      <c r="R3884" s="68"/>
      <c r="S3884" s="70"/>
      <c r="T3884" s="67"/>
      <c r="U3884" s="56"/>
      <c r="V3884" s="56"/>
      <c r="W3884" s="71"/>
      <c r="X3884" s="71"/>
      <c r="AA3884" s="33"/>
      <c r="AB3884" s="33"/>
      <c r="AC3884" s="33"/>
      <c r="AD3884" s="33"/>
      <c r="AE3884" s="33"/>
      <c r="AF3884" s="33"/>
      <c r="AG3884" s="33"/>
      <c r="AH3884" s="33"/>
      <c r="AI3884" s="33"/>
      <c r="AJ3884" s="33"/>
      <c r="AK3884" s="33"/>
      <c r="AL3884" s="33"/>
      <c r="AM3884" s="33"/>
      <c r="AN3884" s="33"/>
      <c r="AO3884" s="33"/>
    </row>
    <row r="3885" ht="15.75" customHeight="1">
      <c r="A3885" s="72"/>
      <c r="B3885" s="61"/>
      <c r="C3885" s="56"/>
      <c r="D3885" s="67"/>
      <c r="E3885" s="56"/>
      <c r="F3885" s="56"/>
      <c r="G3885" s="62"/>
      <c r="H3885" s="65"/>
      <c r="I3885" s="56"/>
      <c r="J3885" s="66"/>
      <c r="K3885" s="67"/>
      <c r="L3885" s="56"/>
      <c r="M3885" s="67"/>
      <c r="N3885" s="56"/>
      <c r="O3885" s="53"/>
      <c r="P3885" s="68"/>
      <c r="Q3885" s="69"/>
      <c r="R3885" s="68"/>
      <c r="S3885" s="70"/>
      <c r="T3885" s="67"/>
      <c r="U3885" s="56"/>
      <c r="V3885" s="56"/>
      <c r="W3885" s="71"/>
      <c r="X3885" s="71"/>
      <c r="AA3885" s="33"/>
      <c r="AB3885" s="33"/>
      <c r="AC3885" s="33"/>
      <c r="AD3885" s="33"/>
      <c r="AE3885" s="33"/>
      <c r="AF3885" s="33"/>
      <c r="AG3885" s="33"/>
      <c r="AH3885" s="33"/>
      <c r="AI3885" s="33"/>
      <c r="AJ3885" s="33"/>
      <c r="AK3885" s="33"/>
      <c r="AL3885" s="33"/>
      <c r="AM3885" s="33"/>
      <c r="AN3885" s="33"/>
      <c r="AO3885" s="33"/>
    </row>
    <row r="3886" ht="15.75" customHeight="1">
      <c r="A3886" s="72"/>
      <c r="B3886" s="61"/>
      <c r="C3886" s="56"/>
      <c r="D3886" s="67"/>
      <c r="E3886" s="56"/>
      <c r="F3886" s="56"/>
      <c r="G3886" s="62"/>
      <c r="H3886" s="65"/>
      <c r="I3886" s="56"/>
      <c r="J3886" s="66"/>
      <c r="K3886" s="67"/>
      <c r="L3886" s="56"/>
      <c r="M3886" s="67"/>
      <c r="N3886" s="56"/>
      <c r="O3886" s="53"/>
      <c r="P3886" s="68"/>
      <c r="Q3886" s="69"/>
      <c r="R3886" s="68"/>
      <c r="S3886" s="70"/>
      <c r="T3886" s="67"/>
      <c r="U3886" s="56"/>
      <c r="V3886" s="56"/>
      <c r="W3886" s="71"/>
      <c r="X3886" s="71"/>
      <c r="AA3886" s="33"/>
      <c r="AB3886" s="33"/>
      <c r="AC3886" s="33"/>
      <c r="AD3886" s="33"/>
      <c r="AE3886" s="33"/>
      <c r="AF3886" s="33"/>
      <c r="AG3886" s="33"/>
      <c r="AH3886" s="33"/>
      <c r="AI3886" s="33"/>
      <c r="AJ3886" s="33"/>
      <c r="AK3886" s="33"/>
      <c r="AL3886" s="33"/>
      <c r="AM3886" s="33"/>
      <c r="AN3886" s="33"/>
      <c r="AO3886" s="33"/>
    </row>
    <row r="3887" ht="15.75" customHeight="1">
      <c r="A3887" s="72"/>
      <c r="B3887" s="61"/>
      <c r="C3887" s="56"/>
      <c r="D3887" s="67"/>
      <c r="E3887" s="56"/>
      <c r="F3887" s="56"/>
      <c r="G3887" s="62"/>
      <c r="H3887" s="65"/>
      <c r="I3887" s="56"/>
      <c r="J3887" s="66"/>
      <c r="K3887" s="67"/>
      <c r="L3887" s="56"/>
      <c r="M3887" s="67"/>
      <c r="N3887" s="56"/>
      <c r="O3887" s="53"/>
      <c r="P3887" s="68"/>
      <c r="Q3887" s="69"/>
      <c r="R3887" s="68"/>
      <c r="S3887" s="70"/>
      <c r="T3887" s="67"/>
      <c r="U3887" s="56"/>
      <c r="V3887" s="56"/>
      <c r="W3887" s="71"/>
      <c r="X3887" s="71"/>
      <c r="AA3887" s="33"/>
      <c r="AB3887" s="33"/>
      <c r="AC3887" s="33"/>
      <c r="AD3887" s="33"/>
      <c r="AE3887" s="33"/>
      <c r="AF3887" s="33"/>
      <c r="AG3887" s="33"/>
      <c r="AH3887" s="33"/>
      <c r="AI3887" s="33"/>
      <c r="AJ3887" s="33"/>
      <c r="AK3887" s="33"/>
      <c r="AL3887" s="33"/>
      <c r="AM3887" s="33"/>
      <c r="AN3887" s="33"/>
      <c r="AO3887" s="33"/>
    </row>
    <row r="3888" ht="15.75" customHeight="1">
      <c r="A3888" s="72"/>
      <c r="B3888" s="61"/>
      <c r="C3888" s="56"/>
      <c r="D3888" s="67"/>
      <c r="E3888" s="56"/>
      <c r="F3888" s="56"/>
      <c r="G3888" s="62"/>
      <c r="H3888" s="65"/>
      <c r="I3888" s="56"/>
      <c r="J3888" s="66"/>
      <c r="K3888" s="67"/>
      <c r="L3888" s="56"/>
      <c r="M3888" s="67"/>
      <c r="N3888" s="56"/>
      <c r="O3888" s="53"/>
      <c r="P3888" s="68"/>
      <c r="Q3888" s="69"/>
      <c r="R3888" s="68"/>
      <c r="S3888" s="70"/>
      <c r="T3888" s="67"/>
      <c r="U3888" s="56"/>
      <c r="V3888" s="56"/>
      <c r="W3888" s="71"/>
      <c r="X3888" s="71"/>
      <c r="AA3888" s="33"/>
      <c r="AB3888" s="33"/>
      <c r="AC3888" s="33"/>
      <c r="AD3888" s="33"/>
      <c r="AE3888" s="33"/>
      <c r="AF3888" s="33"/>
      <c r="AG3888" s="33"/>
      <c r="AH3888" s="33"/>
      <c r="AI3888" s="33"/>
      <c r="AJ3888" s="33"/>
      <c r="AK3888" s="33"/>
      <c r="AL3888" s="33"/>
      <c r="AM3888" s="33"/>
      <c r="AN3888" s="33"/>
      <c r="AO3888" s="33"/>
    </row>
    <row r="3889" ht="15.75" customHeight="1">
      <c r="A3889" s="72"/>
      <c r="B3889" s="61"/>
      <c r="C3889" s="56"/>
      <c r="D3889" s="67"/>
      <c r="E3889" s="56"/>
      <c r="F3889" s="56"/>
      <c r="G3889" s="62"/>
      <c r="H3889" s="65"/>
      <c r="I3889" s="56"/>
      <c r="J3889" s="66"/>
      <c r="K3889" s="67"/>
      <c r="L3889" s="56"/>
      <c r="M3889" s="67"/>
      <c r="N3889" s="56"/>
      <c r="O3889" s="53"/>
      <c r="P3889" s="68"/>
      <c r="Q3889" s="69"/>
      <c r="R3889" s="68"/>
      <c r="S3889" s="70"/>
      <c r="T3889" s="67"/>
      <c r="U3889" s="56"/>
      <c r="V3889" s="56"/>
      <c r="W3889" s="71"/>
      <c r="X3889" s="71"/>
      <c r="AA3889" s="33"/>
      <c r="AB3889" s="33"/>
      <c r="AC3889" s="33"/>
      <c r="AD3889" s="33"/>
      <c r="AE3889" s="33"/>
      <c r="AF3889" s="33"/>
      <c r="AG3889" s="33"/>
      <c r="AH3889" s="33"/>
      <c r="AI3889" s="33"/>
      <c r="AJ3889" s="33"/>
      <c r="AK3889" s="33"/>
      <c r="AL3889" s="33"/>
      <c r="AM3889" s="33"/>
      <c r="AN3889" s="33"/>
      <c r="AO3889" s="33"/>
    </row>
    <row r="3890" ht="15.75" customHeight="1">
      <c r="A3890" s="72"/>
      <c r="B3890" s="61"/>
      <c r="C3890" s="56"/>
      <c r="D3890" s="67"/>
      <c r="E3890" s="56"/>
      <c r="F3890" s="56"/>
      <c r="G3890" s="62"/>
      <c r="H3890" s="65"/>
      <c r="I3890" s="56"/>
      <c r="J3890" s="66"/>
      <c r="K3890" s="67"/>
      <c r="L3890" s="56"/>
      <c r="M3890" s="67"/>
      <c r="N3890" s="56"/>
      <c r="O3890" s="53"/>
      <c r="P3890" s="68"/>
      <c r="Q3890" s="69"/>
      <c r="R3890" s="68"/>
      <c r="S3890" s="70"/>
      <c r="T3890" s="67"/>
      <c r="U3890" s="56"/>
      <c r="V3890" s="56"/>
      <c r="W3890" s="71"/>
      <c r="X3890" s="71"/>
      <c r="AA3890" s="33"/>
      <c r="AB3890" s="33"/>
      <c r="AC3890" s="33"/>
      <c r="AD3890" s="33"/>
      <c r="AE3890" s="33"/>
      <c r="AF3890" s="33"/>
      <c r="AG3890" s="33"/>
      <c r="AH3890" s="33"/>
      <c r="AI3890" s="33"/>
      <c r="AJ3890" s="33"/>
      <c r="AK3890" s="33"/>
      <c r="AL3890" s="33"/>
      <c r="AM3890" s="33"/>
      <c r="AN3890" s="33"/>
      <c r="AO3890" s="33"/>
    </row>
    <row r="3891" ht="15.75" customHeight="1">
      <c r="A3891" s="72"/>
      <c r="B3891" s="61"/>
      <c r="C3891" s="56"/>
      <c r="D3891" s="67"/>
      <c r="E3891" s="56"/>
      <c r="F3891" s="56"/>
      <c r="G3891" s="62"/>
      <c r="H3891" s="65"/>
      <c r="I3891" s="56"/>
      <c r="J3891" s="66"/>
      <c r="K3891" s="67"/>
      <c r="L3891" s="56"/>
      <c r="M3891" s="67"/>
      <c r="N3891" s="56"/>
      <c r="O3891" s="53"/>
      <c r="P3891" s="68"/>
      <c r="Q3891" s="69"/>
      <c r="R3891" s="68"/>
      <c r="S3891" s="70"/>
      <c r="T3891" s="67"/>
      <c r="U3891" s="56"/>
      <c r="V3891" s="56"/>
      <c r="W3891" s="71"/>
      <c r="X3891" s="71"/>
      <c r="AA3891" s="33"/>
      <c r="AB3891" s="33"/>
      <c r="AC3891" s="33"/>
      <c r="AD3891" s="33"/>
      <c r="AE3891" s="33"/>
      <c r="AF3891" s="33"/>
      <c r="AG3891" s="33"/>
      <c r="AH3891" s="33"/>
      <c r="AI3891" s="33"/>
      <c r="AJ3891" s="33"/>
      <c r="AK3891" s="33"/>
      <c r="AL3891" s="33"/>
      <c r="AM3891" s="33"/>
      <c r="AN3891" s="33"/>
      <c r="AO3891" s="33"/>
    </row>
    <row r="3892" ht="15.75" customHeight="1">
      <c r="A3892" s="72"/>
      <c r="B3892" s="61"/>
      <c r="C3892" s="56"/>
      <c r="D3892" s="67"/>
      <c r="E3892" s="56"/>
      <c r="F3892" s="56"/>
      <c r="G3892" s="62"/>
      <c r="H3892" s="65"/>
      <c r="I3892" s="56"/>
      <c r="J3892" s="66"/>
      <c r="K3892" s="67"/>
      <c r="L3892" s="56"/>
      <c r="M3892" s="67"/>
      <c r="N3892" s="56"/>
      <c r="O3892" s="53"/>
      <c r="P3892" s="68"/>
      <c r="Q3892" s="69"/>
      <c r="R3892" s="68"/>
      <c r="S3892" s="70"/>
      <c r="T3892" s="67"/>
      <c r="U3892" s="56"/>
      <c r="V3892" s="56"/>
      <c r="W3892" s="71"/>
      <c r="X3892" s="71"/>
      <c r="AA3892" s="33"/>
      <c r="AB3892" s="33"/>
      <c r="AC3892" s="33"/>
      <c r="AD3892" s="33"/>
      <c r="AE3892" s="33"/>
      <c r="AF3892" s="33"/>
      <c r="AG3892" s="33"/>
      <c r="AH3892" s="33"/>
      <c r="AI3892" s="33"/>
      <c r="AJ3892" s="33"/>
      <c r="AK3892" s="33"/>
      <c r="AL3892" s="33"/>
      <c r="AM3892" s="33"/>
      <c r="AN3892" s="33"/>
      <c r="AO3892" s="33"/>
    </row>
    <row r="3893" ht="15.75" customHeight="1">
      <c r="A3893" s="72"/>
      <c r="B3893" s="61"/>
      <c r="C3893" s="56"/>
      <c r="D3893" s="67"/>
      <c r="E3893" s="56"/>
      <c r="F3893" s="56"/>
      <c r="G3893" s="62"/>
      <c r="H3893" s="65"/>
      <c r="I3893" s="56"/>
      <c r="J3893" s="66"/>
      <c r="K3893" s="67"/>
      <c r="L3893" s="56"/>
      <c r="M3893" s="67"/>
      <c r="N3893" s="56"/>
      <c r="O3893" s="53"/>
      <c r="P3893" s="68"/>
      <c r="Q3893" s="69"/>
      <c r="R3893" s="68"/>
      <c r="S3893" s="70"/>
      <c r="T3893" s="67"/>
      <c r="U3893" s="56"/>
      <c r="V3893" s="56"/>
      <c r="W3893" s="71"/>
      <c r="X3893" s="71"/>
      <c r="AA3893" s="33"/>
      <c r="AB3893" s="33"/>
      <c r="AC3893" s="33"/>
      <c r="AD3893" s="33"/>
      <c r="AE3893" s="33"/>
      <c r="AF3893" s="33"/>
      <c r="AG3893" s="33"/>
      <c r="AH3893" s="33"/>
      <c r="AI3893" s="33"/>
      <c r="AJ3893" s="33"/>
      <c r="AK3893" s="33"/>
      <c r="AL3893" s="33"/>
      <c r="AM3893" s="33"/>
      <c r="AN3893" s="33"/>
      <c r="AO3893" s="33"/>
    </row>
    <row r="3894" ht="15.75" customHeight="1">
      <c r="A3894" s="72"/>
      <c r="B3894" s="61"/>
      <c r="C3894" s="56"/>
      <c r="D3894" s="67"/>
      <c r="E3894" s="56"/>
      <c r="F3894" s="56"/>
      <c r="G3894" s="62"/>
      <c r="H3894" s="65"/>
      <c r="I3894" s="56"/>
      <c r="J3894" s="66"/>
      <c r="K3894" s="67"/>
      <c r="L3894" s="56"/>
      <c r="M3894" s="67"/>
      <c r="N3894" s="56"/>
      <c r="O3894" s="53"/>
      <c r="P3894" s="68"/>
      <c r="Q3894" s="69"/>
      <c r="R3894" s="68"/>
      <c r="S3894" s="70"/>
      <c r="T3894" s="67"/>
      <c r="U3894" s="56"/>
      <c r="V3894" s="56"/>
      <c r="W3894" s="71"/>
      <c r="X3894" s="71"/>
      <c r="AA3894" s="33"/>
      <c r="AB3894" s="33"/>
      <c r="AC3894" s="33"/>
      <c r="AD3894" s="33"/>
      <c r="AE3894" s="33"/>
      <c r="AF3894" s="33"/>
      <c r="AG3894" s="33"/>
      <c r="AH3894" s="33"/>
      <c r="AI3894" s="33"/>
      <c r="AJ3894" s="33"/>
      <c r="AK3894" s="33"/>
      <c r="AL3894" s="33"/>
      <c r="AM3894" s="33"/>
      <c r="AN3894" s="33"/>
      <c r="AO3894" s="33"/>
    </row>
    <row r="3895" ht="15.75" customHeight="1">
      <c r="A3895" s="72"/>
      <c r="B3895" s="61"/>
      <c r="C3895" s="56"/>
      <c r="D3895" s="67"/>
      <c r="E3895" s="56"/>
      <c r="F3895" s="56"/>
      <c r="G3895" s="62"/>
      <c r="H3895" s="65"/>
      <c r="I3895" s="56"/>
      <c r="J3895" s="66"/>
      <c r="K3895" s="67"/>
      <c r="L3895" s="56"/>
      <c r="M3895" s="67"/>
      <c r="N3895" s="56"/>
      <c r="O3895" s="53"/>
      <c r="P3895" s="68"/>
      <c r="Q3895" s="69"/>
      <c r="R3895" s="68"/>
      <c r="S3895" s="70"/>
      <c r="T3895" s="67"/>
      <c r="U3895" s="56"/>
      <c r="V3895" s="56"/>
      <c r="W3895" s="71"/>
      <c r="X3895" s="71"/>
      <c r="AA3895" s="33"/>
      <c r="AB3895" s="33"/>
      <c r="AC3895" s="33"/>
      <c r="AD3895" s="33"/>
      <c r="AE3895" s="33"/>
      <c r="AF3895" s="33"/>
      <c r="AG3895" s="33"/>
      <c r="AH3895" s="33"/>
      <c r="AI3895" s="33"/>
      <c r="AJ3895" s="33"/>
      <c r="AK3895" s="33"/>
      <c r="AL3895" s="33"/>
      <c r="AM3895" s="33"/>
      <c r="AN3895" s="33"/>
      <c r="AO3895" s="33"/>
    </row>
    <row r="3896" ht="15.75" customHeight="1">
      <c r="A3896" s="72"/>
      <c r="B3896" s="61"/>
      <c r="C3896" s="56"/>
      <c r="D3896" s="67"/>
      <c r="E3896" s="56"/>
      <c r="F3896" s="56"/>
      <c r="G3896" s="62"/>
      <c r="H3896" s="65"/>
      <c r="I3896" s="56"/>
      <c r="J3896" s="66"/>
      <c r="K3896" s="67"/>
      <c r="L3896" s="56"/>
      <c r="M3896" s="67"/>
      <c r="N3896" s="56"/>
      <c r="O3896" s="53"/>
      <c r="P3896" s="68"/>
      <c r="Q3896" s="69"/>
      <c r="R3896" s="68"/>
      <c r="S3896" s="70"/>
      <c r="T3896" s="67"/>
      <c r="U3896" s="56"/>
      <c r="V3896" s="56"/>
      <c r="W3896" s="71"/>
      <c r="X3896" s="71"/>
      <c r="AA3896" s="33"/>
      <c r="AB3896" s="33"/>
      <c r="AC3896" s="33"/>
      <c r="AD3896" s="33"/>
      <c r="AE3896" s="33"/>
      <c r="AF3896" s="33"/>
      <c r="AG3896" s="33"/>
      <c r="AH3896" s="33"/>
      <c r="AI3896" s="33"/>
      <c r="AJ3896" s="33"/>
      <c r="AK3896" s="33"/>
      <c r="AL3896" s="33"/>
      <c r="AM3896" s="33"/>
      <c r="AN3896" s="33"/>
      <c r="AO3896" s="33"/>
    </row>
    <row r="3897" ht="15.75" customHeight="1">
      <c r="A3897" s="72"/>
      <c r="B3897" s="61"/>
      <c r="C3897" s="56"/>
      <c r="D3897" s="67"/>
      <c r="E3897" s="56"/>
      <c r="F3897" s="56"/>
      <c r="G3897" s="62"/>
      <c r="H3897" s="65"/>
      <c r="I3897" s="56"/>
      <c r="J3897" s="66"/>
      <c r="K3897" s="67"/>
      <c r="L3897" s="56"/>
      <c r="M3897" s="67"/>
      <c r="N3897" s="56"/>
      <c r="O3897" s="53"/>
      <c r="P3897" s="68"/>
      <c r="Q3897" s="69"/>
      <c r="R3897" s="68"/>
      <c r="S3897" s="70"/>
      <c r="T3897" s="67"/>
      <c r="U3897" s="56"/>
      <c r="V3897" s="56"/>
      <c r="W3897" s="71"/>
      <c r="X3897" s="71"/>
      <c r="AA3897" s="33"/>
      <c r="AB3897" s="33"/>
      <c r="AC3897" s="33"/>
      <c r="AD3897" s="33"/>
      <c r="AE3897" s="33"/>
      <c r="AF3897" s="33"/>
      <c r="AG3897" s="33"/>
      <c r="AH3897" s="33"/>
      <c r="AI3897" s="33"/>
      <c r="AJ3897" s="33"/>
      <c r="AK3897" s="33"/>
      <c r="AL3897" s="33"/>
      <c r="AM3897" s="33"/>
      <c r="AN3897" s="33"/>
      <c r="AO3897" s="33"/>
    </row>
    <row r="3898" ht="15.75" customHeight="1">
      <c r="A3898" s="72"/>
      <c r="B3898" s="61"/>
      <c r="C3898" s="56"/>
      <c r="D3898" s="67"/>
      <c r="E3898" s="56"/>
      <c r="F3898" s="56"/>
      <c r="G3898" s="62"/>
      <c r="H3898" s="65"/>
      <c r="I3898" s="56"/>
      <c r="J3898" s="66"/>
      <c r="K3898" s="67"/>
      <c r="L3898" s="56"/>
      <c r="M3898" s="67"/>
      <c r="N3898" s="56"/>
      <c r="O3898" s="53"/>
      <c r="P3898" s="68"/>
      <c r="Q3898" s="69"/>
      <c r="R3898" s="68"/>
      <c r="S3898" s="70"/>
      <c r="T3898" s="67"/>
      <c r="U3898" s="56"/>
      <c r="V3898" s="56"/>
      <c r="W3898" s="71"/>
      <c r="X3898" s="71"/>
      <c r="AA3898" s="33"/>
      <c r="AB3898" s="33"/>
      <c r="AC3898" s="33"/>
      <c r="AD3898" s="33"/>
      <c r="AE3898" s="33"/>
      <c r="AF3898" s="33"/>
      <c r="AG3898" s="33"/>
      <c r="AH3898" s="33"/>
      <c r="AI3898" s="33"/>
      <c r="AJ3898" s="33"/>
      <c r="AK3898" s="33"/>
      <c r="AL3898" s="33"/>
      <c r="AM3898" s="33"/>
      <c r="AN3898" s="33"/>
      <c r="AO3898" s="33"/>
    </row>
    <row r="3899" ht="15.75" customHeight="1">
      <c r="A3899" s="72"/>
      <c r="B3899" s="61"/>
      <c r="C3899" s="56"/>
      <c r="D3899" s="67"/>
      <c r="E3899" s="56"/>
      <c r="F3899" s="56"/>
      <c r="G3899" s="62"/>
      <c r="H3899" s="65"/>
      <c r="I3899" s="56"/>
      <c r="J3899" s="66"/>
      <c r="K3899" s="67"/>
      <c r="L3899" s="56"/>
      <c r="M3899" s="67"/>
      <c r="N3899" s="56"/>
      <c r="O3899" s="53"/>
      <c r="P3899" s="68"/>
      <c r="Q3899" s="69"/>
      <c r="R3899" s="68"/>
      <c r="S3899" s="70"/>
      <c r="T3899" s="67"/>
      <c r="U3899" s="56"/>
      <c r="V3899" s="56"/>
      <c r="W3899" s="71"/>
      <c r="X3899" s="71"/>
      <c r="AA3899" s="33"/>
      <c r="AB3899" s="33"/>
      <c r="AC3899" s="33"/>
      <c r="AD3899" s="33"/>
      <c r="AE3899" s="33"/>
      <c r="AF3899" s="33"/>
      <c r="AG3899" s="33"/>
      <c r="AH3899" s="33"/>
      <c r="AI3899" s="33"/>
      <c r="AJ3899" s="33"/>
      <c r="AK3899" s="33"/>
      <c r="AL3899" s="33"/>
      <c r="AM3899" s="33"/>
      <c r="AN3899" s="33"/>
      <c r="AO3899" s="33"/>
    </row>
    <row r="3900" ht="15.75" customHeight="1">
      <c r="A3900" s="72"/>
      <c r="B3900" s="61"/>
      <c r="C3900" s="56"/>
      <c r="D3900" s="67"/>
      <c r="E3900" s="56"/>
      <c r="F3900" s="56"/>
      <c r="G3900" s="62"/>
      <c r="H3900" s="65"/>
      <c r="I3900" s="56"/>
      <c r="J3900" s="66"/>
      <c r="K3900" s="67"/>
      <c r="L3900" s="56"/>
      <c r="M3900" s="67"/>
      <c r="N3900" s="56"/>
      <c r="O3900" s="53"/>
      <c r="P3900" s="68"/>
      <c r="Q3900" s="69"/>
      <c r="R3900" s="68"/>
      <c r="S3900" s="70"/>
      <c r="T3900" s="67"/>
      <c r="U3900" s="56"/>
      <c r="V3900" s="56"/>
      <c r="W3900" s="71"/>
      <c r="X3900" s="71"/>
      <c r="AA3900" s="33"/>
      <c r="AB3900" s="33"/>
      <c r="AC3900" s="33"/>
      <c r="AD3900" s="33"/>
      <c r="AE3900" s="33"/>
      <c r="AF3900" s="33"/>
      <c r="AG3900" s="33"/>
      <c r="AH3900" s="33"/>
      <c r="AI3900" s="33"/>
      <c r="AJ3900" s="33"/>
      <c r="AK3900" s="33"/>
      <c r="AL3900" s="33"/>
      <c r="AM3900" s="33"/>
      <c r="AN3900" s="33"/>
      <c r="AO3900" s="33"/>
    </row>
    <row r="3901" ht="15.75" customHeight="1">
      <c r="A3901" s="72"/>
      <c r="B3901" s="61"/>
      <c r="C3901" s="56"/>
      <c r="D3901" s="67"/>
      <c r="E3901" s="56"/>
      <c r="F3901" s="56"/>
      <c r="G3901" s="62"/>
      <c r="H3901" s="65"/>
      <c r="I3901" s="56"/>
      <c r="J3901" s="66"/>
      <c r="K3901" s="67"/>
      <c r="L3901" s="56"/>
      <c r="M3901" s="67"/>
      <c r="N3901" s="56"/>
      <c r="O3901" s="53"/>
      <c r="P3901" s="68"/>
      <c r="Q3901" s="69"/>
      <c r="R3901" s="68"/>
      <c r="S3901" s="70"/>
      <c r="T3901" s="67"/>
      <c r="U3901" s="56"/>
      <c r="V3901" s="56"/>
      <c r="W3901" s="71"/>
      <c r="X3901" s="71"/>
      <c r="AA3901" s="33"/>
      <c r="AB3901" s="33"/>
      <c r="AC3901" s="33"/>
      <c r="AD3901" s="33"/>
      <c r="AE3901" s="33"/>
      <c r="AF3901" s="33"/>
      <c r="AG3901" s="33"/>
      <c r="AH3901" s="33"/>
      <c r="AI3901" s="33"/>
      <c r="AJ3901" s="33"/>
      <c r="AK3901" s="33"/>
      <c r="AL3901" s="33"/>
      <c r="AM3901" s="33"/>
      <c r="AN3901" s="33"/>
      <c r="AO3901" s="33"/>
    </row>
    <row r="3902" ht="15.75" customHeight="1">
      <c r="A3902" s="72"/>
      <c r="B3902" s="61"/>
      <c r="C3902" s="56"/>
      <c r="D3902" s="67"/>
      <c r="E3902" s="56"/>
      <c r="F3902" s="56"/>
      <c r="G3902" s="62"/>
      <c r="H3902" s="65"/>
      <c r="I3902" s="56"/>
      <c r="J3902" s="66"/>
      <c r="K3902" s="67"/>
      <c r="L3902" s="56"/>
      <c r="M3902" s="67"/>
      <c r="N3902" s="56"/>
      <c r="O3902" s="53"/>
      <c r="P3902" s="68"/>
      <c r="Q3902" s="69"/>
      <c r="R3902" s="68"/>
      <c r="S3902" s="70"/>
      <c r="T3902" s="67"/>
      <c r="U3902" s="56"/>
      <c r="V3902" s="56"/>
      <c r="W3902" s="71"/>
      <c r="X3902" s="71"/>
      <c r="AA3902" s="33"/>
      <c r="AB3902" s="33"/>
      <c r="AC3902" s="33"/>
      <c r="AD3902" s="33"/>
      <c r="AE3902" s="33"/>
      <c r="AF3902" s="33"/>
      <c r="AG3902" s="33"/>
      <c r="AH3902" s="33"/>
      <c r="AI3902" s="33"/>
      <c r="AJ3902" s="33"/>
      <c r="AK3902" s="33"/>
      <c r="AL3902" s="33"/>
      <c r="AM3902" s="33"/>
      <c r="AN3902" s="33"/>
      <c r="AO3902" s="33"/>
    </row>
    <row r="3903" ht="15.75" customHeight="1">
      <c r="A3903" s="72"/>
      <c r="B3903" s="61"/>
      <c r="C3903" s="56"/>
      <c r="D3903" s="67"/>
      <c r="E3903" s="56"/>
      <c r="F3903" s="56"/>
      <c r="G3903" s="62"/>
      <c r="H3903" s="65"/>
      <c r="I3903" s="56"/>
      <c r="J3903" s="66"/>
      <c r="K3903" s="67"/>
      <c r="L3903" s="56"/>
      <c r="M3903" s="67"/>
      <c r="N3903" s="56"/>
      <c r="O3903" s="53"/>
      <c r="P3903" s="68"/>
      <c r="Q3903" s="69"/>
      <c r="R3903" s="68"/>
      <c r="S3903" s="70"/>
      <c r="T3903" s="67"/>
      <c r="U3903" s="56"/>
      <c r="V3903" s="56"/>
      <c r="W3903" s="71"/>
      <c r="X3903" s="71"/>
      <c r="AA3903" s="33"/>
      <c r="AB3903" s="33"/>
      <c r="AC3903" s="33"/>
      <c r="AD3903" s="33"/>
      <c r="AE3903" s="33"/>
      <c r="AF3903" s="33"/>
      <c r="AG3903" s="33"/>
      <c r="AH3903" s="33"/>
      <c r="AI3903" s="33"/>
      <c r="AJ3903" s="33"/>
      <c r="AK3903" s="33"/>
      <c r="AL3903" s="33"/>
      <c r="AM3903" s="33"/>
      <c r="AN3903" s="33"/>
      <c r="AO3903" s="33"/>
    </row>
    <row r="3904" ht="15.75" customHeight="1">
      <c r="A3904" s="72"/>
      <c r="B3904" s="61"/>
      <c r="C3904" s="56"/>
      <c r="D3904" s="67"/>
      <c r="E3904" s="56"/>
      <c r="F3904" s="56"/>
      <c r="G3904" s="62"/>
      <c r="H3904" s="65"/>
      <c r="I3904" s="56"/>
      <c r="J3904" s="66"/>
      <c r="K3904" s="67"/>
      <c r="L3904" s="56"/>
      <c r="M3904" s="67"/>
      <c r="N3904" s="56"/>
      <c r="O3904" s="53"/>
      <c r="P3904" s="68"/>
      <c r="Q3904" s="69"/>
      <c r="R3904" s="68"/>
      <c r="S3904" s="70"/>
      <c r="T3904" s="67"/>
      <c r="U3904" s="56"/>
      <c r="V3904" s="56"/>
      <c r="W3904" s="71"/>
      <c r="X3904" s="71"/>
      <c r="AA3904" s="33"/>
      <c r="AB3904" s="33"/>
      <c r="AC3904" s="33"/>
      <c r="AD3904" s="33"/>
      <c r="AE3904" s="33"/>
      <c r="AF3904" s="33"/>
      <c r="AG3904" s="33"/>
      <c r="AH3904" s="33"/>
      <c r="AI3904" s="33"/>
      <c r="AJ3904" s="33"/>
      <c r="AK3904" s="33"/>
      <c r="AL3904" s="33"/>
      <c r="AM3904" s="33"/>
      <c r="AN3904" s="33"/>
      <c r="AO3904" s="33"/>
    </row>
    <row r="3905" ht="15.75" customHeight="1">
      <c r="A3905" s="72"/>
      <c r="B3905" s="61"/>
      <c r="C3905" s="56"/>
      <c r="D3905" s="67"/>
      <c r="E3905" s="56"/>
      <c r="F3905" s="56"/>
      <c r="G3905" s="62"/>
      <c r="H3905" s="65"/>
      <c r="I3905" s="56"/>
      <c r="J3905" s="66"/>
      <c r="K3905" s="67"/>
      <c r="L3905" s="56"/>
      <c r="M3905" s="67"/>
      <c r="N3905" s="56"/>
      <c r="O3905" s="53"/>
      <c r="P3905" s="68"/>
      <c r="Q3905" s="69"/>
      <c r="R3905" s="68"/>
      <c r="S3905" s="70"/>
      <c r="T3905" s="67"/>
      <c r="U3905" s="56"/>
      <c r="V3905" s="56"/>
      <c r="W3905" s="71"/>
      <c r="X3905" s="71"/>
      <c r="AA3905" s="33"/>
      <c r="AB3905" s="33"/>
      <c r="AC3905" s="33"/>
      <c r="AD3905" s="33"/>
      <c r="AE3905" s="33"/>
      <c r="AF3905" s="33"/>
      <c r="AG3905" s="33"/>
      <c r="AH3905" s="33"/>
      <c r="AI3905" s="33"/>
      <c r="AJ3905" s="33"/>
      <c r="AK3905" s="33"/>
      <c r="AL3905" s="33"/>
      <c r="AM3905" s="33"/>
      <c r="AN3905" s="33"/>
      <c r="AO3905" s="33"/>
    </row>
    <row r="3906" ht="15.75" customHeight="1">
      <c r="A3906" s="72"/>
      <c r="B3906" s="61"/>
      <c r="C3906" s="56"/>
      <c r="D3906" s="67"/>
      <c r="E3906" s="56"/>
      <c r="F3906" s="56"/>
      <c r="G3906" s="62"/>
      <c r="H3906" s="65"/>
      <c r="I3906" s="56"/>
      <c r="J3906" s="66"/>
      <c r="K3906" s="67"/>
      <c r="L3906" s="56"/>
      <c r="M3906" s="67"/>
      <c r="N3906" s="56"/>
      <c r="O3906" s="53"/>
      <c r="P3906" s="68"/>
      <c r="Q3906" s="69"/>
      <c r="R3906" s="68"/>
      <c r="S3906" s="70"/>
      <c r="T3906" s="67"/>
      <c r="U3906" s="56"/>
      <c r="V3906" s="56"/>
      <c r="W3906" s="71"/>
      <c r="X3906" s="71"/>
      <c r="AA3906" s="33"/>
      <c r="AB3906" s="33"/>
      <c r="AC3906" s="33"/>
      <c r="AD3906" s="33"/>
      <c r="AE3906" s="33"/>
      <c r="AF3906" s="33"/>
      <c r="AG3906" s="33"/>
      <c r="AH3906" s="33"/>
      <c r="AI3906" s="33"/>
      <c r="AJ3906" s="33"/>
      <c r="AK3906" s="33"/>
      <c r="AL3906" s="33"/>
      <c r="AM3906" s="33"/>
      <c r="AN3906" s="33"/>
      <c r="AO3906" s="33"/>
    </row>
    <row r="3907" ht="15.75" customHeight="1">
      <c r="A3907" s="72"/>
      <c r="B3907" s="61"/>
      <c r="C3907" s="56"/>
      <c r="D3907" s="67"/>
      <c r="E3907" s="56"/>
      <c r="F3907" s="56"/>
      <c r="G3907" s="62"/>
      <c r="H3907" s="65"/>
      <c r="I3907" s="56"/>
      <c r="J3907" s="66"/>
      <c r="K3907" s="67"/>
      <c r="L3907" s="56"/>
      <c r="M3907" s="67"/>
      <c r="N3907" s="56"/>
      <c r="O3907" s="53"/>
      <c r="P3907" s="68"/>
      <c r="Q3907" s="69"/>
      <c r="R3907" s="68"/>
      <c r="S3907" s="70"/>
      <c r="T3907" s="67"/>
      <c r="U3907" s="56"/>
      <c r="V3907" s="56"/>
      <c r="W3907" s="71"/>
      <c r="X3907" s="71"/>
      <c r="AA3907" s="33"/>
      <c r="AB3907" s="33"/>
      <c r="AC3907" s="33"/>
      <c r="AD3907" s="33"/>
      <c r="AE3907" s="33"/>
      <c r="AF3907" s="33"/>
      <c r="AG3907" s="33"/>
      <c r="AH3907" s="33"/>
      <c r="AI3907" s="33"/>
      <c r="AJ3907" s="33"/>
      <c r="AK3907" s="33"/>
      <c r="AL3907" s="33"/>
      <c r="AM3907" s="33"/>
      <c r="AN3907" s="33"/>
      <c r="AO3907" s="33"/>
    </row>
    <row r="3908" ht="15.75" customHeight="1">
      <c r="A3908" s="72"/>
      <c r="B3908" s="61"/>
      <c r="C3908" s="56"/>
      <c r="D3908" s="67"/>
      <c r="E3908" s="56"/>
      <c r="F3908" s="56"/>
      <c r="G3908" s="62"/>
      <c r="H3908" s="65"/>
      <c r="I3908" s="56"/>
      <c r="J3908" s="66"/>
      <c r="K3908" s="67"/>
      <c r="L3908" s="56"/>
      <c r="M3908" s="67"/>
      <c r="N3908" s="56"/>
      <c r="O3908" s="53"/>
      <c r="P3908" s="68"/>
      <c r="Q3908" s="69"/>
      <c r="R3908" s="68"/>
      <c r="S3908" s="70"/>
      <c r="T3908" s="67"/>
      <c r="U3908" s="56"/>
      <c r="V3908" s="56"/>
      <c r="W3908" s="71"/>
      <c r="X3908" s="71"/>
      <c r="AA3908" s="33"/>
      <c r="AB3908" s="33"/>
      <c r="AC3908" s="33"/>
      <c r="AD3908" s="33"/>
      <c r="AE3908" s="33"/>
      <c r="AF3908" s="33"/>
      <c r="AG3908" s="33"/>
      <c r="AH3908" s="33"/>
      <c r="AI3908" s="33"/>
      <c r="AJ3908" s="33"/>
      <c r="AK3908" s="33"/>
      <c r="AL3908" s="33"/>
      <c r="AM3908" s="33"/>
      <c r="AN3908" s="33"/>
      <c r="AO3908" s="33"/>
    </row>
    <row r="3909" ht="15.75" customHeight="1">
      <c r="A3909" s="72"/>
      <c r="B3909" s="61"/>
      <c r="C3909" s="56"/>
      <c r="D3909" s="67"/>
      <c r="E3909" s="56"/>
      <c r="F3909" s="56"/>
      <c r="G3909" s="62"/>
      <c r="H3909" s="65"/>
      <c r="I3909" s="56"/>
      <c r="J3909" s="66"/>
      <c r="K3909" s="67"/>
      <c r="L3909" s="56"/>
      <c r="M3909" s="67"/>
      <c r="N3909" s="56"/>
      <c r="O3909" s="53"/>
      <c r="P3909" s="68"/>
      <c r="Q3909" s="69"/>
      <c r="R3909" s="68"/>
      <c r="S3909" s="70"/>
      <c r="T3909" s="67"/>
      <c r="U3909" s="56"/>
      <c r="V3909" s="56"/>
      <c r="W3909" s="71"/>
      <c r="X3909" s="71"/>
      <c r="AA3909" s="33"/>
      <c r="AB3909" s="33"/>
      <c r="AC3909" s="33"/>
      <c r="AD3909" s="33"/>
      <c r="AE3909" s="33"/>
      <c r="AF3909" s="33"/>
      <c r="AG3909" s="33"/>
      <c r="AH3909" s="33"/>
      <c r="AI3909" s="33"/>
      <c r="AJ3909" s="33"/>
      <c r="AK3909" s="33"/>
      <c r="AL3909" s="33"/>
      <c r="AM3909" s="33"/>
      <c r="AN3909" s="33"/>
      <c r="AO3909" s="33"/>
    </row>
    <row r="3910" ht="15.75" customHeight="1">
      <c r="A3910" s="72"/>
      <c r="B3910" s="61"/>
      <c r="C3910" s="56"/>
      <c r="D3910" s="67"/>
      <c r="E3910" s="56"/>
      <c r="F3910" s="56"/>
      <c r="G3910" s="62"/>
      <c r="H3910" s="65"/>
      <c r="I3910" s="56"/>
      <c r="J3910" s="66"/>
      <c r="K3910" s="67"/>
      <c r="L3910" s="56"/>
      <c r="M3910" s="67"/>
      <c r="N3910" s="56"/>
      <c r="O3910" s="53"/>
      <c r="P3910" s="68"/>
      <c r="Q3910" s="69"/>
      <c r="R3910" s="68"/>
      <c r="S3910" s="70"/>
      <c r="T3910" s="67"/>
      <c r="U3910" s="56"/>
      <c r="V3910" s="56"/>
      <c r="W3910" s="71"/>
      <c r="X3910" s="71"/>
      <c r="AA3910" s="33"/>
      <c r="AB3910" s="33"/>
      <c r="AC3910" s="33"/>
      <c r="AD3910" s="33"/>
      <c r="AE3910" s="33"/>
      <c r="AF3910" s="33"/>
      <c r="AG3910" s="33"/>
      <c r="AH3910" s="33"/>
      <c r="AI3910" s="33"/>
      <c r="AJ3910" s="33"/>
      <c r="AK3910" s="33"/>
      <c r="AL3910" s="33"/>
      <c r="AM3910" s="33"/>
      <c r="AN3910" s="33"/>
      <c r="AO3910" s="33"/>
    </row>
    <row r="3911" ht="15.75" customHeight="1">
      <c r="A3911" s="72"/>
      <c r="B3911" s="61"/>
      <c r="C3911" s="56"/>
      <c r="D3911" s="67"/>
      <c r="E3911" s="56"/>
      <c r="F3911" s="56"/>
      <c r="G3911" s="62"/>
      <c r="H3911" s="65"/>
      <c r="I3911" s="56"/>
      <c r="J3911" s="66"/>
      <c r="K3911" s="67"/>
      <c r="L3911" s="56"/>
      <c r="M3911" s="67"/>
      <c r="N3911" s="56"/>
      <c r="O3911" s="53"/>
      <c r="P3911" s="68"/>
      <c r="Q3911" s="69"/>
      <c r="R3911" s="68"/>
      <c r="S3911" s="70"/>
      <c r="T3911" s="67"/>
      <c r="U3911" s="56"/>
      <c r="V3911" s="56"/>
      <c r="W3911" s="71"/>
      <c r="X3911" s="71"/>
      <c r="AA3911" s="33"/>
      <c r="AB3911" s="33"/>
      <c r="AC3911" s="33"/>
      <c r="AD3911" s="33"/>
      <c r="AE3911" s="33"/>
      <c r="AF3911" s="33"/>
      <c r="AG3911" s="33"/>
      <c r="AH3911" s="33"/>
      <c r="AI3911" s="33"/>
      <c r="AJ3911" s="33"/>
      <c r="AK3911" s="33"/>
      <c r="AL3911" s="33"/>
      <c r="AM3911" s="33"/>
      <c r="AN3911" s="33"/>
      <c r="AO3911" s="33"/>
    </row>
    <row r="3912" ht="15.75" customHeight="1">
      <c r="A3912" s="72"/>
      <c r="B3912" s="61"/>
      <c r="C3912" s="56"/>
      <c r="D3912" s="67"/>
      <c r="E3912" s="56"/>
      <c r="F3912" s="56"/>
      <c r="G3912" s="62"/>
      <c r="H3912" s="65"/>
      <c r="I3912" s="56"/>
      <c r="J3912" s="66"/>
      <c r="K3912" s="67"/>
      <c r="L3912" s="56"/>
      <c r="M3912" s="67"/>
      <c r="N3912" s="56"/>
      <c r="O3912" s="53"/>
      <c r="P3912" s="68"/>
      <c r="Q3912" s="69"/>
      <c r="R3912" s="68"/>
      <c r="S3912" s="70"/>
      <c r="T3912" s="67"/>
      <c r="U3912" s="56"/>
      <c r="V3912" s="56"/>
      <c r="W3912" s="71"/>
      <c r="X3912" s="71"/>
      <c r="AA3912" s="33"/>
      <c r="AB3912" s="33"/>
      <c r="AC3912" s="33"/>
      <c r="AD3912" s="33"/>
      <c r="AE3912" s="33"/>
      <c r="AF3912" s="33"/>
      <c r="AG3912" s="33"/>
      <c r="AH3912" s="33"/>
      <c r="AI3912" s="33"/>
      <c r="AJ3912" s="33"/>
      <c r="AK3912" s="33"/>
      <c r="AL3912" s="33"/>
      <c r="AM3912" s="33"/>
      <c r="AN3912" s="33"/>
      <c r="AO3912" s="33"/>
    </row>
    <row r="3913" ht="15.75" customHeight="1">
      <c r="A3913" s="72"/>
      <c r="B3913" s="61"/>
      <c r="C3913" s="56"/>
      <c r="D3913" s="67"/>
      <c r="E3913" s="56"/>
      <c r="F3913" s="56"/>
      <c r="G3913" s="62"/>
      <c r="H3913" s="65"/>
      <c r="I3913" s="56"/>
      <c r="J3913" s="66"/>
      <c r="K3913" s="67"/>
      <c r="L3913" s="56"/>
      <c r="M3913" s="67"/>
      <c r="N3913" s="56"/>
      <c r="O3913" s="53"/>
      <c r="P3913" s="68"/>
      <c r="Q3913" s="69"/>
      <c r="R3913" s="68"/>
      <c r="S3913" s="70"/>
      <c r="T3913" s="67"/>
      <c r="U3913" s="56"/>
      <c r="V3913" s="56"/>
      <c r="W3913" s="71"/>
      <c r="X3913" s="71"/>
      <c r="AA3913" s="33"/>
      <c r="AB3913" s="33"/>
      <c r="AC3913" s="33"/>
      <c r="AD3913" s="33"/>
      <c r="AE3913" s="33"/>
      <c r="AF3913" s="33"/>
      <c r="AG3913" s="33"/>
      <c r="AH3913" s="33"/>
      <c r="AI3913" s="33"/>
      <c r="AJ3913" s="33"/>
      <c r="AK3913" s="33"/>
      <c r="AL3913" s="33"/>
      <c r="AM3913" s="33"/>
      <c r="AN3913" s="33"/>
      <c r="AO3913" s="33"/>
    </row>
    <row r="3914" ht="15.75" customHeight="1">
      <c r="A3914" s="72"/>
      <c r="B3914" s="61"/>
      <c r="C3914" s="56"/>
      <c r="D3914" s="67"/>
      <c r="E3914" s="56"/>
      <c r="F3914" s="56"/>
      <c r="G3914" s="62"/>
      <c r="H3914" s="65"/>
      <c r="I3914" s="56"/>
      <c r="J3914" s="66"/>
      <c r="K3914" s="67"/>
      <c r="L3914" s="56"/>
      <c r="M3914" s="67"/>
      <c r="N3914" s="56"/>
      <c r="O3914" s="53"/>
      <c r="P3914" s="68"/>
      <c r="Q3914" s="69"/>
      <c r="R3914" s="68"/>
      <c r="S3914" s="70"/>
      <c r="T3914" s="67"/>
      <c r="U3914" s="56"/>
      <c r="V3914" s="56"/>
      <c r="W3914" s="71"/>
      <c r="X3914" s="71"/>
      <c r="AA3914" s="33"/>
      <c r="AB3914" s="33"/>
      <c r="AC3914" s="33"/>
      <c r="AD3914" s="33"/>
      <c r="AE3914" s="33"/>
      <c r="AF3914" s="33"/>
      <c r="AG3914" s="33"/>
      <c r="AH3914" s="33"/>
      <c r="AI3914" s="33"/>
      <c r="AJ3914" s="33"/>
      <c r="AK3914" s="33"/>
      <c r="AL3914" s="33"/>
      <c r="AM3914" s="33"/>
      <c r="AN3914" s="33"/>
      <c r="AO3914" s="33"/>
    </row>
    <row r="3915" ht="15.75" customHeight="1">
      <c r="A3915" s="72"/>
      <c r="B3915" s="61"/>
      <c r="C3915" s="56"/>
      <c r="D3915" s="67"/>
      <c r="E3915" s="56"/>
      <c r="F3915" s="56"/>
      <c r="G3915" s="62"/>
      <c r="H3915" s="65"/>
      <c r="I3915" s="56"/>
      <c r="J3915" s="66"/>
      <c r="K3915" s="67"/>
      <c r="L3915" s="56"/>
      <c r="M3915" s="67"/>
      <c r="N3915" s="56"/>
      <c r="O3915" s="53"/>
      <c r="P3915" s="68"/>
      <c r="Q3915" s="69"/>
      <c r="R3915" s="68"/>
      <c r="S3915" s="70"/>
      <c r="T3915" s="67"/>
      <c r="U3915" s="56"/>
      <c r="V3915" s="56"/>
      <c r="W3915" s="71"/>
      <c r="X3915" s="71"/>
      <c r="AA3915" s="33"/>
      <c r="AB3915" s="33"/>
      <c r="AC3915" s="33"/>
      <c r="AD3915" s="33"/>
      <c r="AE3915" s="33"/>
      <c r="AF3915" s="33"/>
      <c r="AG3915" s="33"/>
      <c r="AH3915" s="33"/>
      <c r="AI3915" s="33"/>
      <c r="AJ3915" s="33"/>
      <c r="AK3915" s="33"/>
      <c r="AL3915" s="33"/>
      <c r="AM3915" s="33"/>
      <c r="AN3915" s="33"/>
      <c r="AO3915" s="33"/>
    </row>
    <row r="3916" ht="15.75" customHeight="1">
      <c r="A3916" s="72"/>
      <c r="B3916" s="61"/>
      <c r="C3916" s="56"/>
      <c r="D3916" s="67"/>
      <c r="E3916" s="56"/>
      <c r="F3916" s="56"/>
      <c r="G3916" s="62"/>
      <c r="H3916" s="65"/>
      <c r="I3916" s="56"/>
      <c r="J3916" s="66"/>
      <c r="K3916" s="67"/>
      <c r="L3916" s="56"/>
      <c r="M3916" s="67"/>
      <c r="N3916" s="56"/>
      <c r="O3916" s="53"/>
      <c r="P3916" s="68"/>
      <c r="Q3916" s="69"/>
      <c r="R3916" s="68"/>
      <c r="S3916" s="70"/>
      <c r="T3916" s="67"/>
      <c r="U3916" s="56"/>
      <c r="V3916" s="56"/>
      <c r="W3916" s="71"/>
      <c r="X3916" s="71"/>
      <c r="AA3916" s="33"/>
      <c r="AB3916" s="33"/>
      <c r="AC3916" s="33"/>
      <c r="AD3916" s="33"/>
      <c r="AE3916" s="33"/>
      <c r="AF3916" s="33"/>
      <c r="AG3916" s="33"/>
      <c r="AH3916" s="33"/>
      <c r="AI3916" s="33"/>
      <c r="AJ3916" s="33"/>
      <c r="AK3916" s="33"/>
      <c r="AL3916" s="33"/>
      <c r="AM3916" s="33"/>
      <c r="AN3916" s="33"/>
      <c r="AO3916" s="33"/>
    </row>
    <row r="3917" ht="15.75" customHeight="1">
      <c r="A3917" s="72"/>
      <c r="B3917" s="61"/>
      <c r="C3917" s="56"/>
      <c r="D3917" s="67"/>
      <c r="E3917" s="56"/>
      <c r="F3917" s="56"/>
      <c r="G3917" s="62"/>
      <c r="H3917" s="65"/>
      <c r="I3917" s="56"/>
      <c r="J3917" s="66"/>
      <c r="K3917" s="67"/>
      <c r="L3917" s="56"/>
      <c r="M3917" s="67"/>
      <c r="N3917" s="56"/>
      <c r="O3917" s="53"/>
      <c r="P3917" s="68"/>
      <c r="Q3917" s="69"/>
      <c r="R3917" s="68"/>
      <c r="S3917" s="70"/>
      <c r="T3917" s="67"/>
      <c r="U3917" s="56"/>
      <c r="V3917" s="56"/>
      <c r="W3917" s="71"/>
      <c r="X3917" s="71"/>
      <c r="AA3917" s="33"/>
      <c r="AB3917" s="33"/>
      <c r="AC3917" s="33"/>
      <c r="AD3917" s="33"/>
      <c r="AE3917" s="33"/>
      <c r="AF3917" s="33"/>
      <c r="AG3917" s="33"/>
      <c r="AH3917" s="33"/>
      <c r="AI3917" s="33"/>
      <c r="AJ3917" s="33"/>
      <c r="AK3917" s="33"/>
      <c r="AL3917" s="33"/>
      <c r="AM3917" s="33"/>
      <c r="AN3917" s="33"/>
      <c r="AO3917" s="33"/>
    </row>
    <row r="3918" ht="15.75" customHeight="1">
      <c r="A3918" s="72"/>
      <c r="B3918" s="61"/>
      <c r="C3918" s="56"/>
      <c r="D3918" s="67"/>
      <c r="E3918" s="56"/>
      <c r="F3918" s="56"/>
      <c r="G3918" s="62"/>
      <c r="H3918" s="65"/>
      <c r="I3918" s="56"/>
      <c r="J3918" s="66"/>
      <c r="K3918" s="67"/>
      <c r="L3918" s="56"/>
      <c r="M3918" s="67"/>
      <c r="N3918" s="56"/>
      <c r="O3918" s="53"/>
      <c r="P3918" s="68"/>
      <c r="Q3918" s="69"/>
      <c r="R3918" s="68"/>
      <c r="S3918" s="70"/>
      <c r="T3918" s="67"/>
      <c r="U3918" s="56"/>
      <c r="V3918" s="56"/>
      <c r="W3918" s="71"/>
      <c r="X3918" s="71"/>
      <c r="AA3918" s="33"/>
      <c r="AB3918" s="33"/>
      <c r="AC3918" s="33"/>
      <c r="AD3918" s="33"/>
      <c r="AE3918" s="33"/>
      <c r="AF3918" s="33"/>
      <c r="AG3918" s="33"/>
      <c r="AH3918" s="33"/>
      <c r="AI3918" s="33"/>
      <c r="AJ3918" s="33"/>
      <c r="AK3918" s="33"/>
      <c r="AL3918" s="33"/>
      <c r="AM3918" s="33"/>
      <c r="AN3918" s="33"/>
      <c r="AO3918" s="33"/>
    </row>
    <row r="3919" ht="15.75" customHeight="1">
      <c r="A3919" s="72"/>
      <c r="B3919" s="61"/>
      <c r="C3919" s="56"/>
      <c r="D3919" s="67"/>
      <c r="E3919" s="56"/>
      <c r="F3919" s="56"/>
      <c r="G3919" s="62"/>
      <c r="H3919" s="65"/>
      <c r="I3919" s="56"/>
      <c r="J3919" s="66"/>
      <c r="K3919" s="67"/>
      <c r="L3919" s="56"/>
      <c r="M3919" s="67"/>
      <c r="N3919" s="56"/>
      <c r="O3919" s="53"/>
      <c r="P3919" s="68"/>
      <c r="Q3919" s="69"/>
      <c r="R3919" s="68"/>
      <c r="S3919" s="70"/>
      <c r="T3919" s="67"/>
      <c r="U3919" s="56"/>
      <c r="V3919" s="56"/>
      <c r="W3919" s="71"/>
      <c r="X3919" s="71"/>
      <c r="AA3919" s="33"/>
      <c r="AB3919" s="33"/>
      <c r="AC3919" s="33"/>
      <c r="AD3919" s="33"/>
      <c r="AE3919" s="33"/>
      <c r="AF3919" s="33"/>
      <c r="AG3919" s="33"/>
      <c r="AH3919" s="33"/>
      <c r="AI3919" s="33"/>
      <c r="AJ3919" s="33"/>
      <c r="AK3919" s="33"/>
      <c r="AL3919" s="33"/>
      <c r="AM3919" s="33"/>
      <c r="AN3919" s="33"/>
      <c r="AO3919" s="33"/>
    </row>
    <row r="3920" ht="15.75" customHeight="1">
      <c r="A3920" s="72"/>
      <c r="B3920" s="61"/>
      <c r="C3920" s="56"/>
      <c r="D3920" s="67"/>
      <c r="E3920" s="56"/>
      <c r="F3920" s="56"/>
      <c r="G3920" s="62"/>
      <c r="H3920" s="65"/>
      <c r="I3920" s="56"/>
      <c r="J3920" s="66"/>
      <c r="K3920" s="67"/>
      <c r="L3920" s="56"/>
      <c r="M3920" s="67"/>
      <c r="N3920" s="56"/>
      <c r="O3920" s="53"/>
      <c r="P3920" s="68"/>
      <c r="Q3920" s="69"/>
      <c r="R3920" s="68"/>
      <c r="S3920" s="70"/>
      <c r="T3920" s="67"/>
      <c r="U3920" s="56"/>
      <c r="V3920" s="56"/>
      <c r="W3920" s="71"/>
      <c r="X3920" s="71"/>
      <c r="AA3920" s="33"/>
      <c r="AB3920" s="33"/>
      <c r="AC3920" s="33"/>
      <c r="AD3920" s="33"/>
      <c r="AE3920" s="33"/>
      <c r="AF3920" s="33"/>
      <c r="AG3920" s="33"/>
      <c r="AH3920" s="33"/>
      <c r="AI3920" s="33"/>
      <c r="AJ3920" s="33"/>
      <c r="AK3920" s="33"/>
      <c r="AL3920" s="33"/>
      <c r="AM3920" s="33"/>
      <c r="AN3920" s="33"/>
      <c r="AO3920" s="33"/>
    </row>
    <row r="3921" ht="15.75" customHeight="1">
      <c r="A3921" s="72"/>
      <c r="B3921" s="61"/>
      <c r="C3921" s="56"/>
      <c r="D3921" s="67"/>
      <c r="E3921" s="56"/>
      <c r="F3921" s="56"/>
      <c r="G3921" s="62"/>
      <c r="H3921" s="65"/>
      <c r="I3921" s="56"/>
      <c r="J3921" s="66"/>
      <c r="K3921" s="67"/>
      <c r="L3921" s="56"/>
      <c r="M3921" s="67"/>
      <c r="N3921" s="56"/>
      <c r="O3921" s="53"/>
      <c r="P3921" s="68"/>
      <c r="Q3921" s="69"/>
      <c r="R3921" s="68"/>
      <c r="S3921" s="70"/>
      <c r="T3921" s="67"/>
      <c r="U3921" s="56"/>
      <c r="V3921" s="56"/>
      <c r="W3921" s="71"/>
      <c r="X3921" s="71"/>
      <c r="AA3921" s="33"/>
      <c r="AB3921" s="33"/>
      <c r="AC3921" s="33"/>
      <c r="AD3921" s="33"/>
      <c r="AE3921" s="33"/>
      <c r="AF3921" s="33"/>
      <c r="AG3921" s="33"/>
      <c r="AH3921" s="33"/>
      <c r="AI3921" s="33"/>
      <c r="AJ3921" s="33"/>
      <c r="AK3921" s="33"/>
      <c r="AL3921" s="33"/>
      <c r="AM3921" s="33"/>
      <c r="AN3921" s="33"/>
      <c r="AO3921" s="33"/>
    </row>
    <row r="3922" ht="15.75" customHeight="1">
      <c r="A3922" s="72"/>
      <c r="B3922" s="61"/>
      <c r="C3922" s="56"/>
      <c r="D3922" s="67"/>
      <c r="E3922" s="56"/>
      <c r="F3922" s="56"/>
      <c r="G3922" s="62"/>
      <c r="H3922" s="65"/>
      <c r="I3922" s="56"/>
      <c r="J3922" s="66"/>
      <c r="K3922" s="67"/>
      <c r="L3922" s="56"/>
      <c r="M3922" s="67"/>
      <c r="N3922" s="56"/>
      <c r="O3922" s="53"/>
      <c r="P3922" s="68"/>
      <c r="Q3922" s="69"/>
      <c r="R3922" s="68"/>
      <c r="S3922" s="70"/>
      <c r="T3922" s="67"/>
      <c r="U3922" s="56"/>
      <c r="V3922" s="56"/>
      <c r="W3922" s="71"/>
      <c r="X3922" s="71"/>
      <c r="AA3922" s="33"/>
      <c r="AB3922" s="33"/>
      <c r="AC3922" s="33"/>
      <c r="AD3922" s="33"/>
      <c r="AE3922" s="33"/>
      <c r="AF3922" s="33"/>
      <c r="AG3922" s="33"/>
      <c r="AH3922" s="33"/>
      <c r="AI3922" s="33"/>
      <c r="AJ3922" s="33"/>
      <c r="AK3922" s="33"/>
      <c r="AL3922" s="33"/>
      <c r="AM3922" s="33"/>
      <c r="AN3922" s="33"/>
      <c r="AO3922" s="33"/>
    </row>
    <row r="3923" ht="15.75" customHeight="1">
      <c r="A3923" s="72"/>
      <c r="B3923" s="61"/>
      <c r="C3923" s="56"/>
      <c r="D3923" s="67"/>
      <c r="E3923" s="56"/>
      <c r="F3923" s="56"/>
      <c r="G3923" s="62"/>
      <c r="H3923" s="65"/>
      <c r="I3923" s="56"/>
      <c r="J3923" s="66"/>
      <c r="K3923" s="67"/>
      <c r="L3923" s="56"/>
      <c r="M3923" s="67"/>
      <c r="N3923" s="56"/>
      <c r="O3923" s="53"/>
      <c r="P3923" s="68"/>
      <c r="Q3923" s="69"/>
      <c r="R3923" s="68"/>
      <c r="S3923" s="70"/>
      <c r="T3923" s="67"/>
      <c r="U3923" s="56"/>
      <c r="V3923" s="56"/>
      <c r="W3923" s="71"/>
      <c r="X3923" s="71"/>
      <c r="AA3923" s="33"/>
      <c r="AB3923" s="33"/>
      <c r="AC3923" s="33"/>
      <c r="AD3923" s="33"/>
      <c r="AE3923" s="33"/>
      <c r="AF3923" s="33"/>
      <c r="AG3923" s="33"/>
      <c r="AH3923" s="33"/>
      <c r="AI3923" s="33"/>
      <c r="AJ3923" s="33"/>
      <c r="AK3923" s="33"/>
      <c r="AL3923" s="33"/>
      <c r="AM3923" s="33"/>
      <c r="AN3923" s="33"/>
      <c r="AO3923" s="33"/>
    </row>
    <row r="3924" ht="15.75" customHeight="1">
      <c r="A3924" s="72"/>
      <c r="B3924" s="61"/>
      <c r="C3924" s="56"/>
      <c r="D3924" s="67"/>
      <c r="E3924" s="56"/>
      <c r="F3924" s="56"/>
      <c r="G3924" s="62"/>
      <c r="H3924" s="65"/>
      <c r="I3924" s="56"/>
      <c r="J3924" s="66"/>
      <c r="K3924" s="67"/>
      <c r="L3924" s="56"/>
      <c r="M3924" s="67"/>
      <c r="N3924" s="56"/>
      <c r="O3924" s="53"/>
      <c r="P3924" s="68"/>
      <c r="Q3924" s="69"/>
      <c r="R3924" s="68"/>
      <c r="S3924" s="70"/>
      <c r="T3924" s="67"/>
      <c r="U3924" s="56"/>
      <c r="V3924" s="56"/>
      <c r="W3924" s="71"/>
      <c r="X3924" s="71"/>
      <c r="AA3924" s="33"/>
      <c r="AB3924" s="33"/>
      <c r="AC3924" s="33"/>
      <c r="AD3924" s="33"/>
      <c r="AE3924" s="33"/>
      <c r="AF3924" s="33"/>
      <c r="AG3924" s="33"/>
      <c r="AH3924" s="33"/>
      <c r="AI3924" s="33"/>
      <c r="AJ3924" s="33"/>
      <c r="AK3924" s="33"/>
      <c r="AL3924" s="33"/>
      <c r="AM3924" s="33"/>
      <c r="AN3924" s="33"/>
      <c r="AO3924" s="33"/>
    </row>
    <row r="3925" ht="15.75" customHeight="1">
      <c r="A3925" s="72"/>
      <c r="B3925" s="61"/>
      <c r="C3925" s="56"/>
      <c r="D3925" s="67"/>
      <c r="E3925" s="56"/>
      <c r="F3925" s="56"/>
      <c r="G3925" s="62"/>
      <c r="H3925" s="65"/>
      <c r="I3925" s="56"/>
      <c r="J3925" s="66"/>
      <c r="K3925" s="67"/>
      <c r="L3925" s="56"/>
      <c r="M3925" s="67"/>
      <c r="N3925" s="56"/>
      <c r="O3925" s="53"/>
      <c r="P3925" s="68"/>
      <c r="Q3925" s="69"/>
      <c r="R3925" s="68"/>
      <c r="S3925" s="70"/>
      <c r="T3925" s="67"/>
      <c r="U3925" s="56"/>
      <c r="V3925" s="56"/>
      <c r="W3925" s="71"/>
      <c r="X3925" s="71"/>
      <c r="AA3925" s="33"/>
      <c r="AB3925" s="33"/>
      <c r="AC3925" s="33"/>
      <c r="AD3925" s="33"/>
      <c r="AE3925" s="33"/>
      <c r="AF3925" s="33"/>
      <c r="AG3925" s="33"/>
      <c r="AH3925" s="33"/>
      <c r="AI3925" s="33"/>
      <c r="AJ3925" s="33"/>
      <c r="AK3925" s="33"/>
      <c r="AL3925" s="33"/>
      <c r="AM3925" s="33"/>
      <c r="AN3925" s="33"/>
      <c r="AO3925" s="33"/>
    </row>
    <row r="3926" ht="15.75" customHeight="1">
      <c r="A3926" s="72"/>
      <c r="B3926" s="61"/>
      <c r="C3926" s="56"/>
      <c r="D3926" s="67"/>
      <c r="E3926" s="56"/>
      <c r="F3926" s="56"/>
      <c r="G3926" s="62"/>
      <c r="H3926" s="65"/>
      <c r="I3926" s="56"/>
      <c r="J3926" s="66"/>
      <c r="K3926" s="67"/>
      <c r="L3926" s="56"/>
      <c r="M3926" s="67"/>
      <c r="N3926" s="56"/>
      <c r="O3926" s="53"/>
      <c r="P3926" s="68"/>
      <c r="Q3926" s="69"/>
      <c r="R3926" s="68"/>
      <c r="S3926" s="70"/>
      <c r="T3926" s="67"/>
      <c r="U3926" s="56"/>
      <c r="V3926" s="56"/>
      <c r="W3926" s="71"/>
      <c r="X3926" s="71"/>
      <c r="AA3926" s="33"/>
      <c r="AB3926" s="33"/>
      <c r="AC3926" s="33"/>
      <c r="AD3926" s="33"/>
      <c r="AE3926" s="33"/>
      <c r="AF3926" s="33"/>
      <c r="AG3926" s="33"/>
      <c r="AH3926" s="33"/>
      <c r="AI3926" s="33"/>
      <c r="AJ3926" s="33"/>
      <c r="AK3926" s="33"/>
      <c r="AL3926" s="33"/>
      <c r="AM3926" s="33"/>
      <c r="AN3926" s="33"/>
      <c r="AO3926" s="33"/>
    </row>
    <row r="3927" ht="15.75" customHeight="1">
      <c r="A3927" s="72"/>
      <c r="B3927" s="61"/>
      <c r="C3927" s="56"/>
      <c r="D3927" s="67"/>
      <c r="E3927" s="56"/>
      <c r="F3927" s="56"/>
      <c r="G3927" s="62"/>
      <c r="H3927" s="65"/>
      <c r="I3927" s="56"/>
      <c r="J3927" s="66"/>
      <c r="K3927" s="67"/>
      <c r="L3927" s="56"/>
      <c r="M3927" s="67"/>
      <c r="N3927" s="56"/>
      <c r="O3927" s="53"/>
      <c r="P3927" s="68"/>
      <c r="Q3927" s="69"/>
      <c r="R3927" s="68"/>
      <c r="S3927" s="70"/>
      <c r="T3927" s="67"/>
      <c r="U3927" s="56"/>
      <c r="V3927" s="56"/>
      <c r="W3927" s="71"/>
      <c r="X3927" s="71"/>
      <c r="AA3927" s="33"/>
      <c r="AB3927" s="33"/>
      <c r="AC3927" s="33"/>
      <c r="AD3927" s="33"/>
      <c r="AE3927" s="33"/>
      <c r="AF3927" s="33"/>
      <c r="AG3927" s="33"/>
      <c r="AH3927" s="33"/>
      <c r="AI3927" s="33"/>
      <c r="AJ3927" s="33"/>
      <c r="AK3927" s="33"/>
      <c r="AL3927" s="33"/>
      <c r="AM3927" s="33"/>
      <c r="AN3927" s="33"/>
      <c r="AO3927" s="33"/>
    </row>
    <row r="3928" ht="15.75" customHeight="1">
      <c r="A3928" s="72"/>
      <c r="B3928" s="61"/>
      <c r="C3928" s="56"/>
      <c r="D3928" s="67"/>
      <c r="E3928" s="56"/>
      <c r="F3928" s="56"/>
      <c r="G3928" s="62"/>
      <c r="H3928" s="65"/>
      <c r="I3928" s="56"/>
      <c r="J3928" s="66"/>
      <c r="K3928" s="67"/>
      <c r="L3928" s="56"/>
      <c r="M3928" s="67"/>
      <c r="N3928" s="56"/>
      <c r="O3928" s="53"/>
      <c r="P3928" s="68"/>
      <c r="Q3928" s="69"/>
      <c r="R3928" s="68"/>
      <c r="S3928" s="70"/>
      <c r="T3928" s="67"/>
      <c r="U3928" s="56"/>
      <c r="V3928" s="56"/>
      <c r="W3928" s="71"/>
      <c r="X3928" s="71"/>
      <c r="AA3928" s="33"/>
      <c r="AB3928" s="33"/>
      <c r="AC3928" s="33"/>
      <c r="AD3928" s="33"/>
      <c r="AE3928" s="33"/>
      <c r="AF3928" s="33"/>
      <c r="AG3928" s="33"/>
      <c r="AH3928" s="33"/>
      <c r="AI3928" s="33"/>
      <c r="AJ3928" s="33"/>
      <c r="AK3928" s="33"/>
      <c r="AL3928" s="33"/>
      <c r="AM3928" s="33"/>
      <c r="AN3928" s="33"/>
      <c r="AO3928" s="33"/>
    </row>
    <row r="3929" ht="15.75" customHeight="1">
      <c r="A3929" s="72"/>
      <c r="B3929" s="61"/>
      <c r="C3929" s="56"/>
      <c r="D3929" s="67"/>
      <c r="E3929" s="56"/>
      <c r="F3929" s="56"/>
      <c r="G3929" s="62"/>
      <c r="H3929" s="65"/>
      <c r="I3929" s="56"/>
      <c r="J3929" s="66"/>
      <c r="K3929" s="67"/>
      <c r="L3929" s="56"/>
      <c r="M3929" s="67"/>
      <c r="N3929" s="56"/>
      <c r="O3929" s="53"/>
      <c r="P3929" s="68"/>
      <c r="Q3929" s="69"/>
      <c r="R3929" s="68"/>
      <c r="S3929" s="70"/>
      <c r="T3929" s="67"/>
      <c r="U3929" s="56"/>
      <c r="V3929" s="56"/>
      <c r="W3929" s="71"/>
      <c r="X3929" s="71"/>
      <c r="AA3929" s="33"/>
      <c r="AB3929" s="33"/>
      <c r="AC3929" s="33"/>
      <c r="AD3929" s="33"/>
      <c r="AE3929" s="33"/>
      <c r="AF3929" s="33"/>
      <c r="AG3929" s="33"/>
      <c r="AH3929" s="33"/>
      <c r="AI3929" s="33"/>
      <c r="AJ3929" s="33"/>
      <c r="AK3929" s="33"/>
      <c r="AL3929" s="33"/>
      <c r="AM3929" s="33"/>
      <c r="AN3929" s="33"/>
      <c r="AO3929" s="33"/>
    </row>
    <row r="3930" ht="15.75" customHeight="1">
      <c r="A3930" s="72"/>
      <c r="B3930" s="61"/>
      <c r="C3930" s="56"/>
      <c r="D3930" s="67"/>
      <c r="E3930" s="56"/>
      <c r="F3930" s="56"/>
      <c r="G3930" s="62"/>
      <c r="H3930" s="65"/>
      <c r="I3930" s="56"/>
      <c r="J3930" s="66"/>
      <c r="K3930" s="67"/>
      <c r="L3930" s="56"/>
      <c r="M3930" s="67"/>
      <c r="N3930" s="56"/>
      <c r="O3930" s="53"/>
      <c r="P3930" s="68"/>
      <c r="Q3930" s="69"/>
      <c r="R3930" s="68"/>
      <c r="S3930" s="70"/>
      <c r="T3930" s="67"/>
      <c r="U3930" s="56"/>
      <c r="V3930" s="56"/>
      <c r="W3930" s="71"/>
      <c r="X3930" s="71"/>
      <c r="AA3930" s="33"/>
      <c r="AB3930" s="33"/>
      <c r="AC3930" s="33"/>
      <c r="AD3930" s="33"/>
      <c r="AE3930" s="33"/>
      <c r="AF3930" s="33"/>
      <c r="AG3930" s="33"/>
      <c r="AH3930" s="33"/>
      <c r="AI3930" s="33"/>
      <c r="AJ3930" s="33"/>
      <c r="AK3930" s="33"/>
      <c r="AL3930" s="33"/>
      <c r="AM3930" s="33"/>
      <c r="AN3930" s="33"/>
      <c r="AO3930" s="33"/>
    </row>
    <row r="3931" ht="15.75" customHeight="1">
      <c r="A3931" s="72"/>
      <c r="B3931" s="61"/>
      <c r="C3931" s="56"/>
      <c r="D3931" s="67"/>
      <c r="E3931" s="56"/>
      <c r="F3931" s="56"/>
      <c r="G3931" s="62"/>
      <c r="H3931" s="65"/>
      <c r="I3931" s="56"/>
      <c r="J3931" s="66"/>
      <c r="K3931" s="67"/>
      <c r="L3931" s="56"/>
      <c r="M3931" s="67"/>
      <c r="N3931" s="56"/>
      <c r="O3931" s="53"/>
      <c r="P3931" s="68"/>
      <c r="Q3931" s="69"/>
      <c r="R3931" s="68"/>
      <c r="S3931" s="70"/>
      <c r="T3931" s="67"/>
      <c r="U3931" s="56"/>
      <c r="V3931" s="56"/>
      <c r="W3931" s="71"/>
      <c r="X3931" s="71"/>
      <c r="AA3931" s="33"/>
      <c r="AB3931" s="33"/>
      <c r="AC3931" s="33"/>
      <c r="AD3931" s="33"/>
      <c r="AE3931" s="33"/>
      <c r="AF3931" s="33"/>
      <c r="AG3931" s="33"/>
      <c r="AH3931" s="33"/>
      <c r="AI3931" s="33"/>
      <c r="AJ3931" s="33"/>
      <c r="AK3931" s="33"/>
      <c r="AL3931" s="33"/>
      <c r="AM3931" s="33"/>
      <c r="AN3931" s="33"/>
      <c r="AO3931" s="33"/>
    </row>
    <row r="3932" ht="15.75" customHeight="1">
      <c r="A3932" s="72"/>
      <c r="B3932" s="61"/>
      <c r="C3932" s="56"/>
      <c r="D3932" s="67"/>
      <c r="E3932" s="56"/>
      <c r="F3932" s="56"/>
      <c r="G3932" s="62"/>
      <c r="H3932" s="65"/>
      <c r="I3932" s="56"/>
      <c r="J3932" s="66"/>
      <c r="K3932" s="67"/>
      <c r="L3932" s="56"/>
      <c r="M3932" s="67"/>
      <c r="N3932" s="56"/>
      <c r="O3932" s="53"/>
      <c r="P3932" s="68"/>
      <c r="Q3932" s="69"/>
      <c r="R3932" s="68"/>
      <c r="S3932" s="70"/>
      <c r="T3932" s="67"/>
      <c r="U3932" s="56"/>
      <c r="V3932" s="56"/>
      <c r="W3932" s="71"/>
      <c r="X3932" s="71"/>
      <c r="AA3932" s="33"/>
      <c r="AB3932" s="33"/>
      <c r="AC3932" s="33"/>
      <c r="AD3932" s="33"/>
      <c r="AE3932" s="33"/>
      <c r="AF3932" s="33"/>
      <c r="AG3932" s="33"/>
      <c r="AH3932" s="33"/>
      <c r="AI3932" s="33"/>
      <c r="AJ3932" s="33"/>
      <c r="AK3932" s="33"/>
      <c r="AL3932" s="33"/>
      <c r="AM3932" s="33"/>
      <c r="AN3932" s="33"/>
      <c r="AO3932" s="33"/>
    </row>
    <row r="3933" ht="15.75" customHeight="1">
      <c r="A3933" s="72"/>
      <c r="B3933" s="61"/>
      <c r="C3933" s="56"/>
      <c r="D3933" s="67"/>
      <c r="E3933" s="56"/>
      <c r="F3933" s="56"/>
      <c r="G3933" s="62"/>
      <c r="H3933" s="65"/>
      <c r="I3933" s="56"/>
      <c r="J3933" s="66"/>
      <c r="K3933" s="67"/>
      <c r="L3933" s="56"/>
      <c r="M3933" s="67"/>
      <c r="N3933" s="56"/>
      <c r="O3933" s="53"/>
      <c r="P3933" s="68"/>
      <c r="Q3933" s="69"/>
      <c r="R3933" s="68"/>
      <c r="S3933" s="70"/>
      <c r="T3933" s="67"/>
      <c r="U3933" s="56"/>
      <c r="V3933" s="56"/>
      <c r="W3933" s="71"/>
      <c r="X3933" s="71"/>
      <c r="AA3933" s="33"/>
      <c r="AB3933" s="33"/>
      <c r="AC3933" s="33"/>
      <c r="AD3933" s="33"/>
      <c r="AE3933" s="33"/>
      <c r="AF3933" s="33"/>
      <c r="AG3933" s="33"/>
      <c r="AH3933" s="33"/>
      <c r="AI3933" s="33"/>
      <c r="AJ3933" s="33"/>
      <c r="AK3933" s="33"/>
      <c r="AL3933" s="33"/>
      <c r="AM3933" s="33"/>
      <c r="AN3933" s="33"/>
      <c r="AO3933" s="33"/>
    </row>
    <row r="3934" ht="15.75" customHeight="1">
      <c r="A3934" s="72"/>
      <c r="B3934" s="61"/>
      <c r="C3934" s="56"/>
      <c r="D3934" s="67"/>
      <c r="E3934" s="56"/>
      <c r="F3934" s="56"/>
      <c r="G3934" s="62"/>
      <c r="H3934" s="65"/>
      <c r="I3934" s="56"/>
      <c r="J3934" s="66"/>
      <c r="K3934" s="67"/>
      <c r="L3934" s="56"/>
      <c r="M3934" s="67"/>
      <c r="N3934" s="56"/>
      <c r="O3934" s="53"/>
      <c r="P3934" s="68"/>
      <c r="Q3934" s="69"/>
      <c r="R3934" s="68"/>
      <c r="S3934" s="70"/>
      <c r="T3934" s="67"/>
      <c r="U3934" s="56"/>
      <c r="V3934" s="56"/>
      <c r="W3934" s="71"/>
      <c r="X3934" s="71"/>
      <c r="AA3934" s="33"/>
      <c r="AB3934" s="33"/>
      <c r="AC3934" s="33"/>
      <c r="AD3934" s="33"/>
      <c r="AE3934" s="33"/>
      <c r="AF3934" s="33"/>
      <c r="AG3934" s="33"/>
      <c r="AH3934" s="33"/>
      <c r="AI3934" s="33"/>
      <c r="AJ3934" s="33"/>
      <c r="AK3934" s="33"/>
      <c r="AL3934" s="33"/>
      <c r="AM3934" s="33"/>
      <c r="AN3934" s="33"/>
      <c r="AO3934" s="33"/>
    </row>
    <row r="3935" ht="15.75" customHeight="1">
      <c r="A3935" s="72"/>
      <c r="B3935" s="61"/>
      <c r="C3935" s="56"/>
      <c r="D3935" s="67"/>
      <c r="E3935" s="56"/>
      <c r="F3935" s="56"/>
      <c r="G3935" s="62"/>
      <c r="H3935" s="65"/>
      <c r="I3935" s="56"/>
      <c r="J3935" s="66"/>
      <c r="K3935" s="67"/>
      <c r="L3935" s="56"/>
      <c r="M3935" s="67"/>
      <c r="N3935" s="56"/>
      <c r="O3935" s="53"/>
      <c r="P3935" s="68"/>
      <c r="Q3935" s="69"/>
      <c r="R3935" s="68"/>
      <c r="S3935" s="70"/>
      <c r="T3935" s="67"/>
      <c r="U3935" s="56"/>
      <c r="V3935" s="56"/>
      <c r="W3935" s="71"/>
      <c r="X3935" s="71"/>
      <c r="AA3935" s="33"/>
      <c r="AB3935" s="33"/>
      <c r="AC3935" s="33"/>
      <c r="AD3935" s="33"/>
      <c r="AE3935" s="33"/>
      <c r="AF3935" s="33"/>
      <c r="AG3935" s="33"/>
      <c r="AH3935" s="33"/>
      <c r="AI3935" s="33"/>
      <c r="AJ3935" s="33"/>
      <c r="AK3935" s="33"/>
      <c r="AL3935" s="33"/>
      <c r="AM3935" s="33"/>
      <c r="AN3935" s="33"/>
      <c r="AO3935" s="33"/>
    </row>
    <row r="3936" ht="15.75" customHeight="1">
      <c r="A3936" s="72"/>
      <c r="B3936" s="61"/>
      <c r="C3936" s="56"/>
      <c r="D3936" s="67"/>
      <c r="E3936" s="56"/>
      <c r="F3936" s="56"/>
      <c r="G3936" s="62"/>
      <c r="H3936" s="65"/>
      <c r="I3936" s="56"/>
      <c r="J3936" s="66"/>
      <c r="K3936" s="67"/>
      <c r="L3936" s="56"/>
      <c r="M3936" s="67"/>
      <c r="N3936" s="56"/>
      <c r="O3936" s="53"/>
      <c r="P3936" s="68"/>
      <c r="Q3936" s="69"/>
      <c r="R3936" s="68"/>
      <c r="S3936" s="70"/>
      <c r="T3936" s="67"/>
      <c r="U3936" s="56"/>
      <c r="V3936" s="56"/>
      <c r="W3936" s="71"/>
      <c r="X3936" s="71"/>
      <c r="AA3936" s="33"/>
      <c r="AB3936" s="33"/>
      <c r="AC3936" s="33"/>
      <c r="AD3936" s="33"/>
      <c r="AE3936" s="33"/>
      <c r="AF3936" s="33"/>
      <c r="AG3936" s="33"/>
      <c r="AH3936" s="33"/>
      <c r="AI3936" s="33"/>
      <c r="AJ3936" s="33"/>
      <c r="AK3936" s="33"/>
      <c r="AL3936" s="33"/>
      <c r="AM3936" s="33"/>
      <c r="AN3936" s="33"/>
      <c r="AO3936" s="33"/>
    </row>
    <row r="3937" ht="15.75" customHeight="1">
      <c r="A3937" s="72"/>
      <c r="B3937" s="61"/>
      <c r="C3937" s="56"/>
      <c r="D3937" s="67"/>
      <c r="E3937" s="56"/>
      <c r="F3937" s="56"/>
      <c r="G3937" s="62"/>
      <c r="H3937" s="65"/>
      <c r="I3937" s="56"/>
      <c r="J3937" s="66"/>
      <c r="K3937" s="67"/>
      <c r="L3937" s="56"/>
      <c r="M3937" s="67"/>
      <c r="N3937" s="56"/>
      <c r="O3937" s="53"/>
      <c r="P3937" s="68"/>
      <c r="Q3937" s="69"/>
      <c r="R3937" s="68"/>
      <c r="S3937" s="70"/>
      <c r="T3937" s="67"/>
      <c r="U3937" s="56"/>
      <c r="V3937" s="56"/>
      <c r="W3937" s="71"/>
      <c r="X3937" s="71"/>
      <c r="AA3937" s="33"/>
      <c r="AB3937" s="33"/>
      <c r="AC3937" s="33"/>
      <c r="AD3937" s="33"/>
      <c r="AE3937" s="33"/>
      <c r="AF3937" s="33"/>
      <c r="AG3937" s="33"/>
      <c r="AH3937" s="33"/>
      <c r="AI3937" s="33"/>
      <c r="AJ3937" s="33"/>
      <c r="AK3937" s="33"/>
      <c r="AL3937" s="33"/>
      <c r="AM3937" s="33"/>
      <c r="AN3937" s="33"/>
      <c r="AO3937" s="33"/>
    </row>
    <row r="3938" ht="15.75" customHeight="1">
      <c r="A3938" s="72"/>
      <c r="B3938" s="61"/>
      <c r="C3938" s="56"/>
      <c r="D3938" s="67"/>
      <c r="E3938" s="56"/>
      <c r="F3938" s="56"/>
      <c r="G3938" s="62"/>
      <c r="H3938" s="65"/>
      <c r="I3938" s="56"/>
      <c r="J3938" s="66"/>
      <c r="K3938" s="67"/>
      <c r="L3938" s="56"/>
      <c r="M3938" s="67"/>
      <c r="N3938" s="56"/>
      <c r="O3938" s="53"/>
      <c r="P3938" s="68"/>
      <c r="Q3938" s="69"/>
      <c r="R3938" s="68"/>
      <c r="S3938" s="70"/>
      <c r="T3938" s="67"/>
      <c r="U3938" s="56"/>
      <c r="V3938" s="56"/>
      <c r="W3938" s="71"/>
      <c r="X3938" s="71"/>
      <c r="AA3938" s="33"/>
      <c r="AB3938" s="33"/>
      <c r="AC3938" s="33"/>
      <c r="AD3938" s="33"/>
      <c r="AE3938" s="33"/>
      <c r="AF3938" s="33"/>
      <c r="AG3938" s="33"/>
      <c r="AH3938" s="33"/>
      <c r="AI3938" s="33"/>
      <c r="AJ3938" s="33"/>
      <c r="AK3938" s="33"/>
      <c r="AL3938" s="33"/>
      <c r="AM3938" s="33"/>
      <c r="AN3938" s="33"/>
      <c r="AO3938" s="33"/>
    </row>
    <row r="3939" ht="15.75" customHeight="1">
      <c r="A3939" s="72"/>
      <c r="B3939" s="61"/>
      <c r="C3939" s="56"/>
      <c r="D3939" s="67"/>
      <c r="E3939" s="56"/>
      <c r="F3939" s="56"/>
      <c r="G3939" s="62"/>
      <c r="H3939" s="65"/>
      <c r="I3939" s="56"/>
      <c r="J3939" s="66"/>
      <c r="K3939" s="67"/>
      <c r="L3939" s="56"/>
      <c r="M3939" s="67"/>
      <c r="N3939" s="56"/>
      <c r="O3939" s="53"/>
      <c r="P3939" s="68"/>
      <c r="Q3939" s="69"/>
      <c r="R3939" s="68"/>
      <c r="S3939" s="70"/>
      <c r="T3939" s="67"/>
      <c r="U3939" s="56"/>
      <c r="V3939" s="56"/>
      <c r="W3939" s="71"/>
      <c r="X3939" s="71"/>
      <c r="AA3939" s="33"/>
      <c r="AB3939" s="33"/>
      <c r="AC3939" s="33"/>
      <c r="AD3939" s="33"/>
      <c r="AE3939" s="33"/>
      <c r="AF3939" s="33"/>
      <c r="AG3939" s="33"/>
      <c r="AH3939" s="33"/>
      <c r="AI3939" s="33"/>
      <c r="AJ3939" s="33"/>
      <c r="AK3939" s="33"/>
      <c r="AL3939" s="33"/>
      <c r="AM3939" s="33"/>
      <c r="AN3939" s="33"/>
      <c r="AO3939" s="33"/>
    </row>
    <row r="3940" ht="15.75" customHeight="1">
      <c r="A3940" s="72"/>
      <c r="B3940" s="61"/>
      <c r="C3940" s="56"/>
      <c r="D3940" s="67"/>
      <c r="E3940" s="56"/>
      <c r="F3940" s="56"/>
      <c r="G3940" s="62"/>
      <c r="H3940" s="65"/>
      <c r="I3940" s="56"/>
      <c r="J3940" s="66"/>
      <c r="K3940" s="67"/>
      <c r="L3940" s="56"/>
      <c r="M3940" s="67"/>
      <c r="N3940" s="56"/>
      <c r="O3940" s="53"/>
      <c r="P3940" s="68"/>
      <c r="Q3940" s="69"/>
      <c r="R3940" s="68"/>
      <c r="S3940" s="70"/>
      <c r="T3940" s="67"/>
      <c r="U3940" s="56"/>
      <c r="V3940" s="56"/>
      <c r="W3940" s="71"/>
      <c r="X3940" s="71"/>
      <c r="AA3940" s="33"/>
      <c r="AB3940" s="33"/>
      <c r="AC3940" s="33"/>
      <c r="AD3940" s="33"/>
      <c r="AE3940" s="33"/>
      <c r="AF3940" s="33"/>
      <c r="AG3940" s="33"/>
      <c r="AH3940" s="33"/>
      <c r="AI3940" s="33"/>
      <c r="AJ3940" s="33"/>
      <c r="AK3940" s="33"/>
      <c r="AL3940" s="33"/>
      <c r="AM3940" s="33"/>
      <c r="AN3940" s="33"/>
      <c r="AO3940" s="33"/>
    </row>
    <row r="3941" ht="15.75" customHeight="1">
      <c r="A3941" s="72"/>
      <c r="B3941" s="61"/>
      <c r="C3941" s="56"/>
      <c r="D3941" s="67"/>
      <c r="E3941" s="56"/>
      <c r="F3941" s="56"/>
      <c r="G3941" s="62"/>
      <c r="H3941" s="65"/>
      <c r="I3941" s="56"/>
      <c r="J3941" s="66"/>
      <c r="K3941" s="67"/>
      <c r="L3941" s="56"/>
      <c r="M3941" s="67"/>
      <c r="N3941" s="56"/>
      <c r="O3941" s="53"/>
      <c r="P3941" s="68"/>
      <c r="Q3941" s="69"/>
      <c r="R3941" s="68"/>
      <c r="S3941" s="70"/>
      <c r="T3941" s="67"/>
      <c r="U3941" s="56"/>
      <c r="V3941" s="56"/>
      <c r="W3941" s="71"/>
      <c r="X3941" s="71"/>
      <c r="AA3941" s="33"/>
      <c r="AB3941" s="33"/>
      <c r="AC3941" s="33"/>
      <c r="AD3941" s="33"/>
      <c r="AE3941" s="33"/>
      <c r="AF3941" s="33"/>
      <c r="AG3941" s="33"/>
      <c r="AH3941" s="33"/>
      <c r="AI3941" s="33"/>
      <c r="AJ3941" s="33"/>
      <c r="AK3941" s="33"/>
      <c r="AL3941" s="33"/>
      <c r="AM3941" s="33"/>
      <c r="AN3941" s="33"/>
      <c r="AO3941" s="33"/>
    </row>
    <row r="3942" ht="15.75" customHeight="1">
      <c r="A3942" s="72"/>
      <c r="B3942" s="61"/>
      <c r="C3942" s="56"/>
      <c r="D3942" s="67"/>
      <c r="E3942" s="56"/>
      <c r="F3942" s="56"/>
      <c r="G3942" s="62"/>
      <c r="H3942" s="65"/>
      <c r="I3942" s="56"/>
      <c r="J3942" s="66"/>
      <c r="K3942" s="67"/>
      <c r="L3942" s="56"/>
      <c r="M3942" s="67"/>
      <c r="N3942" s="56"/>
      <c r="O3942" s="53"/>
      <c r="P3942" s="68"/>
      <c r="Q3942" s="69"/>
      <c r="R3942" s="68"/>
      <c r="S3942" s="70"/>
      <c r="T3942" s="67"/>
      <c r="U3942" s="56"/>
      <c r="V3942" s="56"/>
      <c r="W3942" s="71"/>
      <c r="X3942" s="71"/>
      <c r="AA3942" s="33"/>
      <c r="AB3942" s="33"/>
      <c r="AC3942" s="33"/>
      <c r="AD3942" s="33"/>
      <c r="AE3942" s="33"/>
      <c r="AF3942" s="33"/>
      <c r="AG3942" s="33"/>
      <c r="AH3942" s="33"/>
      <c r="AI3942" s="33"/>
      <c r="AJ3942" s="33"/>
      <c r="AK3942" s="33"/>
      <c r="AL3942" s="33"/>
      <c r="AM3942" s="33"/>
      <c r="AN3942" s="33"/>
      <c r="AO3942" s="33"/>
    </row>
    <row r="3943" ht="15.75" customHeight="1">
      <c r="A3943" s="72"/>
      <c r="B3943" s="61"/>
      <c r="C3943" s="56"/>
      <c r="D3943" s="67"/>
      <c r="E3943" s="56"/>
      <c r="F3943" s="56"/>
      <c r="G3943" s="62"/>
      <c r="H3943" s="65"/>
      <c r="I3943" s="56"/>
      <c r="J3943" s="66"/>
      <c r="K3943" s="67"/>
      <c r="L3943" s="56"/>
      <c r="M3943" s="67"/>
      <c r="N3943" s="56"/>
      <c r="O3943" s="53"/>
      <c r="P3943" s="68"/>
      <c r="Q3943" s="69"/>
      <c r="R3943" s="68"/>
      <c r="S3943" s="70"/>
      <c r="T3943" s="67"/>
      <c r="U3943" s="56"/>
      <c r="V3943" s="56"/>
      <c r="W3943" s="71"/>
      <c r="X3943" s="71"/>
      <c r="AA3943" s="33"/>
      <c r="AB3943" s="33"/>
      <c r="AC3943" s="33"/>
      <c r="AD3943" s="33"/>
      <c r="AE3943" s="33"/>
      <c r="AF3943" s="33"/>
      <c r="AG3943" s="33"/>
      <c r="AH3943" s="33"/>
      <c r="AI3943" s="33"/>
      <c r="AJ3943" s="33"/>
      <c r="AK3943" s="33"/>
      <c r="AL3943" s="33"/>
      <c r="AM3943" s="33"/>
      <c r="AN3943" s="33"/>
      <c r="AO3943" s="33"/>
    </row>
    <row r="3944" ht="15.75" customHeight="1">
      <c r="A3944" s="72"/>
      <c r="B3944" s="61"/>
      <c r="C3944" s="56"/>
      <c r="D3944" s="67"/>
      <c r="E3944" s="56"/>
      <c r="F3944" s="56"/>
      <c r="G3944" s="62"/>
      <c r="H3944" s="65"/>
      <c r="I3944" s="56"/>
      <c r="J3944" s="66"/>
      <c r="K3944" s="67"/>
      <c r="L3944" s="56"/>
      <c r="M3944" s="67"/>
      <c r="N3944" s="56"/>
      <c r="O3944" s="53"/>
      <c r="P3944" s="68"/>
      <c r="Q3944" s="69"/>
      <c r="R3944" s="68"/>
      <c r="S3944" s="70"/>
      <c r="T3944" s="67"/>
      <c r="U3944" s="56"/>
      <c r="V3944" s="56"/>
      <c r="W3944" s="71"/>
      <c r="X3944" s="71"/>
      <c r="AA3944" s="33"/>
      <c r="AB3944" s="33"/>
      <c r="AC3944" s="33"/>
      <c r="AD3944" s="33"/>
      <c r="AE3944" s="33"/>
      <c r="AF3944" s="33"/>
      <c r="AG3944" s="33"/>
      <c r="AH3944" s="33"/>
      <c r="AI3944" s="33"/>
      <c r="AJ3944" s="33"/>
      <c r="AK3944" s="33"/>
      <c r="AL3944" s="33"/>
      <c r="AM3944" s="33"/>
      <c r="AN3944" s="33"/>
      <c r="AO3944" s="33"/>
    </row>
    <row r="3945" ht="15.75" customHeight="1">
      <c r="A3945" s="72"/>
      <c r="B3945" s="61"/>
      <c r="C3945" s="56"/>
      <c r="D3945" s="67"/>
      <c r="E3945" s="56"/>
      <c r="F3945" s="56"/>
      <c r="G3945" s="62"/>
      <c r="H3945" s="65"/>
      <c r="I3945" s="56"/>
      <c r="J3945" s="66"/>
      <c r="K3945" s="67"/>
      <c r="L3945" s="56"/>
      <c r="M3945" s="67"/>
      <c r="N3945" s="56"/>
      <c r="O3945" s="53"/>
      <c r="P3945" s="68"/>
      <c r="Q3945" s="69"/>
      <c r="R3945" s="68"/>
      <c r="S3945" s="70"/>
      <c r="T3945" s="67"/>
      <c r="U3945" s="56"/>
      <c r="V3945" s="56"/>
      <c r="W3945" s="71"/>
      <c r="X3945" s="71"/>
      <c r="AA3945" s="33"/>
      <c r="AB3945" s="33"/>
      <c r="AC3945" s="33"/>
      <c r="AD3945" s="33"/>
      <c r="AE3945" s="33"/>
      <c r="AF3945" s="33"/>
      <c r="AG3945" s="33"/>
      <c r="AH3945" s="33"/>
      <c r="AI3945" s="33"/>
      <c r="AJ3945" s="33"/>
      <c r="AK3945" s="33"/>
      <c r="AL3945" s="33"/>
      <c r="AM3945" s="33"/>
      <c r="AN3945" s="33"/>
      <c r="AO3945" s="33"/>
    </row>
    <row r="3946" ht="15.75" customHeight="1">
      <c r="A3946" s="72"/>
      <c r="B3946" s="61"/>
      <c r="C3946" s="56"/>
      <c r="D3946" s="67"/>
      <c r="E3946" s="56"/>
      <c r="F3946" s="56"/>
      <c r="G3946" s="62"/>
      <c r="H3946" s="65"/>
      <c r="I3946" s="56"/>
      <c r="J3946" s="66"/>
      <c r="K3946" s="67"/>
      <c r="L3946" s="56"/>
      <c r="M3946" s="67"/>
      <c r="N3946" s="56"/>
      <c r="O3946" s="53"/>
      <c r="P3946" s="68"/>
      <c r="Q3946" s="69"/>
      <c r="R3946" s="68"/>
      <c r="S3946" s="70"/>
      <c r="T3946" s="67"/>
      <c r="U3946" s="56"/>
      <c r="V3946" s="56"/>
      <c r="W3946" s="71"/>
      <c r="X3946" s="71"/>
      <c r="AA3946" s="33"/>
      <c r="AB3946" s="33"/>
      <c r="AC3946" s="33"/>
      <c r="AD3946" s="33"/>
      <c r="AE3946" s="33"/>
      <c r="AF3946" s="33"/>
      <c r="AG3946" s="33"/>
      <c r="AH3946" s="33"/>
      <c r="AI3946" s="33"/>
      <c r="AJ3946" s="33"/>
      <c r="AK3946" s="33"/>
      <c r="AL3946" s="33"/>
      <c r="AM3946" s="33"/>
      <c r="AN3946" s="33"/>
      <c r="AO3946" s="33"/>
    </row>
    <row r="3947" ht="15.75" customHeight="1">
      <c r="A3947" s="72"/>
      <c r="B3947" s="61"/>
      <c r="C3947" s="56"/>
      <c r="D3947" s="67"/>
      <c r="E3947" s="56"/>
      <c r="F3947" s="56"/>
      <c r="G3947" s="62"/>
      <c r="H3947" s="65"/>
      <c r="I3947" s="56"/>
      <c r="J3947" s="66"/>
      <c r="K3947" s="67"/>
      <c r="L3947" s="56"/>
      <c r="M3947" s="67"/>
      <c r="N3947" s="56"/>
      <c r="O3947" s="53"/>
      <c r="P3947" s="68"/>
      <c r="Q3947" s="69"/>
      <c r="R3947" s="68"/>
      <c r="S3947" s="70"/>
      <c r="T3947" s="67"/>
      <c r="U3947" s="56"/>
      <c r="V3947" s="56"/>
      <c r="W3947" s="71"/>
      <c r="X3947" s="71"/>
      <c r="AA3947" s="33"/>
      <c r="AB3947" s="33"/>
      <c r="AC3947" s="33"/>
      <c r="AD3947" s="33"/>
      <c r="AE3947" s="33"/>
      <c r="AF3947" s="33"/>
      <c r="AG3947" s="33"/>
      <c r="AH3947" s="33"/>
      <c r="AI3947" s="33"/>
      <c r="AJ3947" s="33"/>
      <c r="AK3947" s="33"/>
      <c r="AL3947" s="33"/>
      <c r="AM3947" s="33"/>
      <c r="AN3947" s="33"/>
      <c r="AO3947" s="33"/>
    </row>
    <row r="3948" ht="15.75" customHeight="1">
      <c r="A3948" s="72"/>
      <c r="B3948" s="61"/>
      <c r="C3948" s="56"/>
      <c r="D3948" s="67"/>
      <c r="E3948" s="56"/>
      <c r="F3948" s="56"/>
      <c r="G3948" s="62"/>
      <c r="H3948" s="65"/>
      <c r="I3948" s="56"/>
      <c r="J3948" s="66"/>
      <c r="K3948" s="67"/>
      <c r="L3948" s="56"/>
      <c r="M3948" s="67"/>
      <c r="N3948" s="56"/>
      <c r="O3948" s="53"/>
      <c r="P3948" s="68"/>
      <c r="Q3948" s="69"/>
      <c r="R3948" s="68"/>
      <c r="S3948" s="70"/>
      <c r="T3948" s="67"/>
      <c r="U3948" s="56"/>
      <c r="V3948" s="56"/>
      <c r="W3948" s="71"/>
      <c r="X3948" s="71"/>
      <c r="AA3948" s="33"/>
      <c r="AB3948" s="33"/>
      <c r="AC3948" s="33"/>
      <c r="AD3948" s="33"/>
      <c r="AE3948" s="33"/>
      <c r="AF3948" s="33"/>
      <c r="AG3948" s="33"/>
      <c r="AH3948" s="33"/>
      <c r="AI3948" s="33"/>
      <c r="AJ3948" s="33"/>
      <c r="AK3948" s="33"/>
      <c r="AL3948" s="33"/>
      <c r="AM3948" s="33"/>
      <c r="AN3948" s="33"/>
      <c r="AO3948" s="33"/>
    </row>
    <row r="3949" ht="15.75" customHeight="1">
      <c r="A3949" s="72"/>
      <c r="B3949" s="61"/>
      <c r="C3949" s="56"/>
      <c r="D3949" s="67"/>
      <c r="E3949" s="56"/>
      <c r="F3949" s="56"/>
      <c r="G3949" s="62"/>
      <c r="H3949" s="65"/>
      <c r="I3949" s="56"/>
      <c r="J3949" s="66"/>
      <c r="K3949" s="67"/>
      <c r="L3949" s="56"/>
      <c r="M3949" s="67"/>
      <c r="N3949" s="56"/>
      <c r="O3949" s="53"/>
      <c r="P3949" s="68"/>
      <c r="Q3949" s="69"/>
      <c r="R3949" s="68"/>
      <c r="S3949" s="70"/>
      <c r="T3949" s="67"/>
      <c r="U3949" s="56"/>
      <c r="V3949" s="56"/>
      <c r="W3949" s="71"/>
      <c r="X3949" s="71"/>
      <c r="AA3949" s="33"/>
      <c r="AB3949" s="33"/>
      <c r="AC3949" s="33"/>
      <c r="AD3949" s="33"/>
      <c r="AE3949" s="33"/>
      <c r="AF3949" s="33"/>
      <c r="AG3949" s="33"/>
      <c r="AH3949" s="33"/>
      <c r="AI3949" s="33"/>
      <c r="AJ3949" s="33"/>
      <c r="AK3949" s="33"/>
      <c r="AL3949" s="33"/>
      <c r="AM3949" s="33"/>
      <c r="AN3949" s="33"/>
      <c r="AO3949" s="33"/>
    </row>
    <row r="3950" ht="15.75" customHeight="1">
      <c r="A3950" s="72"/>
      <c r="B3950" s="61"/>
      <c r="C3950" s="56"/>
      <c r="D3950" s="67"/>
      <c r="E3950" s="56"/>
      <c r="F3950" s="56"/>
      <c r="G3950" s="62"/>
      <c r="H3950" s="65"/>
      <c r="I3950" s="56"/>
      <c r="J3950" s="66"/>
      <c r="K3950" s="67"/>
      <c r="L3950" s="56"/>
      <c r="M3950" s="67"/>
      <c r="N3950" s="56"/>
      <c r="O3950" s="53"/>
      <c r="P3950" s="68"/>
      <c r="Q3950" s="69"/>
      <c r="R3950" s="68"/>
      <c r="S3950" s="70"/>
      <c r="T3950" s="67"/>
      <c r="U3950" s="56"/>
      <c r="V3950" s="56"/>
      <c r="W3950" s="71"/>
      <c r="X3950" s="71"/>
      <c r="AA3950" s="33"/>
      <c r="AB3950" s="33"/>
      <c r="AC3950" s="33"/>
      <c r="AD3950" s="33"/>
      <c r="AE3950" s="33"/>
      <c r="AF3950" s="33"/>
      <c r="AG3950" s="33"/>
      <c r="AH3950" s="33"/>
      <c r="AI3950" s="33"/>
      <c r="AJ3950" s="33"/>
      <c r="AK3950" s="33"/>
      <c r="AL3950" s="33"/>
      <c r="AM3950" s="33"/>
      <c r="AN3950" s="33"/>
      <c r="AO3950" s="33"/>
    </row>
    <row r="3951" ht="15.75" customHeight="1">
      <c r="A3951" s="72"/>
      <c r="B3951" s="61"/>
      <c r="C3951" s="56"/>
      <c r="D3951" s="67"/>
      <c r="E3951" s="56"/>
      <c r="F3951" s="56"/>
      <c r="G3951" s="62"/>
      <c r="H3951" s="65"/>
      <c r="I3951" s="56"/>
      <c r="J3951" s="66"/>
      <c r="K3951" s="67"/>
      <c r="L3951" s="56"/>
      <c r="M3951" s="67"/>
      <c r="N3951" s="56"/>
      <c r="O3951" s="53"/>
      <c r="P3951" s="68"/>
      <c r="Q3951" s="69"/>
      <c r="R3951" s="68"/>
      <c r="S3951" s="70"/>
      <c r="T3951" s="67"/>
      <c r="U3951" s="56"/>
      <c r="V3951" s="56"/>
      <c r="W3951" s="71"/>
      <c r="X3951" s="71"/>
      <c r="AA3951" s="33"/>
      <c r="AB3951" s="33"/>
      <c r="AC3951" s="33"/>
      <c r="AD3951" s="33"/>
      <c r="AE3951" s="33"/>
      <c r="AF3951" s="33"/>
      <c r="AG3951" s="33"/>
      <c r="AH3951" s="33"/>
      <c r="AI3951" s="33"/>
      <c r="AJ3951" s="33"/>
      <c r="AK3951" s="33"/>
      <c r="AL3951" s="33"/>
      <c r="AM3951" s="33"/>
      <c r="AN3951" s="33"/>
      <c r="AO3951" s="33"/>
    </row>
    <row r="3952" ht="15.75" customHeight="1">
      <c r="A3952" s="72"/>
      <c r="B3952" s="61"/>
      <c r="C3952" s="56"/>
      <c r="D3952" s="67"/>
      <c r="E3952" s="56"/>
      <c r="F3952" s="56"/>
      <c r="G3952" s="62"/>
      <c r="H3952" s="65"/>
      <c r="I3952" s="56"/>
      <c r="J3952" s="66"/>
      <c r="K3952" s="67"/>
      <c r="L3952" s="56"/>
      <c r="M3952" s="67"/>
      <c r="N3952" s="56"/>
      <c r="O3952" s="53"/>
      <c r="P3952" s="68"/>
      <c r="Q3952" s="69"/>
      <c r="R3952" s="68"/>
      <c r="S3952" s="70"/>
      <c r="T3952" s="67"/>
      <c r="U3952" s="56"/>
      <c r="V3952" s="56"/>
      <c r="W3952" s="71"/>
      <c r="X3952" s="71"/>
      <c r="AA3952" s="33"/>
      <c r="AB3952" s="33"/>
      <c r="AC3952" s="33"/>
      <c r="AD3952" s="33"/>
      <c r="AE3952" s="33"/>
      <c r="AF3952" s="33"/>
      <c r="AG3952" s="33"/>
      <c r="AH3952" s="33"/>
      <c r="AI3952" s="33"/>
      <c r="AJ3952" s="33"/>
      <c r="AK3952" s="33"/>
      <c r="AL3952" s="33"/>
      <c r="AM3952" s="33"/>
      <c r="AN3952" s="33"/>
      <c r="AO3952" s="33"/>
    </row>
    <row r="3953" ht="15.75" customHeight="1">
      <c r="A3953" s="72"/>
      <c r="B3953" s="61"/>
      <c r="C3953" s="56"/>
      <c r="D3953" s="67"/>
      <c r="E3953" s="56"/>
      <c r="F3953" s="56"/>
      <c r="G3953" s="62"/>
      <c r="H3953" s="65"/>
      <c r="I3953" s="56"/>
      <c r="J3953" s="66"/>
      <c r="K3953" s="67"/>
      <c r="L3953" s="56"/>
      <c r="M3953" s="67"/>
      <c r="N3953" s="56"/>
      <c r="O3953" s="53"/>
      <c r="P3953" s="68"/>
      <c r="Q3953" s="69"/>
      <c r="R3953" s="68"/>
      <c r="S3953" s="70"/>
      <c r="T3953" s="67"/>
      <c r="U3953" s="56"/>
      <c r="V3953" s="56"/>
      <c r="W3953" s="71"/>
      <c r="X3953" s="71"/>
      <c r="AA3953" s="33"/>
      <c r="AB3953" s="33"/>
      <c r="AC3953" s="33"/>
      <c r="AD3953" s="33"/>
      <c r="AE3953" s="33"/>
      <c r="AF3953" s="33"/>
      <c r="AG3953" s="33"/>
      <c r="AH3953" s="33"/>
      <c r="AI3953" s="33"/>
      <c r="AJ3953" s="33"/>
      <c r="AK3953" s="33"/>
      <c r="AL3953" s="33"/>
      <c r="AM3953" s="33"/>
      <c r="AN3953" s="33"/>
      <c r="AO3953" s="33"/>
    </row>
    <row r="3954" ht="15.75" customHeight="1">
      <c r="A3954" s="72"/>
      <c r="B3954" s="61"/>
      <c r="C3954" s="56"/>
      <c r="D3954" s="67"/>
      <c r="E3954" s="56"/>
      <c r="F3954" s="56"/>
      <c r="G3954" s="62"/>
      <c r="H3954" s="65"/>
      <c r="I3954" s="56"/>
      <c r="J3954" s="66"/>
      <c r="K3954" s="67"/>
      <c r="L3954" s="56"/>
      <c r="M3954" s="67"/>
      <c r="N3954" s="56"/>
      <c r="O3954" s="53"/>
      <c r="P3954" s="68"/>
      <c r="Q3954" s="69"/>
      <c r="R3954" s="68"/>
      <c r="S3954" s="70"/>
      <c r="T3954" s="67"/>
      <c r="U3954" s="56"/>
      <c r="V3954" s="56"/>
      <c r="W3954" s="71"/>
      <c r="X3954" s="71"/>
      <c r="AA3954" s="33"/>
      <c r="AB3954" s="33"/>
      <c r="AC3954" s="33"/>
      <c r="AD3954" s="33"/>
      <c r="AE3954" s="33"/>
      <c r="AF3954" s="33"/>
      <c r="AG3954" s="33"/>
      <c r="AH3954" s="33"/>
      <c r="AI3954" s="33"/>
      <c r="AJ3954" s="33"/>
      <c r="AK3954" s="33"/>
      <c r="AL3954" s="33"/>
      <c r="AM3954" s="33"/>
      <c r="AN3954" s="33"/>
      <c r="AO3954" s="33"/>
    </row>
    <row r="3955" ht="15.75" customHeight="1">
      <c r="A3955" s="72"/>
      <c r="B3955" s="61"/>
      <c r="C3955" s="56"/>
      <c r="D3955" s="67"/>
      <c r="E3955" s="56"/>
      <c r="F3955" s="56"/>
      <c r="G3955" s="62"/>
      <c r="H3955" s="65"/>
      <c r="I3955" s="56"/>
      <c r="J3955" s="66"/>
      <c r="K3955" s="67"/>
      <c r="L3955" s="56"/>
      <c r="M3955" s="67"/>
      <c r="N3955" s="56"/>
      <c r="O3955" s="53"/>
      <c r="P3955" s="68"/>
      <c r="Q3955" s="69"/>
      <c r="R3955" s="68"/>
      <c r="S3955" s="70"/>
      <c r="T3955" s="67"/>
      <c r="U3955" s="56"/>
      <c r="V3955" s="56"/>
      <c r="W3955" s="71"/>
      <c r="X3955" s="71"/>
      <c r="AA3955" s="33"/>
      <c r="AB3955" s="33"/>
      <c r="AC3955" s="33"/>
      <c r="AD3955" s="33"/>
      <c r="AE3955" s="33"/>
      <c r="AF3955" s="33"/>
      <c r="AG3955" s="33"/>
      <c r="AH3955" s="33"/>
      <c r="AI3955" s="33"/>
      <c r="AJ3955" s="33"/>
      <c r="AK3955" s="33"/>
      <c r="AL3955" s="33"/>
      <c r="AM3955" s="33"/>
      <c r="AN3955" s="33"/>
      <c r="AO3955" s="33"/>
    </row>
    <row r="3956" ht="15.75" customHeight="1">
      <c r="A3956" s="72"/>
      <c r="B3956" s="61"/>
      <c r="C3956" s="56"/>
      <c r="D3956" s="67"/>
      <c r="E3956" s="56"/>
      <c r="F3956" s="56"/>
      <c r="G3956" s="62"/>
      <c r="H3956" s="65"/>
      <c r="I3956" s="56"/>
      <c r="J3956" s="66"/>
      <c r="K3956" s="67"/>
      <c r="L3956" s="56"/>
      <c r="M3956" s="67"/>
      <c r="N3956" s="56"/>
      <c r="O3956" s="53"/>
      <c r="P3956" s="68"/>
      <c r="Q3956" s="69"/>
      <c r="R3956" s="68"/>
      <c r="S3956" s="70"/>
      <c r="T3956" s="67"/>
      <c r="U3956" s="56"/>
      <c r="V3956" s="56"/>
      <c r="W3956" s="71"/>
      <c r="X3956" s="71"/>
      <c r="AA3956" s="33"/>
      <c r="AB3956" s="33"/>
      <c r="AC3956" s="33"/>
      <c r="AD3956" s="33"/>
      <c r="AE3956" s="33"/>
      <c r="AF3956" s="33"/>
      <c r="AG3956" s="33"/>
      <c r="AH3956" s="33"/>
      <c r="AI3956" s="33"/>
      <c r="AJ3956" s="33"/>
      <c r="AK3956" s="33"/>
      <c r="AL3956" s="33"/>
      <c r="AM3956" s="33"/>
      <c r="AN3956" s="33"/>
      <c r="AO3956" s="33"/>
    </row>
    <row r="3957" ht="15.75" customHeight="1">
      <c r="A3957" s="72"/>
      <c r="B3957" s="61"/>
      <c r="C3957" s="56"/>
      <c r="D3957" s="67"/>
      <c r="E3957" s="56"/>
      <c r="F3957" s="56"/>
      <c r="G3957" s="62"/>
      <c r="H3957" s="65"/>
      <c r="I3957" s="56"/>
      <c r="J3957" s="66"/>
      <c r="K3957" s="67"/>
      <c r="L3957" s="56"/>
      <c r="M3957" s="67"/>
      <c r="N3957" s="56"/>
      <c r="O3957" s="53"/>
      <c r="P3957" s="68"/>
      <c r="Q3957" s="69"/>
      <c r="R3957" s="68"/>
      <c r="S3957" s="70"/>
      <c r="T3957" s="67"/>
      <c r="U3957" s="56"/>
      <c r="V3957" s="56"/>
      <c r="W3957" s="71"/>
      <c r="X3957" s="71"/>
      <c r="AA3957" s="33"/>
      <c r="AB3957" s="33"/>
      <c r="AC3957" s="33"/>
      <c r="AD3957" s="33"/>
      <c r="AE3957" s="33"/>
      <c r="AF3957" s="33"/>
      <c r="AG3957" s="33"/>
      <c r="AH3957" s="33"/>
      <c r="AI3957" s="33"/>
      <c r="AJ3957" s="33"/>
      <c r="AK3957" s="33"/>
      <c r="AL3957" s="33"/>
      <c r="AM3957" s="33"/>
      <c r="AN3957" s="33"/>
      <c r="AO3957" s="33"/>
    </row>
    <row r="3958" ht="15.75" customHeight="1">
      <c r="A3958" s="72"/>
      <c r="B3958" s="61"/>
      <c r="C3958" s="56"/>
      <c r="D3958" s="67"/>
      <c r="E3958" s="56"/>
      <c r="F3958" s="56"/>
      <c r="G3958" s="62"/>
      <c r="H3958" s="65"/>
      <c r="I3958" s="56"/>
      <c r="J3958" s="66"/>
      <c r="K3958" s="67"/>
      <c r="L3958" s="56"/>
      <c r="M3958" s="67"/>
      <c r="N3958" s="56"/>
      <c r="O3958" s="53"/>
      <c r="P3958" s="68"/>
      <c r="Q3958" s="69"/>
      <c r="R3958" s="68"/>
      <c r="S3958" s="70"/>
      <c r="T3958" s="67"/>
      <c r="U3958" s="56"/>
      <c r="V3958" s="56"/>
      <c r="W3958" s="71"/>
      <c r="X3958" s="71"/>
      <c r="AA3958" s="33"/>
      <c r="AB3958" s="33"/>
      <c r="AC3958" s="33"/>
      <c r="AD3958" s="33"/>
      <c r="AE3958" s="33"/>
      <c r="AF3958" s="33"/>
      <c r="AG3958" s="33"/>
      <c r="AH3958" s="33"/>
      <c r="AI3958" s="33"/>
      <c r="AJ3958" s="33"/>
      <c r="AK3958" s="33"/>
      <c r="AL3958" s="33"/>
      <c r="AM3958" s="33"/>
      <c r="AN3958" s="33"/>
      <c r="AO3958" s="33"/>
    </row>
    <row r="3959" ht="15.75" customHeight="1">
      <c r="A3959" s="72"/>
      <c r="B3959" s="61"/>
      <c r="C3959" s="56"/>
      <c r="D3959" s="67"/>
      <c r="E3959" s="56"/>
      <c r="F3959" s="56"/>
      <c r="G3959" s="62"/>
      <c r="H3959" s="65"/>
      <c r="I3959" s="56"/>
      <c r="J3959" s="66"/>
      <c r="K3959" s="67"/>
      <c r="L3959" s="56"/>
      <c r="M3959" s="67"/>
      <c r="N3959" s="56"/>
      <c r="O3959" s="53"/>
      <c r="P3959" s="68"/>
      <c r="Q3959" s="69"/>
      <c r="R3959" s="68"/>
      <c r="S3959" s="70"/>
      <c r="T3959" s="67"/>
      <c r="U3959" s="56"/>
      <c r="V3959" s="56"/>
      <c r="W3959" s="71"/>
      <c r="X3959" s="71"/>
      <c r="AA3959" s="33"/>
      <c r="AB3959" s="33"/>
      <c r="AC3959" s="33"/>
      <c r="AD3959" s="33"/>
      <c r="AE3959" s="33"/>
      <c r="AF3959" s="33"/>
      <c r="AG3959" s="33"/>
      <c r="AH3959" s="33"/>
      <c r="AI3959" s="33"/>
      <c r="AJ3959" s="33"/>
      <c r="AK3959" s="33"/>
      <c r="AL3959" s="33"/>
      <c r="AM3959" s="33"/>
      <c r="AN3959" s="33"/>
      <c r="AO3959" s="33"/>
    </row>
    <row r="3960" ht="15.75" customHeight="1">
      <c r="A3960" s="72"/>
      <c r="B3960" s="61"/>
      <c r="C3960" s="56"/>
      <c r="D3960" s="67"/>
      <c r="E3960" s="56"/>
      <c r="F3960" s="56"/>
      <c r="G3960" s="62"/>
      <c r="H3960" s="65"/>
      <c r="I3960" s="56"/>
      <c r="J3960" s="66"/>
      <c r="K3960" s="67"/>
      <c r="L3960" s="56"/>
      <c r="M3960" s="67"/>
      <c r="N3960" s="56"/>
      <c r="O3960" s="53"/>
      <c r="P3960" s="68"/>
      <c r="Q3960" s="69"/>
      <c r="R3960" s="68"/>
      <c r="S3960" s="70"/>
      <c r="T3960" s="67"/>
      <c r="U3960" s="56"/>
      <c r="V3960" s="56"/>
      <c r="W3960" s="71"/>
      <c r="X3960" s="71"/>
      <c r="AA3960" s="33"/>
      <c r="AB3960" s="33"/>
      <c r="AC3960" s="33"/>
      <c r="AD3960" s="33"/>
      <c r="AE3960" s="33"/>
      <c r="AF3960" s="33"/>
      <c r="AG3960" s="33"/>
      <c r="AH3960" s="33"/>
      <c r="AI3960" s="33"/>
      <c r="AJ3960" s="33"/>
      <c r="AK3960" s="33"/>
      <c r="AL3960" s="33"/>
      <c r="AM3960" s="33"/>
      <c r="AN3960" s="33"/>
      <c r="AO3960" s="33"/>
    </row>
    <row r="3961" ht="15.75" customHeight="1">
      <c r="A3961" s="72"/>
      <c r="B3961" s="61"/>
      <c r="C3961" s="56"/>
      <c r="D3961" s="67"/>
      <c r="E3961" s="56"/>
      <c r="F3961" s="56"/>
      <c r="G3961" s="62"/>
      <c r="H3961" s="65"/>
      <c r="I3961" s="56"/>
      <c r="J3961" s="66"/>
      <c r="K3961" s="67"/>
      <c r="L3961" s="56"/>
      <c r="M3961" s="67"/>
      <c r="N3961" s="56"/>
      <c r="O3961" s="53"/>
      <c r="P3961" s="68"/>
      <c r="Q3961" s="69"/>
      <c r="R3961" s="68"/>
      <c r="S3961" s="70"/>
      <c r="T3961" s="67"/>
      <c r="U3961" s="56"/>
      <c r="V3961" s="56"/>
      <c r="W3961" s="71"/>
      <c r="X3961" s="71"/>
      <c r="AA3961" s="33"/>
      <c r="AB3961" s="33"/>
      <c r="AC3961" s="33"/>
      <c r="AD3961" s="33"/>
      <c r="AE3961" s="33"/>
      <c r="AF3961" s="33"/>
      <c r="AG3961" s="33"/>
      <c r="AH3961" s="33"/>
      <c r="AI3961" s="33"/>
      <c r="AJ3961" s="33"/>
      <c r="AK3961" s="33"/>
      <c r="AL3961" s="33"/>
      <c r="AM3961" s="33"/>
      <c r="AN3961" s="33"/>
      <c r="AO3961" s="33"/>
    </row>
    <row r="3962" ht="15.75" customHeight="1">
      <c r="A3962" s="72"/>
      <c r="B3962" s="61"/>
      <c r="C3962" s="56"/>
      <c r="D3962" s="67"/>
      <c r="E3962" s="56"/>
      <c r="F3962" s="56"/>
      <c r="G3962" s="62"/>
      <c r="H3962" s="65"/>
      <c r="I3962" s="56"/>
      <c r="J3962" s="66"/>
      <c r="K3962" s="67"/>
      <c r="L3962" s="56"/>
      <c r="M3962" s="67"/>
      <c r="N3962" s="56"/>
      <c r="O3962" s="53"/>
      <c r="P3962" s="68"/>
      <c r="Q3962" s="69"/>
      <c r="R3962" s="68"/>
      <c r="S3962" s="70"/>
      <c r="T3962" s="67"/>
      <c r="U3962" s="56"/>
      <c r="V3962" s="56"/>
      <c r="W3962" s="71"/>
      <c r="X3962" s="71"/>
      <c r="AA3962" s="33"/>
      <c r="AB3962" s="33"/>
      <c r="AC3962" s="33"/>
      <c r="AD3962" s="33"/>
      <c r="AE3962" s="33"/>
      <c r="AF3962" s="33"/>
      <c r="AG3962" s="33"/>
      <c r="AH3962" s="33"/>
      <c r="AI3962" s="33"/>
      <c r="AJ3962" s="33"/>
      <c r="AK3962" s="33"/>
      <c r="AL3962" s="33"/>
      <c r="AM3962" s="33"/>
      <c r="AN3962" s="33"/>
      <c r="AO3962" s="33"/>
    </row>
    <row r="3963" ht="15.75" customHeight="1">
      <c r="A3963" s="72"/>
      <c r="B3963" s="61"/>
      <c r="C3963" s="56"/>
      <c r="D3963" s="67"/>
      <c r="E3963" s="56"/>
      <c r="F3963" s="56"/>
      <c r="G3963" s="62"/>
      <c r="H3963" s="65"/>
      <c r="I3963" s="56"/>
      <c r="J3963" s="66"/>
      <c r="K3963" s="67"/>
      <c r="L3963" s="56"/>
      <c r="M3963" s="67"/>
      <c r="N3963" s="56"/>
      <c r="O3963" s="53"/>
      <c r="P3963" s="68"/>
      <c r="Q3963" s="69"/>
      <c r="R3963" s="68"/>
      <c r="S3963" s="70"/>
      <c r="T3963" s="67"/>
      <c r="U3963" s="56"/>
      <c r="V3963" s="56"/>
      <c r="W3963" s="71"/>
      <c r="X3963" s="71"/>
      <c r="AA3963" s="33"/>
      <c r="AB3963" s="33"/>
      <c r="AC3963" s="33"/>
      <c r="AD3963" s="33"/>
      <c r="AE3963" s="33"/>
      <c r="AF3963" s="33"/>
      <c r="AG3963" s="33"/>
      <c r="AH3963" s="33"/>
      <c r="AI3963" s="33"/>
      <c r="AJ3963" s="33"/>
      <c r="AK3963" s="33"/>
      <c r="AL3963" s="33"/>
      <c r="AM3963" s="33"/>
      <c r="AN3963" s="33"/>
      <c r="AO3963" s="33"/>
    </row>
    <row r="3964" ht="15.75" customHeight="1">
      <c r="A3964" s="72"/>
      <c r="B3964" s="61"/>
      <c r="C3964" s="56"/>
      <c r="D3964" s="67"/>
      <c r="E3964" s="56"/>
      <c r="F3964" s="56"/>
      <c r="G3964" s="62"/>
      <c r="H3964" s="65"/>
      <c r="I3964" s="56"/>
      <c r="J3964" s="66"/>
      <c r="K3964" s="67"/>
      <c r="L3964" s="56"/>
      <c r="M3964" s="67"/>
      <c r="N3964" s="56"/>
      <c r="O3964" s="53"/>
      <c r="P3964" s="68"/>
      <c r="Q3964" s="69"/>
      <c r="R3964" s="68"/>
      <c r="S3964" s="70"/>
      <c r="T3964" s="67"/>
      <c r="U3964" s="56"/>
      <c r="V3964" s="56"/>
      <c r="W3964" s="71"/>
      <c r="X3964" s="71"/>
      <c r="AA3964" s="33"/>
      <c r="AB3964" s="33"/>
      <c r="AC3964" s="33"/>
      <c r="AD3964" s="33"/>
      <c r="AE3964" s="33"/>
      <c r="AF3964" s="33"/>
      <c r="AG3964" s="33"/>
      <c r="AH3964" s="33"/>
      <c r="AI3964" s="33"/>
      <c r="AJ3964" s="33"/>
      <c r="AK3964" s="33"/>
      <c r="AL3964" s="33"/>
      <c r="AM3964" s="33"/>
      <c r="AN3964" s="33"/>
      <c r="AO3964" s="33"/>
    </row>
    <row r="3965" ht="15.75" customHeight="1">
      <c r="A3965" s="72"/>
      <c r="B3965" s="61"/>
      <c r="C3965" s="56"/>
      <c r="D3965" s="67"/>
      <c r="E3965" s="56"/>
      <c r="F3965" s="56"/>
      <c r="G3965" s="62"/>
      <c r="H3965" s="65"/>
      <c r="I3965" s="56"/>
      <c r="J3965" s="66"/>
      <c r="K3965" s="67"/>
      <c r="L3965" s="56"/>
      <c r="M3965" s="67"/>
      <c r="N3965" s="56"/>
      <c r="O3965" s="53"/>
      <c r="P3965" s="68"/>
      <c r="Q3965" s="69"/>
      <c r="R3965" s="68"/>
      <c r="S3965" s="70"/>
      <c r="T3965" s="67"/>
      <c r="U3965" s="56"/>
      <c r="V3965" s="56"/>
      <c r="W3965" s="71"/>
      <c r="X3965" s="71"/>
      <c r="AA3965" s="33"/>
      <c r="AB3965" s="33"/>
      <c r="AC3965" s="33"/>
      <c r="AD3965" s="33"/>
      <c r="AE3965" s="33"/>
      <c r="AF3965" s="33"/>
      <c r="AG3965" s="33"/>
      <c r="AH3965" s="33"/>
      <c r="AI3965" s="33"/>
      <c r="AJ3965" s="33"/>
      <c r="AK3965" s="33"/>
      <c r="AL3965" s="33"/>
      <c r="AM3965" s="33"/>
      <c r="AN3965" s="33"/>
      <c r="AO3965" s="33"/>
    </row>
    <row r="3966" ht="15.75" customHeight="1">
      <c r="A3966" s="72"/>
      <c r="B3966" s="61"/>
      <c r="C3966" s="56"/>
      <c r="D3966" s="67"/>
      <c r="E3966" s="56"/>
      <c r="F3966" s="56"/>
      <c r="G3966" s="62"/>
      <c r="H3966" s="65"/>
      <c r="I3966" s="56"/>
      <c r="J3966" s="66"/>
      <c r="K3966" s="67"/>
      <c r="L3966" s="56"/>
      <c r="M3966" s="67"/>
      <c r="N3966" s="56"/>
      <c r="O3966" s="53"/>
      <c r="P3966" s="68"/>
      <c r="Q3966" s="69"/>
      <c r="R3966" s="68"/>
      <c r="S3966" s="70"/>
      <c r="T3966" s="67"/>
      <c r="U3966" s="56"/>
      <c r="V3966" s="56"/>
      <c r="W3966" s="71"/>
      <c r="X3966" s="71"/>
      <c r="AA3966" s="33"/>
      <c r="AB3966" s="33"/>
      <c r="AC3966" s="33"/>
      <c r="AD3966" s="33"/>
      <c r="AE3966" s="33"/>
      <c r="AF3966" s="33"/>
      <c r="AG3966" s="33"/>
      <c r="AH3966" s="33"/>
      <c r="AI3966" s="33"/>
      <c r="AJ3966" s="33"/>
      <c r="AK3966" s="33"/>
      <c r="AL3966" s="33"/>
      <c r="AM3966" s="33"/>
      <c r="AN3966" s="33"/>
      <c r="AO3966" s="33"/>
    </row>
    <row r="3967" ht="15.75" customHeight="1">
      <c r="A3967" s="72"/>
      <c r="B3967" s="61"/>
      <c r="C3967" s="56"/>
      <c r="D3967" s="67"/>
      <c r="E3967" s="56"/>
      <c r="F3967" s="56"/>
      <c r="G3967" s="62"/>
      <c r="H3967" s="65"/>
      <c r="I3967" s="56"/>
      <c r="J3967" s="66"/>
      <c r="K3967" s="67"/>
      <c r="L3967" s="56"/>
      <c r="M3967" s="67"/>
      <c r="N3967" s="56"/>
      <c r="O3967" s="53"/>
      <c r="P3967" s="68"/>
      <c r="Q3967" s="69"/>
      <c r="R3967" s="68"/>
      <c r="S3967" s="70"/>
      <c r="T3967" s="67"/>
      <c r="U3967" s="56"/>
      <c r="V3967" s="56"/>
      <c r="W3967" s="71"/>
      <c r="X3967" s="71"/>
      <c r="AA3967" s="33"/>
      <c r="AB3967" s="33"/>
      <c r="AC3967" s="33"/>
      <c r="AD3967" s="33"/>
      <c r="AE3967" s="33"/>
      <c r="AF3967" s="33"/>
      <c r="AG3967" s="33"/>
      <c r="AH3967" s="33"/>
      <c r="AI3967" s="33"/>
      <c r="AJ3967" s="33"/>
      <c r="AK3967" s="33"/>
      <c r="AL3967" s="33"/>
      <c r="AM3967" s="33"/>
      <c r="AN3967" s="33"/>
      <c r="AO3967" s="33"/>
    </row>
    <row r="3968" ht="15.75" customHeight="1">
      <c r="A3968" s="72"/>
      <c r="B3968" s="61"/>
      <c r="C3968" s="56"/>
      <c r="D3968" s="67"/>
      <c r="E3968" s="56"/>
      <c r="F3968" s="56"/>
      <c r="G3968" s="62"/>
      <c r="H3968" s="65"/>
      <c r="I3968" s="56"/>
      <c r="J3968" s="66"/>
      <c r="K3968" s="67"/>
      <c r="L3968" s="56"/>
      <c r="M3968" s="67"/>
      <c r="N3968" s="56"/>
      <c r="O3968" s="53"/>
      <c r="P3968" s="68"/>
      <c r="Q3968" s="69"/>
      <c r="R3968" s="68"/>
      <c r="S3968" s="70"/>
      <c r="T3968" s="67"/>
      <c r="U3968" s="56"/>
      <c r="V3968" s="56"/>
      <c r="W3968" s="71"/>
      <c r="X3968" s="71"/>
      <c r="AA3968" s="33"/>
      <c r="AB3968" s="33"/>
      <c r="AC3968" s="33"/>
      <c r="AD3968" s="33"/>
      <c r="AE3968" s="33"/>
      <c r="AF3968" s="33"/>
      <c r="AG3968" s="33"/>
      <c r="AH3968" s="33"/>
      <c r="AI3968" s="33"/>
      <c r="AJ3968" s="33"/>
      <c r="AK3968" s="33"/>
      <c r="AL3968" s="33"/>
      <c r="AM3968" s="33"/>
      <c r="AN3968" s="33"/>
      <c r="AO3968" s="33"/>
    </row>
    <row r="3969" ht="15.75" customHeight="1">
      <c r="A3969" s="72"/>
      <c r="B3969" s="61"/>
      <c r="C3969" s="56"/>
      <c r="D3969" s="67"/>
      <c r="E3969" s="56"/>
      <c r="F3969" s="56"/>
      <c r="G3969" s="62"/>
      <c r="H3969" s="65"/>
      <c r="I3969" s="56"/>
      <c r="J3969" s="66"/>
      <c r="K3969" s="67"/>
      <c r="L3969" s="56"/>
      <c r="M3969" s="67"/>
      <c r="N3969" s="56"/>
      <c r="O3969" s="53"/>
      <c r="P3969" s="68"/>
      <c r="Q3969" s="69"/>
      <c r="R3969" s="68"/>
      <c r="S3969" s="70"/>
      <c r="T3969" s="67"/>
      <c r="U3969" s="56"/>
      <c r="V3969" s="56"/>
      <c r="W3969" s="71"/>
      <c r="X3969" s="71"/>
      <c r="AA3969" s="33"/>
      <c r="AB3969" s="33"/>
      <c r="AC3969" s="33"/>
      <c r="AD3969" s="33"/>
      <c r="AE3969" s="33"/>
      <c r="AF3969" s="33"/>
      <c r="AG3969" s="33"/>
      <c r="AH3969" s="33"/>
      <c r="AI3969" s="33"/>
      <c r="AJ3969" s="33"/>
      <c r="AK3969" s="33"/>
      <c r="AL3969" s="33"/>
      <c r="AM3969" s="33"/>
      <c r="AN3969" s="33"/>
      <c r="AO3969" s="33"/>
    </row>
    <row r="3970" ht="15.75" customHeight="1">
      <c r="A3970" s="72"/>
      <c r="B3970" s="61"/>
      <c r="C3970" s="56"/>
      <c r="D3970" s="67"/>
      <c r="E3970" s="56"/>
      <c r="F3970" s="56"/>
      <c r="G3970" s="62"/>
      <c r="H3970" s="65"/>
      <c r="I3970" s="56"/>
      <c r="J3970" s="66"/>
      <c r="K3970" s="67"/>
      <c r="L3970" s="56"/>
      <c r="M3970" s="67"/>
      <c r="N3970" s="56"/>
      <c r="O3970" s="53"/>
      <c r="P3970" s="68"/>
      <c r="Q3970" s="69"/>
      <c r="R3970" s="68"/>
      <c r="S3970" s="70"/>
      <c r="T3970" s="67"/>
      <c r="U3970" s="56"/>
      <c r="V3970" s="56"/>
      <c r="W3970" s="71"/>
      <c r="X3970" s="71"/>
      <c r="AA3970" s="33"/>
      <c r="AB3970" s="33"/>
      <c r="AC3970" s="33"/>
      <c r="AD3970" s="33"/>
      <c r="AE3970" s="33"/>
      <c r="AF3970" s="33"/>
      <c r="AG3970" s="33"/>
      <c r="AH3970" s="33"/>
      <c r="AI3970" s="33"/>
      <c r="AJ3970" s="33"/>
      <c r="AK3970" s="33"/>
      <c r="AL3970" s="33"/>
      <c r="AM3970" s="33"/>
      <c r="AN3970" s="33"/>
      <c r="AO3970" s="33"/>
    </row>
    <row r="3971" ht="15.75" customHeight="1">
      <c r="A3971" s="72"/>
      <c r="B3971" s="61"/>
      <c r="C3971" s="56"/>
      <c r="D3971" s="67"/>
      <c r="E3971" s="56"/>
      <c r="F3971" s="56"/>
      <c r="G3971" s="62"/>
      <c r="H3971" s="65"/>
      <c r="I3971" s="56"/>
      <c r="J3971" s="66"/>
      <c r="K3971" s="67"/>
      <c r="L3971" s="56"/>
      <c r="M3971" s="67"/>
      <c r="N3971" s="56"/>
      <c r="O3971" s="53"/>
      <c r="P3971" s="68"/>
      <c r="Q3971" s="69"/>
      <c r="R3971" s="68"/>
      <c r="S3971" s="70"/>
      <c r="T3971" s="67"/>
      <c r="U3971" s="56"/>
      <c r="V3971" s="56"/>
      <c r="W3971" s="71"/>
      <c r="X3971" s="71"/>
      <c r="AA3971" s="33"/>
      <c r="AB3971" s="33"/>
      <c r="AC3971" s="33"/>
      <c r="AD3971" s="33"/>
      <c r="AE3971" s="33"/>
      <c r="AF3971" s="33"/>
      <c r="AG3971" s="33"/>
      <c r="AH3971" s="33"/>
      <c r="AI3971" s="33"/>
      <c r="AJ3971" s="33"/>
      <c r="AK3971" s="33"/>
      <c r="AL3971" s="33"/>
      <c r="AM3971" s="33"/>
      <c r="AN3971" s="33"/>
      <c r="AO3971" s="33"/>
    </row>
    <row r="3972" ht="15.75" customHeight="1">
      <c r="A3972" s="72"/>
      <c r="B3972" s="61"/>
      <c r="C3972" s="56"/>
      <c r="D3972" s="67"/>
      <c r="E3972" s="56"/>
      <c r="F3972" s="56"/>
      <c r="G3972" s="62"/>
      <c r="H3972" s="65"/>
      <c r="I3972" s="56"/>
      <c r="J3972" s="66"/>
      <c r="K3972" s="67"/>
      <c r="L3972" s="56"/>
      <c r="M3972" s="67"/>
      <c r="N3972" s="56"/>
      <c r="O3972" s="53"/>
      <c r="P3972" s="68"/>
      <c r="Q3972" s="69"/>
      <c r="R3972" s="68"/>
      <c r="S3972" s="70"/>
      <c r="T3972" s="67"/>
      <c r="U3972" s="56"/>
      <c r="V3972" s="56"/>
      <c r="W3972" s="71"/>
      <c r="X3972" s="71"/>
      <c r="AA3972" s="33"/>
      <c r="AB3972" s="33"/>
      <c r="AC3972" s="33"/>
      <c r="AD3972" s="33"/>
      <c r="AE3972" s="33"/>
      <c r="AF3972" s="33"/>
      <c r="AG3972" s="33"/>
      <c r="AH3972" s="33"/>
      <c r="AI3972" s="33"/>
      <c r="AJ3972" s="33"/>
      <c r="AK3972" s="33"/>
      <c r="AL3972" s="33"/>
      <c r="AM3972" s="33"/>
      <c r="AN3972" s="33"/>
      <c r="AO3972" s="33"/>
    </row>
    <row r="3973" ht="15.75" customHeight="1">
      <c r="A3973" s="72"/>
      <c r="B3973" s="61"/>
      <c r="C3973" s="56"/>
      <c r="D3973" s="67"/>
      <c r="E3973" s="56"/>
      <c r="F3973" s="56"/>
      <c r="G3973" s="62"/>
      <c r="H3973" s="65"/>
      <c r="I3973" s="56"/>
      <c r="J3973" s="66"/>
      <c r="K3973" s="67"/>
      <c r="L3973" s="56"/>
      <c r="M3973" s="67"/>
      <c r="N3973" s="56"/>
      <c r="O3973" s="53"/>
      <c r="P3973" s="68"/>
      <c r="Q3973" s="69"/>
      <c r="R3973" s="68"/>
      <c r="S3973" s="70"/>
      <c r="T3973" s="67"/>
      <c r="U3973" s="56"/>
      <c r="V3973" s="56"/>
      <c r="W3973" s="71"/>
      <c r="X3973" s="71"/>
      <c r="AA3973" s="33"/>
      <c r="AB3973" s="33"/>
      <c r="AC3973" s="33"/>
      <c r="AD3973" s="33"/>
      <c r="AE3973" s="33"/>
      <c r="AF3973" s="33"/>
      <c r="AG3973" s="33"/>
      <c r="AH3973" s="33"/>
      <c r="AI3973" s="33"/>
      <c r="AJ3973" s="33"/>
      <c r="AK3973" s="33"/>
      <c r="AL3973" s="33"/>
      <c r="AM3973" s="33"/>
      <c r="AN3973" s="33"/>
      <c r="AO3973" s="33"/>
    </row>
    <row r="3974" ht="15.75" customHeight="1">
      <c r="A3974" s="72"/>
      <c r="B3974" s="61"/>
      <c r="C3974" s="56"/>
      <c r="D3974" s="67"/>
      <c r="E3974" s="56"/>
      <c r="F3974" s="56"/>
      <c r="G3974" s="62"/>
      <c r="H3974" s="65"/>
      <c r="I3974" s="56"/>
      <c r="J3974" s="66"/>
      <c r="K3974" s="67"/>
      <c r="L3974" s="56"/>
      <c r="M3974" s="67"/>
      <c r="N3974" s="56"/>
      <c r="O3974" s="53"/>
      <c r="P3974" s="68"/>
      <c r="Q3974" s="69"/>
      <c r="R3974" s="68"/>
      <c r="S3974" s="70"/>
      <c r="T3974" s="67"/>
      <c r="U3974" s="56"/>
      <c r="V3974" s="56"/>
      <c r="W3974" s="71"/>
      <c r="X3974" s="71"/>
      <c r="AA3974" s="33"/>
      <c r="AB3974" s="33"/>
      <c r="AC3974" s="33"/>
      <c r="AD3974" s="33"/>
      <c r="AE3974" s="33"/>
      <c r="AF3974" s="33"/>
      <c r="AG3974" s="33"/>
      <c r="AH3974" s="33"/>
      <c r="AI3974" s="33"/>
      <c r="AJ3974" s="33"/>
      <c r="AK3974" s="33"/>
      <c r="AL3974" s="33"/>
      <c r="AM3974" s="33"/>
      <c r="AN3974" s="33"/>
      <c r="AO3974" s="33"/>
    </row>
    <row r="3975" ht="15.75" customHeight="1">
      <c r="A3975" s="72"/>
      <c r="B3975" s="61"/>
      <c r="C3975" s="56"/>
      <c r="D3975" s="67"/>
      <c r="E3975" s="56"/>
      <c r="F3975" s="56"/>
      <c r="G3975" s="62"/>
      <c r="H3975" s="65"/>
      <c r="I3975" s="56"/>
      <c r="J3975" s="66"/>
      <c r="K3975" s="67"/>
      <c r="L3975" s="56"/>
      <c r="M3975" s="67"/>
      <c r="N3975" s="56"/>
      <c r="O3975" s="53"/>
      <c r="P3975" s="68"/>
      <c r="Q3975" s="69"/>
      <c r="R3975" s="68"/>
      <c r="S3975" s="70"/>
      <c r="T3975" s="67"/>
      <c r="U3975" s="56"/>
      <c r="V3975" s="56"/>
      <c r="W3975" s="71"/>
      <c r="X3975" s="71"/>
      <c r="AA3975" s="33"/>
      <c r="AB3975" s="33"/>
      <c r="AC3975" s="33"/>
      <c r="AD3975" s="33"/>
      <c r="AE3975" s="33"/>
      <c r="AF3975" s="33"/>
      <c r="AG3975" s="33"/>
      <c r="AH3975" s="33"/>
      <c r="AI3975" s="33"/>
      <c r="AJ3975" s="33"/>
      <c r="AK3975" s="33"/>
      <c r="AL3975" s="33"/>
      <c r="AM3975" s="33"/>
      <c r="AN3975" s="33"/>
      <c r="AO3975" s="33"/>
    </row>
    <row r="3976" ht="15.75" customHeight="1">
      <c r="A3976" s="72"/>
      <c r="B3976" s="61"/>
      <c r="C3976" s="56"/>
      <c r="D3976" s="67"/>
      <c r="E3976" s="56"/>
      <c r="F3976" s="56"/>
      <c r="G3976" s="62"/>
      <c r="H3976" s="65"/>
      <c r="I3976" s="56"/>
      <c r="J3976" s="66"/>
      <c r="K3976" s="67"/>
      <c r="L3976" s="56"/>
      <c r="M3976" s="67"/>
      <c r="N3976" s="56"/>
      <c r="O3976" s="53"/>
      <c r="P3976" s="68"/>
      <c r="Q3976" s="69"/>
      <c r="R3976" s="68"/>
      <c r="S3976" s="70"/>
      <c r="T3976" s="67"/>
      <c r="U3976" s="56"/>
      <c r="V3976" s="56"/>
      <c r="W3976" s="71"/>
      <c r="X3976" s="71"/>
      <c r="AA3976" s="33"/>
      <c r="AB3976" s="33"/>
      <c r="AC3976" s="33"/>
      <c r="AD3976" s="33"/>
      <c r="AE3976" s="33"/>
      <c r="AF3976" s="33"/>
      <c r="AG3976" s="33"/>
      <c r="AH3976" s="33"/>
      <c r="AI3976" s="33"/>
      <c r="AJ3976" s="33"/>
      <c r="AK3976" s="33"/>
      <c r="AL3976" s="33"/>
      <c r="AM3976" s="33"/>
      <c r="AN3976" s="33"/>
      <c r="AO3976" s="33"/>
    </row>
    <row r="3977" ht="15.75" customHeight="1">
      <c r="A3977" s="72"/>
      <c r="B3977" s="61"/>
      <c r="C3977" s="56"/>
      <c r="D3977" s="67"/>
      <c r="E3977" s="56"/>
      <c r="F3977" s="56"/>
      <c r="G3977" s="62"/>
      <c r="H3977" s="65"/>
      <c r="I3977" s="56"/>
      <c r="J3977" s="66"/>
      <c r="K3977" s="67"/>
      <c r="L3977" s="56"/>
      <c r="M3977" s="67"/>
      <c r="N3977" s="56"/>
      <c r="O3977" s="53"/>
      <c r="P3977" s="68"/>
      <c r="Q3977" s="69"/>
      <c r="R3977" s="68"/>
      <c r="S3977" s="70"/>
      <c r="T3977" s="67"/>
      <c r="U3977" s="56"/>
      <c r="V3977" s="56"/>
      <c r="W3977" s="71"/>
      <c r="X3977" s="71"/>
      <c r="AA3977" s="33"/>
      <c r="AB3977" s="33"/>
      <c r="AC3977" s="33"/>
      <c r="AD3977" s="33"/>
      <c r="AE3977" s="33"/>
      <c r="AF3977" s="33"/>
      <c r="AG3977" s="33"/>
      <c r="AH3977" s="33"/>
      <c r="AI3977" s="33"/>
      <c r="AJ3977" s="33"/>
      <c r="AK3977" s="33"/>
      <c r="AL3977" s="33"/>
      <c r="AM3977" s="33"/>
      <c r="AN3977" s="33"/>
      <c r="AO3977" s="33"/>
    </row>
    <row r="3978" ht="15.75" customHeight="1">
      <c r="A3978" s="72"/>
      <c r="B3978" s="61"/>
      <c r="C3978" s="56"/>
      <c r="D3978" s="67"/>
      <c r="E3978" s="56"/>
      <c r="F3978" s="56"/>
      <c r="G3978" s="62"/>
      <c r="H3978" s="65"/>
      <c r="I3978" s="56"/>
      <c r="J3978" s="66"/>
      <c r="K3978" s="67"/>
      <c r="L3978" s="56"/>
      <c r="M3978" s="67"/>
      <c r="N3978" s="56"/>
      <c r="O3978" s="53"/>
      <c r="P3978" s="68"/>
      <c r="Q3978" s="69"/>
      <c r="R3978" s="68"/>
      <c r="S3978" s="70"/>
      <c r="T3978" s="67"/>
      <c r="U3978" s="56"/>
      <c r="V3978" s="56"/>
      <c r="W3978" s="71"/>
      <c r="X3978" s="71"/>
      <c r="AA3978" s="33"/>
      <c r="AB3978" s="33"/>
      <c r="AC3978" s="33"/>
      <c r="AD3978" s="33"/>
      <c r="AE3978" s="33"/>
      <c r="AF3978" s="33"/>
      <c r="AG3978" s="33"/>
      <c r="AH3978" s="33"/>
      <c r="AI3978" s="33"/>
      <c r="AJ3978" s="33"/>
      <c r="AK3978" s="33"/>
      <c r="AL3978" s="33"/>
      <c r="AM3978" s="33"/>
      <c r="AN3978" s="33"/>
      <c r="AO3978" s="33"/>
    </row>
    <row r="3979" ht="15.75" customHeight="1">
      <c r="A3979" s="72"/>
      <c r="B3979" s="61"/>
      <c r="C3979" s="56"/>
      <c r="D3979" s="67"/>
      <c r="E3979" s="56"/>
      <c r="F3979" s="56"/>
      <c r="G3979" s="62"/>
      <c r="H3979" s="65"/>
      <c r="I3979" s="56"/>
      <c r="J3979" s="66"/>
      <c r="K3979" s="67"/>
      <c r="L3979" s="56"/>
      <c r="M3979" s="67"/>
      <c r="N3979" s="56"/>
      <c r="O3979" s="53"/>
      <c r="P3979" s="68"/>
      <c r="Q3979" s="69"/>
      <c r="R3979" s="68"/>
      <c r="S3979" s="70"/>
      <c r="T3979" s="67"/>
      <c r="U3979" s="56"/>
      <c r="V3979" s="56"/>
      <c r="W3979" s="71"/>
      <c r="X3979" s="71"/>
      <c r="AA3979" s="33"/>
      <c r="AB3979" s="33"/>
      <c r="AC3979" s="33"/>
      <c r="AD3979" s="33"/>
      <c r="AE3979" s="33"/>
      <c r="AF3979" s="33"/>
      <c r="AG3979" s="33"/>
      <c r="AH3979" s="33"/>
      <c r="AI3979" s="33"/>
      <c r="AJ3979" s="33"/>
      <c r="AK3979" s="33"/>
      <c r="AL3979" s="33"/>
      <c r="AM3979" s="33"/>
      <c r="AN3979" s="33"/>
      <c r="AO3979" s="33"/>
    </row>
    <row r="3980" ht="15.75" customHeight="1">
      <c r="A3980" s="72"/>
      <c r="B3980" s="61"/>
      <c r="C3980" s="56"/>
      <c r="D3980" s="67"/>
      <c r="E3980" s="56"/>
      <c r="F3980" s="56"/>
      <c r="G3980" s="62"/>
      <c r="H3980" s="65"/>
      <c r="I3980" s="56"/>
      <c r="J3980" s="66"/>
      <c r="K3980" s="67"/>
      <c r="L3980" s="56"/>
      <c r="M3980" s="67"/>
      <c r="N3980" s="56"/>
      <c r="O3980" s="53"/>
      <c r="P3980" s="68"/>
      <c r="Q3980" s="69"/>
      <c r="R3980" s="68"/>
      <c r="S3980" s="70"/>
      <c r="T3980" s="67"/>
      <c r="U3980" s="56"/>
      <c r="V3980" s="56"/>
      <c r="W3980" s="71"/>
      <c r="X3980" s="71"/>
      <c r="AA3980" s="33"/>
      <c r="AB3980" s="33"/>
      <c r="AC3980" s="33"/>
      <c r="AD3980" s="33"/>
      <c r="AE3980" s="33"/>
      <c r="AF3980" s="33"/>
      <c r="AG3980" s="33"/>
      <c r="AH3980" s="33"/>
      <c r="AI3980" s="33"/>
      <c r="AJ3980" s="33"/>
      <c r="AK3980" s="33"/>
      <c r="AL3980" s="33"/>
      <c r="AM3980" s="33"/>
      <c r="AN3980" s="33"/>
      <c r="AO3980" s="33"/>
    </row>
    <row r="3981" ht="15.75" customHeight="1">
      <c r="A3981" s="72"/>
      <c r="B3981" s="61"/>
      <c r="C3981" s="56"/>
      <c r="D3981" s="67"/>
      <c r="E3981" s="56"/>
      <c r="F3981" s="56"/>
      <c r="G3981" s="62"/>
      <c r="H3981" s="65"/>
      <c r="I3981" s="56"/>
      <c r="J3981" s="66"/>
      <c r="K3981" s="67"/>
      <c r="L3981" s="56"/>
      <c r="M3981" s="67"/>
      <c r="N3981" s="56"/>
      <c r="O3981" s="53"/>
      <c r="P3981" s="68"/>
      <c r="Q3981" s="69"/>
      <c r="R3981" s="68"/>
      <c r="S3981" s="70"/>
      <c r="T3981" s="67"/>
      <c r="U3981" s="56"/>
      <c r="V3981" s="56"/>
      <c r="W3981" s="71"/>
      <c r="X3981" s="71"/>
      <c r="AA3981" s="33"/>
      <c r="AB3981" s="33"/>
      <c r="AC3981" s="33"/>
      <c r="AD3981" s="33"/>
      <c r="AE3981" s="33"/>
      <c r="AF3981" s="33"/>
      <c r="AG3981" s="33"/>
      <c r="AH3981" s="33"/>
      <c r="AI3981" s="33"/>
      <c r="AJ3981" s="33"/>
      <c r="AK3981" s="33"/>
      <c r="AL3981" s="33"/>
      <c r="AM3981" s="33"/>
      <c r="AN3981" s="33"/>
      <c r="AO3981" s="33"/>
    </row>
    <row r="3982" ht="15.75" customHeight="1">
      <c r="A3982" s="72"/>
      <c r="B3982" s="61"/>
      <c r="C3982" s="56"/>
      <c r="D3982" s="67"/>
      <c r="E3982" s="56"/>
      <c r="F3982" s="56"/>
      <c r="G3982" s="62"/>
      <c r="H3982" s="65"/>
      <c r="I3982" s="56"/>
      <c r="J3982" s="66"/>
      <c r="K3982" s="67"/>
      <c r="L3982" s="56"/>
      <c r="M3982" s="67"/>
      <c r="N3982" s="56"/>
      <c r="O3982" s="53"/>
      <c r="P3982" s="68"/>
      <c r="Q3982" s="69"/>
      <c r="R3982" s="68"/>
      <c r="S3982" s="70"/>
      <c r="T3982" s="67"/>
      <c r="U3982" s="56"/>
      <c r="V3982" s="56"/>
      <c r="W3982" s="71"/>
      <c r="X3982" s="71"/>
      <c r="AA3982" s="33"/>
      <c r="AB3982" s="33"/>
      <c r="AC3982" s="33"/>
      <c r="AD3982" s="33"/>
      <c r="AE3982" s="33"/>
      <c r="AF3982" s="33"/>
      <c r="AG3982" s="33"/>
      <c r="AH3982" s="33"/>
      <c r="AI3982" s="33"/>
      <c r="AJ3982" s="33"/>
      <c r="AK3982" s="33"/>
      <c r="AL3982" s="33"/>
      <c r="AM3982" s="33"/>
      <c r="AN3982" s="33"/>
      <c r="AO3982" s="33"/>
    </row>
    <row r="3983" ht="15.75" customHeight="1">
      <c r="A3983" s="72"/>
      <c r="B3983" s="61"/>
      <c r="C3983" s="56"/>
      <c r="D3983" s="67"/>
      <c r="E3983" s="56"/>
      <c r="F3983" s="56"/>
      <c r="G3983" s="62"/>
      <c r="H3983" s="65"/>
      <c r="I3983" s="56"/>
      <c r="J3983" s="66"/>
      <c r="K3983" s="67"/>
      <c r="L3983" s="56"/>
      <c r="M3983" s="67"/>
      <c r="N3983" s="56"/>
      <c r="O3983" s="53"/>
      <c r="P3983" s="68"/>
      <c r="Q3983" s="69"/>
      <c r="R3983" s="68"/>
      <c r="S3983" s="70"/>
      <c r="T3983" s="67"/>
      <c r="U3983" s="56"/>
      <c r="V3983" s="56"/>
      <c r="W3983" s="71"/>
      <c r="X3983" s="71"/>
      <c r="AA3983" s="33"/>
      <c r="AB3983" s="33"/>
      <c r="AC3983" s="33"/>
      <c r="AD3983" s="33"/>
      <c r="AE3983" s="33"/>
      <c r="AF3983" s="33"/>
      <c r="AG3983" s="33"/>
      <c r="AH3983" s="33"/>
      <c r="AI3983" s="33"/>
      <c r="AJ3983" s="33"/>
      <c r="AK3983" s="33"/>
      <c r="AL3983" s="33"/>
      <c r="AM3983" s="33"/>
      <c r="AN3983" s="33"/>
      <c r="AO3983" s="33"/>
    </row>
    <row r="3984" ht="15.75" customHeight="1">
      <c r="A3984" s="72"/>
      <c r="B3984" s="61"/>
      <c r="C3984" s="56"/>
      <c r="D3984" s="67"/>
      <c r="E3984" s="56"/>
      <c r="F3984" s="56"/>
      <c r="G3984" s="62"/>
      <c r="H3984" s="65"/>
      <c r="I3984" s="56"/>
      <c r="J3984" s="66"/>
      <c r="K3984" s="67"/>
      <c r="L3984" s="56"/>
      <c r="M3984" s="67"/>
      <c r="N3984" s="56"/>
      <c r="O3984" s="53"/>
      <c r="P3984" s="68"/>
      <c r="Q3984" s="69"/>
      <c r="R3984" s="68"/>
      <c r="S3984" s="70"/>
      <c r="T3984" s="67"/>
      <c r="U3984" s="56"/>
      <c r="V3984" s="56"/>
      <c r="W3984" s="71"/>
      <c r="X3984" s="71"/>
      <c r="AA3984" s="33"/>
      <c r="AB3984" s="33"/>
      <c r="AC3984" s="33"/>
      <c r="AD3984" s="33"/>
      <c r="AE3984" s="33"/>
      <c r="AF3984" s="33"/>
      <c r="AG3984" s="33"/>
      <c r="AH3984" s="33"/>
      <c r="AI3984" s="33"/>
      <c r="AJ3984" s="33"/>
      <c r="AK3984" s="33"/>
      <c r="AL3984" s="33"/>
      <c r="AM3984" s="33"/>
      <c r="AN3984" s="33"/>
      <c r="AO3984" s="33"/>
    </row>
    <row r="3985" ht="15.75" customHeight="1">
      <c r="A3985" s="72"/>
      <c r="B3985" s="61"/>
      <c r="C3985" s="56"/>
      <c r="D3985" s="67"/>
      <c r="E3985" s="56"/>
      <c r="F3985" s="56"/>
      <c r="G3985" s="62"/>
      <c r="H3985" s="65"/>
      <c r="I3985" s="56"/>
      <c r="J3985" s="66"/>
      <c r="K3985" s="67"/>
      <c r="L3985" s="56"/>
      <c r="M3985" s="67"/>
      <c r="N3985" s="56"/>
      <c r="O3985" s="53"/>
      <c r="P3985" s="68"/>
      <c r="Q3985" s="69"/>
      <c r="R3985" s="68"/>
      <c r="S3985" s="70"/>
      <c r="T3985" s="67"/>
      <c r="U3985" s="56"/>
      <c r="V3985" s="56"/>
      <c r="W3985" s="71"/>
      <c r="X3985" s="71"/>
      <c r="AA3985" s="33"/>
      <c r="AB3985" s="33"/>
      <c r="AC3985" s="33"/>
      <c r="AD3985" s="33"/>
      <c r="AE3985" s="33"/>
      <c r="AF3985" s="33"/>
      <c r="AG3985" s="33"/>
      <c r="AH3985" s="33"/>
      <c r="AI3985" s="33"/>
      <c r="AJ3985" s="33"/>
      <c r="AK3985" s="33"/>
      <c r="AL3985" s="33"/>
      <c r="AM3985" s="33"/>
      <c r="AN3985" s="33"/>
      <c r="AO3985" s="33"/>
    </row>
    <row r="3986" ht="15.75" customHeight="1">
      <c r="A3986" s="72"/>
      <c r="B3986" s="61"/>
      <c r="C3986" s="56"/>
      <c r="D3986" s="67"/>
      <c r="E3986" s="56"/>
      <c r="F3986" s="56"/>
      <c r="G3986" s="62"/>
      <c r="H3986" s="65"/>
      <c r="I3986" s="56"/>
      <c r="J3986" s="66"/>
      <c r="K3986" s="67"/>
      <c r="L3986" s="56"/>
      <c r="M3986" s="67"/>
      <c r="N3986" s="56"/>
      <c r="O3986" s="53"/>
      <c r="P3986" s="68"/>
      <c r="Q3986" s="69"/>
      <c r="R3986" s="68"/>
      <c r="S3986" s="70"/>
      <c r="T3986" s="67"/>
      <c r="U3986" s="56"/>
      <c r="V3986" s="56"/>
      <c r="W3986" s="71"/>
      <c r="X3986" s="71"/>
      <c r="AA3986" s="33"/>
      <c r="AB3986" s="33"/>
      <c r="AC3986" s="33"/>
      <c r="AD3986" s="33"/>
      <c r="AE3986" s="33"/>
      <c r="AF3986" s="33"/>
      <c r="AG3986" s="33"/>
      <c r="AH3986" s="33"/>
      <c r="AI3986" s="33"/>
      <c r="AJ3986" s="33"/>
      <c r="AK3986" s="33"/>
      <c r="AL3986" s="33"/>
      <c r="AM3986" s="33"/>
      <c r="AN3986" s="33"/>
      <c r="AO3986" s="33"/>
    </row>
    <row r="3987" ht="15.75" customHeight="1">
      <c r="A3987" s="72"/>
      <c r="B3987" s="61"/>
      <c r="C3987" s="56"/>
      <c r="D3987" s="67"/>
      <c r="E3987" s="56"/>
      <c r="F3987" s="56"/>
      <c r="G3987" s="62"/>
      <c r="H3987" s="65"/>
      <c r="I3987" s="56"/>
      <c r="J3987" s="66"/>
      <c r="K3987" s="67"/>
      <c r="L3987" s="56"/>
      <c r="M3987" s="67"/>
      <c r="N3987" s="56"/>
      <c r="O3987" s="53"/>
      <c r="P3987" s="68"/>
      <c r="Q3987" s="69"/>
      <c r="R3987" s="68"/>
      <c r="S3987" s="70"/>
      <c r="T3987" s="67"/>
      <c r="U3987" s="56"/>
      <c r="V3987" s="56"/>
      <c r="W3987" s="71"/>
      <c r="X3987" s="71"/>
      <c r="AA3987" s="33"/>
      <c r="AB3987" s="33"/>
      <c r="AC3987" s="33"/>
      <c r="AD3987" s="33"/>
      <c r="AE3987" s="33"/>
      <c r="AF3987" s="33"/>
      <c r="AG3987" s="33"/>
      <c r="AH3987" s="33"/>
      <c r="AI3987" s="33"/>
      <c r="AJ3987" s="33"/>
      <c r="AK3987" s="33"/>
      <c r="AL3987" s="33"/>
      <c r="AM3987" s="33"/>
      <c r="AN3987" s="33"/>
      <c r="AO3987" s="33"/>
    </row>
    <row r="3988" ht="15.75" customHeight="1">
      <c r="A3988" s="72"/>
      <c r="B3988" s="61"/>
      <c r="C3988" s="56"/>
      <c r="D3988" s="67"/>
      <c r="E3988" s="56"/>
      <c r="F3988" s="56"/>
      <c r="G3988" s="62"/>
      <c r="H3988" s="65"/>
      <c r="I3988" s="56"/>
      <c r="J3988" s="66"/>
      <c r="K3988" s="67"/>
      <c r="L3988" s="56"/>
      <c r="M3988" s="67"/>
      <c r="N3988" s="56"/>
      <c r="O3988" s="53"/>
      <c r="P3988" s="68"/>
      <c r="Q3988" s="69"/>
      <c r="R3988" s="68"/>
      <c r="S3988" s="70"/>
      <c r="T3988" s="67"/>
      <c r="U3988" s="56"/>
      <c r="V3988" s="56"/>
      <c r="W3988" s="71"/>
      <c r="X3988" s="71"/>
      <c r="AA3988" s="33"/>
      <c r="AB3988" s="33"/>
      <c r="AC3988" s="33"/>
      <c r="AD3988" s="33"/>
      <c r="AE3988" s="33"/>
      <c r="AF3988" s="33"/>
      <c r="AG3988" s="33"/>
      <c r="AH3988" s="33"/>
      <c r="AI3988" s="33"/>
      <c r="AJ3988" s="33"/>
      <c r="AK3988" s="33"/>
      <c r="AL3988" s="33"/>
      <c r="AM3988" s="33"/>
      <c r="AN3988" s="33"/>
      <c r="AO3988" s="33"/>
    </row>
    <row r="3989" ht="15.75" customHeight="1">
      <c r="A3989" s="72"/>
      <c r="B3989" s="61"/>
      <c r="C3989" s="56"/>
      <c r="D3989" s="67"/>
      <c r="E3989" s="56"/>
      <c r="F3989" s="56"/>
      <c r="G3989" s="62"/>
      <c r="H3989" s="65"/>
      <c r="I3989" s="56"/>
      <c r="J3989" s="66"/>
      <c r="K3989" s="67"/>
      <c r="L3989" s="56"/>
      <c r="M3989" s="67"/>
      <c r="N3989" s="56"/>
      <c r="O3989" s="53"/>
      <c r="P3989" s="68"/>
      <c r="Q3989" s="69"/>
      <c r="R3989" s="68"/>
      <c r="S3989" s="70"/>
      <c r="T3989" s="67"/>
      <c r="U3989" s="56"/>
      <c r="V3989" s="56"/>
      <c r="W3989" s="71"/>
      <c r="X3989" s="71"/>
      <c r="AA3989" s="33"/>
      <c r="AB3989" s="33"/>
      <c r="AC3989" s="33"/>
      <c r="AD3989" s="33"/>
      <c r="AE3989" s="33"/>
      <c r="AF3989" s="33"/>
      <c r="AG3989" s="33"/>
      <c r="AH3989" s="33"/>
      <c r="AI3989" s="33"/>
      <c r="AJ3989" s="33"/>
      <c r="AK3989" s="33"/>
      <c r="AL3989" s="33"/>
      <c r="AM3989" s="33"/>
      <c r="AN3989" s="33"/>
      <c r="AO3989" s="33"/>
    </row>
    <row r="3990" ht="15.75" customHeight="1">
      <c r="A3990" s="72"/>
      <c r="B3990" s="61"/>
      <c r="C3990" s="56"/>
      <c r="D3990" s="67"/>
      <c r="E3990" s="56"/>
      <c r="F3990" s="56"/>
      <c r="G3990" s="62"/>
      <c r="H3990" s="65"/>
      <c r="I3990" s="56"/>
      <c r="J3990" s="66"/>
      <c r="K3990" s="67"/>
      <c r="L3990" s="56"/>
      <c r="M3990" s="67"/>
      <c r="N3990" s="56"/>
      <c r="O3990" s="53"/>
      <c r="P3990" s="68"/>
      <c r="Q3990" s="69"/>
      <c r="R3990" s="68"/>
      <c r="S3990" s="70"/>
      <c r="T3990" s="67"/>
      <c r="U3990" s="56"/>
      <c r="V3990" s="56"/>
      <c r="W3990" s="71"/>
      <c r="X3990" s="71"/>
      <c r="AA3990" s="33"/>
      <c r="AB3990" s="33"/>
      <c r="AC3990" s="33"/>
      <c r="AD3990" s="33"/>
      <c r="AE3990" s="33"/>
      <c r="AF3990" s="33"/>
      <c r="AG3990" s="33"/>
      <c r="AH3990" s="33"/>
      <c r="AI3990" s="33"/>
      <c r="AJ3990" s="33"/>
      <c r="AK3990" s="33"/>
      <c r="AL3990" s="33"/>
      <c r="AM3990" s="33"/>
      <c r="AN3990" s="33"/>
      <c r="AO3990" s="33"/>
    </row>
    <row r="3991" ht="15.75" customHeight="1">
      <c r="A3991" s="72"/>
      <c r="B3991" s="61"/>
      <c r="C3991" s="56"/>
      <c r="D3991" s="67"/>
      <c r="E3991" s="56"/>
      <c r="F3991" s="56"/>
      <c r="G3991" s="62"/>
      <c r="H3991" s="65"/>
      <c r="I3991" s="56"/>
      <c r="J3991" s="66"/>
      <c r="K3991" s="67"/>
      <c r="L3991" s="56"/>
      <c r="M3991" s="67"/>
      <c r="N3991" s="56"/>
      <c r="O3991" s="53"/>
      <c r="P3991" s="68"/>
      <c r="Q3991" s="69"/>
      <c r="R3991" s="68"/>
      <c r="S3991" s="70"/>
      <c r="T3991" s="67"/>
      <c r="U3991" s="56"/>
      <c r="V3991" s="56"/>
      <c r="W3991" s="71"/>
      <c r="X3991" s="71"/>
      <c r="AA3991" s="33"/>
      <c r="AB3991" s="33"/>
      <c r="AC3991" s="33"/>
      <c r="AD3991" s="33"/>
      <c r="AE3991" s="33"/>
      <c r="AF3991" s="33"/>
      <c r="AG3991" s="33"/>
      <c r="AH3991" s="33"/>
      <c r="AI3991" s="33"/>
      <c r="AJ3991" s="33"/>
      <c r="AK3991" s="33"/>
      <c r="AL3991" s="33"/>
      <c r="AM3991" s="33"/>
      <c r="AN3991" s="33"/>
      <c r="AO3991" s="33"/>
    </row>
    <row r="3992" ht="15.75" customHeight="1">
      <c r="A3992" s="72"/>
      <c r="B3992" s="61"/>
      <c r="C3992" s="56"/>
      <c r="D3992" s="67"/>
      <c r="E3992" s="56"/>
      <c r="F3992" s="56"/>
      <c r="G3992" s="62"/>
      <c r="H3992" s="65"/>
      <c r="I3992" s="56"/>
      <c r="J3992" s="66"/>
      <c r="K3992" s="67"/>
      <c r="L3992" s="56"/>
      <c r="M3992" s="67"/>
      <c r="N3992" s="56"/>
      <c r="O3992" s="53"/>
      <c r="P3992" s="68"/>
      <c r="Q3992" s="69"/>
      <c r="R3992" s="68"/>
      <c r="S3992" s="70"/>
      <c r="T3992" s="67"/>
      <c r="U3992" s="56"/>
      <c r="V3992" s="56"/>
      <c r="W3992" s="71"/>
      <c r="X3992" s="71"/>
      <c r="AA3992" s="33"/>
      <c r="AB3992" s="33"/>
      <c r="AC3992" s="33"/>
      <c r="AD3992" s="33"/>
      <c r="AE3992" s="33"/>
      <c r="AF3992" s="33"/>
      <c r="AG3992" s="33"/>
      <c r="AH3992" s="33"/>
      <c r="AI3992" s="33"/>
      <c r="AJ3992" s="33"/>
      <c r="AK3992" s="33"/>
      <c r="AL3992" s="33"/>
      <c r="AM3992" s="33"/>
      <c r="AN3992" s="33"/>
      <c r="AO3992" s="33"/>
    </row>
    <row r="3993" ht="15.75" customHeight="1">
      <c r="A3993" s="72"/>
      <c r="B3993" s="61"/>
      <c r="C3993" s="56"/>
      <c r="D3993" s="67"/>
      <c r="E3993" s="56"/>
      <c r="F3993" s="56"/>
      <c r="G3993" s="62"/>
      <c r="H3993" s="65"/>
      <c r="I3993" s="56"/>
      <c r="J3993" s="66"/>
      <c r="K3993" s="67"/>
      <c r="L3993" s="56"/>
      <c r="M3993" s="67"/>
      <c r="N3993" s="56"/>
      <c r="O3993" s="53"/>
      <c r="P3993" s="68"/>
      <c r="Q3993" s="69"/>
      <c r="R3993" s="68"/>
      <c r="S3993" s="70"/>
      <c r="T3993" s="67"/>
      <c r="U3993" s="56"/>
      <c r="V3993" s="56"/>
      <c r="W3993" s="71"/>
      <c r="X3993" s="71"/>
      <c r="AA3993" s="33"/>
      <c r="AB3993" s="33"/>
      <c r="AC3993" s="33"/>
      <c r="AD3993" s="33"/>
      <c r="AE3993" s="33"/>
      <c r="AF3993" s="33"/>
      <c r="AG3993" s="33"/>
      <c r="AH3993" s="33"/>
      <c r="AI3993" s="33"/>
      <c r="AJ3993" s="33"/>
      <c r="AK3993" s="33"/>
      <c r="AL3993" s="33"/>
      <c r="AM3993" s="33"/>
      <c r="AN3993" s="33"/>
      <c r="AO3993" s="33"/>
    </row>
    <row r="3994" ht="15.75" customHeight="1">
      <c r="A3994" s="72"/>
      <c r="B3994" s="61"/>
      <c r="C3994" s="56"/>
      <c r="D3994" s="67"/>
      <c r="E3994" s="56"/>
      <c r="F3994" s="56"/>
      <c r="G3994" s="62"/>
      <c r="H3994" s="65"/>
      <c r="I3994" s="56"/>
      <c r="J3994" s="66"/>
      <c r="K3994" s="67"/>
      <c r="L3994" s="56"/>
      <c r="M3994" s="67"/>
      <c r="N3994" s="56"/>
      <c r="O3994" s="53"/>
      <c r="P3994" s="68"/>
      <c r="Q3994" s="69"/>
      <c r="R3994" s="68"/>
      <c r="S3994" s="70"/>
      <c r="T3994" s="67"/>
      <c r="U3994" s="56"/>
      <c r="V3994" s="56"/>
      <c r="W3994" s="71"/>
      <c r="X3994" s="71"/>
      <c r="AA3994" s="33"/>
      <c r="AB3994" s="33"/>
      <c r="AC3994" s="33"/>
      <c r="AD3994" s="33"/>
      <c r="AE3994" s="33"/>
      <c r="AF3994" s="33"/>
      <c r="AG3994" s="33"/>
      <c r="AH3994" s="33"/>
      <c r="AI3994" s="33"/>
      <c r="AJ3994" s="33"/>
      <c r="AK3994" s="33"/>
      <c r="AL3994" s="33"/>
      <c r="AM3994" s="33"/>
      <c r="AN3994" s="33"/>
      <c r="AO3994" s="33"/>
    </row>
    <row r="3995" ht="15.75" customHeight="1">
      <c r="A3995" s="72"/>
      <c r="B3995" s="61"/>
      <c r="C3995" s="56"/>
      <c r="D3995" s="67"/>
      <c r="E3995" s="56"/>
      <c r="F3995" s="56"/>
      <c r="G3995" s="62"/>
      <c r="H3995" s="65"/>
      <c r="I3995" s="56"/>
      <c r="J3995" s="66"/>
      <c r="K3995" s="67"/>
      <c r="L3995" s="56"/>
      <c r="M3995" s="67"/>
      <c r="N3995" s="56"/>
      <c r="O3995" s="53"/>
      <c r="P3995" s="68"/>
      <c r="Q3995" s="69"/>
      <c r="R3995" s="68"/>
      <c r="S3995" s="70"/>
      <c r="T3995" s="67"/>
      <c r="U3995" s="56"/>
      <c r="V3995" s="56"/>
      <c r="W3995" s="71"/>
      <c r="X3995" s="71"/>
      <c r="AA3995" s="33"/>
      <c r="AB3995" s="33"/>
      <c r="AC3995" s="33"/>
      <c r="AD3995" s="33"/>
      <c r="AE3995" s="33"/>
      <c r="AF3995" s="33"/>
      <c r="AG3995" s="33"/>
      <c r="AH3995" s="33"/>
      <c r="AI3995" s="33"/>
      <c r="AJ3995" s="33"/>
      <c r="AK3995" s="33"/>
      <c r="AL3995" s="33"/>
      <c r="AM3995" s="33"/>
      <c r="AN3995" s="33"/>
      <c r="AO3995" s="33"/>
    </row>
    <row r="3996" ht="15.75" customHeight="1">
      <c r="A3996" s="72"/>
      <c r="B3996" s="61"/>
      <c r="C3996" s="56"/>
      <c r="D3996" s="67"/>
      <c r="E3996" s="56"/>
      <c r="F3996" s="56"/>
      <c r="G3996" s="62"/>
      <c r="H3996" s="65"/>
      <c r="I3996" s="56"/>
      <c r="J3996" s="66"/>
      <c r="K3996" s="67"/>
      <c r="L3996" s="56"/>
      <c r="M3996" s="67"/>
      <c r="N3996" s="56"/>
      <c r="O3996" s="53"/>
      <c r="P3996" s="68"/>
      <c r="Q3996" s="69"/>
      <c r="R3996" s="68"/>
      <c r="S3996" s="70"/>
      <c r="T3996" s="67"/>
      <c r="U3996" s="56"/>
      <c r="V3996" s="56"/>
      <c r="W3996" s="71"/>
      <c r="X3996" s="71"/>
      <c r="AA3996" s="33"/>
      <c r="AB3996" s="33"/>
      <c r="AC3996" s="33"/>
      <c r="AD3996" s="33"/>
      <c r="AE3996" s="33"/>
      <c r="AF3996" s="33"/>
      <c r="AG3996" s="33"/>
      <c r="AH3996" s="33"/>
      <c r="AI3996" s="33"/>
      <c r="AJ3996" s="33"/>
      <c r="AK3996" s="33"/>
      <c r="AL3996" s="33"/>
      <c r="AM3996" s="33"/>
      <c r="AN3996" s="33"/>
      <c r="AO3996" s="33"/>
    </row>
    <row r="3997" ht="15.75" customHeight="1">
      <c r="A3997" s="72"/>
      <c r="B3997" s="61"/>
      <c r="C3997" s="56"/>
      <c r="D3997" s="67"/>
      <c r="E3997" s="56"/>
      <c r="F3997" s="56"/>
      <c r="G3997" s="62"/>
      <c r="H3997" s="65"/>
      <c r="I3997" s="56"/>
      <c r="J3997" s="66"/>
      <c r="K3997" s="67"/>
      <c r="L3997" s="56"/>
      <c r="M3997" s="67"/>
      <c r="N3997" s="56"/>
      <c r="O3997" s="53"/>
      <c r="P3997" s="68"/>
      <c r="Q3997" s="69"/>
      <c r="R3997" s="68"/>
      <c r="S3997" s="70"/>
      <c r="T3997" s="67"/>
      <c r="U3997" s="56"/>
      <c r="V3997" s="56"/>
      <c r="W3997" s="71"/>
      <c r="X3997" s="71"/>
      <c r="AA3997" s="33"/>
      <c r="AB3997" s="33"/>
      <c r="AC3997" s="33"/>
      <c r="AD3997" s="33"/>
      <c r="AE3997" s="33"/>
      <c r="AF3997" s="33"/>
      <c r="AG3997" s="33"/>
      <c r="AH3997" s="33"/>
      <c r="AI3997" s="33"/>
      <c r="AJ3997" s="33"/>
      <c r="AK3997" s="33"/>
      <c r="AL3997" s="33"/>
      <c r="AM3997" s="33"/>
      <c r="AN3997" s="33"/>
      <c r="AO3997" s="33"/>
    </row>
    <row r="3998" ht="15.75" customHeight="1">
      <c r="A3998" s="72"/>
      <c r="B3998" s="61"/>
      <c r="C3998" s="56"/>
      <c r="D3998" s="67"/>
      <c r="E3998" s="56"/>
      <c r="F3998" s="56"/>
      <c r="G3998" s="62"/>
      <c r="H3998" s="65"/>
      <c r="I3998" s="56"/>
      <c r="J3998" s="66"/>
      <c r="K3998" s="67"/>
      <c r="L3998" s="56"/>
      <c r="M3998" s="67"/>
      <c r="N3998" s="56"/>
      <c r="O3998" s="53"/>
      <c r="P3998" s="68"/>
      <c r="Q3998" s="69"/>
      <c r="R3998" s="68"/>
      <c r="S3998" s="70"/>
      <c r="T3998" s="67"/>
      <c r="U3998" s="56"/>
      <c r="V3998" s="56"/>
      <c r="W3998" s="71"/>
      <c r="X3998" s="71"/>
      <c r="AA3998" s="33"/>
      <c r="AB3998" s="33"/>
      <c r="AC3998" s="33"/>
      <c r="AD3998" s="33"/>
      <c r="AE3998" s="33"/>
      <c r="AF3998" s="33"/>
      <c r="AG3998" s="33"/>
      <c r="AH3998" s="33"/>
      <c r="AI3998" s="33"/>
      <c r="AJ3998" s="33"/>
      <c r="AK3998" s="33"/>
      <c r="AL3998" s="33"/>
      <c r="AM3998" s="33"/>
      <c r="AN3998" s="33"/>
      <c r="AO3998" s="33"/>
    </row>
    <row r="3999" ht="15.75" customHeight="1">
      <c r="A3999" s="72"/>
      <c r="B3999" s="61"/>
      <c r="C3999" s="56"/>
      <c r="D3999" s="67"/>
      <c r="E3999" s="56"/>
      <c r="F3999" s="56"/>
      <c r="G3999" s="62"/>
      <c r="H3999" s="65"/>
      <c r="I3999" s="56"/>
      <c r="J3999" s="66"/>
      <c r="K3999" s="67"/>
      <c r="L3999" s="56"/>
      <c r="M3999" s="67"/>
      <c r="N3999" s="56"/>
      <c r="O3999" s="53"/>
      <c r="P3999" s="68"/>
      <c r="Q3999" s="69"/>
      <c r="R3999" s="68"/>
      <c r="S3999" s="70"/>
      <c r="T3999" s="67"/>
      <c r="U3999" s="56"/>
      <c r="V3999" s="56"/>
      <c r="W3999" s="71"/>
      <c r="X3999" s="71"/>
      <c r="AA3999" s="33"/>
      <c r="AB3999" s="33"/>
      <c r="AC3999" s="33"/>
      <c r="AD3999" s="33"/>
      <c r="AE3999" s="33"/>
      <c r="AF3999" s="33"/>
      <c r="AG3999" s="33"/>
      <c r="AH3999" s="33"/>
      <c r="AI3999" s="33"/>
      <c r="AJ3999" s="33"/>
      <c r="AK3999" s="33"/>
      <c r="AL3999" s="33"/>
      <c r="AM3999" s="33"/>
      <c r="AN3999" s="33"/>
      <c r="AO3999" s="33"/>
    </row>
    <row r="4000" ht="15.75" customHeight="1">
      <c r="A4000" s="72"/>
      <c r="B4000" s="61"/>
      <c r="C4000" s="56"/>
      <c r="D4000" s="67"/>
      <c r="E4000" s="56"/>
      <c r="F4000" s="56"/>
      <c r="G4000" s="62"/>
      <c r="H4000" s="65"/>
      <c r="I4000" s="56"/>
      <c r="J4000" s="66"/>
      <c r="K4000" s="67"/>
      <c r="L4000" s="56"/>
      <c r="M4000" s="67"/>
      <c r="N4000" s="56"/>
      <c r="O4000" s="53"/>
      <c r="P4000" s="68"/>
      <c r="Q4000" s="69"/>
      <c r="R4000" s="68"/>
      <c r="S4000" s="70"/>
      <c r="T4000" s="67"/>
      <c r="U4000" s="56"/>
      <c r="V4000" s="56"/>
      <c r="W4000" s="71"/>
      <c r="X4000" s="71"/>
      <c r="AA4000" s="33"/>
      <c r="AB4000" s="33"/>
      <c r="AC4000" s="33"/>
      <c r="AD4000" s="33"/>
      <c r="AE4000" s="33"/>
      <c r="AF4000" s="33"/>
      <c r="AG4000" s="33"/>
      <c r="AH4000" s="33"/>
      <c r="AI4000" s="33"/>
      <c r="AJ4000" s="33"/>
      <c r="AK4000" s="33"/>
      <c r="AL4000" s="33"/>
      <c r="AM4000" s="33"/>
      <c r="AN4000" s="33"/>
      <c r="AO4000" s="33"/>
    </row>
    <row r="4001" ht="15.75" customHeight="1">
      <c r="A4001" s="72"/>
      <c r="B4001" s="61"/>
      <c r="C4001" s="56"/>
      <c r="D4001" s="67"/>
      <c r="E4001" s="56"/>
      <c r="F4001" s="56"/>
      <c r="G4001" s="62"/>
      <c r="H4001" s="65"/>
      <c r="I4001" s="56"/>
      <c r="J4001" s="66"/>
      <c r="K4001" s="67"/>
      <c r="L4001" s="56"/>
      <c r="M4001" s="67"/>
      <c r="N4001" s="56"/>
      <c r="O4001" s="53"/>
      <c r="P4001" s="68"/>
      <c r="Q4001" s="69"/>
      <c r="R4001" s="68"/>
      <c r="S4001" s="70"/>
      <c r="T4001" s="67"/>
      <c r="U4001" s="56"/>
      <c r="V4001" s="56"/>
      <c r="W4001" s="71"/>
      <c r="X4001" s="71"/>
      <c r="AA4001" s="33"/>
      <c r="AB4001" s="33"/>
      <c r="AC4001" s="33"/>
      <c r="AD4001" s="33"/>
      <c r="AE4001" s="33"/>
      <c r="AF4001" s="33"/>
      <c r="AG4001" s="33"/>
      <c r="AH4001" s="33"/>
      <c r="AI4001" s="33"/>
      <c r="AJ4001" s="33"/>
      <c r="AK4001" s="33"/>
      <c r="AL4001" s="33"/>
      <c r="AM4001" s="33"/>
      <c r="AN4001" s="33"/>
      <c r="AO4001" s="33"/>
    </row>
    <row r="4002" ht="15.75" customHeight="1">
      <c r="A4002" s="72"/>
      <c r="B4002" s="61"/>
      <c r="C4002" s="56"/>
      <c r="D4002" s="67"/>
      <c r="E4002" s="56"/>
      <c r="F4002" s="56"/>
      <c r="G4002" s="62"/>
      <c r="H4002" s="65"/>
      <c r="I4002" s="56"/>
      <c r="J4002" s="66"/>
      <c r="K4002" s="67"/>
      <c r="L4002" s="56"/>
      <c r="M4002" s="67"/>
      <c r="N4002" s="56"/>
      <c r="O4002" s="53"/>
      <c r="P4002" s="68"/>
      <c r="Q4002" s="69"/>
      <c r="R4002" s="68"/>
      <c r="S4002" s="70"/>
      <c r="T4002" s="67"/>
      <c r="U4002" s="56"/>
      <c r="V4002" s="56"/>
      <c r="W4002" s="71"/>
      <c r="X4002" s="71"/>
      <c r="AA4002" s="33"/>
      <c r="AB4002" s="33"/>
      <c r="AC4002" s="33"/>
      <c r="AD4002" s="33"/>
      <c r="AE4002" s="33"/>
      <c r="AF4002" s="33"/>
      <c r="AG4002" s="33"/>
      <c r="AH4002" s="33"/>
      <c r="AI4002" s="33"/>
      <c r="AJ4002" s="33"/>
      <c r="AK4002" s="33"/>
      <c r="AL4002" s="33"/>
      <c r="AM4002" s="33"/>
      <c r="AN4002" s="33"/>
      <c r="AO4002" s="33"/>
    </row>
    <row r="4003" ht="15.75" customHeight="1">
      <c r="A4003" s="72"/>
      <c r="B4003" s="61"/>
      <c r="C4003" s="56"/>
      <c r="D4003" s="67"/>
      <c r="E4003" s="56"/>
      <c r="F4003" s="56"/>
      <c r="G4003" s="62"/>
      <c r="H4003" s="65"/>
      <c r="I4003" s="56"/>
      <c r="J4003" s="66"/>
      <c r="K4003" s="67"/>
      <c r="L4003" s="56"/>
      <c r="M4003" s="67"/>
      <c r="N4003" s="56"/>
      <c r="O4003" s="53"/>
      <c r="P4003" s="68"/>
      <c r="Q4003" s="69"/>
      <c r="R4003" s="68"/>
      <c r="S4003" s="70"/>
      <c r="T4003" s="67"/>
      <c r="U4003" s="56"/>
      <c r="V4003" s="56"/>
      <c r="W4003" s="71"/>
      <c r="X4003" s="71"/>
      <c r="AA4003" s="33"/>
      <c r="AB4003" s="33"/>
      <c r="AC4003" s="33"/>
      <c r="AD4003" s="33"/>
      <c r="AE4003" s="33"/>
      <c r="AF4003" s="33"/>
      <c r="AG4003" s="33"/>
      <c r="AH4003" s="33"/>
      <c r="AI4003" s="33"/>
      <c r="AJ4003" s="33"/>
      <c r="AK4003" s="33"/>
      <c r="AL4003" s="33"/>
      <c r="AM4003" s="33"/>
      <c r="AN4003" s="33"/>
      <c r="AO4003" s="33"/>
    </row>
    <row r="4004" ht="15.75" customHeight="1">
      <c r="A4004" s="72"/>
      <c r="B4004" s="61"/>
      <c r="C4004" s="56"/>
      <c r="D4004" s="67"/>
      <c r="E4004" s="56"/>
      <c r="F4004" s="56"/>
      <c r="G4004" s="62"/>
      <c r="H4004" s="65"/>
      <c r="I4004" s="56"/>
      <c r="J4004" s="66"/>
      <c r="K4004" s="67"/>
      <c r="L4004" s="56"/>
      <c r="M4004" s="67"/>
      <c r="N4004" s="56"/>
      <c r="O4004" s="53"/>
      <c r="P4004" s="68"/>
      <c r="Q4004" s="69"/>
      <c r="R4004" s="68"/>
      <c r="S4004" s="70"/>
      <c r="T4004" s="67"/>
      <c r="U4004" s="56"/>
      <c r="V4004" s="56"/>
      <c r="W4004" s="71"/>
      <c r="X4004" s="71"/>
      <c r="AA4004" s="33"/>
      <c r="AB4004" s="33"/>
      <c r="AC4004" s="33"/>
      <c r="AD4004" s="33"/>
      <c r="AE4004" s="33"/>
      <c r="AF4004" s="33"/>
      <c r="AG4004" s="33"/>
      <c r="AH4004" s="33"/>
      <c r="AI4004" s="33"/>
      <c r="AJ4004" s="33"/>
      <c r="AK4004" s="33"/>
      <c r="AL4004" s="33"/>
      <c r="AM4004" s="33"/>
      <c r="AN4004" s="33"/>
      <c r="AO4004" s="33"/>
    </row>
    <row r="4005" ht="15.75" customHeight="1">
      <c r="A4005" s="72"/>
      <c r="B4005" s="61"/>
      <c r="C4005" s="56"/>
      <c r="D4005" s="67"/>
      <c r="E4005" s="56"/>
      <c r="F4005" s="56"/>
      <c r="G4005" s="62"/>
      <c r="H4005" s="65"/>
      <c r="I4005" s="56"/>
      <c r="J4005" s="66"/>
      <c r="K4005" s="67"/>
      <c r="L4005" s="56"/>
      <c r="M4005" s="67"/>
      <c r="N4005" s="56"/>
      <c r="O4005" s="53"/>
      <c r="P4005" s="68"/>
      <c r="Q4005" s="69"/>
      <c r="R4005" s="68"/>
      <c r="S4005" s="70"/>
      <c r="T4005" s="67"/>
      <c r="U4005" s="56"/>
      <c r="V4005" s="56"/>
      <c r="W4005" s="71"/>
      <c r="X4005" s="71"/>
      <c r="AA4005" s="33"/>
      <c r="AB4005" s="33"/>
      <c r="AC4005" s="33"/>
      <c r="AD4005" s="33"/>
      <c r="AE4005" s="33"/>
      <c r="AF4005" s="33"/>
      <c r="AG4005" s="33"/>
      <c r="AH4005" s="33"/>
      <c r="AI4005" s="33"/>
      <c r="AJ4005" s="33"/>
      <c r="AK4005" s="33"/>
      <c r="AL4005" s="33"/>
      <c r="AM4005" s="33"/>
      <c r="AN4005" s="33"/>
      <c r="AO4005" s="33"/>
    </row>
    <row r="4006" ht="15.75" customHeight="1">
      <c r="A4006" s="72"/>
      <c r="B4006" s="61"/>
      <c r="C4006" s="56"/>
      <c r="D4006" s="67"/>
      <c r="E4006" s="56"/>
      <c r="F4006" s="56"/>
      <c r="G4006" s="62"/>
      <c r="H4006" s="65"/>
      <c r="I4006" s="56"/>
      <c r="J4006" s="66"/>
      <c r="K4006" s="67"/>
      <c r="L4006" s="56"/>
      <c r="M4006" s="67"/>
      <c r="N4006" s="56"/>
      <c r="O4006" s="53"/>
      <c r="P4006" s="68"/>
      <c r="Q4006" s="69"/>
      <c r="R4006" s="68"/>
      <c r="S4006" s="70"/>
      <c r="T4006" s="67"/>
      <c r="U4006" s="56"/>
      <c r="V4006" s="56"/>
      <c r="W4006" s="71"/>
      <c r="X4006" s="71"/>
      <c r="AA4006" s="33"/>
      <c r="AB4006" s="33"/>
      <c r="AC4006" s="33"/>
      <c r="AD4006" s="33"/>
      <c r="AE4006" s="33"/>
      <c r="AF4006" s="33"/>
      <c r="AG4006" s="33"/>
      <c r="AH4006" s="33"/>
      <c r="AI4006" s="33"/>
      <c r="AJ4006" s="33"/>
      <c r="AK4006" s="33"/>
      <c r="AL4006" s="33"/>
      <c r="AM4006" s="33"/>
      <c r="AN4006" s="33"/>
      <c r="AO4006" s="33"/>
    </row>
    <row r="4007" ht="15.75" customHeight="1">
      <c r="A4007" s="72"/>
      <c r="B4007" s="61"/>
      <c r="C4007" s="56"/>
      <c r="D4007" s="67"/>
      <c r="E4007" s="56"/>
      <c r="F4007" s="56"/>
      <c r="G4007" s="62"/>
      <c r="H4007" s="65"/>
      <c r="I4007" s="56"/>
      <c r="J4007" s="66"/>
      <c r="K4007" s="67"/>
      <c r="L4007" s="56"/>
      <c r="M4007" s="67"/>
      <c r="N4007" s="56"/>
      <c r="O4007" s="53"/>
      <c r="P4007" s="68"/>
      <c r="Q4007" s="69"/>
      <c r="R4007" s="68"/>
      <c r="S4007" s="70"/>
      <c r="T4007" s="67"/>
      <c r="U4007" s="56"/>
      <c r="V4007" s="56"/>
      <c r="W4007" s="71"/>
      <c r="X4007" s="71"/>
      <c r="AA4007" s="33"/>
      <c r="AB4007" s="33"/>
      <c r="AC4007" s="33"/>
      <c r="AD4007" s="33"/>
      <c r="AE4007" s="33"/>
      <c r="AF4007" s="33"/>
      <c r="AG4007" s="33"/>
      <c r="AH4007" s="33"/>
      <c r="AI4007" s="33"/>
      <c r="AJ4007" s="33"/>
      <c r="AK4007" s="33"/>
      <c r="AL4007" s="33"/>
      <c r="AM4007" s="33"/>
      <c r="AN4007" s="33"/>
      <c r="AO4007" s="33"/>
    </row>
    <row r="4008" ht="15.75" customHeight="1">
      <c r="A4008" s="72"/>
      <c r="B4008" s="61"/>
      <c r="C4008" s="56"/>
      <c r="D4008" s="67"/>
      <c r="E4008" s="56"/>
      <c r="F4008" s="56"/>
      <c r="G4008" s="62"/>
      <c r="H4008" s="65"/>
      <c r="I4008" s="56"/>
      <c r="J4008" s="66"/>
      <c r="K4008" s="67"/>
      <c r="L4008" s="56"/>
      <c r="M4008" s="67"/>
      <c r="N4008" s="56"/>
      <c r="O4008" s="53"/>
      <c r="P4008" s="68"/>
      <c r="Q4008" s="69"/>
      <c r="R4008" s="68"/>
      <c r="S4008" s="70"/>
      <c r="T4008" s="67"/>
      <c r="U4008" s="56"/>
      <c r="V4008" s="56"/>
      <c r="W4008" s="71"/>
      <c r="X4008" s="71"/>
      <c r="AA4008" s="33"/>
      <c r="AB4008" s="33"/>
      <c r="AC4008" s="33"/>
      <c r="AD4008" s="33"/>
      <c r="AE4008" s="33"/>
      <c r="AF4008" s="33"/>
      <c r="AG4008" s="33"/>
      <c r="AH4008" s="33"/>
      <c r="AI4008" s="33"/>
      <c r="AJ4008" s="33"/>
      <c r="AK4008" s="33"/>
      <c r="AL4008" s="33"/>
      <c r="AM4008" s="33"/>
      <c r="AN4008" s="33"/>
      <c r="AO4008" s="33"/>
    </row>
    <row r="4009" ht="15.75" customHeight="1">
      <c r="A4009" s="72"/>
      <c r="B4009" s="61"/>
      <c r="C4009" s="56"/>
      <c r="D4009" s="67"/>
      <c r="E4009" s="56"/>
      <c r="F4009" s="56"/>
      <c r="G4009" s="62"/>
      <c r="H4009" s="65"/>
      <c r="I4009" s="56"/>
      <c r="J4009" s="66"/>
      <c r="K4009" s="67"/>
      <c r="L4009" s="56"/>
      <c r="M4009" s="67"/>
      <c r="N4009" s="56"/>
      <c r="O4009" s="53"/>
      <c r="P4009" s="68"/>
      <c r="Q4009" s="69"/>
      <c r="R4009" s="68"/>
      <c r="S4009" s="70"/>
      <c r="T4009" s="67"/>
      <c r="U4009" s="56"/>
      <c r="V4009" s="56"/>
      <c r="W4009" s="71"/>
      <c r="X4009" s="71"/>
      <c r="AA4009" s="33"/>
      <c r="AB4009" s="33"/>
      <c r="AC4009" s="33"/>
      <c r="AD4009" s="33"/>
      <c r="AE4009" s="33"/>
      <c r="AF4009" s="33"/>
      <c r="AG4009" s="33"/>
      <c r="AH4009" s="33"/>
      <c r="AI4009" s="33"/>
      <c r="AJ4009" s="33"/>
      <c r="AK4009" s="33"/>
      <c r="AL4009" s="33"/>
      <c r="AM4009" s="33"/>
      <c r="AN4009" s="33"/>
      <c r="AO4009" s="33"/>
    </row>
    <row r="4010" ht="15.75" customHeight="1">
      <c r="A4010" s="72"/>
      <c r="B4010" s="61"/>
      <c r="C4010" s="56"/>
      <c r="D4010" s="67"/>
      <c r="E4010" s="56"/>
      <c r="F4010" s="56"/>
      <c r="G4010" s="62"/>
      <c r="H4010" s="65"/>
      <c r="I4010" s="56"/>
      <c r="J4010" s="66"/>
      <c r="K4010" s="67"/>
      <c r="L4010" s="56"/>
      <c r="M4010" s="67"/>
      <c r="N4010" s="56"/>
      <c r="O4010" s="53"/>
      <c r="P4010" s="68"/>
      <c r="Q4010" s="69"/>
      <c r="R4010" s="68"/>
      <c r="S4010" s="70"/>
      <c r="T4010" s="67"/>
      <c r="U4010" s="56"/>
      <c r="V4010" s="56"/>
      <c r="W4010" s="71"/>
      <c r="X4010" s="71"/>
      <c r="AA4010" s="33"/>
      <c r="AB4010" s="33"/>
      <c r="AC4010" s="33"/>
      <c r="AD4010" s="33"/>
      <c r="AE4010" s="33"/>
      <c r="AF4010" s="33"/>
      <c r="AG4010" s="33"/>
      <c r="AH4010" s="33"/>
      <c r="AI4010" s="33"/>
      <c r="AJ4010" s="33"/>
      <c r="AK4010" s="33"/>
      <c r="AL4010" s="33"/>
      <c r="AM4010" s="33"/>
      <c r="AN4010" s="33"/>
      <c r="AO4010" s="33"/>
    </row>
    <row r="4011" ht="15.75" customHeight="1">
      <c r="A4011" s="72"/>
      <c r="B4011" s="61"/>
      <c r="C4011" s="56"/>
      <c r="D4011" s="67"/>
      <c r="E4011" s="56"/>
      <c r="F4011" s="56"/>
      <c r="G4011" s="62"/>
      <c r="H4011" s="65"/>
      <c r="I4011" s="56"/>
      <c r="J4011" s="66"/>
      <c r="K4011" s="67"/>
      <c r="L4011" s="56"/>
      <c r="M4011" s="67"/>
      <c r="N4011" s="56"/>
      <c r="O4011" s="53"/>
      <c r="P4011" s="68"/>
      <c r="Q4011" s="69"/>
      <c r="R4011" s="68"/>
      <c r="S4011" s="70"/>
      <c r="T4011" s="67"/>
      <c r="U4011" s="56"/>
      <c r="V4011" s="56"/>
      <c r="W4011" s="71"/>
      <c r="X4011" s="71"/>
      <c r="AA4011" s="33"/>
      <c r="AB4011" s="33"/>
      <c r="AC4011" s="33"/>
      <c r="AD4011" s="33"/>
      <c r="AE4011" s="33"/>
      <c r="AF4011" s="33"/>
      <c r="AG4011" s="33"/>
      <c r="AH4011" s="33"/>
      <c r="AI4011" s="33"/>
      <c r="AJ4011" s="33"/>
      <c r="AK4011" s="33"/>
      <c r="AL4011" s="33"/>
      <c r="AM4011" s="33"/>
      <c r="AN4011" s="33"/>
      <c r="AO4011" s="33"/>
    </row>
    <row r="4012" ht="15.75" customHeight="1">
      <c r="A4012" s="72"/>
      <c r="B4012" s="61"/>
      <c r="C4012" s="56"/>
      <c r="D4012" s="67"/>
      <c r="E4012" s="56"/>
      <c r="F4012" s="56"/>
      <c r="G4012" s="62"/>
      <c r="H4012" s="65"/>
      <c r="I4012" s="56"/>
      <c r="J4012" s="66"/>
      <c r="K4012" s="67"/>
      <c r="L4012" s="56"/>
      <c r="M4012" s="67"/>
      <c r="N4012" s="56"/>
      <c r="O4012" s="53"/>
      <c r="P4012" s="68"/>
      <c r="Q4012" s="69"/>
      <c r="R4012" s="68"/>
      <c r="S4012" s="70"/>
      <c r="T4012" s="67"/>
      <c r="U4012" s="56"/>
      <c r="V4012" s="56"/>
      <c r="W4012" s="71"/>
      <c r="X4012" s="71"/>
      <c r="AA4012" s="33"/>
      <c r="AB4012" s="33"/>
      <c r="AC4012" s="33"/>
      <c r="AD4012" s="33"/>
      <c r="AE4012" s="33"/>
      <c r="AF4012" s="33"/>
      <c r="AG4012" s="33"/>
      <c r="AH4012" s="33"/>
      <c r="AI4012" s="33"/>
      <c r="AJ4012" s="33"/>
      <c r="AK4012" s="33"/>
      <c r="AL4012" s="33"/>
      <c r="AM4012" s="33"/>
      <c r="AN4012" s="33"/>
      <c r="AO4012" s="33"/>
    </row>
    <row r="4013" ht="15.75" customHeight="1">
      <c r="A4013" s="72"/>
      <c r="B4013" s="61"/>
      <c r="C4013" s="56"/>
      <c r="D4013" s="67"/>
      <c r="E4013" s="56"/>
      <c r="F4013" s="56"/>
      <c r="G4013" s="62"/>
      <c r="H4013" s="65"/>
      <c r="I4013" s="56"/>
      <c r="J4013" s="66"/>
      <c r="K4013" s="67"/>
      <c r="L4013" s="56"/>
      <c r="M4013" s="67"/>
      <c r="N4013" s="56"/>
      <c r="O4013" s="53"/>
      <c r="P4013" s="68"/>
      <c r="Q4013" s="69"/>
      <c r="R4013" s="68"/>
      <c r="S4013" s="70"/>
      <c r="T4013" s="67"/>
      <c r="U4013" s="56"/>
      <c r="V4013" s="56"/>
      <c r="W4013" s="71"/>
      <c r="X4013" s="71"/>
      <c r="AA4013" s="33"/>
      <c r="AB4013" s="33"/>
      <c r="AC4013" s="33"/>
      <c r="AD4013" s="33"/>
      <c r="AE4013" s="33"/>
      <c r="AF4013" s="33"/>
      <c r="AG4013" s="33"/>
      <c r="AH4013" s="33"/>
      <c r="AI4013" s="33"/>
      <c r="AJ4013" s="33"/>
      <c r="AK4013" s="33"/>
      <c r="AL4013" s="33"/>
      <c r="AM4013" s="33"/>
      <c r="AN4013" s="33"/>
      <c r="AO4013" s="33"/>
    </row>
    <row r="4014" ht="15.75" customHeight="1">
      <c r="A4014" s="72"/>
      <c r="B4014" s="61"/>
      <c r="C4014" s="56"/>
      <c r="D4014" s="67"/>
      <c r="E4014" s="56"/>
      <c r="F4014" s="56"/>
      <c r="G4014" s="62"/>
      <c r="H4014" s="65"/>
      <c r="I4014" s="56"/>
      <c r="J4014" s="66"/>
      <c r="K4014" s="67"/>
      <c r="L4014" s="56"/>
      <c r="M4014" s="67"/>
      <c r="N4014" s="56"/>
      <c r="O4014" s="53"/>
      <c r="P4014" s="68"/>
      <c r="Q4014" s="69"/>
      <c r="R4014" s="68"/>
      <c r="S4014" s="70"/>
      <c r="T4014" s="67"/>
      <c r="U4014" s="56"/>
      <c r="V4014" s="56"/>
      <c r="W4014" s="71"/>
      <c r="X4014" s="71"/>
      <c r="AA4014" s="33"/>
      <c r="AB4014" s="33"/>
      <c r="AC4014" s="33"/>
      <c r="AD4014" s="33"/>
      <c r="AE4014" s="33"/>
      <c r="AF4014" s="33"/>
      <c r="AG4014" s="33"/>
      <c r="AH4014" s="33"/>
      <c r="AI4014" s="33"/>
      <c r="AJ4014" s="33"/>
      <c r="AK4014" s="33"/>
      <c r="AL4014" s="33"/>
      <c r="AM4014" s="33"/>
      <c r="AN4014" s="33"/>
      <c r="AO4014" s="33"/>
    </row>
    <row r="4015" ht="15.75" customHeight="1">
      <c r="A4015" s="72"/>
      <c r="B4015" s="61"/>
      <c r="C4015" s="56"/>
      <c r="D4015" s="67"/>
      <c r="E4015" s="56"/>
      <c r="F4015" s="56"/>
      <c r="G4015" s="62"/>
      <c r="H4015" s="65"/>
      <c r="I4015" s="56"/>
      <c r="J4015" s="66"/>
      <c r="K4015" s="67"/>
      <c r="L4015" s="56"/>
      <c r="M4015" s="67"/>
      <c r="N4015" s="56"/>
      <c r="O4015" s="53"/>
      <c r="P4015" s="68"/>
      <c r="Q4015" s="69"/>
      <c r="R4015" s="68"/>
      <c r="S4015" s="70"/>
      <c r="T4015" s="67"/>
      <c r="U4015" s="56"/>
      <c r="V4015" s="56"/>
      <c r="W4015" s="71"/>
      <c r="X4015" s="71"/>
      <c r="AA4015" s="33"/>
      <c r="AB4015" s="33"/>
      <c r="AC4015" s="33"/>
      <c r="AD4015" s="33"/>
      <c r="AE4015" s="33"/>
      <c r="AF4015" s="33"/>
      <c r="AG4015" s="33"/>
      <c r="AH4015" s="33"/>
      <c r="AI4015" s="33"/>
      <c r="AJ4015" s="33"/>
      <c r="AK4015" s="33"/>
      <c r="AL4015" s="33"/>
      <c r="AM4015" s="33"/>
      <c r="AN4015" s="33"/>
      <c r="AO4015" s="33"/>
    </row>
    <row r="4016" ht="15.75" customHeight="1">
      <c r="A4016" s="72"/>
      <c r="B4016" s="61"/>
      <c r="C4016" s="56"/>
      <c r="D4016" s="67"/>
      <c r="E4016" s="56"/>
      <c r="F4016" s="56"/>
      <c r="G4016" s="62"/>
      <c r="H4016" s="65"/>
      <c r="I4016" s="56"/>
      <c r="J4016" s="66"/>
      <c r="K4016" s="67"/>
      <c r="L4016" s="56"/>
      <c r="M4016" s="67"/>
      <c r="N4016" s="56"/>
      <c r="O4016" s="53"/>
      <c r="P4016" s="68"/>
      <c r="Q4016" s="69"/>
      <c r="R4016" s="68"/>
      <c r="S4016" s="70"/>
      <c r="T4016" s="67"/>
      <c r="U4016" s="56"/>
      <c r="V4016" s="56"/>
      <c r="W4016" s="71"/>
      <c r="X4016" s="71"/>
      <c r="AA4016" s="33"/>
      <c r="AB4016" s="33"/>
      <c r="AC4016" s="33"/>
      <c r="AD4016" s="33"/>
      <c r="AE4016" s="33"/>
      <c r="AF4016" s="33"/>
      <c r="AG4016" s="33"/>
      <c r="AH4016" s="33"/>
      <c r="AI4016" s="33"/>
      <c r="AJ4016" s="33"/>
      <c r="AK4016" s="33"/>
      <c r="AL4016" s="33"/>
      <c r="AM4016" s="33"/>
      <c r="AN4016" s="33"/>
      <c r="AO4016" s="33"/>
    </row>
    <row r="4017" ht="15.75" customHeight="1">
      <c r="A4017" s="72"/>
      <c r="B4017" s="61"/>
      <c r="C4017" s="56"/>
      <c r="D4017" s="67"/>
      <c r="E4017" s="56"/>
      <c r="F4017" s="56"/>
      <c r="G4017" s="62"/>
      <c r="H4017" s="65"/>
      <c r="I4017" s="56"/>
      <c r="J4017" s="66"/>
      <c r="K4017" s="67"/>
      <c r="L4017" s="56"/>
      <c r="M4017" s="67"/>
      <c r="N4017" s="56"/>
      <c r="O4017" s="53"/>
      <c r="P4017" s="68"/>
      <c r="Q4017" s="69"/>
      <c r="R4017" s="68"/>
      <c r="S4017" s="70"/>
      <c r="T4017" s="67"/>
      <c r="U4017" s="56"/>
      <c r="V4017" s="56"/>
      <c r="W4017" s="71"/>
      <c r="X4017" s="71"/>
      <c r="AA4017" s="33"/>
      <c r="AB4017" s="33"/>
      <c r="AC4017" s="33"/>
      <c r="AD4017" s="33"/>
      <c r="AE4017" s="33"/>
      <c r="AF4017" s="33"/>
      <c r="AG4017" s="33"/>
      <c r="AH4017" s="33"/>
      <c r="AI4017" s="33"/>
      <c r="AJ4017" s="33"/>
      <c r="AK4017" s="33"/>
      <c r="AL4017" s="33"/>
      <c r="AM4017" s="33"/>
      <c r="AN4017" s="33"/>
      <c r="AO4017" s="33"/>
    </row>
    <row r="4018" ht="15.75" customHeight="1">
      <c r="A4018" s="72"/>
      <c r="B4018" s="61"/>
      <c r="C4018" s="56"/>
      <c r="D4018" s="67"/>
      <c r="E4018" s="56"/>
      <c r="F4018" s="56"/>
      <c r="G4018" s="62"/>
      <c r="H4018" s="65"/>
      <c r="I4018" s="56"/>
      <c r="J4018" s="66"/>
      <c r="K4018" s="67"/>
      <c r="L4018" s="56"/>
      <c r="M4018" s="67"/>
      <c r="N4018" s="56"/>
      <c r="O4018" s="53"/>
      <c r="P4018" s="68"/>
      <c r="Q4018" s="69"/>
      <c r="R4018" s="68"/>
      <c r="S4018" s="70"/>
      <c r="T4018" s="67"/>
      <c r="U4018" s="56"/>
      <c r="V4018" s="56"/>
      <c r="W4018" s="71"/>
      <c r="X4018" s="71"/>
      <c r="AA4018" s="33"/>
      <c r="AB4018" s="33"/>
      <c r="AC4018" s="33"/>
      <c r="AD4018" s="33"/>
      <c r="AE4018" s="33"/>
      <c r="AF4018" s="33"/>
      <c r="AG4018" s="33"/>
      <c r="AH4018" s="33"/>
      <c r="AI4018" s="33"/>
      <c r="AJ4018" s="33"/>
      <c r="AK4018" s="33"/>
      <c r="AL4018" s="33"/>
      <c r="AM4018" s="33"/>
      <c r="AN4018" s="33"/>
      <c r="AO4018" s="33"/>
    </row>
    <row r="4019" ht="15.75" customHeight="1">
      <c r="A4019" s="72"/>
      <c r="B4019" s="61"/>
      <c r="C4019" s="56"/>
      <c r="D4019" s="67"/>
      <c r="E4019" s="56"/>
      <c r="F4019" s="56"/>
      <c r="G4019" s="62"/>
      <c r="H4019" s="65"/>
      <c r="I4019" s="56"/>
      <c r="J4019" s="66"/>
      <c r="K4019" s="67"/>
      <c r="L4019" s="56"/>
      <c r="M4019" s="67"/>
      <c r="N4019" s="56"/>
      <c r="O4019" s="53"/>
      <c r="P4019" s="68"/>
      <c r="Q4019" s="69"/>
      <c r="R4019" s="68"/>
      <c r="S4019" s="70"/>
      <c r="T4019" s="67"/>
      <c r="U4019" s="56"/>
      <c r="V4019" s="56"/>
      <c r="W4019" s="71"/>
      <c r="X4019" s="71"/>
      <c r="AA4019" s="33"/>
      <c r="AB4019" s="33"/>
      <c r="AC4019" s="33"/>
      <c r="AD4019" s="33"/>
      <c r="AE4019" s="33"/>
      <c r="AF4019" s="33"/>
      <c r="AG4019" s="33"/>
      <c r="AH4019" s="33"/>
      <c r="AI4019" s="33"/>
      <c r="AJ4019" s="33"/>
      <c r="AK4019" s="33"/>
      <c r="AL4019" s="33"/>
      <c r="AM4019" s="33"/>
      <c r="AN4019" s="33"/>
      <c r="AO4019" s="33"/>
    </row>
    <row r="4020" ht="15.75" customHeight="1">
      <c r="A4020" s="72"/>
      <c r="B4020" s="61"/>
      <c r="C4020" s="56"/>
      <c r="D4020" s="67"/>
      <c r="E4020" s="56"/>
      <c r="F4020" s="56"/>
      <c r="G4020" s="62"/>
      <c r="H4020" s="65"/>
      <c r="I4020" s="56"/>
      <c r="J4020" s="66"/>
      <c r="K4020" s="67"/>
      <c r="L4020" s="56"/>
      <c r="M4020" s="67"/>
      <c r="N4020" s="56"/>
      <c r="O4020" s="53"/>
      <c r="P4020" s="68"/>
      <c r="Q4020" s="69"/>
      <c r="R4020" s="68"/>
      <c r="S4020" s="70"/>
      <c r="T4020" s="67"/>
      <c r="U4020" s="56"/>
      <c r="V4020" s="56"/>
      <c r="W4020" s="71"/>
      <c r="X4020" s="71"/>
      <c r="AA4020" s="33"/>
      <c r="AB4020" s="33"/>
      <c r="AC4020" s="33"/>
      <c r="AD4020" s="33"/>
      <c r="AE4020" s="33"/>
      <c r="AF4020" s="33"/>
      <c r="AG4020" s="33"/>
      <c r="AH4020" s="33"/>
      <c r="AI4020" s="33"/>
      <c r="AJ4020" s="33"/>
      <c r="AK4020" s="33"/>
      <c r="AL4020" s="33"/>
      <c r="AM4020" s="33"/>
      <c r="AN4020" s="33"/>
      <c r="AO4020" s="33"/>
    </row>
    <row r="4021" ht="15.75" customHeight="1">
      <c r="A4021" s="72"/>
      <c r="B4021" s="61"/>
      <c r="C4021" s="56"/>
      <c r="D4021" s="67"/>
      <c r="E4021" s="56"/>
      <c r="F4021" s="56"/>
      <c r="G4021" s="62"/>
      <c r="H4021" s="65"/>
      <c r="I4021" s="56"/>
      <c r="J4021" s="66"/>
      <c r="K4021" s="67"/>
      <c r="L4021" s="56"/>
      <c r="M4021" s="67"/>
      <c r="N4021" s="56"/>
      <c r="O4021" s="53"/>
      <c r="P4021" s="68"/>
      <c r="Q4021" s="69"/>
      <c r="R4021" s="68"/>
      <c r="S4021" s="70"/>
      <c r="T4021" s="67"/>
      <c r="U4021" s="56"/>
      <c r="V4021" s="56"/>
      <c r="W4021" s="71"/>
      <c r="X4021" s="71"/>
      <c r="AA4021" s="33"/>
      <c r="AB4021" s="33"/>
      <c r="AC4021" s="33"/>
      <c r="AD4021" s="33"/>
      <c r="AE4021" s="33"/>
      <c r="AF4021" s="33"/>
      <c r="AG4021" s="33"/>
      <c r="AH4021" s="33"/>
      <c r="AI4021" s="33"/>
      <c r="AJ4021" s="33"/>
      <c r="AK4021" s="33"/>
      <c r="AL4021" s="33"/>
      <c r="AM4021" s="33"/>
      <c r="AN4021" s="33"/>
      <c r="AO4021" s="33"/>
    </row>
    <row r="4022" ht="15.75" customHeight="1">
      <c r="A4022" s="72"/>
      <c r="B4022" s="61"/>
      <c r="C4022" s="56"/>
      <c r="D4022" s="67"/>
      <c r="E4022" s="56"/>
      <c r="F4022" s="56"/>
      <c r="G4022" s="62"/>
      <c r="H4022" s="65"/>
      <c r="I4022" s="56"/>
      <c r="J4022" s="66"/>
      <c r="K4022" s="67"/>
      <c r="L4022" s="56"/>
      <c r="M4022" s="67"/>
      <c r="N4022" s="56"/>
      <c r="O4022" s="53"/>
      <c r="P4022" s="68"/>
      <c r="Q4022" s="69"/>
      <c r="R4022" s="68"/>
      <c r="S4022" s="70"/>
      <c r="T4022" s="67"/>
      <c r="U4022" s="56"/>
      <c r="V4022" s="56"/>
      <c r="W4022" s="71"/>
      <c r="X4022" s="71"/>
      <c r="AA4022" s="33"/>
      <c r="AB4022" s="33"/>
      <c r="AC4022" s="33"/>
      <c r="AD4022" s="33"/>
      <c r="AE4022" s="33"/>
      <c r="AF4022" s="33"/>
      <c r="AG4022" s="33"/>
      <c r="AH4022" s="33"/>
      <c r="AI4022" s="33"/>
      <c r="AJ4022" s="33"/>
      <c r="AK4022" s="33"/>
      <c r="AL4022" s="33"/>
      <c r="AM4022" s="33"/>
      <c r="AN4022" s="33"/>
      <c r="AO4022" s="33"/>
    </row>
    <row r="4023" ht="15.75" customHeight="1">
      <c r="A4023" s="72"/>
      <c r="B4023" s="61"/>
      <c r="C4023" s="56"/>
      <c r="D4023" s="67"/>
      <c r="E4023" s="56"/>
      <c r="F4023" s="56"/>
      <c r="G4023" s="62"/>
      <c r="H4023" s="65"/>
      <c r="I4023" s="56"/>
      <c r="J4023" s="66"/>
      <c r="K4023" s="67"/>
      <c r="L4023" s="56"/>
      <c r="M4023" s="67"/>
      <c r="N4023" s="56"/>
      <c r="O4023" s="53"/>
      <c r="P4023" s="68"/>
      <c r="Q4023" s="69"/>
      <c r="R4023" s="68"/>
      <c r="S4023" s="70"/>
      <c r="T4023" s="67"/>
      <c r="U4023" s="56"/>
      <c r="V4023" s="56"/>
      <c r="W4023" s="71"/>
      <c r="X4023" s="71"/>
      <c r="AA4023" s="33"/>
      <c r="AB4023" s="33"/>
      <c r="AC4023" s="33"/>
      <c r="AD4023" s="33"/>
      <c r="AE4023" s="33"/>
      <c r="AF4023" s="33"/>
      <c r="AG4023" s="33"/>
      <c r="AH4023" s="33"/>
      <c r="AI4023" s="33"/>
      <c r="AJ4023" s="33"/>
      <c r="AK4023" s="33"/>
      <c r="AL4023" s="33"/>
      <c r="AM4023" s="33"/>
      <c r="AN4023" s="33"/>
      <c r="AO4023" s="33"/>
    </row>
    <row r="4024" ht="15.75" customHeight="1">
      <c r="A4024" s="72"/>
      <c r="B4024" s="61"/>
      <c r="C4024" s="56"/>
      <c r="D4024" s="67"/>
      <c r="E4024" s="56"/>
      <c r="F4024" s="56"/>
      <c r="G4024" s="62"/>
      <c r="H4024" s="65"/>
      <c r="I4024" s="56"/>
      <c r="J4024" s="66"/>
      <c r="K4024" s="67"/>
      <c r="L4024" s="56"/>
      <c r="M4024" s="67"/>
      <c r="N4024" s="56"/>
      <c r="O4024" s="53"/>
      <c r="P4024" s="68"/>
      <c r="Q4024" s="69"/>
      <c r="R4024" s="68"/>
      <c r="S4024" s="70"/>
      <c r="T4024" s="67"/>
      <c r="U4024" s="56"/>
      <c r="V4024" s="56"/>
      <c r="W4024" s="71"/>
      <c r="X4024" s="71"/>
      <c r="AA4024" s="33"/>
      <c r="AB4024" s="33"/>
      <c r="AC4024" s="33"/>
      <c r="AD4024" s="33"/>
      <c r="AE4024" s="33"/>
      <c r="AF4024" s="33"/>
      <c r="AG4024" s="33"/>
      <c r="AH4024" s="33"/>
      <c r="AI4024" s="33"/>
      <c r="AJ4024" s="33"/>
      <c r="AK4024" s="33"/>
      <c r="AL4024" s="33"/>
      <c r="AM4024" s="33"/>
      <c r="AN4024" s="33"/>
      <c r="AO4024" s="33"/>
    </row>
    <row r="4025" ht="15.75" customHeight="1">
      <c r="A4025" s="72"/>
      <c r="B4025" s="61"/>
      <c r="C4025" s="56"/>
      <c r="D4025" s="67"/>
      <c r="E4025" s="56"/>
      <c r="F4025" s="56"/>
      <c r="G4025" s="62"/>
      <c r="H4025" s="65"/>
      <c r="I4025" s="56"/>
      <c r="J4025" s="66"/>
      <c r="K4025" s="67"/>
      <c r="L4025" s="56"/>
      <c r="M4025" s="67"/>
      <c r="N4025" s="56"/>
      <c r="O4025" s="53"/>
      <c r="P4025" s="68"/>
      <c r="Q4025" s="69"/>
      <c r="R4025" s="68"/>
      <c r="S4025" s="70"/>
      <c r="T4025" s="67"/>
      <c r="U4025" s="56"/>
      <c r="V4025" s="56"/>
      <c r="W4025" s="71"/>
      <c r="X4025" s="71"/>
      <c r="AA4025" s="33"/>
      <c r="AB4025" s="33"/>
      <c r="AC4025" s="33"/>
      <c r="AD4025" s="33"/>
      <c r="AE4025" s="33"/>
      <c r="AF4025" s="33"/>
      <c r="AG4025" s="33"/>
      <c r="AH4025" s="33"/>
      <c r="AI4025" s="33"/>
      <c r="AJ4025" s="33"/>
      <c r="AK4025" s="33"/>
      <c r="AL4025" s="33"/>
      <c r="AM4025" s="33"/>
      <c r="AN4025" s="33"/>
      <c r="AO4025" s="33"/>
    </row>
    <row r="4026" ht="15.75" customHeight="1">
      <c r="A4026" s="72"/>
      <c r="B4026" s="61"/>
      <c r="C4026" s="56"/>
      <c r="D4026" s="67"/>
      <c r="E4026" s="56"/>
      <c r="F4026" s="56"/>
      <c r="G4026" s="62"/>
      <c r="H4026" s="65"/>
      <c r="I4026" s="56"/>
      <c r="J4026" s="66"/>
      <c r="K4026" s="67"/>
      <c r="L4026" s="56"/>
      <c r="M4026" s="67"/>
      <c r="N4026" s="56"/>
      <c r="O4026" s="53"/>
      <c r="P4026" s="68"/>
      <c r="Q4026" s="69"/>
      <c r="R4026" s="68"/>
      <c r="S4026" s="70"/>
      <c r="T4026" s="67"/>
      <c r="U4026" s="56"/>
      <c r="V4026" s="56"/>
      <c r="W4026" s="71"/>
      <c r="X4026" s="71"/>
      <c r="AA4026" s="33"/>
      <c r="AB4026" s="33"/>
      <c r="AC4026" s="33"/>
      <c r="AD4026" s="33"/>
      <c r="AE4026" s="33"/>
      <c r="AF4026" s="33"/>
      <c r="AG4026" s="33"/>
      <c r="AH4026" s="33"/>
      <c r="AI4026" s="33"/>
      <c r="AJ4026" s="33"/>
      <c r="AK4026" s="33"/>
      <c r="AL4026" s="33"/>
      <c r="AM4026" s="33"/>
      <c r="AN4026" s="33"/>
      <c r="AO4026" s="33"/>
    </row>
    <row r="4027" ht="15.75" customHeight="1">
      <c r="A4027" s="72"/>
      <c r="B4027" s="61"/>
      <c r="C4027" s="56"/>
      <c r="D4027" s="67"/>
      <c r="E4027" s="56"/>
      <c r="F4027" s="56"/>
      <c r="G4027" s="62"/>
      <c r="H4027" s="65"/>
      <c r="I4027" s="56"/>
      <c r="J4027" s="66"/>
      <c r="K4027" s="67"/>
      <c r="L4027" s="56"/>
      <c r="M4027" s="67"/>
      <c r="N4027" s="56"/>
      <c r="O4027" s="53"/>
      <c r="P4027" s="68"/>
      <c r="Q4027" s="69"/>
      <c r="R4027" s="68"/>
      <c r="S4027" s="70"/>
      <c r="T4027" s="67"/>
      <c r="U4027" s="56"/>
      <c r="V4027" s="56"/>
      <c r="W4027" s="71"/>
      <c r="X4027" s="71"/>
      <c r="AA4027" s="33"/>
      <c r="AB4027" s="33"/>
      <c r="AC4027" s="33"/>
      <c r="AD4027" s="33"/>
      <c r="AE4027" s="33"/>
      <c r="AF4027" s="33"/>
      <c r="AG4027" s="33"/>
      <c r="AH4027" s="33"/>
      <c r="AI4027" s="33"/>
      <c r="AJ4027" s="33"/>
      <c r="AK4027" s="33"/>
      <c r="AL4027" s="33"/>
      <c r="AM4027" s="33"/>
      <c r="AN4027" s="33"/>
      <c r="AO4027" s="33"/>
    </row>
    <row r="4028" ht="15.75" customHeight="1">
      <c r="A4028" s="72"/>
      <c r="B4028" s="61"/>
      <c r="C4028" s="56"/>
      <c r="D4028" s="67"/>
      <c r="E4028" s="56"/>
      <c r="F4028" s="56"/>
      <c r="G4028" s="62"/>
      <c r="H4028" s="65"/>
      <c r="I4028" s="56"/>
      <c r="J4028" s="66"/>
      <c r="K4028" s="67"/>
      <c r="L4028" s="56"/>
      <c r="M4028" s="67"/>
      <c r="N4028" s="56"/>
      <c r="O4028" s="53"/>
      <c r="P4028" s="68"/>
      <c r="Q4028" s="69"/>
      <c r="R4028" s="68"/>
      <c r="S4028" s="70"/>
      <c r="T4028" s="67"/>
      <c r="U4028" s="56"/>
      <c r="V4028" s="56"/>
      <c r="W4028" s="71"/>
      <c r="X4028" s="71"/>
      <c r="AA4028" s="33"/>
      <c r="AB4028" s="33"/>
      <c r="AC4028" s="33"/>
      <c r="AD4028" s="33"/>
      <c r="AE4028" s="33"/>
      <c r="AF4028" s="33"/>
      <c r="AG4028" s="33"/>
      <c r="AH4028" s="33"/>
      <c r="AI4028" s="33"/>
      <c r="AJ4028" s="33"/>
      <c r="AK4028" s="33"/>
      <c r="AL4028" s="33"/>
      <c r="AM4028" s="33"/>
      <c r="AN4028" s="33"/>
      <c r="AO4028" s="33"/>
    </row>
    <row r="4029" ht="15.75" customHeight="1">
      <c r="A4029" s="72"/>
      <c r="B4029" s="61"/>
      <c r="C4029" s="56"/>
      <c r="D4029" s="67"/>
      <c r="E4029" s="56"/>
      <c r="F4029" s="56"/>
      <c r="G4029" s="62"/>
      <c r="H4029" s="65"/>
      <c r="I4029" s="56"/>
      <c r="J4029" s="66"/>
      <c r="K4029" s="67"/>
      <c r="L4029" s="56"/>
      <c r="M4029" s="67"/>
      <c r="N4029" s="56"/>
      <c r="O4029" s="53"/>
      <c r="P4029" s="68"/>
      <c r="Q4029" s="69"/>
      <c r="R4029" s="68"/>
      <c r="S4029" s="70"/>
      <c r="T4029" s="67"/>
      <c r="U4029" s="56"/>
      <c r="V4029" s="56"/>
      <c r="W4029" s="71"/>
      <c r="X4029" s="71"/>
      <c r="AA4029" s="33"/>
      <c r="AB4029" s="33"/>
      <c r="AC4029" s="33"/>
      <c r="AD4029" s="33"/>
      <c r="AE4029" s="33"/>
      <c r="AF4029" s="33"/>
      <c r="AG4029" s="33"/>
      <c r="AH4029" s="33"/>
      <c r="AI4029" s="33"/>
      <c r="AJ4029" s="33"/>
      <c r="AK4029" s="33"/>
      <c r="AL4029" s="33"/>
      <c r="AM4029" s="33"/>
      <c r="AN4029" s="33"/>
      <c r="AO4029" s="33"/>
    </row>
    <row r="4030" ht="15.75" customHeight="1">
      <c r="A4030" s="72"/>
      <c r="B4030" s="61"/>
      <c r="C4030" s="56"/>
      <c r="D4030" s="67"/>
      <c r="E4030" s="56"/>
      <c r="F4030" s="56"/>
      <c r="G4030" s="62"/>
      <c r="H4030" s="65"/>
      <c r="I4030" s="56"/>
      <c r="J4030" s="66"/>
      <c r="K4030" s="67"/>
      <c r="L4030" s="56"/>
      <c r="M4030" s="67"/>
      <c r="N4030" s="56"/>
      <c r="O4030" s="53"/>
      <c r="P4030" s="68"/>
      <c r="Q4030" s="69"/>
      <c r="R4030" s="68"/>
      <c r="S4030" s="70"/>
      <c r="T4030" s="67"/>
      <c r="U4030" s="56"/>
      <c r="V4030" s="56"/>
      <c r="W4030" s="71"/>
      <c r="X4030" s="71"/>
      <c r="AA4030" s="33"/>
      <c r="AB4030" s="33"/>
      <c r="AC4030" s="33"/>
      <c r="AD4030" s="33"/>
      <c r="AE4030" s="33"/>
      <c r="AF4030" s="33"/>
      <c r="AG4030" s="33"/>
      <c r="AH4030" s="33"/>
      <c r="AI4030" s="33"/>
      <c r="AJ4030" s="33"/>
      <c r="AK4030" s="33"/>
      <c r="AL4030" s="33"/>
      <c r="AM4030" s="33"/>
      <c r="AN4030" s="33"/>
      <c r="AO4030" s="33"/>
    </row>
    <row r="4031" ht="15.75" customHeight="1">
      <c r="A4031" s="72"/>
      <c r="B4031" s="61"/>
      <c r="C4031" s="56"/>
      <c r="D4031" s="67"/>
      <c r="E4031" s="56"/>
      <c r="F4031" s="56"/>
      <c r="G4031" s="62"/>
      <c r="H4031" s="65"/>
      <c r="I4031" s="56"/>
      <c r="J4031" s="66"/>
      <c r="K4031" s="67"/>
      <c r="L4031" s="56"/>
      <c r="M4031" s="67"/>
      <c r="N4031" s="56"/>
      <c r="O4031" s="53"/>
      <c r="P4031" s="68"/>
      <c r="Q4031" s="69"/>
      <c r="R4031" s="68"/>
      <c r="S4031" s="70"/>
      <c r="T4031" s="67"/>
      <c r="U4031" s="56"/>
      <c r="V4031" s="56"/>
      <c r="W4031" s="71"/>
      <c r="X4031" s="71"/>
      <c r="AA4031" s="33"/>
      <c r="AB4031" s="33"/>
      <c r="AC4031" s="33"/>
      <c r="AD4031" s="33"/>
      <c r="AE4031" s="33"/>
      <c r="AF4031" s="33"/>
      <c r="AG4031" s="33"/>
      <c r="AH4031" s="33"/>
      <c r="AI4031" s="33"/>
      <c r="AJ4031" s="33"/>
      <c r="AK4031" s="33"/>
      <c r="AL4031" s="33"/>
      <c r="AM4031" s="33"/>
      <c r="AN4031" s="33"/>
      <c r="AO4031" s="33"/>
    </row>
    <row r="4032" ht="15.75" customHeight="1">
      <c r="A4032" s="72"/>
      <c r="B4032" s="61"/>
      <c r="C4032" s="56"/>
      <c r="D4032" s="67"/>
      <c r="E4032" s="56"/>
      <c r="F4032" s="56"/>
      <c r="G4032" s="62"/>
      <c r="H4032" s="65"/>
      <c r="I4032" s="56"/>
      <c r="J4032" s="66"/>
      <c r="K4032" s="67"/>
      <c r="L4032" s="56"/>
      <c r="M4032" s="67"/>
      <c r="N4032" s="56"/>
      <c r="O4032" s="53"/>
      <c r="P4032" s="68"/>
      <c r="Q4032" s="69"/>
      <c r="R4032" s="68"/>
      <c r="S4032" s="70"/>
      <c r="T4032" s="67"/>
      <c r="U4032" s="56"/>
      <c r="V4032" s="56"/>
      <c r="W4032" s="71"/>
      <c r="X4032" s="71"/>
      <c r="AA4032" s="33"/>
      <c r="AB4032" s="33"/>
      <c r="AC4032" s="33"/>
      <c r="AD4032" s="33"/>
      <c r="AE4032" s="33"/>
      <c r="AF4032" s="33"/>
      <c r="AG4032" s="33"/>
      <c r="AH4032" s="33"/>
      <c r="AI4032" s="33"/>
      <c r="AJ4032" s="33"/>
      <c r="AK4032" s="33"/>
      <c r="AL4032" s="33"/>
      <c r="AM4032" s="33"/>
      <c r="AN4032" s="33"/>
      <c r="AO4032" s="33"/>
    </row>
    <row r="4033" ht="15.75" customHeight="1">
      <c r="A4033" s="72"/>
      <c r="B4033" s="61"/>
      <c r="C4033" s="56"/>
      <c r="D4033" s="67"/>
      <c r="E4033" s="56"/>
      <c r="F4033" s="56"/>
      <c r="G4033" s="62"/>
      <c r="H4033" s="65"/>
      <c r="I4033" s="56"/>
      <c r="J4033" s="66"/>
      <c r="K4033" s="67"/>
      <c r="L4033" s="56"/>
      <c r="M4033" s="67"/>
      <c r="N4033" s="56"/>
      <c r="O4033" s="53"/>
      <c r="P4033" s="68"/>
      <c r="Q4033" s="69"/>
      <c r="R4033" s="68"/>
      <c r="S4033" s="70"/>
      <c r="T4033" s="67"/>
      <c r="U4033" s="56"/>
      <c r="V4033" s="56"/>
      <c r="W4033" s="71"/>
      <c r="X4033" s="71"/>
      <c r="AA4033" s="33"/>
      <c r="AB4033" s="33"/>
      <c r="AC4033" s="33"/>
      <c r="AD4033" s="33"/>
      <c r="AE4033" s="33"/>
      <c r="AF4033" s="33"/>
      <c r="AG4033" s="33"/>
      <c r="AH4033" s="33"/>
      <c r="AI4033" s="33"/>
      <c r="AJ4033" s="33"/>
      <c r="AK4033" s="33"/>
      <c r="AL4033" s="33"/>
      <c r="AM4033" s="33"/>
      <c r="AN4033" s="33"/>
      <c r="AO4033" s="33"/>
    </row>
    <row r="4034" ht="15.75" customHeight="1">
      <c r="A4034" s="72"/>
      <c r="B4034" s="61"/>
      <c r="C4034" s="56"/>
      <c r="D4034" s="67"/>
      <c r="E4034" s="56"/>
      <c r="F4034" s="56"/>
      <c r="G4034" s="62"/>
      <c r="H4034" s="65"/>
      <c r="I4034" s="56"/>
      <c r="J4034" s="66"/>
      <c r="K4034" s="67"/>
      <c r="L4034" s="56"/>
      <c r="M4034" s="67"/>
      <c r="N4034" s="56"/>
      <c r="O4034" s="53"/>
      <c r="P4034" s="68"/>
      <c r="Q4034" s="69"/>
      <c r="R4034" s="68"/>
      <c r="S4034" s="70"/>
      <c r="T4034" s="67"/>
      <c r="U4034" s="56"/>
      <c r="V4034" s="56"/>
      <c r="W4034" s="71"/>
      <c r="X4034" s="71"/>
      <c r="AA4034" s="33"/>
      <c r="AB4034" s="33"/>
      <c r="AC4034" s="33"/>
      <c r="AD4034" s="33"/>
      <c r="AE4034" s="33"/>
      <c r="AF4034" s="33"/>
      <c r="AG4034" s="33"/>
      <c r="AH4034" s="33"/>
      <c r="AI4034" s="33"/>
      <c r="AJ4034" s="33"/>
      <c r="AK4034" s="33"/>
      <c r="AL4034" s="33"/>
      <c r="AM4034" s="33"/>
      <c r="AN4034" s="33"/>
      <c r="AO4034" s="33"/>
    </row>
    <row r="4035" ht="15.75" customHeight="1">
      <c r="A4035" s="72"/>
      <c r="B4035" s="61"/>
      <c r="C4035" s="56"/>
      <c r="D4035" s="67"/>
      <c r="E4035" s="56"/>
      <c r="F4035" s="56"/>
      <c r="G4035" s="62"/>
      <c r="H4035" s="65"/>
      <c r="I4035" s="56"/>
      <c r="J4035" s="66"/>
      <c r="K4035" s="67"/>
      <c r="L4035" s="56"/>
      <c r="M4035" s="67"/>
      <c r="N4035" s="56"/>
      <c r="O4035" s="53"/>
      <c r="P4035" s="68"/>
      <c r="Q4035" s="69"/>
      <c r="R4035" s="68"/>
      <c r="S4035" s="70"/>
      <c r="T4035" s="67"/>
      <c r="U4035" s="56"/>
      <c r="V4035" s="56"/>
      <c r="W4035" s="71"/>
      <c r="X4035" s="71"/>
      <c r="AA4035" s="33"/>
      <c r="AB4035" s="33"/>
      <c r="AC4035" s="33"/>
      <c r="AD4035" s="33"/>
      <c r="AE4035" s="33"/>
      <c r="AF4035" s="33"/>
      <c r="AG4035" s="33"/>
      <c r="AH4035" s="33"/>
      <c r="AI4035" s="33"/>
      <c r="AJ4035" s="33"/>
      <c r="AK4035" s="33"/>
      <c r="AL4035" s="33"/>
      <c r="AM4035" s="33"/>
      <c r="AN4035" s="33"/>
      <c r="AO4035" s="33"/>
    </row>
    <row r="4036" ht="15.75" customHeight="1">
      <c r="A4036" s="72"/>
      <c r="B4036" s="61"/>
      <c r="C4036" s="56"/>
      <c r="D4036" s="67"/>
      <c r="E4036" s="56"/>
      <c r="F4036" s="56"/>
      <c r="G4036" s="62"/>
      <c r="H4036" s="65"/>
      <c r="I4036" s="56"/>
      <c r="J4036" s="66"/>
      <c r="K4036" s="67"/>
      <c r="L4036" s="56"/>
      <c r="M4036" s="67"/>
      <c r="N4036" s="56"/>
      <c r="O4036" s="53"/>
      <c r="P4036" s="68"/>
      <c r="Q4036" s="69"/>
      <c r="R4036" s="68"/>
      <c r="S4036" s="70"/>
      <c r="T4036" s="67"/>
      <c r="U4036" s="56"/>
      <c r="V4036" s="56"/>
      <c r="W4036" s="71"/>
      <c r="X4036" s="71"/>
      <c r="AA4036" s="33"/>
      <c r="AB4036" s="33"/>
      <c r="AC4036" s="33"/>
      <c r="AD4036" s="33"/>
      <c r="AE4036" s="33"/>
      <c r="AF4036" s="33"/>
      <c r="AG4036" s="33"/>
      <c r="AH4036" s="33"/>
      <c r="AI4036" s="33"/>
      <c r="AJ4036" s="33"/>
      <c r="AK4036" s="33"/>
      <c r="AL4036" s="33"/>
      <c r="AM4036" s="33"/>
      <c r="AN4036" s="33"/>
      <c r="AO4036" s="33"/>
    </row>
    <row r="4037" ht="15.75" customHeight="1">
      <c r="A4037" s="72"/>
      <c r="B4037" s="61"/>
      <c r="C4037" s="56"/>
      <c r="D4037" s="67"/>
      <c r="E4037" s="56"/>
      <c r="F4037" s="56"/>
      <c r="G4037" s="62"/>
      <c r="H4037" s="65"/>
      <c r="I4037" s="56"/>
      <c r="J4037" s="66"/>
      <c r="K4037" s="67"/>
      <c r="L4037" s="56"/>
      <c r="M4037" s="67"/>
      <c r="N4037" s="56"/>
      <c r="O4037" s="53"/>
      <c r="P4037" s="68"/>
      <c r="Q4037" s="69"/>
      <c r="R4037" s="68"/>
      <c r="S4037" s="70"/>
      <c r="T4037" s="67"/>
      <c r="U4037" s="56"/>
      <c r="V4037" s="56"/>
      <c r="W4037" s="71"/>
      <c r="X4037" s="71"/>
      <c r="AA4037" s="33"/>
      <c r="AB4037" s="33"/>
      <c r="AC4037" s="33"/>
      <c r="AD4037" s="33"/>
      <c r="AE4037" s="33"/>
      <c r="AF4037" s="33"/>
      <c r="AG4037" s="33"/>
      <c r="AH4037" s="33"/>
      <c r="AI4037" s="33"/>
      <c r="AJ4037" s="33"/>
      <c r="AK4037" s="33"/>
      <c r="AL4037" s="33"/>
      <c r="AM4037" s="33"/>
      <c r="AN4037" s="33"/>
      <c r="AO4037" s="33"/>
    </row>
    <row r="4038" ht="15.75" customHeight="1">
      <c r="A4038" s="72"/>
      <c r="B4038" s="61"/>
      <c r="C4038" s="56"/>
      <c r="D4038" s="67"/>
      <c r="E4038" s="56"/>
      <c r="F4038" s="56"/>
      <c r="G4038" s="62"/>
      <c r="H4038" s="65"/>
      <c r="I4038" s="56"/>
      <c r="J4038" s="66"/>
      <c r="K4038" s="67"/>
      <c r="L4038" s="56"/>
      <c r="M4038" s="67"/>
      <c r="N4038" s="56"/>
      <c r="O4038" s="53"/>
      <c r="P4038" s="68"/>
      <c r="Q4038" s="69"/>
      <c r="R4038" s="68"/>
      <c r="S4038" s="70"/>
      <c r="T4038" s="67"/>
      <c r="U4038" s="56"/>
      <c r="V4038" s="56"/>
      <c r="W4038" s="71"/>
      <c r="X4038" s="71"/>
      <c r="AA4038" s="33"/>
      <c r="AB4038" s="33"/>
      <c r="AC4038" s="33"/>
      <c r="AD4038" s="33"/>
      <c r="AE4038" s="33"/>
      <c r="AF4038" s="33"/>
      <c r="AG4038" s="33"/>
      <c r="AH4038" s="33"/>
      <c r="AI4038" s="33"/>
      <c r="AJ4038" s="33"/>
      <c r="AK4038" s="33"/>
      <c r="AL4038" s="33"/>
      <c r="AM4038" s="33"/>
      <c r="AN4038" s="33"/>
      <c r="AO4038" s="33"/>
    </row>
    <row r="4039" ht="15.75" customHeight="1">
      <c r="A4039" s="72"/>
      <c r="B4039" s="61"/>
      <c r="C4039" s="56"/>
      <c r="D4039" s="67"/>
      <c r="E4039" s="56"/>
      <c r="F4039" s="56"/>
      <c r="G4039" s="62"/>
      <c r="H4039" s="65"/>
      <c r="I4039" s="56"/>
      <c r="J4039" s="66"/>
      <c r="K4039" s="67"/>
      <c r="L4039" s="56"/>
      <c r="M4039" s="67"/>
      <c r="N4039" s="56"/>
      <c r="O4039" s="53"/>
      <c r="P4039" s="68"/>
      <c r="Q4039" s="69"/>
      <c r="R4039" s="68"/>
      <c r="S4039" s="70"/>
      <c r="T4039" s="67"/>
      <c r="U4039" s="56"/>
      <c r="V4039" s="56"/>
      <c r="W4039" s="71"/>
      <c r="X4039" s="71"/>
      <c r="AA4039" s="33"/>
      <c r="AB4039" s="33"/>
      <c r="AC4039" s="33"/>
      <c r="AD4039" s="33"/>
      <c r="AE4039" s="33"/>
      <c r="AF4039" s="33"/>
      <c r="AG4039" s="33"/>
      <c r="AH4039" s="33"/>
      <c r="AI4039" s="33"/>
      <c r="AJ4039" s="33"/>
      <c r="AK4039" s="33"/>
      <c r="AL4039" s="33"/>
      <c r="AM4039" s="33"/>
      <c r="AN4039" s="33"/>
      <c r="AO4039" s="33"/>
    </row>
    <row r="4040" ht="15.75" customHeight="1">
      <c r="A4040" s="72"/>
      <c r="B4040" s="61"/>
      <c r="C4040" s="56"/>
      <c r="D4040" s="67"/>
      <c r="E4040" s="56"/>
      <c r="F4040" s="56"/>
      <c r="G4040" s="62"/>
      <c r="H4040" s="65"/>
      <c r="I4040" s="56"/>
      <c r="J4040" s="66"/>
      <c r="K4040" s="67"/>
      <c r="L4040" s="56"/>
      <c r="M4040" s="67"/>
      <c r="N4040" s="56"/>
      <c r="O4040" s="53"/>
      <c r="P4040" s="68"/>
      <c r="Q4040" s="69"/>
      <c r="R4040" s="68"/>
      <c r="S4040" s="70"/>
      <c r="T4040" s="67"/>
      <c r="U4040" s="56"/>
      <c r="V4040" s="56"/>
      <c r="W4040" s="71"/>
      <c r="X4040" s="71"/>
      <c r="AA4040" s="33"/>
      <c r="AB4040" s="33"/>
      <c r="AC4040" s="33"/>
      <c r="AD4040" s="33"/>
      <c r="AE4040" s="33"/>
      <c r="AF4040" s="33"/>
      <c r="AG4040" s="33"/>
      <c r="AH4040" s="33"/>
      <c r="AI4040" s="33"/>
      <c r="AJ4040" s="33"/>
      <c r="AK4040" s="33"/>
      <c r="AL4040" s="33"/>
      <c r="AM4040" s="33"/>
      <c r="AN4040" s="33"/>
      <c r="AO4040" s="33"/>
    </row>
    <row r="4041" ht="15.75" customHeight="1">
      <c r="A4041" s="72"/>
      <c r="B4041" s="61"/>
      <c r="C4041" s="56"/>
      <c r="D4041" s="67"/>
      <c r="E4041" s="56"/>
      <c r="F4041" s="56"/>
      <c r="G4041" s="62"/>
      <c r="H4041" s="65"/>
      <c r="I4041" s="56"/>
      <c r="J4041" s="66"/>
      <c r="K4041" s="67"/>
      <c r="L4041" s="56"/>
      <c r="M4041" s="67"/>
      <c r="N4041" s="56"/>
      <c r="O4041" s="53"/>
      <c r="P4041" s="68"/>
      <c r="Q4041" s="69"/>
      <c r="R4041" s="68"/>
      <c r="S4041" s="70"/>
      <c r="T4041" s="67"/>
      <c r="U4041" s="56"/>
      <c r="V4041" s="56"/>
      <c r="W4041" s="71"/>
      <c r="X4041" s="71"/>
      <c r="AA4041" s="33"/>
      <c r="AB4041" s="33"/>
      <c r="AC4041" s="33"/>
      <c r="AD4041" s="33"/>
      <c r="AE4041" s="33"/>
      <c r="AF4041" s="33"/>
      <c r="AG4041" s="33"/>
      <c r="AH4041" s="33"/>
      <c r="AI4041" s="33"/>
      <c r="AJ4041" s="33"/>
      <c r="AK4041" s="33"/>
      <c r="AL4041" s="33"/>
      <c r="AM4041" s="33"/>
      <c r="AN4041" s="33"/>
      <c r="AO4041" s="33"/>
    </row>
    <row r="4042" ht="15.75" customHeight="1">
      <c r="A4042" s="72"/>
      <c r="B4042" s="61"/>
      <c r="C4042" s="56"/>
      <c r="D4042" s="67"/>
      <c r="E4042" s="56"/>
      <c r="F4042" s="56"/>
      <c r="G4042" s="62"/>
      <c r="H4042" s="65"/>
      <c r="I4042" s="56"/>
      <c r="J4042" s="66"/>
      <c r="K4042" s="67"/>
      <c r="L4042" s="56"/>
      <c r="M4042" s="67"/>
      <c r="N4042" s="56"/>
      <c r="O4042" s="53"/>
      <c r="P4042" s="68"/>
      <c r="Q4042" s="69"/>
      <c r="R4042" s="68"/>
      <c r="S4042" s="70"/>
      <c r="T4042" s="67"/>
      <c r="U4042" s="56"/>
      <c r="V4042" s="56"/>
      <c r="W4042" s="71"/>
      <c r="X4042" s="71"/>
      <c r="AA4042" s="33"/>
      <c r="AB4042" s="33"/>
      <c r="AC4042" s="33"/>
      <c r="AD4042" s="33"/>
      <c r="AE4042" s="33"/>
      <c r="AF4042" s="33"/>
      <c r="AG4042" s="33"/>
      <c r="AH4042" s="33"/>
      <c r="AI4042" s="33"/>
      <c r="AJ4042" s="33"/>
      <c r="AK4042" s="33"/>
      <c r="AL4042" s="33"/>
      <c r="AM4042" s="33"/>
      <c r="AN4042" s="33"/>
      <c r="AO4042" s="33"/>
    </row>
    <row r="4043" ht="15.75" customHeight="1">
      <c r="A4043" s="72"/>
      <c r="B4043" s="61"/>
      <c r="C4043" s="56"/>
      <c r="D4043" s="67"/>
      <c r="E4043" s="56"/>
      <c r="F4043" s="56"/>
      <c r="G4043" s="62"/>
      <c r="H4043" s="65"/>
      <c r="I4043" s="56"/>
      <c r="J4043" s="66"/>
      <c r="K4043" s="67"/>
      <c r="L4043" s="56"/>
      <c r="M4043" s="67"/>
      <c r="N4043" s="56"/>
      <c r="O4043" s="53"/>
      <c r="P4043" s="68"/>
      <c r="Q4043" s="69"/>
      <c r="R4043" s="68"/>
      <c r="S4043" s="70"/>
      <c r="T4043" s="67"/>
      <c r="U4043" s="56"/>
      <c r="V4043" s="56"/>
      <c r="W4043" s="71"/>
      <c r="X4043" s="71"/>
      <c r="AA4043" s="33"/>
      <c r="AB4043" s="33"/>
      <c r="AC4043" s="33"/>
      <c r="AD4043" s="33"/>
      <c r="AE4043" s="33"/>
      <c r="AF4043" s="33"/>
      <c r="AG4043" s="33"/>
      <c r="AH4043" s="33"/>
      <c r="AI4043" s="33"/>
      <c r="AJ4043" s="33"/>
      <c r="AK4043" s="33"/>
      <c r="AL4043" s="33"/>
      <c r="AM4043" s="33"/>
      <c r="AN4043" s="33"/>
      <c r="AO4043" s="33"/>
    </row>
    <row r="4044" ht="15.75" customHeight="1">
      <c r="A4044" s="72"/>
      <c r="B4044" s="61"/>
      <c r="C4044" s="56"/>
      <c r="D4044" s="67"/>
      <c r="E4044" s="56"/>
      <c r="F4044" s="56"/>
      <c r="G4044" s="62"/>
      <c r="H4044" s="65"/>
      <c r="I4044" s="56"/>
      <c r="J4044" s="66"/>
      <c r="K4044" s="67"/>
      <c r="L4044" s="56"/>
      <c r="M4044" s="67"/>
      <c r="N4044" s="56"/>
      <c r="O4044" s="53"/>
      <c r="P4044" s="68"/>
      <c r="Q4044" s="69"/>
      <c r="R4044" s="68"/>
      <c r="S4044" s="70"/>
      <c r="T4044" s="67"/>
      <c r="U4044" s="56"/>
      <c r="V4044" s="56"/>
      <c r="W4044" s="71"/>
      <c r="X4044" s="71"/>
      <c r="AA4044" s="33"/>
      <c r="AB4044" s="33"/>
      <c r="AC4044" s="33"/>
      <c r="AD4044" s="33"/>
      <c r="AE4044" s="33"/>
      <c r="AF4044" s="33"/>
      <c r="AG4044" s="33"/>
      <c r="AH4044" s="33"/>
      <c r="AI4044" s="33"/>
      <c r="AJ4044" s="33"/>
      <c r="AK4044" s="33"/>
      <c r="AL4044" s="33"/>
      <c r="AM4044" s="33"/>
      <c r="AN4044" s="33"/>
      <c r="AO4044" s="33"/>
    </row>
    <row r="4045" ht="15.75" customHeight="1">
      <c r="A4045" s="72"/>
      <c r="B4045" s="61"/>
      <c r="C4045" s="56"/>
      <c r="D4045" s="67"/>
      <c r="E4045" s="56"/>
      <c r="F4045" s="56"/>
      <c r="G4045" s="62"/>
      <c r="H4045" s="65"/>
      <c r="I4045" s="56"/>
      <c r="J4045" s="66"/>
      <c r="K4045" s="67"/>
      <c r="L4045" s="56"/>
      <c r="M4045" s="67"/>
      <c r="N4045" s="56"/>
      <c r="O4045" s="53"/>
      <c r="P4045" s="68"/>
      <c r="Q4045" s="69"/>
      <c r="R4045" s="68"/>
      <c r="S4045" s="70"/>
      <c r="T4045" s="67"/>
      <c r="U4045" s="56"/>
      <c r="V4045" s="56"/>
      <c r="W4045" s="71"/>
      <c r="X4045" s="71"/>
      <c r="AA4045" s="33"/>
      <c r="AB4045" s="33"/>
      <c r="AC4045" s="33"/>
      <c r="AD4045" s="33"/>
      <c r="AE4045" s="33"/>
      <c r="AF4045" s="33"/>
      <c r="AG4045" s="33"/>
      <c r="AH4045" s="33"/>
      <c r="AI4045" s="33"/>
      <c r="AJ4045" s="33"/>
      <c r="AK4045" s="33"/>
      <c r="AL4045" s="33"/>
      <c r="AM4045" s="33"/>
      <c r="AN4045" s="33"/>
      <c r="AO4045" s="33"/>
    </row>
    <row r="4046" ht="15.75" customHeight="1">
      <c r="A4046" s="72"/>
      <c r="B4046" s="61"/>
      <c r="C4046" s="56"/>
      <c r="D4046" s="67"/>
      <c r="E4046" s="56"/>
      <c r="F4046" s="56"/>
      <c r="G4046" s="62"/>
      <c r="H4046" s="65"/>
      <c r="I4046" s="56"/>
      <c r="J4046" s="66"/>
      <c r="K4046" s="67"/>
      <c r="L4046" s="56"/>
      <c r="M4046" s="67"/>
      <c r="N4046" s="56"/>
      <c r="O4046" s="53"/>
      <c r="P4046" s="68"/>
      <c r="Q4046" s="69"/>
      <c r="R4046" s="68"/>
      <c r="S4046" s="70"/>
      <c r="T4046" s="67"/>
      <c r="U4046" s="56"/>
      <c r="V4046" s="56"/>
      <c r="W4046" s="71"/>
      <c r="X4046" s="71"/>
      <c r="AA4046" s="33"/>
      <c r="AB4046" s="33"/>
      <c r="AC4046" s="33"/>
      <c r="AD4046" s="33"/>
      <c r="AE4046" s="33"/>
      <c r="AF4046" s="33"/>
      <c r="AG4046" s="33"/>
      <c r="AH4046" s="33"/>
      <c r="AI4046" s="33"/>
      <c r="AJ4046" s="33"/>
      <c r="AK4046" s="33"/>
      <c r="AL4046" s="33"/>
      <c r="AM4046" s="33"/>
      <c r="AN4046" s="33"/>
      <c r="AO4046" s="33"/>
    </row>
    <row r="4047" ht="15.75" customHeight="1">
      <c r="A4047" s="72"/>
      <c r="B4047" s="61"/>
      <c r="C4047" s="56"/>
      <c r="D4047" s="67"/>
      <c r="E4047" s="56"/>
      <c r="F4047" s="56"/>
      <c r="G4047" s="62"/>
      <c r="H4047" s="65"/>
      <c r="I4047" s="56"/>
      <c r="J4047" s="66"/>
      <c r="K4047" s="67"/>
      <c r="L4047" s="56"/>
      <c r="M4047" s="67"/>
      <c r="N4047" s="56"/>
      <c r="O4047" s="53"/>
      <c r="P4047" s="68"/>
      <c r="Q4047" s="69"/>
      <c r="R4047" s="68"/>
      <c r="S4047" s="70"/>
      <c r="T4047" s="67"/>
      <c r="U4047" s="56"/>
      <c r="V4047" s="56"/>
      <c r="W4047" s="71"/>
      <c r="X4047" s="71"/>
      <c r="AA4047" s="33"/>
      <c r="AB4047" s="33"/>
      <c r="AC4047" s="33"/>
      <c r="AD4047" s="33"/>
      <c r="AE4047" s="33"/>
      <c r="AF4047" s="33"/>
      <c r="AG4047" s="33"/>
      <c r="AH4047" s="33"/>
      <c r="AI4047" s="33"/>
      <c r="AJ4047" s="33"/>
      <c r="AK4047" s="33"/>
      <c r="AL4047" s="33"/>
      <c r="AM4047" s="33"/>
      <c r="AN4047" s="33"/>
      <c r="AO4047" s="33"/>
    </row>
    <row r="4048" ht="15.75" customHeight="1">
      <c r="A4048" s="72"/>
      <c r="B4048" s="61"/>
      <c r="C4048" s="56"/>
      <c r="D4048" s="67"/>
      <c r="E4048" s="56"/>
      <c r="F4048" s="56"/>
      <c r="G4048" s="62"/>
      <c r="H4048" s="65"/>
      <c r="I4048" s="56"/>
      <c r="J4048" s="66"/>
      <c r="K4048" s="67"/>
      <c r="L4048" s="56"/>
      <c r="M4048" s="67"/>
      <c r="N4048" s="56"/>
      <c r="O4048" s="53"/>
      <c r="P4048" s="68"/>
      <c r="Q4048" s="69"/>
      <c r="R4048" s="68"/>
      <c r="S4048" s="70"/>
      <c r="T4048" s="67"/>
      <c r="U4048" s="56"/>
      <c r="V4048" s="56"/>
      <c r="W4048" s="71"/>
      <c r="X4048" s="71"/>
      <c r="AA4048" s="33"/>
      <c r="AB4048" s="33"/>
      <c r="AC4048" s="33"/>
      <c r="AD4048" s="33"/>
      <c r="AE4048" s="33"/>
      <c r="AF4048" s="33"/>
      <c r="AG4048" s="33"/>
      <c r="AH4048" s="33"/>
      <c r="AI4048" s="33"/>
      <c r="AJ4048" s="33"/>
      <c r="AK4048" s="33"/>
      <c r="AL4048" s="33"/>
      <c r="AM4048" s="33"/>
      <c r="AN4048" s="33"/>
      <c r="AO4048" s="33"/>
    </row>
    <row r="4049" ht="15.75" customHeight="1">
      <c r="A4049" s="72"/>
      <c r="B4049" s="61"/>
      <c r="C4049" s="56"/>
      <c r="D4049" s="67"/>
      <c r="E4049" s="56"/>
      <c r="F4049" s="56"/>
      <c r="G4049" s="62"/>
      <c r="H4049" s="65"/>
      <c r="I4049" s="56"/>
      <c r="J4049" s="66"/>
      <c r="K4049" s="67"/>
      <c r="L4049" s="56"/>
      <c r="M4049" s="67"/>
      <c r="N4049" s="56"/>
      <c r="O4049" s="53"/>
      <c r="P4049" s="68"/>
      <c r="Q4049" s="69"/>
      <c r="R4049" s="68"/>
      <c r="S4049" s="70"/>
      <c r="T4049" s="67"/>
      <c r="U4049" s="56"/>
      <c r="V4049" s="56"/>
      <c r="W4049" s="71"/>
      <c r="X4049" s="71"/>
      <c r="AA4049" s="33"/>
      <c r="AB4049" s="33"/>
      <c r="AC4049" s="33"/>
      <c r="AD4049" s="33"/>
      <c r="AE4049" s="33"/>
      <c r="AF4049" s="33"/>
      <c r="AG4049" s="33"/>
      <c r="AH4049" s="33"/>
      <c r="AI4049" s="33"/>
      <c r="AJ4049" s="33"/>
      <c r="AK4049" s="33"/>
      <c r="AL4049" s="33"/>
      <c r="AM4049" s="33"/>
      <c r="AN4049" s="33"/>
      <c r="AO4049" s="33"/>
    </row>
    <row r="4050" ht="15.75" customHeight="1">
      <c r="A4050" s="72"/>
      <c r="B4050" s="61"/>
      <c r="C4050" s="56"/>
      <c r="D4050" s="67"/>
      <c r="E4050" s="56"/>
      <c r="F4050" s="56"/>
      <c r="G4050" s="62"/>
      <c r="H4050" s="65"/>
      <c r="I4050" s="56"/>
      <c r="J4050" s="66"/>
      <c r="K4050" s="67"/>
      <c r="L4050" s="56"/>
      <c r="M4050" s="67"/>
      <c r="N4050" s="56"/>
      <c r="O4050" s="53"/>
      <c r="P4050" s="68"/>
      <c r="Q4050" s="69"/>
      <c r="R4050" s="68"/>
      <c r="S4050" s="70"/>
      <c r="T4050" s="67"/>
      <c r="U4050" s="56"/>
      <c r="V4050" s="56"/>
      <c r="W4050" s="71"/>
      <c r="X4050" s="71"/>
      <c r="AA4050" s="33"/>
      <c r="AB4050" s="33"/>
      <c r="AC4050" s="33"/>
      <c r="AD4050" s="33"/>
      <c r="AE4050" s="33"/>
      <c r="AF4050" s="33"/>
      <c r="AG4050" s="33"/>
      <c r="AH4050" s="33"/>
      <c r="AI4050" s="33"/>
      <c r="AJ4050" s="33"/>
      <c r="AK4050" s="33"/>
      <c r="AL4050" s="33"/>
      <c r="AM4050" s="33"/>
      <c r="AN4050" s="33"/>
      <c r="AO4050" s="33"/>
    </row>
    <row r="4051" ht="15.75" customHeight="1">
      <c r="A4051" s="72"/>
      <c r="B4051" s="61"/>
      <c r="C4051" s="56"/>
      <c r="D4051" s="67"/>
      <c r="E4051" s="56"/>
      <c r="F4051" s="56"/>
      <c r="G4051" s="62"/>
      <c r="H4051" s="65"/>
      <c r="I4051" s="56"/>
      <c r="J4051" s="66"/>
      <c r="K4051" s="67"/>
      <c r="L4051" s="56"/>
      <c r="M4051" s="67"/>
      <c r="N4051" s="56"/>
      <c r="O4051" s="53"/>
      <c r="P4051" s="68"/>
      <c r="Q4051" s="69"/>
      <c r="R4051" s="68"/>
      <c r="S4051" s="70"/>
      <c r="T4051" s="67"/>
      <c r="U4051" s="56"/>
      <c r="V4051" s="56"/>
      <c r="W4051" s="71"/>
      <c r="X4051" s="71"/>
      <c r="AA4051" s="33"/>
      <c r="AB4051" s="33"/>
      <c r="AC4051" s="33"/>
      <c r="AD4051" s="33"/>
      <c r="AE4051" s="33"/>
      <c r="AF4051" s="33"/>
      <c r="AG4051" s="33"/>
      <c r="AH4051" s="33"/>
      <c r="AI4051" s="33"/>
      <c r="AJ4051" s="33"/>
      <c r="AK4051" s="33"/>
      <c r="AL4051" s="33"/>
      <c r="AM4051" s="33"/>
      <c r="AN4051" s="33"/>
      <c r="AO4051" s="33"/>
    </row>
    <row r="4052" ht="15.75" customHeight="1">
      <c r="A4052" s="72"/>
      <c r="B4052" s="61"/>
      <c r="C4052" s="56"/>
      <c r="D4052" s="67"/>
      <c r="E4052" s="56"/>
      <c r="F4052" s="56"/>
      <c r="G4052" s="62"/>
      <c r="H4052" s="65"/>
      <c r="I4052" s="56"/>
      <c r="J4052" s="66"/>
      <c r="K4052" s="67"/>
      <c r="L4052" s="56"/>
      <c r="M4052" s="67"/>
      <c r="N4052" s="56"/>
      <c r="O4052" s="53"/>
      <c r="P4052" s="68"/>
      <c r="Q4052" s="69"/>
      <c r="R4052" s="68"/>
      <c r="S4052" s="70"/>
      <c r="T4052" s="67"/>
      <c r="U4052" s="56"/>
      <c r="V4052" s="56"/>
      <c r="W4052" s="71"/>
      <c r="X4052" s="71"/>
      <c r="AA4052" s="33"/>
      <c r="AB4052" s="33"/>
      <c r="AC4052" s="33"/>
      <c r="AD4052" s="33"/>
      <c r="AE4052" s="33"/>
      <c r="AF4052" s="33"/>
      <c r="AG4052" s="33"/>
      <c r="AH4052" s="33"/>
      <c r="AI4052" s="33"/>
      <c r="AJ4052" s="33"/>
      <c r="AK4052" s="33"/>
      <c r="AL4052" s="33"/>
      <c r="AM4052" s="33"/>
      <c r="AN4052" s="33"/>
      <c r="AO4052" s="33"/>
    </row>
    <row r="4053" ht="15.75" customHeight="1">
      <c r="A4053" s="72"/>
      <c r="B4053" s="61"/>
      <c r="C4053" s="56"/>
      <c r="D4053" s="67"/>
      <c r="E4053" s="56"/>
      <c r="F4053" s="56"/>
      <c r="G4053" s="62"/>
      <c r="H4053" s="65"/>
      <c r="I4053" s="56"/>
      <c r="J4053" s="66"/>
      <c r="K4053" s="67"/>
      <c r="L4053" s="56"/>
      <c r="M4053" s="67"/>
      <c r="N4053" s="56"/>
      <c r="O4053" s="53"/>
      <c r="P4053" s="68"/>
      <c r="Q4053" s="69"/>
      <c r="R4053" s="68"/>
      <c r="S4053" s="70"/>
      <c r="T4053" s="67"/>
      <c r="U4053" s="56"/>
      <c r="V4053" s="56"/>
      <c r="W4053" s="71"/>
      <c r="X4053" s="71"/>
      <c r="AA4053" s="33"/>
      <c r="AB4053" s="33"/>
      <c r="AC4053" s="33"/>
      <c r="AD4053" s="33"/>
      <c r="AE4053" s="33"/>
      <c r="AF4053" s="33"/>
      <c r="AG4053" s="33"/>
      <c r="AH4053" s="33"/>
      <c r="AI4053" s="33"/>
      <c r="AJ4053" s="33"/>
      <c r="AK4053" s="33"/>
      <c r="AL4053" s="33"/>
      <c r="AM4053" s="33"/>
      <c r="AN4053" s="33"/>
      <c r="AO4053" s="33"/>
    </row>
    <row r="4054" ht="15.75" customHeight="1">
      <c r="A4054" s="72"/>
      <c r="B4054" s="61"/>
      <c r="C4054" s="56"/>
      <c r="D4054" s="67"/>
      <c r="E4054" s="56"/>
      <c r="F4054" s="56"/>
      <c r="G4054" s="62"/>
      <c r="H4054" s="65"/>
      <c r="I4054" s="56"/>
      <c r="J4054" s="66"/>
      <c r="K4054" s="67"/>
      <c r="L4054" s="56"/>
      <c r="M4054" s="67"/>
      <c r="N4054" s="56"/>
      <c r="O4054" s="53"/>
      <c r="P4054" s="68"/>
      <c r="Q4054" s="69"/>
      <c r="R4054" s="68"/>
      <c r="S4054" s="70"/>
      <c r="T4054" s="67"/>
      <c r="U4054" s="56"/>
      <c r="V4054" s="56"/>
      <c r="W4054" s="71"/>
      <c r="X4054" s="71"/>
      <c r="AA4054" s="33"/>
      <c r="AB4054" s="33"/>
      <c r="AC4054" s="33"/>
      <c r="AD4054" s="33"/>
      <c r="AE4054" s="33"/>
      <c r="AF4054" s="33"/>
      <c r="AG4054" s="33"/>
      <c r="AH4054" s="33"/>
      <c r="AI4054" s="33"/>
      <c r="AJ4054" s="33"/>
      <c r="AK4054" s="33"/>
      <c r="AL4054" s="33"/>
      <c r="AM4054" s="33"/>
      <c r="AN4054" s="33"/>
      <c r="AO4054" s="33"/>
    </row>
    <row r="4055" ht="15.75" customHeight="1">
      <c r="A4055" s="72"/>
      <c r="B4055" s="61"/>
      <c r="C4055" s="56"/>
      <c r="D4055" s="67"/>
      <c r="E4055" s="56"/>
      <c r="F4055" s="56"/>
      <c r="G4055" s="62"/>
      <c r="H4055" s="65"/>
      <c r="I4055" s="56"/>
      <c r="J4055" s="66"/>
      <c r="K4055" s="67"/>
      <c r="L4055" s="56"/>
      <c r="M4055" s="67"/>
      <c r="N4055" s="56"/>
      <c r="O4055" s="53"/>
      <c r="P4055" s="68"/>
      <c r="Q4055" s="69"/>
      <c r="R4055" s="68"/>
      <c r="S4055" s="70"/>
      <c r="T4055" s="67"/>
      <c r="U4055" s="56"/>
      <c r="V4055" s="56"/>
      <c r="W4055" s="71"/>
      <c r="X4055" s="71"/>
      <c r="AA4055" s="33"/>
      <c r="AB4055" s="33"/>
      <c r="AC4055" s="33"/>
      <c r="AD4055" s="33"/>
      <c r="AE4055" s="33"/>
      <c r="AF4055" s="33"/>
      <c r="AG4055" s="33"/>
      <c r="AH4055" s="33"/>
      <c r="AI4055" s="33"/>
      <c r="AJ4055" s="33"/>
      <c r="AK4055" s="33"/>
      <c r="AL4055" s="33"/>
      <c r="AM4055" s="33"/>
      <c r="AN4055" s="33"/>
      <c r="AO4055" s="33"/>
    </row>
    <row r="4056" ht="15.75" customHeight="1">
      <c r="A4056" s="72"/>
      <c r="B4056" s="61"/>
      <c r="C4056" s="56"/>
      <c r="D4056" s="67"/>
      <c r="E4056" s="56"/>
      <c r="F4056" s="56"/>
      <c r="G4056" s="62"/>
      <c r="H4056" s="65"/>
      <c r="I4056" s="56"/>
      <c r="J4056" s="66"/>
      <c r="K4056" s="67"/>
      <c r="L4056" s="56"/>
      <c r="M4056" s="67"/>
      <c r="N4056" s="56"/>
      <c r="O4056" s="53"/>
      <c r="P4056" s="68"/>
      <c r="Q4056" s="69"/>
      <c r="R4056" s="68"/>
      <c r="S4056" s="70"/>
      <c r="T4056" s="67"/>
      <c r="U4056" s="56"/>
      <c r="V4056" s="56"/>
      <c r="W4056" s="71"/>
      <c r="X4056" s="71"/>
      <c r="AA4056" s="33"/>
      <c r="AB4056" s="33"/>
      <c r="AC4056" s="33"/>
      <c r="AD4056" s="33"/>
      <c r="AE4056" s="33"/>
      <c r="AF4056" s="33"/>
      <c r="AG4056" s="33"/>
      <c r="AH4056" s="33"/>
      <c r="AI4056" s="33"/>
      <c r="AJ4056" s="33"/>
      <c r="AK4056" s="33"/>
      <c r="AL4056" s="33"/>
      <c r="AM4056" s="33"/>
      <c r="AN4056" s="33"/>
      <c r="AO4056" s="33"/>
    </row>
    <row r="4057" ht="15.75" customHeight="1">
      <c r="A4057" s="72"/>
      <c r="B4057" s="61"/>
      <c r="C4057" s="56"/>
      <c r="D4057" s="67"/>
      <c r="E4057" s="56"/>
      <c r="F4057" s="56"/>
      <c r="G4057" s="62"/>
      <c r="H4057" s="65"/>
      <c r="I4057" s="56"/>
      <c r="J4057" s="66"/>
      <c r="K4057" s="67"/>
      <c r="L4057" s="56"/>
      <c r="M4057" s="67"/>
      <c r="N4057" s="56"/>
      <c r="O4057" s="53"/>
      <c r="P4057" s="68"/>
      <c r="Q4057" s="69"/>
      <c r="R4057" s="68"/>
      <c r="S4057" s="70"/>
      <c r="T4057" s="67"/>
      <c r="U4057" s="56"/>
      <c r="V4057" s="56"/>
      <c r="W4057" s="71"/>
      <c r="X4057" s="71"/>
      <c r="AA4057" s="33"/>
      <c r="AB4057" s="33"/>
      <c r="AC4057" s="33"/>
      <c r="AD4057" s="33"/>
      <c r="AE4057" s="33"/>
      <c r="AF4057" s="33"/>
      <c r="AG4057" s="33"/>
      <c r="AH4057" s="33"/>
      <c r="AI4057" s="33"/>
      <c r="AJ4057" s="33"/>
      <c r="AK4057" s="33"/>
      <c r="AL4057" s="33"/>
      <c r="AM4057" s="33"/>
      <c r="AN4057" s="33"/>
      <c r="AO4057" s="33"/>
    </row>
    <row r="4058" ht="15.75" customHeight="1">
      <c r="A4058" s="72"/>
      <c r="B4058" s="61"/>
      <c r="C4058" s="56"/>
      <c r="D4058" s="67"/>
      <c r="E4058" s="56"/>
      <c r="F4058" s="56"/>
      <c r="G4058" s="62"/>
      <c r="H4058" s="65"/>
      <c r="I4058" s="56"/>
      <c r="J4058" s="66"/>
      <c r="K4058" s="67"/>
      <c r="L4058" s="56"/>
      <c r="M4058" s="67"/>
      <c r="N4058" s="56"/>
      <c r="O4058" s="53"/>
      <c r="P4058" s="68"/>
      <c r="Q4058" s="69"/>
      <c r="R4058" s="68"/>
      <c r="S4058" s="70"/>
      <c r="T4058" s="67"/>
      <c r="U4058" s="56"/>
      <c r="V4058" s="56"/>
      <c r="W4058" s="71"/>
      <c r="X4058" s="71"/>
      <c r="AA4058" s="33"/>
      <c r="AB4058" s="33"/>
      <c r="AC4058" s="33"/>
      <c r="AD4058" s="33"/>
      <c r="AE4058" s="33"/>
      <c r="AF4058" s="33"/>
      <c r="AG4058" s="33"/>
      <c r="AH4058" s="33"/>
      <c r="AI4058" s="33"/>
      <c r="AJ4058" s="33"/>
      <c r="AK4058" s="33"/>
      <c r="AL4058" s="33"/>
      <c r="AM4058" s="33"/>
      <c r="AN4058" s="33"/>
      <c r="AO4058" s="33"/>
    </row>
    <row r="4059" ht="15.75" customHeight="1">
      <c r="A4059" s="72"/>
      <c r="B4059" s="61"/>
      <c r="C4059" s="56"/>
      <c r="D4059" s="67"/>
      <c r="E4059" s="56"/>
      <c r="F4059" s="56"/>
      <c r="G4059" s="62"/>
      <c r="H4059" s="65"/>
      <c r="I4059" s="56"/>
      <c r="J4059" s="66"/>
      <c r="K4059" s="67"/>
      <c r="L4059" s="56"/>
      <c r="M4059" s="67"/>
      <c r="N4059" s="56"/>
      <c r="O4059" s="53"/>
      <c r="P4059" s="68"/>
      <c r="Q4059" s="69"/>
      <c r="R4059" s="68"/>
      <c r="S4059" s="70"/>
      <c r="T4059" s="67"/>
      <c r="U4059" s="56"/>
      <c r="V4059" s="56"/>
      <c r="W4059" s="71"/>
      <c r="X4059" s="71"/>
      <c r="AA4059" s="33"/>
      <c r="AB4059" s="33"/>
      <c r="AC4059" s="33"/>
      <c r="AD4059" s="33"/>
      <c r="AE4059" s="33"/>
      <c r="AF4059" s="33"/>
      <c r="AG4059" s="33"/>
      <c r="AH4059" s="33"/>
      <c r="AI4059" s="33"/>
      <c r="AJ4059" s="33"/>
      <c r="AK4059" s="33"/>
      <c r="AL4059" s="33"/>
      <c r="AM4059" s="33"/>
      <c r="AN4059" s="33"/>
      <c r="AO4059" s="33"/>
    </row>
    <row r="4060" ht="15.75" customHeight="1">
      <c r="A4060" s="72"/>
      <c r="B4060" s="61"/>
      <c r="C4060" s="56"/>
      <c r="D4060" s="67"/>
      <c r="E4060" s="56"/>
      <c r="F4060" s="56"/>
      <c r="G4060" s="62"/>
      <c r="H4060" s="65"/>
      <c r="I4060" s="56"/>
      <c r="J4060" s="66"/>
      <c r="K4060" s="67"/>
      <c r="L4060" s="56"/>
      <c r="M4060" s="67"/>
      <c r="N4060" s="56"/>
      <c r="O4060" s="53"/>
      <c r="P4060" s="68"/>
      <c r="Q4060" s="69"/>
      <c r="R4060" s="68"/>
      <c r="S4060" s="70"/>
      <c r="T4060" s="67"/>
      <c r="U4060" s="56"/>
      <c r="V4060" s="56"/>
      <c r="W4060" s="71"/>
      <c r="X4060" s="71"/>
      <c r="AA4060" s="33"/>
      <c r="AB4060" s="33"/>
      <c r="AC4060" s="33"/>
      <c r="AD4060" s="33"/>
      <c r="AE4060" s="33"/>
      <c r="AF4060" s="33"/>
      <c r="AG4060" s="33"/>
      <c r="AH4060" s="33"/>
      <c r="AI4060" s="33"/>
      <c r="AJ4060" s="33"/>
      <c r="AK4060" s="33"/>
      <c r="AL4060" s="33"/>
      <c r="AM4060" s="33"/>
      <c r="AN4060" s="33"/>
      <c r="AO4060" s="33"/>
    </row>
    <row r="4061" ht="15.75" customHeight="1">
      <c r="A4061" s="72"/>
      <c r="B4061" s="61"/>
      <c r="C4061" s="56"/>
      <c r="D4061" s="67"/>
      <c r="E4061" s="56"/>
      <c r="F4061" s="56"/>
      <c r="G4061" s="62"/>
      <c r="H4061" s="65"/>
      <c r="I4061" s="56"/>
      <c r="J4061" s="66"/>
      <c r="K4061" s="67"/>
      <c r="L4061" s="56"/>
      <c r="M4061" s="67"/>
      <c r="N4061" s="56"/>
      <c r="O4061" s="53"/>
      <c r="P4061" s="68"/>
      <c r="Q4061" s="69"/>
      <c r="R4061" s="68"/>
      <c r="S4061" s="70"/>
      <c r="T4061" s="67"/>
      <c r="U4061" s="56"/>
      <c r="V4061" s="56"/>
      <c r="W4061" s="71"/>
      <c r="X4061" s="71"/>
      <c r="AA4061" s="33"/>
      <c r="AB4061" s="33"/>
      <c r="AC4061" s="33"/>
      <c r="AD4061" s="33"/>
      <c r="AE4061" s="33"/>
      <c r="AF4061" s="33"/>
      <c r="AG4061" s="33"/>
      <c r="AH4061" s="33"/>
      <c r="AI4061" s="33"/>
      <c r="AJ4061" s="33"/>
      <c r="AK4061" s="33"/>
      <c r="AL4061" s="33"/>
      <c r="AM4061" s="33"/>
      <c r="AN4061" s="33"/>
      <c r="AO4061" s="33"/>
    </row>
    <row r="4062" ht="15.75" customHeight="1">
      <c r="A4062" s="72"/>
      <c r="B4062" s="61"/>
      <c r="C4062" s="56"/>
      <c r="D4062" s="67"/>
      <c r="E4062" s="56"/>
      <c r="F4062" s="56"/>
      <c r="G4062" s="62"/>
      <c r="H4062" s="65"/>
      <c r="I4062" s="56"/>
      <c r="J4062" s="66"/>
      <c r="K4062" s="67"/>
      <c r="L4062" s="56"/>
      <c r="M4062" s="67"/>
      <c r="N4062" s="56"/>
      <c r="O4062" s="53"/>
      <c r="P4062" s="68"/>
      <c r="Q4062" s="69"/>
      <c r="R4062" s="68"/>
      <c r="S4062" s="70"/>
      <c r="T4062" s="67"/>
      <c r="U4062" s="56"/>
      <c r="V4062" s="56"/>
      <c r="W4062" s="71"/>
      <c r="X4062" s="71"/>
      <c r="AA4062" s="33"/>
      <c r="AB4062" s="33"/>
      <c r="AC4062" s="33"/>
      <c r="AD4062" s="33"/>
      <c r="AE4062" s="33"/>
      <c r="AF4062" s="33"/>
      <c r="AG4062" s="33"/>
      <c r="AH4062" s="33"/>
      <c r="AI4062" s="33"/>
      <c r="AJ4062" s="33"/>
      <c r="AK4062" s="33"/>
      <c r="AL4062" s="33"/>
      <c r="AM4062" s="33"/>
      <c r="AN4062" s="33"/>
      <c r="AO4062" s="33"/>
    </row>
    <row r="4063" ht="15.75" customHeight="1">
      <c r="A4063" s="72"/>
      <c r="B4063" s="61"/>
      <c r="C4063" s="56"/>
      <c r="D4063" s="67"/>
      <c r="E4063" s="56"/>
      <c r="F4063" s="56"/>
      <c r="G4063" s="62"/>
      <c r="H4063" s="65"/>
      <c r="I4063" s="56"/>
      <c r="J4063" s="66"/>
      <c r="K4063" s="67"/>
      <c r="L4063" s="56"/>
      <c r="M4063" s="67"/>
      <c r="N4063" s="56"/>
      <c r="O4063" s="53"/>
      <c r="P4063" s="68"/>
      <c r="Q4063" s="69"/>
      <c r="R4063" s="68"/>
      <c r="S4063" s="70"/>
      <c r="T4063" s="67"/>
      <c r="U4063" s="56"/>
      <c r="V4063" s="56"/>
      <c r="W4063" s="71"/>
      <c r="X4063" s="71"/>
      <c r="AA4063" s="33"/>
      <c r="AB4063" s="33"/>
      <c r="AC4063" s="33"/>
      <c r="AD4063" s="33"/>
      <c r="AE4063" s="33"/>
      <c r="AF4063" s="33"/>
      <c r="AG4063" s="33"/>
      <c r="AH4063" s="33"/>
      <c r="AI4063" s="33"/>
      <c r="AJ4063" s="33"/>
      <c r="AK4063" s="33"/>
      <c r="AL4063" s="33"/>
      <c r="AM4063" s="33"/>
      <c r="AN4063" s="33"/>
      <c r="AO4063" s="33"/>
    </row>
    <row r="4064" ht="15.75" customHeight="1">
      <c r="A4064" s="72"/>
      <c r="B4064" s="61"/>
      <c r="C4064" s="56"/>
      <c r="D4064" s="67"/>
      <c r="E4064" s="56"/>
      <c r="F4064" s="56"/>
      <c r="G4064" s="62"/>
      <c r="H4064" s="65"/>
      <c r="I4064" s="56"/>
      <c r="J4064" s="66"/>
      <c r="K4064" s="67"/>
      <c r="L4064" s="56"/>
      <c r="M4064" s="67"/>
      <c r="N4064" s="56"/>
      <c r="O4064" s="53"/>
      <c r="P4064" s="68"/>
      <c r="Q4064" s="69"/>
      <c r="R4064" s="68"/>
      <c r="S4064" s="70"/>
      <c r="T4064" s="67"/>
      <c r="U4064" s="56"/>
      <c r="V4064" s="56"/>
      <c r="W4064" s="71"/>
      <c r="X4064" s="71"/>
      <c r="AA4064" s="33"/>
      <c r="AB4064" s="33"/>
      <c r="AC4064" s="33"/>
      <c r="AD4064" s="33"/>
      <c r="AE4064" s="33"/>
      <c r="AF4064" s="33"/>
      <c r="AG4064" s="33"/>
      <c r="AH4064" s="33"/>
      <c r="AI4064" s="33"/>
      <c r="AJ4064" s="33"/>
      <c r="AK4064" s="33"/>
      <c r="AL4064" s="33"/>
      <c r="AM4064" s="33"/>
      <c r="AN4064" s="33"/>
      <c r="AO4064" s="33"/>
    </row>
    <row r="4065" ht="15.75" customHeight="1">
      <c r="A4065" s="72"/>
      <c r="B4065" s="61"/>
      <c r="C4065" s="56"/>
      <c r="D4065" s="67"/>
      <c r="E4065" s="56"/>
      <c r="F4065" s="56"/>
      <c r="G4065" s="62"/>
      <c r="H4065" s="65"/>
      <c r="I4065" s="56"/>
      <c r="J4065" s="66"/>
      <c r="K4065" s="67"/>
      <c r="L4065" s="56"/>
      <c r="M4065" s="67"/>
      <c r="N4065" s="56"/>
      <c r="O4065" s="53"/>
      <c r="P4065" s="68"/>
      <c r="Q4065" s="69"/>
      <c r="R4065" s="68"/>
      <c r="S4065" s="70"/>
      <c r="T4065" s="67"/>
      <c r="U4065" s="56"/>
      <c r="V4065" s="56"/>
      <c r="W4065" s="71"/>
      <c r="X4065" s="71"/>
      <c r="AA4065" s="33"/>
      <c r="AB4065" s="33"/>
      <c r="AC4065" s="33"/>
      <c r="AD4065" s="33"/>
      <c r="AE4065" s="33"/>
      <c r="AF4065" s="33"/>
      <c r="AG4065" s="33"/>
      <c r="AH4065" s="33"/>
      <c r="AI4065" s="33"/>
      <c r="AJ4065" s="33"/>
      <c r="AK4065" s="33"/>
      <c r="AL4065" s="33"/>
      <c r="AM4065" s="33"/>
      <c r="AN4065" s="33"/>
      <c r="AO4065" s="33"/>
    </row>
    <row r="4066" ht="15.75" customHeight="1">
      <c r="A4066" s="72"/>
      <c r="B4066" s="61"/>
      <c r="C4066" s="56"/>
      <c r="D4066" s="67"/>
      <c r="E4066" s="56"/>
      <c r="F4066" s="56"/>
      <c r="G4066" s="62"/>
      <c r="H4066" s="65"/>
      <c r="I4066" s="56"/>
      <c r="J4066" s="66"/>
      <c r="K4066" s="67"/>
      <c r="L4066" s="56"/>
      <c r="M4066" s="67"/>
      <c r="N4066" s="56"/>
      <c r="O4066" s="53"/>
      <c r="P4066" s="68"/>
      <c r="Q4066" s="69"/>
      <c r="R4066" s="68"/>
      <c r="S4066" s="70"/>
      <c r="T4066" s="67"/>
      <c r="U4066" s="56"/>
      <c r="V4066" s="56"/>
      <c r="W4066" s="71"/>
      <c r="X4066" s="71"/>
      <c r="AA4066" s="33"/>
      <c r="AB4066" s="33"/>
      <c r="AC4066" s="33"/>
      <c r="AD4066" s="33"/>
      <c r="AE4066" s="33"/>
      <c r="AF4066" s="33"/>
      <c r="AG4066" s="33"/>
      <c r="AH4066" s="33"/>
      <c r="AI4066" s="33"/>
      <c r="AJ4066" s="33"/>
      <c r="AK4066" s="33"/>
      <c r="AL4066" s="33"/>
      <c r="AM4066" s="33"/>
      <c r="AN4066" s="33"/>
      <c r="AO4066" s="33"/>
    </row>
    <row r="4067" ht="15.75" customHeight="1">
      <c r="A4067" s="72"/>
      <c r="B4067" s="61"/>
      <c r="C4067" s="56"/>
      <c r="D4067" s="67"/>
      <c r="E4067" s="56"/>
      <c r="F4067" s="56"/>
      <c r="G4067" s="62"/>
      <c r="H4067" s="65"/>
      <c r="I4067" s="56"/>
      <c r="J4067" s="66"/>
      <c r="K4067" s="67"/>
      <c r="L4067" s="56"/>
      <c r="M4067" s="67"/>
      <c r="N4067" s="56"/>
      <c r="O4067" s="53"/>
      <c r="P4067" s="68"/>
      <c r="Q4067" s="69"/>
      <c r="R4067" s="68"/>
      <c r="S4067" s="70"/>
      <c r="T4067" s="67"/>
      <c r="U4067" s="56"/>
      <c r="V4067" s="56"/>
      <c r="W4067" s="71"/>
      <c r="X4067" s="71"/>
      <c r="AA4067" s="33"/>
      <c r="AB4067" s="33"/>
      <c r="AC4067" s="33"/>
      <c r="AD4067" s="33"/>
      <c r="AE4067" s="33"/>
      <c r="AF4067" s="33"/>
      <c r="AG4067" s="33"/>
      <c r="AH4067" s="33"/>
      <c r="AI4067" s="33"/>
      <c r="AJ4067" s="33"/>
      <c r="AK4067" s="33"/>
      <c r="AL4067" s="33"/>
      <c r="AM4067" s="33"/>
      <c r="AN4067" s="33"/>
      <c r="AO4067" s="33"/>
    </row>
    <row r="4068" ht="15.75" customHeight="1">
      <c r="A4068" s="72"/>
      <c r="B4068" s="61"/>
      <c r="C4068" s="56"/>
      <c r="D4068" s="67"/>
      <c r="E4068" s="56"/>
      <c r="F4068" s="56"/>
      <c r="G4068" s="62"/>
      <c r="H4068" s="65"/>
      <c r="I4068" s="56"/>
      <c r="J4068" s="66"/>
      <c r="K4068" s="67"/>
      <c r="L4068" s="56"/>
      <c r="M4068" s="67"/>
      <c r="N4068" s="56"/>
      <c r="O4068" s="53"/>
      <c r="P4068" s="68"/>
      <c r="Q4068" s="69"/>
      <c r="R4068" s="68"/>
      <c r="S4068" s="70"/>
      <c r="T4068" s="67"/>
      <c r="U4068" s="56"/>
      <c r="V4068" s="56"/>
      <c r="W4068" s="71"/>
      <c r="X4068" s="71"/>
      <c r="AA4068" s="33"/>
      <c r="AB4068" s="33"/>
      <c r="AC4068" s="33"/>
      <c r="AD4068" s="33"/>
      <c r="AE4068" s="33"/>
      <c r="AF4068" s="33"/>
      <c r="AG4068" s="33"/>
      <c r="AH4068" s="33"/>
      <c r="AI4068" s="33"/>
      <c r="AJ4068" s="33"/>
      <c r="AK4068" s="33"/>
      <c r="AL4068" s="33"/>
      <c r="AM4068" s="33"/>
      <c r="AN4068" s="33"/>
      <c r="AO4068" s="33"/>
    </row>
    <row r="4069" ht="15.75" customHeight="1">
      <c r="A4069" s="72"/>
      <c r="B4069" s="61"/>
      <c r="C4069" s="56"/>
      <c r="D4069" s="67"/>
      <c r="E4069" s="56"/>
      <c r="F4069" s="56"/>
      <c r="G4069" s="62"/>
      <c r="H4069" s="65"/>
      <c r="I4069" s="56"/>
      <c r="J4069" s="66"/>
      <c r="K4069" s="67"/>
      <c r="L4069" s="56"/>
      <c r="M4069" s="67"/>
      <c r="N4069" s="56"/>
      <c r="O4069" s="53"/>
      <c r="P4069" s="68"/>
      <c r="Q4069" s="69"/>
      <c r="R4069" s="68"/>
      <c r="S4069" s="70"/>
      <c r="T4069" s="67"/>
      <c r="U4069" s="56"/>
      <c r="V4069" s="56"/>
      <c r="W4069" s="71"/>
      <c r="X4069" s="71"/>
      <c r="AA4069" s="33"/>
      <c r="AB4069" s="33"/>
      <c r="AC4069" s="33"/>
      <c r="AD4069" s="33"/>
      <c r="AE4069" s="33"/>
      <c r="AF4069" s="33"/>
      <c r="AG4069" s="33"/>
      <c r="AH4069" s="33"/>
      <c r="AI4069" s="33"/>
      <c r="AJ4069" s="33"/>
      <c r="AK4069" s="33"/>
      <c r="AL4069" s="33"/>
      <c r="AM4069" s="33"/>
      <c r="AN4069" s="33"/>
      <c r="AO4069" s="33"/>
    </row>
    <row r="4070" ht="15.75" customHeight="1">
      <c r="A4070" s="72"/>
      <c r="B4070" s="61"/>
      <c r="C4070" s="56"/>
      <c r="D4070" s="67"/>
      <c r="E4070" s="56"/>
      <c r="F4070" s="56"/>
      <c r="G4070" s="62"/>
      <c r="H4070" s="65"/>
      <c r="I4070" s="56"/>
      <c r="J4070" s="66"/>
      <c r="K4070" s="67"/>
      <c r="L4070" s="56"/>
      <c r="M4070" s="67"/>
      <c r="N4070" s="56"/>
      <c r="O4070" s="53"/>
      <c r="P4070" s="68"/>
      <c r="Q4070" s="69"/>
      <c r="R4070" s="68"/>
      <c r="S4070" s="70"/>
      <c r="T4070" s="67"/>
      <c r="U4070" s="56"/>
      <c r="V4070" s="56"/>
      <c r="W4070" s="71"/>
      <c r="X4070" s="71"/>
      <c r="AA4070" s="33"/>
      <c r="AB4070" s="33"/>
      <c r="AC4070" s="33"/>
      <c r="AD4070" s="33"/>
      <c r="AE4070" s="33"/>
      <c r="AF4070" s="33"/>
      <c r="AG4070" s="33"/>
      <c r="AH4070" s="33"/>
      <c r="AI4070" s="33"/>
      <c r="AJ4070" s="33"/>
      <c r="AK4070" s="33"/>
      <c r="AL4070" s="33"/>
      <c r="AM4070" s="33"/>
      <c r="AN4070" s="33"/>
      <c r="AO4070" s="33"/>
    </row>
    <row r="4071" ht="15.75" customHeight="1">
      <c r="A4071" s="72"/>
      <c r="B4071" s="61"/>
      <c r="C4071" s="56"/>
      <c r="D4071" s="67"/>
      <c r="E4071" s="56"/>
      <c r="F4071" s="56"/>
      <c r="G4071" s="62"/>
      <c r="H4071" s="65"/>
      <c r="I4071" s="56"/>
      <c r="J4071" s="66"/>
      <c r="K4071" s="67"/>
      <c r="L4071" s="56"/>
      <c r="M4071" s="67"/>
      <c r="N4071" s="56"/>
      <c r="O4071" s="53"/>
      <c r="P4071" s="68"/>
      <c r="Q4071" s="69"/>
      <c r="R4071" s="68"/>
      <c r="S4071" s="70"/>
      <c r="T4071" s="67"/>
      <c r="U4071" s="56"/>
      <c r="V4071" s="56"/>
      <c r="W4071" s="71"/>
      <c r="X4071" s="71"/>
      <c r="AA4071" s="33"/>
      <c r="AB4071" s="33"/>
      <c r="AC4071" s="33"/>
      <c r="AD4071" s="33"/>
      <c r="AE4071" s="33"/>
      <c r="AF4071" s="33"/>
      <c r="AG4071" s="33"/>
      <c r="AH4071" s="33"/>
      <c r="AI4071" s="33"/>
      <c r="AJ4071" s="33"/>
      <c r="AK4071" s="33"/>
      <c r="AL4071" s="33"/>
      <c r="AM4071" s="33"/>
      <c r="AN4071" s="33"/>
      <c r="AO4071" s="33"/>
    </row>
    <row r="4072" ht="15.75" customHeight="1">
      <c r="A4072" s="72"/>
      <c r="B4072" s="61"/>
      <c r="C4072" s="56"/>
      <c r="D4072" s="67"/>
      <c r="E4072" s="56"/>
      <c r="F4072" s="56"/>
      <c r="G4072" s="62"/>
      <c r="H4072" s="65"/>
      <c r="I4072" s="56"/>
      <c r="J4072" s="66"/>
      <c r="K4072" s="67"/>
      <c r="L4072" s="56"/>
      <c r="M4072" s="67"/>
      <c r="N4072" s="56"/>
      <c r="O4072" s="53"/>
      <c r="P4072" s="68"/>
      <c r="Q4072" s="69"/>
      <c r="R4072" s="68"/>
      <c r="S4072" s="70"/>
      <c r="T4072" s="67"/>
      <c r="U4072" s="56"/>
      <c r="V4072" s="56"/>
      <c r="W4072" s="71"/>
      <c r="X4072" s="71"/>
      <c r="AA4072" s="33"/>
      <c r="AB4072" s="33"/>
      <c r="AC4072" s="33"/>
      <c r="AD4072" s="33"/>
      <c r="AE4072" s="33"/>
      <c r="AF4072" s="33"/>
      <c r="AG4072" s="33"/>
      <c r="AH4072" s="33"/>
      <c r="AI4072" s="33"/>
      <c r="AJ4072" s="33"/>
      <c r="AK4072" s="33"/>
      <c r="AL4072" s="33"/>
      <c r="AM4072" s="33"/>
      <c r="AN4072" s="33"/>
      <c r="AO4072" s="33"/>
    </row>
    <row r="4073" ht="15.75" customHeight="1">
      <c r="A4073" s="72"/>
      <c r="B4073" s="61"/>
      <c r="C4073" s="56"/>
      <c r="D4073" s="67"/>
      <c r="E4073" s="56"/>
      <c r="F4073" s="56"/>
      <c r="G4073" s="62"/>
      <c r="H4073" s="65"/>
      <c r="I4073" s="56"/>
      <c r="J4073" s="66"/>
      <c r="K4073" s="67"/>
      <c r="L4073" s="56"/>
      <c r="M4073" s="67"/>
      <c r="N4073" s="56"/>
      <c r="O4073" s="53"/>
      <c r="P4073" s="68"/>
      <c r="Q4073" s="69"/>
      <c r="R4073" s="68"/>
      <c r="S4073" s="70"/>
      <c r="T4073" s="67"/>
      <c r="U4073" s="56"/>
      <c r="V4073" s="56"/>
      <c r="W4073" s="71"/>
      <c r="X4073" s="71"/>
      <c r="AA4073" s="33"/>
      <c r="AB4073" s="33"/>
      <c r="AC4073" s="33"/>
      <c r="AD4073" s="33"/>
      <c r="AE4073" s="33"/>
      <c r="AF4073" s="33"/>
      <c r="AG4073" s="33"/>
      <c r="AH4073" s="33"/>
      <c r="AI4073" s="33"/>
      <c r="AJ4073" s="33"/>
      <c r="AK4073" s="33"/>
      <c r="AL4073" s="33"/>
      <c r="AM4073" s="33"/>
      <c r="AN4073" s="33"/>
      <c r="AO4073" s="33"/>
    </row>
    <row r="4074" ht="15.75" customHeight="1">
      <c r="A4074" s="72"/>
      <c r="B4074" s="61"/>
      <c r="C4074" s="56"/>
      <c r="D4074" s="67"/>
      <c r="E4074" s="56"/>
      <c r="F4074" s="56"/>
      <c r="G4074" s="62"/>
      <c r="H4074" s="65"/>
      <c r="I4074" s="56"/>
      <c r="J4074" s="66"/>
      <c r="K4074" s="67"/>
      <c r="L4074" s="56"/>
      <c r="M4074" s="67"/>
      <c r="N4074" s="56"/>
      <c r="O4074" s="53"/>
      <c r="P4074" s="68"/>
      <c r="Q4074" s="69"/>
      <c r="R4074" s="68"/>
      <c r="S4074" s="70"/>
      <c r="T4074" s="67"/>
      <c r="U4074" s="56"/>
      <c r="V4074" s="56"/>
      <c r="W4074" s="71"/>
      <c r="X4074" s="71"/>
      <c r="AA4074" s="33"/>
      <c r="AB4074" s="33"/>
      <c r="AC4074" s="33"/>
      <c r="AD4074" s="33"/>
      <c r="AE4074" s="33"/>
      <c r="AF4074" s="33"/>
      <c r="AG4074" s="33"/>
      <c r="AH4074" s="33"/>
      <c r="AI4074" s="33"/>
      <c r="AJ4074" s="33"/>
      <c r="AK4074" s="33"/>
      <c r="AL4074" s="33"/>
      <c r="AM4074" s="33"/>
      <c r="AN4074" s="33"/>
      <c r="AO4074" s="33"/>
    </row>
    <row r="4075" ht="15.75" customHeight="1">
      <c r="A4075" s="72"/>
      <c r="B4075" s="61"/>
      <c r="C4075" s="56"/>
      <c r="D4075" s="67"/>
      <c r="E4075" s="56"/>
      <c r="F4075" s="56"/>
      <c r="G4075" s="62"/>
      <c r="H4075" s="65"/>
      <c r="I4075" s="56"/>
      <c r="J4075" s="66"/>
      <c r="K4075" s="67"/>
      <c r="L4075" s="56"/>
      <c r="M4075" s="67"/>
      <c r="N4075" s="56"/>
      <c r="O4075" s="53"/>
      <c r="P4075" s="68"/>
      <c r="Q4075" s="69"/>
      <c r="R4075" s="68"/>
      <c r="S4075" s="70"/>
      <c r="T4075" s="67"/>
      <c r="U4075" s="56"/>
      <c r="V4075" s="56"/>
      <c r="W4075" s="71"/>
      <c r="X4075" s="71"/>
      <c r="AA4075" s="33"/>
      <c r="AB4075" s="33"/>
      <c r="AC4075" s="33"/>
      <c r="AD4075" s="33"/>
      <c r="AE4075" s="33"/>
      <c r="AF4075" s="33"/>
      <c r="AG4075" s="33"/>
      <c r="AH4075" s="33"/>
      <c r="AI4075" s="33"/>
      <c r="AJ4075" s="33"/>
      <c r="AK4075" s="33"/>
      <c r="AL4075" s="33"/>
      <c r="AM4075" s="33"/>
      <c r="AN4075" s="33"/>
      <c r="AO4075" s="33"/>
    </row>
    <row r="4076" ht="15.75" customHeight="1">
      <c r="A4076" s="72"/>
      <c r="B4076" s="61"/>
      <c r="C4076" s="56"/>
      <c r="D4076" s="67"/>
      <c r="E4076" s="56"/>
      <c r="F4076" s="56"/>
      <c r="G4076" s="62"/>
      <c r="H4076" s="65"/>
      <c r="I4076" s="56"/>
      <c r="J4076" s="66"/>
      <c r="K4076" s="67"/>
      <c r="L4076" s="56"/>
      <c r="M4076" s="67"/>
      <c r="N4076" s="56"/>
      <c r="O4076" s="53"/>
      <c r="P4076" s="68"/>
      <c r="Q4076" s="69"/>
      <c r="R4076" s="68"/>
      <c r="S4076" s="70"/>
      <c r="T4076" s="67"/>
      <c r="U4076" s="56"/>
      <c r="V4076" s="56"/>
      <c r="W4076" s="71"/>
      <c r="X4076" s="71"/>
      <c r="AA4076" s="33"/>
      <c r="AB4076" s="33"/>
      <c r="AC4076" s="33"/>
      <c r="AD4076" s="33"/>
      <c r="AE4076" s="33"/>
      <c r="AF4076" s="33"/>
      <c r="AG4076" s="33"/>
      <c r="AH4076" s="33"/>
      <c r="AI4076" s="33"/>
      <c r="AJ4076" s="33"/>
      <c r="AK4076" s="33"/>
      <c r="AL4076" s="33"/>
      <c r="AM4076" s="33"/>
      <c r="AN4076" s="33"/>
      <c r="AO4076" s="33"/>
    </row>
    <row r="4077" ht="15.75" customHeight="1">
      <c r="A4077" s="72"/>
      <c r="B4077" s="61"/>
      <c r="C4077" s="56"/>
      <c r="D4077" s="67"/>
      <c r="E4077" s="56"/>
      <c r="F4077" s="56"/>
      <c r="G4077" s="62"/>
      <c r="H4077" s="65"/>
      <c r="I4077" s="56"/>
      <c r="J4077" s="66"/>
      <c r="K4077" s="67"/>
      <c r="L4077" s="56"/>
      <c r="M4077" s="67"/>
      <c r="N4077" s="56"/>
      <c r="O4077" s="53"/>
      <c r="P4077" s="68"/>
      <c r="Q4077" s="69"/>
      <c r="R4077" s="68"/>
      <c r="S4077" s="70"/>
      <c r="T4077" s="67"/>
      <c r="U4077" s="56"/>
      <c r="V4077" s="56"/>
      <c r="W4077" s="71"/>
      <c r="X4077" s="71"/>
      <c r="AA4077" s="33"/>
      <c r="AB4077" s="33"/>
      <c r="AC4077" s="33"/>
      <c r="AD4077" s="33"/>
      <c r="AE4077" s="33"/>
      <c r="AF4077" s="33"/>
      <c r="AG4077" s="33"/>
      <c r="AH4077" s="33"/>
      <c r="AI4077" s="33"/>
      <c r="AJ4077" s="33"/>
      <c r="AK4077" s="33"/>
      <c r="AL4077" s="33"/>
      <c r="AM4077" s="33"/>
      <c r="AN4077" s="33"/>
      <c r="AO4077" s="33"/>
    </row>
    <row r="4078" ht="15.75" customHeight="1">
      <c r="A4078" s="72"/>
      <c r="B4078" s="61"/>
      <c r="C4078" s="56"/>
      <c r="D4078" s="67"/>
      <c r="E4078" s="56"/>
      <c r="F4078" s="56"/>
      <c r="G4078" s="62"/>
      <c r="H4078" s="65"/>
      <c r="I4078" s="56"/>
      <c r="J4078" s="66"/>
      <c r="K4078" s="67"/>
      <c r="L4078" s="56"/>
      <c r="M4078" s="67"/>
      <c r="N4078" s="56"/>
      <c r="O4078" s="53"/>
      <c r="P4078" s="68"/>
      <c r="Q4078" s="69"/>
      <c r="R4078" s="68"/>
      <c r="S4078" s="70"/>
      <c r="T4078" s="67"/>
      <c r="U4078" s="56"/>
      <c r="V4078" s="56"/>
      <c r="W4078" s="71"/>
      <c r="X4078" s="71"/>
      <c r="AA4078" s="33"/>
      <c r="AB4078" s="33"/>
      <c r="AC4078" s="33"/>
      <c r="AD4078" s="33"/>
      <c r="AE4078" s="33"/>
      <c r="AF4078" s="33"/>
      <c r="AG4078" s="33"/>
      <c r="AH4078" s="33"/>
      <c r="AI4078" s="33"/>
      <c r="AJ4078" s="33"/>
      <c r="AK4078" s="33"/>
      <c r="AL4078" s="33"/>
      <c r="AM4078" s="33"/>
      <c r="AN4078" s="33"/>
      <c r="AO4078" s="33"/>
    </row>
    <row r="4079" ht="15.75" customHeight="1">
      <c r="A4079" s="72"/>
      <c r="B4079" s="61"/>
      <c r="C4079" s="56"/>
      <c r="D4079" s="67"/>
      <c r="E4079" s="56"/>
      <c r="F4079" s="56"/>
      <c r="G4079" s="62"/>
      <c r="H4079" s="65"/>
      <c r="I4079" s="56"/>
      <c r="J4079" s="66"/>
      <c r="K4079" s="67"/>
      <c r="L4079" s="56"/>
      <c r="M4079" s="67"/>
      <c r="N4079" s="56"/>
      <c r="O4079" s="53"/>
      <c r="P4079" s="68"/>
      <c r="Q4079" s="69"/>
      <c r="R4079" s="68"/>
      <c r="S4079" s="70"/>
      <c r="T4079" s="67"/>
      <c r="U4079" s="56"/>
      <c r="V4079" s="56"/>
      <c r="W4079" s="71"/>
      <c r="X4079" s="71"/>
      <c r="AA4079" s="33"/>
      <c r="AB4079" s="33"/>
      <c r="AC4079" s="33"/>
      <c r="AD4079" s="33"/>
      <c r="AE4079" s="33"/>
      <c r="AF4079" s="33"/>
      <c r="AG4079" s="33"/>
      <c r="AH4079" s="33"/>
      <c r="AI4079" s="33"/>
      <c r="AJ4079" s="33"/>
      <c r="AK4079" s="33"/>
      <c r="AL4079" s="33"/>
      <c r="AM4079" s="33"/>
      <c r="AN4079" s="33"/>
      <c r="AO4079" s="33"/>
    </row>
    <row r="4080" ht="15.75" customHeight="1">
      <c r="A4080" s="72"/>
      <c r="B4080" s="61"/>
      <c r="C4080" s="56"/>
      <c r="D4080" s="67"/>
      <c r="E4080" s="56"/>
      <c r="F4080" s="56"/>
      <c r="G4080" s="62"/>
      <c r="H4080" s="65"/>
      <c r="I4080" s="56"/>
      <c r="J4080" s="66"/>
      <c r="K4080" s="67"/>
      <c r="L4080" s="56"/>
      <c r="M4080" s="67"/>
      <c r="N4080" s="56"/>
      <c r="O4080" s="53"/>
      <c r="P4080" s="68"/>
      <c r="Q4080" s="69"/>
      <c r="R4080" s="68"/>
      <c r="S4080" s="70"/>
      <c r="T4080" s="67"/>
      <c r="U4080" s="56"/>
      <c r="V4080" s="56"/>
      <c r="W4080" s="71"/>
      <c r="X4080" s="71"/>
      <c r="AA4080" s="33"/>
      <c r="AB4080" s="33"/>
      <c r="AC4080" s="33"/>
      <c r="AD4080" s="33"/>
      <c r="AE4080" s="33"/>
      <c r="AF4080" s="33"/>
      <c r="AG4080" s="33"/>
      <c r="AH4080" s="33"/>
      <c r="AI4080" s="33"/>
      <c r="AJ4080" s="33"/>
      <c r="AK4080" s="33"/>
      <c r="AL4080" s="33"/>
      <c r="AM4080" s="33"/>
      <c r="AN4080" s="33"/>
      <c r="AO4080" s="33"/>
    </row>
    <row r="4081" ht="15.75" customHeight="1">
      <c r="A4081" s="72"/>
      <c r="B4081" s="61"/>
      <c r="C4081" s="56"/>
      <c r="D4081" s="67"/>
      <c r="E4081" s="56"/>
      <c r="F4081" s="56"/>
      <c r="G4081" s="62"/>
      <c r="H4081" s="65"/>
      <c r="I4081" s="56"/>
      <c r="J4081" s="66"/>
      <c r="K4081" s="67"/>
      <c r="L4081" s="56"/>
      <c r="M4081" s="67"/>
      <c r="N4081" s="56"/>
      <c r="O4081" s="53"/>
      <c r="P4081" s="68"/>
      <c r="Q4081" s="69"/>
      <c r="R4081" s="68"/>
      <c r="S4081" s="70"/>
      <c r="T4081" s="67"/>
      <c r="U4081" s="56"/>
      <c r="V4081" s="56"/>
      <c r="W4081" s="71"/>
      <c r="X4081" s="71"/>
      <c r="AA4081" s="33"/>
      <c r="AB4081" s="33"/>
      <c r="AC4081" s="33"/>
      <c r="AD4081" s="33"/>
      <c r="AE4081" s="33"/>
      <c r="AF4081" s="33"/>
      <c r="AG4081" s="33"/>
      <c r="AH4081" s="33"/>
      <c r="AI4081" s="33"/>
      <c r="AJ4081" s="33"/>
      <c r="AK4081" s="33"/>
      <c r="AL4081" s="33"/>
      <c r="AM4081" s="33"/>
      <c r="AN4081" s="33"/>
      <c r="AO4081" s="33"/>
    </row>
    <row r="4082" ht="15.75" customHeight="1">
      <c r="A4082" s="72"/>
      <c r="B4082" s="61"/>
      <c r="C4082" s="56"/>
      <c r="D4082" s="67"/>
      <c r="E4082" s="56"/>
      <c r="F4082" s="56"/>
      <c r="G4082" s="62"/>
      <c r="H4082" s="65"/>
      <c r="I4082" s="56"/>
      <c r="J4082" s="66"/>
      <c r="K4082" s="67"/>
      <c r="L4082" s="56"/>
      <c r="M4082" s="67"/>
      <c r="N4082" s="56"/>
      <c r="O4082" s="53"/>
      <c r="P4082" s="68"/>
      <c r="Q4082" s="69"/>
      <c r="R4082" s="68"/>
      <c r="S4082" s="70"/>
      <c r="T4082" s="67"/>
      <c r="U4082" s="56"/>
      <c r="V4082" s="56"/>
      <c r="W4082" s="71"/>
      <c r="X4082" s="71"/>
      <c r="AA4082" s="33"/>
      <c r="AB4082" s="33"/>
      <c r="AC4082" s="33"/>
      <c r="AD4082" s="33"/>
      <c r="AE4082" s="33"/>
      <c r="AF4082" s="33"/>
      <c r="AG4082" s="33"/>
      <c r="AH4082" s="33"/>
      <c r="AI4082" s="33"/>
      <c r="AJ4082" s="33"/>
      <c r="AK4082" s="33"/>
      <c r="AL4082" s="33"/>
      <c r="AM4082" s="33"/>
      <c r="AN4082" s="33"/>
      <c r="AO4082" s="33"/>
    </row>
    <row r="4083" ht="15.75" customHeight="1">
      <c r="A4083" s="72"/>
      <c r="B4083" s="61"/>
      <c r="C4083" s="56"/>
      <c r="D4083" s="67"/>
      <c r="E4083" s="56"/>
      <c r="F4083" s="56"/>
      <c r="G4083" s="62"/>
      <c r="H4083" s="65"/>
      <c r="I4083" s="56"/>
      <c r="J4083" s="66"/>
      <c r="K4083" s="67"/>
      <c r="L4083" s="56"/>
      <c r="M4083" s="67"/>
      <c r="N4083" s="56"/>
      <c r="O4083" s="53"/>
      <c r="P4083" s="68"/>
      <c r="Q4083" s="69"/>
      <c r="R4083" s="68"/>
      <c r="S4083" s="70"/>
      <c r="T4083" s="67"/>
      <c r="U4083" s="56"/>
      <c r="V4083" s="56"/>
      <c r="W4083" s="71"/>
      <c r="X4083" s="71"/>
      <c r="AA4083" s="33"/>
      <c r="AB4083" s="33"/>
      <c r="AC4083" s="33"/>
      <c r="AD4083" s="33"/>
      <c r="AE4083" s="33"/>
      <c r="AF4083" s="33"/>
      <c r="AG4083" s="33"/>
      <c r="AH4083" s="33"/>
      <c r="AI4083" s="33"/>
      <c r="AJ4083" s="33"/>
      <c r="AK4083" s="33"/>
      <c r="AL4083" s="33"/>
      <c r="AM4083" s="33"/>
      <c r="AN4083" s="33"/>
      <c r="AO4083" s="33"/>
    </row>
    <row r="4084" ht="15.75" customHeight="1">
      <c r="A4084" s="72"/>
      <c r="B4084" s="61"/>
      <c r="C4084" s="56"/>
      <c r="D4084" s="67"/>
      <c r="E4084" s="56"/>
      <c r="F4084" s="56"/>
      <c r="G4084" s="62"/>
      <c r="H4084" s="65"/>
      <c r="I4084" s="56"/>
      <c r="J4084" s="66"/>
      <c r="K4084" s="67"/>
      <c r="L4084" s="56"/>
      <c r="M4084" s="67"/>
      <c r="N4084" s="56"/>
      <c r="O4084" s="53"/>
      <c r="P4084" s="68"/>
      <c r="Q4084" s="69"/>
      <c r="R4084" s="68"/>
      <c r="S4084" s="70"/>
      <c r="T4084" s="67"/>
      <c r="U4084" s="56"/>
      <c r="V4084" s="56"/>
      <c r="W4084" s="71"/>
      <c r="X4084" s="71"/>
      <c r="AA4084" s="33"/>
      <c r="AB4084" s="33"/>
      <c r="AC4084" s="33"/>
      <c r="AD4084" s="33"/>
      <c r="AE4084" s="33"/>
      <c r="AF4084" s="33"/>
      <c r="AG4084" s="33"/>
      <c r="AH4084" s="33"/>
      <c r="AI4084" s="33"/>
      <c r="AJ4084" s="33"/>
      <c r="AK4084" s="33"/>
      <c r="AL4084" s="33"/>
      <c r="AM4084" s="33"/>
      <c r="AN4084" s="33"/>
      <c r="AO4084" s="33"/>
    </row>
    <row r="4085" ht="15.75" customHeight="1">
      <c r="A4085" s="72"/>
      <c r="B4085" s="61"/>
      <c r="C4085" s="56"/>
      <c r="D4085" s="67"/>
      <c r="E4085" s="56"/>
      <c r="F4085" s="56"/>
      <c r="G4085" s="62"/>
      <c r="H4085" s="65"/>
      <c r="I4085" s="56"/>
      <c r="J4085" s="66"/>
      <c r="K4085" s="67"/>
      <c r="L4085" s="56"/>
      <c r="M4085" s="67"/>
      <c r="N4085" s="56"/>
      <c r="O4085" s="53"/>
      <c r="P4085" s="68"/>
      <c r="Q4085" s="69"/>
      <c r="R4085" s="68"/>
      <c r="S4085" s="70"/>
      <c r="T4085" s="67"/>
      <c r="U4085" s="56"/>
      <c r="V4085" s="56"/>
      <c r="W4085" s="71"/>
      <c r="X4085" s="71"/>
      <c r="AA4085" s="33"/>
      <c r="AB4085" s="33"/>
      <c r="AC4085" s="33"/>
      <c r="AD4085" s="33"/>
      <c r="AE4085" s="33"/>
      <c r="AF4085" s="33"/>
      <c r="AG4085" s="33"/>
      <c r="AH4085" s="33"/>
      <c r="AI4085" s="33"/>
      <c r="AJ4085" s="33"/>
      <c r="AK4085" s="33"/>
      <c r="AL4085" s="33"/>
      <c r="AM4085" s="33"/>
      <c r="AN4085" s="33"/>
      <c r="AO4085" s="33"/>
    </row>
    <row r="4086" ht="15.75" customHeight="1">
      <c r="A4086" s="72"/>
      <c r="B4086" s="61"/>
      <c r="C4086" s="56"/>
      <c r="D4086" s="67"/>
      <c r="E4086" s="56"/>
      <c r="F4086" s="56"/>
      <c r="G4086" s="62"/>
      <c r="H4086" s="65"/>
      <c r="I4086" s="56"/>
      <c r="J4086" s="66"/>
      <c r="K4086" s="67"/>
      <c r="L4086" s="56"/>
      <c r="M4086" s="67"/>
      <c r="N4086" s="56"/>
      <c r="O4086" s="53"/>
      <c r="P4086" s="68"/>
      <c r="Q4086" s="69"/>
      <c r="R4086" s="68"/>
      <c r="S4086" s="70"/>
      <c r="T4086" s="67"/>
      <c r="U4086" s="56"/>
      <c r="V4086" s="56"/>
      <c r="W4086" s="71"/>
      <c r="X4086" s="71"/>
      <c r="AA4086" s="33"/>
      <c r="AB4086" s="33"/>
      <c r="AC4086" s="33"/>
      <c r="AD4086" s="33"/>
      <c r="AE4086" s="33"/>
      <c r="AF4086" s="33"/>
      <c r="AG4086" s="33"/>
      <c r="AH4086" s="33"/>
      <c r="AI4086" s="33"/>
      <c r="AJ4086" s="33"/>
      <c r="AK4086" s="33"/>
      <c r="AL4086" s="33"/>
      <c r="AM4086" s="33"/>
      <c r="AN4086" s="33"/>
      <c r="AO4086" s="33"/>
    </row>
    <row r="4087" ht="15.75" customHeight="1">
      <c r="A4087" s="72"/>
      <c r="B4087" s="61"/>
      <c r="C4087" s="56"/>
      <c r="D4087" s="67"/>
      <c r="E4087" s="56"/>
      <c r="F4087" s="56"/>
      <c r="G4087" s="62"/>
      <c r="H4087" s="65"/>
      <c r="I4087" s="56"/>
      <c r="J4087" s="66"/>
      <c r="K4087" s="67"/>
      <c r="L4087" s="56"/>
      <c r="M4087" s="67"/>
      <c r="N4087" s="56"/>
      <c r="O4087" s="53"/>
      <c r="P4087" s="68"/>
      <c r="Q4087" s="69"/>
      <c r="R4087" s="68"/>
      <c r="S4087" s="70"/>
      <c r="T4087" s="67"/>
      <c r="U4087" s="56"/>
      <c r="V4087" s="56"/>
      <c r="W4087" s="71"/>
      <c r="X4087" s="71"/>
      <c r="AA4087" s="33"/>
      <c r="AB4087" s="33"/>
      <c r="AC4087" s="33"/>
      <c r="AD4087" s="33"/>
      <c r="AE4087" s="33"/>
      <c r="AF4087" s="33"/>
      <c r="AG4087" s="33"/>
      <c r="AH4087" s="33"/>
      <c r="AI4087" s="33"/>
      <c r="AJ4087" s="33"/>
      <c r="AK4087" s="33"/>
      <c r="AL4087" s="33"/>
      <c r="AM4087" s="33"/>
      <c r="AN4087" s="33"/>
      <c r="AO4087" s="33"/>
    </row>
    <row r="4088" ht="15.75" customHeight="1">
      <c r="A4088" s="72"/>
      <c r="B4088" s="61"/>
      <c r="C4088" s="56"/>
      <c r="D4088" s="67"/>
      <c r="E4088" s="56"/>
      <c r="F4088" s="56"/>
      <c r="G4088" s="62"/>
      <c r="H4088" s="65"/>
      <c r="I4088" s="56"/>
      <c r="J4088" s="66"/>
      <c r="K4088" s="67"/>
      <c r="L4088" s="56"/>
      <c r="M4088" s="67"/>
      <c r="N4088" s="56"/>
      <c r="O4088" s="53"/>
      <c r="P4088" s="68"/>
      <c r="Q4088" s="69"/>
      <c r="R4088" s="68"/>
      <c r="S4088" s="70"/>
      <c r="T4088" s="67"/>
      <c r="U4088" s="56"/>
      <c r="V4088" s="56"/>
      <c r="W4088" s="71"/>
      <c r="X4088" s="71"/>
      <c r="AA4088" s="33"/>
      <c r="AB4088" s="33"/>
      <c r="AC4088" s="33"/>
      <c r="AD4088" s="33"/>
      <c r="AE4088" s="33"/>
      <c r="AF4088" s="33"/>
      <c r="AG4088" s="33"/>
      <c r="AH4088" s="33"/>
      <c r="AI4088" s="33"/>
      <c r="AJ4088" s="33"/>
      <c r="AK4088" s="33"/>
      <c r="AL4088" s="33"/>
      <c r="AM4088" s="33"/>
      <c r="AN4088" s="33"/>
      <c r="AO4088" s="33"/>
    </row>
    <row r="4089" ht="15.75" customHeight="1">
      <c r="A4089" s="72"/>
      <c r="B4089" s="61"/>
      <c r="C4089" s="56"/>
      <c r="D4089" s="67"/>
      <c r="E4089" s="56"/>
      <c r="F4089" s="56"/>
      <c r="G4089" s="62"/>
      <c r="H4089" s="65"/>
      <c r="I4089" s="56"/>
      <c r="J4089" s="66"/>
      <c r="K4089" s="67"/>
      <c r="L4089" s="56"/>
      <c r="M4089" s="67"/>
      <c r="N4089" s="56"/>
      <c r="O4089" s="53"/>
      <c r="P4089" s="68"/>
      <c r="Q4089" s="69"/>
      <c r="R4089" s="68"/>
      <c r="S4089" s="70"/>
      <c r="T4089" s="67"/>
      <c r="U4089" s="56"/>
      <c r="V4089" s="56"/>
      <c r="W4089" s="71"/>
      <c r="X4089" s="71"/>
      <c r="AA4089" s="33"/>
      <c r="AB4089" s="33"/>
      <c r="AC4089" s="33"/>
      <c r="AD4089" s="33"/>
      <c r="AE4089" s="33"/>
      <c r="AF4089" s="33"/>
      <c r="AG4089" s="33"/>
      <c r="AH4089" s="33"/>
      <c r="AI4089" s="33"/>
      <c r="AJ4089" s="33"/>
      <c r="AK4089" s="33"/>
      <c r="AL4089" s="33"/>
      <c r="AM4089" s="33"/>
      <c r="AN4089" s="33"/>
      <c r="AO4089" s="33"/>
    </row>
    <row r="4090" ht="15.75" customHeight="1">
      <c r="A4090" s="72"/>
      <c r="B4090" s="61"/>
      <c r="C4090" s="56"/>
      <c r="D4090" s="67"/>
      <c r="E4090" s="56"/>
      <c r="F4090" s="56"/>
      <c r="G4090" s="62"/>
      <c r="H4090" s="65"/>
      <c r="I4090" s="56"/>
      <c r="J4090" s="66"/>
      <c r="K4090" s="67"/>
      <c r="L4090" s="56"/>
      <c r="M4090" s="67"/>
      <c r="N4090" s="56"/>
      <c r="O4090" s="53"/>
      <c r="P4090" s="68"/>
      <c r="Q4090" s="69"/>
      <c r="R4090" s="68"/>
      <c r="S4090" s="70"/>
      <c r="T4090" s="67"/>
      <c r="U4090" s="56"/>
      <c r="V4090" s="56"/>
      <c r="W4090" s="71"/>
      <c r="X4090" s="71"/>
      <c r="AA4090" s="33"/>
      <c r="AB4090" s="33"/>
      <c r="AC4090" s="33"/>
      <c r="AD4090" s="33"/>
      <c r="AE4090" s="33"/>
      <c r="AF4090" s="33"/>
      <c r="AG4090" s="33"/>
      <c r="AH4090" s="33"/>
      <c r="AI4090" s="33"/>
      <c r="AJ4090" s="33"/>
      <c r="AK4090" s="33"/>
      <c r="AL4090" s="33"/>
      <c r="AM4090" s="33"/>
      <c r="AN4090" s="33"/>
      <c r="AO4090" s="33"/>
    </row>
    <row r="4091" ht="15.75" customHeight="1">
      <c r="A4091" s="72"/>
      <c r="B4091" s="61"/>
      <c r="C4091" s="56"/>
      <c r="D4091" s="67"/>
      <c r="E4091" s="56"/>
      <c r="F4091" s="56"/>
      <c r="G4091" s="62"/>
      <c r="H4091" s="65"/>
      <c r="I4091" s="56"/>
      <c r="J4091" s="66"/>
      <c r="K4091" s="67"/>
      <c r="L4091" s="56"/>
      <c r="M4091" s="67"/>
      <c r="N4091" s="56"/>
      <c r="O4091" s="53"/>
      <c r="P4091" s="68"/>
      <c r="Q4091" s="69"/>
      <c r="R4091" s="68"/>
      <c r="S4091" s="70"/>
      <c r="T4091" s="67"/>
      <c r="U4091" s="56"/>
      <c r="V4091" s="56"/>
      <c r="W4091" s="71"/>
      <c r="X4091" s="71"/>
      <c r="AA4091" s="33"/>
      <c r="AB4091" s="33"/>
      <c r="AC4091" s="33"/>
      <c r="AD4091" s="33"/>
      <c r="AE4091" s="33"/>
      <c r="AF4091" s="33"/>
      <c r="AG4091" s="33"/>
      <c r="AH4091" s="33"/>
      <c r="AI4091" s="33"/>
      <c r="AJ4091" s="33"/>
      <c r="AK4091" s="33"/>
      <c r="AL4091" s="33"/>
      <c r="AM4091" s="33"/>
      <c r="AN4091" s="33"/>
      <c r="AO4091" s="33"/>
    </row>
    <row r="4092" ht="15.75" customHeight="1">
      <c r="A4092" s="72"/>
      <c r="B4092" s="61"/>
      <c r="C4092" s="56"/>
      <c r="D4092" s="67"/>
      <c r="E4092" s="56"/>
      <c r="F4092" s="56"/>
      <c r="G4092" s="62"/>
      <c r="H4092" s="65"/>
      <c r="I4092" s="56"/>
      <c r="J4092" s="66"/>
      <c r="K4092" s="67"/>
      <c r="L4092" s="56"/>
      <c r="M4092" s="67"/>
      <c r="N4092" s="56"/>
      <c r="O4092" s="53"/>
      <c r="P4092" s="68"/>
      <c r="Q4092" s="69"/>
      <c r="R4092" s="68"/>
      <c r="S4092" s="70"/>
      <c r="T4092" s="67"/>
      <c r="U4092" s="56"/>
      <c r="V4092" s="56"/>
      <c r="W4092" s="71"/>
      <c r="X4092" s="71"/>
      <c r="AA4092" s="33"/>
      <c r="AB4092" s="33"/>
      <c r="AC4092" s="33"/>
      <c r="AD4092" s="33"/>
      <c r="AE4092" s="33"/>
      <c r="AF4092" s="33"/>
      <c r="AG4092" s="33"/>
      <c r="AH4092" s="33"/>
      <c r="AI4092" s="33"/>
      <c r="AJ4092" s="33"/>
      <c r="AK4092" s="33"/>
      <c r="AL4092" s="33"/>
      <c r="AM4092" s="33"/>
      <c r="AN4092" s="33"/>
      <c r="AO4092" s="33"/>
    </row>
    <row r="4093" ht="15.75" customHeight="1">
      <c r="A4093" s="72"/>
      <c r="B4093" s="61"/>
      <c r="C4093" s="56"/>
      <c r="D4093" s="67"/>
      <c r="E4093" s="56"/>
      <c r="F4093" s="56"/>
      <c r="G4093" s="62"/>
      <c r="H4093" s="65"/>
      <c r="I4093" s="56"/>
      <c r="J4093" s="66"/>
      <c r="K4093" s="67"/>
      <c r="L4093" s="56"/>
      <c r="M4093" s="67"/>
      <c r="N4093" s="56"/>
      <c r="O4093" s="53"/>
      <c r="P4093" s="68"/>
      <c r="Q4093" s="69"/>
      <c r="R4093" s="68"/>
      <c r="S4093" s="70"/>
      <c r="T4093" s="67"/>
      <c r="U4093" s="56"/>
      <c r="V4093" s="56"/>
      <c r="W4093" s="71"/>
      <c r="X4093" s="71"/>
      <c r="AA4093" s="33"/>
      <c r="AB4093" s="33"/>
      <c r="AC4093" s="33"/>
      <c r="AD4093" s="33"/>
      <c r="AE4093" s="33"/>
      <c r="AF4093" s="33"/>
      <c r="AG4093" s="33"/>
      <c r="AH4093" s="33"/>
      <c r="AI4093" s="33"/>
      <c r="AJ4093" s="33"/>
      <c r="AK4093" s="33"/>
      <c r="AL4093" s="33"/>
      <c r="AM4093" s="33"/>
      <c r="AN4093" s="33"/>
      <c r="AO4093" s="33"/>
    </row>
    <row r="4094" ht="15.75" customHeight="1">
      <c r="A4094" s="72"/>
      <c r="B4094" s="61"/>
      <c r="C4094" s="56"/>
      <c r="D4094" s="67"/>
      <c r="E4094" s="56"/>
      <c r="F4094" s="56"/>
      <c r="G4094" s="62"/>
      <c r="H4094" s="65"/>
      <c r="I4094" s="56"/>
      <c r="J4094" s="66"/>
      <c r="K4094" s="67"/>
      <c r="L4094" s="56"/>
      <c r="M4094" s="67"/>
      <c r="N4094" s="56"/>
      <c r="O4094" s="53"/>
      <c r="P4094" s="68"/>
      <c r="Q4094" s="69"/>
      <c r="R4094" s="68"/>
      <c r="S4094" s="70"/>
      <c r="T4094" s="67"/>
      <c r="U4094" s="56"/>
      <c r="V4094" s="56"/>
      <c r="W4094" s="71"/>
      <c r="X4094" s="71"/>
      <c r="AA4094" s="33"/>
      <c r="AB4094" s="33"/>
      <c r="AC4094" s="33"/>
      <c r="AD4094" s="33"/>
      <c r="AE4094" s="33"/>
      <c r="AF4094" s="33"/>
      <c r="AG4094" s="33"/>
      <c r="AH4094" s="33"/>
      <c r="AI4094" s="33"/>
      <c r="AJ4094" s="33"/>
      <c r="AK4094" s="33"/>
      <c r="AL4094" s="33"/>
      <c r="AM4094" s="33"/>
      <c r="AN4094" s="33"/>
      <c r="AO4094" s="33"/>
    </row>
    <row r="4095" ht="15.75" customHeight="1">
      <c r="A4095" s="72"/>
      <c r="B4095" s="61"/>
      <c r="C4095" s="56"/>
      <c r="D4095" s="67"/>
      <c r="E4095" s="56"/>
      <c r="F4095" s="56"/>
      <c r="G4095" s="62"/>
      <c r="H4095" s="65"/>
      <c r="I4095" s="56"/>
      <c r="J4095" s="66"/>
      <c r="K4095" s="67"/>
      <c r="L4095" s="56"/>
      <c r="M4095" s="67"/>
      <c r="N4095" s="56"/>
      <c r="O4095" s="53"/>
      <c r="P4095" s="68"/>
      <c r="Q4095" s="69"/>
      <c r="R4095" s="68"/>
      <c r="S4095" s="70"/>
      <c r="T4095" s="67"/>
      <c r="U4095" s="56"/>
      <c r="V4095" s="56"/>
      <c r="W4095" s="71"/>
      <c r="X4095" s="71"/>
      <c r="AA4095" s="33"/>
      <c r="AB4095" s="33"/>
      <c r="AC4095" s="33"/>
      <c r="AD4095" s="33"/>
      <c r="AE4095" s="33"/>
      <c r="AF4095" s="33"/>
      <c r="AG4095" s="33"/>
      <c r="AH4095" s="33"/>
      <c r="AI4095" s="33"/>
      <c r="AJ4095" s="33"/>
      <c r="AK4095" s="33"/>
      <c r="AL4095" s="33"/>
      <c r="AM4095" s="33"/>
      <c r="AN4095" s="33"/>
      <c r="AO4095" s="33"/>
    </row>
    <row r="4096" ht="15.75" customHeight="1">
      <c r="A4096" s="72"/>
      <c r="B4096" s="61"/>
      <c r="C4096" s="56"/>
      <c r="D4096" s="67"/>
      <c r="E4096" s="56"/>
      <c r="F4096" s="56"/>
      <c r="G4096" s="62"/>
      <c r="H4096" s="65"/>
      <c r="I4096" s="56"/>
      <c r="J4096" s="66"/>
      <c r="K4096" s="67"/>
      <c r="L4096" s="56"/>
      <c r="M4096" s="67"/>
      <c r="N4096" s="56"/>
      <c r="O4096" s="53"/>
      <c r="P4096" s="68"/>
      <c r="Q4096" s="69"/>
      <c r="R4096" s="68"/>
      <c r="S4096" s="70"/>
      <c r="T4096" s="67"/>
      <c r="U4096" s="56"/>
      <c r="V4096" s="56"/>
      <c r="W4096" s="71"/>
      <c r="X4096" s="71"/>
      <c r="AA4096" s="33"/>
      <c r="AB4096" s="33"/>
      <c r="AC4096" s="33"/>
      <c r="AD4096" s="33"/>
      <c r="AE4096" s="33"/>
      <c r="AF4096" s="33"/>
      <c r="AG4096" s="33"/>
      <c r="AH4096" s="33"/>
      <c r="AI4096" s="33"/>
      <c r="AJ4096" s="33"/>
      <c r="AK4096" s="33"/>
      <c r="AL4096" s="33"/>
      <c r="AM4096" s="33"/>
      <c r="AN4096" s="33"/>
      <c r="AO4096" s="33"/>
    </row>
    <row r="4097" ht="15.75" customHeight="1">
      <c r="A4097" s="72"/>
      <c r="B4097" s="61"/>
      <c r="C4097" s="56"/>
      <c r="D4097" s="67"/>
      <c r="E4097" s="56"/>
      <c r="F4097" s="56"/>
      <c r="G4097" s="62"/>
      <c r="H4097" s="65"/>
      <c r="I4097" s="56"/>
      <c r="J4097" s="66"/>
      <c r="K4097" s="67"/>
      <c r="L4097" s="56"/>
      <c r="M4097" s="67"/>
      <c r="N4097" s="56"/>
      <c r="O4097" s="53"/>
      <c r="P4097" s="68"/>
      <c r="Q4097" s="69"/>
      <c r="R4097" s="68"/>
      <c r="S4097" s="70"/>
      <c r="T4097" s="67"/>
      <c r="U4097" s="56"/>
      <c r="V4097" s="56"/>
      <c r="W4097" s="71"/>
      <c r="X4097" s="71"/>
      <c r="AA4097" s="33"/>
      <c r="AB4097" s="33"/>
      <c r="AC4097" s="33"/>
      <c r="AD4097" s="33"/>
      <c r="AE4097" s="33"/>
      <c r="AF4097" s="33"/>
      <c r="AG4097" s="33"/>
      <c r="AH4097" s="33"/>
      <c r="AI4097" s="33"/>
      <c r="AJ4097" s="33"/>
      <c r="AK4097" s="33"/>
      <c r="AL4097" s="33"/>
      <c r="AM4097" s="33"/>
      <c r="AN4097" s="33"/>
      <c r="AO4097" s="33"/>
    </row>
    <row r="4098" ht="15.75" customHeight="1">
      <c r="A4098" s="72"/>
      <c r="B4098" s="61"/>
      <c r="C4098" s="56"/>
      <c r="D4098" s="67"/>
      <c r="E4098" s="56"/>
      <c r="F4098" s="56"/>
      <c r="G4098" s="62"/>
      <c r="H4098" s="65"/>
      <c r="I4098" s="56"/>
      <c r="J4098" s="66"/>
      <c r="K4098" s="67"/>
      <c r="L4098" s="56"/>
      <c r="M4098" s="67"/>
      <c r="N4098" s="56"/>
      <c r="O4098" s="53"/>
      <c r="P4098" s="68"/>
      <c r="Q4098" s="69"/>
      <c r="R4098" s="68"/>
      <c r="S4098" s="70"/>
      <c r="T4098" s="67"/>
      <c r="U4098" s="56"/>
      <c r="V4098" s="56"/>
      <c r="W4098" s="71"/>
      <c r="X4098" s="71"/>
      <c r="AA4098" s="33"/>
      <c r="AB4098" s="33"/>
      <c r="AC4098" s="33"/>
      <c r="AD4098" s="33"/>
      <c r="AE4098" s="33"/>
      <c r="AF4098" s="33"/>
      <c r="AG4098" s="33"/>
      <c r="AH4098" s="33"/>
      <c r="AI4098" s="33"/>
      <c r="AJ4098" s="33"/>
      <c r="AK4098" s="33"/>
      <c r="AL4098" s="33"/>
      <c r="AM4098" s="33"/>
      <c r="AN4098" s="33"/>
      <c r="AO4098" s="33"/>
    </row>
    <row r="4099" ht="15.75" customHeight="1">
      <c r="A4099" s="72"/>
      <c r="B4099" s="61"/>
      <c r="C4099" s="56"/>
      <c r="D4099" s="67"/>
      <c r="E4099" s="56"/>
      <c r="F4099" s="56"/>
      <c r="G4099" s="62"/>
      <c r="H4099" s="65"/>
      <c r="I4099" s="56"/>
      <c r="J4099" s="66"/>
      <c r="K4099" s="67"/>
      <c r="L4099" s="56"/>
      <c r="M4099" s="67"/>
      <c r="N4099" s="56"/>
      <c r="O4099" s="53"/>
      <c r="P4099" s="68"/>
      <c r="Q4099" s="69"/>
      <c r="R4099" s="68"/>
      <c r="S4099" s="70"/>
      <c r="T4099" s="67"/>
      <c r="U4099" s="56"/>
      <c r="V4099" s="56"/>
      <c r="W4099" s="71"/>
      <c r="X4099" s="71"/>
      <c r="AA4099" s="33"/>
      <c r="AB4099" s="33"/>
      <c r="AC4099" s="33"/>
      <c r="AD4099" s="33"/>
      <c r="AE4099" s="33"/>
      <c r="AF4099" s="33"/>
      <c r="AG4099" s="33"/>
      <c r="AH4099" s="33"/>
      <c r="AI4099" s="33"/>
      <c r="AJ4099" s="33"/>
      <c r="AK4099" s="33"/>
      <c r="AL4099" s="33"/>
      <c r="AM4099" s="33"/>
      <c r="AN4099" s="33"/>
      <c r="AO4099" s="33"/>
    </row>
    <row r="4100" ht="15.75" customHeight="1">
      <c r="A4100" s="72"/>
      <c r="B4100" s="61"/>
      <c r="C4100" s="56"/>
      <c r="D4100" s="67"/>
      <c r="E4100" s="56"/>
      <c r="F4100" s="56"/>
      <c r="G4100" s="62"/>
      <c r="H4100" s="65"/>
      <c r="I4100" s="56"/>
      <c r="J4100" s="66"/>
      <c r="K4100" s="67"/>
      <c r="L4100" s="56"/>
      <c r="M4100" s="67"/>
      <c r="N4100" s="56"/>
      <c r="O4100" s="53"/>
      <c r="P4100" s="68"/>
      <c r="Q4100" s="69"/>
      <c r="R4100" s="68"/>
      <c r="S4100" s="70"/>
      <c r="T4100" s="67"/>
      <c r="U4100" s="56"/>
      <c r="V4100" s="56"/>
      <c r="W4100" s="71"/>
      <c r="X4100" s="71"/>
      <c r="AA4100" s="33"/>
      <c r="AB4100" s="33"/>
      <c r="AC4100" s="33"/>
      <c r="AD4100" s="33"/>
      <c r="AE4100" s="33"/>
      <c r="AF4100" s="33"/>
      <c r="AG4100" s="33"/>
      <c r="AH4100" s="33"/>
      <c r="AI4100" s="33"/>
      <c r="AJ4100" s="33"/>
      <c r="AK4100" s="33"/>
      <c r="AL4100" s="33"/>
      <c r="AM4100" s="33"/>
      <c r="AN4100" s="33"/>
      <c r="AO4100" s="33"/>
    </row>
    <row r="4101" ht="15.75" customHeight="1">
      <c r="A4101" s="72"/>
      <c r="B4101" s="61"/>
      <c r="C4101" s="56"/>
      <c r="D4101" s="67"/>
      <c r="E4101" s="56"/>
      <c r="F4101" s="56"/>
      <c r="G4101" s="62"/>
      <c r="H4101" s="65"/>
      <c r="I4101" s="56"/>
      <c r="J4101" s="66"/>
      <c r="K4101" s="67"/>
      <c r="L4101" s="56"/>
      <c r="M4101" s="67"/>
      <c r="N4101" s="56"/>
      <c r="O4101" s="53"/>
      <c r="P4101" s="68"/>
      <c r="Q4101" s="69"/>
      <c r="R4101" s="68"/>
      <c r="S4101" s="70"/>
      <c r="T4101" s="67"/>
      <c r="U4101" s="56"/>
      <c r="V4101" s="56"/>
      <c r="W4101" s="71"/>
      <c r="X4101" s="71"/>
      <c r="AA4101" s="33"/>
      <c r="AB4101" s="33"/>
      <c r="AC4101" s="33"/>
      <c r="AD4101" s="33"/>
      <c r="AE4101" s="33"/>
      <c r="AF4101" s="33"/>
      <c r="AG4101" s="33"/>
      <c r="AH4101" s="33"/>
      <c r="AI4101" s="33"/>
      <c r="AJ4101" s="33"/>
      <c r="AK4101" s="33"/>
      <c r="AL4101" s="33"/>
      <c r="AM4101" s="33"/>
      <c r="AN4101" s="33"/>
      <c r="AO4101" s="33"/>
    </row>
    <row r="4102" ht="15.75" customHeight="1">
      <c r="A4102" s="72"/>
      <c r="B4102" s="61"/>
      <c r="C4102" s="56"/>
      <c r="D4102" s="67"/>
      <c r="E4102" s="56"/>
      <c r="F4102" s="56"/>
      <c r="G4102" s="62"/>
      <c r="H4102" s="65"/>
      <c r="I4102" s="56"/>
      <c r="J4102" s="66"/>
      <c r="K4102" s="67"/>
      <c r="L4102" s="56"/>
      <c r="M4102" s="67"/>
      <c r="N4102" s="56"/>
      <c r="O4102" s="53"/>
      <c r="P4102" s="68"/>
      <c r="Q4102" s="69"/>
      <c r="R4102" s="68"/>
      <c r="S4102" s="70"/>
      <c r="T4102" s="67"/>
      <c r="U4102" s="56"/>
      <c r="V4102" s="56"/>
      <c r="W4102" s="71"/>
      <c r="X4102" s="71"/>
      <c r="AA4102" s="33"/>
      <c r="AB4102" s="33"/>
      <c r="AC4102" s="33"/>
      <c r="AD4102" s="33"/>
      <c r="AE4102" s="33"/>
      <c r="AF4102" s="33"/>
      <c r="AG4102" s="33"/>
      <c r="AH4102" s="33"/>
      <c r="AI4102" s="33"/>
      <c r="AJ4102" s="33"/>
      <c r="AK4102" s="33"/>
      <c r="AL4102" s="33"/>
      <c r="AM4102" s="33"/>
      <c r="AN4102" s="33"/>
      <c r="AO4102" s="33"/>
    </row>
    <row r="4103" ht="15.75" customHeight="1">
      <c r="A4103" s="72"/>
      <c r="B4103" s="61"/>
      <c r="C4103" s="56"/>
      <c r="D4103" s="67"/>
      <c r="E4103" s="56"/>
      <c r="F4103" s="56"/>
      <c r="G4103" s="62"/>
      <c r="H4103" s="65"/>
      <c r="I4103" s="56"/>
      <c r="J4103" s="66"/>
      <c r="K4103" s="67"/>
      <c r="L4103" s="56"/>
      <c r="M4103" s="67"/>
      <c r="N4103" s="56"/>
      <c r="O4103" s="53"/>
      <c r="P4103" s="68"/>
      <c r="Q4103" s="69"/>
      <c r="R4103" s="68"/>
      <c r="S4103" s="70"/>
      <c r="T4103" s="67"/>
      <c r="U4103" s="56"/>
      <c r="V4103" s="56"/>
      <c r="W4103" s="71"/>
      <c r="X4103" s="71"/>
      <c r="AA4103" s="33"/>
      <c r="AB4103" s="33"/>
      <c r="AC4103" s="33"/>
      <c r="AD4103" s="33"/>
      <c r="AE4103" s="33"/>
      <c r="AF4103" s="33"/>
      <c r="AG4103" s="33"/>
      <c r="AH4103" s="33"/>
      <c r="AI4103" s="33"/>
      <c r="AJ4103" s="33"/>
      <c r="AK4103" s="33"/>
      <c r="AL4103" s="33"/>
      <c r="AM4103" s="33"/>
      <c r="AN4103" s="33"/>
      <c r="AO4103" s="33"/>
    </row>
    <row r="4104" ht="15.75" customHeight="1">
      <c r="A4104" s="72"/>
      <c r="B4104" s="61"/>
      <c r="C4104" s="56"/>
      <c r="D4104" s="67"/>
      <c r="E4104" s="56"/>
      <c r="F4104" s="56"/>
      <c r="G4104" s="62"/>
      <c r="H4104" s="65"/>
      <c r="I4104" s="56"/>
      <c r="J4104" s="66"/>
      <c r="K4104" s="67"/>
      <c r="L4104" s="56"/>
      <c r="M4104" s="67"/>
      <c r="N4104" s="56"/>
      <c r="O4104" s="53"/>
      <c r="P4104" s="68"/>
      <c r="Q4104" s="69"/>
      <c r="R4104" s="68"/>
      <c r="S4104" s="70"/>
      <c r="T4104" s="67"/>
      <c r="U4104" s="56"/>
      <c r="V4104" s="56"/>
      <c r="W4104" s="71"/>
      <c r="X4104" s="71"/>
      <c r="AA4104" s="33"/>
      <c r="AB4104" s="33"/>
      <c r="AC4104" s="33"/>
      <c r="AD4104" s="33"/>
      <c r="AE4104" s="33"/>
      <c r="AF4104" s="33"/>
      <c r="AG4104" s="33"/>
      <c r="AH4104" s="33"/>
      <c r="AI4104" s="33"/>
      <c r="AJ4104" s="33"/>
      <c r="AK4104" s="33"/>
      <c r="AL4104" s="33"/>
      <c r="AM4104" s="33"/>
      <c r="AN4104" s="33"/>
      <c r="AO4104" s="33"/>
    </row>
    <row r="4105" ht="15.75" customHeight="1">
      <c r="A4105" s="72"/>
      <c r="B4105" s="61"/>
      <c r="C4105" s="56"/>
      <c r="D4105" s="67"/>
      <c r="E4105" s="56"/>
      <c r="F4105" s="56"/>
      <c r="G4105" s="62"/>
      <c r="H4105" s="65"/>
      <c r="I4105" s="56"/>
      <c r="J4105" s="66"/>
      <c r="K4105" s="67"/>
      <c r="L4105" s="56"/>
      <c r="M4105" s="67"/>
      <c r="N4105" s="56"/>
      <c r="O4105" s="53"/>
      <c r="P4105" s="68"/>
      <c r="Q4105" s="69"/>
      <c r="R4105" s="68"/>
      <c r="S4105" s="70"/>
      <c r="T4105" s="67"/>
      <c r="U4105" s="56"/>
      <c r="V4105" s="56"/>
      <c r="W4105" s="71"/>
      <c r="X4105" s="71"/>
      <c r="AA4105" s="33"/>
      <c r="AB4105" s="33"/>
      <c r="AC4105" s="33"/>
      <c r="AD4105" s="33"/>
      <c r="AE4105" s="33"/>
      <c r="AF4105" s="33"/>
      <c r="AG4105" s="33"/>
      <c r="AH4105" s="33"/>
      <c r="AI4105" s="33"/>
      <c r="AJ4105" s="33"/>
      <c r="AK4105" s="33"/>
      <c r="AL4105" s="33"/>
      <c r="AM4105" s="33"/>
      <c r="AN4105" s="33"/>
      <c r="AO4105" s="33"/>
    </row>
    <row r="4106" ht="15.75" customHeight="1">
      <c r="A4106" s="72"/>
      <c r="B4106" s="61"/>
      <c r="C4106" s="56"/>
      <c r="D4106" s="67"/>
      <c r="E4106" s="56"/>
      <c r="F4106" s="56"/>
      <c r="G4106" s="62"/>
      <c r="H4106" s="65"/>
      <c r="I4106" s="56"/>
      <c r="J4106" s="66"/>
      <c r="K4106" s="67"/>
      <c r="L4106" s="56"/>
      <c r="M4106" s="67"/>
      <c r="N4106" s="56"/>
      <c r="O4106" s="53"/>
      <c r="P4106" s="68"/>
      <c r="Q4106" s="69"/>
      <c r="R4106" s="68"/>
      <c r="S4106" s="70"/>
      <c r="T4106" s="67"/>
      <c r="U4106" s="56"/>
      <c r="V4106" s="56"/>
      <c r="W4106" s="71"/>
      <c r="X4106" s="71"/>
      <c r="AA4106" s="33"/>
      <c r="AB4106" s="33"/>
      <c r="AC4106" s="33"/>
      <c r="AD4106" s="33"/>
      <c r="AE4106" s="33"/>
      <c r="AF4106" s="33"/>
      <c r="AG4106" s="33"/>
      <c r="AH4106" s="33"/>
      <c r="AI4106" s="33"/>
      <c r="AJ4106" s="33"/>
      <c r="AK4106" s="33"/>
      <c r="AL4106" s="33"/>
      <c r="AM4106" s="33"/>
      <c r="AN4106" s="33"/>
      <c r="AO4106" s="33"/>
    </row>
    <row r="4107" ht="15.75" customHeight="1">
      <c r="A4107" s="72"/>
      <c r="B4107" s="61"/>
      <c r="C4107" s="56"/>
      <c r="D4107" s="67"/>
      <c r="E4107" s="56"/>
      <c r="F4107" s="56"/>
      <c r="G4107" s="62"/>
      <c r="H4107" s="65"/>
      <c r="I4107" s="56"/>
      <c r="J4107" s="66"/>
      <c r="K4107" s="67"/>
      <c r="L4107" s="56"/>
      <c r="M4107" s="67"/>
      <c r="N4107" s="56"/>
      <c r="O4107" s="53"/>
      <c r="P4107" s="68"/>
      <c r="Q4107" s="69"/>
      <c r="R4107" s="68"/>
      <c r="S4107" s="70"/>
      <c r="T4107" s="67"/>
      <c r="U4107" s="56"/>
      <c r="V4107" s="56"/>
      <c r="W4107" s="71"/>
      <c r="X4107" s="71"/>
      <c r="AA4107" s="33"/>
      <c r="AB4107" s="33"/>
      <c r="AC4107" s="33"/>
      <c r="AD4107" s="33"/>
      <c r="AE4107" s="33"/>
      <c r="AF4107" s="33"/>
      <c r="AG4107" s="33"/>
      <c r="AH4107" s="33"/>
      <c r="AI4107" s="33"/>
      <c r="AJ4107" s="33"/>
      <c r="AK4107" s="33"/>
      <c r="AL4107" s="33"/>
      <c r="AM4107" s="33"/>
      <c r="AN4107" s="33"/>
      <c r="AO4107" s="33"/>
    </row>
    <row r="4108" ht="15.75" customHeight="1">
      <c r="A4108" s="72"/>
      <c r="B4108" s="61"/>
      <c r="C4108" s="56"/>
      <c r="D4108" s="67"/>
      <c r="E4108" s="56"/>
      <c r="F4108" s="56"/>
      <c r="G4108" s="62"/>
      <c r="H4108" s="65"/>
      <c r="I4108" s="56"/>
      <c r="J4108" s="66"/>
      <c r="K4108" s="67"/>
      <c r="L4108" s="56"/>
      <c r="M4108" s="67"/>
      <c r="N4108" s="56"/>
      <c r="O4108" s="53"/>
      <c r="P4108" s="68"/>
      <c r="Q4108" s="69"/>
      <c r="R4108" s="68"/>
      <c r="S4108" s="70"/>
      <c r="T4108" s="67"/>
      <c r="U4108" s="56"/>
      <c r="V4108" s="56"/>
      <c r="W4108" s="71"/>
      <c r="X4108" s="71"/>
      <c r="AA4108" s="33"/>
      <c r="AB4108" s="33"/>
      <c r="AC4108" s="33"/>
      <c r="AD4108" s="33"/>
      <c r="AE4108" s="33"/>
      <c r="AF4108" s="33"/>
      <c r="AG4108" s="33"/>
      <c r="AH4108" s="33"/>
      <c r="AI4108" s="33"/>
      <c r="AJ4108" s="33"/>
      <c r="AK4108" s="33"/>
      <c r="AL4108" s="33"/>
      <c r="AM4108" s="33"/>
      <c r="AN4108" s="33"/>
      <c r="AO4108" s="33"/>
    </row>
    <row r="4109" ht="15.75" customHeight="1">
      <c r="A4109" s="72"/>
      <c r="B4109" s="61"/>
      <c r="C4109" s="56"/>
      <c r="D4109" s="67"/>
      <c r="E4109" s="56"/>
      <c r="F4109" s="56"/>
      <c r="G4109" s="62"/>
      <c r="H4109" s="65"/>
      <c r="I4109" s="56"/>
      <c r="J4109" s="66"/>
      <c r="K4109" s="67"/>
      <c r="L4109" s="56"/>
      <c r="M4109" s="67"/>
      <c r="N4109" s="56"/>
      <c r="O4109" s="53"/>
      <c r="P4109" s="68"/>
      <c r="Q4109" s="69"/>
      <c r="R4109" s="68"/>
      <c r="S4109" s="70"/>
      <c r="T4109" s="67"/>
      <c r="U4109" s="56"/>
      <c r="V4109" s="56"/>
      <c r="W4109" s="71"/>
      <c r="X4109" s="71"/>
      <c r="AA4109" s="33"/>
      <c r="AB4109" s="33"/>
      <c r="AC4109" s="33"/>
      <c r="AD4109" s="33"/>
      <c r="AE4109" s="33"/>
      <c r="AF4109" s="33"/>
      <c r="AG4109" s="33"/>
      <c r="AH4109" s="33"/>
      <c r="AI4109" s="33"/>
      <c r="AJ4109" s="33"/>
      <c r="AK4109" s="33"/>
      <c r="AL4109" s="33"/>
      <c r="AM4109" s="33"/>
      <c r="AN4109" s="33"/>
      <c r="AO4109" s="33"/>
    </row>
    <row r="4110" ht="15.75" customHeight="1">
      <c r="A4110" s="72"/>
      <c r="B4110" s="61"/>
      <c r="C4110" s="56"/>
      <c r="D4110" s="67"/>
      <c r="E4110" s="56"/>
      <c r="F4110" s="56"/>
      <c r="G4110" s="62"/>
      <c r="H4110" s="65"/>
      <c r="I4110" s="56"/>
      <c r="J4110" s="66"/>
      <c r="K4110" s="67"/>
      <c r="L4110" s="56"/>
      <c r="M4110" s="67"/>
      <c r="N4110" s="56"/>
      <c r="O4110" s="53"/>
      <c r="P4110" s="68"/>
      <c r="Q4110" s="69"/>
      <c r="R4110" s="68"/>
      <c r="S4110" s="70"/>
      <c r="T4110" s="67"/>
      <c r="U4110" s="56"/>
      <c r="V4110" s="56"/>
      <c r="W4110" s="71"/>
      <c r="X4110" s="71"/>
      <c r="AA4110" s="33"/>
      <c r="AB4110" s="33"/>
      <c r="AC4110" s="33"/>
      <c r="AD4110" s="33"/>
      <c r="AE4110" s="33"/>
      <c r="AF4110" s="33"/>
      <c r="AG4110" s="33"/>
      <c r="AH4110" s="33"/>
      <c r="AI4110" s="33"/>
      <c r="AJ4110" s="33"/>
      <c r="AK4110" s="33"/>
      <c r="AL4110" s="33"/>
      <c r="AM4110" s="33"/>
      <c r="AN4110" s="33"/>
      <c r="AO4110" s="33"/>
    </row>
    <row r="4111" ht="15.75" customHeight="1">
      <c r="A4111" s="72"/>
      <c r="B4111" s="61"/>
      <c r="C4111" s="56"/>
      <c r="D4111" s="67"/>
      <c r="E4111" s="56"/>
      <c r="F4111" s="56"/>
      <c r="G4111" s="62"/>
      <c r="H4111" s="65"/>
      <c r="I4111" s="56"/>
      <c r="J4111" s="66"/>
      <c r="K4111" s="67"/>
      <c r="L4111" s="56"/>
      <c r="M4111" s="67"/>
      <c r="N4111" s="56"/>
      <c r="O4111" s="53"/>
      <c r="P4111" s="68"/>
      <c r="Q4111" s="69"/>
      <c r="R4111" s="68"/>
      <c r="S4111" s="70"/>
      <c r="T4111" s="67"/>
      <c r="U4111" s="56"/>
      <c r="V4111" s="56"/>
      <c r="W4111" s="71"/>
      <c r="X4111" s="71"/>
      <c r="AA4111" s="33"/>
      <c r="AB4111" s="33"/>
      <c r="AC4111" s="33"/>
      <c r="AD4111" s="33"/>
      <c r="AE4111" s="33"/>
      <c r="AF4111" s="33"/>
      <c r="AG4111" s="33"/>
      <c r="AH4111" s="33"/>
      <c r="AI4111" s="33"/>
      <c r="AJ4111" s="33"/>
      <c r="AK4111" s="33"/>
      <c r="AL4111" s="33"/>
      <c r="AM4111" s="33"/>
      <c r="AN4111" s="33"/>
      <c r="AO4111" s="33"/>
    </row>
    <row r="4112" ht="15.75" customHeight="1">
      <c r="A4112" s="72"/>
      <c r="B4112" s="61"/>
      <c r="C4112" s="56"/>
      <c r="D4112" s="67"/>
      <c r="E4112" s="56"/>
      <c r="F4112" s="56"/>
      <c r="G4112" s="62"/>
      <c r="H4112" s="65"/>
      <c r="I4112" s="56"/>
      <c r="J4112" s="66"/>
      <c r="K4112" s="67"/>
      <c r="L4112" s="56"/>
      <c r="M4112" s="67"/>
      <c r="N4112" s="56"/>
      <c r="O4112" s="53"/>
      <c r="P4112" s="68"/>
      <c r="Q4112" s="69"/>
      <c r="R4112" s="68"/>
      <c r="S4112" s="70"/>
      <c r="T4112" s="67"/>
      <c r="U4112" s="56"/>
      <c r="V4112" s="56"/>
      <c r="W4112" s="71"/>
      <c r="X4112" s="71"/>
      <c r="AA4112" s="33"/>
      <c r="AB4112" s="33"/>
      <c r="AC4112" s="33"/>
      <c r="AD4112" s="33"/>
      <c r="AE4112" s="33"/>
      <c r="AF4112" s="33"/>
      <c r="AG4112" s="33"/>
      <c r="AH4112" s="33"/>
      <c r="AI4112" s="33"/>
      <c r="AJ4112" s="33"/>
      <c r="AK4112" s="33"/>
      <c r="AL4112" s="33"/>
      <c r="AM4112" s="33"/>
      <c r="AN4112" s="33"/>
      <c r="AO4112" s="33"/>
    </row>
    <row r="4113" ht="15.75" customHeight="1">
      <c r="A4113" s="72"/>
      <c r="B4113" s="61"/>
      <c r="C4113" s="56"/>
      <c r="D4113" s="67"/>
      <c r="E4113" s="56"/>
      <c r="F4113" s="56"/>
      <c r="G4113" s="62"/>
      <c r="H4113" s="65"/>
      <c r="I4113" s="56"/>
      <c r="J4113" s="66"/>
      <c r="K4113" s="67"/>
      <c r="L4113" s="56"/>
      <c r="M4113" s="67"/>
      <c r="N4113" s="56"/>
      <c r="O4113" s="53"/>
      <c r="P4113" s="68"/>
      <c r="Q4113" s="69"/>
      <c r="R4113" s="68"/>
      <c r="S4113" s="70"/>
      <c r="T4113" s="67"/>
      <c r="U4113" s="56"/>
      <c r="V4113" s="56"/>
      <c r="W4113" s="71"/>
      <c r="X4113" s="71"/>
      <c r="AA4113" s="33"/>
      <c r="AB4113" s="33"/>
      <c r="AC4113" s="33"/>
      <c r="AD4113" s="33"/>
      <c r="AE4113" s="33"/>
      <c r="AF4113" s="33"/>
      <c r="AG4113" s="33"/>
      <c r="AH4113" s="33"/>
      <c r="AI4113" s="33"/>
      <c r="AJ4113" s="33"/>
      <c r="AK4113" s="33"/>
      <c r="AL4113" s="33"/>
      <c r="AM4113" s="33"/>
      <c r="AN4113" s="33"/>
      <c r="AO4113" s="33"/>
    </row>
    <row r="4114" ht="15.75" customHeight="1">
      <c r="A4114" s="72"/>
      <c r="B4114" s="61"/>
      <c r="C4114" s="56"/>
      <c r="D4114" s="67"/>
      <c r="E4114" s="56"/>
      <c r="F4114" s="56"/>
      <c r="G4114" s="62"/>
      <c r="H4114" s="65"/>
      <c r="I4114" s="56"/>
      <c r="J4114" s="66"/>
      <c r="K4114" s="67"/>
      <c r="L4114" s="56"/>
      <c r="M4114" s="67"/>
      <c r="N4114" s="56"/>
      <c r="O4114" s="53"/>
      <c r="P4114" s="68"/>
      <c r="Q4114" s="69"/>
      <c r="R4114" s="68"/>
      <c r="S4114" s="70"/>
      <c r="T4114" s="67"/>
      <c r="U4114" s="56"/>
      <c r="V4114" s="56"/>
      <c r="W4114" s="71"/>
      <c r="X4114" s="71"/>
      <c r="AA4114" s="33"/>
      <c r="AB4114" s="33"/>
      <c r="AC4114" s="33"/>
      <c r="AD4114" s="33"/>
      <c r="AE4114" s="33"/>
      <c r="AF4114" s="33"/>
      <c r="AG4114" s="33"/>
      <c r="AH4114" s="33"/>
      <c r="AI4114" s="33"/>
      <c r="AJ4114" s="33"/>
      <c r="AK4114" s="33"/>
      <c r="AL4114" s="33"/>
      <c r="AM4114" s="33"/>
      <c r="AN4114" s="33"/>
      <c r="AO4114" s="33"/>
    </row>
    <row r="4115" ht="15.75" customHeight="1">
      <c r="A4115" s="72"/>
      <c r="B4115" s="61"/>
      <c r="C4115" s="56"/>
      <c r="D4115" s="67"/>
      <c r="E4115" s="56"/>
      <c r="F4115" s="56"/>
      <c r="G4115" s="62"/>
      <c r="H4115" s="65"/>
      <c r="I4115" s="56"/>
      <c r="J4115" s="66"/>
      <c r="K4115" s="67"/>
      <c r="L4115" s="56"/>
      <c r="M4115" s="67"/>
      <c r="N4115" s="56"/>
      <c r="O4115" s="53"/>
      <c r="P4115" s="68"/>
      <c r="Q4115" s="69"/>
      <c r="R4115" s="68"/>
      <c r="S4115" s="70"/>
      <c r="T4115" s="67"/>
      <c r="U4115" s="56"/>
      <c r="V4115" s="56"/>
      <c r="W4115" s="71"/>
      <c r="X4115" s="71"/>
      <c r="AA4115" s="33"/>
      <c r="AB4115" s="33"/>
      <c r="AC4115" s="33"/>
      <c r="AD4115" s="33"/>
      <c r="AE4115" s="33"/>
      <c r="AF4115" s="33"/>
      <c r="AG4115" s="33"/>
      <c r="AH4115" s="33"/>
      <c r="AI4115" s="33"/>
      <c r="AJ4115" s="33"/>
      <c r="AK4115" s="33"/>
      <c r="AL4115" s="33"/>
      <c r="AM4115" s="33"/>
      <c r="AN4115" s="33"/>
      <c r="AO4115" s="33"/>
    </row>
    <row r="4116" ht="15.75" customHeight="1">
      <c r="A4116" s="72"/>
      <c r="B4116" s="61"/>
      <c r="C4116" s="56"/>
      <c r="D4116" s="67"/>
      <c r="E4116" s="56"/>
      <c r="F4116" s="56"/>
      <c r="G4116" s="62"/>
      <c r="H4116" s="65"/>
      <c r="I4116" s="56"/>
      <c r="J4116" s="66"/>
      <c r="K4116" s="67"/>
      <c r="L4116" s="56"/>
      <c r="M4116" s="67"/>
      <c r="N4116" s="56"/>
      <c r="O4116" s="53"/>
      <c r="P4116" s="68"/>
      <c r="Q4116" s="69"/>
      <c r="R4116" s="68"/>
      <c r="S4116" s="70"/>
      <c r="T4116" s="67"/>
      <c r="U4116" s="56"/>
      <c r="V4116" s="56"/>
      <c r="W4116" s="71"/>
      <c r="X4116" s="71"/>
      <c r="AA4116" s="33"/>
      <c r="AB4116" s="33"/>
      <c r="AC4116" s="33"/>
      <c r="AD4116" s="33"/>
      <c r="AE4116" s="33"/>
      <c r="AF4116" s="33"/>
      <c r="AG4116" s="33"/>
      <c r="AH4116" s="33"/>
      <c r="AI4116" s="33"/>
      <c r="AJ4116" s="33"/>
      <c r="AK4116" s="33"/>
      <c r="AL4116" s="33"/>
      <c r="AM4116" s="33"/>
      <c r="AN4116" s="33"/>
      <c r="AO4116" s="33"/>
    </row>
    <row r="4117" ht="15.75" customHeight="1">
      <c r="A4117" s="72"/>
      <c r="B4117" s="61"/>
      <c r="C4117" s="56"/>
      <c r="D4117" s="67"/>
      <c r="E4117" s="56"/>
      <c r="F4117" s="56"/>
      <c r="G4117" s="62"/>
      <c r="H4117" s="65"/>
      <c r="I4117" s="56"/>
      <c r="J4117" s="66"/>
      <c r="K4117" s="67"/>
      <c r="L4117" s="56"/>
      <c r="M4117" s="67"/>
      <c r="N4117" s="56"/>
      <c r="O4117" s="53"/>
      <c r="P4117" s="68"/>
      <c r="Q4117" s="69"/>
      <c r="R4117" s="68"/>
      <c r="S4117" s="70"/>
      <c r="T4117" s="67"/>
      <c r="U4117" s="56"/>
      <c r="V4117" s="56"/>
      <c r="W4117" s="71"/>
      <c r="X4117" s="71"/>
      <c r="AA4117" s="33"/>
      <c r="AB4117" s="33"/>
      <c r="AC4117" s="33"/>
      <c r="AD4117" s="33"/>
      <c r="AE4117" s="33"/>
      <c r="AF4117" s="33"/>
      <c r="AG4117" s="33"/>
      <c r="AH4117" s="33"/>
      <c r="AI4117" s="33"/>
      <c r="AJ4117" s="33"/>
      <c r="AK4117" s="33"/>
      <c r="AL4117" s="33"/>
      <c r="AM4117" s="33"/>
      <c r="AN4117" s="33"/>
      <c r="AO4117" s="33"/>
    </row>
    <row r="4118" ht="15.75" customHeight="1">
      <c r="A4118" s="72"/>
      <c r="B4118" s="61"/>
      <c r="C4118" s="56"/>
      <c r="D4118" s="67"/>
      <c r="E4118" s="56"/>
      <c r="F4118" s="56"/>
      <c r="G4118" s="62"/>
      <c r="H4118" s="65"/>
      <c r="I4118" s="56"/>
      <c r="J4118" s="66"/>
      <c r="K4118" s="67"/>
      <c r="L4118" s="56"/>
      <c r="M4118" s="67"/>
      <c r="N4118" s="56"/>
      <c r="O4118" s="53"/>
      <c r="P4118" s="68"/>
      <c r="Q4118" s="69"/>
      <c r="R4118" s="68"/>
      <c r="S4118" s="70"/>
      <c r="T4118" s="67"/>
      <c r="U4118" s="56"/>
      <c r="V4118" s="56"/>
      <c r="W4118" s="71"/>
      <c r="X4118" s="71"/>
      <c r="AA4118" s="33"/>
      <c r="AB4118" s="33"/>
      <c r="AC4118" s="33"/>
      <c r="AD4118" s="33"/>
      <c r="AE4118" s="33"/>
      <c r="AF4118" s="33"/>
      <c r="AG4118" s="33"/>
      <c r="AH4118" s="33"/>
      <c r="AI4118" s="33"/>
      <c r="AJ4118" s="33"/>
      <c r="AK4118" s="33"/>
      <c r="AL4118" s="33"/>
      <c r="AM4118" s="33"/>
      <c r="AN4118" s="33"/>
      <c r="AO4118" s="33"/>
    </row>
    <row r="4119" ht="15.75" customHeight="1">
      <c r="A4119" s="72"/>
      <c r="B4119" s="61"/>
      <c r="C4119" s="56"/>
      <c r="D4119" s="67"/>
      <c r="E4119" s="56"/>
      <c r="F4119" s="56"/>
      <c r="G4119" s="62"/>
      <c r="H4119" s="65"/>
      <c r="I4119" s="56"/>
      <c r="J4119" s="66"/>
      <c r="K4119" s="67"/>
      <c r="L4119" s="56"/>
      <c r="M4119" s="67"/>
      <c r="N4119" s="56"/>
      <c r="O4119" s="53"/>
      <c r="P4119" s="68"/>
      <c r="Q4119" s="69"/>
      <c r="R4119" s="68"/>
      <c r="S4119" s="70"/>
      <c r="T4119" s="67"/>
      <c r="U4119" s="56"/>
      <c r="V4119" s="56"/>
      <c r="W4119" s="71"/>
      <c r="X4119" s="71"/>
      <c r="AA4119" s="33"/>
      <c r="AB4119" s="33"/>
      <c r="AC4119" s="33"/>
      <c r="AD4119" s="33"/>
      <c r="AE4119" s="33"/>
      <c r="AF4119" s="33"/>
      <c r="AG4119" s="33"/>
      <c r="AH4119" s="33"/>
      <c r="AI4119" s="33"/>
      <c r="AJ4119" s="33"/>
      <c r="AK4119" s="33"/>
      <c r="AL4119" s="33"/>
      <c r="AM4119" s="33"/>
      <c r="AN4119" s="33"/>
      <c r="AO4119" s="33"/>
    </row>
    <row r="4120" ht="15.75" customHeight="1">
      <c r="A4120" s="72"/>
      <c r="B4120" s="61"/>
      <c r="C4120" s="56"/>
      <c r="D4120" s="67"/>
      <c r="E4120" s="56"/>
      <c r="F4120" s="56"/>
      <c r="G4120" s="62"/>
      <c r="H4120" s="65"/>
      <c r="I4120" s="56"/>
      <c r="J4120" s="66"/>
      <c r="K4120" s="67"/>
      <c r="L4120" s="56"/>
      <c r="M4120" s="67"/>
      <c r="N4120" s="56"/>
      <c r="O4120" s="53"/>
      <c r="P4120" s="68"/>
      <c r="Q4120" s="69"/>
      <c r="R4120" s="68"/>
      <c r="S4120" s="70"/>
      <c r="T4120" s="67"/>
      <c r="U4120" s="56"/>
      <c r="V4120" s="56"/>
      <c r="W4120" s="71"/>
      <c r="X4120" s="71"/>
      <c r="AA4120" s="33"/>
      <c r="AB4120" s="33"/>
      <c r="AC4120" s="33"/>
      <c r="AD4120" s="33"/>
      <c r="AE4120" s="33"/>
      <c r="AF4120" s="33"/>
      <c r="AG4120" s="33"/>
      <c r="AH4120" s="33"/>
      <c r="AI4120" s="33"/>
      <c r="AJ4120" s="33"/>
      <c r="AK4120" s="33"/>
      <c r="AL4120" s="33"/>
      <c r="AM4120" s="33"/>
      <c r="AN4120" s="33"/>
      <c r="AO4120" s="33"/>
    </row>
    <row r="4121" ht="15.75" customHeight="1">
      <c r="A4121" s="72"/>
      <c r="B4121" s="61"/>
      <c r="C4121" s="56"/>
      <c r="D4121" s="67"/>
      <c r="E4121" s="56"/>
      <c r="F4121" s="56"/>
      <c r="G4121" s="62"/>
      <c r="H4121" s="65"/>
      <c r="I4121" s="56"/>
      <c r="J4121" s="66"/>
      <c r="K4121" s="67"/>
      <c r="L4121" s="56"/>
      <c r="M4121" s="67"/>
      <c r="N4121" s="56"/>
      <c r="O4121" s="53"/>
      <c r="P4121" s="68"/>
      <c r="Q4121" s="69"/>
      <c r="R4121" s="68"/>
      <c r="S4121" s="70"/>
      <c r="T4121" s="67"/>
      <c r="U4121" s="56"/>
      <c r="V4121" s="56"/>
      <c r="W4121" s="71"/>
      <c r="X4121" s="71"/>
      <c r="AA4121" s="33"/>
      <c r="AB4121" s="33"/>
      <c r="AC4121" s="33"/>
      <c r="AD4121" s="33"/>
      <c r="AE4121" s="33"/>
      <c r="AF4121" s="33"/>
      <c r="AG4121" s="33"/>
      <c r="AH4121" s="33"/>
      <c r="AI4121" s="33"/>
      <c r="AJ4121" s="33"/>
      <c r="AK4121" s="33"/>
      <c r="AL4121" s="33"/>
      <c r="AM4121" s="33"/>
      <c r="AN4121" s="33"/>
      <c r="AO4121" s="33"/>
    </row>
    <row r="4122" ht="15.75" customHeight="1">
      <c r="A4122" s="72"/>
      <c r="B4122" s="61"/>
      <c r="C4122" s="56"/>
      <c r="D4122" s="67"/>
      <c r="E4122" s="56"/>
      <c r="F4122" s="56"/>
      <c r="G4122" s="62"/>
      <c r="H4122" s="65"/>
      <c r="I4122" s="56"/>
      <c r="J4122" s="66"/>
      <c r="K4122" s="67"/>
      <c r="L4122" s="56"/>
      <c r="M4122" s="67"/>
      <c r="N4122" s="56"/>
      <c r="O4122" s="53"/>
      <c r="P4122" s="68"/>
      <c r="Q4122" s="69"/>
      <c r="R4122" s="68"/>
      <c r="S4122" s="70"/>
      <c r="T4122" s="67"/>
      <c r="U4122" s="56"/>
      <c r="V4122" s="56"/>
      <c r="W4122" s="71"/>
      <c r="X4122" s="71"/>
      <c r="AA4122" s="33"/>
      <c r="AB4122" s="33"/>
      <c r="AC4122" s="33"/>
      <c r="AD4122" s="33"/>
      <c r="AE4122" s="33"/>
      <c r="AF4122" s="33"/>
      <c r="AG4122" s="33"/>
      <c r="AH4122" s="33"/>
      <c r="AI4122" s="33"/>
      <c r="AJ4122" s="33"/>
      <c r="AK4122" s="33"/>
      <c r="AL4122" s="33"/>
      <c r="AM4122" s="33"/>
      <c r="AN4122" s="33"/>
      <c r="AO4122" s="33"/>
    </row>
    <row r="4123" ht="15.75" customHeight="1">
      <c r="A4123" s="72"/>
      <c r="B4123" s="61"/>
      <c r="C4123" s="56"/>
      <c r="D4123" s="67"/>
      <c r="E4123" s="56"/>
      <c r="F4123" s="56"/>
      <c r="G4123" s="62"/>
      <c r="H4123" s="65"/>
      <c r="I4123" s="56"/>
      <c r="J4123" s="66"/>
      <c r="K4123" s="67"/>
      <c r="L4123" s="56"/>
      <c r="M4123" s="67"/>
      <c r="N4123" s="56"/>
      <c r="O4123" s="53"/>
      <c r="P4123" s="68"/>
      <c r="Q4123" s="69"/>
      <c r="R4123" s="68"/>
      <c r="S4123" s="70"/>
      <c r="T4123" s="67"/>
      <c r="U4123" s="56"/>
      <c r="V4123" s="56"/>
      <c r="W4123" s="71"/>
      <c r="X4123" s="71"/>
      <c r="AA4123" s="33"/>
      <c r="AB4123" s="33"/>
      <c r="AC4123" s="33"/>
      <c r="AD4123" s="33"/>
      <c r="AE4123" s="33"/>
      <c r="AF4123" s="33"/>
      <c r="AG4123" s="33"/>
      <c r="AH4123" s="33"/>
      <c r="AI4123" s="33"/>
      <c r="AJ4123" s="33"/>
      <c r="AK4123" s="33"/>
      <c r="AL4123" s="33"/>
      <c r="AM4123" s="33"/>
      <c r="AN4123" s="33"/>
      <c r="AO4123" s="33"/>
    </row>
    <row r="4124" ht="15.75" customHeight="1">
      <c r="A4124" s="72"/>
      <c r="B4124" s="61"/>
      <c r="C4124" s="56"/>
      <c r="D4124" s="67"/>
      <c r="E4124" s="56"/>
      <c r="F4124" s="56"/>
      <c r="G4124" s="62"/>
      <c r="H4124" s="65"/>
      <c r="I4124" s="56"/>
      <c r="J4124" s="66"/>
      <c r="K4124" s="67"/>
      <c r="L4124" s="56"/>
      <c r="M4124" s="67"/>
      <c r="N4124" s="56"/>
      <c r="O4124" s="53"/>
      <c r="P4124" s="68"/>
      <c r="Q4124" s="69"/>
      <c r="R4124" s="68"/>
      <c r="S4124" s="70"/>
      <c r="T4124" s="67"/>
      <c r="U4124" s="56"/>
      <c r="V4124" s="56"/>
      <c r="W4124" s="71"/>
      <c r="X4124" s="71"/>
      <c r="AA4124" s="33"/>
      <c r="AB4124" s="33"/>
      <c r="AC4124" s="33"/>
      <c r="AD4124" s="33"/>
      <c r="AE4124" s="33"/>
      <c r="AF4124" s="33"/>
      <c r="AG4124" s="33"/>
      <c r="AH4124" s="33"/>
      <c r="AI4124" s="33"/>
      <c r="AJ4124" s="33"/>
      <c r="AK4124" s="33"/>
      <c r="AL4124" s="33"/>
      <c r="AM4124" s="33"/>
      <c r="AN4124" s="33"/>
      <c r="AO4124" s="33"/>
    </row>
    <row r="4125" ht="15.75" customHeight="1">
      <c r="A4125" s="72"/>
      <c r="B4125" s="61"/>
      <c r="C4125" s="56"/>
      <c r="D4125" s="67"/>
      <c r="E4125" s="56"/>
      <c r="F4125" s="56"/>
      <c r="G4125" s="62"/>
      <c r="H4125" s="65"/>
      <c r="I4125" s="56"/>
      <c r="J4125" s="66"/>
      <c r="K4125" s="67"/>
      <c r="L4125" s="56"/>
      <c r="M4125" s="67"/>
      <c r="N4125" s="56"/>
      <c r="O4125" s="53"/>
      <c r="P4125" s="68"/>
      <c r="Q4125" s="69"/>
      <c r="R4125" s="68"/>
      <c r="S4125" s="70"/>
      <c r="T4125" s="67"/>
      <c r="U4125" s="56"/>
      <c r="V4125" s="56"/>
      <c r="W4125" s="71"/>
      <c r="X4125" s="71"/>
      <c r="AA4125" s="33"/>
      <c r="AB4125" s="33"/>
      <c r="AC4125" s="33"/>
      <c r="AD4125" s="33"/>
      <c r="AE4125" s="33"/>
      <c r="AF4125" s="33"/>
      <c r="AG4125" s="33"/>
      <c r="AH4125" s="33"/>
      <c r="AI4125" s="33"/>
      <c r="AJ4125" s="33"/>
      <c r="AK4125" s="33"/>
      <c r="AL4125" s="33"/>
      <c r="AM4125" s="33"/>
      <c r="AN4125" s="33"/>
      <c r="AO4125" s="33"/>
    </row>
    <row r="4126" ht="15.75" customHeight="1">
      <c r="A4126" s="72"/>
      <c r="B4126" s="61"/>
      <c r="C4126" s="56"/>
      <c r="D4126" s="67"/>
      <c r="E4126" s="56"/>
      <c r="F4126" s="56"/>
      <c r="G4126" s="62"/>
      <c r="H4126" s="65"/>
      <c r="I4126" s="56"/>
      <c r="J4126" s="66"/>
      <c r="K4126" s="67"/>
      <c r="L4126" s="56"/>
      <c r="M4126" s="67"/>
      <c r="N4126" s="56"/>
      <c r="O4126" s="53"/>
      <c r="P4126" s="68"/>
      <c r="Q4126" s="69"/>
      <c r="R4126" s="68"/>
      <c r="S4126" s="70"/>
      <c r="T4126" s="67"/>
      <c r="U4126" s="56"/>
      <c r="V4126" s="56"/>
      <c r="W4126" s="71"/>
      <c r="X4126" s="71"/>
      <c r="AA4126" s="33"/>
      <c r="AB4126" s="33"/>
      <c r="AC4126" s="33"/>
      <c r="AD4126" s="33"/>
      <c r="AE4126" s="33"/>
      <c r="AF4126" s="33"/>
      <c r="AG4126" s="33"/>
      <c r="AH4126" s="33"/>
      <c r="AI4126" s="33"/>
      <c r="AJ4126" s="33"/>
      <c r="AK4126" s="33"/>
      <c r="AL4126" s="33"/>
      <c r="AM4126" s="33"/>
      <c r="AN4126" s="33"/>
      <c r="AO4126" s="33"/>
    </row>
    <row r="4127" ht="15.75" customHeight="1">
      <c r="A4127" s="72"/>
      <c r="B4127" s="61"/>
      <c r="C4127" s="56"/>
      <c r="D4127" s="67"/>
      <c r="E4127" s="56"/>
      <c r="F4127" s="56"/>
      <c r="G4127" s="62"/>
      <c r="H4127" s="65"/>
      <c r="I4127" s="56"/>
      <c r="J4127" s="66"/>
      <c r="K4127" s="67"/>
      <c r="L4127" s="56"/>
      <c r="M4127" s="67"/>
      <c r="N4127" s="56"/>
      <c r="O4127" s="53"/>
      <c r="P4127" s="68"/>
      <c r="Q4127" s="69"/>
      <c r="R4127" s="68"/>
      <c r="S4127" s="70"/>
      <c r="T4127" s="67"/>
      <c r="U4127" s="56"/>
      <c r="V4127" s="56"/>
      <c r="W4127" s="71"/>
      <c r="X4127" s="71"/>
      <c r="AA4127" s="33"/>
      <c r="AB4127" s="33"/>
      <c r="AC4127" s="33"/>
      <c r="AD4127" s="33"/>
      <c r="AE4127" s="33"/>
      <c r="AF4127" s="33"/>
      <c r="AG4127" s="33"/>
      <c r="AH4127" s="33"/>
      <c r="AI4127" s="33"/>
      <c r="AJ4127" s="33"/>
      <c r="AK4127" s="33"/>
      <c r="AL4127" s="33"/>
      <c r="AM4127" s="33"/>
      <c r="AN4127" s="33"/>
      <c r="AO4127" s="33"/>
    </row>
    <row r="4128" ht="15.75" customHeight="1">
      <c r="A4128" s="72"/>
      <c r="B4128" s="61"/>
      <c r="C4128" s="56"/>
      <c r="D4128" s="67"/>
      <c r="E4128" s="56"/>
      <c r="F4128" s="56"/>
      <c r="G4128" s="62"/>
      <c r="H4128" s="65"/>
      <c r="I4128" s="56"/>
      <c r="J4128" s="66"/>
      <c r="K4128" s="67"/>
      <c r="L4128" s="56"/>
      <c r="M4128" s="67"/>
      <c r="N4128" s="56"/>
      <c r="O4128" s="53"/>
      <c r="P4128" s="68"/>
      <c r="Q4128" s="69"/>
      <c r="R4128" s="68"/>
      <c r="S4128" s="70"/>
      <c r="T4128" s="67"/>
      <c r="U4128" s="56"/>
      <c r="V4128" s="56"/>
      <c r="W4128" s="71"/>
      <c r="X4128" s="71"/>
      <c r="AA4128" s="33"/>
      <c r="AB4128" s="33"/>
      <c r="AC4128" s="33"/>
      <c r="AD4128" s="33"/>
      <c r="AE4128" s="33"/>
      <c r="AF4128" s="33"/>
      <c r="AG4128" s="33"/>
      <c r="AH4128" s="33"/>
      <c r="AI4128" s="33"/>
      <c r="AJ4128" s="33"/>
      <c r="AK4128" s="33"/>
      <c r="AL4128" s="33"/>
      <c r="AM4128" s="33"/>
      <c r="AN4128" s="33"/>
      <c r="AO4128" s="33"/>
    </row>
    <row r="4129" ht="15.75" customHeight="1">
      <c r="A4129" s="72"/>
      <c r="B4129" s="61"/>
      <c r="C4129" s="56"/>
      <c r="D4129" s="67"/>
      <c r="E4129" s="56"/>
      <c r="F4129" s="56"/>
      <c r="G4129" s="62"/>
      <c r="H4129" s="65"/>
      <c r="I4129" s="56"/>
      <c r="J4129" s="66"/>
      <c r="K4129" s="67"/>
      <c r="L4129" s="56"/>
      <c r="M4129" s="67"/>
      <c r="N4129" s="56"/>
      <c r="O4129" s="53"/>
      <c r="P4129" s="68"/>
      <c r="Q4129" s="69"/>
      <c r="R4129" s="68"/>
      <c r="S4129" s="70"/>
      <c r="T4129" s="67"/>
      <c r="U4129" s="56"/>
      <c r="V4129" s="56"/>
      <c r="W4129" s="71"/>
      <c r="X4129" s="71"/>
      <c r="AA4129" s="33"/>
      <c r="AB4129" s="33"/>
      <c r="AC4129" s="33"/>
      <c r="AD4129" s="33"/>
      <c r="AE4129" s="33"/>
      <c r="AF4129" s="33"/>
      <c r="AG4129" s="33"/>
      <c r="AH4129" s="33"/>
      <c r="AI4129" s="33"/>
      <c r="AJ4129" s="33"/>
      <c r="AK4129" s="33"/>
      <c r="AL4129" s="33"/>
      <c r="AM4129" s="33"/>
      <c r="AN4129" s="33"/>
      <c r="AO4129" s="33"/>
    </row>
    <row r="4130" ht="15.75" customHeight="1">
      <c r="A4130" s="72"/>
      <c r="B4130" s="61"/>
      <c r="C4130" s="56"/>
      <c r="D4130" s="67"/>
      <c r="E4130" s="56"/>
      <c r="F4130" s="56"/>
      <c r="G4130" s="62"/>
      <c r="H4130" s="65"/>
      <c r="I4130" s="56"/>
      <c r="J4130" s="66"/>
      <c r="K4130" s="67"/>
      <c r="L4130" s="56"/>
      <c r="M4130" s="67"/>
      <c r="N4130" s="56"/>
      <c r="O4130" s="53"/>
      <c r="P4130" s="68"/>
      <c r="Q4130" s="69"/>
      <c r="R4130" s="68"/>
      <c r="S4130" s="70"/>
      <c r="T4130" s="67"/>
      <c r="U4130" s="56"/>
      <c r="V4130" s="56"/>
      <c r="W4130" s="71"/>
      <c r="X4130" s="71"/>
      <c r="AA4130" s="33"/>
      <c r="AB4130" s="33"/>
      <c r="AC4130" s="33"/>
      <c r="AD4130" s="33"/>
      <c r="AE4130" s="33"/>
      <c r="AF4130" s="33"/>
      <c r="AG4130" s="33"/>
      <c r="AH4130" s="33"/>
      <c r="AI4130" s="33"/>
      <c r="AJ4130" s="33"/>
      <c r="AK4130" s="33"/>
      <c r="AL4130" s="33"/>
      <c r="AM4130" s="33"/>
      <c r="AN4130" s="33"/>
      <c r="AO4130" s="33"/>
    </row>
    <row r="4131" ht="15.75" customHeight="1">
      <c r="A4131" s="72"/>
      <c r="B4131" s="61"/>
      <c r="C4131" s="56"/>
      <c r="D4131" s="67"/>
      <c r="E4131" s="56"/>
      <c r="F4131" s="56"/>
      <c r="G4131" s="62"/>
      <c r="H4131" s="65"/>
      <c r="I4131" s="56"/>
      <c r="J4131" s="66"/>
      <c r="K4131" s="67"/>
      <c r="L4131" s="56"/>
      <c r="M4131" s="67"/>
      <c r="N4131" s="56"/>
      <c r="O4131" s="53"/>
      <c r="P4131" s="68"/>
      <c r="Q4131" s="69"/>
      <c r="R4131" s="68"/>
      <c r="S4131" s="70"/>
      <c r="T4131" s="67"/>
      <c r="U4131" s="56"/>
      <c r="V4131" s="56"/>
      <c r="W4131" s="71"/>
      <c r="X4131" s="71"/>
      <c r="AA4131" s="33"/>
      <c r="AB4131" s="33"/>
      <c r="AC4131" s="33"/>
      <c r="AD4131" s="33"/>
      <c r="AE4131" s="33"/>
      <c r="AF4131" s="33"/>
      <c r="AG4131" s="33"/>
      <c r="AH4131" s="33"/>
      <c r="AI4131" s="33"/>
      <c r="AJ4131" s="33"/>
      <c r="AK4131" s="33"/>
      <c r="AL4131" s="33"/>
      <c r="AM4131" s="33"/>
      <c r="AN4131" s="33"/>
      <c r="AO4131" s="33"/>
    </row>
    <row r="4132" ht="15.75" customHeight="1">
      <c r="A4132" s="72"/>
      <c r="B4132" s="61"/>
      <c r="C4132" s="56"/>
      <c r="D4132" s="67"/>
      <c r="E4132" s="56"/>
      <c r="F4132" s="56"/>
      <c r="G4132" s="62"/>
      <c r="H4132" s="65"/>
      <c r="I4132" s="56"/>
      <c r="J4132" s="66"/>
      <c r="K4132" s="67"/>
      <c r="L4132" s="56"/>
      <c r="M4132" s="67"/>
      <c r="N4132" s="56"/>
      <c r="O4132" s="53"/>
      <c r="P4132" s="68"/>
      <c r="Q4132" s="69"/>
      <c r="R4132" s="68"/>
      <c r="S4132" s="70"/>
      <c r="T4132" s="67"/>
      <c r="U4132" s="56"/>
      <c r="V4132" s="56"/>
      <c r="W4132" s="71"/>
      <c r="X4132" s="71"/>
      <c r="AA4132" s="33"/>
      <c r="AB4132" s="33"/>
      <c r="AC4132" s="33"/>
      <c r="AD4132" s="33"/>
      <c r="AE4132" s="33"/>
      <c r="AF4132" s="33"/>
      <c r="AG4132" s="33"/>
      <c r="AH4132" s="33"/>
      <c r="AI4132" s="33"/>
      <c r="AJ4132" s="33"/>
      <c r="AK4132" s="33"/>
      <c r="AL4132" s="33"/>
      <c r="AM4132" s="33"/>
      <c r="AN4132" s="33"/>
      <c r="AO4132" s="33"/>
    </row>
    <row r="4133" ht="15.75" customHeight="1">
      <c r="A4133" s="72"/>
      <c r="B4133" s="61"/>
      <c r="C4133" s="56"/>
      <c r="D4133" s="67"/>
      <c r="E4133" s="56"/>
      <c r="F4133" s="56"/>
      <c r="G4133" s="62"/>
      <c r="H4133" s="65"/>
      <c r="I4133" s="56"/>
      <c r="J4133" s="66"/>
      <c r="K4133" s="67"/>
      <c r="L4133" s="56"/>
      <c r="M4133" s="67"/>
      <c r="N4133" s="56"/>
      <c r="O4133" s="53"/>
      <c r="P4133" s="68"/>
      <c r="Q4133" s="69"/>
      <c r="R4133" s="68"/>
      <c r="S4133" s="70"/>
      <c r="T4133" s="67"/>
      <c r="U4133" s="56"/>
      <c r="V4133" s="56"/>
      <c r="W4133" s="71"/>
      <c r="X4133" s="71"/>
      <c r="AA4133" s="33"/>
      <c r="AB4133" s="33"/>
      <c r="AC4133" s="33"/>
      <c r="AD4133" s="33"/>
      <c r="AE4133" s="33"/>
      <c r="AF4133" s="33"/>
      <c r="AG4133" s="33"/>
      <c r="AH4133" s="33"/>
      <c r="AI4133" s="33"/>
      <c r="AJ4133" s="33"/>
      <c r="AK4133" s="33"/>
      <c r="AL4133" s="33"/>
      <c r="AM4133" s="33"/>
      <c r="AN4133" s="33"/>
      <c r="AO4133" s="33"/>
    </row>
    <row r="4134" ht="15.75" customHeight="1">
      <c r="A4134" s="72"/>
      <c r="B4134" s="61"/>
      <c r="C4134" s="56"/>
      <c r="D4134" s="67"/>
      <c r="E4134" s="56"/>
      <c r="F4134" s="56"/>
      <c r="G4134" s="62"/>
      <c r="H4134" s="65"/>
      <c r="I4134" s="56"/>
      <c r="J4134" s="66"/>
      <c r="K4134" s="67"/>
      <c r="L4134" s="56"/>
      <c r="M4134" s="67"/>
      <c r="N4134" s="56"/>
      <c r="O4134" s="53"/>
      <c r="P4134" s="68"/>
      <c r="Q4134" s="69"/>
      <c r="R4134" s="68"/>
      <c r="S4134" s="70"/>
      <c r="T4134" s="67"/>
      <c r="U4134" s="56"/>
      <c r="V4134" s="56"/>
      <c r="W4134" s="71"/>
      <c r="X4134" s="71"/>
      <c r="AA4134" s="33"/>
      <c r="AB4134" s="33"/>
      <c r="AC4134" s="33"/>
      <c r="AD4134" s="33"/>
      <c r="AE4134" s="33"/>
      <c r="AF4134" s="33"/>
      <c r="AG4134" s="33"/>
      <c r="AH4134" s="33"/>
      <c r="AI4134" s="33"/>
      <c r="AJ4134" s="33"/>
      <c r="AK4134" s="33"/>
      <c r="AL4134" s="33"/>
      <c r="AM4134" s="33"/>
      <c r="AN4134" s="33"/>
      <c r="AO4134" s="33"/>
    </row>
    <row r="4135" ht="15.75" customHeight="1">
      <c r="A4135" s="72"/>
      <c r="B4135" s="61"/>
      <c r="C4135" s="56"/>
      <c r="D4135" s="67"/>
      <c r="E4135" s="56"/>
      <c r="F4135" s="56"/>
      <c r="G4135" s="62"/>
      <c r="H4135" s="65"/>
      <c r="I4135" s="56"/>
      <c r="J4135" s="66"/>
      <c r="K4135" s="67"/>
      <c r="L4135" s="56"/>
      <c r="M4135" s="67"/>
      <c r="N4135" s="56"/>
      <c r="O4135" s="53"/>
      <c r="P4135" s="68"/>
      <c r="Q4135" s="69"/>
      <c r="R4135" s="68"/>
      <c r="S4135" s="70"/>
      <c r="T4135" s="67"/>
      <c r="U4135" s="56"/>
      <c r="V4135" s="56"/>
      <c r="W4135" s="71"/>
      <c r="X4135" s="71"/>
      <c r="AA4135" s="33"/>
      <c r="AB4135" s="33"/>
      <c r="AC4135" s="33"/>
      <c r="AD4135" s="33"/>
      <c r="AE4135" s="33"/>
      <c r="AF4135" s="33"/>
      <c r="AG4135" s="33"/>
      <c r="AH4135" s="33"/>
      <c r="AI4135" s="33"/>
      <c r="AJ4135" s="33"/>
      <c r="AK4135" s="33"/>
      <c r="AL4135" s="33"/>
      <c r="AM4135" s="33"/>
      <c r="AN4135" s="33"/>
      <c r="AO4135" s="33"/>
    </row>
    <row r="4136" ht="15.75" customHeight="1">
      <c r="A4136" s="72"/>
      <c r="B4136" s="61"/>
      <c r="C4136" s="56"/>
      <c r="D4136" s="67"/>
      <c r="E4136" s="56"/>
      <c r="F4136" s="56"/>
      <c r="G4136" s="62"/>
      <c r="H4136" s="65"/>
      <c r="I4136" s="56"/>
      <c r="J4136" s="66"/>
      <c r="K4136" s="67"/>
      <c r="L4136" s="56"/>
      <c r="M4136" s="67"/>
      <c r="N4136" s="56"/>
      <c r="O4136" s="53"/>
      <c r="P4136" s="68"/>
      <c r="Q4136" s="69"/>
      <c r="R4136" s="68"/>
      <c r="S4136" s="70"/>
      <c r="T4136" s="67"/>
      <c r="U4136" s="56"/>
      <c r="V4136" s="56"/>
      <c r="W4136" s="71"/>
      <c r="X4136" s="71"/>
      <c r="AA4136" s="33"/>
      <c r="AB4136" s="33"/>
      <c r="AC4136" s="33"/>
      <c r="AD4136" s="33"/>
      <c r="AE4136" s="33"/>
      <c r="AF4136" s="33"/>
      <c r="AG4136" s="33"/>
      <c r="AH4136" s="33"/>
      <c r="AI4136" s="33"/>
      <c r="AJ4136" s="33"/>
      <c r="AK4136" s="33"/>
      <c r="AL4136" s="33"/>
      <c r="AM4136" s="33"/>
      <c r="AN4136" s="33"/>
      <c r="AO4136" s="33"/>
    </row>
    <row r="4137" ht="15.75" customHeight="1">
      <c r="A4137" s="72"/>
      <c r="B4137" s="61"/>
      <c r="C4137" s="56"/>
      <c r="D4137" s="67"/>
      <c r="E4137" s="56"/>
      <c r="F4137" s="56"/>
      <c r="G4137" s="62"/>
      <c r="H4137" s="65"/>
      <c r="I4137" s="56"/>
      <c r="J4137" s="66"/>
      <c r="K4137" s="67"/>
      <c r="L4137" s="56"/>
      <c r="M4137" s="67"/>
      <c r="N4137" s="56"/>
      <c r="O4137" s="53"/>
      <c r="P4137" s="68"/>
      <c r="Q4137" s="69"/>
      <c r="R4137" s="68"/>
      <c r="S4137" s="70"/>
      <c r="T4137" s="67"/>
      <c r="U4137" s="56"/>
      <c r="V4137" s="56"/>
      <c r="W4137" s="71"/>
      <c r="X4137" s="71"/>
      <c r="AA4137" s="33"/>
      <c r="AB4137" s="33"/>
      <c r="AC4137" s="33"/>
      <c r="AD4137" s="33"/>
      <c r="AE4137" s="33"/>
      <c r="AF4137" s="33"/>
      <c r="AG4137" s="33"/>
      <c r="AH4137" s="33"/>
      <c r="AI4137" s="33"/>
      <c r="AJ4137" s="33"/>
      <c r="AK4137" s="33"/>
      <c r="AL4137" s="33"/>
      <c r="AM4137" s="33"/>
      <c r="AN4137" s="33"/>
      <c r="AO4137" s="33"/>
    </row>
    <row r="4138" ht="15.75" customHeight="1">
      <c r="A4138" s="72"/>
      <c r="B4138" s="61"/>
      <c r="C4138" s="56"/>
      <c r="D4138" s="67"/>
      <c r="E4138" s="56"/>
      <c r="F4138" s="56"/>
      <c r="G4138" s="62"/>
      <c r="H4138" s="65"/>
      <c r="I4138" s="56"/>
      <c r="J4138" s="66"/>
      <c r="K4138" s="67"/>
      <c r="L4138" s="56"/>
      <c r="M4138" s="67"/>
      <c r="N4138" s="56"/>
      <c r="O4138" s="53"/>
      <c r="P4138" s="68"/>
      <c r="Q4138" s="69"/>
      <c r="R4138" s="68"/>
      <c r="S4138" s="70"/>
      <c r="T4138" s="67"/>
      <c r="U4138" s="56"/>
      <c r="V4138" s="56"/>
      <c r="W4138" s="71"/>
      <c r="X4138" s="71"/>
      <c r="AA4138" s="33"/>
      <c r="AB4138" s="33"/>
      <c r="AC4138" s="33"/>
      <c r="AD4138" s="33"/>
      <c r="AE4138" s="33"/>
      <c r="AF4138" s="33"/>
      <c r="AG4138" s="33"/>
      <c r="AH4138" s="33"/>
      <c r="AI4138" s="33"/>
      <c r="AJ4138" s="33"/>
      <c r="AK4138" s="33"/>
      <c r="AL4138" s="33"/>
      <c r="AM4138" s="33"/>
      <c r="AN4138" s="33"/>
      <c r="AO4138" s="33"/>
    </row>
    <row r="4139" ht="15.75" customHeight="1">
      <c r="A4139" s="72"/>
      <c r="B4139" s="61"/>
      <c r="C4139" s="56"/>
      <c r="D4139" s="67"/>
      <c r="E4139" s="56"/>
      <c r="F4139" s="56"/>
      <c r="G4139" s="62"/>
      <c r="H4139" s="65"/>
      <c r="I4139" s="56"/>
      <c r="J4139" s="66"/>
      <c r="K4139" s="67"/>
      <c r="L4139" s="56"/>
      <c r="M4139" s="67"/>
      <c r="N4139" s="56"/>
      <c r="O4139" s="53"/>
      <c r="P4139" s="68"/>
      <c r="Q4139" s="69"/>
      <c r="R4139" s="68"/>
      <c r="S4139" s="70"/>
      <c r="T4139" s="67"/>
      <c r="U4139" s="56"/>
      <c r="V4139" s="56"/>
      <c r="W4139" s="71"/>
      <c r="X4139" s="71"/>
      <c r="AA4139" s="33"/>
      <c r="AB4139" s="33"/>
      <c r="AC4139" s="33"/>
      <c r="AD4139" s="33"/>
      <c r="AE4139" s="33"/>
      <c r="AF4139" s="33"/>
      <c r="AG4139" s="33"/>
      <c r="AH4139" s="33"/>
      <c r="AI4139" s="33"/>
      <c r="AJ4139" s="33"/>
      <c r="AK4139" s="33"/>
      <c r="AL4139" s="33"/>
      <c r="AM4139" s="33"/>
      <c r="AN4139" s="33"/>
      <c r="AO4139" s="33"/>
    </row>
    <row r="4140" ht="15.75" customHeight="1">
      <c r="A4140" s="72"/>
      <c r="B4140" s="61"/>
      <c r="C4140" s="56"/>
      <c r="D4140" s="67"/>
      <c r="E4140" s="56"/>
      <c r="F4140" s="56"/>
      <c r="G4140" s="62"/>
      <c r="H4140" s="65"/>
      <c r="I4140" s="56"/>
      <c r="J4140" s="66"/>
      <c r="K4140" s="67"/>
      <c r="L4140" s="56"/>
      <c r="M4140" s="67"/>
      <c r="N4140" s="56"/>
      <c r="O4140" s="53"/>
      <c r="P4140" s="68"/>
      <c r="Q4140" s="69"/>
      <c r="R4140" s="68"/>
      <c r="S4140" s="70"/>
      <c r="T4140" s="67"/>
      <c r="U4140" s="56"/>
      <c r="V4140" s="56"/>
      <c r="W4140" s="71"/>
      <c r="X4140" s="71"/>
      <c r="AA4140" s="33"/>
      <c r="AB4140" s="33"/>
      <c r="AC4140" s="33"/>
      <c r="AD4140" s="33"/>
      <c r="AE4140" s="33"/>
      <c r="AF4140" s="33"/>
      <c r="AG4140" s="33"/>
      <c r="AH4140" s="33"/>
      <c r="AI4140" s="33"/>
      <c r="AJ4140" s="33"/>
      <c r="AK4140" s="33"/>
      <c r="AL4140" s="33"/>
      <c r="AM4140" s="33"/>
      <c r="AN4140" s="33"/>
      <c r="AO4140" s="33"/>
    </row>
    <row r="4141" ht="15.75" customHeight="1">
      <c r="A4141" s="72"/>
      <c r="B4141" s="61"/>
      <c r="C4141" s="56"/>
      <c r="D4141" s="67"/>
      <c r="E4141" s="56"/>
      <c r="F4141" s="56"/>
      <c r="G4141" s="62"/>
      <c r="H4141" s="65"/>
      <c r="I4141" s="56"/>
      <c r="J4141" s="66"/>
      <c r="K4141" s="67"/>
      <c r="L4141" s="56"/>
      <c r="M4141" s="67"/>
      <c r="N4141" s="56"/>
      <c r="O4141" s="53"/>
      <c r="P4141" s="68"/>
      <c r="Q4141" s="69"/>
      <c r="R4141" s="68"/>
      <c r="S4141" s="70"/>
      <c r="T4141" s="67"/>
      <c r="U4141" s="56"/>
      <c r="V4141" s="56"/>
      <c r="W4141" s="71"/>
      <c r="X4141" s="71"/>
      <c r="AA4141" s="33"/>
      <c r="AB4141" s="33"/>
      <c r="AC4141" s="33"/>
      <c r="AD4141" s="33"/>
      <c r="AE4141" s="33"/>
      <c r="AF4141" s="33"/>
      <c r="AG4141" s="33"/>
      <c r="AH4141" s="33"/>
      <c r="AI4141" s="33"/>
      <c r="AJ4141" s="33"/>
      <c r="AK4141" s="33"/>
      <c r="AL4141" s="33"/>
      <c r="AM4141" s="33"/>
      <c r="AN4141" s="33"/>
      <c r="AO4141" s="33"/>
    </row>
    <row r="4142" ht="15.75" customHeight="1">
      <c r="A4142" s="72"/>
      <c r="B4142" s="61"/>
      <c r="C4142" s="56"/>
      <c r="D4142" s="67"/>
      <c r="E4142" s="56"/>
      <c r="F4142" s="56"/>
      <c r="G4142" s="62"/>
      <c r="H4142" s="65"/>
      <c r="I4142" s="56"/>
      <c r="J4142" s="66"/>
      <c r="K4142" s="67"/>
      <c r="L4142" s="56"/>
      <c r="M4142" s="67"/>
      <c r="N4142" s="56"/>
      <c r="O4142" s="53"/>
      <c r="P4142" s="68"/>
      <c r="Q4142" s="69"/>
      <c r="R4142" s="68"/>
      <c r="S4142" s="70"/>
      <c r="T4142" s="67"/>
      <c r="U4142" s="56"/>
      <c r="V4142" s="56"/>
      <c r="W4142" s="71"/>
      <c r="X4142" s="71"/>
      <c r="AA4142" s="33"/>
      <c r="AB4142" s="33"/>
      <c r="AC4142" s="33"/>
      <c r="AD4142" s="33"/>
      <c r="AE4142" s="33"/>
      <c r="AF4142" s="33"/>
      <c r="AG4142" s="33"/>
      <c r="AH4142" s="33"/>
      <c r="AI4142" s="33"/>
      <c r="AJ4142" s="33"/>
      <c r="AK4142" s="33"/>
      <c r="AL4142" s="33"/>
      <c r="AM4142" s="33"/>
      <c r="AN4142" s="33"/>
      <c r="AO4142" s="33"/>
    </row>
    <row r="4143" ht="15.75" customHeight="1">
      <c r="A4143" s="72"/>
      <c r="B4143" s="61"/>
      <c r="C4143" s="56"/>
      <c r="D4143" s="67"/>
      <c r="E4143" s="56"/>
      <c r="F4143" s="56"/>
      <c r="G4143" s="62"/>
      <c r="H4143" s="65"/>
      <c r="I4143" s="56"/>
      <c r="J4143" s="66"/>
      <c r="K4143" s="67"/>
      <c r="L4143" s="56"/>
      <c r="M4143" s="67"/>
      <c r="N4143" s="56"/>
      <c r="O4143" s="53"/>
      <c r="P4143" s="68"/>
      <c r="Q4143" s="69"/>
      <c r="R4143" s="68"/>
      <c r="S4143" s="70"/>
      <c r="T4143" s="67"/>
      <c r="U4143" s="56"/>
      <c r="V4143" s="56"/>
      <c r="W4143" s="71"/>
      <c r="X4143" s="71"/>
      <c r="AA4143" s="33"/>
      <c r="AB4143" s="33"/>
      <c r="AC4143" s="33"/>
      <c r="AD4143" s="33"/>
      <c r="AE4143" s="33"/>
      <c r="AF4143" s="33"/>
      <c r="AG4143" s="33"/>
      <c r="AH4143" s="33"/>
      <c r="AI4143" s="33"/>
      <c r="AJ4143" s="33"/>
      <c r="AK4143" s="33"/>
      <c r="AL4143" s="33"/>
      <c r="AM4143" s="33"/>
      <c r="AN4143" s="33"/>
      <c r="AO4143" s="33"/>
    </row>
    <row r="4144" ht="15.75" customHeight="1">
      <c r="A4144" s="72"/>
      <c r="B4144" s="61"/>
      <c r="C4144" s="56"/>
      <c r="D4144" s="67"/>
      <c r="E4144" s="56"/>
      <c r="F4144" s="56"/>
      <c r="G4144" s="62"/>
      <c r="H4144" s="65"/>
      <c r="I4144" s="56"/>
      <c r="J4144" s="66"/>
      <c r="K4144" s="67"/>
      <c r="L4144" s="56"/>
      <c r="M4144" s="67"/>
      <c r="N4144" s="56"/>
      <c r="O4144" s="53"/>
      <c r="P4144" s="68"/>
      <c r="Q4144" s="69"/>
      <c r="R4144" s="68"/>
      <c r="S4144" s="70"/>
      <c r="T4144" s="67"/>
      <c r="U4144" s="56"/>
      <c r="V4144" s="56"/>
      <c r="W4144" s="71"/>
      <c r="X4144" s="71"/>
      <c r="AA4144" s="33"/>
      <c r="AB4144" s="33"/>
      <c r="AC4144" s="33"/>
      <c r="AD4144" s="33"/>
      <c r="AE4144" s="33"/>
      <c r="AF4144" s="33"/>
      <c r="AG4144" s="33"/>
      <c r="AH4144" s="33"/>
      <c r="AI4144" s="33"/>
      <c r="AJ4144" s="33"/>
      <c r="AK4144" s="33"/>
      <c r="AL4144" s="33"/>
      <c r="AM4144" s="33"/>
      <c r="AN4144" s="33"/>
      <c r="AO4144" s="33"/>
    </row>
    <row r="4145" ht="15.75" customHeight="1">
      <c r="A4145" s="72"/>
      <c r="B4145" s="61"/>
      <c r="C4145" s="56"/>
      <c r="D4145" s="67"/>
      <c r="E4145" s="56"/>
      <c r="F4145" s="56"/>
      <c r="G4145" s="62"/>
      <c r="H4145" s="65"/>
      <c r="I4145" s="56"/>
      <c r="J4145" s="66"/>
      <c r="K4145" s="67"/>
      <c r="L4145" s="56"/>
      <c r="M4145" s="67"/>
      <c r="N4145" s="56"/>
      <c r="O4145" s="53"/>
      <c r="P4145" s="68"/>
      <c r="Q4145" s="69"/>
      <c r="R4145" s="68"/>
      <c r="S4145" s="70"/>
      <c r="T4145" s="67"/>
      <c r="U4145" s="56"/>
      <c r="V4145" s="56"/>
      <c r="W4145" s="71"/>
      <c r="X4145" s="71"/>
      <c r="AA4145" s="33"/>
      <c r="AB4145" s="33"/>
      <c r="AC4145" s="33"/>
      <c r="AD4145" s="33"/>
      <c r="AE4145" s="33"/>
      <c r="AF4145" s="33"/>
      <c r="AG4145" s="33"/>
      <c r="AH4145" s="33"/>
      <c r="AI4145" s="33"/>
      <c r="AJ4145" s="33"/>
      <c r="AK4145" s="33"/>
      <c r="AL4145" s="33"/>
      <c r="AM4145" s="33"/>
      <c r="AN4145" s="33"/>
      <c r="AO4145" s="33"/>
    </row>
    <row r="4146" ht="15.75" customHeight="1">
      <c r="A4146" s="72"/>
      <c r="B4146" s="61"/>
      <c r="C4146" s="56"/>
      <c r="D4146" s="67"/>
      <c r="E4146" s="56"/>
      <c r="F4146" s="56"/>
      <c r="G4146" s="62"/>
      <c r="H4146" s="65"/>
      <c r="I4146" s="56"/>
      <c r="J4146" s="66"/>
      <c r="K4146" s="67"/>
      <c r="L4146" s="56"/>
      <c r="M4146" s="67"/>
      <c r="N4146" s="56"/>
      <c r="O4146" s="53"/>
      <c r="P4146" s="68"/>
      <c r="Q4146" s="69"/>
      <c r="R4146" s="68"/>
      <c r="S4146" s="70"/>
      <c r="T4146" s="67"/>
      <c r="U4146" s="56"/>
      <c r="V4146" s="56"/>
      <c r="W4146" s="71"/>
      <c r="X4146" s="71"/>
      <c r="AA4146" s="33"/>
      <c r="AB4146" s="33"/>
      <c r="AC4146" s="33"/>
      <c r="AD4146" s="33"/>
      <c r="AE4146" s="33"/>
      <c r="AF4146" s="33"/>
      <c r="AG4146" s="33"/>
      <c r="AH4146" s="33"/>
      <c r="AI4146" s="33"/>
      <c r="AJ4146" s="33"/>
      <c r="AK4146" s="33"/>
      <c r="AL4146" s="33"/>
      <c r="AM4146" s="33"/>
      <c r="AN4146" s="33"/>
      <c r="AO4146" s="33"/>
    </row>
    <row r="4147" ht="15.75" customHeight="1">
      <c r="A4147" s="72"/>
      <c r="B4147" s="61"/>
      <c r="C4147" s="56"/>
      <c r="D4147" s="67"/>
      <c r="E4147" s="56"/>
      <c r="F4147" s="56"/>
      <c r="G4147" s="62"/>
      <c r="H4147" s="65"/>
      <c r="I4147" s="56"/>
      <c r="J4147" s="66"/>
      <c r="K4147" s="67"/>
      <c r="L4147" s="56"/>
      <c r="M4147" s="67"/>
      <c r="N4147" s="56"/>
      <c r="O4147" s="53"/>
      <c r="P4147" s="68"/>
      <c r="Q4147" s="69"/>
      <c r="R4147" s="68"/>
      <c r="S4147" s="70"/>
      <c r="T4147" s="67"/>
      <c r="U4147" s="56"/>
      <c r="V4147" s="56"/>
      <c r="W4147" s="71"/>
      <c r="X4147" s="71"/>
      <c r="AA4147" s="33"/>
      <c r="AB4147" s="33"/>
      <c r="AC4147" s="33"/>
      <c r="AD4147" s="33"/>
      <c r="AE4147" s="33"/>
      <c r="AF4147" s="33"/>
      <c r="AG4147" s="33"/>
      <c r="AH4147" s="33"/>
      <c r="AI4147" s="33"/>
      <c r="AJ4147" s="33"/>
      <c r="AK4147" s="33"/>
      <c r="AL4147" s="33"/>
      <c r="AM4147" s="33"/>
      <c r="AN4147" s="33"/>
      <c r="AO4147" s="33"/>
    </row>
    <row r="4148" ht="15.75" customHeight="1">
      <c r="A4148" s="72"/>
      <c r="B4148" s="61"/>
      <c r="C4148" s="56"/>
      <c r="D4148" s="67"/>
      <c r="E4148" s="56"/>
      <c r="F4148" s="56"/>
      <c r="G4148" s="62"/>
      <c r="H4148" s="65"/>
      <c r="I4148" s="56"/>
      <c r="J4148" s="66"/>
      <c r="K4148" s="67"/>
      <c r="L4148" s="56"/>
      <c r="M4148" s="67"/>
      <c r="N4148" s="56"/>
      <c r="O4148" s="53"/>
      <c r="P4148" s="68"/>
      <c r="Q4148" s="69"/>
      <c r="R4148" s="68"/>
      <c r="S4148" s="70"/>
      <c r="T4148" s="67"/>
      <c r="U4148" s="56"/>
      <c r="V4148" s="56"/>
      <c r="W4148" s="71"/>
      <c r="X4148" s="71"/>
      <c r="AA4148" s="33"/>
      <c r="AB4148" s="33"/>
      <c r="AC4148" s="33"/>
      <c r="AD4148" s="33"/>
      <c r="AE4148" s="33"/>
      <c r="AF4148" s="33"/>
      <c r="AG4148" s="33"/>
      <c r="AH4148" s="33"/>
      <c r="AI4148" s="33"/>
      <c r="AJ4148" s="33"/>
      <c r="AK4148" s="33"/>
      <c r="AL4148" s="33"/>
      <c r="AM4148" s="33"/>
      <c r="AN4148" s="33"/>
      <c r="AO4148" s="33"/>
    </row>
    <row r="4149" ht="15.75" customHeight="1">
      <c r="A4149" s="72"/>
      <c r="B4149" s="61"/>
      <c r="C4149" s="56"/>
      <c r="D4149" s="67"/>
      <c r="E4149" s="56"/>
      <c r="F4149" s="56"/>
      <c r="G4149" s="62"/>
      <c r="H4149" s="65"/>
      <c r="I4149" s="56"/>
      <c r="J4149" s="66"/>
      <c r="K4149" s="67"/>
      <c r="L4149" s="56"/>
      <c r="M4149" s="67"/>
      <c r="N4149" s="56"/>
      <c r="O4149" s="53"/>
      <c r="P4149" s="68"/>
      <c r="Q4149" s="69"/>
      <c r="R4149" s="68"/>
      <c r="S4149" s="70"/>
      <c r="T4149" s="67"/>
      <c r="U4149" s="56"/>
      <c r="V4149" s="56"/>
      <c r="W4149" s="71"/>
      <c r="X4149" s="71"/>
      <c r="AA4149" s="33"/>
      <c r="AB4149" s="33"/>
      <c r="AC4149" s="33"/>
      <c r="AD4149" s="33"/>
      <c r="AE4149" s="33"/>
      <c r="AF4149" s="33"/>
      <c r="AG4149" s="33"/>
      <c r="AH4149" s="33"/>
      <c r="AI4149" s="33"/>
      <c r="AJ4149" s="33"/>
      <c r="AK4149" s="33"/>
      <c r="AL4149" s="33"/>
      <c r="AM4149" s="33"/>
      <c r="AN4149" s="33"/>
      <c r="AO4149" s="33"/>
    </row>
    <row r="4150" ht="15.75" customHeight="1">
      <c r="A4150" s="72"/>
      <c r="B4150" s="61"/>
      <c r="C4150" s="56"/>
      <c r="D4150" s="67"/>
      <c r="E4150" s="56"/>
      <c r="F4150" s="56"/>
      <c r="G4150" s="62"/>
      <c r="H4150" s="65"/>
      <c r="I4150" s="56"/>
      <c r="J4150" s="66"/>
      <c r="K4150" s="67"/>
      <c r="L4150" s="56"/>
      <c r="M4150" s="67"/>
      <c r="N4150" s="56"/>
      <c r="O4150" s="53"/>
      <c r="P4150" s="68"/>
      <c r="Q4150" s="69"/>
      <c r="R4150" s="68"/>
      <c r="S4150" s="70"/>
      <c r="T4150" s="67"/>
      <c r="U4150" s="56"/>
      <c r="V4150" s="56"/>
      <c r="W4150" s="71"/>
      <c r="X4150" s="71"/>
      <c r="AA4150" s="33"/>
      <c r="AB4150" s="33"/>
      <c r="AC4150" s="33"/>
      <c r="AD4150" s="33"/>
      <c r="AE4150" s="33"/>
      <c r="AF4150" s="33"/>
      <c r="AG4150" s="33"/>
      <c r="AH4150" s="33"/>
      <c r="AI4150" s="33"/>
      <c r="AJ4150" s="33"/>
      <c r="AK4150" s="33"/>
      <c r="AL4150" s="33"/>
      <c r="AM4150" s="33"/>
      <c r="AN4150" s="33"/>
      <c r="AO4150" s="33"/>
    </row>
    <row r="4151" ht="15.75" customHeight="1">
      <c r="A4151" s="72"/>
      <c r="B4151" s="61"/>
      <c r="C4151" s="56"/>
      <c r="D4151" s="67"/>
      <c r="E4151" s="56"/>
      <c r="F4151" s="56"/>
      <c r="G4151" s="62"/>
      <c r="H4151" s="65"/>
      <c r="I4151" s="56"/>
      <c r="J4151" s="66"/>
      <c r="K4151" s="67"/>
      <c r="L4151" s="56"/>
      <c r="M4151" s="67"/>
      <c r="N4151" s="56"/>
      <c r="O4151" s="53"/>
      <c r="P4151" s="68"/>
      <c r="Q4151" s="69"/>
      <c r="R4151" s="68"/>
      <c r="S4151" s="70"/>
      <c r="T4151" s="67"/>
      <c r="U4151" s="56"/>
      <c r="V4151" s="56"/>
      <c r="W4151" s="71"/>
      <c r="X4151" s="71"/>
      <c r="AA4151" s="33"/>
      <c r="AB4151" s="33"/>
      <c r="AC4151" s="33"/>
      <c r="AD4151" s="33"/>
      <c r="AE4151" s="33"/>
      <c r="AF4151" s="33"/>
      <c r="AG4151" s="33"/>
      <c r="AH4151" s="33"/>
      <c r="AI4151" s="33"/>
      <c r="AJ4151" s="33"/>
      <c r="AK4151" s="33"/>
      <c r="AL4151" s="33"/>
      <c r="AM4151" s="33"/>
      <c r="AN4151" s="33"/>
      <c r="AO4151" s="33"/>
    </row>
    <row r="4152" ht="15.75" customHeight="1">
      <c r="A4152" s="72"/>
      <c r="B4152" s="61"/>
      <c r="C4152" s="56"/>
      <c r="D4152" s="67"/>
      <c r="E4152" s="56"/>
      <c r="F4152" s="56"/>
      <c r="G4152" s="62"/>
      <c r="H4152" s="65"/>
      <c r="I4152" s="56"/>
      <c r="J4152" s="66"/>
      <c r="K4152" s="67"/>
      <c r="L4152" s="56"/>
      <c r="M4152" s="67"/>
      <c r="N4152" s="56"/>
      <c r="O4152" s="53"/>
      <c r="P4152" s="68"/>
      <c r="Q4152" s="69"/>
      <c r="R4152" s="68"/>
      <c r="S4152" s="70"/>
      <c r="T4152" s="67"/>
      <c r="U4152" s="56"/>
      <c r="V4152" s="56"/>
      <c r="W4152" s="71"/>
      <c r="X4152" s="71"/>
      <c r="AA4152" s="33"/>
      <c r="AB4152" s="33"/>
      <c r="AC4152" s="33"/>
      <c r="AD4152" s="33"/>
      <c r="AE4152" s="33"/>
      <c r="AF4152" s="33"/>
      <c r="AG4152" s="33"/>
      <c r="AH4152" s="33"/>
      <c r="AI4152" s="33"/>
      <c r="AJ4152" s="33"/>
      <c r="AK4152" s="33"/>
      <c r="AL4152" s="33"/>
      <c r="AM4152" s="33"/>
      <c r="AN4152" s="33"/>
      <c r="AO4152" s="33"/>
    </row>
    <row r="4153" ht="15.75" customHeight="1">
      <c r="A4153" s="72"/>
      <c r="B4153" s="61"/>
      <c r="C4153" s="56"/>
      <c r="D4153" s="67"/>
      <c r="E4153" s="56"/>
      <c r="F4153" s="56"/>
      <c r="G4153" s="62"/>
      <c r="H4153" s="65"/>
      <c r="I4153" s="56"/>
      <c r="J4153" s="66"/>
      <c r="K4153" s="67"/>
      <c r="L4153" s="56"/>
      <c r="M4153" s="67"/>
      <c r="N4153" s="56"/>
      <c r="O4153" s="53"/>
      <c r="P4153" s="68"/>
      <c r="Q4153" s="69"/>
      <c r="R4153" s="68"/>
      <c r="S4153" s="70"/>
      <c r="T4153" s="67"/>
      <c r="U4153" s="56"/>
      <c r="V4153" s="56"/>
      <c r="W4153" s="71"/>
      <c r="X4153" s="71"/>
      <c r="AA4153" s="33"/>
      <c r="AB4153" s="33"/>
      <c r="AC4153" s="33"/>
      <c r="AD4153" s="33"/>
      <c r="AE4153" s="33"/>
      <c r="AF4153" s="33"/>
      <c r="AG4153" s="33"/>
      <c r="AH4153" s="33"/>
      <c r="AI4153" s="33"/>
      <c r="AJ4153" s="33"/>
      <c r="AK4153" s="33"/>
      <c r="AL4153" s="33"/>
      <c r="AM4153" s="33"/>
      <c r="AN4153" s="33"/>
      <c r="AO4153" s="33"/>
    </row>
    <row r="4154" ht="15.75" customHeight="1">
      <c r="A4154" s="72"/>
      <c r="B4154" s="61"/>
      <c r="C4154" s="56"/>
      <c r="D4154" s="67"/>
      <c r="E4154" s="56"/>
      <c r="F4154" s="56"/>
      <c r="G4154" s="62"/>
      <c r="H4154" s="65"/>
      <c r="I4154" s="56"/>
      <c r="J4154" s="66"/>
      <c r="K4154" s="67"/>
      <c r="L4154" s="56"/>
      <c r="M4154" s="67"/>
      <c r="N4154" s="56"/>
      <c r="O4154" s="53"/>
      <c r="P4154" s="68"/>
      <c r="Q4154" s="69"/>
      <c r="R4154" s="68"/>
      <c r="S4154" s="70"/>
      <c r="T4154" s="67"/>
      <c r="U4154" s="56"/>
      <c r="V4154" s="56"/>
      <c r="W4154" s="71"/>
      <c r="X4154" s="71"/>
      <c r="AA4154" s="33"/>
      <c r="AB4154" s="33"/>
      <c r="AC4154" s="33"/>
      <c r="AD4154" s="33"/>
      <c r="AE4154" s="33"/>
      <c r="AF4154" s="33"/>
      <c r="AG4154" s="33"/>
      <c r="AH4154" s="33"/>
      <c r="AI4154" s="33"/>
      <c r="AJ4154" s="33"/>
      <c r="AK4154" s="33"/>
      <c r="AL4154" s="33"/>
      <c r="AM4154" s="33"/>
      <c r="AN4154" s="33"/>
      <c r="AO4154" s="33"/>
    </row>
    <row r="4155" ht="15.75" customHeight="1">
      <c r="A4155" s="72"/>
      <c r="B4155" s="61"/>
      <c r="C4155" s="56"/>
      <c r="D4155" s="67"/>
      <c r="E4155" s="56"/>
      <c r="F4155" s="56"/>
      <c r="G4155" s="62"/>
      <c r="H4155" s="65"/>
      <c r="I4155" s="56"/>
      <c r="J4155" s="66"/>
      <c r="K4155" s="67"/>
      <c r="L4155" s="56"/>
      <c r="M4155" s="67"/>
      <c r="N4155" s="56"/>
      <c r="O4155" s="53"/>
      <c r="P4155" s="68"/>
      <c r="Q4155" s="69"/>
      <c r="R4155" s="68"/>
      <c r="S4155" s="70"/>
      <c r="T4155" s="67"/>
      <c r="U4155" s="56"/>
      <c r="V4155" s="56"/>
      <c r="W4155" s="71"/>
      <c r="X4155" s="71"/>
      <c r="AA4155" s="33"/>
      <c r="AB4155" s="33"/>
      <c r="AC4155" s="33"/>
      <c r="AD4155" s="33"/>
      <c r="AE4155" s="33"/>
      <c r="AF4155" s="33"/>
      <c r="AG4155" s="33"/>
      <c r="AH4155" s="33"/>
      <c r="AI4155" s="33"/>
      <c r="AJ4155" s="33"/>
      <c r="AK4155" s="33"/>
      <c r="AL4155" s="33"/>
      <c r="AM4155" s="33"/>
      <c r="AN4155" s="33"/>
      <c r="AO4155" s="33"/>
    </row>
    <row r="4156" ht="15.75" customHeight="1">
      <c r="A4156" s="72"/>
      <c r="B4156" s="61"/>
      <c r="C4156" s="56"/>
      <c r="D4156" s="67"/>
      <c r="E4156" s="56"/>
      <c r="F4156" s="56"/>
      <c r="G4156" s="62"/>
      <c r="H4156" s="65"/>
      <c r="I4156" s="56"/>
      <c r="J4156" s="66"/>
      <c r="K4156" s="67"/>
      <c r="L4156" s="56"/>
      <c r="M4156" s="67"/>
      <c r="N4156" s="56"/>
      <c r="O4156" s="53"/>
      <c r="P4156" s="68"/>
      <c r="Q4156" s="69"/>
      <c r="R4156" s="68"/>
      <c r="S4156" s="70"/>
      <c r="T4156" s="67"/>
      <c r="U4156" s="56"/>
      <c r="V4156" s="56"/>
      <c r="W4156" s="71"/>
      <c r="X4156" s="71"/>
      <c r="AA4156" s="33"/>
      <c r="AB4156" s="33"/>
      <c r="AC4156" s="33"/>
      <c r="AD4156" s="33"/>
      <c r="AE4156" s="33"/>
      <c r="AF4156" s="33"/>
      <c r="AG4156" s="33"/>
      <c r="AH4156" s="33"/>
      <c r="AI4156" s="33"/>
      <c r="AJ4156" s="33"/>
      <c r="AK4156" s="33"/>
      <c r="AL4156" s="33"/>
      <c r="AM4156" s="33"/>
      <c r="AN4156" s="33"/>
      <c r="AO4156" s="33"/>
    </row>
    <row r="4157" ht="15.75" customHeight="1">
      <c r="A4157" s="72"/>
      <c r="B4157" s="61"/>
      <c r="C4157" s="56"/>
      <c r="D4157" s="67"/>
      <c r="E4157" s="56"/>
      <c r="F4157" s="56"/>
      <c r="G4157" s="62"/>
      <c r="H4157" s="65"/>
      <c r="I4157" s="56"/>
      <c r="J4157" s="66"/>
      <c r="K4157" s="67"/>
      <c r="L4157" s="56"/>
      <c r="M4157" s="67"/>
      <c r="N4157" s="56"/>
      <c r="O4157" s="53"/>
      <c r="P4157" s="68"/>
      <c r="Q4157" s="69"/>
      <c r="R4157" s="68"/>
      <c r="S4157" s="70"/>
      <c r="T4157" s="67"/>
      <c r="U4157" s="56"/>
      <c r="V4157" s="56"/>
      <c r="W4157" s="71"/>
      <c r="X4157" s="71"/>
      <c r="AA4157" s="33"/>
      <c r="AB4157" s="33"/>
      <c r="AC4157" s="33"/>
      <c r="AD4157" s="33"/>
      <c r="AE4157" s="33"/>
      <c r="AF4157" s="33"/>
      <c r="AG4157" s="33"/>
      <c r="AH4157" s="33"/>
      <c r="AI4157" s="33"/>
      <c r="AJ4157" s="33"/>
      <c r="AK4157" s="33"/>
      <c r="AL4157" s="33"/>
      <c r="AM4157" s="33"/>
      <c r="AN4157" s="33"/>
      <c r="AO4157" s="33"/>
    </row>
    <row r="4158" ht="15.75" customHeight="1">
      <c r="A4158" s="72"/>
      <c r="B4158" s="61"/>
      <c r="C4158" s="56"/>
      <c r="D4158" s="67"/>
      <c r="E4158" s="56"/>
      <c r="F4158" s="56"/>
      <c r="G4158" s="62"/>
      <c r="H4158" s="65"/>
      <c r="I4158" s="56"/>
      <c r="J4158" s="66"/>
      <c r="K4158" s="67"/>
      <c r="L4158" s="56"/>
      <c r="M4158" s="67"/>
      <c r="N4158" s="56"/>
      <c r="O4158" s="53"/>
      <c r="P4158" s="68"/>
      <c r="Q4158" s="69"/>
      <c r="R4158" s="68"/>
      <c r="S4158" s="70"/>
      <c r="T4158" s="67"/>
      <c r="U4158" s="56"/>
      <c r="V4158" s="56"/>
      <c r="W4158" s="71"/>
      <c r="X4158" s="71"/>
      <c r="AA4158" s="33"/>
      <c r="AB4158" s="33"/>
      <c r="AC4158" s="33"/>
      <c r="AD4158" s="33"/>
      <c r="AE4158" s="33"/>
      <c r="AF4158" s="33"/>
      <c r="AG4158" s="33"/>
      <c r="AH4158" s="33"/>
      <c r="AI4158" s="33"/>
      <c r="AJ4158" s="33"/>
      <c r="AK4158" s="33"/>
      <c r="AL4158" s="33"/>
      <c r="AM4158" s="33"/>
      <c r="AN4158" s="33"/>
      <c r="AO4158" s="33"/>
    </row>
    <row r="4159" ht="15.75" customHeight="1">
      <c r="A4159" s="72"/>
      <c r="B4159" s="61"/>
      <c r="C4159" s="56"/>
      <c r="D4159" s="67"/>
      <c r="E4159" s="56"/>
      <c r="F4159" s="56"/>
      <c r="G4159" s="62"/>
      <c r="H4159" s="65"/>
      <c r="I4159" s="56"/>
      <c r="J4159" s="66"/>
      <c r="K4159" s="67"/>
      <c r="L4159" s="56"/>
      <c r="M4159" s="67"/>
      <c r="N4159" s="56"/>
      <c r="O4159" s="53"/>
      <c r="P4159" s="68"/>
      <c r="Q4159" s="69"/>
      <c r="R4159" s="68"/>
      <c r="S4159" s="70"/>
      <c r="T4159" s="67"/>
      <c r="U4159" s="56"/>
      <c r="V4159" s="56"/>
      <c r="W4159" s="71"/>
      <c r="X4159" s="71"/>
      <c r="AA4159" s="33"/>
      <c r="AB4159" s="33"/>
      <c r="AC4159" s="33"/>
      <c r="AD4159" s="33"/>
      <c r="AE4159" s="33"/>
      <c r="AF4159" s="33"/>
      <c r="AG4159" s="33"/>
      <c r="AH4159" s="33"/>
      <c r="AI4159" s="33"/>
      <c r="AJ4159" s="33"/>
      <c r="AK4159" s="33"/>
      <c r="AL4159" s="33"/>
      <c r="AM4159" s="33"/>
      <c r="AN4159" s="33"/>
      <c r="AO4159" s="33"/>
    </row>
    <row r="4160" ht="15.75" customHeight="1">
      <c r="A4160" s="72"/>
      <c r="B4160" s="61"/>
      <c r="C4160" s="56"/>
      <c r="D4160" s="67"/>
      <c r="E4160" s="56"/>
      <c r="F4160" s="56"/>
      <c r="G4160" s="62"/>
      <c r="H4160" s="65"/>
      <c r="I4160" s="56"/>
      <c r="J4160" s="66"/>
      <c r="K4160" s="67"/>
      <c r="L4160" s="56"/>
      <c r="M4160" s="67"/>
      <c r="N4160" s="56"/>
      <c r="O4160" s="53"/>
      <c r="P4160" s="68"/>
      <c r="Q4160" s="69"/>
      <c r="R4160" s="68"/>
      <c r="S4160" s="70"/>
      <c r="T4160" s="67"/>
      <c r="U4160" s="56"/>
      <c r="V4160" s="56"/>
      <c r="W4160" s="71"/>
      <c r="X4160" s="71"/>
      <c r="AA4160" s="33"/>
      <c r="AB4160" s="33"/>
      <c r="AC4160" s="33"/>
      <c r="AD4160" s="33"/>
      <c r="AE4160" s="33"/>
      <c r="AF4160" s="33"/>
      <c r="AG4160" s="33"/>
      <c r="AH4160" s="33"/>
      <c r="AI4160" s="33"/>
      <c r="AJ4160" s="33"/>
      <c r="AK4160" s="33"/>
      <c r="AL4160" s="33"/>
      <c r="AM4160" s="33"/>
      <c r="AN4160" s="33"/>
      <c r="AO4160" s="33"/>
    </row>
    <row r="4161" ht="15.75" customHeight="1">
      <c r="A4161" s="72"/>
      <c r="B4161" s="61"/>
      <c r="C4161" s="56"/>
      <c r="D4161" s="67"/>
      <c r="E4161" s="56"/>
      <c r="F4161" s="56"/>
      <c r="G4161" s="62"/>
      <c r="H4161" s="65"/>
      <c r="I4161" s="56"/>
      <c r="J4161" s="66"/>
      <c r="K4161" s="67"/>
      <c r="L4161" s="56"/>
      <c r="M4161" s="67"/>
      <c r="N4161" s="56"/>
      <c r="O4161" s="53"/>
      <c r="P4161" s="68"/>
      <c r="Q4161" s="69"/>
      <c r="R4161" s="68"/>
      <c r="S4161" s="70"/>
      <c r="T4161" s="67"/>
      <c r="U4161" s="56"/>
      <c r="V4161" s="56"/>
      <c r="W4161" s="71"/>
      <c r="X4161" s="71"/>
      <c r="AA4161" s="33"/>
      <c r="AB4161" s="33"/>
      <c r="AC4161" s="33"/>
      <c r="AD4161" s="33"/>
      <c r="AE4161" s="33"/>
      <c r="AF4161" s="33"/>
      <c r="AG4161" s="33"/>
      <c r="AH4161" s="33"/>
      <c r="AI4161" s="33"/>
      <c r="AJ4161" s="33"/>
      <c r="AK4161" s="33"/>
      <c r="AL4161" s="33"/>
      <c r="AM4161" s="33"/>
      <c r="AN4161" s="33"/>
      <c r="AO4161" s="33"/>
    </row>
    <row r="4162" ht="15.75" customHeight="1">
      <c r="A4162" s="72"/>
      <c r="B4162" s="61"/>
      <c r="C4162" s="56"/>
      <c r="D4162" s="67"/>
      <c r="E4162" s="56"/>
      <c r="F4162" s="56"/>
      <c r="G4162" s="62"/>
      <c r="H4162" s="65"/>
      <c r="I4162" s="56"/>
      <c r="J4162" s="66"/>
      <c r="K4162" s="67"/>
      <c r="L4162" s="56"/>
      <c r="M4162" s="67"/>
      <c r="N4162" s="56"/>
      <c r="O4162" s="53"/>
      <c r="P4162" s="68"/>
      <c r="Q4162" s="69"/>
      <c r="R4162" s="68"/>
      <c r="S4162" s="70"/>
      <c r="T4162" s="67"/>
      <c r="U4162" s="56"/>
      <c r="V4162" s="56"/>
      <c r="W4162" s="71"/>
      <c r="X4162" s="71"/>
      <c r="AA4162" s="33"/>
      <c r="AB4162" s="33"/>
      <c r="AC4162" s="33"/>
      <c r="AD4162" s="33"/>
      <c r="AE4162" s="33"/>
      <c r="AF4162" s="33"/>
      <c r="AG4162" s="33"/>
      <c r="AH4162" s="33"/>
      <c r="AI4162" s="33"/>
      <c r="AJ4162" s="33"/>
      <c r="AK4162" s="33"/>
      <c r="AL4162" s="33"/>
      <c r="AM4162" s="33"/>
      <c r="AN4162" s="33"/>
      <c r="AO4162" s="33"/>
    </row>
    <row r="4163" ht="15.75" customHeight="1">
      <c r="A4163" s="72"/>
      <c r="B4163" s="61"/>
      <c r="C4163" s="56"/>
      <c r="D4163" s="67"/>
      <c r="E4163" s="56"/>
      <c r="F4163" s="56"/>
      <c r="G4163" s="62"/>
      <c r="H4163" s="65"/>
      <c r="I4163" s="56"/>
      <c r="J4163" s="66"/>
      <c r="K4163" s="67"/>
      <c r="L4163" s="56"/>
      <c r="M4163" s="67"/>
      <c r="N4163" s="56"/>
      <c r="O4163" s="53"/>
      <c r="P4163" s="68"/>
      <c r="Q4163" s="69"/>
      <c r="R4163" s="68"/>
      <c r="S4163" s="70"/>
      <c r="T4163" s="67"/>
      <c r="U4163" s="56"/>
      <c r="V4163" s="56"/>
      <c r="W4163" s="71"/>
      <c r="X4163" s="71"/>
      <c r="AA4163" s="33"/>
      <c r="AB4163" s="33"/>
      <c r="AC4163" s="33"/>
      <c r="AD4163" s="33"/>
      <c r="AE4163" s="33"/>
      <c r="AF4163" s="33"/>
      <c r="AG4163" s="33"/>
      <c r="AH4163" s="33"/>
      <c r="AI4163" s="33"/>
      <c r="AJ4163" s="33"/>
      <c r="AK4163" s="33"/>
      <c r="AL4163" s="33"/>
      <c r="AM4163" s="33"/>
      <c r="AN4163" s="33"/>
      <c r="AO4163" s="33"/>
    </row>
    <row r="4164" ht="15.75" customHeight="1">
      <c r="A4164" s="72"/>
      <c r="B4164" s="61"/>
      <c r="C4164" s="56"/>
      <c r="D4164" s="67"/>
      <c r="E4164" s="56"/>
      <c r="F4164" s="56"/>
      <c r="G4164" s="62"/>
      <c r="H4164" s="65"/>
      <c r="I4164" s="56"/>
      <c r="J4164" s="66"/>
      <c r="K4164" s="67"/>
      <c r="L4164" s="56"/>
      <c r="M4164" s="67"/>
      <c r="N4164" s="56"/>
      <c r="O4164" s="53"/>
      <c r="P4164" s="68"/>
      <c r="Q4164" s="69"/>
      <c r="R4164" s="68"/>
      <c r="S4164" s="70"/>
      <c r="T4164" s="67"/>
      <c r="U4164" s="56"/>
      <c r="V4164" s="56"/>
      <c r="W4164" s="71"/>
      <c r="X4164" s="71"/>
      <c r="AA4164" s="33"/>
      <c r="AB4164" s="33"/>
      <c r="AC4164" s="33"/>
      <c r="AD4164" s="33"/>
      <c r="AE4164" s="33"/>
      <c r="AF4164" s="33"/>
      <c r="AG4164" s="33"/>
      <c r="AH4164" s="33"/>
      <c r="AI4164" s="33"/>
      <c r="AJ4164" s="33"/>
      <c r="AK4164" s="33"/>
      <c r="AL4164" s="33"/>
      <c r="AM4164" s="33"/>
      <c r="AN4164" s="33"/>
      <c r="AO4164" s="33"/>
    </row>
    <row r="4165" ht="15.75" customHeight="1">
      <c r="A4165" s="72"/>
      <c r="B4165" s="61"/>
      <c r="C4165" s="56"/>
      <c r="D4165" s="67"/>
      <c r="E4165" s="56"/>
      <c r="F4165" s="56"/>
      <c r="G4165" s="62"/>
      <c r="H4165" s="65"/>
      <c r="I4165" s="56"/>
      <c r="J4165" s="66"/>
      <c r="K4165" s="67"/>
      <c r="L4165" s="56"/>
      <c r="M4165" s="67"/>
      <c r="N4165" s="56"/>
      <c r="O4165" s="53"/>
      <c r="P4165" s="68"/>
      <c r="Q4165" s="69"/>
      <c r="R4165" s="68"/>
      <c r="S4165" s="70"/>
      <c r="T4165" s="67"/>
      <c r="U4165" s="56"/>
      <c r="V4165" s="56"/>
      <c r="W4165" s="71"/>
      <c r="X4165" s="71"/>
      <c r="AA4165" s="33"/>
      <c r="AB4165" s="33"/>
      <c r="AC4165" s="33"/>
      <c r="AD4165" s="33"/>
      <c r="AE4165" s="33"/>
      <c r="AF4165" s="33"/>
      <c r="AG4165" s="33"/>
      <c r="AH4165" s="33"/>
      <c r="AI4165" s="33"/>
      <c r="AJ4165" s="33"/>
      <c r="AK4165" s="33"/>
      <c r="AL4165" s="33"/>
      <c r="AM4165" s="33"/>
      <c r="AN4165" s="33"/>
      <c r="AO4165" s="33"/>
    </row>
    <row r="4166" ht="15.75" customHeight="1">
      <c r="A4166" s="72"/>
      <c r="B4166" s="61"/>
      <c r="C4166" s="56"/>
      <c r="D4166" s="67"/>
      <c r="E4166" s="56"/>
      <c r="F4166" s="56"/>
      <c r="G4166" s="62"/>
      <c r="H4166" s="65"/>
      <c r="I4166" s="56"/>
      <c r="J4166" s="66"/>
      <c r="K4166" s="67"/>
      <c r="L4166" s="56"/>
      <c r="M4166" s="67"/>
      <c r="N4166" s="56"/>
      <c r="O4166" s="53"/>
      <c r="P4166" s="68"/>
      <c r="Q4166" s="69"/>
      <c r="R4166" s="68"/>
      <c r="S4166" s="70"/>
      <c r="T4166" s="67"/>
      <c r="U4166" s="56"/>
      <c r="V4166" s="56"/>
      <c r="W4166" s="71"/>
      <c r="X4166" s="71"/>
      <c r="AA4166" s="33"/>
      <c r="AB4166" s="33"/>
      <c r="AC4166" s="33"/>
      <c r="AD4166" s="33"/>
      <c r="AE4166" s="33"/>
      <c r="AF4166" s="33"/>
      <c r="AG4166" s="33"/>
      <c r="AH4166" s="33"/>
      <c r="AI4166" s="33"/>
      <c r="AJ4166" s="33"/>
      <c r="AK4166" s="33"/>
      <c r="AL4166" s="33"/>
      <c r="AM4166" s="33"/>
      <c r="AN4166" s="33"/>
      <c r="AO4166" s="33"/>
    </row>
    <row r="4167" ht="15.75" customHeight="1">
      <c r="A4167" s="72"/>
      <c r="B4167" s="61"/>
      <c r="C4167" s="56"/>
      <c r="D4167" s="67"/>
      <c r="E4167" s="56"/>
      <c r="F4167" s="56"/>
      <c r="G4167" s="62"/>
      <c r="H4167" s="65"/>
      <c r="I4167" s="56"/>
      <c r="J4167" s="66"/>
      <c r="K4167" s="67"/>
      <c r="L4167" s="56"/>
      <c r="M4167" s="67"/>
      <c r="N4167" s="56"/>
      <c r="O4167" s="53"/>
      <c r="P4167" s="68"/>
      <c r="Q4167" s="69"/>
      <c r="R4167" s="68"/>
      <c r="S4167" s="70"/>
      <c r="T4167" s="67"/>
      <c r="U4167" s="56"/>
      <c r="V4167" s="56"/>
      <c r="W4167" s="71"/>
      <c r="X4167" s="71"/>
      <c r="AA4167" s="33"/>
      <c r="AB4167" s="33"/>
      <c r="AC4167" s="33"/>
      <c r="AD4167" s="33"/>
      <c r="AE4167" s="33"/>
      <c r="AF4167" s="33"/>
      <c r="AG4167" s="33"/>
      <c r="AH4167" s="33"/>
      <c r="AI4167" s="33"/>
      <c r="AJ4167" s="33"/>
      <c r="AK4167" s="33"/>
      <c r="AL4167" s="33"/>
      <c r="AM4167" s="33"/>
      <c r="AN4167" s="33"/>
      <c r="AO4167" s="33"/>
    </row>
    <row r="4168" ht="15.75" customHeight="1">
      <c r="A4168" s="72"/>
      <c r="B4168" s="61"/>
      <c r="C4168" s="56"/>
      <c r="D4168" s="67"/>
      <c r="E4168" s="56"/>
      <c r="F4168" s="56"/>
      <c r="G4168" s="62"/>
      <c r="H4168" s="65"/>
      <c r="I4168" s="56"/>
      <c r="J4168" s="66"/>
      <c r="K4168" s="67"/>
      <c r="L4168" s="56"/>
      <c r="M4168" s="67"/>
      <c r="N4168" s="56"/>
      <c r="O4168" s="53"/>
      <c r="P4168" s="68"/>
      <c r="Q4168" s="69"/>
      <c r="R4168" s="68"/>
      <c r="S4168" s="70"/>
      <c r="T4168" s="67"/>
      <c r="U4168" s="56"/>
      <c r="V4168" s="56"/>
      <c r="W4168" s="71"/>
      <c r="X4168" s="71"/>
      <c r="AA4168" s="33"/>
      <c r="AB4168" s="33"/>
      <c r="AC4168" s="33"/>
      <c r="AD4168" s="33"/>
      <c r="AE4168" s="33"/>
      <c r="AF4168" s="33"/>
      <c r="AG4168" s="33"/>
      <c r="AH4168" s="33"/>
      <c r="AI4168" s="33"/>
      <c r="AJ4168" s="33"/>
      <c r="AK4168" s="33"/>
      <c r="AL4168" s="33"/>
      <c r="AM4168" s="33"/>
      <c r="AN4168" s="33"/>
      <c r="AO4168" s="33"/>
    </row>
    <row r="4169" ht="15.75" customHeight="1">
      <c r="A4169" s="72"/>
      <c r="B4169" s="61"/>
      <c r="C4169" s="56"/>
      <c r="D4169" s="67"/>
      <c r="E4169" s="56"/>
      <c r="F4169" s="56"/>
      <c r="G4169" s="62"/>
      <c r="H4169" s="65"/>
      <c r="I4169" s="56"/>
      <c r="J4169" s="66"/>
      <c r="K4169" s="67"/>
      <c r="L4169" s="56"/>
      <c r="M4169" s="67"/>
      <c r="N4169" s="56"/>
      <c r="O4169" s="53"/>
      <c r="P4169" s="68"/>
      <c r="Q4169" s="69"/>
      <c r="R4169" s="68"/>
      <c r="S4169" s="70"/>
      <c r="T4169" s="67"/>
      <c r="U4169" s="56"/>
      <c r="V4169" s="56"/>
      <c r="W4169" s="71"/>
      <c r="X4169" s="71"/>
      <c r="AA4169" s="33"/>
      <c r="AB4169" s="33"/>
      <c r="AC4169" s="33"/>
      <c r="AD4169" s="33"/>
      <c r="AE4169" s="33"/>
      <c r="AF4169" s="33"/>
      <c r="AG4169" s="33"/>
      <c r="AH4169" s="33"/>
      <c r="AI4169" s="33"/>
      <c r="AJ4169" s="33"/>
      <c r="AK4169" s="33"/>
      <c r="AL4169" s="33"/>
      <c r="AM4169" s="33"/>
      <c r="AN4169" s="33"/>
      <c r="AO4169" s="33"/>
    </row>
    <row r="4170" ht="15.75" customHeight="1">
      <c r="A4170" s="72"/>
      <c r="B4170" s="61"/>
      <c r="C4170" s="56"/>
      <c r="D4170" s="67"/>
      <c r="E4170" s="56"/>
      <c r="F4170" s="56"/>
      <c r="G4170" s="62"/>
      <c r="H4170" s="65"/>
      <c r="I4170" s="56"/>
      <c r="J4170" s="66"/>
      <c r="K4170" s="67"/>
      <c r="L4170" s="56"/>
      <c r="M4170" s="67"/>
      <c r="N4170" s="56"/>
      <c r="O4170" s="53"/>
      <c r="P4170" s="68"/>
      <c r="Q4170" s="69"/>
      <c r="R4170" s="68"/>
      <c r="S4170" s="70"/>
      <c r="T4170" s="67"/>
      <c r="U4170" s="56"/>
      <c r="V4170" s="56"/>
      <c r="W4170" s="71"/>
      <c r="X4170" s="71"/>
      <c r="AA4170" s="33"/>
      <c r="AB4170" s="33"/>
      <c r="AC4170" s="33"/>
      <c r="AD4170" s="33"/>
      <c r="AE4170" s="33"/>
      <c r="AF4170" s="33"/>
      <c r="AG4170" s="33"/>
      <c r="AH4170" s="33"/>
      <c r="AI4170" s="33"/>
      <c r="AJ4170" s="33"/>
      <c r="AK4170" s="33"/>
      <c r="AL4170" s="33"/>
      <c r="AM4170" s="33"/>
      <c r="AN4170" s="33"/>
      <c r="AO4170" s="33"/>
    </row>
    <row r="4171" ht="15.75" customHeight="1">
      <c r="A4171" s="72"/>
      <c r="B4171" s="61"/>
      <c r="C4171" s="56"/>
      <c r="D4171" s="67"/>
      <c r="E4171" s="56"/>
      <c r="F4171" s="56"/>
      <c r="G4171" s="62"/>
      <c r="H4171" s="65"/>
      <c r="I4171" s="56"/>
      <c r="J4171" s="66"/>
      <c r="K4171" s="67"/>
      <c r="L4171" s="56"/>
      <c r="M4171" s="67"/>
      <c r="N4171" s="56"/>
      <c r="O4171" s="53"/>
      <c r="P4171" s="68"/>
      <c r="Q4171" s="69"/>
      <c r="R4171" s="68"/>
      <c r="S4171" s="70"/>
      <c r="T4171" s="67"/>
      <c r="U4171" s="56"/>
      <c r="V4171" s="56"/>
      <c r="W4171" s="71"/>
      <c r="X4171" s="71"/>
      <c r="AA4171" s="33"/>
      <c r="AB4171" s="33"/>
      <c r="AC4171" s="33"/>
      <c r="AD4171" s="33"/>
      <c r="AE4171" s="33"/>
      <c r="AF4171" s="33"/>
      <c r="AG4171" s="33"/>
      <c r="AH4171" s="33"/>
      <c r="AI4171" s="33"/>
      <c r="AJ4171" s="33"/>
      <c r="AK4171" s="33"/>
      <c r="AL4171" s="33"/>
      <c r="AM4171" s="33"/>
      <c r="AN4171" s="33"/>
      <c r="AO4171" s="33"/>
    </row>
    <row r="4172" ht="15.75" customHeight="1">
      <c r="A4172" s="72"/>
      <c r="B4172" s="61"/>
      <c r="C4172" s="56"/>
      <c r="D4172" s="67"/>
      <c r="E4172" s="56"/>
      <c r="F4172" s="56"/>
      <c r="G4172" s="62"/>
      <c r="H4172" s="65"/>
      <c r="I4172" s="56"/>
      <c r="J4172" s="66"/>
      <c r="K4172" s="67"/>
      <c r="L4172" s="56"/>
      <c r="M4172" s="67"/>
      <c r="N4172" s="56"/>
      <c r="O4172" s="53"/>
      <c r="P4172" s="68"/>
      <c r="Q4172" s="69"/>
      <c r="R4172" s="68"/>
      <c r="S4172" s="70"/>
      <c r="T4172" s="67"/>
      <c r="U4172" s="56"/>
      <c r="V4172" s="56"/>
      <c r="W4172" s="71"/>
      <c r="X4172" s="71"/>
      <c r="AA4172" s="33"/>
      <c r="AB4172" s="33"/>
      <c r="AC4172" s="33"/>
      <c r="AD4172" s="33"/>
      <c r="AE4172" s="33"/>
      <c r="AF4172" s="33"/>
      <c r="AG4172" s="33"/>
      <c r="AH4172" s="33"/>
      <c r="AI4172" s="33"/>
      <c r="AJ4172" s="33"/>
      <c r="AK4172" s="33"/>
      <c r="AL4172" s="33"/>
      <c r="AM4172" s="33"/>
      <c r="AN4172" s="33"/>
      <c r="AO4172" s="33"/>
    </row>
    <row r="4173" ht="15.75" customHeight="1">
      <c r="A4173" s="72"/>
      <c r="B4173" s="61"/>
      <c r="C4173" s="56"/>
      <c r="D4173" s="67"/>
      <c r="E4173" s="56"/>
      <c r="F4173" s="56"/>
      <c r="G4173" s="62"/>
      <c r="H4173" s="65"/>
      <c r="I4173" s="56"/>
      <c r="J4173" s="66"/>
      <c r="K4173" s="67"/>
      <c r="L4173" s="56"/>
      <c r="M4173" s="67"/>
      <c r="N4173" s="56"/>
      <c r="O4173" s="53"/>
      <c r="P4173" s="68"/>
      <c r="Q4173" s="69"/>
      <c r="R4173" s="68"/>
      <c r="S4173" s="70"/>
      <c r="T4173" s="67"/>
      <c r="U4173" s="56"/>
      <c r="V4173" s="56"/>
      <c r="W4173" s="71"/>
      <c r="X4173" s="71"/>
      <c r="AA4173" s="33"/>
      <c r="AB4173" s="33"/>
      <c r="AC4173" s="33"/>
      <c r="AD4173" s="33"/>
      <c r="AE4173" s="33"/>
      <c r="AF4173" s="33"/>
      <c r="AG4173" s="33"/>
      <c r="AH4173" s="33"/>
      <c r="AI4173" s="33"/>
      <c r="AJ4173" s="33"/>
      <c r="AK4173" s="33"/>
      <c r="AL4173" s="33"/>
      <c r="AM4173" s="33"/>
      <c r="AN4173" s="33"/>
      <c r="AO4173" s="33"/>
    </row>
    <row r="4174" ht="15.75" customHeight="1">
      <c r="A4174" s="72"/>
      <c r="B4174" s="61"/>
      <c r="C4174" s="56"/>
      <c r="D4174" s="67"/>
      <c r="E4174" s="56"/>
      <c r="F4174" s="56"/>
      <c r="G4174" s="62"/>
      <c r="H4174" s="65"/>
      <c r="I4174" s="56"/>
      <c r="J4174" s="66"/>
      <c r="K4174" s="67"/>
      <c r="L4174" s="56"/>
      <c r="M4174" s="67"/>
      <c r="N4174" s="56"/>
      <c r="O4174" s="53"/>
      <c r="P4174" s="68"/>
      <c r="Q4174" s="69"/>
      <c r="R4174" s="68"/>
      <c r="S4174" s="70"/>
      <c r="T4174" s="67"/>
      <c r="U4174" s="56"/>
      <c r="V4174" s="56"/>
      <c r="W4174" s="71"/>
      <c r="X4174" s="71"/>
      <c r="AA4174" s="33"/>
      <c r="AB4174" s="33"/>
      <c r="AC4174" s="33"/>
      <c r="AD4174" s="33"/>
      <c r="AE4174" s="33"/>
      <c r="AF4174" s="33"/>
      <c r="AG4174" s="33"/>
      <c r="AH4174" s="33"/>
      <c r="AI4174" s="33"/>
      <c r="AJ4174" s="33"/>
      <c r="AK4174" s="33"/>
      <c r="AL4174" s="33"/>
      <c r="AM4174" s="33"/>
      <c r="AN4174" s="33"/>
      <c r="AO4174" s="33"/>
    </row>
    <row r="4175" ht="15.75" customHeight="1">
      <c r="A4175" s="72"/>
      <c r="B4175" s="61"/>
      <c r="C4175" s="56"/>
      <c r="D4175" s="67"/>
      <c r="E4175" s="56"/>
      <c r="F4175" s="56"/>
      <c r="G4175" s="62"/>
      <c r="H4175" s="65"/>
      <c r="I4175" s="56"/>
      <c r="J4175" s="66"/>
      <c r="K4175" s="67"/>
      <c r="L4175" s="56"/>
      <c r="M4175" s="67"/>
      <c r="N4175" s="56"/>
      <c r="O4175" s="53"/>
      <c r="P4175" s="68"/>
      <c r="Q4175" s="69"/>
      <c r="R4175" s="68"/>
      <c r="S4175" s="70"/>
      <c r="T4175" s="67"/>
      <c r="U4175" s="56"/>
      <c r="V4175" s="56"/>
      <c r="W4175" s="71"/>
      <c r="X4175" s="71"/>
      <c r="AA4175" s="33"/>
      <c r="AB4175" s="33"/>
      <c r="AC4175" s="33"/>
      <c r="AD4175" s="33"/>
      <c r="AE4175" s="33"/>
      <c r="AF4175" s="33"/>
      <c r="AG4175" s="33"/>
      <c r="AH4175" s="33"/>
      <c r="AI4175" s="33"/>
      <c r="AJ4175" s="33"/>
      <c r="AK4175" s="33"/>
      <c r="AL4175" s="33"/>
      <c r="AM4175" s="33"/>
      <c r="AN4175" s="33"/>
      <c r="AO4175" s="33"/>
    </row>
    <row r="4176" ht="15.75" customHeight="1">
      <c r="A4176" s="72"/>
      <c r="B4176" s="61"/>
      <c r="C4176" s="56"/>
      <c r="D4176" s="67"/>
      <c r="E4176" s="56"/>
      <c r="F4176" s="56"/>
      <c r="G4176" s="62"/>
      <c r="H4176" s="65"/>
      <c r="I4176" s="56"/>
      <c r="J4176" s="66"/>
      <c r="K4176" s="67"/>
      <c r="L4176" s="56"/>
      <c r="M4176" s="67"/>
      <c r="N4176" s="56"/>
      <c r="O4176" s="53"/>
      <c r="P4176" s="68"/>
      <c r="Q4176" s="69"/>
      <c r="R4176" s="68"/>
      <c r="S4176" s="70"/>
      <c r="T4176" s="67"/>
      <c r="U4176" s="56"/>
      <c r="V4176" s="56"/>
      <c r="W4176" s="71"/>
      <c r="X4176" s="71"/>
      <c r="AA4176" s="33"/>
      <c r="AB4176" s="33"/>
      <c r="AC4176" s="33"/>
      <c r="AD4176" s="33"/>
      <c r="AE4176" s="33"/>
      <c r="AF4176" s="33"/>
      <c r="AG4176" s="33"/>
      <c r="AH4176" s="33"/>
      <c r="AI4176" s="33"/>
      <c r="AJ4176" s="33"/>
      <c r="AK4176" s="33"/>
      <c r="AL4176" s="33"/>
      <c r="AM4176" s="33"/>
      <c r="AN4176" s="33"/>
      <c r="AO4176" s="33"/>
    </row>
    <row r="4177" ht="15.75" customHeight="1">
      <c r="A4177" s="72"/>
      <c r="B4177" s="61"/>
      <c r="C4177" s="56"/>
      <c r="D4177" s="67"/>
      <c r="E4177" s="56"/>
      <c r="F4177" s="56"/>
      <c r="G4177" s="62"/>
      <c r="H4177" s="65"/>
      <c r="I4177" s="56"/>
      <c r="J4177" s="66"/>
      <c r="K4177" s="67"/>
      <c r="L4177" s="56"/>
      <c r="M4177" s="67"/>
      <c r="N4177" s="56"/>
      <c r="O4177" s="53"/>
      <c r="P4177" s="68"/>
      <c r="Q4177" s="69"/>
      <c r="R4177" s="68"/>
      <c r="S4177" s="70"/>
      <c r="T4177" s="67"/>
      <c r="U4177" s="56"/>
      <c r="V4177" s="56"/>
      <c r="W4177" s="71"/>
      <c r="X4177" s="71"/>
      <c r="AA4177" s="33"/>
      <c r="AB4177" s="33"/>
      <c r="AC4177" s="33"/>
      <c r="AD4177" s="33"/>
      <c r="AE4177" s="33"/>
      <c r="AF4177" s="33"/>
      <c r="AG4177" s="33"/>
      <c r="AH4177" s="33"/>
      <c r="AI4177" s="33"/>
      <c r="AJ4177" s="33"/>
      <c r="AK4177" s="33"/>
      <c r="AL4177" s="33"/>
      <c r="AM4177" s="33"/>
      <c r="AN4177" s="33"/>
      <c r="AO4177" s="33"/>
    </row>
    <row r="4178" ht="15.75" customHeight="1">
      <c r="A4178" s="72"/>
      <c r="B4178" s="61"/>
      <c r="C4178" s="56"/>
      <c r="D4178" s="67"/>
      <c r="E4178" s="56"/>
      <c r="F4178" s="56"/>
      <c r="G4178" s="62"/>
      <c r="H4178" s="65"/>
      <c r="I4178" s="56"/>
      <c r="J4178" s="66"/>
      <c r="K4178" s="67"/>
      <c r="L4178" s="56"/>
      <c r="M4178" s="67"/>
      <c r="N4178" s="56"/>
      <c r="O4178" s="53"/>
      <c r="P4178" s="68"/>
      <c r="Q4178" s="69"/>
      <c r="R4178" s="68"/>
      <c r="S4178" s="70"/>
      <c r="T4178" s="67"/>
      <c r="U4178" s="56"/>
      <c r="V4178" s="56"/>
      <c r="W4178" s="71"/>
      <c r="X4178" s="71"/>
      <c r="AA4178" s="33"/>
      <c r="AB4178" s="33"/>
      <c r="AC4178" s="33"/>
      <c r="AD4178" s="33"/>
      <c r="AE4178" s="33"/>
      <c r="AF4178" s="33"/>
      <c r="AG4178" s="33"/>
      <c r="AH4178" s="33"/>
      <c r="AI4178" s="33"/>
      <c r="AJ4178" s="33"/>
      <c r="AK4178" s="33"/>
      <c r="AL4178" s="33"/>
      <c r="AM4178" s="33"/>
      <c r="AN4178" s="33"/>
      <c r="AO4178" s="33"/>
    </row>
    <row r="4179" ht="15.75" customHeight="1">
      <c r="A4179" s="72"/>
      <c r="B4179" s="61"/>
      <c r="C4179" s="56"/>
      <c r="D4179" s="67"/>
      <c r="E4179" s="56"/>
      <c r="F4179" s="56"/>
      <c r="G4179" s="62"/>
      <c r="H4179" s="65"/>
      <c r="I4179" s="56"/>
      <c r="J4179" s="66"/>
      <c r="K4179" s="67"/>
      <c r="L4179" s="56"/>
      <c r="M4179" s="67"/>
      <c r="N4179" s="56"/>
      <c r="O4179" s="53"/>
      <c r="P4179" s="68"/>
      <c r="Q4179" s="69"/>
      <c r="R4179" s="68"/>
      <c r="S4179" s="70"/>
      <c r="T4179" s="67"/>
      <c r="U4179" s="56"/>
      <c r="V4179" s="56"/>
      <c r="W4179" s="71"/>
      <c r="X4179" s="71"/>
      <c r="AA4179" s="33"/>
      <c r="AB4179" s="33"/>
      <c r="AC4179" s="33"/>
      <c r="AD4179" s="33"/>
      <c r="AE4179" s="33"/>
      <c r="AF4179" s="33"/>
      <c r="AG4179" s="33"/>
      <c r="AH4179" s="33"/>
      <c r="AI4179" s="33"/>
      <c r="AJ4179" s="33"/>
      <c r="AK4179" s="33"/>
      <c r="AL4179" s="33"/>
      <c r="AM4179" s="33"/>
      <c r="AN4179" s="33"/>
      <c r="AO4179" s="33"/>
    </row>
    <row r="4180" ht="15.75" customHeight="1">
      <c r="A4180" s="72"/>
      <c r="B4180" s="61"/>
      <c r="C4180" s="56"/>
      <c r="D4180" s="67"/>
      <c r="E4180" s="56"/>
      <c r="F4180" s="56"/>
      <c r="G4180" s="62"/>
      <c r="H4180" s="65"/>
      <c r="I4180" s="56"/>
      <c r="J4180" s="66"/>
      <c r="K4180" s="67"/>
      <c r="L4180" s="56"/>
      <c r="M4180" s="67"/>
      <c r="N4180" s="56"/>
      <c r="O4180" s="53"/>
      <c r="P4180" s="68"/>
      <c r="Q4180" s="69"/>
      <c r="R4180" s="68"/>
      <c r="S4180" s="70"/>
      <c r="T4180" s="67"/>
      <c r="U4180" s="56"/>
      <c r="V4180" s="56"/>
      <c r="W4180" s="71"/>
      <c r="X4180" s="71"/>
      <c r="AA4180" s="33"/>
      <c r="AB4180" s="33"/>
      <c r="AC4180" s="33"/>
      <c r="AD4180" s="33"/>
      <c r="AE4180" s="33"/>
      <c r="AF4180" s="33"/>
      <c r="AG4180" s="33"/>
      <c r="AH4180" s="33"/>
      <c r="AI4180" s="33"/>
      <c r="AJ4180" s="33"/>
      <c r="AK4180" s="33"/>
      <c r="AL4180" s="33"/>
      <c r="AM4180" s="33"/>
      <c r="AN4180" s="33"/>
      <c r="AO4180" s="33"/>
    </row>
    <row r="4181" ht="15.75" customHeight="1">
      <c r="A4181" s="72"/>
      <c r="B4181" s="61"/>
      <c r="C4181" s="56"/>
      <c r="D4181" s="67"/>
      <c r="E4181" s="56"/>
      <c r="F4181" s="56"/>
      <c r="G4181" s="62"/>
      <c r="H4181" s="65"/>
      <c r="I4181" s="56"/>
      <c r="J4181" s="66"/>
      <c r="K4181" s="67"/>
      <c r="L4181" s="56"/>
      <c r="M4181" s="67"/>
      <c r="N4181" s="56"/>
      <c r="O4181" s="53"/>
      <c r="P4181" s="68"/>
      <c r="Q4181" s="69"/>
      <c r="R4181" s="68"/>
      <c r="S4181" s="70"/>
      <c r="T4181" s="67"/>
      <c r="U4181" s="56"/>
      <c r="V4181" s="56"/>
      <c r="W4181" s="71"/>
      <c r="X4181" s="71"/>
      <c r="AA4181" s="33"/>
      <c r="AB4181" s="33"/>
      <c r="AC4181" s="33"/>
      <c r="AD4181" s="33"/>
      <c r="AE4181" s="33"/>
      <c r="AF4181" s="33"/>
      <c r="AG4181" s="33"/>
      <c r="AH4181" s="33"/>
      <c r="AI4181" s="33"/>
      <c r="AJ4181" s="33"/>
      <c r="AK4181" s="33"/>
      <c r="AL4181" s="33"/>
      <c r="AM4181" s="33"/>
      <c r="AN4181" s="33"/>
      <c r="AO4181" s="33"/>
    </row>
    <row r="4182" ht="15.75" customHeight="1">
      <c r="A4182" s="72"/>
      <c r="B4182" s="61"/>
      <c r="C4182" s="56"/>
      <c r="D4182" s="67"/>
      <c r="E4182" s="56"/>
      <c r="F4182" s="56"/>
      <c r="G4182" s="62"/>
      <c r="H4182" s="65"/>
      <c r="I4182" s="56"/>
      <c r="J4182" s="66"/>
      <c r="K4182" s="67"/>
      <c r="L4182" s="56"/>
      <c r="M4182" s="67"/>
      <c r="N4182" s="56"/>
      <c r="O4182" s="53"/>
      <c r="P4182" s="68"/>
      <c r="Q4182" s="69"/>
      <c r="R4182" s="68"/>
      <c r="S4182" s="70"/>
      <c r="T4182" s="67"/>
      <c r="U4182" s="56"/>
      <c r="V4182" s="56"/>
      <c r="W4182" s="71"/>
      <c r="X4182" s="71"/>
      <c r="AA4182" s="33"/>
      <c r="AB4182" s="33"/>
      <c r="AC4182" s="33"/>
      <c r="AD4182" s="33"/>
      <c r="AE4182" s="33"/>
      <c r="AF4182" s="33"/>
      <c r="AG4182" s="33"/>
      <c r="AH4182" s="33"/>
      <c r="AI4182" s="33"/>
      <c r="AJ4182" s="33"/>
      <c r="AK4182" s="33"/>
      <c r="AL4182" s="33"/>
      <c r="AM4182" s="33"/>
      <c r="AN4182" s="33"/>
      <c r="AO4182" s="33"/>
    </row>
    <row r="4183" ht="15.75" customHeight="1">
      <c r="A4183" s="72"/>
      <c r="B4183" s="61"/>
      <c r="C4183" s="56"/>
      <c r="D4183" s="67"/>
      <c r="E4183" s="56"/>
      <c r="F4183" s="56"/>
      <c r="G4183" s="62"/>
      <c r="H4183" s="65"/>
      <c r="I4183" s="56"/>
      <c r="J4183" s="66"/>
      <c r="K4183" s="67"/>
      <c r="L4183" s="56"/>
      <c r="M4183" s="67"/>
      <c r="N4183" s="56"/>
      <c r="O4183" s="53"/>
      <c r="P4183" s="68"/>
      <c r="Q4183" s="69"/>
      <c r="R4183" s="68"/>
      <c r="S4183" s="70"/>
      <c r="T4183" s="67"/>
      <c r="U4183" s="56"/>
      <c r="V4183" s="56"/>
      <c r="W4183" s="71"/>
      <c r="X4183" s="71"/>
      <c r="AA4183" s="33"/>
      <c r="AB4183" s="33"/>
      <c r="AC4183" s="33"/>
      <c r="AD4183" s="33"/>
      <c r="AE4183" s="33"/>
      <c r="AF4183" s="33"/>
      <c r="AG4183" s="33"/>
      <c r="AH4183" s="33"/>
      <c r="AI4183" s="33"/>
      <c r="AJ4183" s="33"/>
      <c r="AK4183" s="33"/>
      <c r="AL4183" s="33"/>
      <c r="AM4183" s="33"/>
      <c r="AN4183" s="33"/>
      <c r="AO4183" s="33"/>
    </row>
    <row r="4184" ht="15.75" customHeight="1">
      <c r="A4184" s="72"/>
      <c r="B4184" s="61"/>
      <c r="C4184" s="56"/>
      <c r="D4184" s="67"/>
      <c r="E4184" s="56"/>
      <c r="F4184" s="56"/>
      <c r="G4184" s="62"/>
      <c r="H4184" s="65"/>
      <c r="I4184" s="56"/>
      <c r="J4184" s="66"/>
      <c r="K4184" s="67"/>
      <c r="L4184" s="56"/>
      <c r="M4184" s="67"/>
      <c r="N4184" s="56"/>
      <c r="O4184" s="53"/>
      <c r="P4184" s="68"/>
      <c r="Q4184" s="69"/>
      <c r="R4184" s="68"/>
      <c r="S4184" s="70"/>
      <c r="T4184" s="67"/>
      <c r="U4184" s="56"/>
      <c r="V4184" s="56"/>
      <c r="W4184" s="71"/>
      <c r="X4184" s="71"/>
      <c r="AA4184" s="33"/>
      <c r="AB4184" s="33"/>
      <c r="AC4184" s="33"/>
      <c r="AD4184" s="33"/>
      <c r="AE4184" s="33"/>
      <c r="AF4184" s="33"/>
      <c r="AG4184" s="33"/>
      <c r="AH4184" s="33"/>
      <c r="AI4184" s="33"/>
      <c r="AJ4184" s="33"/>
      <c r="AK4184" s="33"/>
      <c r="AL4184" s="33"/>
      <c r="AM4184" s="33"/>
      <c r="AN4184" s="33"/>
      <c r="AO4184" s="33"/>
    </row>
    <row r="4185" ht="15.75" customHeight="1">
      <c r="A4185" s="72"/>
      <c r="B4185" s="61"/>
      <c r="C4185" s="56"/>
      <c r="D4185" s="67"/>
      <c r="E4185" s="56"/>
      <c r="F4185" s="56"/>
      <c r="G4185" s="62"/>
      <c r="H4185" s="65"/>
      <c r="I4185" s="56"/>
      <c r="J4185" s="66"/>
      <c r="K4185" s="67"/>
      <c r="L4185" s="56"/>
      <c r="M4185" s="67"/>
      <c r="N4185" s="56"/>
      <c r="O4185" s="53"/>
      <c r="P4185" s="68"/>
      <c r="Q4185" s="69"/>
      <c r="R4185" s="68"/>
      <c r="S4185" s="70"/>
      <c r="T4185" s="67"/>
      <c r="U4185" s="56"/>
      <c r="V4185" s="56"/>
      <c r="W4185" s="71"/>
      <c r="X4185" s="71"/>
      <c r="AA4185" s="33"/>
      <c r="AB4185" s="33"/>
      <c r="AC4185" s="33"/>
      <c r="AD4185" s="33"/>
      <c r="AE4185" s="33"/>
      <c r="AF4185" s="33"/>
      <c r="AG4185" s="33"/>
      <c r="AH4185" s="33"/>
      <c r="AI4185" s="33"/>
      <c r="AJ4185" s="33"/>
      <c r="AK4185" s="33"/>
      <c r="AL4185" s="33"/>
      <c r="AM4185" s="33"/>
      <c r="AN4185" s="33"/>
      <c r="AO4185" s="33"/>
    </row>
    <row r="4186" ht="15.75" customHeight="1">
      <c r="A4186" s="72"/>
      <c r="B4186" s="61"/>
      <c r="C4186" s="56"/>
      <c r="D4186" s="67"/>
      <c r="E4186" s="56"/>
      <c r="F4186" s="56"/>
      <c r="G4186" s="62"/>
      <c r="H4186" s="65"/>
      <c r="I4186" s="56"/>
      <c r="J4186" s="66"/>
      <c r="K4186" s="67"/>
      <c r="L4186" s="56"/>
      <c r="M4186" s="67"/>
      <c r="N4186" s="56"/>
      <c r="O4186" s="53"/>
      <c r="P4186" s="68"/>
      <c r="Q4186" s="69"/>
      <c r="R4186" s="68"/>
      <c r="S4186" s="70"/>
      <c r="T4186" s="67"/>
      <c r="U4186" s="56"/>
      <c r="V4186" s="56"/>
      <c r="W4186" s="71"/>
      <c r="X4186" s="71"/>
      <c r="AA4186" s="33"/>
      <c r="AB4186" s="33"/>
      <c r="AC4186" s="33"/>
      <c r="AD4186" s="33"/>
      <c r="AE4186" s="33"/>
      <c r="AF4186" s="33"/>
      <c r="AG4186" s="33"/>
      <c r="AH4186" s="33"/>
      <c r="AI4186" s="33"/>
      <c r="AJ4186" s="33"/>
      <c r="AK4186" s="33"/>
      <c r="AL4186" s="33"/>
      <c r="AM4186" s="33"/>
      <c r="AN4186" s="33"/>
      <c r="AO4186" s="33"/>
    </row>
    <row r="4187" ht="15.75" customHeight="1">
      <c r="A4187" s="72"/>
      <c r="B4187" s="61"/>
      <c r="C4187" s="56"/>
      <c r="D4187" s="67"/>
      <c r="E4187" s="56"/>
      <c r="F4187" s="56"/>
      <c r="G4187" s="62"/>
      <c r="H4187" s="65"/>
      <c r="I4187" s="56"/>
      <c r="J4187" s="66"/>
      <c r="K4187" s="67"/>
      <c r="L4187" s="56"/>
      <c r="M4187" s="67"/>
      <c r="N4187" s="56"/>
      <c r="O4187" s="53"/>
      <c r="P4187" s="68"/>
      <c r="Q4187" s="69"/>
      <c r="R4187" s="68"/>
      <c r="S4187" s="70"/>
      <c r="T4187" s="67"/>
      <c r="U4187" s="56"/>
      <c r="V4187" s="56"/>
      <c r="W4187" s="71"/>
      <c r="X4187" s="71"/>
      <c r="AA4187" s="33"/>
      <c r="AB4187" s="33"/>
      <c r="AC4187" s="33"/>
      <c r="AD4187" s="33"/>
      <c r="AE4187" s="33"/>
      <c r="AF4187" s="33"/>
      <c r="AG4187" s="33"/>
      <c r="AH4187" s="33"/>
      <c r="AI4187" s="33"/>
      <c r="AJ4187" s="33"/>
      <c r="AK4187" s="33"/>
      <c r="AL4187" s="33"/>
      <c r="AM4187" s="33"/>
      <c r="AN4187" s="33"/>
      <c r="AO4187" s="33"/>
    </row>
    <row r="4188" ht="15.75" customHeight="1">
      <c r="A4188" s="72"/>
      <c r="B4188" s="61"/>
      <c r="C4188" s="56"/>
      <c r="D4188" s="67"/>
      <c r="E4188" s="56"/>
      <c r="F4188" s="56"/>
      <c r="G4188" s="62"/>
      <c r="H4188" s="65"/>
      <c r="I4188" s="56"/>
      <c r="J4188" s="66"/>
      <c r="K4188" s="67"/>
      <c r="L4188" s="56"/>
      <c r="M4188" s="67"/>
      <c r="N4188" s="56"/>
      <c r="O4188" s="53"/>
      <c r="P4188" s="68"/>
      <c r="Q4188" s="69"/>
      <c r="R4188" s="68"/>
      <c r="S4188" s="70"/>
      <c r="T4188" s="67"/>
      <c r="U4188" s="56"/>
      <c r="V4188" s="56"/>
      <c r="W4188" s="71"/>
      <c r="X4188" s="71"/>
      <c r="AA4188" s="33"/>
      <c r="AB4188" s="33"/>
      <c r="AC4188" s="33"/>
      <c r="AD4188" s="33"/>
      <c r="AE4188" s="33"/>
      <c r="AF4188" s="33"/>
      <c r="AG4188" s="33"/>
      <c r="AH4188" s="33"/>
      <c r="AI4188" s="33"/>
      <c r="AJ4188" s="33"/>
      <c r="AK4188" s="33"/>
      <c r="AL4188" s="33"/>
      <c r="AM4188" s="33"/>
      <c r="AN4188" s="33"/>
      <c r="AO4188" s="33"/>
    </row>
    <row r="4189" ht="15.75" customHeight="1">
      <c r="A4189" s="72"/>
      <c r="B4189" s="61"/>
      <c r="C4189" s="56"/>
      <c r="D4189" s="67"/>
      <c r="E4189" s="56"/>
      <c r="F4189" s="56"/>
      <c r="G4189" s="62"/>
      <c r="H4189" s="65"/>
      <c r="I4189" s="56"/>
      <c r="J4189" s="66"/>
      <c r="K4189" s="67"/>
      <c r="L4189" s="56"/>
      <c r="M4189" s="67"/>
      <c r="N4189" s="56"/>
      <c r="O4189" s="53"/>
      <c r="P4189" s="68"/>
      <c r="Q4189" s="69"/>
      <c r="R4189" s="68"/>
      <c r="S4189" s="70"/>
      <c r="T4189" s="67"/>
      <c r="U4189" s="56"/>
      <c r="V4189" s="56"/>
      <c r="W4189" s="71"/>
      <c r="X4189" s="71"/>
      <c r="AA4189" s="33"/>
      <c r="AB4189" s="33"/>
      <c r="AC4189" s="33"/>
      <c r="AD4189" s="33"/>
      <c r="AE4189" s="33"/>
      <c r="AF4189" s="33"/>
      <c r="AG4189" s="33"/>
      <c r="AH4189" s="33"/>
      <c r="AI4189" s="33"/>
      <c r="AJ4189" s="33"/>
      <c r="AK4189" s="33"/>
      <c r="AL4189" s="33"/>
      <c r="AM4189" s="33"/>
      <c r="AN4189" s="33"/>
      <c r="AO4189" s="33"/>
    </row>
    <row r="4190" ht="15.75" customHeight="1">
      <c r="A4190" s="72"/>
      <c r="B4190" s="61"/>
      <c r="C4190" s="56"/>
      <c r="D4190" s="67"/>
      <c r="E4190" s="56"/>
      <c r="F4190" s="56"/>
      <c r="G4190" s="62"/>
      <c r="H4190" s="65"/>
      <c r="I4190" s="56"/>
      <c r="J4190" s="66"/>
      <c r="K4190" s="67"/>
      <c r="L4190" s="56"/>
      <c r="M4190" s="67"/>
      <c r="N4190" s="56"/>
      <c r="O4190" s="53"/>
      <c r="P4190" s="68"/>
      <c r="Q4190" s="69"/>
      <c r="R4190" s="68"/>
      <c r="S4190" s="70"/>
      <c r="T4190" s="67"/>
      <c r="U4190" s="56"/>
      <c r="V4190" s="56"/>
      <c r="W4190" s="71"/>
      <c r="X4190" s="71"/>
      <c r="AA4190" s="33"/>
      <c r="AB4190" s="33"/>
      <c r="AC4190" s="33"/>
      <c r="AD4190" s="33"/>
      <c r="AE4190" s="33"/>
      <c r="AF4190" s="33"/>
      <c r="AG4190" s="33"/>
      <c r="AH4190" s="33"/>
      <c r="AI4190" s="33"/>
      <c r="AJ4190" s="33"/>
      <c r="AK4190" s="33"/>
      <c r="AL4190" s="33"/>
      <c r="AM4190" s="33"/>
      <c r="AN4190" s="33"/>
      <c r="AO4190" s="33"/>
    </row>
    <row r="4191" ht="15.75" customHeight="1">
      <c r="A4191" s="72"/>
      <c r="B4191" s="61"/>
      <c r="C4191" s="56"/>
      <c r="D4191" s="67"/>
      <c r="E4191" s="56"/>
      <c r="F4191" s="56"/>
      <c r="G4191" s="62"/>
      <c r="H4191" s="65"/>
      <c r="I4191" s="56"/>
      <c r="J4191" s="66"/>
      <c r="K4191" s="67"/>
      <c r="L4191" s="56"/>
      <c r="M4191" s="67"/>
      <c r="N4191" s="56"/>
      <c r="O4191" s="53"/>
      <c r="P4191" s="68"/>
      <c r="Q4191" s="69"/>
      <c r="R4191" s="68"/>
      <c r="S4191" s="70"/>
      <c r="T4191" s="67"/>
      <c r="U4191" s="56"/>
      <c r="V4191" s="56"/>
      <c r="W4191" s="71"/>
      <c r="X4191" s="71"/>
      <c r="AA4191" s="33"/>
      <c r="AB4191" s="33"/>
      <c r="AC4191" s="33"/>
      <c r="AD4191" s="33"/>
      <c r="AE4191" s="33"/>
      <c r="AF4191" s="33"/>
      <c r="AG4191" s="33"/>
      <c r="AH4191" s="33"/>
      <c r="AI4191" s="33"/>
      <c r="AJ4191" s="33"/>
      <c r="AK4191" s="33"/>
      <c r="AL4191" s="33"/>
      <c r="AM4191" s="33"/>
      <c r="AN4191" s="33"/>
      <c r="AO4191" s="33"/>
    </row>
    <row r="4192" ht="15.75" customHeight="1">
      <c r="A4192" s="72"/>
      <c r="B4192" s="61"/>
      <c r="C4192" s="56"/>
      <c r="D4192" s="67"/>
      <c r="E4192" s="56"/>
      <c r="F4192" s="56"/>
      <c r="G4192" s="62"/>
      <c r="H4192" s="65"/>
      <c r="I4192" s="56"/>
      <c r="J4192" s="66"/>
      <c r="K4192" s="67"/>
      <c r="L4192" s="56"/>
      <c r="M4192" s="67"/>
      <c r="N4192" s="56"/>
      <c r="O4192" s="53"/>
      <c r="P4192" s="68"/>
      <c r="Q4192" s="69"/>
      <c r="R4192" s="68"/>
      <c r="S4192" s="70"/>
      <c r="T4192" s="67"/>
      <c r="U4192" s="56"/>
      <c r="V4192" s="56"/>
      <c r="W4192" s="71"/>
      <c r="X4192" s="71"/>
      <c r="AA4192" s="33"/>
      <c r="AB4192" s="33"/>
      <c r="AC4192" s="33"/>
      <c r="AD4192" s="33"/>
      <c r="AE4192" s="33"/>
      <c r="AF4192" s="33"/>
      <c r="AG4192" s="33"/>
      <c r="AH4192" s="33"/>
      <c r="AI4192" s="33"/>
      <c r="AJ4192" s="33"/>
      <c r="AK4192" s="33"/>
      <c r="AL4192" s="33"/>
      <c r="AM4192" s="33"/>
      <c r="AN4192" s="33"/>
      <c r="AO4192" s="33"/>
    </row>
    <row r="4193" ht="15.75" customHeight="1">
      <c r="A4193" s="72"/>
      <c r="B4193" s="61"/>
      <c r="C4193" s="56"/>
      <c r="D4193" s="67"/>
      <c r="E4193" s="56"/>
      <c r="F4193" s="56"/>
      <c r="G4193" s="62"/>
      <c r="H4193" s="65"/>
      <c r="I4193" s="56"/>
      <c r="J4193" s="66"/>
      <c r="K4193" s="67"/>
      <c r="L4193" s="56"/>
      <c r="M4193" s="67"/>
      <c r="N4193" s="56"/>
      <c r="O4193" s="53"/>
      <c r="P4193" s="68"/>
      <c r="Q4193" s="69"/>
      <c r="R4193" s="68"/>
      <c r="S4193" s="70"/>
      <c r="T4193" s="67"/>
      <c r="U4193" s="56"/>
      <c r="V4193" s="56"/>
      <c r="W4193" s="71"/>
      <c r="X4193" s="71"/>
      <c r="AA4193" s="33"/>
      <c r="AB4193" s="33"/>
      <c r="AC4193" s="33"/>
      <c r="AD4193" s="33"/>
      <c r="AE4193" s="33"/>
      <c r="AF4193" s="33"/>
      <c r="AG4193" s="33"/>
      <c r="AH4193" s="33"/>
      <c r="AI4193" s="33"/>
      <c r="AJ4193" s="33"/>
      <c r="AK4193" s="33"/>
      <c r="AL4193" s="33"/>
      <c r="AM4193" s="33"/>
      <c r="AN4193" s="33"/>
      <c r="AO4193" s="33"/>
    </row>
    <row r="4194" ht="15.75" customHeight="1">
      <c r="A4194" s="72"/>
      <c r="B4194" s="61"/>
      <c r="C4194" s="56"/>
      <c r="D4194" s="67"/>
      <c r="E4194" s="56"/>
      <c r="F4194" s="56"/>
      <c r="G4194" s="62"/>
      <c r="H4194" s="65"/>
      <c r="I4194" s="56"/>
      <c r="J4194" s="66"/>
      <c r="K4194" s="67"/>
      <c r="L4194" s="56"/>
      <c r="M4194" s="67"/>
      <c r="N4194" s="56"/>
      <c r="O4194" s="53"/>
      <c r="P4194" s="68"/>
      <c r="Q4194" s="69"/>
      <c r="R4194" s="68"/>
      <c r="S4194" s="70"/>
      <c r="T4194" s="67"/>
      <c r="U4194" s="56"/>
      <c r="V4194" s="56"/>
      <c r="W4194" s="71"/>
      <c r="X4194" s="71"/>
      <c r="AA4194" s="33"/>
      <c r="AB4194" s="33"/>
      <c r="AC4194" s="33"/>
      <c r="AD4194" s="33"/>
      <c r="AE4194" s="33"/>
      <c r="AF4194" s="33"/>
      <c r="AG4194" s="33"/>
      <c r="AH4194" s="33"/>
      <c r="AI4194" s="33"/>
      <c r="AJ4194" s="33"/>
      <c r="AK4194" s="33"/>
      <c r="AL4194" s="33"/>
      <c r="AM4194" s="33"/>
      <c r="AN4194" s="33"/>
      <c r="AO4194" s="33"/>
    </row>
    <row r="4195" ht="15.75" customHeight="1">
      <c r="A4195" s="72"/>
      <c r="B4195" s="61"/>
      <c r="C4195" s="56"/>
      <c r="D4195" s="67"/>
      <c r="E4195" s="56"/>
      <c r="F4195" s="56"/>
      <c r="G4195" s="62"/>
      <c r="H4195" s="65"/>
      <c r="I4195" s="56"/>
      <c r="J4195" s="66"/>
      <c r="K4195" s="67"/>
      <c r="L4195" s="56"/>
      <c r="M4195" s="67"/>
      <c r="N4195" s="56"/>
      <c r="O4195" s="53"/>
      <c r="P4195" s="68"/>
      <c r="Q4195" s="69"/>
      <c r="R4195" s="68"/>
      <c r="S4195" s="70"/>
      <c r="T4195" s="67"/>
      <c r="U4195" s="56"/>
      <c r="V4195" s="56"/>
      <c r="W4195" s="71"/>
      <c r="X4195" s="71"/>
      <c r="AA4195" s="33"/>
      <c r="AB4195" s="33"/>
      <c r="AC4195" s="33"/>
      <c r="AD4195" s="33"/>
      <c r="AE4195" s="33"/>
      <c r="AF4195" s="33"/>
      <c r="AG4195" s="33"/>
      <c r="AH4195" s="33"/>
      <c r="AI4195" s="33"/>
      <c r="AJ4195" s="33"/>
      <c r="AK4195" s="33"/>
      <c r="AL4195" s="33"/>
      <c r="AM4195" s="33"/>
      <c r="AN4195" s="33"/>
      <c r="AO4195" s="33"/>
    </row>
    <row r="4196" ht="15.75" customHeight="1">
      <c r="A4196" s="72"/>
      <c r="B4196" s="61"/>
      <c r="C4196" s="56"/>
      <c r="D4196" s="67"/>
      <c r="E4196" s="56"/>
      <c r="F4196" s="56"/>
      <c r="G4196" s="62"/>
      <c r="H4196" s="65"/>
      <c r="I4196" s="56"/>
      <c r="J4196" s="66"/>
      <c r="K4196" s="67"/>
      <c r="L4196" s="56"/>
      <c r="M4196" s="67"/>
      <c r="N4196" s="56"/>
      <c r="O4196" s="53"/>
      <c r="P4196" s="68"/>
      <c r="Q4196" s="69"/>
      <c r="R4196" s="68"/>
      <c r="S4196" s="70"/>
      <c r="T4196" s="67"/>
      <c r="U4196" s="56"/>
      <c r="V4196" s="56"/>
      <c r="W4196" s="71"/>
      <c r="X4196" s="71"/>
      <c r="AA4196" s="33"/>
      <c r="AB4196" s="33"/>
      <c r="AC4196" s="33"/>
      <c r="AD4196" s="33"/>
      <c r="AE4196" s="33"/>
      <c r="AF4196" s="33"/>
      <c r="AG4196" s="33"/>
      <c r="AH4196" s="33"/>
      <c r="AI4196" s="33"/>
      <c r="AJ4196" s="33"/>
      <c r="AK4196" s="33"/>
      <c r="AL4196" s="33"/>
      <c r="AM4196" s="33"/>
      <c r="AN4196" s="33"/>
      <c r="AO4196" s="33"/>
    </row>
    <row r="4197" ht="15.75" customHeight="1">
      <c r="A4197" s="72"/>
      <c r="B4197" s="61"/>
      <c r="C4197" s="56"/>
      <c r="D4197" s="67"/>
      <c r="E4197" s="56"/>
      <c r="F4197" s="56"/>
      <c r="G4197" s="62"/>
      <c r="H4197" s="65"/>
      <c r="I4197" s="56"/>
      <c r="J4197" s="66"/>
      <c r="K4197" s="67"/>
      <c r="L4197" s="56"/>
      <c r="M4197" s="67"/>
      <c r="N4197" s="56"/>
      <c r="O4197" s="53"/>
      <c r="P4197" s="68"/>
      <c r="Q4197" s="69"/>
      <c r="R4197" s="68"/>
      <c r="S4197" s="70"/>
      <c r="T4197" s="67"/>
      <c r="U4197" s="56"/>
      <c r="V4197" s="56"/>
      <c r="W4197" s="71"/>
      <c r="X4197" s="71"/>
      <c r="AA4197" s="33"/>
      <c r="AB4197" s="33"/>
      <c r="AC4197" s="33"/>
      <c r="AD4197" s="33"/>
      <c r="AE4197" s="33"/>
      <c r="AF4197" s="33"/>
      <c r="AG4197" s="33"/>
      <c r="AH4197" s="33"/>
      <c r="AI4197" s="33"/>
      <c r="AJ4197" s="33"/>
      <c r="AK4197" s="33"/>
      <c r="AL4197" s="33"/>
      <c r="AM4197" s="33"/>
      <c r="AN4197" s="33"/>
      <c r="AO4197" s="33"/>
    </row>
    <row r="4198" ht="15.75" customHeight="1">
      <c r="A4198" s="72"/>
      <c r="B4198" s="61"/>
      <c r="C4198" s="56"/>
      <c r="D4198" s="67"/>
      <c r="E4198" s="56"/>
      <c r="F4198" s="56"/>
      <c r="G4198" s="62"/>
      <c r="H4198" s="65"/>
      <c r="I4198" s="56"/>
      <c r="J4198" s="66"/>
      <c r="K4198" s="67"/>
      <c r="L4198" s="56"/>
      <c r="M4198" s="67"/>
      <c r="N4198" s="56"/>
      <c r="O4198" s="53"/>
      <c r="P4198" s="68"/>
      <c r="Q4198" s="69"/>
      <c r="R4198" s="68"/>
      <c r="S4198" s="70"/>
      <c r="T4198" s="67"/>
      <c r="U4198" s="56"/>
      <c r="V4198" s="56"/>
      <c r="W4198" s="71"/>
      <c r="X4198" s="71"/>
      <c r="AA4198" s="33"/>
      <c r="AB4198" s="33"/>
      <c r="AC4198" s="33"/>
      <c r="AD4198" s="33"/>
      <c r="AE4198" s="33"/>
      <c r="AF4198" s="33"/>
      <c r="AG4198" s="33"/>
      <c r="AH4198" s="33"/>
      <c r="AI4198" s="33"/>
      <c r="AJ4198" s="33"/>
      <c r="AK4198" s="33"/>
      <c r="AL4198" s="33"/>
      <c r="AM4198" s="33"/>
      <c r="AN4198" s="33"/>
      <c r="AO4198" s="33"/>
    </row>
    <row r="4199" ht="15.75" customHeight="1">
      <c r="A4199" s="72"/>
      <c r="B4199" s="61"/>
      <c r="C4199" s="56"/>
      <c r="D4199" s="67"/>
      <c r="E4199" s="56"/>
      <c r="F4199" s="56"/>
      <c r="G4199" s="62"/>
      <c r="H4199" s="65"/>
      <c r="I4199" s="56"/>
      <c r="J4199" s="66"/>
      <c r="K4199" s="67"/>
      <c r="L4199" s="56"/>
      <c r="M4199" s="67"/>
      <c r="N4199" s="56"/>
      <c r="O4199" s="53"/>
      <c r="P4199" s="68"/>
      <c r="Q4199" s="69"/>
      <c r="R4199" s="68"/>
      <c r="S4199" s="70"/>
      <c r="T4199" s="67"/>
      <c r="U4199" s="56"/>
      <c r="V4199" s="56"/>
      <c r="W4199" s="71"/>
      <c r="X4199" s="71"/>
      <c r="AA4199" s="33"/>
      <c r="AB4199" s="33"/>
      <c r="AC4199" s="33"/>
      <c r="AD4199" s="33"/>
      <c r="AE4199" s="33"/>
      <c r="AF4199" s="33"/>
      <c r="AG4199" s="33"/>
      <c r="AH4199" s="33"/>
      <c r="AI4199" s="33"/>
      <c r="AJ4199" s="33"/>
      <c r="AK4199" s="33"/>
      <c r="AL4199" s="33"/>
      <c r="AM4199" s="33"/>
      <c r="AN4199" s="33"/>
      <c r="AO4199" s="33"/>
    </row>
    <row r="4200" ht="15.75" customHeight="1">
      <c r="A4200" s="72"/>
      <c r="B4200" s="61"/>
      <c r="C4200" s="56"/>
      <c r="D4200" s="67"/>
      <c r="E4200" s="56"/>
      <c r="F4200" s="56"/>
      <c r="G4200" s="62"/>
      <c r="H4200" s="65"/>
      <c r="I4200" s="56"/>
      <c r="J4200" s="66"/>
      <c r="K4200" s="67"/>
      <c r="L4200" s="56"/>
      <c r="M4200" s="67"/>
      <c r="N4200" s="56"/>
      <c r="O4200" s="53"/>
      <c r="P4200" s="68"/>
      <c r="Q4200" s="69"/>
      <c r="R4200" s="68"/>
      <c r="S4200" s="70"/>
      <c r="T4200" s="67"/>
      <c r="U4200" s="56"/>
      <c r="V4200" s="56"/>
      <c r="W4200" s="71"/>
      <c r="X4200" s="71"/>
      <c r="AA4200" s="33"/>
      <c r="AB4200" s="33"/>
      <c r="AC4200" s="33"/>
      <c r="AD4200" s="33"/>
      <c r="AE4200" s="33"/>
      <c r="AF4200" s="33"/>
      <c r="AG4200" s="33"/>
      <c r="AH4200" s="33"/>
      <c r="AI4200" s="33"/>
      <c r="AJ4200" s="33"/>
      <c r="AK4200" s="33"/>
      <c r="AL4200" s="33"/>
      <c r="AM4200" s="33"/>
      <c r="AN4200" s="33"/>
      <c r="AO4200" s="33"/>
    </row>
    <row r="4201" ht="15.75" customHeight="1">
      <c r="A4201" s="72"/>
      <c r="B4201" s="61"/>
      <c r="C4201" s="56"/>
      <c r="D4201" s="67"/>
      <c r="E4201" s="56"/>
      <c r="F4201" s="56"/>
      <c r="G4201" s="62"/>
      <c r="H4201" s="65"/>
      <c r="I4201" s="56"/>
      <c r="J4201" s="66"/>
      <c r="K4201" s="67"/>
      <c r="L4201" s="56"/>
      <c r="M4201" s="67"/>
      <c r="N4201" s="56"/>
      <c r="O4201" s="53"/>
      <c r="P4201" s="68"/>
      <c r="Q4201" s="69"/>
      <c r="R4201" s="68"/>
      <c r="S4201" s="70"/>
      <c r="T4201" s="67"/>
      <c r="U4201" s="56"/>
      <c r="V4201" s="56"/>
      <c r="W4201" s="71"/>
      <c r="X4201" s="71"/>
      <c r="AA4201" s="33"/>
      <c r="AB4201" s="33"/>
      <c r="AC4201" s="33"/>
      <c r="AD4201" s="33"/>
      <c r="AE4201" s="33"/>
      <c r="AF4201" s="33"/>
      <c r="AG4201" s="33"/>
      <c r="AH4201" s="33"/>
      <c r="AI4201" s="33"/>
      <c r="AJ4201" s="33"/>
      <c r="AK4201" s="33"/>
      <c r="AL4201" s="33"/>
      <c r="AM4201" s="33"/>
      <c r="AN4201" s="33"/>
      <c r="AO4201" s="33"/>
    </row>
    <row r="4202" ht="15.75" customHeight="1">
      <c r="A4202" s="72"/>
      <c r="B4202" s="61"/>
      <c r="C4202" s="56"/>
      <c r="D4202" s="67"/>
      <c r="E4202" s="56"/>
      <c r="F4202" s="56"/>
      <c r="G4202" s="62"/>
      <c r="H4202" s="65"/>
      <c r="I4202" s="56"/>
      <c r="J4202" s="66"/>
      <c r="K4202" s="67"/>
      <c r="L4202" s="56"/>
      <c r="M4202" s="67"/>
      <c r="N4202" s="56"/>
      <c r="O4202" s="53"/>
      <c r="P4202" s="68"/>
      <c r="Q4202" s="69"/>
      <c r="R4202" s="68"/>
      <c r="S4202" s="70"/>
      <c r="T4202" s="67"/>
      <c r="U4202" s="56"/>
      <c r="V4202" s="56"/>
      <c r="W4202" s="71"/>
      <c r="X4202" s="71"/>
      <c r="AA4202" s="33"/>
      <c r="AB4202" s="33"/>
      <c r="AC4202" s="33"/>
      <c r="AD4202" s="33"/>
      <c r="AE4202" s="33"/>
      <c r="AF4202" s="33"/>
      <c r="AG4202" s="33"/>
      <c r="AH4202" s="33"/>
      <c r="AI4202" s="33"/>
      <c r="AJ4202" s="33"/>
      <c r="AK4202" s="33"/>
      <c r="AL4202" s="33"/>
      <c r="AM4202" s="33"/>
      <c r="AN4202" s="33"/>
      <c r="AO4202" s="33"/>
    </row>
    <row r="4203" ht="15.75" customHeight="1">
      <c r="A4203" s="72"/>
      <c r="B4203" s="61"/>
      <c r="C4203" s="56"/>
      <c r="D4203" s="67"/>
      <c r="E4203" s="56"/>
      <c r="F4203" s="56"/>
      <c r="G4203" s="62"/>
      <c r="H4203" s="65"/>
      <c r="I4203" s="56"/>
      <c r="J4203" s="66"/>
      <c r="K4203" s="67"/>
      <c r="L4203" s="56"/>
      <c r="M4203" s="67"/>
      <c r="N4203" s="56"/>
      <c r="O4203" s="53"/>
      <c r="P4203" s="68"/>
      <c r="Q4203" s="69"/>
      <c r="R4203" s="68"/>
      <c r="S4203" s="70"/>
      <c r="T4203" s="67"/>
      <c r="U4203" s="56"/>
      <c r="V4203" s="56"/>
      <c r="W4203" s="71"/>
      <c r="X4203" s="71"/>
      <c r="AA4203" s="33"/>
      <c r="AB4203" s="33"/>
      <c r="AC4203" s="33"/>
      <c r="AD4203" s="33"/>
      <c r="AE4203" s="33"/>
      <c r="AF4203" s="33"/>
      <c r="AG4203" s="33"/>
      <c r="AH4203" s="33"/>
      <c r="AI4203" s="33"/>
      <c r="AJ4203" s="33"/>
      <c r="AK4203" s="33"/>
      <c r="AL4203" s="33"/>
      <c r="AM4203" s="33"/>
      <c r="AN4203" s="33"/>
      <c r="AO4203" s="33"/>
    </row>
    <row r="4204" ht="15.75" customHeight="1">
      <c r="A4204" s="72"/>
      <c r="B4204" s="61"/>
      <c r="C4204" s="56"/>
      <c r="D4204" s="67"/>
      <c r="E4204" s="56"/>
      <c r="F4204" s="56"/>
      <c r="G4204" s="62"/>
      <c r="H4204" s="65"/>
      <c r="I4204" s="56"/>
      <c r="J4204" s="66"/>
      <c r="K4204" s="67"/>
      <c r="L4204" s="56"/>
      <c r="M4204" s="67"/>
      <c r="N4204" s="56"/>
      <c r="O4204" s="53"/>
      <c r="P4204" s="68"/>
      <c r="Q4204" s="69"/>
      <c r="R4204" s="68"/>
      <c r="S4204" s="70"/>
      <c r="T4204" s="67"/>
      <c r="U4204" s="56"/>
      <c r="V4204" s="56"/>
      <c r="W4204" s="71"/>
      <c r="X4204" s="71"/>
      <c r="AA4204" s="33"/>
      <c r="AB4204" s="33"/>
      <c r="AC4204" s="33"/>
      <c r="AD4204" s="33"/>
      <c r="AE4204" s="33"/>
      <c r="AF4204" s="33"/>
      <c r="AG4204" s="33"/>
      <c r="AH4204" s="33"/>
      <c r="AI4204" s="33"/>
      <c r="AJ4204" s="33"/>
      <c r="AK4204" s="33"/>
      <c r="AL4204" s="33"/>
      <c r="AM4204" s="33"/>
      <c r="AN4204" s="33"/>
      <c r="AO4204" s="33"/>
    </row>
    <row r="4205" ht="15.75" customHeight="1">
      <c r="A4205" s="72"/>
      <c r="B4205" s="61"/>
      <c r="C4205" s="56"/>
      <c r="D4205" s="67"/>
      <c r="E4205" s="56"/>
      <c r="F4205" s="56"/>
      <c r="G4205" s="62"/>
      <c r="H4205" s="65"/>
      <c r="I4205" s="56"/>
      <c r="J4205" s="66"/>
      <c r="K4205" s="67"/>
      <c r="L4205" s="56"/>
      <c r="M4205" s="67"/>
      <c r="N4205" s="56"/>
      <c r="O4205" s="53"/>
      <c r="P4205" s="68"/>
      <c r="Q4205" s="69"/>
      <c r="R4205" s="68"/>
      <c r="S4205" s="70"/>
      <c r="T4205" s="67"/>
      <c r="U4205" s="56"/>
      <c r="V4205" s="56"/>
      <c r="W4205" s="71"/>
      <c r="X4205" s="71"/>
      <c r="AA4205" s="33"/>
      <c r="AB4205" s="33"/>
      <c r="AC4205" s="33"/>
      <c r="AD4205" s="33"/>
      <c r="AE4205" s="33"/>
      <c r="AF4205" s="33"/>
      <c r="AG4205" s="33"/>
      <c r="AH4205" s="33"/>
      <c r="AI4205" s="33"/>
      <c r="AJ4205" s="33"/>
      <c r="AK4205" s="33"/>
      <c r="AL4205" s="33"/>
      <c r="AM4205" s="33"/>
      <c r="AN4205" s="33"/>
      <c r="AO4205" s="33"/>
    </row>
    <row r="4206" ht="15.75" customHeight="1">
      <c r="A4206" s="72"/>
      <c r="B4206" s="61"/>
      <c r="C4206" s="56"/>
      <c r="D4206" s="67"/>
      <c r="E4206" s="56"/>
      <c r="F4206" s="56"/>
      <c r="G4206" s="62"/>
      <c r="H4206" s="65"/>
      <c r="I4206" s="56"/>
      <c r="J4206" s="66"/>
      <c r="K4206" s="67"/>
      <c r="L4206" s="56"/>
      <c r="M4206" s="67"/>
      <c r="N4206" s="56"/>
      <c r="O4206" s="53"/>
      <c r="P4206" s="68"/>
      <c r="Q4206" s="69"/>
      <c r="R4206" s="68"/>
      <c r="S4206" s="70"/>
      <c r="T4206" s="67"/>
      <c r="U4206" s="56"/>
      <c r="V4206" s="56"/>
      <c r="W4206" s="71"/>
      <c r="X4206" s="71"/>
      <c r="AA4206" s="33"/>
      <c r="AB4206" s="33"/>
      <c r="AC4206" s="33"/>
      <c r="AD4206" s="33"/>
      <c r="AE4206" s="33"/>
      <c r="AF4206" s="33"/>
      <c r="AG4206" s="33"/>
      <c r="AH4206" s="33"/>
      <c r="AI4206" s="33"/>
      <c r="AJ4206" s="33"/>
      <c r="AK4206" s="33"/>
      <c r="AL4206" s="33"/>
      <c r="AM4206" s="33"/>
      <c r="AN4206" s="33"/>
      <c r="AO4206" s="33"/>
    </row>
    <row r="4207" ht="15.75" customHeight="1">
      <c r="A4207" s="72"/>
      <c r="B4207" s="61"/>
      <c r="C4207" s="56"/>
      <c r="D4207" s="67"/>
      <c r="E4207" s="56"/>
      <c r="F4207" s="56"/>
      <c r="G4207" s="62"/>
      <c r="H4207" s="65"/>
      <c r="I4207" s="56"/>
      <c r="J4207" s="66"/>
      <c r="K4207" s="67"/>
      <c r="L4207" s="56"/>
      <c r="M4207" s="67"/>
      <c r="N4207" s="56"/>
      <c r="O4207" s="53"/>
      <c r="P4207" s="68"/>
      <c r="Q4207" s="69"/>
      <c r="R4207" s="68"/>
      <c r="S4207" s="70"/>
      <c r="T4207" s="67"/>
      <c r="U4207" s="56"/>
      <c r="V4207" s="56"/>
      <c r="W4207" s="71"/>
      <c r="X4207" s="71"/>
      <c r="AA4207" s="33"/>
      <c r="AB4207" s="33"/>
      <c r="AC4207" s="33"/>
      <c r="AD4207" s="33"/>
      <c r="AE4207" s="33"/>
      <c r="AF4207" s="33"/>
      <c r="AG4207" s="33"/>
      <c r="AH4207" s="33"/>
      <c r="AI4207" s="33"/>
      <c r="AJ4207" s="33"/>
      <c r="AK4207" s="33"/>
      <c r="AL4207" s="33"/>
      <c r="AM4207" s="33"/>
      <c r="AN4207" s="33"/>
      <c r="AO4207" s="33"/>
    </row>
    <row r="4208" ht="15.75" customHeight="1">
      <c r="A4208" s="72"/>
      <c r="B4208" s="61"/>
      <c r="C4208" s="56"/>
      <c r="D4208" s="67"/>
      <c r="E4208" s="56"/>
      <c r="F4208" s="56"/>
      <c r="G4208" s="62"/>
      <c r="H4208" s="65"/>
      <c r="I4208" s="56"/>
      <c r="J4208" s="66"/>
      <c r="K4208" s="67"/>
      <c r="L4208" s="56"/>
      <c r="M4208" s="67"/>
      <c r="N4208" s="56"/>
      <c r="O4208" s="53"/>
      <c r="P4208" s="68"/>
      <c r="Q4208" s="69"/>
      <c r="R4208" s="68"/>
      <c r="S4208" s="70"/>
      <c r="T4208" s="67"/>
      <c r="U4208" s="56"/>
      <c r="V4208" s="56"/>
      <c r="W4208" s="71"/>
      <c r="X4208" s="71"/>
      <c r="AA4208" s="33"/>
      <c r="AB4208" s="33"/>
      <c r="AC4208" s="33"/>
      <c r="AD4208" s="33"/>
      <c r="AE4208" s="33"/>
      <c r="AF4208" s="33"/>
      <c r="AG4208" s="33"/>
      <c r="AH4208" s="33"/>
      <c r="AI4208" s="33"/>
      <c r="AJ4208" s="33"/>
      <c r="AK4208" s="33"/>
      <c r="AL4208" s="33"/>
      <c r="AM4208" s="33"/>
      <c r="AN4208" s="33"/>
      <c r="AO4208" s="33"/>
    </row>
    <row r="4209" ht="15.75" customHeight="1">
      <c r="A4209" s="72"/>
      <c r="B4209" s="61"/>
      <c r="C4209" s="56"/>
      <c r="D4209" s="67"/>
      <c r="E4209" s="56"/>
      <c r="F4209" s="56"/>
      <c r="G4209" s="62"/>
      <c r="H4209" s="65"/>
      <c r="I4209" s="56"/>
      <c r="J4209" s="66"/>
      <c r="K4209" s="67"/>
      <c r="L4209" s="56"/>
      <c r="M4209" s="67"/>
      <c r="N4209" s="56"/>
      <c r="O4209" s="53"/>
      <c r="P4209" s="68"/>
      <c r="Q4209" s="69"/>
      <c r="R4209" s="68"/>
      <c r="S4209" s="70"/>
      <c r="T4209" s="67"/>
      <c r="U4209" s="56"/>
      <c r="V4209" s="56"/>
      <c r="W4209" s="71"/>
      <c r="X4209" s="71"/>
      <c r="AA4209" s="33"/>
      <c r="AB4209" s="33"/>
      <c r="AC4209" s="33"/>
      <c r="AD4209" s="33"/>
      <c r="AE4209" s="33"/>
      <c r="AF4209" s="33"/>
      <c r="AG4209" s="33"/>
      <c r="AH4209" s="33"/>
      <c r="AI4209" s="33"/>
      <c r="AJ4209" s="33"/>
      <c r="AK4209" s="33"/>
      <c r="AL4209" s="33"/>
      <c r="AM4209" s="33"/>
      <c r="AN4209" s="33"/>
      <c r="AO4209" s="33"/>
    </row>
    <row r="4210" ht="15.75" customHeight="1">
      <c r="A4210" s="72"/>
      <c r="B4210" s="61"/>
      <c r="C4210" s="56"/>
      <c r="D4210" s="67"/>
      <c r="E4210" s="56"/>
      <c r="F4210" s="56"/>
      <c r="G4210" s="62"/>
      <c r="H4210" s="65"/>
      <c r="I4210" s="56"/>
      <c r="J4210" s="66"/>
      <c r="K4210" s="67"/>
      <c r="L4210" s="56"/>
      <c r="M4210" s="67"/>
      <c r="N4210" s="56"/>
      <c r="O4210" s="53"/>
      <c r="P4210" s="68"/>
      <c r="Q4210" s="69"/>
      <c r="R4210" s="68"/>
      <c r="S4210" s="70"/>
      <c r="T4210" s="67"/>
      <c r="U4210" s="56"/>
      <c r="V4210" s="56"/>
      <c r="W4210" s="71"/>
      <c r="X4210" s="71"/>
      <c r="AA4210" s="33"/>
      <c r="AB4210" s="33"/>
      <c r="AC4210" s="33"/>
      <c r="AD4210" s="33"/>
      <c r="AE4210" s="33"/>
      <c r="AF4210" s="33"/>
      <c r="AG4210" s="33"/>
      <c r="AH4210" s="33"/>
      <c r="AI4210" s="33"/>
      <c r="AJ4210" s="33"/>
      <c r="AK4210" s="33"/>
      <c r="AL4210" s="33"/>
      <c r="AM4210" s="33"/>
      <c r="AN4210" s="33"/>
      <c r="AO4210" s="33"/>
    </row>
    <row r="4211" ht="15.75" customHeight="1">
      <c r="A4211" s="72"/>
      <c r="B4211" s="61"/>
      <c r="C4211" s="56"/>
      <c r="D4211" s="67"/>
      <c r="E4211" s="56"/>
      <c r="F4211" s="56"/>
      <c r="G4211" s="62"/>
      <c r="H4211" s="65"/>
      <c r="I4211" s="56"/>
      <c r="J4211" s="66"/>
      <c r="K4211" s="67"/>
      <c r="L4211" s="56"/>
      <c r="M4211" s="67"/>
      <c r="N4211" s="56"/>
      <c r="O4211" s="53"/>
      <c r="P4211" s="68"/>
      <c r="Q4211" s="69"/>
      <c r="R4211" s="68"/>
      <c r="S4211" s="70"/>
      <c r="T4211" s="67"/>
      <c r="U4211" s="56"/>
      <c r="V4211" s="56"/>
      <c r="W4211" s="71"/>
      <c r="X4211" s="71"/>
      <c r="AA4211" s="33"/>
      <c r="AB4211" s="33"/>
      <c r="AC4211" s="33"/>
      <c r="AD4211" s="33"/>
      <c r="AE4211" s="33"/>
      <c r="AF4211" s="33"/>
      <c r="AG4211" s="33"/>
      <c r="AH4211" s="33"/>
      <c r="AI4211" s="33"/>
      <c r="AJ4211" s="33"/>
      <c r="AK4211" s="33"/>
      <c r="AL4211" s="33"/>
      <c r="AM4211" s="33"/>
      <c r="AN4211" s="33"/>
      <c r="AO4211" s="33"/>
    </row>
    <row r="4212" ht="15.75" customHeight="1">
      <c r="A4212" s="72"/>
      <c r="B4212" s="61"/>
      <c r="C4212" s="56"/>
      <c r="D4212" s="67"/>
      <c r="E4212" s="56"/>
      <c r="F4212" s="56"/>
      <c r="G4212" s="62"/>
      <c r="H4212" s="65"/>
      <c r="I4212" s="56"/>
      <c r="J4212" s="66"/>
      <c r="K4212" s="67"/>
      <c r="L4212" s="56"/>
      <c r="M4212" s="67"/>
      <c r="N4212" s="56"/>
      <c r="O4212" s="53"/>
      <c r="P4212" s="68"/>
      <c r="Q4212" s="69"/>
      <c r="R4212" s="68"/>
      <c r="S4212" s="70"/>
      <c r="T4212" s="67"/>
      <c r="U4212" s="56"/>
      <c r="V4212" s="56"/>
      <c r="W4212" s="71"/>
      <c r="X4212" s="71"/>
      <c r="AA4212" s="33"/>
      <c r="AB4212" s="33"/>
      <c r="AC4212" s="33"/>
      <c r="AD4212" s="33"/>
      <c r="AE4212" s="33"/>
      <c r="AF4212" s="33"/>
      <c r="AG4212" s="33"/>
      <c r="AH4212" s="33"/>
      <c r="AI4212" s="33"/>
      <c r="AJ4212" s="33"/>
      <c r="AK4212" s="33"/>
      <c r="AL4212" s="33"/>
      <c r="AM4212" s="33"/>
      <c r="AN4212" s="33"/>
      <c r="AO4212" s="33"/>
    </row>
    <row r="4213" ht="15.75" customHeight="1">
      <c r="A4213" s="72"/>
      <c r="B4213" s="61"/>
      <c r="C4213" s="56"/>
      <c r="D4213" s="67"/>
      <c r="E4213" s="56"/>
      <c r="F4213" s="56"/>
      <c r="G4213" s="62"/>
      <c r="H4213" s="65"/>
      <c r="I4213" s="56"/>
      <c r="J4213" s="66"/>
      <c r="K4213" s="67"/>
      <c r="L4213" s="56"/>
      <c r="M4213" s="67"/>
      <c r="N4213" s="56"/>
      <c r="O4213" s="53"/>
      <c r="P4213" s="68"/>
      <c r="Q4213" s="69"/>
      <c r="R4213" s="68"/>
      <c r="S4213" s="70"/>
      <c r="T4213" s="67"/>
      <c r="U4213" s="56"/>
      <c r="V4213" s="56"/>
      <c r="W4213" s="71"/>
      <c r="X4213" s="71"/>
      <c r="AA4213" s="33"/>
      <c r="AB4213" s="33"/>
      <c r="AC4213" s="33"/>
      <c r="AD4213" s="33"/>
      <c r="AE4213" s="33"/>
      <c r="AF4213" s="33"/>
      <c r="AG4213" s="33"/>
      <c r="AH4213" s="33"/>
      <c r="AI4213" s="33"/>
      <c r="AJ4213" s="33"/>
      <c r="AK4213" s="33"/>
      <c r="AL4213" s="33"/>
      <c r="AM4213" s="33"/>
      <c r="AN4213" s="33"/>
      <c r="AO4213" s="33"/>
    </row>
    <row r="4214" ht="15.75" customHeight="1">
      <c r="A4214" s="72"/>
      <c r="B4214" s="61"/>
      <c r="C4214" s="56"/>
      <c r="D4214" s="67"/>
      <c r="E4214" s="56"/>
      <c r="F4214" s="56"/>
      <c r="G4214" s="62"/>
      <c r="H4214" s="65"/>
      <c r="I4214" s="56"/>
      <c r="J4214" s="66"/>
      <c r="K4214" s="67"/>
      <c r="L4214" s="56"/>
      <c r="M4214" s="67"/>
      <c r="N4214" s="56"/>
      <c r="O4214" s="53"/>
      <c r="P4214" s="68"/>
      <c r="Q4214" s="69"/>
      <c r="R4214" s="68"/>
      <c r="S4214" s="70"/>
      <c r="T4214" s="67"/>
      <c r="U4214" s="56"/>
      <c r="V4214" s="56"/>
      <c r="W4214" s="71"/>
      <c r="X4214" s="71"/>
      <c r="AA4214" s="33"/>
      <c r="AB4214" s="33"/>
      <c r="AC4214" s="33"/>
      <c r="AD4214" s="33"/>
      <c r="AE4214" s="33"/>
      <c r="AF4214" s="33"/>
      <c r="AG4214" s="33"/>
      <c r="AH4214" s="33"/>
      <c r="AI4214" s="33"/>
      <c r="AJ4214" s="33"/>
      <c r="AK4214" s="33"/>
      <c r="AL4214" s="33"/>
      <c r="AM4214" s="33"/>
      <c r="AN4214" s="33"/>
      <c r="AO4214" s="33"/>
    </row>
    <row r="4215" ht="15.75" customHeight="1">
      <c r="A4215" s="72"/>
      <c r="B4215" s="61"/>
      <c r="C4215" s="56"/>
      <c r="D4215" s="67"/>
      <c r="E4215" s="56"/>
      <c r="F4215" s="56"/>
      <c r="G4215" s="62"/>
      <c r="H4215" s="65"/>
      <c r="I4215" s="56"/>
      <c r="J4215" s="66"/>
      <c r="K4215" s="67"/>
      <c r="L4215" s="56"/>
      <c r="M4215" s="67"/>
      <c r="N4215" s="56"/>
      <c r="O4215" s="53"/>
      <c r="P4215" s="68"/>
      <c r="Q4215" s="69"/>
      <c r="R4215" s="68"/>
      <c r="S4215" s="70"/>
      <c r="T4215" s="67"/>
      <c r="U4215" s="56"/>
      <c r="V4215" s="56"/>
      <c r="W4215" s="71"/>
      <c r="X4215" s="71"/>
      <c r="AA4215" s="33"/>
      <c r="AB4215" s="33"/>
      <c r="AC4215" s="33"/>
      <c r="AD4215" s="33"/>
      <c r="AE4215" s="33"/>
      <c r="AF4215" s="33"/>
      <c r="AG4215" s="33"/>
      <c r="AH4215" s="33"/>
      <c r="AI4215" s="33"/>
      <c r="AJ4215" s="33"/>
      <c r="AK4215" s="33"/>
      <c r="AL4215" s="33"/>
      <c r="AM4215" s="33"/>
      <c r="AN4215" s="33"/>
      <c r="AO4215" s="33"/>
    </row>
    <row r="4216" ht="15.75" customHeight="1">
      <c r="A4216" s="72"/>
      <c r="B4216" s="61"/>
      <c r="C4216" s="56"/>
      <c r="D4216" s="67"/>
      <c r="E4216" s="56"/>
      <c r="F4216" s="56"/>
      <c r="G4216" s="62"/>
      <c r="H4216" s="65"/>
      <c r="I4216" s="56"/>
      <c r="J4216" s="66"/>
      <c r="K4216" s="67"/>
      <c r="L4216" s="56"/>
      <c r="M4216" s="67"/>
      <c r="N4216" s="56"/>
      <c r="O4216" s="53"/>
      <c r="P4216" s="68"/>
      <c r="Q4216" s="69"/>
      <c r="R4216" s="68"/>
      <c r="S4216" s="70"/>
      <c r="T4216" s="67"/>
      <c r="U4216" s="56"/>
      <c r="V4216" s="56"/>
      <c r="W4216" s="71"/>
      <c r="X4216" s="71"/>
      <c r="AA4216" s="33"/>
      <c r="AB4216" s="33"/>
      <c r="AC4216" s="33"/>
      <c r="AD4216" s="33"/>
      <c r="AE4216" s="33"/>
      <c r="AF4216" s="33"/>
      <c r="AG4216" s="33"/>
      <c r="AH4216" s="33"/>
      <c r="AI4216" s="33"/>
      <c r="AJ4216" s="33"/>
      <c r="AK4216" s="33"/>
      <c r="AL4216" s="33"/>
      <c r="AM4216" s="33"/>
      <c r="AN4216" s="33"/>
      <c r="AO4216" s="33"/>
    </row>
    <row r="4217" ht="15.75" customHeight="1">
      <c r="A4217" s="72"/>
      <c r="B4217" s="61"/>
      <c r="C4217" s="56"/>
      <c r="D4217" s="67"/>
      <c r="E4217" s="56"/>
      <c r="F4217" s="56"/>
      <c r="G4217" s="62"/>
      <c r="H4217" s="65"/>
      <c r="I4217" s="56"/>
      <c r="J4217" s="66"/>
      <c r="K4217" s="67"/>
      <c r="L4217" s="56"/>
      <c r="M4217" s="67"/>
      <c r="N4217" s="56"/>
      <c r="O4217" s="53"/>
      <c r="P4217" s="68"/>
      <c r="Q4217" s="69"/>
      <c r="R4217" s="68"/>
      <c r="S4217" s="70"/>
      <c r="T4217" s="67"/>
      <c r="U4217" s="56"/>
      <c r="V4217" s="56"/>
      <c r="W4217" s="71"/>
      <c r="X4217" s="71"/>
      <c r="AA4217" s="33"/>
      <c r="AB4217" s="33"/>
      <c r="AC4217" s="33"/>
      <c r="AD4217" s="33"/>
      <c r="AE4217" s="33"/>
      <c r="AF4217" s="33"/>
      <c r="AG4217" s="33"/>
      <c r="AH4217" s="33"/>
      <c r="AI4217" s="33"/>
      <c r="AJ4217" s="33"/>
      <c r="AK4217" s="33"/>
      <c r="AL4217" s="33"/>
      <c r="AM4217" s="33"/>
      <c r="AN4217" s="33"/>
      <c r="AO4217" s="33"/>
    </row>
    <row r="4218" ht="15.75" customHeight="1">
      <c r="A4218" s="72"/>
      <c r="B4218" s="61"/>
      <c r="C4218" s="56"/>
      <c r="D4218" s="67"/>
      <c r="E4218" s="56"/>
      <c r="F4218" s="56"/>
      <c r="G4218" s="62"/>
      <c r="H4218" s="65"/>
      <c r="I4218" s="56"/>
      <c r="J4218" s="66"/>
      <c r="K4218" s="67"/>
      <c r="L4218" s="56"/>
      <c r="M4218" s="67"/>
      <c r="N4218" s="56"/>
      <c r="O4218" s="53"/>
      <c r="P4218" s="68"/>
      <c r="Q4218" s="69"/>
      <c r="R4218" s="68"/>
      <c r="S4218" s="70"/>
      <c r="T4218" s="67"/>
      <c r="U4218" s="56"/>
      <c r="V4218" s="56"/>
      <c r="W4218" s="71"/>
      <c r="X4218" s="71"/>
      <c r="AA4218" s="33"/>
      <c r="AB4218" s="33"/>
      <c r="AC4218" s="33"/>
      <c r="AD4218" s="33"/>
      <c r="AE4218" s="33"/>
      <c r="AF4218" s="33"/>
      <c r="AG4218" s="33"/>
      <c r="AH4218" s="33"/>
      <c r="AI4218" s="33"/>
      <c r="AJ4218" s="33"/>
      <c r="AK4218" s="33"/>
      <c r="AL4218" s="33"/>
      <c r="AM4218" s="33"/>
      <c r="AN4218" s="33"/>
      <c r="AO4218" s="33"/>
    </row>
    <row r="4219" ht="15.75" customHeight="1">
      <c r="A4219" s="72"/>
      <c r="B4219" s="61"/>
      <c r="C4219" s="56"/>
      <c r="D4219" s="67"/>
      <c r="E4219" s="56"/>
      <c r="F4219" s="56"/>
      <c r="G4219" s="62"/>
      <c r="H4219" s="65"/>
      <c r="I4219" s="56"/>
      <c r="J4219" s="66"/>
      <c r="K4219" s="67"/>
      <c r="L4219" s="56"/>
      <c r="M4219" s="67"/>
      <c r="N4219" s="56"/>
      <c r="O4219" s="53"/>
      <c r="P4219" s="68"/>
      <c r="Q4219" s="69"/>
      <c r="R4219" s="68"/>
      <c r="S4219" s="70"/>
      <c r="T4219" s="67"/>
      <c r="U4219" s="56"/>
      <c r="V4219" s="56"/>
      <c r="W4219" s="71"/>
      <c r="X4219" s="71"/>
      <c r="AA4219" s="33"/>
      <c r="AB4219" s="33"/>
      <c r="AC4219" s="33"/>
      <c r="AD4219" s="33"/>
      <c r="AE4219" s="33"/>
      <c r="AF4219" s="33"/>
      <c r="AG4219" s="33"/>
      <c r="AH4219" s="33"/>
      <c r="AI4219" s="33"/>
      <c r="AJ4219" s="33"/>
      <c r="AK4219" s="33"/>
      <c r="AL4219" s="33"/>
      <c r="AM4219" s="33"/>
      <c r="AN4219" s="33"/>
      <c r="AO4219" s="33"/>
    </row>
    <row r="4220" ht="15.75" customHeight="1">
      <c r="A4220" s="72"/>
      <c r="B4220" s="61"/>
      <c r="C4220" s="56"/>
      <c r="D4220" s="67"/>
      <c r="E4220" s="56"/>
      <c r="F4220" s="56"/>
      <c r="G4220" s="62"/>
      <c r="H4220" s="65"/>
      <c r="I4220" s="56"/>
      <c r="J4220" s="66"/>
      <c r="K4220" s="67"/>
      <c r="L4220" s="56"/>
      <c r="M4220" s="67"/>
      <c r="N4220" s="56"/>
      <c r="O4220" s="53"/>
      <c r="P4220" s="68"/>
      <c r="Q4220" s="69"/>
      <c r="R4220" s="68"/>
      <c r="S4220" s="70"/>
      <c r="T4220" s="67"/>
      <c r="U4220" s="56"/>
      <c r="V4220" s="56"/>
      <c r="W4220" s="71"/>
      <c r="X4220" s="71"/>
      <c r="AA4220" s="33"/>
      <c r="AB4220" s="33"/>
      <c r="AC4220" s="33"/>
      <c r="AD4220" s="33"/>
      <c r="AE4220" s="33"/>
      <c r="AF4220" s="33"/>
      <c r="AG4220" s="33"/>
      <c r="AH4220" s="33"/>
      <c r="AI4220" s="33"/>
      <c r="AJ4220" s="33"/>
      <c r="AK4220" s="33"/>
      <c r="AL4220" s="33"/>
      <c r="AM4220" s="33"/>
      <c r="AN4220" s="33"/>
      <c r="AO4220" s="33"/>
    </row>
    <row r="4221" ht="15.75" customHeight="1">
      <c r="A4221" s="72"/>
      <c r="B4221" s="61"/>
      <c r="C4221" s="56"/>
      <c r="D4221" s="67"/>
      <c r="E4221" s="56"/>
      <c r="F4221" s="56"/>
      <c r="G4221" s="62"/>
      <c r="H4221" s="65"/>
      <c r="I4221" s="56"/>
      <c r="J4221" s="66"/>
      <c r="K4221" s="67"/>
      <c r="L4221" s="56"/>
      <c r="M4221" s="67"/>
      <c r="N4221" s="56"/>
      <c r="O4221" s="53"/>
      <c r="P4221" s="68"/>
      <c r="Q4221" s="69"/>
      <c r="R4221" s="68"/>
      <c r="S4221" s="70"/>
      <c r="T4221" s="67"/>
      <c r="U4221" s="56"/>
      <c r="V4221" s="56"/>
      <c r="W4221" s="71"/>
      <c r="X4221" s="71"/>
      <c r="AA4221" s="33"/>
      <c r="AB4221" s="33"/>
      <c r="AC4221" s="33"/>
      <c r="AD4221" s="33"/>
      <c r="AE4221" s="33"/>
      <c r="AF4221" s="33"/>
      <c r="AG4221" s="33"/>
      <c r="AH4221" s="33"/>
      <c r="AI4221" s="33"/>
      <c r="AJ4221" s="33"/>
      <c r="AK4221" s="33"/>
      <c r="AL4221" s="33"/>
      <c r="AM4221" s="33"/>
      <c r="AN4221" s="33"/>
      <c r="AO4221" s="33"/>
    </row>
    <row r="4222" ht="15.75" customHeight="1">
      <c r="A4222" s="72"/>
      <c r="B4222" s="61"/>
      <c r="C4222" s="56"/>
      <c r="D4222" s="67"/>
      <c r="E4222" s="56"/>
      <c r="F4222" s="56"/>
      <c r="G4222" s="62"/>
      <c r="H4222" s="65"/>
      <c r="I4222" s="56"/>
      <c r="J4222" s="66"/>
      <c r="K4222" s="67"/>
      <c r="L4222" s="56"/>
      <c r="M4222" s="67"/>
      <c r="N4222" s="56"/>
      <c r="O4222" s="53"/>
      <c r="P4222" s="68"/>
      <c r="Q4222" s="69"/>
      <c r="R4222" s="68"/>
      <c r="S4222" s="70"/>
      <c r="T4222" s="67"/>
      <c r="U4222" s="56"/>
      <c r="V4222" s="56"/>
      <c r="W4222" s="71"/>
      <c r="X4222" s="71"/>
      <c r="AA4222" s="33"/>
      <c r="AB4222" s="33"/>
      <c r="AC4222" s="33"/>
      <c r="AD4222" s="33"/>
      <c r="AE4222" s="33"/>
      <c r="AF4222" s="33"/>
      <c r="AG4222" s="33"/>
      <c r="AH4222" s="33"/>
      <c r="AI4222" s="33"/>
      <c r="AJ4222" s="33"/>
      <c r="AK4222" s="33"/>
      <c r="AL4222" s="33"/>
      <c r="AM4222" s="33"/>
      <c r="AN4222" s="33"/>
      <c r="AO4222" s="33"/>
    </row>
    <row r="4223" ht="15.75" customHeight="1">
      <c r="A4223" s="72"/>
      <c r="B4223" s="61"/>
      <c r="C4223" s="56"/>
      <c r="D4223" s="67"/>
      <c r="E4223" s="56"/>
      <c r="F4223" s="56"/>
      <c r="G4223" s="62"/>
      <c r="H4223" s="65"/>
      <c r="I4223" s="56"/>
      <c r="J4223" s="66"/>
      <c r="K4223" s="67"/>
      <c r="L4223" s="56"/>
      <c r="M4223" s="67"/>
      <c r="N4223" s="56"/>
      <c r="O4223" s="53"/>
      <c r="P4223" s="68"/>
      <c r="Q4223" s="69"/>
      <c r="R4223" s="68"/>
      <c r="S4223" s="70"/>
      <c r="T4223" s="67"/>
      <c r="U4223" s="56"/>
      <c r="V4223" s="56"/>
      <c r="W4223" s="71"/>
      <c r="X4223" s="71"/>
      <c r="AA4223" s="33"/>
      <c r="AB4223" s="33"/>
      <c r="AC4223" s="33"/>
      <c r="AD4223" s="33"/>
      <c r="AE4223" s="33"/>
      <c r="AF4223" s="33"/>
      <c r="AG4223" s="33"/>
      <c r="AH4223" s="33"/>
      <c r="AI4223" s="33"/>
      <c r="AJ4223" s="33"/>
      <c r="AK4223" s="33"/>
      <c r="AL4223" s="33"/>
      <c r="AM4223" s="33"/>
      <c r="AN4223" s="33"/>
      <c r="AO4223" s="33"/>
    </row>
    <row r="4224" ht="15.75" customHeight="1">
      <c r="A4224" s="72"/>
      <c r="B4224" s="61"/>
      <c r="C4224" s="56"/>
      <c r="D4224" s="67"/>
      <c r="E4224" s="56"/>
      <c r="F4224" s="56"/>
      <c r="G4224" s="62"/>
      <c r="H4224" s="65"/>
      <c r="I4224" s="56"/>
      <c r="J4224" s="66"/>
      <c r="K4224" s="67"/>
      <c r="L4224" s="56"/>
      <c r="M4224" s="67"/>
      <c r="N4224" s="56"/>
      <c r="O4224" s="53"/>
      <c r="P4224" s="68"/>
      <c r="Q4224" s="69"/>
      <c r="R4224" s="68"/>
      <c r="S4224" s="70"/>
      <c r="T4224" s="67"/>
      <c r="U4224" s="56"/>
      <c r="V4224" s="56"/>
      <c r="W4224" s="71"/>
      <c r="X4224" s="71"/>
      <c r="AA4224" s="33"/>
      <c r="AB4224" s="33"/>
      <c r="AC4224" s="33"/>
      <c r="AD4224" s="33"/>
      <c r="AE4224" s="33"/>
      <c r="AF4224" s="33"/>
      <c r="AG4224" s="33"/>
      <c r="AH4224" s="33"/>
      <c r="AI4224" s="33"/>
      <c r="AJ4224" s="33"/>
      <c r="AK4224" s="33"/>
      <c r="AL4224" s="33"/>
      <c r="AM4224" s="33"/>
      <c r="AN4224" s="33"/>
      <c r="AO4224" s="33"/>
    </row>
    <row r="4225" ht="15.75" customHeight="1">
      <c r="A4225" s="72"/>
      <c r="B4225" s="61"/>
      <c r="C4225" s="56"/>
      <c r="D4225" s="67"/>
      <c r="E4225" s="56"/>
      <c r="F4225" s="56"/>
      <c r="G4225" s="62"/>
      <c r="H4225" s="65"/>
      <c r="I4225" s="56"/>
      <c r="J4225" s="66"/>
      <c r="K4225" s="67"/>
      <c r="L4225" s="56"/>
      <c r="M4225" s="67"/>
      <c r="N4225" s="56"/>
      <c r="O4225" s="53"/>
      <c r="P4225" s="68"/>
      <c r="Q4225" s="69"/>
      <c r="R4225" s="68"/>
      <c r="S4225" s="70"/>
      <c r="T4225" s="67"/>
      <c r="U4225" s="56"/>
      <c r="V4225" s="56"/>
      <c r="W4225" s="71"/>
      <c r="X4225" s="71"/>
      <c r="AA4225" s="33"/>
      <c r="AB4225" s="33"/>
      <c r="AC4225" s="33"/>
      <c r="AD4225" s="33"/>
      <c r="AE4225" s="33"/>
      <c r="AF4225" s="33"/>
      <c r="AG4225" s="33"/>
      <c r="AH4225" s="33"/>
      <c r="AI4225" s="33"/>
      <c r="AJ4225" s="33"/>
      <c r="AK4225" s="33"/>
      <c r="AL4225" s="33"/>
      <c r="AM4225" s="33"/>
      <c r="AN4225" s="33"/>
      <c r="AO4225" s="33"/>
    </row>
    <row r="4226" ht="15.75" customHeight="1">
      <c r="A4226" s="72"/>
      <c r="B4226" s="61"/>
      <c r="C4226" s="56"/>
      <c r="D4226" s="67"/>
      <c r="E4226" s="56"/>
      <c r="F4226" s="56"/>
      <c r="G4226" s="62"/>
      <c r="H4226" s="65"/>
      <c r="I4226" s="56"/>
      <c r="J4226" s="66"/>
      <c r="K4226" s="67"/>
      <c r="L4226" s="56"/>
      <c r="M4226" s="67"/>
      <c r="N4226" s="56"/>
      <c r="O4226" s="53"/>
      <c r="P4226" s="68"/>
      <c r="Q4226" s="69"/>
      <c r="R4226" s="68"/>
      <c r="S4226" s="70"/>
      <c r="T4226" s="67"/>
      <c r="U4226" s="56"/>
      <c r="V4226" s="56"/>
      <c r="W4226" s="71"/>
      <c r="X4226" s="71"/>
      <c r="AA4226" s="33"/>
      <c r="AB4226" s="33"/>
      <c r="AC4226" s="33"/>
      <c r="AD4226" s="33"/>
      <c r="AE4226" s="33"/>
      <c r="AF4226" s="33"/>
      <c r="AG4226" s="33"/>
      <c r="AH4226" s="33"/>
      <c r="AI4226" s="33"/>
      <c r="AJ4226" s="33"/>
      <c r="AK4226" s="33"/>
      <c r="AL4226" s="33"/>
      <c r="AM4226" s="33"/>
      <c r="AN4226" s="33"/>
      <c r="AO4226" s="33"/>
    </row>
    <row r="4227" ht="15.75" customHeight="1">
      <c r="A4227" s="72"/>
      <c r="B4227" s="61"/>
      <c r="C4227" s="56"/>
      <c r="D4227" s="67"/>
      <c r="E4227" s="56"/>
      <c r="F4227" s="56"/>
      <c r="G4227" s="62"/>
      <c r="H4227" s="65"/>
      <c r="I4227" s="56"/>
      <c r="J4227" s="66"/>
      <c r="K4227" s="67"/>
      <c r="L4227" s="56"/>
      <c r="M4227" s="67"/>
      <c r="N4227" s="56"/>
      <c r="O4227" s="53"/>
      <c r="P4227" s="68"/>
      <c r="Q4227" s="69"/>
      <c r="R4227" s="68"/>
      <c r="S4227" s="70"/>
      <c r="T4227" s="67"/>
      <c r="U4227" s="56"/>
      <c r="V4227" s="56"/>
      <c r="W4227" s="71"/>
      <c r="X4227" s="71"/>
      <c r="AA4227" s="33"/>
      <c r="AB4227" s="33"/>
      <c r="AC4227" s="33"/>
      <c r="AD4227" s="33"/>
      <c r="AE4227" s="33"/>
      <c r="AF4227" s="33"/>
      <c r="AG4227" s="33"/>
      <c r="AH4227" s="33"/>
      <c r="AI4227" s="33"/>
      <c r="AJ4227" s="33"/>
      <c r="AK4227" s="33"/>
      <c r="AL4227" s="33"/>
      <c r="AM4227" s="33"/>
      <c r="AN4227" s="33"/>
      <c r="AO4227" s="33"/>
    </row>
    <row r="4228" ht="15.75" customHeight="1">
      <c r="A4228" s="72"/>
      <c r="B4228" s="61"/>
      <c r="C4228" s="56"/>
      <c r="D4228" s="67"/>
      <c r="E4228" s="56"/>
      <c r="F4228" s="56"/>
      <c r="G4228" s="62"/>
      <c r="H4228" s="65"/>
      <c r="I4228" s="56"/>
      <c r="J4228" s="66"/>
      <c r="K4228" s="67"/>
      <c r="L4228" s="56"/>
      <c r="M4228" s="67"/>
      <c r="N4228" s="56"/>
      <c r="O4228" s="53"/>
      <c r="P4228" s="68"/>
      <c r="Q4228" s="69"/>
      <c r="R4228" s="68"/>
      <c r="S4228" s="70"/>
      <c r="T4228" s="67"/>
      <c r="U4228" s="56"/>
      <c r="V4228" s="56"/>
      <c r="W4228" s="71"/>
      <c r="X4228" s="71"/>
      <c r="AA4228" s="33"/>
      <c r="AB4228" s="33"/>
      <c r="AC4228" s="33"/>
      <c r="AD4228" s="33"/>
      <c r="AE4228" s="33"/>
      <c r="AF4228" s="33"/>
      <c r="AG4228" s="33"/>
      <c r="AH4228" s="33"/>
      <c r="AI4228" s="33"/>
      <c r="AJ4228" s="33"/>
      <c r="AK4228" s="33"/>
      <c r="AL4228" s="33"/>
      <c r="AM4228" s="33"/>
      <c r="AN4228" s="33"/>
      <c r="AO4228" s="33"/>
    </row>
    <row r="4229" ht="15.75" customHeight="1">
      <c r="A4229" s="72"/>
      <c r="B4229" s="61"/>
      <c r="C4229" s="56"/>
      <c r="D4229" s="67"/>
      <c r="E4229" s="56"/>
      <c r="F4229" s="56"/>
      <c r="G4229" s="62"/>
      <c r="H4229" s="65"/>
      <c r="I4229" s="56"/>
      <c r="J4229" s="66"/>
      <c r="K4229" s="67"/>
      <c r="L4229" s="56"/>
      <c r="M4229" s="67"/>
      <c r="N4229" s="56"/>
      <c r="O4229" s="53"/>
      <c r="P4229" s="68"/>
      <c r="Q4229" s="69"/>
      <c r="R4229" s="68"/>
      <c r="S4229" s="70"/>
      <c r="T4229" s="67"/>
      <c r="U4229" s="56"/>
      <c r="V4229" s="56"/>
      <c r="W4229" s="71"/>
      <c r="X4229" s="71"/>
      <c r="AA4229" s="33"/>
      <c r="AB4229" s="33"/>
      <c r="AC4229" s="33"/>
      <c r="AD4229" s="33"/>
      <c r="AE4229" s="33"/>
      <c r="AF4229" s="33"/>
      <c r="AG4229" s="33"/>
      <c r="AH4229" s="33"/>
      <c r="AI4229" s="33"/>
      <c r="AJ4229" s="33"/>
      <c r="AK4229" s="33"/>
      <c r="AL4229" s="33"/>
      <c r="AM4229" s="33"/>
      <c r="AN4229" s="33"/>
      <c r="AO4229" s="33"/>
    </row>
    <row r="4230" ht="15.75" customHeight="1">
      <c r="A4230" s="72"/>
      <c r="B4230" s="61"/>
      <c r="C4230" s="56"/>
      <c r="D4230" s="67"/>
      <c r="E4230" s="56"/>
      <c r="F4230" s="56"/>
      <c r="G4230" s="62"/>
      <c r="H4230" s="65"/>
      <c r="I4230" s="56"/>
      <c r="J4230" s="66"/>
      <c r="K4230" s="67"/>
      <c r="L4230" s="56"/>
      <c r="M4230" s="67"/>
      <c r="N4230" s="56"/>
      <c r="O4230" s="53"/>
      <c r="P4230" s="68"/>
      <c r="Q4230" s="69"/>
      <c r="R4230" s="68"/>
      <c r="S4230" s="70"/>
      <c r="T4230" s="67"/>
      <c r="U4230" s="56"/>
      <c r="V4230" s="56"/>
      <c r="W4230" s="71"/>
      <c r="X4230" s="71"/>
      <c r="AA4230" s="33"/>
      <c r="AB4230" s="33"/>
      <c r="AC4230" s="33"/>
      <c r="AD4230" s="33"/>
      <c r="AE4230" s="33"/>
      <c r="AF4230" s="33"/>
      <c r="AG4230" s="33"/>
      <c r="AH4230" s="33"/>
      <c r="AI4230" s="33"/>
      <c r="AJ4230" s="33"/>
      <c r="AK4230" s="33"/>
      <c r="AL4230" s="33"/>
      <c r="AM4230" s="33"/>
      <c r="AN4230" s="33"/>
      <c r="AO4230" s="33"/>
    </row>
    <row r="4231" ht="15.75" customHeight="1">
      <c r="A4231" s="72"/>
      <c r="B4231" s="61"/>
      <c r="C4231" s="56"/>
      <c r="D4231" s="67"/>
      <c r="E4231" s="56"/>
      <c r="F4231" s="56"/>
      <c r="G4231" s="62"/>
      <c r="H4231" s="65"/>
      <c r="I4231" s="56"/>
      <c r="J4231" s="66"/>
      <c r="K4231" s="67"/>
      <c r="L4231" s="56"/>
      <c r="M4231" s="67"/>
      <c r="N4231" s="56"/>
      <c r="O4231" s="53"/>
      <c r="P4231" s="68"/>
      <c r="Q4231" s="69"/>
      <c r="R4231" s="68"/>
      <c r="S4231" s="70"/>
      <c r="T4231" s="67"/>
      <c r="U4231" s="56"/>
      <c r="V4231" s="56"/>
      <c r="W4231" s="71"/>
      <c r="X4231" s="71"/>
      <c r="AA4231" s="33"/>
      <c r="AB4231" s="33"/>
      <c r="AC4231" s="33"/>
      <c r="AD4231" s="33"/>
      <c r="AE4231" s="33"/>
      <c r="AF4231" s="33"/>
      <c r="AG4231" s="33"/>
      <c r="AH4231" s="33"/>
      <c r="AI4231" s="33"/>
      <c r="AJ4231" s="33"/>
      <c r="AK4231" s="33"/>
      <c r="AL4231" s="33"/>
      <c r="AM4231" s="33"/>
      <c r="AN4231" s="33"/>
      <c r="AO4231" s="33"/>
    </row>
    <row r="4232" ht="15.75" customHeight="1">
      <c r="A4232" s="72"/>
      <c r="B4232" s="61"/>
      <c r="C4232" s="56"/>
      <c r="D4232" s="67"/>
      <c r="E4232" s="56"/>
      <c r="F4232" s="56"/>
      <c r="G4232" s="62"/>
      <c r="H4232" s="65"/>
      <c r="I4232" s="56"/>
      <c r="J4232" s="66"/>
      <c r="K4232" s="67"/>
      <c r="L4232" s="56"/>
      <c r="M4232" s="67"/>
      <c r="N4232" s="56"/>
      <c r="O4232" s="53"/>
      <c r="P4232" s="68"/>
      <c r="Q4232" s="69"/>
      <c r="R4232" s="68"/>
      <c r="S4232" s="70"/>
      <c r="T4232" s="67"/>
      <c r="U4232" s="56"/>
      <c r="V4232" s="56"/>
      <c r="W4232" s="71"/>
      <c r="X4232" s="71"/>
      <c r="AA4232" s="33"/>
      <c r="AB4232" s="33"/>
      <c r="AC4232" s="33"/>
      <c r="AD4232" s="33"/>
      <c r="AE4232" s="33"/>
      <c r="AF4232" s="33"/>
      <c r="AG4232" s="33"/>
      <c r="AH4232" s="33"/>
      <c r="AI4232" s="33"/>
      <c r="AJ4232" s="33"/>
      <c r="AK4232" s="33"/>
      <c r="AL4232" s="33"/>
      <c r="AM4232" s="33"/>
      <c r="AN4232" s="33"/>
      <c r="AO4232" s="33"/>
    </row>
    <row r="4233" ht="15.75" customHeight="1">
      <c r="A4233" s="72"/>
      <c r="B4233" s="61"/>
      <c r="C4233" s="56"/>
      <c r="D4233" s="67"/>
      <c r="E4233" s="56"/>
      <c r="F4233" s="56"/>
      <c r="G4233" s="62"/>
      <c r="H4233" s="65"/>
      <c r="I4233" s="56"/>
      <c r="J4233" s="66"/>
      <c r="K4233" s="67"/>
      <c r="L4233" s="56"/>
      <c r="M4233" s="67"/>
      <c r="N4233" s="56"/>
      <c r="O4233" s="53"/>
      <c r="P4233" s="68"/>
      <c r="Q4233" s="69"/>
      <c r="R4233" s="68"/>
      <c r="S4233" s="70"/>
      <c r="T4233" s="67"/>
      <c r="U4233" s="56"/>
      <c r="V4233" s="56"/>
      <c r="W4233" s="71"/>
      <c r="X4233" s="71"/>
      <c r="AA4233" s="33"/>
      <c r="AB4233" s="33"/>
      <c r="AC4233" s="33"/>
      <c r="AD4233" s="33"/>
      <c r="AE4233" s="33"/>
      <c r="AF4233" s="33"/>
      <c r="AG4233" s="33"/>
      <c r="AH4233" s="33"/>
      <c r="AI4233" s="33"/>
      <c r="AJ4233" s="33"/>
      <c r="AK4233" s="33"/>
      <c r="AL4233" s="33"/>
      <c r="AM4233" s="33"/>
      <c r="AN4233" s="33"/>
      <c r="AO4233" s="33"/>
    </row>
    <row r="4234" ht="15.75" customHeight="1">
      <c r="A4234" s="72"/>
      <c r="B4234" s="61"/>
      <c r="C4234" s="56"/>
      <c r="D4234" s="67"/>
      <c r="E4234" s="56"/>
      <c r="F4234" s="56"/>
      <c r="G4234" s="62"/>
      <c r="H4234" s="65"/>
      <c r="I4234" s="56"/>
      <c r="J4234" s="66"/>
      <c r="K4234" s="67"/>
      <c r="L4234" s="56"/>
      <c r="M4234" s="67"/>
      <c r="N4234" s="56"/>
      <c r="O4234" s="53"/>
      <c r="P4234" s="68"/>
      <c r="Q4234" s="69"/>
      <c r="R4234" s="68"/>
      <c r="S4234" s="70"/>
      <c r="T4234" s="67"/>
      <c r="U4234" s="56"/>
      <c r="V4234" s="56"/>
      <c r="W4234" s="71"/>
      <c r="X4234" s="71"/>
      <c r="AA4234" s="33"/>
      <c r="AB4234" s="33"/>
      <c r="AC4234" s="33"/>
      <c r="AD4234" s="33"/>
      <c r="AE4234" s="33"/>
      <c r="AF4234" s="33"/>
      <c r="AG4234" s="33"/>
      <c r="AH4234" s="33"/>
      <c r="AI4234" s="33"/>
      <c r="AJ4234" s="33"/>
      <c r="AK4234" s="33"/>
      <c r="AL4234" s="33"/>
      <c r="AM4234" s="33"/>
      <c r="AN4234" s="33"/>
      <c r="AO4234" s="33"/>
    </row>
    <row r="4235" ht="15.75" customHeight="1">
      <c r="A4235" s="72"/>
      <c r="B4235" s="61"/>
      <c r="C4235" s="56"/>
      <c r="D4235" s="67"/>
      <c r="E4235" s="56"/>
      <c r="F4235" s="56"/>
      <c r="G4235" s="62"/>
      <c r="H4235" s="65"/>
      <c r="I4235" s="56"/>
      <c r="J4235" s="66"/>
      <c r="K4235" s="67"/>
      <c r="L4235" s="56"/>
      <c r="M4235" s="67"/>
      <c r="N4235" s="56"/>
      <c r="O4235" s="53"/>
      <c r="P4235" s="68"/>
      <c r="Q4235" s="69"/>
      <c r="R4235" s="68"/>
      <c r="S4235" s="70"/>
      <c r="T4235" s="67"/>
      <c r="U4235" s="56"/>
      <c r="V4235" s="56"/>
      <c r="W4235" s="71"/>
      <c r="X4235" s="71"/>
      <c r="AA4235" s="33"/>
      <c r="AB4235" s="33"/>
      <c r="AC4235" s="33"/>
      <c r="AD4235" s="33"/>
      <c r="AE4235" s="33"/>
      <c r="AF4235" s="33"/>
      <c r="AG4235" s="33"/>
      <c r="AH4235" s="33"/>
      <c r="AI4235" s="33"/>
      <c r="AJ4235" s="33"/>
      <c r="AK4235" s="33"/>
      <c r="AL4235" s="33"/>
      <c r="AM4235" s="33"/>
      <c r="AN4235" s="33"/>
      <c r="AO4235" s="33"/>
    </row>
    <row r="4236" ht="15.75" customHeight="1">
      <c r="A4236" s="72"/>
      <c r="B4236" s="61"/>
      <c r="C4236" s="56"/>
      <c r="D4236" s="67"/>
      <c r="E4236" s="56"/>
      <c r="F4236" s="56"/>
      <c r="G4236" s="62"/>
      <c r="H4236" s="65"/>
      <c r="I4236" s="56"/>
      <c r="J4236" s="66"/>
      <c r="K4236" s="67"/>
      <c r="L4236" s="56"/>
      <c r="M4236" s="67"/>
      <c r="N4236" s="56"/>
      <c r="O4236" s="53"/>
      <c r="P4236" s="68"/>
      <c r="Q4236" s="69"/>
      <c r="R4236" s="68"/>
      <c r="S4236" s="70"/>
      <c r="T4236" s="67"/>
      <c r="U4236" s="56"/>
      <c r="V4236" s="56"/>
      <c r="W4236" s="71"/>
      <c r="X4236" s="71"/>
      <c r="AA4236" s="33"/>
      <c r="AB4236" s="33"/>
      <c r="AC4236" s="33"/>
      <c r="AD4236" s="33"/>
      <c r="AE4236" s="33"/>
      <c r="AF4236" s="33"/>
      <c r="AG4236" s="33"/>
      <c r="AH4236" s="33"/>
      <c r="AI4236" s="33"/>
      <c r="AJ4236" s="33"/>
      <c r="AK4236" s="33"/>
      <c r="AL4236" s="33"/>
      <c r="AM4236" s="33"/>
      <c r="AN4236" s="33"/>
      <c r="AO4236" s="33"/>
    </row>
    <row r="4237" ht="15.75" customHeight="1">
      <c r="A4237" s="72"/>
      <c r="B4237" s="61"/>
      <c r="C4237" s="56"/>
      <c r="D4237" s="67"/>
      <c r="E4237" s="56"/>
      <c r="F4237" s="56"/>
      <c r="G4237" s="62"/>
      <c r="H4237" s="65"/>
      <c r="I4237" s="56"/>
      <c r="J4237" s="66"/>
      <c r="K4237" s="67"/>
      <c r="L4237" s="56"/>
      <c r="M4237" s="67"/>
      <c r="N4237" s="56"/>
      <c r="O4237" s="53"/>
      <c r="P4237" s="68"/>
      <c r="Q4237" s="69"/>
      <c r="R4237" s="68"/>
      <c r="S4237" s="70"/>
      <c r="T4237" s="67"/>
      <c r="U4237" s="56"/>
      <c r="V4237" s="56"/>
      <c r="W4237" s="71"/>
      <c r="X4237" s="71"/>
      <c r="AA4237" s="33"/>
      <c r="AB4237" s="33"/>
      <c r="AC4237" s="33"/>
      <c r="AD4237" s="33"/>
      <c r="AE4237" s="33"/>
      <c r="AF4237" s="33"/>
      <c r="AG4237" s="33"/>
      <c r="AH4237" s="33"/>
      <c r="AI4237" s="33"/>
      <c r="AJ4237" s="33"/>
      <c r="AK4237" s="33"/>
      <c r="AL4237" s="33"/>
      <c r="AM4237" s="33"/>
      <c r="AN4237" s="33"/>
      <c r="AO4237" s="33"/>
    </row>
    <row r="4238" ht="15.75" customHeight="1">
      <c r="A4238" s="72"/>
      <c r="B4238" s="61"/>
      <c r="C4238" s="56"/>
      <c r="D4238" s="67"/>
      <c r="E4238" s="56"/>
      <c r="F4238" s="56"/>
      <c r="G4238" s="62"/>
      <c r="H4238" s="65"/>
      <c r="I4238" s="56"/>
      <c r="J4238" s="66"/>
      <c r="K4238" s="67"/>
      <c r="L4238" s="56"/>
      <c r="M4238" s="67"/>
      <c r="N4238" s="56"/>
      <c r="O4238" s="53"/>
      <c r="P4238" s="68"/>
      <c r="Q4238" s="69"/>
      <c r="R4238" s="68"/>
      <c r="S4238" s="70"/>
      <c r="T4238" s="67"/>
      <c r="U4238" s="56"/>
      <c r="V4238" s="56"/>
      <c r="W4238" s="71"/>
      <c r="X4238" s="71"/>
      <c r="AA4238" s="33"/>
      <c r="AB4238" s="33"/>
      <c r="AC4238" s="33"/>
      <c r="AD4238" s="33"/>
      <c r="AE4238" s="33"/>
      <c r="AF4238" s="33"/>
      <c r="AG4238" s="33"/>
      <c r="AH4238" s="33"/>
      <c r="AI4238" s="33"/>
      <c r="AJ4238" s="33"/>
      <c r="AK4238" s="33"/>
      <c r="AL4238" s="33"/>
      <c r="AM4238" s="33"/>
      <c r="AN4238" s="33"/>
      <c r="AO4238" s="33"/>
    </row>
    <row r="4239" ht="15.75" customHeight="1">
      <c r="A4239" s="72"/>
      <c r="B4239" s="61"/>
      <c r="C4239" s="56"/>
      <c r="D4239" s="67"/>
      <c r="E4239" s="56"/>
      <c r="F4239" s="56"/>
      <c r="G4239" s="62"/>
      <c r="H4239" s="65"/>
      <c r="I4239" s="56"/>
      <c r="J4239" s="66"/>
      <c r="K4239" s="67"/>
      <c r="L4239" s="56"/>
      <c r="M4239" s="67"/>
      <c r="N4239" s="56"/>
      <c r="O4239" s="53"/>
      <c r="P4239" s="68"/>
      <c r="Q4239" s="69"/>
      <c r="R4239" s="68"/>
      <c r="S4239" s="70"/>
      <c r="T4239" s="67"/>
      <c r="U4239" s="56"/>
      <c r="V4239" s="56"/>
      <c r="W4239" s="71"/>
      <c r="X4239" s="71"/>
      <c r="AA4239" s="33"/>
      <c r="AB4239" s="33"/>
      <c r="AC4239" s="33"/>
      <c r="AD4239" s="33"/>
      <c r="AE4239" s="33"/>
      <c r="AF4239" s="33"/>
      <c r="AG4239" s="33"/>
      <c r="AH4239" s="33"/>
      <c r="AI4239" s="33"/>
      <c r="AJ4239" s="33"/>
      <c r="AK4239" s="33"/>
      <c r="AL4239" s="33"/>
      <c r="AM4239" s="33"/>
      <c r="AN4239" s="33"/>
      <c r="AO4239" s="33"/>
    </row>
    <row r="4240" ht="15.75" customHeight="1">
      <c r="A4240" s="72"/>
      <c r="B4240" s="61"/>
      <c r="C4240" s="56"/>
      <c r="D4240" s="67"/>
      <c r="E4240" s="56"/>
      <c r="F4240" s="56"/>
      <c r="G4240" s="62"/>
      <c r="H4240" s="65"/>
      <c r="I4240" s="56"/>
      <c r="J4240" s="66"/>
      <c r="K4240" s="67"/>
      <c r="L4240" s="56"/>
      <c r="M4240" s="67"/>
      <c r="N4240" s="56"/>
      <c r="O4240" s="53"/>
      <c r="P4240" s="68"/>
      <c r="Q4240" s="69"/>
      <c r="R4240" s="68"/>
      <c r="S4240" s="70"/>
      <c r="T4240" s="67"/>
      <c r="U4240" s="56"/>
      <c r="V4240" s="56"/>
      <c r="W4240" s="71"/>
      <c r="X4240" s="71"/>
      <c r="AA4240" s="33"/>
      <c r="AB4240" s="33"/>
      <c r="AC4240" s="33"/>
      <c r="AD4240" s="33"/>
      <c r="AE4240" s="33"/>
      <c r="AF4240" s="33"/>
      <c r="AG4240" s="33"/>
      <c r="AH4240" s="33"/>
      <c r="AI4240" s="33"/>
      <c r="AJ4240" s="33"/>
      <c r="AK4240" s="33"/>
      <c r="AL4240" s="33"/>
      <c r="AM4240" s="33"/>
      <c r="AN4240" s="33"/>
      <c r="AO4240" s="33"/>
    </row>
    <row r="4241" ht="15.75" customHeight="1">
      <c r="A4241" s="72"/>
      <c r="B4241" s="61"/>
      <c r="C4241" s="56"/>
      <c r="D4241" s="67"/>
      <c r="E4241" s="56"/>
      <c r="F4241" s="56"/>
      <c r="G4241" s="62"/>
      <c r="H4241" s="65"/>
      <c r="I4241" s="56"/>
      <c r="J4241" s="66"/>
      <c r="K4241" s="67"/>
      <c r="L4241" s="56"/>
      <c r="M4241" s="67"/>
      <c r="N4241" s="56"/>
      <c r="O4241" s="53"/>
      <c r="P4241" s="68"/>
      <c r="Q4241" s="69"/>
      <c r="R4241" s="68"/>
      <c r="S4241" s="70"/>
      <c r="T4241" s="67"/>
      <c r="U4241" s="56"/>
      <c r="V4241" s="56"/>
      <c r="W4241" s="71"/>
      <c r="X4241" s="71"/>
      <c r="AA4241" s="33"/>
      <c r="AB4241" s="33"/>
      <c r="AC4241" s="33"/>
      <c r="AD4241" s="33"/>
      <c r="AE4241" s="33"/>
      <c r="AF4241" s="33"/>
      <c r="AG4241" s="33"/>
      <c r="AH4241" s="33"/>
      <c r="AI4241" s="33"/>
      <c r="AJ4241" s="33"/>
      <c r="AK4241" s="33"/>
      <c r="AL4241" s="33"/>
      <c r="AM4241" s="33"/>
      <c r="AN4241" s="33"/>
      <c r="AO4241" s="33"/>
    </row>
    <row r="4242" ht="15.75" customHeight="1">
      <c r="A4242" s="72"/>
      <c r="B4242" s="61"/>
      <c r="C4242" s="56"/>
      <c r="D4242" s="67"/>
      <c r="E4242" s="56"/>
      <c r="F4242" s="56"/>
      <c r="G4242" s="62"/>
      <c r="H4242" s="65"/>
      <c r="I4242" s="56"/>
      <c r="J4242" s="66"/>
      <c r="K4242" s="67"/>
      <c r="L4242" s="56"/>
      <c r="M4242" s="67"/>
      <c r="N4242" s="56"/>
      <c r="O4242" s="53"/>
      <c r="P4242" s="68"/>
      <c r="Q4242" s="69"/>
      <c r="R4242" s="68"/>
      <c r="S4242" s="70"/>
      <c r="T4242" s="67"/>
      <c r="U4242" s="56"/>
      <c r="V4242" s="56"/>
      <c r="W4242" s="71"/>
      <c r="X4242" s="71"/>
      <c r="AA4242" s="33"/>
      <c r="AB4242" s="33"/>
      <c r="AC4242" s="33"/>
      <c r="AD4242" s="33"/>
      <c r="AE4242" s="33"/>
      <c r="AF4242" s="33"/>
      <c r="AG4242" s="33"/>
      <c r="AH4242" s="33"/>
      <c r="AI4242" s="33"/>
      <c r="AJ4242" s="33"/>
      <c r="AK4242" s="33"/>
      <c r="AL4242" s="33"/>
      <c r="AM4242" s="33"/>
      <c r="AN4242" s="33"/>
      <c r="AO4242" s="33"/>
    </row>
    <row r="4243" ht="15.75" customHeight="1">
      <c r="A4243" s="72"/>
      <c r="B4243" s="61"/>
      <c r="C4243" s="56"/>
      <c r="D4243" s="67"/>
      <c r="E4243" s="56"/>
      <c r="F4243" s="56"/>
      <c r="G4243" s="62"/>
      <c r="H4243" s="65"/>
      <c r="I4243" s="56"/>
      <c r="J4243" s="66"/>
      <c r="K4243" s="67"/>
      <c r="L4243" s="56"/>
      <c r="M4243" s="67"/>
      <c r="N4243" s="56"/>
      <c r="O4243" s="53"/>
      <c r="P4243" s="68"/>
      <c r="Q4243" s="69"/>
      <c r="R4243" s="68"/>
      <c r="S4243" s="70"/>
      <c r="T4243" s="67"/>
      <c r="U4243" s="56"/>
      <c r="V4243" s="56"/>
      <c r="W4243" s="71"/>
      <c r="X4243" s="71"/>
      <c r="AA4243" s="33"/>
      <c r="AB4243" s="33"/>
      <c r="AC4243" s="33"/>
      <c r="AD4243" s="33"/>
      <c r="AE4243" s="33"/>
      <c r="AF4243" s="33"/>
      <c r="AG4243" s="33"/>
      <c r="AH4243" s="33"/>
      <c r="AI4243" s="33"/>
      <c r="AJ4243" s="33"/>
      <c r="AK4243" s="33"/>
      <c r="AL4243" s="33"/>
      <c r="AM4243" s="33"/>
      <c r="AN4243" s="33"/>
      <c r="AO4243" s="33"/>
    </row>
    <row r="4244" ht="15.75" customHeight="1">
      <c r="A4244" s="72"/>
      <c r="B4244" s="61"/>
      <c r="C4244" s="56"/>
      <c r="D4244" s="67"/>
      <c r="E4244" s="56"/>
      <c r="F4244" s="56"/>
      <c r="G4244" s="62"/>
      <c r="H4244" s="65"/>
      <c r="I4244" s="56"/>
      <c r="J4244" s="66"/>
      <c r="K4244" s="67"/>
      <c r="L4244" s="56"/>
      <c r="M4244" s="67"/>
      <c r="N4244" s="56"/>
      <c r="O4244" s="53"/>
      <c r="P4244" s="68"/>
      <c r="Q4244" s="69"/>
      <c r="R4244" s="68"/>
      <c r="S4244" s="70"/>
      <c r="T4244" s="67"/>
      <c r="U4244" s="56"/>
      <c r="V4244" s="56"/>
      <c r="W4244" s="71"/>
      <c r="X4244" s="71"/>
      <c r="AA4244" s="33"/>
      <c r="AB4244" s="33"/>
      <c r="AC4244" s="33"/>
      <c r="AD4244" s="33"/>
      <c r="AE4244" s="33"/>
      <c r="AF4244" s="33"/>
      <c r="AG4244" s="33"/>
      <c r="AH4244" s="33"/>
      <c r="AI4244" s="33"/>
      <c r="AJ4244" s="33"/>
      <c r="AK4244" s="33"/>
      <c r="AL4244" s="33"/>
      <c r="AM4244" s="33"/>
      <c r="AN4244" s="33"/>
      <c r="AO4244" s="33"/>
    </row>
    <row r="4245" ht="15.75" customHeight="1">
      <c r="A4245" s="72"/>
      <c r="B4245" s="61"/>
      <c r="C4245" s="56"/>
      <c r="D4245" s="67"/>
      <c r="E4245" s="56"/>
      <c r="F4245" s="56"/>
      <c r="G4245" s="62"/>
      <c r="H4245" s="65"/>
      <c r="I4245" s="56"/>
      <c r="J4245" s="66"/>
      <c r="K4245" s="67"/>
      <c r="L4245" s="56"/>
      <c r="M4245" s="67"/>
      <c r="N4245" s="56"/>
      <c r="O4245" s="53"/>
      <c r="P4245" s="68"/>
      <c r="Q4245" s="69"/>
      <c r="R4245" s="68"/>
      <c r="S4245" s="70"/>
      <c r="T4245" s="67"/>
      <c r="U4245" s="56"/>
      <c r="V4245" s="56"/>
      <c r="W4245" s="71"/>
      <c r="X4245" s="71"/>
      <c r="AA4245" s="33"/>
      <c r="AB4245" s="33"/>
      <c r="AC4245" s="33"/>
      <c r="AD4245" s="33"/>
      <c r="AE4245" s="33"/>
      <c r="AF4245" s="33"/>
      <c r="AG4245" s="33"/>
      <c r="AH4245" s="33"/>
      <c r="AI4245" s="33"/>
      <c r="AJ4245" s="33"/>
      <c r="AK4245" s="33"/>
      <c r="AL4245" s="33"/>
      <c r="AM4245" s="33"/>
      <c r="AN4245" s="33"/>
      <c r="AO4245" s="33"/>
    </row>
    <row r="4246" ht="15.75" customHeight="1">
      <c r="A4246" s="72"/>
      <c r="B4246" s="61"/>
      <c r="C4246" s="56"/>
      <c r="D4246" s="67"/>
      <c r="E4246" s="56"/>
      <c r="F4246" s="56"/>
      <c r="G4246" s="62"/>
      <c r="H4246" s="65"/>
      <c r="I4246" s="56"/>
      <c r="J4246" s="66"/>
      <c r="K4246" s="67"/>
      <c r="L4246" s="56"/>
      <c r="M4246" s="67"/>
      <c r="N4246" s="56"/>
      <c r="O4246" s="53"/>
      <c r="P4246" s="68"/>
      <c r="Q4246" s="69"/>
      <c r="R4246" s="68"/>
      <c r="S4246" s="70"/>
      <c r="T4246" s="67"/>
      <c r="U4246" s="56"/>
      <c r="V4246" s="56"/>
      <c r="W4246" s="71"/>
      <c r="X4246" s="71"/>
      <c r="AA4246" s="33"/>
      <c r="AB4246" s="33"/>
      <c r="AC4246" s="33"/>
      <c r="AD4246" s="33"/>
      <c r="AE4246" s="33"/>
      <c r="AF4246" s="33"/>
      <c r="AG4246" s="33"/>
      <c r="AH4246" s="33"/>
      <c r="AI4246" s="33"/>
      <c r="AJ4246" s="33"/>
      <c r="AK4246" s="33"/>
      <c r="AL4246" s="33"/>
      <c r="AM4246" s="33"/>
      <c r="AN4246" s="33"/>
      <c r="AO4246" s="33"/>
    </row>
    <row r="4247" ht="15.75" customHeight="1">
      <c r="A4247" s="72"/>
      <c r="B4247" s="61"/>
      <c r="C4247" s="56"/>
      <c r="D4247" s="67"/>
      <c r="E4247" s="56"/>
      <c r="F4247" s="56"/>
      <c r="G4247" s="62"/>
      <c r="H4247" s="65"/>
      <c r="I4247" s="56"/>
      <c r="J4247" s="66"/>
      <c r="K4247" s="67"/>
      <c r="L4247" s="56"/>
      <c r="M4247" s="67"/>
      <c r="N4247" s="56"/>
      <c r="O4247" s="53"/>
      <c r="P4247" s="68"/>
      <c r="Q4247" s="69"/>
      <c r="R4247" s="68"/>
      <c r="S4247" s="70"/>
      <c r="T4247" s="67"/>
      <c r="U4247" s="56"/>
      <c r="V4247" s="56"/>
      <c r="W4247" s="71"/>
      <c r="X4247" s="71"/>
      <c r="AA4247" s="33"/>
      <c r="AB4247" s="33"/>
      <c r="AC4247" s="33"/>
      <c r="AD4247" s="33"/>
      <c r="AE4247" s="33"/>
      <c r="AF4247" s="33"/>
      <c r="AG4247" s="33"/>
      <c r="AH4247" s="33"/>
      <c r="AI4247" s="33"/>
      <c r="AJ4247" s="33"/>
      <c r="AK4247" s="33"/>
      <c r="AL4247" s="33"/>
      <c r="AM4247" s="33"/>
      <c r="AN4247" s="33"/>
      <c r="AO4247" s="33"/>
    </row>
    <row r="4248" ht="15.75" customHeight="1">
      <c r="A4248" s="72"/>
      <c r="B4248" s="61"/>
      <c r="C4248" s="56"/>
      <c r="D4248" s="67"/>
      <c r="E4248" s="56"/>
      <c r="F4248" s="56"/>
      <c r="G4248" s="62"/>
      <c r="H4248" s="65"/>
      <c r="I4248" s="56"/>
      <c r="J4248" s="66"/>
      <c r="K4248" s="67"/>
      <c r="L4248" s="56"/>
      <c r="M4248" s="67"/>
      <c r="N4248" s="56"/>
      <c r="O4248" s="53"/>
      <c r="P4248" s="68"/>
      <c r="Q4248" s="69"/>
      <c r="R4248" s="68"/>
      <c r="S4248" s="70"/>
      <c r="T4248" s="67"/>
      <c r="U4248" s="56"/>
      <c r="V4248" s="56"/>
      <c r="W4248" s="71"/>
      <c r="X4248" s="71"/>
      <c r="AA4248" s="33"/>
      <c r="AB4248" s="33"/>
      <c r="AC4248" s="33"/>
      <c r="AD4248" s="33"/>
      <c r="AE4248" s="33"/>
      <c r="AF4248" s="33"/>
      <c r="AG4248" s="33"/>
      <c r="AH4248" s="33"/>
      <c r="AI4248" s="33"/>
      <c r="AJ4248" s="33"/>
      <c r="AK4248" s="33"/>
      <c r="AL4248" s="33"/>
      <c r="AM4248" s="33"/>
      <c r="AN4248" s="33"/>
      <c r="AO4248" s="33"/>
    </row>
    <row r="4249" ht="15.75" customHeight="1">
      <c r="A4249" s="72"/>
      <c r="B4249" s="61"/>
      <c r="C4249" s="56"/>
      <c r="D4249" s="67"/>
      <c r="E4249" s="56"/>
      <c r="F4249" s="56"/>
      <c r="G4249" s="62"/>
      <c r="H4249" s="65"/>
      <c r="I4249" s="56"/>
      <c r="J4249" s="66"/>
      <c r="K4249" s="67"/>
      <c r="L4249" s="56"/>
      <c r="M4249" s="67"/>
      <c r="N4249" s="56"/>
      <c r="O4249" s="53"/>
      <c r="P4249" s="68"/>
      <c r="Q4249" s="69"/>
      <c r="R4249" s="68"/>
      <c r="S4249" s="70"/>
      <c r="T4249" s="67"/>
      <c r="U4249" s="56"/>
      <c r="V4249" s="56"/>
      <c r="W4249" s="71"/>
      <c r="X4249" s="71"/>
      <c r="AA4249" s="33"/>
      <c r="AB4249" s="33"/>
      <c r="AC4249" s="33"/>
      <c r="AD4249" s="33"/>
      <c r="AE4249" s="33"/>
      <c r="AF4249" s="33"/>
      <c r="AG4249" s="33"/>
      <c r="AH4249" s="33"/>
      <c r="AI4249" s="33"/>
      <c r="AJ4249" s="33"/>
      <c r="AK4249" s="33"/>
      <c r="AL4249" s="33"/>
      <c r="AM4249" s="33"/>
      <c r="AN4249" s="33"/>
      <c r="AO4249" s="33"/>
    </row>
    <row r="4250" ht="15.75" customHeight="1">
      <c r="A4250" s="72"/>
      <c r="B4250" s="61"/>
      <c r="C4250" s="56"/>
      <c r="D4250" s="67"/>
      <c r="E4250" s="56"/>
      <c r="F4250" s="56"/>
      <c r="G4250" s="62"/>
      <c r="H4250" s="65"/>
      <c r="I4250" s="56"/>
      <c r="J4250" s="66"/>
      <c r="K4250" s="67"/>
      <c r="L4250" s="56"/>
      <c r="M4250" s="67"/>
      <c r="N4250" s="56"/>
      <c r="O4250" s="53"/>
      <c r="P4250" s="68"/>
      <c r="Q4250" s="69"/>
      <c r="R4250" s="68"/>
      <c r="S4250" s="70"/>
      <c r="T4250" s="67"/>
      <c r="U4250" s="56"/>
      <c r="V4250" s="56"/>
      <c r="W4250" s="71"/>
      <c r="X4250" s="71"/>
      <c r="AA4250" s="33"/>
      <c r="AB4250" s="33"/>
      <c r="AC4250" s="33"/>
      <c r="AD4250" s="33"/>
      <c r="AE4250" s="33"/>
      <c r="AF4250" s="33"/>
      <c r="AG4250" s="33"/>
      <c r="AH4250" s="33"/>
      <c r="AI4250" s="33"/>
      <c r="AJ4250" s="33"/>
      <c r="AK4250" s="33"/>
      <c r="AL4250" s="33"/>
      <c r="AM4250" s="33"/>
      <c r="AN4250" s="33"/>
      <c r="AO4250" s="33"/>
    </row>
    <row r="4251" ht="15.75" customHeight="1">
      <c r="A4251" s="72"/>
      <c r="B4251" s="61"/>
      <c r="C4251" s="56"/>
      <c r="D4251" s="67"/>
      <c r="E4251" s="56"/>
      <c r="F4251" s="56"/>
      <c r="G4251" s="62"/>
      <c r="H4251" s="65"/>
      <c r="I4251" s="56"/>
      <c r="J4251" s="66"/>
      <c r="K4251" s="67"/>
      <c r="L4251" s="56"/>
      <c r="M4251" s="67"/>
      <c r="N4251" s="56"/>
      <c r="O4251" s="53"/>
      <c r="P4251" s="68"/>
      <c r="Q4251" s="69"/>
      <c r="R4251" s="68"/>
      <c r="S4251" s="70"/>
      <c r="T4251" s="67"/>
      <c r="U4251" s="56"/>
      <c r="V4251" s="56"/>
      <c r="W4251" s="71"/>
      <c r="X4251" s="71"/>
      <c r="AA4251" s="33"/>
      <c r="AB4251" s="33"/>
      <c r="AC4251" s="33"/>
      <c r="AD4251" s="33"/>
      <c r="AE4251" s="33"/>
      <c r="AF4251" s="33"/>
      <c r="AG4251" s="33"/>
      <c r="AH4251" s="33"/>
      <c r="AI4251" s="33"/>
      <c r="AJ4251" s="33"/>
      <c r="AK4251" s="33"/>
      <c r="AL4251" s="33"/>
      <c r="AM4251" s="33"/>
      <c r="AN4251" s="33"/>
      <c r="AO4251" s="33"/>
    </row>
    <row r="4252" ht="15.75" customHeight="1">
      <c r="A4252" s="72"/>
      <c r="B4252" s="61"/>
      <c r="C4252" s="56"/>
      <c r="D4252" s="67"/>
      <c r="E4252" s="56"/>
      <c r="F4252" s="56"/>
      <c r="G4252" s="62"/>
      <c r="H4252" s="65"/>
      <c r="I4252" s="56"/>
      <c r="J4252" s="66"/>
      <c r="K4252" s="67"/>
      <c r="L4252" s="56"/>
      <c r="M4252" s="67"/>
      <c r="N4252" s="56"/>
      <c r="O4252" s="53"/>
      <c r="P4252" s="68"/>
      <c r="Q4252" s="69"/>
      <c r="R4252" s="68"/>
      <c r="S4252" s="70"/>
      <c r="T4252" s="67"/>
      <c r="U4252" s="56"/>
      <c r="V4252" s="56"/>
      <c r="W4252" s="71"/>
      <c r="X4252" s="71"/>
      <c r="AA4252" s="33"/>
      <c r="AB4252" s="33"/>
      <c r="AC4252" s="33"/>
      <c r="AD4252" s="33"/>
      <c r="AE4252" s="33"/>
      <c r="AF4252" s="33"/>
      <c r="AG4252" s="33"/>
      <c r="AH4252" s="33"/>
      <c r="AI4252" s="33"/>
      <c r="AJ4252" s="33"/>
      <c r="AK4252" s="33"/>
      <c r="AL4252" s="33"/>
      <c r="AM4252" s="33"/>
      <c r="AN4252" s="33"/>
      <c r="AO4252" s="33"/>
    </row>
    <row r="4253" ht="15.75" customHeight="1">
      <c r="A4253" s="72"/>
      <c r="B4253" s="61"/>
      <c r="C4253" s="56"/>
      <c r="D4253" s="67"/>
      <c r="E4253" s="56"/>
      <c r="F4253" s="56"/>
      <c r="G4253" s="62"/>
      <c r="H4253" s="65"/>
      <c r="I4253" s="56"/>
      <c r="J4253" s="66"/>
      <c r="K4253" s="67"/>
      <c r="L4253" s="56"/>
      <c r="M4253" s="67"/>
      <c r="N4253" s="56"/>
      <c r="O4253" s="53"/>
      <c r="P4253" s="68"/>
      <c r="Q4253" s="69"/>
      <c r="R4253" s="68"/>
      <c r="S4253" s="70"/>
      <c r="T4253" s="67"/>
      <c r="U4253" s="56"/>
      <c r="V4253" s="56"/>
      <c r="W4253" s="71"/>
      <c r="X4253" s="71"/>
      <c r="AA4253" s="33"/>
      <c r="AB4253" s="33"/>
      <c r="AC4253" s="33"/>
      <c r="AD4253" s="33"/>
      <c r="AE4253" s="33"/>
      <c r="AF4253" s="33"/>
      <c r="AG4253" s="33"/>
      <c r="AH4253" s="33"/>
      <c r="AI4253" s="33"/>
      <c r="AJ4253" s="33"/>
      <c r="AK4253" s="33"/>
      <c r="AL4253" s="33"/>
      <c r="AM4253" s="33"/>
      <c r="AN4253" s="33"/>
      <c r="AO4253" s="33"/>
    </row>
    <row r="4254" ht="15.75" customHeight="1">
      <c r="A4254" s="72"/>
      <c r="B4254" s="61"/>
      <c r="C4254" s="56"/>
      <c r="D4254" s="67"/>
      <c r="E4254" s="56"/>
      <c r="F4254" s="56"/>
      <c r="G4254" s="62"/>
      <c r="H4254" s="65"/>
      <c r="I4254" s="56"/>
      <c r="J4254" s="66"/>
      <c r="K4254" s="67"/>
      <c r="L4254" s="56"/>
      <c r="M4254" s="67"/>
      <c r="N4254" s="56"/>
      <c r="O4254" s="53"/>
      <c r="P4254" s="68"/>
      <c r="Q4254" s="69"/>
      <c r="R4254" s="68"/>
      <c r="S4254" s="70"/>
      <c r="T4254" s="67"/>
      <c r="U4254" s="56"/>
      <c r="V4254" s="56"/>
      <c r="W4254" s="71"/>
      <c r="X4254" s="71"/>
      <c r="AA4254" s="33"/>
      <c r="AB4254" s="33"/>
      <c r="AC4254" s="33"/>
      <c r="AD4254" s="33"/>
      <c r="AE4254" s="33"/>
      <c r="AF4254" s="33"/>
      <c r="AG4254" s="33"/>
      <c r="AH4254" s="33"/>
      <c r="AI4254" s="33"/>
      <c r="AJ4254" s="33"/>
      <c r="AK4254" s="33"/>
      <c r="AL4254" s="33"/>
      <c r="AM4254" s="33"/>
      <c r="AN4254" s="33"/>
      <c r="AO4254" s="33"/>
    </row>
    <row r="4255" ht="15.75" customHeight="1">
      <c r="A4255" s="72"/>
      <c r="B4255" s="61"/>
      <c r="C4255" s="56"/>
      <c r="D4255" s="67"/>
      <c r="E4255" s="56"/>
      <c r="F4255" s="56"/>
      <c r="G4255" s="62"/>
      <c r="H4255" s="65"/>
      <c r="I4255" s="56"/>
      <c r="J4255" s="66"/>
      <c r="K4255" s="67"/>
      <c r="L4255" s="56"/>
      <c r="M4255" s="67"/>
      <c r="N4255" s="56"/>
      <c r="O4255" s="53"/>
      <c r="P4255" s="68"/>
      <c r="Q4255" s="69"/>
      <c r="R4255" s="68"/>
      <c r="S4255" s="70"/>
      <c r="T4255" s="67"/>
      <c r="U4255" s="56"/>
      <c r="V4255" s="56"/>
      <c r="W4255" s="71"/>
      <c r="X4255" s="71"/>
      <c r="AA4255" s="33"/>
      <c r="AB4255" s="33"/>
      <c r="AC4255" s="33"/>
      <c r="AD4255" s="33"/>
      <c r="AE4255" s="33"/>
      <c r="AF4255" s="33"/>
      <c r="AG4255" s="33"/>
      <c r="AH4255" s="33"/>
      <c r="AI4255" s="33"/>
      <c r="AJ4255" s="33"/>
      <c r="AK4255" s="33"/>
      <c r="AL4255" s="33"/>
      <c r="AM4255" s="33"/>
      <c r="AN4255" s="33"/>
      <c r="AO4255" s="33"/>
    </row>
    <row r="4256" ht="15.75" customHeight="1">
      <c r="A4256" s="72"/>
      <c r="B4256" s="61"/>
      <c r="C4256" s="56"/>
      <c r="D4256" s="67"/>
      <c r="E4256" s="56"/>
      <c r="F4256" s="56"/>
      <c r="G4256" s="62"/>
      <c r="H4256" s="65"/>
      <c r="I4256" s="56"/>
      <c r="J4256" s="66"/>
      <c r="K4256" s="67"/>
      <c r="L4256" s="56"/>
      <c r="M4256" s="67"/>
      <c r="N4256" s="56"/>
      <c r="O4256" s="53"/>
      <c r="P4256" s="68"/>
      <c r="Q4256" s="69"/>
      <c r="R4256" s="68"/>
      <c r="S4256" s="70"/>
      <c r="T4256" s="67"/>
      <c r="U4256" s="56"/>
      <c r="V4256" s="56"/>
      <c r="W4256" s="71"/>
      <c r="X4256" s="71"/>
      <c r="AA4256" s="33"/>
      <c r="AB4256" s="33"/>
      <c r="AC4256" s="33"/>
      <c r="AD4256" s="33"/>
      <c r="AE4256" s="33"/>
      <c r="AF4256" s="33"/>
      <c r="AG4256" s="33"/>
      <c r="AH4256" s="33"/>
      <c r="AI4256" s="33"/>
      <c r="AJ4256" s="33"/>
      <c r="AK4256" s="33"/>
      <c r="AL4256" s="33"/>
      <c r="AM4256" s="33"/>
      <c r="AN4256" s="33"/>
      <c r="AO4256" s="33"/>
    </row>
    <row r="4257" ht="15.75" customHeight="1">
      <c r="A4257" s="72"/>
      <c r="B4257" s="61"/>
      <c r="C4257" s="56"/>
      <c r="D4257" s="67"/>
      <c r="E4257" s="56"/>
      <c r="F4257" s="56"/>
      <c r="G4257" s="62"/>
      <c r="H4257" s="65"/>
      <c r="I4257" s="56"/>
      <c r="J4257" s="66"/>
      <c r="K4257" s="67"/>
      <c r="L4257" s="56"/>
      <c r="M4257" s="67"/>
      <c r="N4257" s="56"/>
      <c r="O4257" s="53"/>
      <c r="P4257" s="68"/>
      <c r="Q4257" s="69"/>
      <c r="R4257" s="68"/>
      <c r="S4257" s="70"/>
      <c r="T4257" s="67"/>
      <c r="U4257" s="56"/>
      <c r="V4257" s="56"/>
      <c r="W4257" s="71"/>
      <c r="X4257" s="71"/>
      <c r="AA4257" s="33"/>
      <c r="AB4257" s="33"/>
      <c r="AC4257" s="33"/>
      <c r="AD4257" s="33"/>
      <c r="AE4257" s="33"/>
      <c r="AF4257" s="33"/>
      <c r="AG4257" s="33"/>
      <c r="AH4257" s="33"/>
      <c r="AI4257" s="33"/>
      <c r="AJ4257" s="33"/>
      <c r="AK4257" s="33"/>
      <c r="AL4257" s="33"/>
      <c r="AM4257" s="33"/>
      <c r="AN4257" s="33"/>
      <c r="AO4257" s="33"/>
    </row>
    <row r="4258" ht="15.75" customHeight="1">
      <c r="A4258" s="72"/>
      <c r="B4258" s="61"/>
      <c r="C4258" s="56"/>
      <c r="D4258" s="67"/>
      <c r="E4258" s="56"/>
      <c r="F4258" s="56"/>
      <c r="G4258" s="62"/>
      <c r="H4258" s="65"/>
      <c r="I4258" s="56"/>
      <c r="J4258" s="66"/>
      <c r="K4258" s="67"/>
      <c r="L4258" s="56"/>
      <c r="M4258" s="67"/>
      <c r="N4258" s="56"/>
      <c r="O4258" s="53"/>
      <c r="P4258" s="68"/>
      <c r="Q4258" s="69"/>
      <c r="R4258" s="68"/>
      <c r="S4258" s="70"/>
      <c r="T4258" s="67"/>
      <c r="U4258" s="56"/>
      <c r="V4258" s="56"/>
      <c r="W4258" s="71"/>
      <c r="X4258" s="71"/>
      <c r="AA4258" s="33"/>
      <c r="AB4258" s="33"/>
      <c r="AC4258" s="33"/>
      <c r="AD4258" s="33"/>
      <c r="AE4258" s="33"/>
      <c r="AF4258" s="33"/>
      <c r="AG4258" s="33"/>
      <c r="AH4258" s="33"/>
      <c r="AI4258" s="33"/>
      <c r="AJ4258" s="33"/>
      <c r="AK4258" s="33"/>
      <c r="AL4258" s="33"/>
      <c r="AM4258" s="33"/>
      <c r="AN4258" s="33"/>
      <c r="AO4258" s="33"/>
    </row>
    <row r="4259" ht="15.75" customHeight="1">
      <c r="A4259" s="72"/>
      <c r="B4259" s="61"/>
      <c r="C4259" s="56"/>
      <c r="D4259" s="67"/>
      <c r="E4259" s="56"/>
      <c r="F4259" s="56"/>
      <c r="G4259" s="62"/>
      <c r="H4259" s="65"/>
      <c r="I4259" s="56"/>
      <c r="J4259" s="66"/>
      <c r="K4259" s="67"/>
      <c r="L4259" s="56"/>
      <c r="M4259" s="67"/>
      <c r="N4259" s="56"/>
      <c r="O4259" s="53"/>
      <c r="P4259" s="68"/>
      <c r="Q4259" s="69"/>
      <c r="R4259" s="68"/>
      <c r="S4259" s="70"/>
      <c r="T4259" s="67"/>
      <c r="U4259" s="56"/>
      <c r="V4259" s="56"/>
      <c r="W4259" s="71"/>
      <c r="X4259" s="71"/>
      <c r="AA4259" s="33"/>
      <c r="AB4259" s="33"/>
      <c r="AC4259" s="33"/>
      <c r="AD4259" s="33"/>
      <c r="AE4259" s="33"/>
      <c r="AF4259" s="33"/>
      <c r="AG4259" s="33"/>
      <c r="AH4259" s="33"/>
      <c r="AI4259" s="33"/>
      <c r="AJ4259" s="33"/>
      <c r="AK4259" s="33"/>
      <c r="AL4259" s="33"/>
      <c r="AM4259" s="33"/>
      <c r="AN4259" s="33"/>
      <c r="AO4259" s="33"/>
    </row>
    <row r="4260" ht="15.75" customHeight="1">
      <c r="A4260" s="72"/>
      <c r="B4260" s="61"/>
      <c r="C4260" s="56"/>
      <c r="D4260" s="67"/>
      <c r="E4260" s="56"/>
      <c r="F4260" s="56"/>
      <c r="G4260" s="62"/>
      <c r="H4260" s="65"/>
      <c r="I4260" s="56"/>
      <c r="J4260" s="66"/>
      <c r="K4260" s="67"/>
      <c r="L4260" s="56"/>
      <c r="M4260" s="67"/>
      <c r="N4260" s="56"/>
      <c r="O4260" s="53"/>
      <c r="P4260" s="68"/>
      <c r="Q4260" s="69"/>
      <c r="R4260" s="68"/>
      <c r="S4260" s="70"/>
      <c r="T4260" s="67"/>
      <c r="U4260" s="56"/>
      <c r="V4260" s="56"/>
      <c r="W4260" s="71"/>
      <c r="X4260" s="71"/>
      <c r="AA4260" s="33"/>
      <c r="AB4260" s="33"/>
      <c r="AC4260" s="33"/>
      <c r="AD4260" s="33"/>
      <c r="AE4260" s="33"/>
      <c r="AF4260" s="33"/>
      <c r="AG4260" s="33"/>
      <c r="AH4260" s="33"/>
      <c r="AI4260" s="33"/>
      <c r="AJ4260" s="33"/>
      <c r="AK4260" s="33"/>
      <c r="AL4260" s="33"/>
      <c r="AM4260" s="33"/>
      <c r="AN4260" s="33"/>
      <c r="AO4260" s="33"/>
    </row>
    <row r="4261" ht="15.75" customHeight="1">
      <c r="A4261" s="72"/>
      <c r="B4261" s="61"/>
      <c r="C4261" s="56"/>
      <c r="D4261" s="67"/>
      <c r="E4261" s="56"/>
      <c r="F4261" s="56"/>
      <c r="G4261" s="62"/>
      <c r="H4261" s="65"/>
      <c r="I4261" s="56"/>
      <c r="J4261" s="66"/>
      <c r="K4261" s="67"/>
      <c r="L4261" s="56"/>
      <c r="M4261" s="67"/>
      <c r="N4261" s="56"/>
      <c r="O4261" s="53"/>
      <c r="P4261" s="68"/>
      <c r="Q4261" s="69"/>
      <c r="R4261" s="68"/>
      <c r="S4261" s="70"/>
      <c r="T4261" s="67"/>
      <c r="U4261" s="56"/>
      <c r="V4261" s="56"/>
      <c r="W4261" s="71"/>
      <c r="X4261" s="71"/>
      <c r="AA4261" s="33"/>
      <c r="AB4261" s="33"/>
      <c r="AC4261" s="33"/>
      <c r="AD4261" s="33"/>
      <c r="AE4261" s="33"/>
      <c r="AF4261" s="33"/>
      <c r="AG4261" s="33"/>
      <c r="AH4261" s="33"/>
      <c r="AI4261" s="33"/>
      <c r="AJ4261" s="33"/>
      <c r="AK4261" s="33"/>
      <c r="AL4261" s="33"/>
      <c r="AM4261" s="33"/>
      <c r="AN4261" s="33"/>
      <c r="AO4261" s="33"/>
    </row>
    <row r="4262" ht="15.75" customHeight="1">
      <c r="A4262" s="72"/>
      <c r="B4262" s="61"/>
      <c r="C4262" s="56"/>
      <c r="D4262" s="67"/>
      <c r="E4262" s="56"/>
      <c r="F4262" s="56"/>
      <c r="G4262" s="62"/>
      <c r="H4262" s="65"/>
      <c r="I4262" s="56"/>
      <c r="J4262" s="66"/>
      <c r="K4262" s="67"/>
      <c r="L4262" s="56"/>
      <c r="M4262" s="67"/>
      <c r="N4262" s="56"/>
      <c r="O4262" s="53"/>
      <c r="P4262" s="68"/>
      <c r="Q4262" s="69"/>
      <c r="R4262" s="68"/>
      <c r="S4262" s="70"/>
      <c r="T4262" s="67"/>
      <c r="U4262" s="56"/>
      <c r="V4262" s="56"/>
      <c r="W4262" s="71"/>
      <c r="X4262" s="71"/>
      <c r="AA4262" s="33"/>
      <c r="AB4262" s="33"/>
      <c r="AC4262" s="33"/>
      <c r="AD4262" s="33"/>
      <c r="AE4262" s="33"/>
      <c r="AF4262" s="33"/>
      <c r="AG4262" s="33"/>
      <c r="AH4262" s="33"/>
      <c r="AI4262" s="33"/>
      <c r="AJ4262" s="33"/>
      <c r="AK4262" s="33"/>
      <c r="AL4262" s="33"/>
      <c r="AM4262" s="33"/>
      <c r="AN4262" s="33"/>
      <c r="AO4262" s="33"/>
    </row>
    <row r="4263" ht="15.75" customHeight="1">
      <c r="A4263" s="72"/>
      <c r="B4263" s="61"/>
      <c r="C4263" s="56"/>
      <c r="D4263" s="67"/>
      <c r="E4263" s="56"/>
      <c r="F4263" s="56"/>
      <c r="G4263" s="62"/>
      <c r="H4263" s="65"/>
      <c r="I4263" s="56"/>
      <c r="J4263" s="66"/>
      <c r="K4263" s="67"/>
      <c r="L4263" s="56"/>
      <c r="M4263" s="67"/>
      <c r="N4263" s="56"/>
      <c r="O4263" s="53"/>
      <c r="P4263" s="68"/>
      <c r="Q4263" s="69"/>
      <c r="R4263" s="68"/>
      <c r="S4263" s="70"/>
      <c r="T4263" s="67"/>
      <c r="U4263" s="56"/>
      <c r="V4263" s="56"/>
      <c r="W4263" s="71"/>
      <c r="X4263" s="71"/>
      <c r="AA4263" s="33"/>
      <c r="AB4263" s="33"/>
      <c r="AC4263" s="33"/>
      <c r="AD4263" s="33"/>
      <c r="AE4263" s="33"/>
      <c r="AF4263" s="33"/>
      <c r="AG4263" s="33"/>
      <c r="AH4263" s="33"/>
      <c r="AI4263" s="33"/>
      <c r="AJ4263" s="33"/>
      <c r="AK4263" s="33"/>
      <c r="AL4263" s="33"/>
      <c r="AM4263" s="33"/>
      <c r="AN4263" s="33"/>
      <c r="AO4263" s="33"/>
    </row>
    <row r="4264" ht="15.75" customHeight="1">
      <c r="A4264" s="72"/>
      <c r="B4264" s="61"/>
      <c r="C4264" s="56"/>
      <c r="D4264" s="67"/>
      <c r="E4264" s="56"/>
      <c r="F4264" s="56"/>
      <c r="G4264" s="62"/>
      <c r="H4264" s="65"/>
      <c r="I4264" s="56"/>
      <c r="J4264" s="66"/>
      <c r="K4264" s="67"/>
      <c r="L4264" s="56"/>
      <c r="M4264" s="67"/>
      <c r="N4264" s="56"/>
      <c r="O4264" s="53"/>
      <c r="P4264" s="68"/>
      <c r="Q4264" s="69"/>
      <c r="R4264" s="68"/>
      <c r="S4264" s="70"/>
      <c r="T4264" s="67"/>
      <c r="U4264" s="56"/>
      <c r="V4264" s="56"/>
      <c r="W4264" s="71"/>
      <c r="X4264" s="71"/>
      <c r="AA4264" s="33"/>
      <c r="AB4264" s="33"/>
      <c r="AC4264" s="33"/>
      <c r="AD4264" s="33"/>
      <c r="AE4264" s="33"/>
      <c r="AF4264" s="33"/>
      <c r="AG4264" s="33"/>
      <c r="AH4264" s="33"/>
      <c r="AI4264" s="33"/>
      <c r="AJ4264" s="33"/>
      <c r="AK4264" s="33"/>
      <c r="AL4264" s="33"/>
      <c r="AM4264" s="33"/>
      <c r="AN4264" s="33"/>
      <c r="AO4264" s="33"/>
    </row>
    <row r="4265" ht="15.75" customHeight="1">
      <c r="A4265" s="72"/>
      <c r="B4265" s="61"/>
      <c r="C4265" s="56"/>
      <c r="D4265" s="67"/>
      <c r="E4265" s="56"/>
      <c r="F4265" s="56"/>
      <c r="G4265" s="62"/>
      <c r="H4265" s="65"/>
      <c r="I4265" s="56"/>
      <c r="J4265" s="66"/>
      <c r="K4265" s="67"/>
      <c r="L4265" s="56"/>
      <c r="M4265" s="67"/>
      <c r="N4265" s="56"/>
      <c r="O4265" s="53"/>
      <c r="P4265" s="68"/>
      <c r="Q4265" s="69"/>
      <c r="R4265" s="68"/>
      <c r="S4265" s="70"/>
      <c r="T4265" s="67"/>
      <c r="U4265" s="56"/>
      <c r="V4265" s="56"/>
      <c r="W4265" s="71"/>
      <c r="X4265" s="71"/>
      <c r="AA4265" s="33"/>
      <c r="AB4265" s="33"/>
      <c r="AC4265" s="33"/>
      <c r="AD4265" s="33"/>
      <c r="AE4265" s="33"/>
      <c r="AF4265" s="33"/>
      <c r="AG4265" s="33"/>
      <c r="AH4265" s="33"/>
      <c r="AI4265" s="33"/>
      <c r="AJ4265" s="33"/>
      <c r="AK4265" s="33"/>
      <c r="AL4265" s="33"/>
      <c r="AM4265" s="33"/>
      <c r="AN4265" s="33"/>
      <c r="AO4265" s="33"/>
    </row>
    <row r="4266" ht="15.75" customHeight="1">
      <c r="A4266" s="72"/>
      <c r="B4266" s="61"/>
      <c r="C4266" s="56"/>
      <c r="D4266" s="67"/>
      <c r="E4266" s="56"/>
      <c r="F4266" s="56"/>
      <c r="G4266" s="62"/>
      <c r="H4266" s="65"/>
      <c r="I4266" s="56"/>
      <c r="J4266" s="66"/>
      <c r="K4266" s="67"/>
      <c r="L4266" s="56"/>
      <c r="M4266" s="67"/>
      <c r="N4266" s="56"/>
      <c r="O4266" s="53"/>
      <c r="P4266" s="68"/>
      <c r="Q4266" s="69"/>
      <c r="R4266" s="68"/>
      <c r="S4266" s="70"/>
      <c r="T4266" s="67"/>
      <c r="U4266" s="56"/>
      <c r="V4266" s="56"/>
      <c r="W4266" s="71"/>
      <c r="X4266" s="71"/>
      <c r="AA4266" s="33"/>
      <c r="AB4266" s="33"/>
      <c r="AC4266" s="33"/>
      <c r="AD4266" s="33"/>
      <c r="AE4266" s="33"/>
      <c r="AF4266" s="33"/>
      <c r="AG4266" s="33"/>
      <c r="AH4266" s="33"/>
      <c r="AI4266" s="33"/>
      <c r="AJ4266" s="33"/>
      <c r="AK4266" s="33"/>
      <c r="AL4266" s="33"/>
      <c r="AM4266" s="33"/>
      <c r="AN4266" s="33"/>
      <c r="AO4266" s="33"/>
    </row>
    <row r="4267" ht="15.75" customHeight="1">
      <c r="A4267" s="72"/>
      <c r="B4267" s="61"/>
      <c r="C4267" s="56"/>
      <c r="D4267" s="67"/>
      <c r="E4267" s="56"/>
      <c r="F4267" s="56"/>
      <c r="G4267" s="62"/>
      <c r="H4267" s="65"/>
      <c r="I4267" s="56"/>
      <c r="J4267" s="66"/>
      <c r="K4267" s="67"/>
      <c r="L4267" s="56"/>
      <c r="M4267" s="67"/>
      <c r="N4267" s="56"/>
      <c r="O4267" s="53"/>
      <c r="P4267" s="68"/>
      <c r="Q4267" s="69"/>
      <c r="R4267" s="68"/>
      <c r="S4267" s="70"/>
      <c r="T4267" s="67"/>
      <c r="U4267" s="56"/>
      <c r="V4267" s="56"/>
      <c r="W4267" s="71"/>
      <c r="X4267" s="71"/>
      <c r="AA4267" s="33"/>
      <c r="AB4267" s="33"/>
      <c r="AC4267" s="33"/>
      <c r="AD4267" s="33"/>
      <c r="AE4267" s="33"/>
      <c r="AF4267" s="33"/>
      <c r="AG4267" s="33"/>
      <c r="AH4267" s="33"/>
      <c r="AI4267" s="33"/>
      <c r="AJ4267" s="33"/>
      <c r="AK4267" s="33"/>
      <c r="AL4267" s="33"/>
      <c r="AM4267" s="33"/>
      <c r="AN4267" s="33"/>
      <c r="AO4267" s="33"/>
    </row>
    <row r="4268" ht="15.75" customHeight="1">
      <c r="A4268" s="72"/>
      <c r="B4268" s="61"/>
      <c r="C4268" s="56"/>
      <c r="D4268" s="67"/>
      <c r="E4268" s="56"/>
      <c r="F4268" s="56"/>
      <c r="G4268" s="62"/>
      <c r="H4268" s="65"/>
      <c r="I4268" s="56"/>
      <c r="J4268" s="66"/>
      <c r="K4268" s="67"/>
      <c r="L4268" s="56"/>
      <c r="M4268" s="67"/>
      <c r="N4268" s="56"/>
      <c r="O4268" s="53"/>
      <c r="P4268" s="68"/>
      <c r="Q4268" s="69"/>
      <c r="R4268" s="68"/>
      <c r="S4268" s="70"/>
      <c r="T4268" s="67"/>
      <c r="U4268" s="56"/>
      <c r="V4268" s="56"/>
      <c r="W4268" s="71"/>
      <c r="X4268" s="71"/>
      <c r="AA4268" s="33"/>
      <c r="AB4268" s="33"/>
      <c r="AC4268" s="33"/>
      <c r="AD4268" s="33"/>
      <c r="AE4268" s="33"/>
      <c r="AF4268" s="33"/>
      <c r="AG4268" s="33"/>
      <c r="AH4268" s="33"/>
      <c r="AI4268" s="33"/>
      <c r="AJ4268" s="33"/>
      <c r="AK4268" s="33"/>
      <c r="AL4268" s="33"/>
      <c r="AM4268" s="33"/>
      <c r="AN4268" s="33"/>
      <c r="AO4268" s="33"/>
    </row>
    <row r="4269" ht="15.75" customHeight="1">
      <c r="A4269" s="72"/>
      <c r="B4269" s="61"/>
      <c r="C4269" s="56"/>
      <c r="D4269" s="67"/>
      <c r="E4269" s="56"/>
      <c r="F4269" s="56"/>
      <c r="G4269" s="62"/>
      <c r="H4269" s="65"/>
      <c r="I4269" s="56"/>
      <c r="J4269" s="66"/>
      <c r="K4269" s="67"/>
      <c r="L4269" s="56"/>
      <c r="M4269" s="67"/>
      <c r="N4269" s="56"/>
      <c r="O4269" s="53"/>
      <c r="P4269" s="68"/>
      <c r="Q4269" s="69"/>
      <c r="R4269" s="68"/>
      <c r="S4269" s="70"/>
      <c r="T4269" s="67"/>
      <c r="U4269" s="56"/>
      <c r="V4269" s="56"/>
      <c r="W4269" s="71"/>
      <c r="X4269" s="71"/>
      <c r="AA4269" s="33"/>
      <c r="AB4269" s="33"/>
      <c r="AC4269" s="33"/>
      <c r="AD4269" s="33"/>
      <c r="AE4269" s="33"/>
      <c r="AF4269" s="33"/>
      <c r="AG4269" s="33"/>
      <c r="AH4269" s="33"/>
      <c r="AI4269" s="33"/>
      <c r="AJ4269" s="33"/>
      <c r="AK4269" s="33"/>
      <c r="AL4269" s="33"/>
      <c r="AM4269" s="33"/>
      <c r="AN4269" s="33"/>
      <c r="AO4269" s="33"/>
    </row>
    <row r="4270" ht="15.75" customHeight="1">
      <c r="A4270" s="72"/>
      <c r="B4270" s="61"/>
      <c r="C4270" s="56"/>
      <c r="D4270" s="67"/>
      <c r="E4270" s="56"/>
      <c r="F4270" s="56"/>
      <c r="G4270" s="62"/>
      <c r="H4270" s="65"/>
      <c r="I4270" s="56"/>
      <c r="J4270" s="66"/>
      <c r="K4270" s="67"/>
      <c r="L4270" s="56"/>
      <c r="M4270" s="67"/>
      <c r="N4270" s="56"/>
      <c r="O4270" s="53"/>
      <c r="P4270" s="68"/>
      <c r="Q4270" s="69"/>
      <c r="R4270" s="68"/>
      <c r="S4270" s="70"/>
      <c r="T4270" s="67"/>
      <c r="U4270" s="56"/>
      <c r="V4270" s="56"/>
      <c r="W4270" s="71"/>
      <c r="X4270" s="71"/>
      <c r="AA4270" s="33"/>
      <c r="AB4270" s="33"/>
      <c r="AC4270" s="33"/>
      <c r="AD4270" s="33"/>
      <c r="AE4270" s="33"/>
      <c r="AF4270" s="33"/>
      <c r="AG4270" s="33"/>
      <c r="AH4270" s="33"/>
      <c r="AI4270" s="33"/>
      <c r="AJ4270" s="33"/>
      <c r="AK4270" s="33"/>
      <c r="AL4270" s="33"/>
      <c r="AM4270" s="33"/>
      <c r="AN4270" s="33"/>
      <c r="AO4270" s="33"/>
    </row>
    <row r="4271" ht="15.75" customHeight="1">
      <c r="A4271" s="72"/>
      <c r="B4271" s="61"/>
      <c r="C4271" s="56"/>
      <c r="D4271" s="67"/>
      <c r="E4271" s="56"/>
      <c r="F4271" s="56"/>
      <c r="G4271" s="62"/>
      <c r="H4271" s="65"/>
      <c r="I4271" s="56"/>
      <c r="J4271" s="66"/>
      <c r="K4271" s="67"/>
      <c r="L4271" s="56"/>
      <c r="M4271" s="67"/>
      <c r="N4271" s="56"/>
      <c r="O4271" s="53"/>
      <c r="P4271" s="68"/>
      <c r="Q4271" s="69"/>
      <c r="R4271" s="68"/>
      <c r="S4271" s="70"/>
      <c r="T4271" s="67"/>
      <c r="U4271" s="56"/>
      <c r="V4271" s="56"/>
      <c r="W4271" s="71"/>
      <c r="X4271" s="71"/>
      <c r="AA4271" s="33"/>
      <c r="AB4271" s="33"/>
      <c r="AC4271" s="33"/>
      <c r="AD4271" s="33"/>
      <c r="AE4271" s="33"/>
      <c r="AF4271" s="33"/>
      <c r="AG4271" s="33"/>
      <c r="AH4271" s="33"/>
      <c r="AI4271" s="33"/>
      <c r="AJ4271" s="33"/>
      <c r="AK4271" s="33"/>
      <c r="AL4271" s="33"/>
      <c r="AM4271" s="33"/>
      <c r="AN4271" s="33"/>
      <c r="AO4271" s="33"/>
    </row>
    <row r="4272" ht="15.75" customHeight="1">
      <c r="A4272" s="72"/>
      <c r="B4272" s="61"/>
      <c r="C4272" s="56"/>
      <c r="D4272" s="67"/>
      <c r="E4272" s="56"/>
      <c r="F4272" s="56"/>
      <c r="G4272" s="62"/>
      <c r="H4272" s="65"/>
      <c r="I4272" s="56"/>
      <c r="J4272" s="66"/>
      <c r="K4272" s="67"/>
      <c r="L4272" s="56"/>
      <c r="M4272" s="67"/>
      <c r="N4272" s="56"/>
      <c r="O4272" s="53"/>
      <c r="P4272" s="68"/>
      <c r="Q4272" s="69"/>
      <c r="R4272" s="68"/>
      <c r="S4272" s="70"/>
      <c r="T4272" s="67"/>
      <c r="U4272" s="56"/>
      <c r="V4272" s="56"/>
      <c r="W4272" s="71"/>
      <c r="X4272" s="71"/>
      <c r="AA4272" s="33"/>
      <c r="AB4272" s="33"/>
      <c r="AC4272" s="33"/>
      <c r="AD4272" s="33"/>
      <c r="AE4272" s="33"/>
      <c r="AF4272" s="33"/>
      <c r="AG4272" s="33"/>
      <c r="AH4272" s="33"/>
      <c r="AI4272" s="33"/>
      <c r="AJ4272" s="33"/>
      <c r="AK4272" s="33"/>
      <c r="AL4272" s="33"/>
      <c r="AM4272" s="33"/>
      <c r="AN4272" s="33"/>
      <c r="AO4272" s="33"/>
    </row>
    <row r="4273" ht="15.75" customHeight="1">
      <c r="A4273" s="72"/>
      <c r="B4273" s="61"/>
      <c r="C4273" s="56"/>
      <c r="D4273" s="67"/>
      <c r="E4273" s="56"/>
      <c r="F4273" s="56"/>
      <c r="G4273" s="62"/>
      <c r="H4273" s="65"/>
      <c r="I4273" s="56"/>
      <c r="J4273" s="66"/>
      <c r="K4273" s="67"/>
      <c r="L4273" s="56"/>
      <c r="M4273" s="67"/>
      <c r="N4273" s="56"/>
      <c r="O4273" s="53"/>
      <c r="P4273" s="68"/>
      <c r="Q4273" s="69"/>
      <c r="R4273" s="68"/>
      <c r="S4273" s="70"/>
      <c r="T4273" s="67"/>
      <c r="U4273" s="56"/>
      <c r="V4273" s="56"/>
      <c r="W4273" s="71"/>
      <c r="X4273" s="71"/>
      <c r="AA4273" s="33"/>
      <c r="AB4273" s="33"/>
      <c r="AC4273" s="33"/>
      <c r="AD4273" s="33"/>
      <c r="AE4273" s="33"/>
      <c r="AF4273" s="33"/>
      <c r="AG4273" s="33"/>
      <c r="AH4273" s="33"/>
      <c r="AI4273" s="33"/>
      <c r="AJ4273" s="33"/>
      <c r="AK4273" s="33"/>
      <c r="AL4273" s="33"/>
      <c r="AM4273" s="33"/>
      <c r="AN4273" s="33"/>
      <c r="AO4273" s="33"/>
    </row>
    <row r="4274" ht="15.75" customHeight="1">
      <c r="A4274" s="72"/>
      <c r="B4274" s="61"/>
      <c r="C4274" s="56"/>
      <c r="D4274" s="67"/>
      <c r="E4274" s="56"/>
      <c r="F4274" s="56"/>
      <c r="G4274" s="62"/>
      <c r="H4274" s="65"/>
      <c r="I4274" s="56"/>
      <c r="J4274" s="66"/>
      <c r="K4274" s="67"/>
      <c r="L4274" s="56"/>
      <c r="M4274" s="67"/>
      <c r="N4274" s="56"/>
      <c r="O4274" s="53"/>
      <c r="P4274" s="68"/>
      <c r="Q4274" s="69"/>
      <c r="R4274" s="68"/>
      <c r="S4274" s="70"/>
      <c r="T4274" s="67"/>
      <c r="U4274" s="56"/>
      <c r="V4274" s="56"/>
      <c r="W4274" s="71"/>
      <c r="X4274" s="71"/>
      <c r="AA4274" s="33"/>
      <c r="AB4274" s="33"/>
      <c r="AC4274" s="33"/>
      <c r="AD4274" s="33"/>
      <c r="AE4274" s="33"/>
      <c r="AF4274" s="33"/>
      <c r="AG4274" s="33"/>
      <c r="AH4274" s="33"/>
      <c r="AI4274" s="33"/>
      <c r="AJ4274" s="33"/>
      <c r="AK4274" s="33"/>
      <c r="AL4274" s="33"/>
      <c r="AM4274" s="33"/>
      <c r="AN4274" s="33"/>
      <c r="AO4274" s="33"/>
    </row>
    <row r="4275" ht="15.75" customHeight="1">
      <c r="A4275" s="72"/>
      <c r="B4275" s="61"/>
      <c r="C4275" s="56"/>
      <c r="D4275" s="67"/>
      <c r="E4275" s="56"/>
      <c r="F4275" s="56"/>
      <c r="G4275" s="62"/>
      <c r="H4275" s="65"/>
      <c r="I4275" s="56"/>
      <c r="J4275" s="66"/>
      <c r="K4275" s="67"/>
      <c r="L4275" s="56"/>
      <c r="M4275" s="67"/>
      <c r="N4275" s="56"/>
      <c r="O4275" s="53"/>
      <c r="P4275" s="68"/>
      <c r="Q4275" s="69"/>
      <c r="R4275" s="68"/>
      <c r="S4275" s="70"/>
      <c r="T4275" s="67"/>
      <c r="U4275" s="56"/>
      <c r="V4275" s="56"/>
      <c r="W4275" s="71"/>
      <c r="X4275" s="71"/>
      <c r="AA4275" s="33"/>
      <c r="AB4275" s="33"/>
      <c r="AC4275" s="33"/>
      <c r="AD4275" s="33"/>
      <c r="AE4275" s="33"/>
      <c r="AF4275" s="33"/>
      <c r="AG4275" s="33"/>
      <c r="AH4275" s="33"/>
      <c r="AI4275" s="33"/>
      <c r="AJ4275" s="33"/>
      <c r="AK4275" s="33"/>
      <c r="AL4275" s="33"/>
      <c r="AM4275" s="33"/>
      <c r="AN4275" s="33"/>
      <c r="AO4275" s="33"/>
    </row>
    <row r="4276" ht="15.75" customHeight="1">
      <c r="A4276" s="72"/>
      <c r="B4276" s="61"/>
      <c r="C4276" s="56"/>
      <c r="D4276" s="67"/>
      <c r="E4276" s="56"/>
      <c r="F4276" s="56"/>
      <c r="G4276" s="62"/>
      <c r="H4276" s="65"/>
      <c r="I4276" s="56"/>
      <c r="J4276" s="66"/>
      <c r="K4276" s="67"/>
      <c r="L4276" s="56"/>
      <c r="M4276" s="67"/>
      <c r="N4276" s="56"/>
      <c r="O4276" s="53"/>
      <c r="P4276" s="68"/>
      <c r="Q4276" s="69"/>
      <c r="R4276" s="68"/>
      <c r="S4276" s="70"/>
      <c r="T4276" s="67"/>
      <c r="U4276" s="56"/>
      <c r="V4276" s="56"/>
      <c r="W4276" s="71"/>
      <c r="X4276" s="71"/>
      <c r="AA4276" s="33"/>
      <c r="AB4276" s="33"/>
      <c r="AC4276" s="33"/>
      <c r="AD4276" s="33"/>
      <c r="AE4276" s="33"/>
      <c r="AF4276" s="33"/>
      <c r="AG4276" s="33"/>
      <c r="AH4276" s="33"/>
      <c r="AI4276" s="33"/>
      <c r="AJ4276" s="33"/>
      <c r="AK4276" s="33"/>
      <c r="AL4276" s="33"/>
      <c r="AM4276" s="33"/>
      <c r="AN4276" s="33"/>
      <c r="AO4276" s="33"/>
    </row>
    <row r="4277" ht="15.75" customHeight="1">
      <c r="A4277" s="72"/>
      <c r="B4277" s="61"/>
      <c r="C4277" s="56"/>
      <c r="D4277" s="67"/>
      <c r="E4277" s="56"/>
      <c r="F4277" s="56"/>
      <c r="G4277" s="62"/>
      <c r="H4277" s="65"/>
      <c r="I4277" s="56"/>
      <c r="J4277" s="66"/>
      <c r="K4277" s="67"/>
      <c r="L4277" s="56"/>
      <c r="M4277" s="67"/>
      <c r="N4277" s="56"/>
      <c r="O4277" s="53"/>
      <c r="P4277" s="68"/>
      <c r="Q4277" s="69"/>
      <c r="R4277" s="68"/>
      <c r="S4277" s="70"/>
      <c r="T4277" s="67"/>
      <c r="U4277" s="56"/>
      <c r="V4277" s="56"/>
      <c r="W4277" s="71"/>
      <c r="X4277" s="71"/>
      <c r="AA4277" s="33"/>
      <c r="AB4277" s="33"/>
      <c r="AC4277" s="33"/>
      <c r="AD4277" s="33"/>
      <c r="AE4277" s="33"/>
      <c r="AF4277" s="33"/>
      <c r="AG4277" s="33"/>
      <c r="AH4277" s="33"/>
      <c r="AI4277" s="33"/>
      <c r="AJ4277" s="33"/>
      <c r="AK4277" s="33"/>
      <c r="AL4277" s="33"/>
      <c r="AM4277" s="33"/>
      <c r="AN4277" s="33"/>
      <c r="AO4277" s="33"/>
    </row>
    <row r="4278" ht="15.75" customHeight="1">
      <c r="A4278" s="72"/>
      <c r="B4278" s="61"/>
      <c r="C4278" s="56"/>
      <c r="D4278" s="67"/>
      <c r="E4278" s="56"/>
      <c r="F4278" s="56"/>
      <c r="G4278" s="62"/>
      <c r="H4278" s="65"/>
      <c r="I4278" s="56"/>
      <c r="J4278" s="66"/>
      <c r="K4278" s="67"/>
      <c r="L4278" s="56"/>
      <c r="M4278" s="67"/>
      <c r="N4278" s="56"/>
      <c r="O4278" s="53"/>
      <c r="P4278" s="68"/>
      <c r="Q4278" s="69"/>
      <c r="R4278" s="68"/>
      <c r="S4278" s="70"/>
      <c r="T4278" s="67"/>
      <c r="U4278" s="56"/>
      <c r="V4278" s="56"/>
      <c r="W4278" s="71"/>
      <c r="X4278" s="71"/>
      <c r="AA4278" s="33"/>
      <c r="AB4278" s="33"/>
      <c r="AC4278" s="33"/>
      <c r="AD4278" s="33"/>
      <c r="AE4278" s="33"/>
      <c r="AF4278" s="33"/>
      <c r="AG4278" s="33"/>
      <c r="AH4278" s="33"/>
      <c r="AI4278" s="33"/>
      <c r="AJ4278" s="33"/>
      <c r="AK4278" s="33"/>
      <c r="AL4278" s="33"/>
      <c r="AM4278" s="33"/>
      <c r="AN4278" s="33"/>
      <c r="AO4278" s="33"/>
    </row>
    <row r="4279" ht="15.75" customHeight="1">
      <c r="A4279" s="72"/>
      <c r="B4279" s="61"/>
      <c r="C4279" s="56"/>
      <c r="D4279" s="67"/>
      <c r="E4279" s="56"/>
      <c r="F4279" s="56"/>
      <c r="G4279" s="62"/>
      <c r="H4279" s="65"/>
      <c r="I4279" s="56"/>
      <c r="J4279" s="66"/>
      <c r="K4279" s="67"/>
      <c r="L4279" s="56"/>
      <c r="M4279" s="67"/>
      <c r="N4279" s="56"/>
      <c r="O4279" s="53"/>
      <c r="P4279" s="68"/>
      <c r="Q4279" s="69"/>
      <c r="R4279" s="68"/>
      <c r="S4279" s="70"/>
      <c r="T4279" s="67"/>
      <c r="U4279" s="56"/>
      <c r="V4279" s="56"/>
      <c r="W4279" s="71"/>
      <c r="X4279" s="71"/>
      <c r="AA4279" s="33"/>
      <c r="AB4279" s="33"/>
      <c r="AC4279" s="33"/>
      <c r="AD4279" s="33"/>
      <c r="AE4279" s="33"/>
      <c r="AF4279" s="33"/>
      <c r="AG4279" s="33"/>
      <c r="AH4279" s="33"/>
      <c r="AI4279" s="33"/>
      <c r="AJ4279" s="33"/>
      <c r="AK4279" s="33"/>
      <c r="AL4279" s="33"/>
      <c r="AM4279" s="33"/>
      <c r="AN4279" s="33"/>
      <c r="AO4279" s="33"/>
    </row>
    <row r="4280" ht="15.75" customHeight="1">
      <c r="A4280" s="72"/>
      <c r="B4280" s="61"/>
      <c r="C4280" s="56"/>
      <c r="D4280" s="67"/>
      <c r="E4280" s="56"/>
      <c r="F4280" s="56"/>
      <c r="G4280" s="62"/>
      <c r="H4280" s="65"/>
      <c r="I4280" s="56"/>
      <c r="J4280" s="66"/>
      <c r="K4280" s="67"/>
      <c r="L4280" s="56"/>
      <c r="M4280" s="67"/>
      <c r="N4280" s="56"/>
      <c r="O4280" s="53"/>
      <c r="P4280" s="68"/>
      <c r="Q4280" s="69"/>
      <c r="R4280" s="68"/>
      <c r="S4280" s="70"/>
      <c r="T4280" s="67"/>
      <c r="U4280" s="56"/>
      <c r="V4280" s="56"/>
      <c r="W4280" s="71"/>
      <c r="X4280" s="71"/>
      <c r="AA4280" s="33"/>
      <c r="AB4280" s="33"/>
      <c r="AC4280" s="33"/>
      <c r="AD4280" s="33"/>
      <c r="AE4280" s="33"/>
      <c r="AF4280" s="33"/>
      <c r="AG4280" s="33"/>
      <c r="AH4280" s="33"/>
      <c r="AI4280" s="33"/>
      <c r="AJ4280" s="33"/>
      <c r="AK4280" s="33"/>
      <c r="AL4280" s="33"/>
      <c r="AM4280" s="33"/>
      <c r="AN4280" s="33"/>
      <c r="AO4280" s="33"/>
    </row>
    <row r="4281" ht="15.75" customHeight="1">
      <c r="A4281" s="72"/>
      <c r="B4281" s="61"/>
      <c r="C4281" s="56"/>
      <c r="D4281" s="67"/>
      <c r="E4281" s="56"/>
      <c r="F4281" s="56"/>
      <c r="G4281" s="62"/>
      <c r="H4281" s="65"/>
      <c r="I4281" s="56"/>
      <c r="J4281" s="66"/>
      <c r="K4281" s="67"/>
      <c r="L4281" s="56"/>
      <c r="M4281" s="67"/>
      <c r="N4281" s="56"/>
      <c r="O4281" s="53"/>
      <c r="P4281" s="68"/>
      <c r="Q4281" s="69"/>
      <c r="R4281" s="68"/>
      <c r="S4281" s="70"/>
      <c r="T4281" s="67"/>
      <c r="U4281" s="56"/>
      <c r="V4281" s="56"/>
      <c r="W4281" s="71"/>
      <c r="X4281" s="71"/>
      <c r="AA4281" s="33"/>
      <c r="AB4281" s="33"/>
      <c r="AC4281" s="33"/>
      <c r="AD4281" s="33"/>
      <c r="AE4281" s="33"/>
      <c r="AF4281" s="33"/>
      <c r="AG4281" s="33"/>
      <c r="AH4281" s="33"/>
      <c r="AI4281" s="33"/>
      <c r="AJ4281" s="33"/>
      <c r="AK4281" s="33"/>
      <c r="AL4281" s="33"/>
      <c r="AM4281" s="33"/>
      <c r="AN4281" s="33"/>
      <c r="AO4281" s="33"/>
    </row>
    <row r="4282" ht="15.75" customHeight="1">
      <c r="A4282" s="72"/>
      <c r="B4282" s="61"/>
      <c r="C4282" s="56"/>
      <c r="D4282" s="67"/>
      <c r="E4282" s="56"/>
      <c r="F4282" s="56"/>
      <c r="G4282" s="62"/>
      <c r="H4282" s="65"/>
      <c r="I4282" s="56"/>
      <c r="J4282" s="66"/>
      <c r="K4282" s="67"/>
      <c r="L4282" s="56"/>
      <c r="M4282" s="67"/>
      <c r="N4282" s="56"/>
      <c r="O4282" s="53"/>
      <c r="P4282" s="68"/>
      <c r="Q4282" s="69"/>
      <c r="R4282" s="68"/>
      <c r="S4282" s="70"/>
      <c r="T4282" s="67"/>
      <c r="U4282" s="56"/>
      <c r="V4282" s="56"/>
      <c r="W4282" s="71"/>
      <c r="X4282" s="71"/>
      <c r="AA4282" s="33"/>
      <c r="AB4282" s="33"/>
      <c r="AC4282" s="33"/>
      <c r="AD4282" s="33"/>
      <c r="AE4282" s="33"/>
      <c r="AF4282" s="33"/>
      <c r="AG4282" s="33"/>
      <c r="AH4282" s="33"/>
      <c r="AI4282" s="33"/>
      <c r="AJ4282" s="33"/>
      <c r="AK4282" s="33"/>
      <c r="AL4282" s="33"/>
      <c r="AM4282" s="33"/>
      <c r="AN4282" s="33"/>
      <c r="AO4282" s="33"/>
    </row>
    <row r="4283" ht="15.75" customHeight="1">
      <c r="A4283" s="72"/>
      <c r="B4283" s="61"/>
      <c r="C4283" s="56"/>
      <c r="D4283" s="67"/>
      <c r="E4283" s="56"/>
      <c r="F4283" s="56"/>
      <c r="G4283" s="62"/>
      <c r="H4283" s="65"/>
      <c r="I4283" s="56"/>
      <c r="J4283" s="66"/>
      <c r="K4283" s="67"/>
      <c r="L4283" s="56"/>
      <c r="M4283" s="67"/>
      <c r="N4283" s="56"/>
      <c r="O4283" s="53"/>
      <c r="P4283" s="68"/>
      <c r="Q4283" s="69"/>
      <c r="R4283" s="68"/>
      <c r="S4283" s="70"/>
      <c r="T4283" s="67"/>
      <c r="U4283" s="56"/>
      <c r="V4283" s="56"/>
      <c r="W4283" s="71"/>
      <c r="X4283" s="71"/>
      <c r="AA4283" s="33"/>
      <c r="AB4283" s="33"/>
      <c r="AC4283" s="33"/>
      <c r="AD4283" s="33"/>
      <c r="AE4283" s="33"/>
      <c r="AF4283" s="33"/>
      <c r="AG4283" s="33"/>
      <c r="AH4283" s="33"/>
      <c r="AI4283" s="33"/>
      <c r="AJ4283" s="33"/>
      <c r="AK4283" s="33"/>
      <c r="AL4283" s="33"/>
      <c r="AM4283" s="33"/>
      <c r="AN4283" s="33"/>
      <c r="AO4283" s="33"/>
    </row>
    <row r="4284" ht="15.75" customHeight="1">
      <c r="A4284" s="72"/>
      <c r="B4284" s="61"/>
      <c r="C4284" s="56"/>
      <c r="D4284" s="67"/>
      <c r="E4284" s="56"/>
      <c r="F4284" s="56"/>
      <c r="G4284" s="62"/>
      <c r="H4284" s="65"/>
      <c r="I4284" s="56"/>
      <c r="J4284" s="66"/>
      <c r="K4284" s="67"/>
      <c r="L4284" s="56"/>
      <c r="M4284" s="67"/>
      <c r="N4284" s="56"/>
      <c r="O4284" s="53"/>
      <c r="P4284" s="68"/>
      <c r="Q4284" s="69"/>
      <c r="R4284" s="68"/>
      <c r="S4284" s="70"/>
      <c r="T4284" s="67"/>
      <c r="U4284" s="56"/>
      <c r="V4284" s="56"/>
      <c r="W4284" s="71"/>
      <c r="X4284" s="71"/>
      <c r="AA4284" s="33"/>
      <c r="AB4284" s="33"/>
      <c r="AC4284" s="33"/>
      <c r="AD4284" s="33"/>
      <c r="AE4284" s="33"/>
      <c r="AF4284" s="33"/>
      <c r="AG4284" s="33"/>
      <c r="AH4284" s="33"/>
      <c r="AI4284" s="33"/>
      <c r="AJ4284" s="33"/>
      <c r="AK4284" s="33"/>
      <c r="AL4284" s="33"/>
      <c r="AM4284" s="33"/>
      <c r="AN4284" s="33"/>
      <c r="AO4284" s="33"/>
    </row>
    <row r="4285" ht="15.75" customHeight="1">
      <c r="A4285" s="72"/>
      <c r="B4285" s="61"/>
      <c r="C4285" s="56"/>
      <c r="D4285" s="67"/>
      <c r="E4285" s="56"/>
      <c r="F4285" s="56"/>
      <c r="G4285" s="62"/>
      <c r="H4285" s="65"/>
      <c r="I4285" s="56"/>
      <c r="J4285" s="66"/>
      <c r="K4285" s="67"/>
      <c r="L4285" s="56"/>
      <c r="M4285" s="67"/>
      <c r="N4285" s="56"/>
      <c r="O4285" s="53"/>
      <c r="P4285" s="68"/>
      <c r="Q4285" s="69"/>
      <c r="R4285" s="68"/>
      <c r="S4285" s="70"/>
      <c r="T4285" s="67"/>
      <c r="U4285" s="56"/>
      <c r="V4285" s="56"/>
      <c r="W4285" s="71"/>
      <c r="X4285" s="71"/>
      <c r="AA4285" s="33"/>
      <c r="AB4285" s="33"/>
      <c r="AC4285" s="33"/>
      <c r="AD4285" s="33"/>
      <c r="AE4285" s="33"/>
      <c r="AF4285" s="33"/>
      <c r="AG4285" s="33"/>
      <c r="AH4285" s="33"/>
      <c r="AI4285" s="33"/>
      <c r="AJ4285" s="33"/>
      <c r="AK4285" s="33"/>
      <c r="AL4285" s="33"/>
      <c r="AM4285" s="33"/>
      <c r="AN4285" s="33"/>
      <c r="AO4285" s="33"/>
    </row>
    <row r="4286" ht="15.75" customHeight="1">
      <c r="A4286" s="72"/>
      <c r="B4286" s="61"/>
      <c r="C4286" s="56"/>
      <c r="D4286" s="67"/>
      <c r="E4286" s="56"/>
      <c r="F4286" s="56"/>
      <c r="G4286" s="62"/>
      <c r="H4286" s="65"/>
      <c r="I4286" s="56"/>
      <c r="J4286" s="66"/>
      <c r="K4286" s="67"/>
      <c r="L4286" s="56"/>
      <c r="M4286" s="67"/>
      <c r="N4286" s="56"/>
      <c r="O4286" s="53"/>
      <c r="P4286" s="68"/>
      <c r="Q4286" s="69"/>
      <c r="R4286" s="68"/>
      <c r="S4286" s="70"/>
      <c r="T4286" s="67"/>
      <c r="U4286" s="56"/>
      <c r="V4286" s="56"/>
      <c r="W4286" s="71"/>
      <c r="X4286" s="71"/>
      <c r="AA4286" s="33"/>
      <c r="AB4286" s="33"/>
      <c r="AC4286" s="33"/>
      <c r="AD4286" s="33"/>
      <c r="AE4286" s="33"/>
      <c r="AF4286" s="33"/>
      <c r="AG4286" s="33"/>
      <c r="AH4286" s="33"/>
      <c r="AI4286" s="33"/>
      <c r="AJ4286" s="33"/>
      <c r="AK4286" s="33"/>
      <c r="AL4286" s="33"/>
      <c r="AM4286" s="33"/>
      <c r="AN4286" s="33"/>
      <c r="AO4286" s="33"/>
    </row>
    <row r="4287" ht="15.75" customHeight="1">
      <c r="A4287" s="72"/>
      <c r="B4287" s="61"/>
      <c r="C4287" s="56"/>
      <c r="D4287" s="67"/>
      <c r="E4287" s="56"/>
      <c r="F4287" s="56"/>
      <c r="G4287" s="62"/>
      <c r="H4287" s="65"/>
      <c r="I4287" s="56"/>
      <c r="J4287" s="66"/>
      <c r="K4287" s="67"/>
      <c r="L4287" s="56"/>
      <c r="M4287" s="67"/>
      <c r="N4287" s="56"/>
      <c r="O4287" s="53"/>
      <c r="P4287" s="68"/>
      <c r="Q4287" s="69"/>
      <c r="R4287" s="68"/>
      <c r="S4287" s="70"/>
      <c r="T4287" s="67"/>
      <c r="U4287" s="56"/>
      <c r="V4287" s="56"/>
      <c r="W4287" s="71"/>
      <c r="X4287" s="71"/>
      <c r="AA4287" s="33"/>
      <c r="AB4287" s="33"/>
      <c r="AC4287" s="33"/>
      <c r="AD4287" s="33"/>
      <c r="AE4287" s="33"/>
      <c r="AF4287" s="33"/>
      <c r="AG4287" s="33"/>
      <c r="AH4287" s="33"/>
      <c r="AI4287" s="33"/>
      <c r="AJ4287" s="33"/>
      <c r="AK4287" s="33"/>
      <c r="AL4287" s="33"/>
      <c r="AM4287" s="33"/>
      <c r="AN4287" s="33"/>
      <c r="AO4287" s="33"/>
    </row>
    <row r="4288" ht="15.75" customHeight="1">
      <c r="A4288" s="72"/>
      <c r="B4288" s="61"/>
      <c r="C4288" s="56"/>
      <c r="D4288" s="67"/>
      <c r="E4288" s="56"/>
      <c r="F4288" s="56"/>
      <c r="G4288" s="62"/>
      <c r="H4288" s="65"/>
      <c r="I4288" s="56"/>
      <c r="J4288" s="66"/>
      <c r="K4288" s="67"/>
      <c r="L4288" s="56"/>
      <c r="M4288" s="67"/>
      <c r="N4288" s="56"/>
      <c r="O4288" s="53"/>
      <c r="P4288" s="68"/>
      <c r="Q4288" s="69"/>
      <c r="R4288" s="68"/>
      <c r="S4288" s="70"/>
      <c r="T4288" s="67"/>
      <c r="U4288" s="56"/>
      <c r="V4288" s="56"/>
      <c r="W4288" s="71"/>
      <c r="X4288" s="71"/>
      <c r="AA4288" s="33"/>
      <c r="AB4288" s="33"/>
      <c r="AC4288" s="33"/>
      <c r="AD4288" s="33"/>
      <c r="AE4288" s="33"/>
      <c r="AF4288" s="33"/>
      <c r="AG4288" s="33"/>
      <c r="AH4288" s="33"/>
      <c r="AI4288" s="33"/>
      <c r="AJ4288" s="33"/>
      <c r="AK4288" s="33"/>
      <c r="AL4288" s="33"/>
      <c r="AM4288" s="33"/>
      <c r="AN4288" s="33"/>
      <c r="AO4288" s="33"/>
    </row>
    <row r="4289" ht="15.75" customHeight="1">
      <c r="A4289" s="72"/>
      <c r="B4289" s="61"/>
      <c r="C4289" s="56"/>
      <c r="D4289" s="67"/>
      <c r="E4289" s="56"/>
      <c r="F4289" s="56"/>
      <c r="G4289" s="62"/>
      <c r="H4289" s="65"/>
      <c r="I4289" s="56"/>
      <c r="J4289" s="66"/>
      <c r="K4289" s="67"/>
      <c r="L4289" s="56"/>
      <c r="M4289" s="67"/>
      <c r="N4289" s="56"/>
      <c r="O4289" s="53"/>
      <c r="P4289" s="68"/>
      <c r="Q4289" s="69"/>
      <c r="R4289" s="68"/>
      <c r="S4289" s="70"/>
      <c r="T4289" s="67"/>
      <c r="U4289" s="56"/>
      <c r="V4289" s="56"/>
      <c r="W4289" s="71"/>
      <c r="X4289" s="71"/>
      <c r="AA4289" s="33"/>
      <c r="AB4289" s="33"/>
      <c r="AC4289" s="33"/>
      <c r="AD4289" s="33"/>
      <c r="AE4289" s="33"/>
      <c r="AF4289" s="33"/>
      <c r="AG4289" s="33"/>
      <c r="AH4289" s="33"/>
      <c r="AI4289" s="33"/>
      <c r="AJ4289" s="33"/>
      <c r="AK4289" s="33"/>
      <c r="AL4289" s="33"/>
      <c r="AM4289" s="33"/>
      <c r="AN4289" s="33"/>
      <c r="AO4289" s="33"/>
    </row>
    <row r="4290" ht="15.75" customHeight="1">
      <c r="A4290" s="72"/>
      <c r="B4290" s="61"/>
      <c r="C4290" s="56"/>
      <c r="D4290" s="67"/>
      <c r="E4290" s="56"/>
      <c r="F4290" s="56"/>
      <c r="G4290" s="62"/>
      <c r="H4290" s="65"/>
      <c r="I4290" s="56"/>
      <c r="J4290" s="66"/>
      <c r="K4290" s="67"/>
      <c r="L4290" s="56"/>
      <c r="M4290" s="67"/>
      <c r="N4290" s="56"/>
      <c r="O4290" s="53"/>
      <c r="P4290" s="68"/>
      <c r="Q4290" s="69"/>
      <c r="R4290" s="68"/>
      <c r="S4290" s="70"/>
      <c r="T4290" s="67"/>
      <c r="U4290" s="56"/>
      <c r="V4290" s="56"/>
      <c r="W4290" s="71"/>
      <c r="X4290" s="71"/>
      <c r="AA4290" s="33"/>
      <c r="AB4290" s="33"/>
      <c r="AC4290" s="33"/>
      <c r="AD4290" s="33"/>
      <c r="AE4290" s="33"/>
      <c r="AF4290" s="33"/>
      <c r="AG4290" s="33"/>
      <c r="AH4290" s="33"/>
      <c r="AI4290" s="33"/>
      <c r="AJ4290" s="33"/>
      <c r="AK4290" s="33"/>
      <c r="AL4290" s="33"/>
      <c r="AM4290" s="33"/>
      <c r="AN4290" s="33"/>
      <c r="AO4290" s="33"/>
    </row>
    <row r="4291" ht="15.75" customHeight="1">
      <c r="A4291" s="72"/>
      <c r="B4291" s="61"/>
      <c r="C4291" s="56"/>
      <c r="D4291" s="67"/>
      <c r="E4291" s="56"/>
      <c r="F4291" s="56"/>
      <c r="G4291" s="62"/>
      <c r="H4291" s="65"/>
      <c r="I4291" s="56"/>
      <c r="J4291" s="66"/>
      <c r="K4291" s="67"/>
      <c r="L4291" s="56"/>
      <c r="M4291" s="67"/>
      <c r="N4291" s="56"/>
      <c r="O4291" s="53"/>
      <c r="P4291" s="68"/>
      <c r="Q4291" s="69"/>
      <c r="R4291" s="68"/>
      <c r="S4291" s="70"/>
      <c r="T4291" s="67"/>
      <c r="U4291" s="56"/>
      <c r="V4291" s="56"/>
      <c r="W4291" s="71"/>
      <c r="X4291" s="71"/>
      <c r="AA4291" s="33"/>
      <c r="AB4291" s="33"/>
      <c r="AC4291" s="33"/>
      <c r="AD4291" s="33"/>
      <c r="AE4291" s="33"/>
      <c r="AF4291" s="33"/>
      <c r="AG4291" s="33"/>
      <c r="AH4291" s="33"/>
      <c r="AI4291" s="33"/>
      <c r="AJ4291" s="33"/>
      <c r="AK4291" s="33"/>
      <c r="AL4291" s="33"/>
      <c r="AM4291" s="33"/>
      <c r="AN4291" s="33"/>
      <c r="AO4291" s="33"/>
    </row>
    <row r="4292" ht="15.75" customHeight="1">
      <c r="A4292" s="72"/>
      <c r="B4292" s="61"/>
      <c r="C4292" s="56"/>
      <c r="D4292" s="67"/>
      <c r="E4292" s="56"/>
      <c r="F4292" s="56"/>
      <c r="G4292" s="62"/>
      <c r="H4292" s="65"/>
      <c r="I4292" s="56"/>
      <c r="J4292" s="66"/>
      <c r="K4292" s="67"/>
      <c r="L4292" s="56"/>
      <c r="M4292" s="67"/>
      <c r="N4292" s="56"/>
      <c r="O4292" s="53"/>
      <c r="P4292" s="68"/>
      <c r="Q4292" s="69"/>
      <c r="R4292" s="68"/>
      <c r="S4292" s="70"/>
      <c r="T4292" s="67"/>
      <c r="U4292" s="56"/>
      <c r="V4292" s="56"/>
      <c r="W4292" s="71"/>
      <c r="X4292" s="71"/>
      <c r="AA4292" s="33"/>
      <c r="AB4292" s="33"/>
      <c r="AC4292" s="33"/>
      <c r="AD4292" s="33"/>
      <c r="AE4292" s="33"/>
      <c r="AF4292" s="33"/>
      <c r="AG4292" s="33"/>
      <c r="AH4292" s="33"/>
      <c r="AI4292" s="33"/>
      <c r="AJ4292" s="33"/>
      <c r="AK4292" s="33"/>
      <c r="AL4292" s="33"/>
      <c r="AM4292" s="33"/>
      <c r="AN4292" s="33"/>
      <c r="AO4292" s="33"/>
    </row>
    <row r="4293" ht="15.75" customHeight="1">
      <c r="A4293" s="72"/>
      <c r="B4293" s="61"/>
      <c r="C4293" s="56"/>
      <c r="D4293" s="67"/>
      <c r="E4293" s="56"/>
      <c r="F4293" s="56"/>
      <c r="G4293" s="62"/>
      <c r="H4293" s="65"/>
      <c r="I4293" s="56"/>
      <c r="J4293" s="66"/>
      <c r="K4293" s="67"/>
      <c r="L4293" s="56"/>
      <c r="M4293" s="67"/>
      <c r="N4293" s="56"/>
      <c r="O4293" s="53"/>
      <c r="P4293" s="68"/>
      <c r="Q4293" s="69"/>
      <c r="R4293" s="68"/>
      <c r="S4293" s="70"/>
      <c r="T4293" s="67"/>
      <c r="U4293" s="56"/>
      <c r="V4293" s="56"/>
      <c r="W4293" s="71"/>
      <c r="X4293" s="71"/>
      <c r="AA4293" s="33"/>
      <c r="AB4293" s="33"/>
      <c r="AC4293" s="33"/>
      <c r="AD4293" s="33"/>
      <c r="AE4293" s="33"/>
      <c r="AF4293" s="33"/>
      <c r="AG4293" s="33"/>
      <c r="AH4293" s="33"/>
      <c r="AI4293" s="33"/>
      <c r="AJ4293" s="33"/>
      <c r="AK4293" s="33"/>
      <c r="AL4293" s="33"/>
      <c r="AM4293" s="33"/>
      <c r="AN4293" s="33"/>
      <c r="AO4293" s="33"/>
    </row>
    <row r="4294" ht="15.75" customHeight="1">
      <c r="A4294" s="72"/>
      <c r="B4294" s="61"/>
      <c r="C4294" s="56"/>
      <c r="D4294" s="67"/>
      <c r="E4294" s="56"/>
      <c r="F4294" s="56"/>
      <c r="G4294" s="62"/>
      <c r="H4294" s="65"/>
      <c r="I4294" s="56"/>
      <c r="J4294" s="66"/>
      <c r="K4294" s="67"/>
      <c r="L4294" s="56"/>
      <c r="M4294" s="67"/>
      <c r="N4294" s="56"/>
      <c r="O4294" s="53"/>
      <c r="P4294" s="68"/>
      <c r="Q4294" s="69"/>
      <c r="R4294" s="68"/>
      <c r="S4294" s="70"/>
      <c r="T4294" s="67"/>
      <c r="U4294" s="56"/>
      <c r="V4294" s="56"/>
      <c r="W4294" s="71"/>
      <c r="X4294" s="71"/>
      <c r="AA4294" s="33"/>
      <c r="AB4294" s="33"/>
      <c r="AC4294" s="33"/>
      <c r="AD4294" s="33"/>
      <c r="AE4294" s="33"/>
      <c r="AF4294" s="33"/>
      <c r="AG4294" s="33"/>
      <c r="AH4294" s="33"/>
      <c r="AI4294" s="33"/>
      <c r="AJ4294" s="33"/>
      <c r="AK4294" s="33"/>
      <c r="AL4294" s="33"/>
      <c r="AM4294" s="33"/>
      <c r="AN4294" s="33"/>
      <c r="AO4294" s="33"/>
    </row>
    <row r="4295" ht="15.75" customHeight="1">
      <c r="A4295" s="72"/>
      <c r="B4295" s="61"/>
      <c r="C4295" s="56"/>
      <c r="D4295" s="67"/>
      <c r="E4295" s="56"/>
      <c r="F4295" s="56"/>
      <c r="G4295" s="62"/>
      <c r="H4295" s="65"/>
      <c r="I4295" s="56"/>
      <c r="J4295" s="66"/>
      <c r="K4295" s="67"/>
      <c r="L4295" s="56"/>
      <c r="M4295" s="67"/>
      <c r="N4295" s="56"/>
      <c r="O4295" s="53"/>
      <c r="P4295" s="68"/>
      <c r="Q4295" s="69"/>
      <c r="R4295" s="68"/>
      <c r="S4295" s="70"/>
      <c r="T4295" s="67"/>
      <c r="U4295" s="56"/>
      <c r="V4295" s="56"/>
      <c r="W4295" s="71"/>
      <c r="X4295" s="71"/>
      <c r="AA4295" s="33"/>
      <c r="AB4295" s="33"/>
      <c r="AC4295" s="33"/>
      <c r="AD4295" s="33"/>
      <c r="AE4295" s="33"/>
      <c r="AF4295" s="33"/>
      <c r="AG4295" s="33"/>
      <c r="AH4295" s="33"/>
      <c r="AI4295" s="33"/>
      <c r="AJ4295" s="33"/>
      <c r="AK4295" s="33"/>
      <c r="AL4295" s="33"/>
      <c r="AM4295" s="33"/>
      <c r="AN4295" s="33"/>
      <c r="AO4295" s="33"/>
    </row>
    <row r="4296" ht="15.75" customHeight="1">
      <c r="A4296" s="72"/>
      <c r="B4296" s="61"/>
      <c r="C4296" s="56"/>
      <c r="D4296" s="67"/>
      <c r="E4296" s="56"/>
      <c r="F4296" s="56"/>
      <c r="G4296" s="62"/>
      <c r="H4296" s="65"/>
      <c r="I4296" s="56"/>
      <c r="J4296" s="66"/>
      <c r="K4296" s="67"/>
      <c r="L4296" s="56"/>
      <c r="M4296" s="67"/>
      <c r="N4296" s="56"/>
      <c r="O4296" s="53"/>
      <c r="P4296" s="68"/>
      <c r="Q4296" s="69"/>
      <c r="R4296" s="68"/>
      <c r="S4296" s="70"/>
      <c r="T4296" s="67"/>
      <c r="U4296" s="56"/>
      <c r="V4296" s="56"/>
      <c r="W4296" s="71"/>
      <c r="X4296" s="71"/>
      <c r="AA4296" s="33"/>
      <c r="AB4296" s="33"/>
      <c r="AC4296" s="33"/>
      <c r="AD4296" s="33"/>
      <c r="AE4296" s="33"/>
      <c r="AF4296" s="33"/>
      <c r="AG4296" s="33"/>
      <c r="AH4296" s="33"/>
      <c r="AI4296" s="33"/>
      <c r="AJ4296" s="33"/>
      <c r="AK4296" s="33"/>
      <c r="AL4296" s="33"/>
      <c r="AM4296" s="33"/>
      <c r="AN4296" s="33"/>
      <c r="AO4296" s="33"/>
    </row>
    <row r="4297" ht="15.75" customHeight="1">
      <c r="A4297" s="72"/>
      <c r="B4297" s="61"/>
      <c r="C4297" s="56"/>
      <c r="D4297" s="67"/>
      <c r="E4297" s="56"/>
      <c r="F4297" s="56"/>
      <c r="G4297" s="62"/>
      <c r="H4297" s="65"/>
      <c r="I4297" s="56"/>
      <c r="J4297" s="66"/>
      <c r="K4297" s="67"/>
      <c r="L4297" s="56"/>
      <c r="M4297" s="67"/>
      <c r="N4297" s="56"/>
      <c r="O4297" s="53"/>
      <c r="P4297" s="68"/>
      <c r="Q4297" s="69"/>
      <c r="R4297" s="68"/>
      <c r="S4297" s="70"/>
      <c r="T4297" s="67"/>
      <c r="U4297" s="56"/>
      <c r="V4297" s="56"/>
      <c r="W4297" s="71"/>
      <c r="X4297" s="71"/>
      <c r="AA4297" s="33"/>
      <c r="AB4297" s="33"/>
      <c r="AC4297" s="33"/>
      <c r="AD4297" s="33"/>
      <c r="AE4297" s="33"/>
      <c r="AF4297" s="33"/>
      <c r="AG4297" s="33"/>
      <c r="AH4297" s="33"/>
      <c r="AI4297" s="33"/>
      <c r="AJ4297" s="33"/>
      <c r="AK4297" s="33"/>
      <c r="AL4297" s="33"/>
      <c r="AM4297" s="33"/>
      <c r="AN4297" s="33"/>
      <c r="AO4297" s="33"/>
    </row>
    <row r="4298" ht="15.75" customHeight="1">
      <c r="A4298" s="72"/>
      <c r="B4298" s="61"/>
      <c r="C4298" s="56"/>
      <c r="D4298" s="67"/>
      <c r="E4298" s="56"/>
      <c r="F4298" s="56"/>
      <c r="G4298" s="62"/>
      <c r="H4298" s="65"/>
      <c r="I4298" s="56"/>
      <c r="J4298" s="66"/>
      <c r="K4298" s="67"/>
      <c r="L4298" s="56"/>
      <c r="M4298" s="67"/>
      <c r="N4298" s="56"/>
      <c r="O4298" s="53"/>
      <c r="P4298" s="68"/>
      <c r="Q4298" s="69"/>
      <c r="R4298" s="68"/>
      <c r="S4298" s="70"/>
      <c r="T4298" s="67"/>
      <c r="U4298" s="56"/>
      <c r="V4298" s="56"/>
      <c r="W4298" s="71"/>
      <c r="X4298" s="71"/>
      <c r="AA4298" s="33"/>
      <c r="AB4298" s="33"/>
      <c r="AC4298" s="33"/>
      <c r="AD4298" s="33"/>
      <c r="AE4298" s="33"/>
      <c r="AF4298" s="33"/>
      <c r="AG4298" s="33"/>
      <c r="AH4298" s="33"/>
      <c r="AI4298" s="33"/>
      <c r="AJ4298" s="33"/>
      <c r="AK4298" s="33"/>
      <c r="AL4298" s="33"/>
      <c r="AM4298" s="33"/>
      <c r="AN4298" s="33"/>
      <c r="AO4298" s="33"/>
    </row>
    <row r="4299" ht="15.75" customHeight="1">
      <c r="A4299" s="72"/>
      <c r="B4299" s="61"/>
      <c r="C4299" s="56"/>
      <c r="D4299" s="67"/>
      <c r="E4299" s="56"/>
      <c r="F4299" s="56"/>
      <c r="G4299" s="62"/>
      <c r="H4299" s="65"/>
      <c r="I4299" s="56"/>
      <c r="J4299" s="66"/>
      <c r="K4299" s="67"/>
      <c r="L4299" s="56"/>
      <c r="M4299" s="67"/>
      <c r="N4299" s="56"/>
      <c r="O4299" s="53"/>
      <c r="P4299" s="68"/>
      <c r="Q4299" s="69"/>
      <c r="R4299" s="68"/>
      <c r="S4299" s="70"/>
      <c r="T4299" s="67"/>
      <c r="U4299" s="56"/>
      <c r="V4299" s="56"/>
      <c r="W4299" s="71"/>
      <c r="X4299" s="71"/>
      <c r="AA4299" s="33"/>
      <c r="AB4299" s="33"/>
      <c r="AC4299" s="33"/>
      <c r="AD4299" s="33"/>
      <c r="AE4299" s="33"/>
      <c r="AF4299" s="33"/>
      <c r="AG4299" s="33"/>
      <c r="AH4299" s="33"/>
      <c r="AI4299" s="33"/>
      <c r="AJ4299" s="33"/>
      <c r="AK4299" s="33"/>
      <c r="AL4299" s="33"/>
      <c r="AM4299" s="33"/>
      <c r="AN4299" s="33"/>
      <c r="AO4299" s="33"/>
    </row>
    <row r="4300" ht="15.75" customHeight="1">
      <c r="A4300" s="72"/>
      <c r="B4300" s="61"/>
      <c r="C4300" s="56"/>
      <c r="D4300" s="67"/>
      <c r="E4300" s="56"/>
      <c r="F4300" s="56"/>
      <c r="G4300" s="62"/>
      <c r="H4300" s="65"/>
      <c r="I4300" s="56"/>
      <c r="J4300" s="66"/>
      <c r="K4300" s="67"/>
      <c r="L4300" s="56"/>
      <c r="M4300" s="67"/>
      <c r="N4300" s="56"/>
      <c r="O4300" s="53"/>
      <c r="P4300" s="68"/>
      <c r="Q4300" s="69"/>
      <c r="R4300" s="68"/>
      <c r="S4300" s="70"/>
      <c r="T4300" s="67"/>
      <c r="U4300" s="56"/>
      <c r="V4300" s="56"/>
      <c r="W4300" s="71"/>
      <c r="X4300" s="71"/>
      <c r="AA4300" s="33"/>
      <c r="AB4300" s="33"/>
      <c r="AC4300" s="33"/>
      <c r="AD4300" s="33"/>
      <c r="AE4300" s="33"/>
      <c r="AF4300" s="33"/>
      <c r="AG4300" s="33"/>
      <c r="AH4300" s="33"/>
      <c r="AI4300" s="33"/>
      <c r="AJ4300" s="33"/>
      <c r="AK4300" s="33"/>
      <c r="AL4300" s="33"/>
      <c r="AM4300" s="33"/>
      <c r="AN4300" s="33"/>
      <c r="AO4300" s="33"/>
    </row>
    <row r="4301" ht="15.75" customHeight="1">
      <c r="A4301" s="72"/>
      <c r="B4301" s="61"/>
      <c r="C4301" s="56"/>
      <c r="D4301" s="67"/>
      <c r="E4301" s="56"/>
      <c r="F4301" s="56"/>
      <c r="G4301" s="62"/>
      <c r="H4301" s="65"/>
      <c r="I4301" s="56"/>
      <c r="J4301" s="66"/>
      <c r="K4301" s="67"/>
      <c r="L4301" s="56"/>
      <c r="M4301" s="67"/>
      <c r="N4301" s="56"/>
      <c r="O4301" s="53"/>
      <c r="P4301" s="68"/>
      <c r="Q4301" s="69"/>
      <c r="R4301" s="68"/>
      <c r="S4301" s="70"/>
      <c r="T4301" s="67"/>
      <c r="U4301" s="56"/>
      <c r="V4301" s="56"/>
      <c r="W4301" s="71"/>
      <c r="X4301" s="71"/>
      <c r="AA4301" s="33"/>
      <c r="AB4301" s="33"/>
      <c r="AC4301" s="33"/>
      <c r="AD4301" s="33"/>
      <c r="AE4301" s="33"/>
      <c r="AF4301" s="33"/>
      <c r="AG4301" s="33"/>
      <c r="AH4301" s="33"/>
      <c r="AI4301" s="33"/>
      <c r="AJ4301" s="33"/>
      <c r="AK4301" s="33"/>
      <c r="AL4301" s="33"/>
      <c r="AM4301" s="33"/>
      <c r="AN4301" s="33"/>
      <c r="AO4301" s="33"/>
    </row>
    <row r="4302" ht="15.75" customHeight="1">
      <c r="A4302" s="72"/>
      <c r="B4302" s="61"/>
      <c r="C4302" s="56"/>
      <c r="D4302" s="67"/>
      <c r="E4302" s="56"/>
      <c r="F4302" s="56"/>
      <c r="G4302" s="62"/>
      <c r="H4302" s="65"/>
      <c r="I4302" s="56"/>
      <c r="J4302" s="66"/>
      <c r="K4302" s="67"/>
      <c r="L4302" s="56"/>
      <c r="M4302" s="67"/>
      <c r="N4302" s="56"/>
      <c r="O4302" s="53"/>
      <c r="P4302" s="68"/>
      <c r="Q4302" s="69"/>
      <c r="R4302" s="68"/>
      <c r="S4302" s="70"/>
      <c r="T4302" s="67"/>
      <c r="U4302" s="56"/>
      <c r="V4302" s="56"/>
      <c r="W4302" s="71"/>
      <c r="X4302" s="71"/>
      <c r="AA4302" s="33"/>
      <c r="AB4302" s="33"/>
      <c r="AC4302" s="33"/>
      <c r="AD4302" s="33"/>
      <c r="AE4302" s="33"/>
      <c r="AF4302" s="33"/>
      <c r="AG4302" s="33"/>
      <c r="AH4302" s="33"/>
      <c r="AI4302" s="33"/>
      <c r="AJ4302" s="33"/>
      <c r="AK4302" s="33"/>
      <c r="AL4302" s="33"/>
      <c r="AM4302" s="33"/>
      <c r="AN4302" s="33"/>
      <c r="AO4302" s="33"/>
    </row>
    <row r="4303" ht="15.75" customHeight="1">
      <c r="A4303" s="72"/>
      <c r="B4303" s="61"/>
      <c r="C4303" s="56"/>
      <c r="D4303" s="67"/>
      <c r="E4303" s="56"/>
      <c r="F4303" s="56"/>
      <c r="G4303" s="62"/>
      <c r="H4303" s="65"/>
      <c r="I4303" s="56"/>
      <c r="J4303" s="66"/>
      <c r="K4303" s="67"/>
      <c r="L4303" s="56"/>
      <c r="M4303" s="67"/>
      <c r="N4303" s="56"/>
      <c r="O4303" s="53"/>
      <c r="P4303" s="68"/>
      <c r="Q4303" s="69"/>
      <c r="R4303" s="68"/>
      <c r="S4303" s="70"/>
      <c r="T4303" s="67"/>
      <c r="U4303" s="56"/>
      <c r="V4303" s="56"/>
      <c r="W4303" s="71"/>
      <c r="X4303" s="71"/>
      <c r="AA4303" s="33"/>
      <c r="AB4303" s="33"/>
      <c r="AC4303" s="33"/>
      <c r="AD4303" s="33"/>
      <c r="AE4303" s="33"/>
      <c r="AF4303" s="33"/>
      <c r="AG4303" s="33"/>
      <c r="AH4303" s="33"/>
      <c r="AI4303" s="33"/>
      <c r="AJ4303" s="33"/>
      <c r="AK4303" s="33"/>
      <c r="AL4303" s="33"/>
      <c r="AM4303" s="33"/>
      <c r="AN4303" s="33"/>
      <c r="AO4303" s="33"/>
    </row>
    <row r="4304" ht="15.75" customHeight="1">
      <c r="A4304" s="72"/>
      <c r="B4304" s="61"/>
      <c r="C4304" s="56"/>
      <c r="D4304" s="67"/>
      <c r="E4304" s="56"/>
      <c r="F4304" s="56"/>
      <c r="G4304" s="62"/>
      <c r="H4304" s="65"/>
      <c r="I4304" s="56"/>
      <c r="J4304" s="66"/>
      <c r="K4304" s="67"/>
      <c r="L4304" s="56"/>
      <c r="M4304" s="67"/>
      <c r="N4304" s="56"/>
      <c r="O4304" s="53"/>
      <c r="P4304" s="68"/>
      <c r="Q4304" s="69"/>
      <c r="R4304" s="68"/>
      <c r="S4304" s="70"/>
      <c r="T4304" s="67"/>
      <c r="U4304" s="56"/>
      <c r="V4304" s="56"/>
      <c r="W4304" s="71"/>
      <c r="X4304" s="71"/>
      <c r="AA4304" s="33"/>
      <c r="AB4304" s="33"/>
      <c r="AC4304" s="33"/>
      <c r="AD4304" s="33"/>
      <c r="AE4304" s="33"/>
      <c r="AF4304" s="33"/>
      <c r="AG4304" s="33"/>
      <c r="AH4304" s="33"/>
      <c r="AI4304" s="33"/>
      <c r="AJ4304" s="33"/>
      <c r="AK4304" s="33"/>
      <c r="AL4304" s="33"/>
      <c r="AM4304" s="33"/>
      <c r="AN4304" s="33"/>
      <c r="AO4304" s="33"/>
    </row>
    <row r="4305" ht="15.75" customHeight="1">
      <c r="A4305" s="72"/>
      <c r="B4305" s="61"/>
      <c r="C4305" s="56"/>
      <c r="D4305" s="67"/>
      <c r="E4305" s="56"/>
      <c r="F4305" s="56"/>
      <c r="G4305" s="62"/>
      <c r="H4305" s="65"/>
      <c r="I4305" s="56"/>
      <c r="J4305" s="66"/>
      <c r="K4305" s="67"/>
      <c r="L4305" s="56"/>
      <c r="M4305" s="67"/>
      <c r="N4305" s="56"/>
      <c r="O4305" s="53"/>
      <c r="P4305" s="68"/>
      <c r="Q4305" s="69"/>
      <c r="R4305" s="68"/>
      <c r="S4305" s="70"/>
      <c r="T4305" s="67"/>
      <c r="U4305" s="56"/>
      <c r="V4305" s="56"/>
      <c r="W4305" s="71"/>
      <c r="X4305" s="71"/>
      <c r="AA4305" s="33"/>
      <c r="AB4305" s="33"/>
      <c r="AC4305" s="33"/>
      <c r="AD4305" s="33"/>
      <c r="AE4305" s="33"/>
      <c r="AF4305" s="33"/>
      <c r="AG4305" s="33"/>
      <c r="AH4305" s="33"/>
      <c r="AI4305" s="33"/>
      <c r="AJ4305" s="33"/>
      <c r="AK4305" s="33"/>
      <c r="AL4305" s="33"/>
      <c r="AM4305" s="33"/>
      <c r="AN4305" s="33"/>
      <c r="AO4305" s="33"/>
    </row>
    <row r="4306" ht="15.75" customHeight="1">
      <c r="A4306" s="72"/>
      <c r="B4306" s="61"/>
      <c r="C4306" s="56"/>
      <c r="D4306" s="67"/>
      <c r="E4306" s="56"/>
      <c r="F4306" s="56"/>
      <c r="G4306" s="62"/>
      <c r="H4306" s="65"/>
      <c r="I4306" s="56"/>
      <c r="J4306" s="66"/>
      <c r="K4306" s="67"/>
      <c r="L4306" s="56"/>
      <c r="M4306" s="67"/>
      <c r="N4306" s="56"/>
      <c r="O4306" s="53"/>
      <c r="P4306" s="68"/>
      <c r="Q4306" s="69"/>
      <c r="R4306" s="68"/>
      <c r="S4306" s="70"/>
      <c r="T4306" s="67"/>
      <c r="U4306" s="56"/>
      <c r="V4306" s="56"/>
      <c r="W4306" s="71"/>
      <c r="X4306" s="71"/>
      <c r="AA4306" s="33"/>
      <c r="AB4306" s="33"/>
      <c r="AC4306" s="33"/>
      <c r="AD4306" s="33"/>
      <c r="AE4306" s="33"/>
      <c r="AF4306" s="33"/>
      <c r="AG4306" s="33"/>
      <c r="AH4306" s="33"/>
      <c r="AI4306" s="33"/>
      <c r="AJ4306" s="33"/>
      <c r="AK4306" s="33"/>
      <c r="AL4306" s="33"/>
      <c r="AM4306" s="33"/>
      <c r="AN4306" s="33"/>
      <c r="AO4306" s="33"/>
    </row>
    <row r="4307" ht="15.75" customHeight="1">
      <c r="A4307" s="72"/>
      <c r="B4307" s="61"/>
      <c r="C4307" s="56"/>
      <c r="D4307" s="67"/>
      <c r="E4307" s="56"/>
      <c r="F4307" s="56"/>
      <c r="G4307" s="62"/>
      <c r="H4307" s="65"/>
      <c r="I4307" s="56"/>
      <c r="J4307" s="66"/>
      <c r="K4307" s="67"/>
      <c r="L4307" s="56"/>
      <c r="M4307" s="67"/>
      <c r="N4307" s="56"/>
      <c r="O4307" s="53"/>
      <c r="P4307" s="68"/>
      <c r="Q4307" s="69"/>
      <c r="R4307" s="68"/>
      <c r="S4307" s="70"/>
      <c r="T4307" s="67"/>
      <c r="U4307" s="56"/>
      <c r="V4307" s="56"/>
      <c r="W4307" s="71"/>
      <c r="X4307" s="71"/>
      <c r="AA4307" s="33"/>
      <c r="AB4307" s="33"/>
      <c r="AC4307" s="33"/>
      <c r="AD4307" s="33"/>
      <c r="AE4307" s="33"/>
      <c r="AF4307" s="33"/>
      <c r="AG4307" s="33"/>
      <c r="AH4307" s="33"/>
      <c r="AI4307" s="33"/>
      <c r="AJ4307" s="33"/>
      <c r="AK4307" s="33"/>
      <c r="AL4307" s="33"/>
      <c r="AM4307" s="33"/>
      <c r="AN4307" s="33"/>
      <c r="AO4307" s="33"/>
    </row>
    <row r="4308" ht="15.75" customHeight="1">
      <c r="A4308" s="72"/>
      <c r="B4308" s="61"/>
      <c r="C4308" s="56"/>
      <c r="D4308" s="67"/>
      <c r="E4308" s="56"/>
      <c r="F4308" s="56"/>
      <c r="G4308" s="62"/>
      <c r="H4308" s="65"/>
      <c r="I4308" s="56"/>
      <c r="J4308" s="66"/>
      <c r="K4308" s="67"/>
      <c r="L4308" s="56"/>
      <c r="M4308" s="67"/>
      <c r="N4308" s="56"/>
      <c r="O4308" s="53"/>
      <c r="P4308" s="68"/>
      <c r="Q4308" s="69"/>
      <c r="R4308" s="68"/>
      <c r="S4308" s="70"/>
      <c r="T4308" s="67"/>
      <c r="U4308" s="56"/>
      <c r="V4308" s="56"/>
      <c r="W4308" s="71"/>
      <c r="X4308" s="71"/>
      <c r="AA4308" s="33"/>
      <c r="AB4308" s="33"/>
      <c r="AC4308" s="33"/>
      <c r="AD4308" s="33"/>
      <c r="AE4308" s="33"/>
      <c r="AF4308" s="33"/>
      <c r="AG4308" s="33"/>
      <c r="AH4308" s="33"/>
      <c r="AI4308" s="33"/>
      <c r="AJ4308" s="33"/>
      <c r="AK4308" s="33"/>
      <c r="AL4308" s="33"/>
      <c r="AM4308" s="33"/>
      <c r="AN4308" s="33"/>
      <c r="AO4308" s="33"/>
    </row>
    <row r="4309" ht="15.75" customHeight="1">
      <c r="A4309" s="72"/>
      <c r="B4309" s="61"/>
      <c r="C4309" s="56"/>
      <c r="D4309" s="67"/>
      <c r="E4309" s="56"/>
      <c r="F4309" s="56"/>
      <c r="G4309" s="62"/>
      <c r="H4309" s="65"/>
      <c r="I4309" s="56"/>
      <c r="J4309" s="66"/>
      <c r="K4309" s="67"/>
      <c r="L4309" s="56"/>
      <c r="M4309" s="67"/>
      <c r="N4309" s="56"/>
      <c r="O4309" s="53"/>
      <c r="P4309" s="68"/>
      <c r="Q4309" s="69"/>
      <c r="R4309" s="68"/>
      <c r="S4309" s="70"/>
      <c r="T4309" s="67"/>
      <c r="U4309" s="56"/>
      <c r="V4309" s="56"/>
      <c r="W4309" s="71"/>
      <c r="X4309" s="71"/>
      <c r="AA4309" s="33"/>
      <c r="AB4309" s="33"/>
      <c r="AC4309" s="33"/>
      <c r="AD4309" s="33"/>
      <c r="AE4309" s="33"/>
      <c r="AF4309" s="33"/>
      <c r="AG4309" s="33"/>
      <c r="AH4309" s="33"/>
      <c r="AI4309" s="33"/>
      <c r="AJ4309" s="33"/>
      <c r="AK4309" s="33"/>
      <c r="AL4309" s="33"/>
      <c r="AM4309" s="33"/>
      <c r="AN4309" s="33"/>
      <c r="AO4309" s="33"/>
    </row>
    <row r="4310" ht="15.75" customHeight="1">
      <c r="A4310" s="72"/>
      <c r="B4310" s="61"/>
      <c r="C4310" s="56"/>
      <c r="D4310" s="67"/>
      <c r="E4310" s="56"/>
      <c r="F4310" s="56"/>
      <c r="G4310" s="62"/>
      <c r="H4310" s="65"/>
      <c r="I4310" s="56"/>
      <c r="J4310" s="66"/>
      <c r="K4310" s="67"/>
      <c r="L4310" s="56"/>
      <c r="M4310" s="67"/>
      <c r="N4310" s="56"/>
      <c r="O4310" s="53"/>
      <c r="P4310" s="68"/>
      <c r="Q4310" s="69"/>
      <c r="R4310" s="68"/>
      <c r="S4310" s="70"/>
      <c r="T4310" s="67"/>
      <c r="U4310" s="56"/>
      <c r="V4310" s="56"/>
      <c r="W4310" s="71"/>
      <c r="X4310" s="71"/>
      <c r="AA4310" s="33"/>
      <c r="AB4310" s="33"/>
      <c r="AC4310" s="33"/>
      <c r="AD4310" s="33"/>
      <c r="AE4310" s="33"/>
      <c r="AF4310" s="33"/>
      <c r="AG4310" s="33"/>
      <c r="AH4310" s="33"/>
      <c r="AI4310" s="33"/>
      <c r="AJ4310" s="33"/>
      <c r="AK4310" s="33"/>
      <c r="AL4310" s="33"/>
      <c r="AM4310" s="33"/>
      <c r="AN4310" s="33"/>
      <c r="AO4310" s="33"/>
    </row>
    <row r="4311" ht="15.75" customHeight="1">
      <c r="A4311" s="72"/>
      <c r="B4311" s="61"/>
      <c r="C4311" s="56"/>
      <c r="D4311" s="67"/>
      <c r="E4311" s="56"/>
      <c r="F4311" s="56"/>
      <c r="G4311" s="62"/>
      <c r="H4311" s="65"/>
      <c r="I4311" s="56"/>
      <c r="J4311" s="66"/>
      <c r="K4311" s="67"/>
      <c r="L4311" s="56"/>
      <c r="M4311" s="67"/>
      <c r="N4311" s="56"/>
      <c r="O4311" s="53"/>
      <c r="P4311" s="68"/>
      <c r="Q4311" s="69"/>
      <c r="R4311" s="68"/>
      <c r="S4311" s="70"/>
      <c r="T4311" s="67"/>
      <c r="U4311" s="56"/>
      <c r="V4311" s="56"/>
      <c r="W4311" s="71"/>
      <c r="X4311" s="71"/>
      <c r="AA4311" s="33"/>
      <c r="AB4311" s="33"/>
      <c r="AC4311" s="33"/>
      <c r="AD4311" s="33"/>
      <c r="AE4311" s="33"/>
      <c r="AF4311" s="33"/>
      <c r="AG4311" s="33"/>
      <c r="AH4311" s="33"/>
      <c r="AI4311" s="33"/>
      <c r="AJ4311" s="33"/>
      <c r="AK4311" s="33"/>
      <c r="AL4311" s="33"/>
      <c r="AM4311" s="33"/>
      <c r="AN4311" s="33"/>
      <c r="AO4311" s="33"/>
    </row>
    <row r="4312" ht="15.75" customHeight="1">
      <c r="A4312" s="72"/>
      <c r="B4312" s="61"/>
      <c r="C4312" s="56"/>
      <c r="D4312" s="67"/>
      <c r="E4312" s="56"/>
      <c r="F4312" s="56"/>
      <c r="G4312" s="62"/>
      <c r="H4312" s="65"/>
      <c r="I4312" s="56"/>
      <c r="J4312" s="66"/>
      <c r="K4312" s="67"/>
      <c r="L4312" s="56"/>
      <c r="M4312" s="67"/>
      <c r="N4312" s="56"/>
      <c r="O4312" s="53"/>
      <c r="P4312" s="68"/>
      <c r="Q4312" s="69"/>
      <c r="R4312" s="68"/>
      <c r="S4312" s="70"/>
      <c r="T4312" s="67"/>
      <c r="U4312" s="56"/>
      <c r="V4312" s="56"/>
      <c r="W4312" s="71"/>
      <c r="X4312" s="71"/>
      <c r="AA4312" s="33"/>
      <c r="AB4312" s="33"/>
      <c r="AC4312" s="33"/>
      <c r="AD4312" s="33"/>
      <c r="AE4312" s="33"/>
      <c r="AF4312" s="33"/>
      <c r="AG4312" s="33"/>
      <c r="AH4312" s="33"/>
      <c r="AI4312" s="33"/>
      <c r="AJ4312" s="33"/>
      <c r="AK4312" s="33"/>
      <c r="AL4312" s="33"/>
      <c r="AM4312" s="33"/>
      <c r="AN4312" s="33"/>
      <c r="AO4312" s="33"/>
    </row>
    <row r="4313" ht="15.75" customHeight="1">
      <c r="A4313" s="72"/>
      <c r="B4313" s="61"/>
      <c r="C4313" s="56"/>
      <c r="D4313" s="67"/>
      <c r="E4313" s="56"/>
      <c r="F4313" s="56"/>
      <c r="G4313" s="62"/>
      <c r="H4313" s="65"/>
      <c r="I4313" s="56"/>
      <c r="J4313" s="66"/>
      <c r="K4313" s="67"/>
      <c r="L4313" s="56"/>
      <c r="M4313" s="67"/>
      <c r="N4313" s="56"/>
      <c r="O4313" s="53"/>
      <c r="P4313" s="68"/>
      <c r="Q4313" s="69"/>
      <c r="R4313" s="68"/>
      <c r="S4313" s="70"/>
      <c r="T4313" s="67"/>
      <c r="U4313" s="56"/>
      <c r="V4313" s="56"/>
      <c r="W4313" s="71"/>
      <c r="X4313" s="71"/>
      <c r="AA4313" s="33"/>
      <c r="AB4313" s="33"/>
      <c r="AC4313" s="33"/>
      <c r="AD4313" s="33"/>
      <c r="AE4313" s="33"/>
      <c r="AF4313" s="33"/>
      <c r="AG4313" s="33"/>
      <c r="AH4313" s="33"/>
      <c r="AI4313" s="33"/>
      <c r="AJ4313" s="33"/>
      <c r="AK4313" s="33"/>
      <c r="AL4313" s="33"/>
      <c r="AM4313" s="33"/>
      <c r="AN4313" s="33"/>
      <c r="AO4313" s="33"/>
    </row>
  </sheetData>
  <autoFilter ref="$A$1:$W$4313">
    <sortState ref="A1:W4313">
      <sortCondition ref="A1:A4313"/>
    </sortState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9.0"/>
    <col customWidth="1" min="3" max="26" width="8.63"/>
  </cols>
  <sheetData>
    <row r="1" ht="12.75" customHeight="1">
      <c r="A1" s="73" t="s">
        <v>12</v>
      </c>
      <c r="B1" s="74" t="s">
        <v>5445</v>
      </c>
    </row>
    <row r="2" ht="12.75" customHeight="1">
      <c r="A2" s="75" t="s">
        <v>620</v>
      </c>
      <c r="B2" s="75" t="s">
        <v>620</v>
      </c>
    </row>
    <row r="3" ht="12.75" customHeight="1">
      <c r="A3" s="76" t="s">
        <v>5446</v>
      </c>
      <c r="B3" s="75" t="s">
        <v>620</v>
      </c>
    </row>
    <row r="4" ht="12.75" customHeight="1">
      <c r="A4" s="75" t="s">
        <v>423</v>
      </c>
      <c r="B4" s="75" t="s">
        <v>423</v>
      </c>
    </row>
    <row r="5" ht="12.75" customHeight="1">
      <c r="A5" s="76" t="s">
        <v>5447</v>
      </c>
      <c r="B5" s="75" t="s">
        <v>423</v>
      </c>
    </row>
    <row r="6" ht="12.75" customHeight="1">
      <c r="A6" s="75" t="s">
        <v>52</v>
      </c>
      <c r="B6" s="75" t="s">
        <v>52</v>
      </c>
    </row>
    <row r="7" ht="12.75" customHeight="1">
      <c r="A7" s="75" t="s">
        <v>81</v>
      </c>
      <c r="B7" s="75" t="s">
        <v>81</v>
      </c>
    </row>
    <row r="8" ht="12.75" customHeight="1">
      <c r="A8" s="76" t="s">
        <v>5448</v>
      </c>
      <c r="B8" s="75" t="s">
        <v>52</v>
      </c>
    </row>
    <row r="9" ht="12.75" customHeight="1">
      <c r="A9" s="76" t="s">
        <v>5449</v>
      </c>
      <c r="B9" s="75" t="s">
        <v>81</v>
      </c>
    </row>
    <row r="10" ht="12.75" customHeight="1">
      <c r="A10" s="75" t="s">
        <v>96</v>
      </c>
      <c r="B10" s="75" t="s">
        <v>96</v>
      </c>
    </row>
    <row r="11" ht="12.75" customHeight="1">
      <c r="A11" s="76" t="s">
        <v>5450</v>
      </c>
      <c r="B11" s="75" t="s">
        <v>96</v>
      </c>
    </row>
    <row r="12" ht="12.75" customHeight="1">
      <c r="A12" s="75" t="s">
        <v>1174</v>
      </c>
      <c r="B12" s="75" t="s">
        <v>1174</v>
      </c>
    </row>
    <row r="13" ht="12.75" customHeight="1">
      <c r="A13" s="75" t="s">
        <v>366</v>
      </c>
      <c r="B13" s="75" t="s">
        <v>52</v>
      </c>
    </row>
    <row r="14" ht="12.75" customHeight="1">
      <c r="A14" s="76" t="s">
        <v>3329</v>
      </c>
      <c r="B14" s="75" t="s">
        <v>96</v>
      </c>
    </row>
    <row r="15" ht="12.75" customHeight="1">
      <c r="A15" s="76" t="s">
        <v>5451</v>
      </c>
      <c r="B15" s="75" t="s">
        <v>1174</v>
      </c>
    </row>
    <row r="16" ht="12.75" customHeight="1">
      <c r="A16" s="76" t="s">
        <v>5452</v>
      </c>
      <c r="B16" s="75" t="s">
        <v>52</v>
      </c>
    </row>
    <row r="17" ht="12.75" customHeight="1">
      <c r="A17" s="76" t="s">
        <v>5453</v>
      </c>
      <c r="B17" s="75" t="s">
        <v>81</v>
      </c>
    </row>
    <row r="18" ht="12.75" customHeight="1">
      <c r="A18" s="76" t="s">
        <v>5454</v>
      </c>
      <c r="B18" s="75" t="s">
        <v>52</v>
      </c>
    </row>
    <row r="19" ht="12.75" customHeight="1">
      <c r="A19" s="76" t="s">
        <v>5455</v>
      </c>
      <c r="B19" s="75" t="s">
        <v>81</v>
      </c>
    </row>
    <row r="20" ht="12.75" customHeight="1">
      <c r="A20" s="76" t="s">
        <v>5456</v>
      </c>
      <c r="B20" s="75" t="s">
        <v>96</v>
      </c>
    </row>
    <row r="21" ht="12.75" customHeight="1">
      <c r="A21" s="76" t="s">
        <v>5457</v>
      </c>
      <c r="B21" s="75" t="s">
        <v>52</v>
      </c>
    </row>
    <row r="22" ht="12.75" customHeight="1">
      <c r="A22" s="76" t="s">
        <v>5458</v>
      </c>
      <c r="B22" s="75" t="s">
        <v>81</v>
      </c>
    </row>
    <row r="23" ht="12.75" customHeight="1">
      <c r="A23" s="77" t="s">
        <v>2550</v>
      </c>
      <c r="B23" s="77" t="s">
        <v>2550</v>
      </c>
    </row>
    <row r="24" ht="12.75" customHeight="1">
      <c r="A24" s="75" t="s">
        <v>30</v>
      </c>
      <c r="B24" s="75" t="s">
        <v>30</v>
      </c>
    </row>
    <row r="25" ht="12.75" customHeight="1">
      <c r="A25" s="76" t="s">
        <v>5459</v>
      </c>
      <c r="B25" s="75" t="s">
        <v>30</v>
      </c>
    </row>
    <row r="26" ht="12.75" customHeight="1">
      <c r="A26" s="75" t="s">
        <v>764</v>
      </c>
      <c r="B26" s="75" t="s">
        <v>764</v>
      </c>
    </row>
    <row r="27" ht="12.75" customHeight="1">
      <c r="A27" s="75" t="s">
        <v>977</v>
      </c>
      <c r="B27" s="75" t="s">
        <v>977</v>
      </c>
    </row>
    <row r="28" ht="12.75" customHeight="1">
      <c r="A28" s="75" t="s">
        <v>858</v>
      </c>
      <c r="B28" s="75" t="s">
        <v>858</v>
      </c>
    </row>
    <row r="29" ht="12.75" customHeight="1">
      <c r="A29" s="76" t="s">
        <v>2871</v>
      </c>
      <c r="B29" s="76" t="s">
        <v>2871</v>
      </c>
    </row>
    <row r="30" ht="12.75" customHeight="1">
      <c r="A30" s="76" t="s">
        <v>5460</v>
      </c>
      <c r="B30" s="76" t="s">
        <v>5461</v>
      </c>
    </row>
    <row r="31" ht="12.75" customHeight="1">
      <c r="A31" s="75" t="s">
        <v>56</v>
      </c>
      <c r="B31" s="75" t="s">
        <v>56</v>
      </c>
    </row>
    <row r="32" ht="12.75" customHeight="1">
      <c r="A32" s="75" t="s">
        <v>759</v>
      </c>
      <c r="B32" s="75" t="s">
        <v>759</v>
      </c>
    </row>
    <row r="33" ht="12.75" customHeight="1">
      <c r="A33" s="75" t="s">
        <v>1046</v>
      </c>
      <c r="B33" s="75" t="s">
        <v>1046</v>
      </c>
    </row>
    <row r="34" ht="12.75" customHeight="1">
      <c r="A34" s="75" t="s">
        <v>394</v>
      </c>
      <c r="B34" s="75" t="s">
        <v>394</v>
      </c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19.13"/>
    <col customWidth="1" min="3" max="26" width="8.63"/>
  </cols>
  <sheetData>
    <row r="1" ht="12.75" customHeight="1">
      <c r="A1" s="78" t="s">
        <v>10</v>
      </c>
      <c r="B1" s="78" t="s">
        <v>5445</v>
      </c>
    </row>
    <row r="2" ht="12.75" customHeight="1">
      <c r="A2" s="79" t="s">
        <v>45</v>
      </c>
      <c r="B2" s="79" t="s">
        <v>45</v>
      </c>
    </row>
    <row r="3" ht="12.75" customHeight="1">
      <c r="A3" s="79" t="s">
        <v>51</v>
      </c>
      <c r="B3" s="79" t="s">
        <v>51</v>
      </c>
    </row>
    <row r="4" ht="12.75" customHeight="1">
      <c r="A4" s="79" t="s">
        <v>198</v>
      </c>
      <c r="B4" s="79" t="s">
        <v>198</v>
      </c>
    </row>
    <row r="5" ht="12.75" customHeight="1">
      <c r="A5" s="79" t="s">
        <v>290</v>
      </c>
      <c r="B5" s="79" t="s">
        <v>290</v>
      </c>
    </row>
    <row r="6" ht="12.75" customHeight="1">
      <c r="A6" s="79" t="s">
        <v>29</v>
      </c>
      <c r="B6" s="79" t="s">
        <v>29</v>
      </c>
    </row>
    <row r="7" ht="12.75" customHeight="1">
      <c r="A7" s="79" t="s">
        <v>190</v>
      </c>
      <c r="B7" s="79" t="s">
        <v>190</v>
      </c>
    </row>
    <row r="8" ht="12.75" customHeight="1">
      <c r="A8" s="79" t="s">
        <v>782</v>
      </c>
      <c r="B8" s="79" t="s">
        <v>782</v>
      </c>
    </row>
    <row r="9" ht="12.75" customHeight="1">
      <c r="A9" s="79" t="s">
        <v>948</v>
      </c>
      <c r="B9" s="79" t="s">
        <v>948</v>
      </c>
    </row>
    <row r="10" ht="12.75" customHeight="1">
      <c r="A10" s="79" t="s">
        <v>1125</v>
      </c>
      <c r="B10" s="79" t="s">
        <v>51</v>
      </c>
    </row>
    <row r="11" ht="12.75" customHeight="1">
      <c r="A11" s="79" t="s">
        <v>1127</v>
      </c>
      <c r="B11" s="79" t="s">
        <v>782</v>
      </c>
    </row>
    <row r="12" ht="12.75" customHeight="1">
      <c r="A12" s="80" t="s">
        <v>5462</v>
      </c>
      <c r="B12" s="79" t="s">
        <v>782</v>
      </c>
    </row>
    <row r="13" ht="12.75" customHeight="1">
      <c r="A13" s="79" t="s">
        <v>198</v>
      </c>
      <c r="B13" s="79" t="s">
        <v>198</v>
      </c>
    </row>
    <row r="14" ht="12.75" customHeight="1">
      <c r="A14" s="79" t="s">
        <v>5463</v>
      </c>
      <c r="B14" s="79" t="s">
        <v>5464</v>
      </c>
    </row>
    <row r="15" ht="12.75" customHeight="1">
      <c r="A15" s="79" t="s">
        <v>5465</v>
      </c>
      <c r="B15" s="79" t="s">
        <v>5466</v>
      </c>
    </row>
    <row r="16" ht="12.75" customHeight="1">
      <c r="A16" s="79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8.88"/>
    <col customWidth="1" min="2" max="2" width="55.63"/>
    <col customWidth="1" min="3" max="26" width="8.63"/>
  </cols>
  <sheetData>
    <row r="1" ht="12.75" customHeight="1">
      <c r="A1" s="74" t="s">
        <v>7</v>
      </c>
      <c r="B1" s="74" t="s">
        <v>5445</v>
      </c>
    </row>
    <row r="2" ht="12.75" customHeight="1">
      <c r="A2" s="75" t="s">
        <v>44</v>
      </c>
      <c r="B2" s="75" t="s">
        <v>44</v>
      </c>
    </row>
    <row r="3" ht="12.75" customHeight="1">
      <c r="A3" s="75" t="s">
        <v>50</v>
      </c>
      <c r="B3" s="75" t="s">
        <v>50</v>
      </c>
    </row>
    <row r="4" ht="12.75" customHeight="1">
      <c r="A4" s="75" t="s">
        <v>144</v>
      </c>
      <c r="B4" s="75" t="s">
        <v>144</v>
      </c>
    </row>
    <row r="5" ht="12.75" customHeight="1">
      <c r="A5" s="75" t="s">
        <v>28</v>
      </c>
      <c r="B5" s="75" t="s">
        <v>28</v>
      </c>
    </row>
    <row r="6" ht="12.75" customHeight="1">
      <c r="A6" s="75" t="s">
        <v>87</v>
      </c>
      <c r="B6" s="75" t="s">
        <v>87</v>
      </c>
    </row>
    <row r="7" ht="12.75" customHeight="1">
      <c r="A7" s="75" t="s">
        <v>1493</v>
      </c>
      <c r="B7" s="75" t="s">
        <v>50</v>
      </c>
    </row>
    <row r="8" ht="12.75" customHeight="1">
      <c r="A8" s="75" t="s">
        <v>1724</v>
      </c>
      <c r="B8" s="75" t="s">
        <v>28</v>
      </c>
    </row>
    <row r="9" ht="12.75" customHeight="1">
      <c r="A9" s="75" t="s">
        <v>1799</v>
      </c>
      <c r="B9" s="75" t="s">
        <v>144</v>
      </c>
    </row>
    <row r="10" ht="12.75" customHeight="1">
      <c r="A10" s="75" t="s">
        <v>1964</v>
      </c>
      <c r="B10" s="75" t="s">
        <v>87</v>
      </c>
    </row>
    <row r="11" ht="12.75" customHeight="1">
      <c r="A11" s="75" t="s">
        <v>1977</v>
      </c>
      <c r="B11" s="75" t="s">
        <v>44</v>
      </c>
    </row>
    <row r="12" ht="12.75" customHeight="1">
      <c r="A12" s="75" t="s">
        <v>2162</v>
      </c>
      <c r="B12" s="75" t="s">
        <v>2162</v>
      </c>
    </row>
    <row r="13" ht="12.75" customHeight="1">
      <c r="A13" s="75" t="s">
        <v>2190</v>
      </c>
      <c r="B13" s="75" t="s">
        <v>2190</v>
      </c>
    </row>
    <row r="14" ht="12.75" customHeight="1">
      <c r="A14" s="75" t="s">
        <v>2275</v>
      </c>
      <c r="B14" s="75" t="s">
        <v>50</v>
      </c>
    </row>
    <row r="15" ht="12.75" customHeight="1">
      <c r="A15" s="75" t="s">
        <v>2304</v>
      </c>
      <c r="B15" s="75" t="s">
        <v>44</v>
      </c>
    </row>
    <row r="16" ht="12.75" customHeight="1">
      <c r="A16" s="75" t="s">
        <v>1397</v>
      </c>
      <c r="B16" s="75" t="s">
        <v>44</v>
      </c>
    </row>
    <row r="17" ht="12.75" customHeight="1">
      <c r="A17" s="75" t="s">
        <v>3260</v>
      </c>
      <c r="B17" s="75" t="s">
        <v>144</v>
      </c>
    </row>
    <row r="18" ht="12.75" customHeight="1">
      <c r="A18" s="81" t="s">
        <v>50</v>
      </c>
      <c r="B18" s="75" t="s">
        <v>50</v>
      </c>
    </row>
    <row r="19" ht="12.75" customHeight="1">
      <c r="A19" s="81" t="s">
        <v>50</v>
      </c>
      <c r="B19" s="75" t="s">
        <v>50</v>
      </c>
    </row>
    <row r="20" ht="12.75" customHeight="1">
      <c r="A20" s="75" t="s">
        <v>3295</v>
      </c>
      <c r="B20" s="75" t="s">
        <v>50</v>
      </c>
    </row>
    <row r="21" ht="12.75" customHeight="1">
      <c r="A21" s="75" t="s">
        <v>3327</v>
      </c>
      <c r="B21" s="75" t="s">
        <v>50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